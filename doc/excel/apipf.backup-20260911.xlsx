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1"/>
  <workbookPr defaultThemeVersion="202300"/>
  <mc:AlternateContent xmlns:mc="http://schemas.openxmlformats.org/markup-compatibility/2006">
    <mc:Choice Requires="x15">
      <x15ac:absPath xmlns:x15ac="http://schemas.microsoft.com/office/spreadsheetml/2010/11/ac" url="/Users/suepie/Develop/10_project/aws-atuh-poc/doc/excel/"/>
    </mc:Choice>
  </mc:AlternateContent>
  <xr:revisionPtr revIDLastSave="0" documentId="13_ncr:1_{ECCC2F74-2C69-D148-9D58-4031975CD4FA}" xr6:coauthVersionLast="47" xr6:coauthVersionMax="47" xr10:uidLastSave="{00000000-0000-0000-0000-000000000000}"/>
  <bookViews>
    <workbookView xWindow="0" yWindow="780" windowWidth="34200" windowHeight="21460" activeTab="10" xr2:uid="{3DFCE3C5-E09C-1942-8E2D-30A61B5A45AE}"/>
  </bookViews>
  <sheets>
    <sheet name="01_表紙・改訂履歴" sheetId="1" r:id="rId1"/>
    <sheet name="02_全体概要" sheetId="2" r:id="rId2"/>
    <sheet name="03_構成図" sheetId="3" r:id="rId3"/>
    <sheet name="04_リソース一覧" sheetId="4" r:id="rId4"/>
    <sheet name="05_処理フロー" sheetId="5" r:id="rId5"/>
    <sheet name="06_実行トリガー" sheetId="6" r:id="rId6"/>
    <sheet name="07_データ定義" sheetId="7" r:id="rId7"/>
    <sheet name="08_セキュリティ・IAM" sheetId="8" r:id="rId8"/>
    <sheet name="09_アプリチーム向け手順" sheetId="9" r:id="rId9"/>
    <sheet name="10_設計判断一覧" sheetId="10" r:id="rId10"/>
    <sheet name="11_未決事項" sheetId="11" r:id="rId11"/>
    <sheet name="12_関連文書" sheetId="12" r:id="rId12"/>
    <sheet name="13_出典一覧" sheetId="13" r:id="rId13"/>
    <sheet name="14_WBS" sheetId="15" r:id="rId14"/>
    <sheet name="15_WBS集計" sheetId="17" r:id="rId15"/>
    <sheet name="16_ランニング費用" sheetId="18" r:id="rId16"/>
    <sheet name="17_運用工数" sheetId="19" r:id="rId17"/>
  </sheets>
  <definedNames>
    <definedName name="_xlnm._FilterDatabase" localSheetId="13" hidden="1">'14_WBS'!$A$1:$M$136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35" i="15" l="1"/>
  <c r="G135" i="15"/>
  <c r="H124" i="15"/>
  <c r="G124" i="15"/>
  <c r="H114" i="15"/>
  <c r="G114" i="15"/>
  <c r="H93" i="15"/>
  <c r="G93" i="15"/>
  <c r="H79" i="15"/>
  <c r="G79" i="15"/>
  <c r="H47" i="15"/>
  <c r="G47" i="15"/>
  <c r="H36" i="15"/>
  <c r="G36" i="15"/>
  <c r="G9" i="15"/>
  <c r="G136" i="15" s="1"/>
  <c r="H106" i="15"/>
  <c r="H105" i="15"/>
  <c r="H35" i="15"/>
  <c r="H8" i="15"/>
  <c r="H9" i="15" s="1"/>
  <c r="H136" i="15" s="1"/>
</calcChain>
</file>

<file path=xl/sharedStrings.xml><?xml version="1.0" encoding="utf-8"?>
<sst xmlns="http://schemas.openxmlformats.org/spreadsheetml/2006/main" count="3451" uniqueCount="2502">
  <si>
    <t>項目</t>
  </si>
  <si>
    <t>—</t>
  </si>
  <si>
    <t>意味</t>
  </si>
  <si>
    <t>monitoring.yaml + openapi.yaml</t>
  </si>
  <si>
    <t>#</t>
  </si>
  <si>
    <t>IAM ロール（StackSets 配布）</t>
  </si>
  <si>
    <t>aws lambda invoke --function-name central-auth-probe --payload '{"mode":"full"}' /dev/null ／ 特定アプリだけ全量: {"mode":"full","appId":"expense-api","env":"prod"}</t>
  </si>
  <si>
    <t>appId</t>
  </si>
  <si>
    <t>baseUrl</t>
  </si>
  <si>
    <t>authPattern</t>
  </si>
  <si>
    <t>{</t>
  </si>
  <si>
    <t>}</t>
  </si>
  <si>
    <t>environments:</t>
  </si>
  <si>
    <t xml:space="preserve">  prod:</t>
  </si>
  <si>
    <t xml:space="preserve">  stg:</t>
  </si>
  <si>
    <t xml:space="preserve">    baseUrl: https://stg.expense.example.com</t>
  </si>
  <si>
    <t xml:space="preserve">    authPattern: api-gw-jwt</t>
  </si>
  <si>
    <t>paths:</t>
  </si>
  <si>
    <t xml:space="preserve">    get:</t>
  </si>
  <si>
    <t xml:space="preserve">  /_/health:</t>
  </si>
  <si>
    <t>P3</t>
  </si>
  <si>
    <t xml:space="preserve">  "Version": "2012-10-17",</t>
  </si>
  <si>
    <t xml:space="preserve">  "Statement": [{</t>
  </si>
  <si>
    <t xml:space="preserve">    "Effect": "Allow",</t>
  </si>
  <si>
    <t xml:space="preserve">  }]</t>
  </si>
  <si>
    <t>各 App アカウント（StackSets 配布）</t>
  </si>
  <si>
    <t>配布物</t>
  </si>
  <si>
    <t>アプリチーム向け手順</t>
  </si>
  <si>
    <t>1. やること 3 点</t>
  </si>
  <si>
    <t>手順</t>
  </si>
  <si>
    <t>やること</t>
  </si>
  <si>
    <t>かんたんな説明</t>
  </si>
  <si>
    <t>Service Catalog で製品を launch する</t>
  </si>
  <si>
    <t>OpenAPI に公開印を付ける</t>
  </si>
  <si>
    <t xml:space="preserve">    authPattern: api-gw-jwt                # 検査方式（enum）</t>
  </si>
  <si>
    <t>testTokenSecret: canary-central-readonly   # 省略時は共通</t>
  </si>
  <si>
    <t>書き忘れ・間違いのとき</t>
  </si>
  <si>
    <t xml:space="preserve">      x-synthetics-skip-auth-check: true   # ← 公開（認証不要）の endpoint に必ず付ける</t>
  </si>
  <si>
    <t>起きること</t>
  </si>
  <si>
    <t>かかる時間</t>
  </si>
  <si>
    <t>最大 1 時間</t>
  </si>
  <si>
    <t>上記の直後</t>
  </si>
  <si>
    <t>・図は本書内に挿入位置（【図 N 挿入位置】の枠）を用意し、作図は別途行う。挿入すべき図の一覧は「02_全体概要」シート末尾を参照。</t>
    <phoneticPr fontId="2"/>
  </si>
  <si>
    <t>認証実装確認処理 基本設計</t>
    <phoneticPr fontId="2"/>
  </si>
  <si>
    <t>API プラットフォーム／認証外形監視（Pattern β 中央集約）</t>
    <phoneticPr fontId="2"/>
  </si>
  <si>
    <t>1. 文書情報</t>
    <phoneticPr fontId="2"/>
  </si>
  <si>
    <t>項目</t>
    <phoneticPr fontId="2"/>
  </si>
  <si>
    <t>内容</t>
    <phoneticPr fontId="2"/>
  </si>
  <si>
    <t>文書名</t>
    <phoneticPr fontId="2"/>
  </si>
  <si>
    <t>—</t>
    <phoneticPr fontId="2"/>
  </si>
  <si>
    <t>機構名</t>
    <phoneticPr fontId="2"/>
  </si>
  <si>
    <t>認証実装確認処理（ADR-059 での名称は Central Auth Check Canary）</t>
    <phoneticPr fontId="2"/>
  </si>
  <si>
    <t>定めること</t>
    <phoneticPr fontId="2"/>
  </si>
  <si>
    <t>アプリチームに認証を実装させたうえで、その実装漏れを中央で継続検知する仕組みの基本設計</t>
    <phoneticPr fontId="2"/>
  </si>
  <si>
    <t>採用方式</t>
    <phoneticPr fontId="2"/>
  </si>
  <si>
    <t>Pattern β（中央集約）／pull 型中央巡回 × CodeCommit コミット差分単独</t>
    <phoneticPr fontId="2"/>
  </si>
  <si>
    <t>版</t>
    <phoneticPr fontId="2"/>
  </si>
  <si>
    <t>作成日</t>
    <phoneticPr fontId="2"/>
  </si>
  <si>
    <t>作成者</t>
    <phoneticPr fontId="2"/>
  </si>
  <si>
    <t>承認者</t>
    <phoneticPr fontId="2"/>
  </si>
  <si>
    <t>記載方針</t>
    <phoneticPr fontId="2"/>
  </si>
  <si>
    <t>3. 改訂履歴</t>
    <phoneticPr fontId="2"/>
  </si>
  <si>
    <t>日付</t>
    <phoneticPr fontId="2"/>
  </si>
  <si>
    <t>変更内容</t>
    <phoneticPr fontId="2"/>
  </si>
  <si>
    <t>担当</t>
    <phoneticPr fontId="2"/>
  </si>
  <si>
    <t>構成リソース一覧（中央 / App / 境界）</t>
    <phoneticPr fontId="2"/>
  </si>
  <si>
    <t>リソース</t>
    <phoneticPr fontId="2"/>
  </si>
  <si>
    <t>AWS サービス</t>
    <phoneticPr fontId="2"/>
  </si>
  <si>
    <t>役割</t>
    <phoneticPr fontId="2"/>
  </si>
  <si>
    <t>EventBridge Scheduler</t>
    <phoneticPr fontId="2"/>
  </si>
  <si>
    <t>EventBridge</t>
    <phoneticPr fontId="2"/>
  </si>
  <si>
    <t>発見 Lambda</t>
    <phoneticPr fontId="2"/>
  </si>
  <si>
    <t>Lambda</t>
    <phoneticPr fontId="2"/>
  </si>
  <si>
    <t>Monitoring Registry</t>
    <phoneticPr fontId="2"/>
  </si>
  <si>
    <t>S3（Versioning）×1 バケット</t>
    <phoneticPr fontId="2"/>
  </si>
  <si>
    <t>認証実装チェック Lambda（認証実装確認処理）</t>
    <phoneticPr fontId="2"/>
  </si>
  <si>
    <t>検査の実行体。台帳と仕様を読み、各 endpoint に未認証／正規の 2 種リクエストを送って認証の効き具合を確かめる</t>
    <phoneticPr fontId="2"/>
  </si>
  <si>
    <t>CloudWatch Metrics / アラーム</t>
    <phoneticPr fontId="2"/>
  </si>
  <si>
    <t>CloudWatch</t>
    <phoneticPr fontId="2"/>
  </si>
  <si>
    <t>検査結果の記録と発報。AuthCheckCritical &gt; 0 で認証漏れアラーム</t>
    <phoneticPr fontId="2"/>
  </si>
  <si>
    <t>Alert Router Lambda</t>
    <phoneticPr fontId="2"/>
  </si>
  <si>
    <t>通知の振り分け役。検知結果を 4×4 分類に従い P1/P2/P3 の宛先へ振り分ける（「全部 Security 行き」を防ぐ）</t>
    <phoneticPr fontId="2"/>
  </si>
  <si>
    <t>SNS（P1 / P2 / P3）</t>
    <phoneticPr fontId="2"/>
  </si>
  <si>
    <t>SNS</t>
    <phoneticPr fontId="2"/>
  </si>
  <si>
    <t>通知の出口。P1 = Security 即時 / P2 = Platform 24h / P3 = アプリチーム</t>
    <phoneticPr fontId="2"/>
  </si>
  <si>
    <t>Secrets Manager</t>
    <phoneticPr fontId="2"/>
  </si>
  <si>
    <t>Service Catalog 製品</t>
    <phoneticPr fontId="2"/>
  </si>
  <si>
    <t>Service Catalog</t>
    <phoneticPr fontId="2"/>
  </si>
  <si>
    <t>正規デプロイの型。認証必須・Origin Protection・タグ付与を全部込みで提供（アプリはパラメータを選ぶだけ。登録処理は含まない＝中央が発見する）</t>
    <phoneticPr fontId="2"/>
  </si>
  <si>
    <t>CodeCommit</t>
    <phoneticPr fontId="2"/>
  </si>
  <si>
    <t>DiscoveryReadRole</t>
    <phoneticPr fontId="2"/>
  </si>
  <si>
    <t>IAM ロール（StackSets 配布）</t>
    <phoneticPr fontId="2"/>
  </si>
  <si>
    <t>API GW / ALB</t>
    <phoneticPr fontId="2"/>
  </si>
  <si>
    <t>アプリごとの CloudFront + WAF</t>
    <phoneticPr fontId="2"/>
  </si>
  <si>
    <t>CloudFront / WAF</t>
    <phoneticPr fontId="2"/>
  </si>
  <si>
    <t>4. 1 行まとめ</t>
    <phoneticPr fontId="2"/>
  </si>
  <si>
    <t>構成要素 / 実装物</t>
    <phoneticPr fontId="2"/>
  </si>
  <si>
    <t>状態</t>
    <phoneticPr fontId="2"/>
  </si>
  <si>
    <t>central-probe-lib（probe lib）</t>
    <phoneticPr fontId="2"/>
  </si>
  <si>
    <t>実装済み</t>
    <phoneticPr fontId="2"/>
  </si>
  <si>
    <t>alert-router-lambda</t>
    <phoneticPr fontId="2"/>
  </si>
  <si>
    <t>発見 Lambda（discovery）</t>
    <phoneticPr fontId="2"/>
  </si>
  <si>
    <t>未実装（M-Q-17-4、Phase 3/4）</t>
    <phoneticPr fontId="2"/>
  </si>
  <si>
    <t>巡回・差分検知・自動登録・OpenAPI pull 取得</t>
    <phoneticPr fontId="2"/>
  </si>
  <si>
    <t>probe lib の lib/registry.js</t>
    <phoneticPr fontId="2"/>
  </si>
  <si>
    <t>改修待ち（M-Q-12-3）</t>
    <phoneticPr fontId="2"/>
  </si>
  <si>
    <t>現実装は旧 DynamoDB Scan のまま。S3 台帳化に伴い S3 List/Get へ改修が必要</t>
    <phoneticPr fontId="2"/>
  </si>
  <si>
    <t>app-registry-lambda</t>
    <phoneticPr fontId="2"/>
  </si>
  <si>
    <t>旧 push 型の参考実装</t>
    <phoneticPr fontId="2"/>
  </si>
  <si>
    <t>App Registry CRUD。PutItem / 正規化ロジックは発見 Lambda に流用予定。現行構成要素ではない</t>
    <phoneticPr fontId="2"/>
  </si>
  <si>
    <t>openapi-export-lambda</t>
    <phoneticPr fontId="2"/>
  </si>
  <si>
    <t>get-export → S3 Put。ロジックは発見 Lambda に流用予定。現行構成要素ではない</t>
    <phoneticPr fontId="2"/>
  </si>
  <si>
    <t>未実施（SAM local or 実 AWS 要）</t>
    <phoneticPr fontId="2"/>
  </si>
  <si>
    <t>6. Runtime / SDK</t>
    <phoneticPr fontId="2"/>
  </si>
  <si>
    <t>対象</t>
    <phoneticPr fontId="2"/>
  </si>
  <si>
    <t>バージョン</t>
    <phoneticPr fontId="2"/>
  </si>
  <si>
    <t>備考</t>
    <phoneticPr fontId="2"/>
  </si>
  <si>
    <t>認証実装チェック Lambda（現行）</t>
    <phoneticPr fontId="2"/>
  </si>
  <si>
    <t>Node.js 22 / AWS SDK v3</t>
    <phoneticPr fontId="2"/>
  </si>
  <si>
    <t>probe lib を実行、synthetics 抽象は https 実装で注入</t>
    <phoneticPr fontId="2"/>
  </si>
  <si>
    <t>データ定義</t>
    <phoneticPr fontId="2"/>
  </si>
  <si>
    <t>型</t>
    <phoneticPr fontId="2"/>
  </si>
  <si>
    <t>説明</t>
    <phoneticPr fontId="2"/>
  </si>
  <si>
    <t>例</t>
    <phoneticPr fontId="2"/>
  </si>
  <si>
    <t>由来 / 管理</t>
    <phoneticPr fontId="2"/>
  </si>
  <si>
    <t>appId</t>
    <phoneticPr fontId="2"/>
  </si>
  <si>
    <t>S</t>
    <phoneticPr fontId="2"/>
  </si>
  <si>
    <t>expense-api</t>
    <phoneticPr fontId="2"/>
  </si>
  <si>
    <t>キーと同値</t>
    <phoneticPr fontId="2"/>
  </si>
  <si>
    <t>データ契約 §2.1, 12 §12.1</t>
    <phoneticPr fontId="2"/>
  </si>
  <si>
    <t>env</t>
    <phoneticPr fontId="2"/>
  </si>
  <si>
    <t>prod / stg / dev</t>
    <phoneticPr fontId="2"/>
  </si>
  <si>
    <t>baseUrl</t>
    <phoneticPr fontId="2"/>
  </si>
  <si>
    <t>https://expense.example.com</t>
    <phoneticPr fontId="2"/>
  </si>
  <si>
    <t>monitoring.yaml</t>
    <phoneticPr fontId="2"/>
  </si>
  <si>
    <t>authPattern</t>
    <phoneticPr fontId="2"/>
  </si>
  <si>
    <t>api-gw-jwt</t>
    <phoneticPr fontId="2"/>
  </si>
  <si>
    <t>openApiS3Key</t>
    <phoneticPr fontId="2"/>
  </si>
  <si>
    <t>spec コピーのキー</t>
    <phoneticPr fontId="2"/>
  </si>
  <si>
    <t>openapi/111122223333/expense-api/openapi.yaml</t>
    <phoneticPr fontId="2"/>
  </si>
  <si>
    <t>巡回が導出</t>
    <phoneticPr fontId="2"/>
  </si>
  <si>
    <t>testTokenSecret</t>
    <phoneticPr fontId="2"/>
  </si>
  <si>
    <t>canary-central-readonly</t>
    <phoneticPr fontId="2"/>
  </si>
  <si>
    <t>alertRouting</t>
    <phoneticPr fontId="2"/>
  </si>
  <si>
    <t>M</t>
    <phoneticPr fontId="2"/>
  </si>
  <si>
    <t>台帳のみ・中央管理</t>
    <phoneticPr fontId="2"/>
  </si>
  <si>
    <t>enabled</t>
    <phoneticPr fontId="2"/>
  </si>
  <si>
    <t>BOOL</t>
    <phoneticPr fontId="2"/>
  </si>
  <si>
    <t>registeredAt</t>
    <phoneticPr fontId="2"/>
  </si>
  <si>
    <t>ISO8601 登録日時</t>
    <phoneticPr fontId="2"/>
  </si>
  <si>
    <t>2026-07-06T00:00:00Z</t>
    <phoneticPr fontId="2"/>
  </si>
  <si>
    <t>巡回</t>
    <phoneticPr fontId="2"/>
  </si>
  <si>
    <t>巡回状態</t>
    <phoneticPr fontId="2"/>
  </si>
  <si>
    <t>lastSeenAt</t>
    <phoneticPr fontId="2"/>
  </si>
  <si>
    <t>{</t>
    <phoneticPr fontId="2"/>
  </si>
  <si>
    <t>}</t>
    <phoneticPr fontId="2"/>
  </si>
  <si>
    <t>値</t>
    <phoneticPr fontId="2"/>
  </si>
  <si>
    <t>バケット</t>
    <phoneticPr fontId="2"/>
  </si>
  <si>
    <t>&lt;common-platform-acct&gt;-monitoring-registry（Versioning 有効。台帳と spec コピーが同居）</t>
    <phoneticPr fontId="2"/>
  </si>
  <si>
    <t>台帳</t>
    <phoneticPr fontId="2"/>
  </si>
  <si>
    <t>registry/{appId}/{env}.json</t>
    <phoneticPr fontId="2"/>
  </si>
  <si>
    <t>spec コピー</t>
    <phoneticPr fontId="2"/>
  </si>
  <si>
    <t>openapi/{accountId}/{appId}/openapi.yaml</t>
    <phoneticPr fontId="2"/>
  </si>
  <si>
    <t>Versioning</t>
    <phoneticPr fontId="2"/>
  </si>
  <si>
    <t>有効（履歴を保持）</t>
    <phoneticPr fontId="2"/>
  </si>
  <si>
    <t>取得元</t>
    <phoneticPr fontId="2"/>
  </si>
  <si>
    <t>意味</t>
    <phoneticPr fontId="2"/>
  </si>
  <si>
    <t>Negative 期待</t>
    <phoneticPr fontId="2"/>
  </si>
  <si>
    <t>Positive</t>
    <phoneticPr fontId="2"/>
  </si>
  <si>
    <t>API GW + JWT Authorizer</t>
    <phoneticPr fontId="2"/>
  </si>
  <si>
    <t>401/403</t>
    <phoneticPr fontId="2"/>
  </si>
  <si>
    <t>Bearer で 200</t>
    <phoneticPr fontId="2"/>
  </si>
  <si>
    <t>検証済</t>
    <phoneticPr fontId="2"/>
  </si>
  <si>
    <t>api-gw-iam</t>
    <phoneticPr fontId="2"/>
  </si>
  <si>
    <t>API GW + AWS_IAM</t>
    <phoneticPr fontId="2"/>
  </si>
  <si>
    <t>（SigV4、Phase 2）</t>
    <phoneticPr fontId="2"/>
  </si>
  <si>
    <t>Phase 2</t>
    <phoneticPr fontId="2"/>
  </si>
  <si>
    <t>alb-code-jwt</t>
    <phoneticPr fontId="2"/>
  </si>
  <si>
    <t>ALB + アプリコード JWT</t>
    <phoneticPr fontId="2"/>
  </si>
  <si>
    <t>alb-cookie-monolith</t>
    <phoneticPr fontId="2"/>
  </si>
  <si>
    <t>ALB + Cookie SSR モノリス</t>
    <phoneticPr fontId="2"/>
  </si>
  <si>
    <t>302 Redirect to /login</t>
    <phoneticPr fontId="2"/>
  </si>
  <si>
    <t>Puppeteer ログイン</t>
    <phoneticPr fontId="2"/>
  </si>
  <si>
    <t>Negative 済 / Positive 要 PoC</t>
    <phoneticPr fontId="2"/>
  </si>
  <si>
    <t>bff-cookie-session</t>
    <phoneticPr fontId="2"/>
  </si>
  <si>
    <t>BFF（ブラウザ↔BFF = Cookie セッション）</t>
    <phoneticPr fontId="2"/>
  </si>
  <si>
    <t>401 or 302（BFF 実装依存）</t>
    <phoneticPr fontId="2"/>
  </si>
  <si>
    <t>Puppeteer ログイン → Cookie</t>
    <phoneticPr fontId="2"/>
  </si>
  <si>
    <t>lambda-url-iam</t>
    <phoneticPr fontId="2"/>
  </si>
  <si>
    <t>Lambda Function URL + IAM</t>
    <phoneticPr fontId="2"/>
  </si>
  <si>
    <t>規約</t>
    <phoneticPr fontId="2"/>
  </si>
  <si>
    <t>不備時の挙動</t>
    <phoneticPr fontId="2"/>
  </si>
  <si>
    <t>必須（これが監視対象の宣言）</t>
    <phoneticPr fontId="2"/>
  </si>
  <si>
    <t>enum（データ契約 §2.1）</t>
    <phoneticPr fontId="2"/>
  </si>
  <si>
    <t>検査不能 → メタ不足アラート</t>
    <phoneticPr fontId="2"/>
  </si>
  <si>
    <t>通知先（alertRouting）</t>
    <phoneticPr fontId="2"/>
  </si>
  <si>
    <t>enabled（一時停止）</t>
    <phoneticPr fontId="2"/>
  </si>
  <si>
    <t>アノテーション</t>
    <phoneticPr fontId="2"/>
  </si>
  <si>
    <t>デフォルト</t>
    <phoneticPr fontId="2"/>
  </si>
  <si>
    <t>x-synthetics-skip-auth-check: true</t>
    <phoneticPr fontId="2"/>
  </si>
  <si>
    <t>false（= 認証必須）</t>
    <phoneticPr fontId="2"/>
  </si>
  <si>
    <t>x-canary-positive-test: true | false | pre-prod-only</t>
    <phoneticPr fontId="2"/>
  </si>
  <si>
    <t>Positive test 実施</t>
    <phoneticPr fontId="2"/>
  </si>
  <si>
    <t>x-canary-test-token-secret: &lt;name&gt;</t>
    <phoneticPr fontId="2"/>
  </si>
  <si>
    <t>使用 token の Secret 名</t>
    <phoneticPr fontId="2"/>
  </si>
  <si>
    <t>app の testTokenSecret</t>
    <phoneticPr fontId="2"/>
  </si>
  <si>
    <t>x-canary-path-params: { key: value }</t>
    <phoneticPr fontId="2"/>
  </si>
  <si>
    <t>path parameter の dummy 値</t>
    <phoneticPr fontId="2"/>
  </si>
  <si>
    <t>x-canary-cleanup: { action, path, idFrom }</t>
    <phoneticPr fontId="2"/>
  </si>
  <si>
    <t>x-canary-auth-mode: cookie-redirect</t>
    <phoneticPr fontId="2"/>
  </si>
  <si>
    <t>モノリス Cookie フロー</t>
    <phoneticPr fontId="2"/>
  </si>
  <si>
    <t>x-canary-expected-redirect: /login</t>
    <phoneticPr fontId="2"/>
  </si>
  <si>
    <t>Cookie モノリスの期待リダイレクト先</t>
    <phoneticPr fontId="2"/>
  </si>
  <si>
    <t>paths:</t>
    <phoneticPr fontId="2"/>
  </si>
  <si>
    <t>Namespace</t>
    <phoneticPr fontId="2"/>
  </si>
  <si>
    <t>APIPlatform/AuthCheck</t>
    <phoneticPr fontId="2"/>
  </si>
  <si>
    <t>Dimensions</t>
    <phoneticPr fontId="2"/>
  </si>
  <si>
    <t>AppId, Env, AuthPattern</t>
    <phoneticPr fontId="2"/>
  </si>
  <si>
    <t>アラーム条件</t>
    <phoneticPr fontId="2"/>
  </si>
  <si>
    <t>AuthCheckCritical &gt; 0（Lambda 実行のため canary FAIL 依存でなく metric ベース）</t>
    <phoneticPr fontId="2"/>
  </si>
  <si>
    <t>メトリクス名</t>
    <phoneticPr fontId="2"/>
  </si>
  <si>
    <t>単位</t>
    <phoneticPr fontId="2"/>
  </si>
  <si>
    <t>AuthCheckPassed</t>
    <phoneticPr fontId="2"/>
  </si>
  <si>
    <t>Count</t>
    <phoneticPr fontId="2"/>
  </si>
  <si>
    <t>正常（Neg=401/403 + Pos=200）</t>
    <phoneticPr fontId="2"/>
  </si>
  <si>
    <t>AuthCheckCritical</t>
    <phoneticPr fontId="2"/>
  </si>
  <si>
    <t>認証漏れ（Neg=200）</t>
    <phoneticPr fontId="2"/>
  </si>
  <si>
    <t>AuthCheckWarn</t>
    <phoneticPr fontId="2"/>
  </si>
  <si>
    <t>テスト構成 / token 失効</t>
    <phoneticPr fontId="2"/>
  </si>
  <si>
    <t>AuthCheckInfo</t>
    <phoneticPr fontId="2"/>
  </si>
  <si>
    <t>Backend バグ（Pos=500）</t>
    <phoneticPr fontId="2"/>
  </si>
  <si>
    <t>EndpointsProbed</t>
    <phoneticPr fontId="2"/>
  </si>
  <si>
    <t>Negative status</t>
    <phoneticPr fontId="2"/>
  </si>
  <si>
    <t>Positive status</t>
    <phoneticPr fontId="2"/>
  </si>
  <si>
    <t>分類</t>
    <phoneticPr fontId="2"/>
  </si>
  <si>
    <t>severity</t>
    <phoneticPr fontId="2"/>
  </si>
  <si>
    <t>priority</t>
    <phoneticPr fontId="2"/>
  </si>
  <si>
    <t>通知先</t>
    <phoneticPr fontId="2"/>
  </si>
  <si>
    <t>200/201/204</t>
    <phoneticPr fontId="2"/>
  </si>
  <si>
    <t>OK</t>
    <phoneticPr fontId="2"/>
  </si>
  <si>
    <t>通知なし</t>
    <phoneticPr fontId="2"/>
  </si>
  <si>
    <t>CRITICAL（認証 missing）</t>
    <phoneticPr fontId="2"/>
  </si>
  <si>
    <t>CRITICAL</t>
    <phoneticPr fontId="2"/>
  </si>
  <si>
    <t>P1</t>
    <phoneticPr fontId="2"/>
  </si>
  <si>
    <t>Security オンコール</t>
    <phoneticPr fontId="2"/>
  </si>
  <si>
    <t>CRITICAL（認証逆転）</t>
    <phoneticPr fontId="2"/>
  </si>
  <si>
    <t>WARN（token 失効）</t>
    <phoneticPr fontId="2"/>
  </si>
  <si>
    <t>WARN</t>
    <phoneticPr fontId="2"/>
  </si>
  <si>
    <t>P2</t>
    <phoneticPr fontId="2"/>
  </si>
  <si>
    <t>Platform</t>
    <phoneticPr fontId="2"/>
  </si>
  <si>
    <t>WARN（endpoint 不在 / 構成）</t>
    <phoneticPr fontId="2"/>
  </si>
  <si>
    <t>INFO（Backend バグ）</t>
    <phoneticPr fontId="2"/>
  </si>
  <si>
    <t>INFO</t>
    <phoneticPr fontId="2"/>
  </si>
  <si>
    <t>P3</t>
    <phoneticPr fontId="2"/>
  </si>
  <si>
    <t>App team</t>
    <phoneticPr fontId="2"/>
  </si>
  <si>
    <t>any</t>
    <phoneticPr fontId="2"/>
  </si>
  <si>
    <t>WARN（構成ミス）</t>
    <phoneticPr fontId="2"/>
  </si>
  <si>
    <t>null(skip)</t>
    <phoneticPr fontId="2"/>
  </si>
  <si>
    <t>OK（public + health）</t>
    <phoneticPr fontId="2"/>
  </si>
  <si>
    <t>環境</t>
    <phoneticPr fontId="2"/>
  </si>
  <si>
    <t>Negative</t>
    <phoneticPr fontId="2"/>
  </si>
  <si>
    <t>Positive (GET)</t>
    <phoneticPr fontId="2"/>
  </si>
  <si>
    <t>Positive (POST 等)</t>
    <phoneticPr fontId="2"/>
  </si>
  <si>
    <t>Smoke</t>
    <phoneticPr fontId="2"/>
  </si>
  <si>
    <t>Production</t>
    <phoneticPr fontId="2"/>
  </si>
  <si>
    <t>対象 endpoint</t>
    <phoneticPr fontId="2"/>
  </si>
  <si>
    <t>対象 GET</t>
    <phoneticPr fontId="2"/>
  </si>
  <si>
    <t>skip（副作用回避）</t>
    <phoneticPr fontId="2"/>
  </si>
  <si>
    <t>実施</t>
    <phoneticPr fontId="2"/>
  </si>
  <si>
    <t>Staging / Dev</t>
    <phoneticPr fontId="2"/>
  </si>
  <si>
    <t>実施（cleanup 付き）</t>
    <phoneticPr fontId="2"/>
  </si>
  <si>
    <t>設計判断一覧（決定事項）</t>
    <phoneticPr fontId="2"/>
  </si>
  <si>
    <t>本シートは決定事項（D-M-*）のみを収める。未決事項（M-Q-* / BD-Q-*）は「11_未決事項」シートに分離。判断に至った経緯は ADR 参照列の ADR を参照する。なお参照した md 内に D-G-* の ID は存在しない。</t>
    <phoneticPr fontId="2"/>
  </si>
  <si>
    <t>ID</t>
    <phoneticPr fontId="2"/>
  </si>
  <si>
    <t>判断</t>
    <phoneticPr fontId="2"/>
  </si>
  <si>
    <t>根拠</t>
    <phoneticPr fontId="2"/>
  </si>
  <si>
    <t>ADR 参照</t>
    <phoneticPr fontId="2"/>
  </si>
  <si>
    <t>D-M-10-1</t>
    <phoneticPr fontId="2"/>
  </si>
  <si>
    <t>Pattern β（中央集約）を採用</t>
    <phoneticPr fontId="2"/>
  </si>
  <si>
    <t>Deploy 漏れが構造的にゼロ、「中央でチェック」要件と一致</t>
    <phoneticPr fontId="2"/>
  </si>
  <si>
    <t>ADR-059</t>
    <phoneticPr fontId="2"/>
  </si>
  <si>
    <t>D-M-10-2</t>
    <phoneticPr fontId="2"/>
  </si>
  <si>
    <t>実装と設計の二重管理を避ける</t>
    <phoneticPr fontId="2"/>
  </si>
  <si>
    <t>D-M-10-3</t>
    <phoneticPr fontId="2"/>
  </si>
  <si>
    <t>設計は Phase 4 で実行検証してから確定</t>
    <phoneticPr fontId="2"/>
  </si>
  <si>
    <t>「検証済み事実」を積み上げる方針（BD 品質方針）</t>
    <phoneticPr fontId="2"/>
  </si>
  <si>
    <t>D-M-10-4</t>
    <phoneticPr fontId="2"/>
  </si>
  <si>
    <t>D-M-11-1</t>
    <phoneticPr fontId="2"/>
  </si>
  <si>
    <t>Negative + Positive の Hybrid 検証を必須化</t>
    <phoneticPr fontId="2"/>
  </si>
  <si>
    <t>Negative 単独では構成ミスと認証漏れを区別不能</t>
    <phoneticPr fontId="2"/>
  </si>
  <si>
    <t>D-M-11-2</t>
    <phoneticPr fontId="2"/>
  </si>
  <si>
    <t>二重実装の分類ずれを防ぐ</t>
    <phoneticPr fontId="2"/>
  </si>
  <si>
    <t>D-M-11-3</t>
    <phoneticPr fontId="2"/>
  </si>
  <si>
    <t>D-M-11-4</t>
    <phoneticPr fontId="2"/>
  </si>
  <si>
    <t>Cookie モノリスは 302 を認証拒否とみなし監視対象化</t>
    <phoneticPr fontId="2"/>
  </si>
  <si>
    <t>API GW 非依存アプリも担保</t>
    <phoneticPr fontId="2"/>
  </si>
  <si>
    <t>D-M-11-5</t>
    <phoneticPr fontId="2"/>
  </si>
  <si>
    <t>CRITICAL で AuthCheckCritical メトリクス → アラーム発火</t>
    <phoneticPr fontId="2"/>
  </si>
  <si>
    <t>D-M-12-1</t>
    <phoneticPr fontId="2"/>
  </si>
  <si>
    <t>消せない情報は 3 つ・書き手 1 本・MB 未満で DB が過剰。ストアを S3 1 つに集約</t>
    <phoneticPr fontId="2"/>
  </si>
  <si>
    <t>ADR-061 追記 2026-08-13</t>
    <phoneticPr fontId="2"/>
  </si>
  <si>
    <t>D-M-12-2</t>
    <phoneticPr fontId="2"/>
  </si>
  <si>
    <t>Origin Protection を破らず実 UX 同一条件で検証</t>
    <phoneticPr fontId="2"/>
  </si>
  <si>
    <t>D-M-12-3</t>
    <phoneticPr fontId="2"/>
  </si>
  <si>
    <t>登録は中央巡回の自動発見（書き手は発見 Lambda のみ、旧 Custom Resource 廃止）</t>
    <phoneticPr fontId="2"/>
  </si>
  <si>
    <t>登録漏れ構造ゼロ + 書き込みクロスアカウント権限の排除</t>
    <phoneticPr fontId="2"/>
  </si>
  <si>
    <t>ADR-061</t>
    <phoneticPr fontId="2"/>
  </si>
  <si>
    <t>D-M-12-4</t>
    <phoneticPr fontId="2"/>
  </si>
  <si>
    <t>差分判定・消滅検知・発見元の監査を 1 箇所で完結</t>
    <phoneticPr fontId="2"/>
  </si>
  <si>
    <t>D-M-12-5</t>
    <phoneticPr fontId="2"/>
  </si>
  <si>
    <t>enabled で監視の有効／無効を切替（中央管理）</t>
    <phoneticPr fontId="2"/>
  </si>
  <si>
    <t>メンテ時などに削除せず一時停止できる。アプリが自分で監視を止められない</t>
    <phoneticPr fontId="2"/>
  </si>
  <si>
    <t>D-M-13-1</t>
    <phoneticPr fontId="2"/>
  </si>
  <si>
    <t>ADR-061 改訂</t>
    <phoneticPr fontId="2"/>
  </si>
  <si>
    <t>D-M-13-2</t>
    <phoneticPr fontId="2"/>
  </si>
  <si>
    <t>アプリチームの追加作業を最小化、endpoint と同じ場所で管理</t>
    <phoneticPr fontId="2"/>
  </si>
  <si>
    <t>D-M-13-3</t>
    <phoneticPr fontId="2"/>
  </si>
  <si>
    <t>Versioning 有効</t>
    <phoneticPr fontId="2"/>
  </si>
  <si>
    <t>正本の時点管理（監査・巻き戻し）</t>
    <phoneticPr fontId="2"/>
  </si>
  <si>
    <t>D-M-13-4</t>
    <phoneticPr fontId="2"/>
  </si>
  <si>
    <t>監視維持の自動化</t>
    <phoneticPr fontId="2"/>
  </si>
  <si>
    <t>D-M-14-1</t>
    <phoneticPr fontId="2"/>
  </si>
  <si>
    <t>D-M-14-2</t>
    <phoneticPr fontId="2"/>
  </si>
  <si>
    <t>Multi Checks は将来オプション（≤10 固定 endpoint、Synthetics）</t>
    <phoneticPr fontId="2"/>
  </si>
  <si>
    <t>OAuth ネイティブで手軽だが動的発見不可・定期実行前提</t>
    <phoneticPr fontId="2"/>
  </si>
  <si>
    <t>D-M-14-3</t>
    <phoneticPr fontId="2"/>
  </si>
  <si>
    <t>モノリスは authPattern=alb-cookie-monolith で 302 検証</t>
    <phoneticPr fontId="2"/>
  </si>
  <si>
    <t>API GW 非依存アプリを担保</t>
    <phoneticPr fontId="2"/>
  </si>
  <si>
    <t>D-M-14-4</t>
    <phoneticPr fontId="2"/>
  </si>
  <si>
    <t>既存 TGW を再利用し全 App アカウント到達</t>
    <phoneticPr fontId="2"/>
  </si>
  <si>
    <t>D-M-14-5</t>
    <phoneticPr fontId="2"/>
  </si>
  <si>
    <t>「検証済み」と「未検証」を誤認させない</t>
    <phoneticPr fontId="2"/>
  </si>
  <si>
    <t>D-M-15-1</t>
    <phoneticPr fontId="2"/>
  </si>
  <si>
    <t>4×4 分類で P1 / P2 / P3 に振り分け（全部 Security でない）</t>
    <phoneticPr fontId="2"/>
  </si>
  <si>
    <t>誤検知で Security を疲弊させない</t>
    <phoneticPr fontId="2"/>
  </si>
  <si>
    <t>D-M-15-2</t>
    <phoneticPr fontId="2"/>
  </si>
  <si>
    <t>ARN は App Registry alertRouting → 環境変数デフォルトの 2 段解決</t>
    <phoneticPr fontId="2"/>
  </si>
  <si>
    <t>アプリ個別 + 全社既定の両立</t>
    <phoneticPr fontId="2"/>
  </si>
  <si>
    <t>D-M-15-3</t>
    <phoneticPr fontId="2"/>
  </si>
  <si>
    <t>二重実装のずれ防止</t>
    <phoneticPr fontId="2"/>
  </si>
  <si>
    <t>D-M-15-4</t>
    <phoneticPr fontId="2"/>
  </si>
  <si>
    <t>ARN 未解決は throw（DLQ）</t>
    <phoneticPr fontId="2"/>
  </si>
  <si>
    <t>設定不備を握り潰さず可視化</t>
    <phoneticPr fontId="2"/>
  </si>
  <si>
    <t>D-M-16-1</t>
    <phoneticPr fontId="2"/>
  </si>
  <si>
    <t>クロスアカウントは中央 → App の読み取り AssumeRole 1 種のみ（書き込み経路は廃止）</t>
    <phoneticPr fontId="2"/>
  </si>
  <si>
    <t>pull 型統一。攻撃面・設定ミス面の最小化</t>
    <phoneticPr fontId="2"/>
  </si>
  <si>
    <t>D-M-16-2</t>
    <phoneticPr fontId="2"/>
  </si>
  <si>
    <t>実 UX 同一 + 権限を巡回読み取りだけに限定</t>
    <phoneticPr fontId="2"/>
  </si>
  <si>
    <t>D-M-16-3</t>
    <phoneticPr fontId="2"/>
  </si>
  <si>
    <t>DiscoveryReadRole は read-only + 信頼先 1 本 + ExternalId + 全アカウント同一名</t>
    <phoneticPr fontId="2"/>
  </si>
  <si>
    <t>漏洩時影響の最小化・confused deputy 防止・機械的な AssumeRole</t>
    <phoneticPr fontId="2"/>
  </si>
  <si>
    <t>D-M-16-4</t>
    <phoneticPr fontId="2"/>
  </si>
  <si>
    <t>配布は StackSets（Organizations 自動デプロイ）</t>
    <phoneticPr fontId="2"/>
  </si>
  <si>
    <t>新規アカウントにも自動追随 → 巡回の空白を作らない</t>
    <phoneticPr fontId="2"/>
  </si>
  <si>
    <t>D-M-16-5</t>
    <phoneticPr fontId="2"/>
  </si>
  <si>
    <t>ROSA 側 P-18 確定まで自管理前提で記述、差分改訂</t>
    <phoneticPr fontId="2"/>
  </si>
  <si>
    <t>前提変更に追随（BD-Q-01）</t>
    <phoneticPr fontId="2"/>
  </si>
  <si>
    <t>D-M-17-1</t>
    <phoneticPr fontId="2"/>
  </si>
  <si>
    <t>デプロイ検知は pull 型中央巡回に統一</t>
    <phoneticPr fontId="2"/>
  </si>
  <si>
    <t>登録漏れが構造的にゼロ、アプリ側フットプリント実質ゼロ、トリガーが中央に統一</t>
    <phoneticPr fontId="2"/>
  </si>
  <si>
    <t>D-M-17-2</t>
    <phoneticPr fontId="2"/>
  </si>
  <si>
    <t>巡回間隔は 1 時間</t>
    <phoneticPr fontId="2"/>
  </si>
  <si>
    <t>一次防衛は deploy 前ガード。外形監視は検知網であり 1 時間で許容</t>
    <phoneticPr fontId="2"/>
  </si>
  <si>
    <t>D-M-17-3</t>
    <phoneticPr fontId="2"/>
  </si>
  <si>
    <t>D-M-17-4</t>
    <phoneticPr fontId="2"/>
  </si>
  <si>
    <t>メタデータは monitoring.yaml（config-as-code）で宣言、通知先と enabled は台帳側</t>
    <phoneticPr fontId="2"/>
  </si>
  <si>
    <t>PR レビューで変更管理可。ARN・監視停止権限は repo に持たせない</t>
    <phoneticPr fontId="2"/>
  </si>
  <si>
    <t>D-M-17-5</t>
    <phoneticPr fontId="2"/>
  </si>
  <si>
    <t>認証 middleware 削除は diff から endpoint に紐づかない</t>
    <phoneticPr fontId="2"/>
  </si>
  <si>
    <t>D-M-17-6</t>
    <phoneticPr fontId="2"/>
  </si>
  <si>
    <t>Service Catalog 製品は「守られた API を作る」に専念（登録処理を持たない）</t>
    <phoneticPr fontId="2"/>
  </si>
  <si>
    <t>「見つける」は中央（関心の分離）</t>
    <phoneticPr fontId="2"/>
  </si>
  <si>
    <t>D-M-18-1</t>
    <phoneticPr fontId="2"/>
  </si>
  <si>
    <t>常時監視とデプロイ検証を分離、常時負荷を桁で削減</t>
    <phoneticPr fontId="2"/>
  </si>
  <si>
    <t>D-M-18-2</t>
    <phoneticPr fontId="2"/>
  </si>
  <si>
    <t>OpenAPI 不変の認証コード変更（middleware 削除等）を見逃さない</t>
    <phoneticPr fontId="2"/>
  </si>
  <si>
    <t>D-M-18-3</t>
    <phoneticPr fontId="2"/>
  </si>
  <si>
    <t>重要 endpoint の定義に業務会話が要る、決め打ち全量は本末転倒</t>
    <phoneticPr fontId="2"/>
  </si>
  <si>
    <t>D-M-18-4</t>
    <phoneticPr fontId="2"/>
  </si>
  <si>
    <t>網羅確認は人の判断契機（初回／監査／大変更後）で十分、常時コストゼロ</t>
    <phoneticPr fontId="2"/>
  </si>
  <si>
    <t>D-M-18-5</t>
    <phoneticPr fontId="2"/>
  </si>
  <si>
    <t>実行基盤を Lambda に一本化、Synthetics は将来オプション</t>
    <phoneticPr fontId="2"/>
  </si>
  <si>
    <t>D-M-18-6</t>
    <phoneticPr fontId="2"/>
  </si>
  <si>
    <t>アラームは CloudWatch metric（AuthCheckCritical&gt;0）</t>
    <phoneticPr fontId="2"/>
  </si>
  <si>
    <t>canary FAIL 依存をやめ Lambda でも成立させる</t>
    <phoneticPr fontId="2"/>
  </si>
  <si>
    <t>D-M-18-7</t>
    <phoneticPr fontId="2"/>
  </si>
  <si>
    <t>登録漏れ構造ゼロ・トリガー中央統一</t>
    <phoneticPr fontId="2"/>
  </si>
  <si>
    <t>0.1</t>
    <phoneticPr fontId="2"/>
  </si>
  <si>
    <t>2026-08-14</t>
    <phoneticPr fontId="2"/>
  </si>
  <si>
    <t>初版</t>
    <phoneticPr fontId="2"/>
  </si>
  <si>
    <t>全体概要（目的 / 方式サマリ / 用語）</t>
    <phoneticPr fontId="2"/>
  </si>
  <si>
    <t>1. 目的</t>
    <phoneticPr fontId="2"/>
  </si>
  <si>
    <t>観点</t>
    <phoneticPr fontId="2"/>
  </si>
  <si>
    <t>この設計書群で定めること</t>
    <phoneticPr fontId="2"/>
  </si>
  <si>
    <t>なぜ外形監視が要るか</t>
    <phoneticPr fontId="2"/>
  </si>
  <si>
    <t>存在意義</t>
    <phoneticPr fontId="2"/>
  </si>
  <si>
    <t>2. スコープ</t>
    <phoneticPr fontId="2"/>
  </si>
  <si>
    <t>本設計書で扱う</t>
    <phoneticPr fontId="2"/>
  </si>
  <si>
    <t>認証実装チェック（Lambda / 検査ロジック probe lib）</t>
    <phoneticPr fontId="2"/>
  </si>
  <si>
    <t>扱う</t>
    <phoneticPr fontId="2"/>
  </si>
  <si>
    <t>App Registry（S3 台帳）</t>
    <phoneticPr fontId="2"/>
  </si>
  <si>
    <t>OpenAPI Registry（S3・台帳と同一バケット）</t>
    <phoneticPr fontId="2"/>
  </si>
  <si>
    <t>Alert Router（4×4 → SNS）</t>
    <phoneticPr fontId="2"/>
  </si>
  <si>
    <t>クロスアカウント IAM / 配布</t>
    <phoneticPr fontId="2"/>
  </si>
  <si>
    <t>静的解析 / Config Rules</t>
    <phoneticPr fontId="2"/>
  </si>
  <si>
    <t>扱わない</t>
    <phoneticPr fontId="2"/>
  </si>
  <si>
    <t>3. 方式サマリ（現行仕様）</t>
    <phoneticPr fontId="2"/>
  </si>
  <si>
    <t>現行仕様</t>
    <phoneticPr fontId="2"/>
  </si>
  <si>
    <t>監視方式</t>
    <phoneticPr fontId="2"/>
  </si>
  <si>
    <t>変更検知</t>
    <phoneticPr fontId="2"/>
  </si>
  <si>
    <t>pull 型中央巡回 × CodeCommit コミット差分単独（台帳の lastCheckedCommitId と先端コミット ID の比較）。アプリ側に登録処理・登録イベントはない。</t>
    <phoneticPr fontId="2"/>
  </si>
  <si>
    <t>巡回頻度</t>
    <phoneticPr fontId="2"/>
  </si>
  <si>
    <t>1 時間毎（EventBridge Scheduler が発見 Lambda を起動）。検知遅延は最大 1 時間。</t>
    <phoneticPr fontId="2"/>
  </si>
  <si>
    <t>実行モード</t>
    <phoneticPr fontId="2"/>
  </si>
  <si>
    <t>Lambda 構成</t>
    <phoneticPr fontId="2"/>
  </si>
  <si>
    <t>3 本（発見 Lambda / 認証実装チェック Lambda / Alert Router Lambda）。すべて VPC 外に配置。</t>
    <phoneticPr fontId="2"/>
  </si>
  <si>
    <t>ストア</t>
    <phoneticPr fontId="2"/>
  </si>
  <si>
    <t>S3 ×1 バケット（Monitoring Registry）。registry/ = 台帳＋巡回スナップショット、openapi/ = spec コピー。DynamoDB は不使用。</t>
    <phoneticPr fontId="2"/>
  </si>
  <si>
    <t>検査方式</t>
    <phoneticPr fontId="2"/>
  </si>
  <si>
    <t>Negative（未認証検査）+ Positive（正規検査）の Hybrid 検証。結果を 4×4 真偽値表で分類する。</t>
    <phoneticPr fontId="2"/>
  </si>
  <si>
    <t>probe 範囲</t>
    <phoneticPr fontId="2"/>
  </si>
  <si>
    <t>アプリ単位の全 endpoint（endpoint 単位に絞らない）。</t>
    <phoneticPr fontId="2"/>
  </si>
  <si>
    <t>実ユーザーと同じ経路（インバウンド境界の CloudFront + WAF → Origin Protection → API GW / ALB）。</t>
    <phoneticPr fontId="2"/>
  </si>
  <si>
    <t>通知</t>
    <phoneticPr fontId="2"/>
  </si>
  <si>
    <t>4×4 分類の severity / priority に従い P1 Security 即時 / P2 Platform 24h / P3 App team の SNS へ振り分ける。</t>
    <phoneticPr fontId="2"/>
  </si>
  <si>
    <t>アラーム</t>
    <phoneticPr fontId="2"/>
  </si>
  <si>
    <t>CloudWatch metric AuthCheckCritical &gt; 0。</t>
    <phoneticPr fontId="2"/>
  </si>
  <si>
    <t>モノリス</t>
    <phoneticPr fontId="2"/>
  </si>
  <si>
    <t>リポジトリは必ず存在するため git 巡回で自動発見される。Cookie セッションは 302 を認証拒否とみなして監視対象化する。</t>
    <phoneticPr fontId="2"/>
  </si>
  <si>
    <t>アプリチームの作業</t>
    <phoneticPr fontId="2"/>
  </si>
  <si>
    <t>3 点のみ（Service Catalog 製品の launch / monitoring.yaml をリポジトリに置く / OpenAPI に公開印 MON-1 を付ける）。</t>
    <phoneticPr fontId="2"/>
  </si>
  <si>
    <t>アカウント構成</t>
    <phoneticPr fontId="2"/>
  </si>
  <si>
    <t>共通基盤アカウント（中央・自社管理）／インバウンド境界＝ネットワーク監査アカウント（他組織管理の可能性）／各 App アカウント／認証基盤（Broker アカウント）／アウトバウンド境界アカウント（他組織管理）。</t>
    <phoneticPr fontId="2"/>
  </si>
  <si>
    <t>4. 用語（英語のまま使う語の意味）</t>
    <phoneticPr fontId="2"/>
  </si>
  <si>
    <t>用語</t>
    <phoneticPr fontId="2"/>
  </si>
  <si>
    <t>認証実装確認処理</t>
    <phoneticPr fontId="2"/>
  </si>
  <si>
    <t>本機構の名称。アプリの認証実装漏れを中央で継続検知する仕組み。ADR-059 での名称は Central Auth Check Canary。</t>
    <phoneticPr fontId="2"/>
  </si>
  <si>
    <t>変更検知と登録の実行体（pull）。各 App アカウントの CodeCommit を読み取り巡回し、リポジトリ発見・コミット差分・台帳登録・spec 取得を行い、変更のあったアプリの検査を起動する。</t>
    <phoneticPr fontId="2"/>
  </si>
  <si>
    <t>認証実装チェック Lambda</t>
    <phoneticPr fontId="2"/>
  </si>
  <si>
    <t>検査の実行体。台帳と仕様を読み、各 endpoint に未認証／正規の 2 種リクエストを送って認証の効き具合を確かめる。</t>
    <phoneticPr fontId="2"/>
  </si>
  <si>
    <t>原義は「探針」。本設計では「実際に HTTP リクエストを送り、応答で認証の効き具合を確かめる検査」を指す。設定を読むのではなく、実物に触って確かめるのが特徴。</t>
    <phoneticPr fontId="2"/>
  </si>
  <si>
    <t>認証情報なしでリクエスト → 401/403（Cookie 系は 302）が返れば正常。2xx が返れば認証漏れ。</t>
    <phoneticPr fontId="2"/>
  </si>
  <si>
    <t>有効なトークン付きでリクエスト → 200 が返れば API 稼働とテスト健全性を確認。Negative との組合せで誤検知を防ぐ。</t>
    <phoneticPr fontId="2"/>
  </si>
  <si>
    <t>上記の検査を実装した共通ライブラリ。認証実装チェック Lambda が実行する。</t>
    <phoneticPr fontId="2"/>
  </si>
  <si>
    <t>Pattern β</t>
    <phoneticPr fontId="2"/>
  </si>
  <si>
    <t>検査を各アプリに配らず中央 1 箇所から横断実行する方式。</t>
    <phoneticPr fontId="2"/>
  </si>
  <si>
    <t>5. 図一覧（本書に挿入する図。各シートの【図 N 挿入位置】枠に貼り込む）</t>
    <phoneticPr fontId="2"/>
  </si>
  <si>
    <t>図番号・図名</t>
    <phoneticPr fontId="2"/>
  </si>
  <si>
    <t>描くべき内容（この要素・関係を漏らさない）</t>
    <phoneticPr fontId="2"/>
  </si>
  <si>
    <t>区分</t>
    <phoneticPr fontId="2"/>
  </si>
  <si>
    <t>挿入シート</t>
    <phoneticPr fontId="2"/>
  </si>
  <si>
    <t>図1 全体骨格（Pattern β）</t>
    <phoneticPr fontId="2"/>
  </si>
  <si>
    <t>A</t>
    <phoneticPr fontId="2"/>
  </si>
  <si>
    <t>03_構成図</t>
    <phoneticPr fontId="2"/>
  </si>
  <si>
    <t>図2 統合構成図（登録・トリガー・検査・通知 ①〜⑥）</t>
    <phoneticPr fontId="2"/>
  </si>
  <si>
    <t>図3 AWS リソース構成図（アカウント横断・イン／アウト境界）</t>
    <phoneticPr fontId="2"/>
  </si>
  <si>
    <t>共通基盤（VPC なし・Lambda 3 本すべて VPC 外／S3 1 バケット／Secrets／CloudWatch／SNS）／インバウンド境界アカウント（CloudFront+WAF・Origin Protection）／各 App（DiscoveryReadRole・CodeCommit・API GW / ALB）／認証基盤 Broker（Keycloak /token）／アウトバウンド境界アカウント（TGW+NWFW・非経由）。通信経路 A〜D を線種で区別し、A / B のみインターネットと In 境界を通り Out 境界を通らないことを明示</t>
    <phoneticPr fontId="2"/>
  </si>
  <si>
    <t>図4 巡回フロー（①〜⑦ + 新規発見・消滅検知）</t>
    <phoneticPr fontId="2"/>
  </si>
  <si>
    <t>05_処理フロー</t>
    <phoneticPr fontId="2"/>
  </si>
  <si>
    <t>図5 検査シーケンス（1 回の実行 ①〜⑨）</t>
    <phoneticPr fontId="2"/>
  </si>
  <si>
    <t>図6 エンドツーエンド フロー（①〜⑧）</t>
    <phoneticPr fontId="2"/>
  </si>
  <si>
    <t>B</t>
    <phoneticPr fontId="2"/>
  </si>
  <si>
    <t>図8 受容した穴 2 つと補完レイヤーの関係</t>
    <phoneticPr fontId="2"/>
  </si>
  <si>
    <t>図9 Monitoring Registry S3 のキー体系</t>
    <phoneticPr fontId="2"/>
  </si>
  <si>
    <t>1 バケット内に registry/{appId}/{env}.json（台帳＋巡回スナップショット）と openapi/{accountId}/{appId}/openapi.yaml（spec コピー）が同居し Versioning 有効。読み手（認証実装チェック Lambda・Alert Router）と書き手（発見 Lambda・共通基盤チーム手動）を矢印で区別</t>
    <phoneticPr fontId="2"/>
  </si>
  <si>
    <t>07_データ定義</t>
    <phoneticPr fontId="2"/>
  </si>
  <si>
    <t>図10 メタデータの供給関係（誰が何を決めるか）</t>
    <phoneticPr fontId="2"/>
  </si>
  <si>
    <t>monitoring.yaml 由来（baseUrl / authPattern / testTokenSecret / repo 系）→ 台帳、台帳のみ中央管理（alertRouting / enabled）、リポジトリ内 openapi.yaml（正本）→ S3 コピー → extractEndpoints。アプリ側に登録処理がないことを明示</t>
    <phoneticPr fontId="2"/>
  </si>
  <si>
    <t>図11 4×4 真偽値表から通知先までの振り分け</t>
    <phoneticPr fontId="2"/>
  </si>
  <si>
    <t>図12 クロスアカウント IAM の関係</t>
    <phoneticPr fontId="2"/>
  </si>
  <si>
    <t>共通基盤の DiscoveryLambdaRole → 各 App の DiscoveryReadRole（codecommit read-only・信頼先 1 本・ExternalId）への AssumeRole 1 種のみ。StackSets による全アカウント同一名配布、CentralProbeRole / alert-router-lambda-role の権限範囲、台帳への書き込みが中央アカウント内のみであることを図示</t>
    <phoneticPr fontId="2"/>
  </si>
  <si>
    <t>08_セキュリティ・IAM</t>
    <phoneticPr fontId="2"/>
  </si>
  <si>
    <t>図13 Positive トークンの発行フロー</t>
    <phoneticPr fontId="2"/>
  </si>
  <si>
    <t>構成図</t>
    <phoneticPr fontId="2"/>
  </si>
  <si>
    <t>図1. 全体骨格（Pattern β）</t>
    <phoneticPr fontId="2"/>
  </si>
  <si>
    <t>【図1 全体骨格（Pattern β） 挿入位置】</t>
    <phoneticPr fontId="2"/>
  </si>
  <si>
    <t>（この枠に図を貼り込む。要素・矢印の追加および省略はしない）</t>
    <phoneticPr fontId="2"/>
  </si>
  <si>
    <t>アカウント</t>
    <phoneticPr fontId="2"/>
  </si>
  <si>
    <t>ノード</t>
    <phoneticPr fontId="2"/>
  </si>
  <si>
    <t>役割・注記</t>
    <phoneticPr fontId="2"/>
  </si>
  <si>
    <t>共通基盤アカウント（中央運用・自社管理）</t>
    <phoneticPr fontId="2"/>
  </si>
  <si>
    <t>1 時間毎巡回</t>
    <phoneticPr fontId="2"/>
  </si>
  <si>
    <t>Monitoring Registry S3</t>
    <phoneticPr fontId="2"/>
  </si>
  <si>
    <t>台帳 registry/ + spec openapi/</t>
    <phoneticPr fontId="2"/>
  </si>
  <si>
    <t>認証実装確認処理 Lambda</t>
    <phoneticPr fontId="2"/>
  </si>
  <si>
    <t>分類結果の振り分け</t>
    <phoneticPr fontId="2"/>
  </si>
  <si>
    <t>P1 Security / P2 Platform / P3 App</t>
    <phoneticPr fontId="2"/>
  </si>
  <si>
    <t>ネットワーク監査アカウント（境界層 ADR-039・他組織管理の可能性）</t>
    <phoneticPr fontId="2"/>
  </si>
  <si>
    <t>CloudFront + WAF（アプリ A 用）</t>
    <phoneticPr fontId="2"/>
  </si>
  <si>
    <t>インターネット境界</t>
    <phoneticPr fontId="2"/>
  </si>
  <si>
    <t>CloudFront + WAF（アプリ B 用）</t>
    <phoneticPr fontId="2"/>
  </si>
  <si>
    <t>App アカウント A</t>
    <phoneticPr fontId="2"/>
  </si>
  <si>
    <t>認証実装</t>
    <phoneticPr fontId="2"/>
  </si>
  <si>
    <t>App アカウント B</t>
    <phoneticPr fontId="2"/>
  </si>
  <si>
    <t>#</t>
    <phoneticPr fontId="2"/>
  </si>
  <si>
    <t>From</t>
    <phoneticPr fontId="2"/>
  </si>
  <si>
    <t>To</t>
    <phoneticPr fontId="2"/>
  </si>
  <si>
    <t>ラベル</t>
    <phoneticPr fontId="2"/>
  </si>
  <si>
    <t>経路区分</t>
    <phoneticPr fontId="2"/>
  </si>
  <si>
    <t>巡回読み取り（境界非経由）</t>
    <phoneticPr fontId="2"/>
  </si>
  <si>
    <t>同</t>
    <phoneticPr fontId="2"/>
  </si>
  <si>
    <t>自動登録・スナップショット・spec Put</t>
    <phoneticPr fontId="2"/>
  </si>
  <si>
    <t>中央内部</t>
    <phoneticPr fontId="2"/>
  </si>
  <si>
    <t>API GW / ALB（App A）</t>
    <phoneticPr fontId="2"/>
  </si>
  <si>
    <t>API GW / ALB（App B）</t>
    <phoneticPr fontId="2"/>
  </si>
  <si>
    <t>CRITICAL / WARN / INFO</t>
    <phoneticPr fontId="2"/>
  </si>
  <si>
    <t>SNS（P1/P2/P3）</t>
    <phoneticPr fontId="2"/>
  </si>
  <si>
    <t>図2. 統合構成図（登録・トリガー・検査・通知）</t>
    <phoneticPr fontId="2"/>
  </si>
  <si>
    <t>【図2 統合構成図（登録・トリガー・検査・通知 ①〜⑥） 挿入位置】</t>
    <phoneticPr fontId="2"/>
  </si>
  <si>
    <t>（外部）</t>
    <phoneticPr fontId="2"/>
  </si>
  <si>
    <t>運用者</t>
    <phoneticPr fontId="2"/>
  </si>
  <si>
    <t>1 時間毎</t>
    <phoneticPr fontId="2"/>
  </si>
  <si>
    <t>発見・差分検知・OpenAPI 取得</t>
    <phoneticPr fontId="2"/>
  </si>
  <si>
    <t>registry/（台帳 + スナップショット）／openapi/（spec コピー）</t>
    <phoneticPr fontId="2"/>
  </si>
  <si>
    <t>CloudWatch Metrics / Alarm</t>
    <phoneticPr fontId="2"/>
  </si>
  <si>
    <t>AuthCheckCritical &gt; 0</t>
    <phoneticPr fontId="2"/>
  </si>
  <si>
    <t>ネットワーク監査アカウント（境界層 ADR-039）</t>
    <phoneticPr fontId="2"/>
  </si>
  <si>
    <t>Origin Protection</t>
    <phoneticPr fontId="2"/>
  </si>
  <si>
    <t>各 App アカウント（監視対象）</t>
    <phoneticPr fontId="2"/>
  </si>
  <si>
    <t>認証必須・Origin Protection・タグ</t>
    <phoneticPr fontId="2"/>
  </si>
  <si>
    <t>1 時間毎の起動</t>
    <phoneticPr fontId="2"/>
  </si>
  <si>
    <t>①</t>
    <phoneticPr fontId="2"/>
  </si>
  <si>
    <t>AssumeRole（読み取り）</t>
    <phoneticPr fontId="2"/>
  </si>
  <si>
    <t>②</t>
    <phoneticPr fontId="2"/>
  </si>
  <si>
    <t>③</t>
    <phoneticPr fontId="2"/>
  </si>
  <si>
    <t>④</t>
    <phoneticPr fontId="2"/>
  </si>
  <si>
    <t>台帳 + spec 取得</t>
    <phoneticPr fontId="2"/>
  </si>
  <si>
    <t>⑤</t>
    <phoneticPr fontId="2"/>
  </si>
  <si>
    <t>⑥</t>
    <phoneticPr fontId="2"/>
  </si>
  <si>
    <t>結果</t>
    <phoneticPr fontId="2"/>
  </si>
  <si>
    <t>製品から API を払い出す</t>
    <phoneticPr fontId="2"/>
  </si>
  <si>
    <t>App アカウント内</t>
    <phoneticPr fontId="2"/>
  </si>
  <si>
    <t>図3. AWS リソース構成図（アカウント横断・イン／アウト境界含む）</t>
    <phoneticPr fontId="2"/>
  </si>
  <si>
    <t>【図3 AWS リソース構成図（アカウント横断・イン／アウト境界） 挿入位置】</t>
    <phoneticPr fontId="2"/>
  </si>
  <si>
    <t>共通基盤アカウント（自社管理）— VPC なし</t>
    <phoneticPr fontId="2"/>
  </si>
  <si>
    <t>共通基盤アカウント（つづき）</t>
    <phoneticPr fontId="2"/>
  </si>
  <si>
    <t>インターネット</t>
    <phoneticPr fontId="2"/>
  </si>
  <si>
    <t>インバウンド境界アカウント（他組織管理・ADR-039）</t>
    <phoneticPr fontId="2"/>
  </si>
  <si>
    <t>各 App アカウント</t>
    <phoneticPr fontId="2"/>
  </si>
  <si>
    <t>認証基盤（Broker アカウント）</t>
    <phoneticPr fontId="2"/>
  </si>
  <si>
    <t>EventBridge Scheduler
rate(1 hour)</t>
    <phoneticPr fontId="2"/>
  </si>
  <si>
    <t>Monitoring Registry S3
registry/ 台帳 + openapi/ spec</t>
    <phoneticPr fontId="2"/>
  </si>
  <si>
    <t>アプリごとの CloudFront + WAF
Origin Protection</t>
    <phoneticPr fontId="2"/>
  </si>
  <si>
    <t>Keycloak /token
client_credentials</t>
    <phoneticPr fontId="2"/>
  </si>
  <si>
    <t>発見 Lambda（VPC 外）</t>
    <phoneticPr fontId="2"/>
  </si>
  <si>
    <t>Secrets Manager
canary-central-readonly</t>
    <phoneticPr fontId="2"/>
  </si>
  <si>
    <t>認証実装チェック Lambda（VPC 外）</t>
    <phoneticPr fontId="2"/>
  </si>
  <si>
    <t>CloudWatch
Metrics / Alarm</t>
    <phoneticPr fontId="2"/>
  </si>
  <si>
    <t>API GW / ALB
認証実装</t>
    <phoneticPr fontId="2"/>
  </si>
  <si>
    <t>Alert Router Lambda（VPC 外）</t>
    <phoneticPr fontId="2"/>
  </si>
  <si>
    <t>SNS P1 / P2 / P3</t>
    <phoneticPr fontId="2"/>
  </si>
  <si>
    <t>アウトバウンド境界アカウント（他組織管理）</t>
    <phoneticPr fontId="2"/>
  </si>
  <si>
    <t>Transit Gateway + Network Firewall
ドメインフィルタ</t>
    <phoneticPr fontId="2"/>
  </si>
  <si>
    <t>通信経路一覧（何が・どこを通るか）</t>
    <phoneticPr fontId="2"/>
  </si>
  <si>
    <t>経路</t>
    <phoneticPr fontId="2"/>
  </si>
  <si>
    <t>中身</t>
    <phoneticPr fontId="2"/>
  </si>
  <si>
    <t>通る境界</t>
    <phoneticPr fontId="2"/>
  </si>
  <si>
    <t>必要な許可</t>
    <phoneticPr fontId="2"/>
  </si>
  <si>
    <t>HTTPS 443（実 UX と同一）</t>
    <phoneticPr fontId="2"/>
  </si>
  <si>
    <t>Lambda マネージド egress → インターネット → CloudFront + WAF（In）→ API GW。Out（NWFW）は非経由（例外）</t>
    <phoneticPr fontId="2"/>
  </si>
  <si>
    <t>なし（宛先は台帳の baseUrl のみ。代償統制あり）</t>
    <phoneticPr fontId="2"/>
  </si>
  <si>
    <t>HTTPS 443</t>
    <phoneticPr fontId="2"/>
  </si>
  <si>
    <t>同上（Out 非経由）</t>
    <phoneticPr fontId="2"/>
  </si>
  <si>
    <t>同上（宛先は認証基盤ドメイン固定）</t>
    <phoneticPr fontId="2"/>
  </si>
  <si>
    <t>C</t>
    <phoneticPr fontId="2"/>
  </si>
  <si>
    <t>境界非経由（AWS 網）</t>
    <phoneticPr fontId="2"/>
  </si>
  <si>
    <t>D</t>
    <phoneticPr fontId="2"/>
  </si>
  <si>
    <t>中央内部（台帳／仕様／Secrets／Metrics／通知）</t>
    <phoneticPr fontId="2"/>
  </si>
  <si>
    <t>境界非経由（AWS 網。VPC Endpoint 不要）</t>
    <phoneticPr fontId="2"/>
  </si>
  <si>
    <t>IAM のみ</t>
    <phoneticPr fontId="2"/>
  </si>
  <si>
    <t>注記: 経路 A はインバウンド境界（CloudFront + WAF）を実ユーザーと同じ向きで通過する（Origin Protection を破らない検査）。In 側はバイパスしない</t>
    <phoneticPr fontId="2"/>
  </si>
  <si>
    <t>注記: 経路 C / D は AWS API・AWS 網内であり、インターネット境界（In / Out とも）は無関係</t>
    <phoneticPr fontId="2"/>
  </si>
  <si>
    <t>注記: Phase 2では認証実装チェック Lambda のみ VPC 化が必要になる（VPC + TGW で Internal ALB へ到達）。その時点で経路 A の Out 統制接続も再検討する。発見 Lambda と Alert Router は Phase 2 でも VPC 外のまま</t>
    <phoneticPr fontId="2"/>
  </si>
  <si>
    <t>1. 共通基盤アカウント（中央）側</t>
    <phoneticPr fontId="2"/>
  </si>
  <si>
    <t>正規検査用の資格情報（canary-central-readonly）。実行ごとに短命トークンを発行</t>
    <phoneticPr fontId="2"/>
  </si>
  <si>
    <t>2. 各 App アカウント側</t>
    <phoneticPr fontId="2"/>
  </si>
  <si>
    <t>3. ネットワーク監査アカウント側（境界、他組織管理の可能性）</t>
    <phoneticPr fontId="2"/>
  </si>
  <si>
    <t>処理フロー（巡回 ①〜⑦ / 検査シーケンス / エンドツーエンド）</t>
    <phoneticPr fontId="2"/>
  </si>
  <si>
    <t>【図4 巡回フロー（①〜⑦ + 新規発見・消滅検知） 挿入位置】</t>
    <phoneticPr fontId="2"/>
  </si>
  <si>
    <t>ステップ</t>
    <phoneticPr fontId="2"/>
  </si>
  <si>
    <t>主体</t>
    <phoneticPr fontId="2"/>
  </si>
  <si>
    <t>相手</t>
    <phoneticPr fontId="2"/>
  </si>
  <si>
    <t>① 列挙</t>
    <phoneticPr fontId="2"/>
  </si>
  <si>
    <t>AWS Organizations</t>
    <phoneticPr fontId="2"/>
  </si>
  <si>
    <t>② AssumeRole</t>
    <phoneticPr fontId="2"/>
  </si>
  <si>
    <t>⑤ 差分判定</t>
    <phoneticPr fontId="2"/>
  </si>
  <si>
    <t>⑥ 内容取得</t>
    <phoneticPr fontId="2"/>
  </si>
  <si>
    <t>新規発見</t>
    <phoneticPr fontId="2"/>
  </si>
  <si>
    <t>消滅検知</t>
    <phoneticPr fontId="2"/>
  </si>
  <si>
    <t>（分岐）</t>
    <phoneticPr fontId="2"/>
  </si>
  <si>
    <t>メタ不足アラート</t>
    <phoneticPr fontId="2"/>
  </si>
  <si>
    <t>図5. 検査シーケンス（1 回の実行）</t>
    <phoneticPr fontId="2"/>
  </si>
  <si>
    <t>【図5 検査シーケンス（1 回の実行 ①〜⑨） 挿入位置】</t>
    <phoneticPr fontId="2"/>
  </si>
  <si>
    <t>処理</t>
    <phoneticPr fontId="2"/>
  </si>
  <si>
    <t>scanEnabledApps（enabled=true）</t>
    <phoneticPr fontId="2"/>
  </si>
  <si>
    <t>OpenAPI Registry S3</t>
    <phoneticPr fontId="2"/>
  </si>
  <si>
    <t>（各アプリのループ）fetchSpec（openApiS3Key）</t>
    <phoneticPr fontId="2"/>
  </si>
  <si>
    <t>extractEndpoints（アノテーション解釈）</t>
    <phoneticPr fontId="2"/>
  </si>
  <si>
    <t>アプリ CloudFront</t>
    <phoneticPr fontId="2"/>
  </si>
  <si>
    <t>⑦</t>
    <phoneticPr fontId="2"/>
  </si>
  <si>
    <t>Alert Router</t>
    <phoneticPr fontId="2"/>
  </si>
  <si>
    <t>⑧</t>
    <phoneticPr fontId="2"/>
  </si>
  <si>
    <t>putMetrics（per-app 集計）</t>
    <phoneticPr fontId="2"/>
  </si>
  <si>
    <t>⑨</t>
    <phoneticPr fontId="2"/>
  </si>
  <si>
    <t>CRITICAL があれば AuthCheckCritical 発火</t>
    <phoneticPr fontId="2"/>
  </si>
  <si>
    <t>図6. エンドツーエンド フロー（deploy → 検知 → 通知 → 是正）</t>
    <phoneticPr fontId="2"/>
  </si>
  <si>
    <t>【図6 エンドツーエンド フロー（①〜⑧） 挿入位置】</t>
    <phoneticPr fontId="2"/>
  </si>
  <si>
    <t>段階</t>
    <phoneticPr fontId="2"/>
  </si>
  <si>
    <t>静的解析 pass</t>
    <phoneticPr fontId="2"/>
  </si>
  <si>
    <t>最大 1h 後に検知・登録・spec 取得</t>
    <phoneticPr fontId="2"/>
  </si>
  <si>
    <t>起動</t>
    <phoneticPr fontId="2"/>
  </si>
  <si>
    <t>Negative + Positive</t>
    <phoneticPr fontId="2"/>
  </si>
  <si>
    <t>4×4 真偽値表。OK → Metrics 記録のみ／CRITICAL・WARN・INFO → ⑥へ</t>
    <phoneticPr fontId="2"/>
  </si>
  <si>
    <t>是正</t>
    <phoneticPr fontId="2"/>
  </si>
  <si>
    <t>SLA 内</t>
    <phoneticPr fontId="2"/>
  </si>
  <si>
    <t>ケース</t>
    <phoneticPr fontId="2"/>
  </si>
  <si>
    <t>アラート</t>
    <phoneticPr fontId="2"/>
  </si>
  <si>
    <t>1 標準的な JWT API（正常）</t>
    <phoneticPr fontId="2"/>
  </si>
  <si>
    <t>なし</t>
    <phoneticPr fontId="2"/>
  </si>
  <si>
    <t>2 認証漏れ（AuthorizationType=NONE でデプロイ）</t>
    <phoneticPr fontId="2"/>
  </si>
  <si>
    <t>CRITICAL / P1</t>
    <phoneticPr fontId="2"/>
  </si>
  <si>
    <t>Security 即時</t>
    <phoneticPr fontId="2"/>
  </si>
  <si>
    <t>3 test token 失効</t>
    <phoneticPr fontId="2"/>
  </si>
  <si>
    <t>WARN / P2</t>
    <phoneticPr fontId="2"/>
  </si>
  <si>
    <t>4 Cookie モノリス（正常）</t>
    <phoneticPr fontId="2"/>
  </si>
  <si>
    <t>4' Cookie モノリス（漏れ）</t>
    <phoneticPr fontId="2"/>
  </si>
  <si>
    <t>Security</t>
    <phoneticPr fontId="2"/>
  </si>
  <si>
    <t>注記: ケース 3 は Negative だけなら「401 で OK」と誤判定していた。Positive 併用で「認証 OK だがテストが壊れている」を分離する</t>
    <phoneticPr fontId="2"/>
  </si>
  <si>
    <t>モード</t>
    <phoneticPr fontId="2"/>
  </si>
  <si>
    <t>トリガ</t>
    <phoneticPr fontId="2"/>
  </si>
  <si>
    <t>範囲</t>
    <phoneticPr fontId="2"/>
  </si>
  <si>
    <t>頻度</t>
    <phoneticPr fontId="2"/>
  </si>
  <si>
    <t>変更のあったアプリの全 endpoint</t>
    <phoneticPr fontId="2"/>
  </si>
  <si>
    <t>1 時間毎（検知遅延 最大 1h）</t>
    <phoneticPr fontId="2"/>
  </si>
  <si>
    <t>Phase 1</t>
    <phoneticPr fontId="2"/>
  </si>
  <si>
    <t>全アプリ全 endpoint</t>
    <phoneticPr fontId="2"/>
  </si>
  <si>
    <t>・重要 endpoint の定義はアプリチームと会話しないと決められない（全 GET か / 認証必須のみか / 業務上の重要度か）。</t>
    <phoneticPr fontId="2"/>
  </si>
  <si>
    <t>粒度</t>
    <phoneticPr fontId="2"/>
  </si>
  <si>
    <t>見逃すケース</t>
    <phoneticPr fontId="2"/>
  </si>
  <si>
    <t>採否</t>
    <phoneticPr fontId="2"/>
  </si>
  <si>
    <t>endpoint 単位（OpenAPI diff）</t>
    <phoneticPr fontId="2"/>
  </si>
  <si>
    <t>コードで認証 middleware を外したが OpenAPI は不変 → 差分に出ず見逃す</t>
    <phoneticPr fontId="2"/>
  </si>
  <si>
    <t>不採用</t>
    <phoneticPr fontId="2"/>
  </si>
  <si>
    <t>アプリ単位（変更アプリの全 endpoint）</t>
    <phoneticPr fontId="2"/>
  </si>
  <si>
    <t>採用</t>
    <phoneticPr fontId="2"/>
  </si>
  <si>
    <t>EventBridge Scheduler（1h）起動。Organizations 列挙 + 読み取り AssumeRole + 差分判定</t>
    <phoneticPr fontId="2"/>
  </si>
  <si>
    <t>lib/probe.js / classify.js / emit.js を共通流用。synthetics 抽象を素の https 実装で注入</t>
    <phoneticPr fontId="2"/>
  </si>
  <si>
    <t>全アプリ全 endpoint（台帳 registry/ を List）</t>
    <phoneticPr fontId="2"/>
  </si>
  <si>
    <t>用途</t>
    <phoneticPr fontId="2"/>
  </si>
  <si>
    <t>初回の全量確認 / 大きな変更後 / 監査前 / 定期棚卸し（人が判断）</t>
    <phoneticPr fontId="2"/>
  </si>
  <si>
    <t>実行基盤</t>
    <phoneticPr fontId="2"/>
  </si>
  <si>
    <t>起動例</t>
    <phoneticPr fontId="2"/>
  </si>
  <si>
    <t>コスト</t>
    <phoneticPr fontId="2"/>
  </si>
  <si>
    <t>6. 受容した穴 2 つと補完レイヤー</t>
    <phoneticPr fontId="2"/>
  </si>
  <si>
    <t>【図8 受容した穴 2 つと補完レイヤーの関係 挿入位置】</t>
    <phoneticPr fontId="2"/>
  </si>
  <si>
    <t>穴</t>
    <phoneticPr fontId="2"/>
  </si>
  <si>
    <t>補完レイヤー</t>
    <phoneticPr fontId="2"/>
  </si>
  <si>
    <t>① コンソール直変更</t>
    <phoneticPr fontId="2"/>
  </si>
  <si>
    <t>外形監視は検知 5 レイヤーの L5 であり、単層で完結させず L2（Config）と組み合わせて穴を塞ぐのが前提</t>
    <phoneticPr fontId="2"/>
  </si>
  <si>
    <t>7. 実行基盤は Lambda に一本化（CloudWatch Synthetics は不採用・将来オプション）</t>
    <phoneticPr fontId="2"/>
  </si>
  <si>
    <t>要素</t>
    <phoneticPr fontId="2"/>
  </si>
  <si>
    <t>Synthetics canary（不採用）</t>
    <phoneticPr fontId="2"/>
  </si>
  <si>
    <t>Lambda（採用）</t>
    <phoneticPr fontId="2"/>
  </si>
  <si>
    <t>実行モデル</t>
    <phoneticPr fontId="2"/>
  </si>
  <si>
    <t>probe lib</t>
    <phoneticPr fontId="2"/>
  </si>
  <si>
    <t>共通</t>
    <phoneticPr fontId="2"/>
  </si>
  <si>
    <t>共通（不変）</t>
    <phoneticPr fontId="2"/>
  </si>
  <si>
    <t>canary FAIL → SuccessPercent&lt;100</t>
    <phoneticPr fontId="2"/>
  </si>
  <si>
    <t>CloudWatch metric AuthCheckCritical &gt; 0</t>
    <phoneticPr fontId="2"/>
  </si>
  <si>
    <t>run ごと $0.0012 上乗せ + 定期実行分</t>
    <phoneticPr fontId="2"/>
  </si>
  <si>
    <t>1. App Registry（S3 台帳）スキーマ</t>
    <phoneticPr fontId="2"/>
  </si>
  <si>
    <t>"appId": "expense-api",</t>
  </si>
  <si>
    <t>"appId": "expense-api",</t>
    <phoneticPr fontId="2"/>
  </si>
  <si>
    <t>"env": "prod",</t>
  </si>
  <si>
    <t>"env": "prod",</t>
    <phoneticPr fontId="2"/>
  </si>
  <si>
    <t>"baseUrl": "https://expense.example.com",</t>
  </si>
  <si>
    <t>"authPattern": "api-gw-jwt",</t>
  </si>
  <si>
    <t>"authPattern": "api-gw-jwt",</t>
    <phoneticPr fontId="2"/>
  </si>
  <si>
    <t>"openApiS3Key": "openapi/111122223333/expense-api/openapi.yaml",</t>
  </si>
  <si>
    <t>"testTokenSecret": "canary-central-readonly",</t>
  </si>
  <si>
    <t>"alertRouting": { "p1": "arn:aws:sns:...:security" },</t>
  </si>
  <si>
    <t>"enabled": true,</t>
  </si>
  <si>
    <t>"registeredAt": "2026-07-06T00:00:00Z",</t>
  </si>
  <si>
    <t>2. Monitoring Registry S3 構造</t>
    <phoneticPr fontId="2"/>
  </si>
  <si>
    <t>【図9 Monitoring Registry S3 のキー体系 挿入位置】</t>
    <phoneticPr fontId="2"/>
  </si>
  <si>
    <t>描くべき内容: 1 バケット内に registry/{appId}/{env}.json（台帳＋巡回スナップショット）と openapi/{accountId}/{appId}/openapi.yaml（spec コピー）が同居し Versioning 有効。読み手（認証実装チェック Lambda・Alert Router）と書き手（発見 Lambda・共通基盤チーム手動）を区別</t>
    <phoneticPr fontId="2"/>
  </si>
  <si>
    <t>3. authPattern enum（6 値。認証実装確認処理が assertion 方式を切替）</t>
    <phoneticPr fontId="2"/>
  </si>
  <si>
    <t>bff-cookie-session は BFF アーキパターンのブラウザ↔BFF 入口を監視する。BFF↔API 間（Bearer）は内部通信のため、BFF 入口の監視で実質カバー。API を独立監視する場合は別レコードで api-gw-jwt として登録</t>
    <phoneticPr fontId="2"/>
  </si>
  <si>
    <t>【図10 メタデータの供給関係（誰が何を決めるか） 挿入位置】</t>
    <phoneticPr fontId="2"/>
  </si>
  <si>
    <t>CloudFront URL</t>
    <phoneticPr fontId="2"/>
  </si>
  <si>
    <t>5. OpenAPI アノテーションと MON-1（公開明示は必須・default-deny）</t>
    <phoneticPr fontId="2"/>
  </si>
  <si>
    <t>・アノテーション未記載 = 認証必須。「うっかり公開」を検知する側に倒すための default-deny 設計</t>
    <phoneticPr fontId="2"/>
  </si>
  <si>
    <t>・public を意図する endpoint に明示を付け忘れると、正しく公開していても「認証漏れ」として P1 アラートが出る → アプリチームは明示せざるを得ない（＝必須が自然に強制される）</t>
    <phoneticPr fontId="2"/>
  </si>
  <si>
    <t>・公開明示は唯一アプリが必ず書くべき監視用アノテーション（他は任意）。これが「アプリは OpenAPI に公開印を付けるだけ」という責任境界の中核</t>
    <phoneticPr fontId="2"/>
  </si>
  <si>
    <t>・公開明示された endpoint も、それが本当に公開してよいかは別途セキュリティレビュー対象（無制限に skip を濫用させない。棚卸しは中央）</t>
    <phoneticPr fontId="2"/>
  </si>
  <si>
    <t>解釈は lib/openapi.js の extractEndpoints</t>
    <phoneticPr fontId="2"/>
  </si>
  <si>
    <t>記述例</t>
    <phoneticPr fontId="2"/>
  </si>
  <si>
    <t>/api/users:</t>
    <phoneticPr fontId="2"/>
  </si>
  <si>
    <t>get:</t>
    <phoneticPr fontId="2"/>
  </si>
  <si>
    <t>x-canary-positive-test: true</t>
    <phoneticPr fontId="2"/>
  </si>
  <si>
    <t>x-canary-test-token-secret: canary-central-readonly</t>
    <phoneticPr fontId="2"/>
  </si>
  <si>
    <t>/api/orders:</t>
    <phoneticPr fontId="2"/>
  </si>
  <si>
    <t>post:</t>
    <phoneticPr fontId="2"/>
  </si>
  <si>
    <t>x-canary-positive-test: pre-prod-only     # 本番は Negative のみ（副作用回避）</t>
    <phoneticPr fontId="2"/>
  </si>
  <si>
    <t>x-canary-cleanup: { action: DELETE, path: /api/orders/{orderId}, idFrom: response.body.orderId }</t>
    <phoneticPr fontId="2"/>
  </si>
  <si>
    <t>/_/health:</t>
    <phoneticPr fontId="2"/>
  </si>
  <si>
    <t>x-synthetics-skip-auth-check: true        # public</t>
    <phoneticPr fontId="2"/>
  </si>
  <si>
    <t>/dashboard:</t>
    <phoneticPr fontId="2"/>
  </si>
  <si>
    <t>x-canary-auth-mode: cookie-redirect        # SSR モノリス</t>
    <phoneticPr fontId="2"/>
  </si>
  <si>
    <t>【図11 4×4 真偽値表から通知先までの振り分け 挿入位置】</t>
    <phoneticPr fontId="2"/>
  </si>
  <si>
    <t>Negative / Positive の役割: Negative（認証ヘッダなし → 401/403、Cookie モノリスは 302）で認証実装漏れを検知、Positive（valid Bearer 等 → 200/201/204）で API 稼働 + テスト健全性を確認</t>
    <phoneticPr fontId="2"/>
  </si>
  <si>
    <t>Smoke test: 冒頭で既知の挙動を確認し、テスト基盤自体の健全性を担保する。Smoke 失敗時は「認証漏れ」ではなく「テスト基盤問題」として分離アラート</t>
    <phoneticPr fontId="2"/>
  </si>
  <si>
    <t>"path": "/api/users",</t>
    <phoneticPr fontId="2"/>
  </si>
  <si>
    <t>"method": "GET",</t>
    <phoneticPr fontId="2"/>
  </si>
  <si>
    <t>"negStatus": 200,</t>
    <phoneticPr fontId="2"/>
  </si>
  <si>
    <t>"posStatus": 200,</t>
    <phoneticPr fontId="2"/>
  </si>
  <si>
    <t>"severity": "CRITICAL",</t>
    <phoneticPr fontId="2"/>
  </si>
  <si>
    <t>"reason": "Auth missing or bypassed",</t>
    <phoneticPr fontId="2"/>
  </si>
  <si>
    <t>"timestamp": "2026-07-06T00:05:00Z"</t>
    <phoneticPr fontId="2"/>
  </si>
  <si>
    <t>Alert イベント自体には SNS ARN が含まれない。Alert Router が台帳の alertRouting → 環境変数 DEFAULT_PX_TOPIC_ARN の 2 段で解決する（08 シート参照）</t>
    <phoneticPr fontId="2"/>
  </si>
  <si>
    <t>9. 環境別の検査動作</t>
    <phoneticPr fontId="2"/>
  </si>
  <si>
    <t>セキュリティ・IAM</t>
    <phoneticPr fontId="2"/>
  </si>
  <si>
    <t>1. アカウント分離</t>
    <phoneticPr fontId="2"/>
  </si>
  <si>
    <t>置くもの</t>
    <phoneticPr fontId="2"/>
  </si>
  <si>
    <t>管理主体</t>
    <phoneticPr fontId="2"/>
  </si>
  <si>
    <t>共通基盤アカウント</t>
    <phoneticPr fontId="2"/>
  </si>
  <si>
    <t>認証実装確認処理のリソース群（App Registry / OpenAPI Registry / 認証実装チェック Lambda / Alert Router / Secrets）+ 発見 Lambda + SNS + CloudWatch</t>
    <phoneticPr fontId="2"/>
  </si>
  <si>
    <t>自社管理</t>
    <phoneticPr fontId="2"/>
  </si>
  <si>
    <t>ネットワーク監査アカウント（インバウンド境界）</t>
    <phoneticPr fontId="2"/>
  </si>
  <si>
    <t>インターネット境界（アプリごとの CloudFront + WAF、Origin Protection、ADR-039）</t>
    <phoneticPr fontId="2"/>
  </si>
  <si>
    <t>他組織管理の可能性あり（ROSA 側 P-18）</t>
    <phoneticPr fontId="2"/>
  </si>
  <si>
    <t>アウトバウンド境界アカウント</t>
    <phoneticPr fontId="2"/>
  </si>
  <si>
    <t>Transit Gateway + Network Firewall（ドメインフィルタ）</t>
    <phoneticPr fontId="2"/>
  </si>
  <si>
    <t>他組織管理</t>
    <phoneticPr fontId="2"/>
  </si>
  <si>
    <t>各アプリチーム</t>
    <phoneticPr fontId="2"/>
  </si>
  <si>
    <t>Keycloak /token（client_credentials）</t>
    <phoneticPr fontId="2"/>
  </si>
  <si>
    <t>認証基盤</t>
    <phoneticPr fontId="2"/>
  </si>
  <si>
    <t>巡回の読み取り経路（中央 → App）も境界を通らないため、境界の管理主体変更の影響を受けない</t>
    <phoneticPr fontId="2"/>
  </si>
  <si>
    <t>2. クロスアカウント要件の全体像</t>
    <phoneticPr fontId="2"/>
  </si>
  <si>
    <t>方向</t>
    <phoneticPr fontId="2"/>
  </si>
  <si>
    <t>手段</t>
    <phoneticPr fontId="2"/>
  </si>
  <si>
    <t>権限</t>
    <phoneticPr fontId="2"/>
  </si>
  <si>
    <t>中央 → App アカウント（読み取り）</t>
    <phoneticPr fontId="2"/>
  </si>
  <si>
    <t>中央 → App アカウント</t>
    <phoneticPr fontId="2"/>
  </si>
  <si>
    <t>Public CloudFront URL</t>
    <phoneticPr fontId="2"/>
  </si>
  <si>
    <t>権限不要</t>
    <phoneticPr fontId="2"/>
  </si>
  <si>
    <t>中央 → 認証基盤</t>
    <phoneticPr fontId="2"/>
  </si>
  <si>
    <t>Public URL</t>
    <phoneticPr fontId="2"/>
  </si>
  <si>
    <t>3. DiscoveryReadRole の設計</t>
    <phoneticPr fontId="2"/>
  </si>
  <si>
    <t>【図12 クロスアカウント IAM の関係 挿入位置】</t>
    <phoneticPr fontId="2"/>
  </si>
  <si>
    <t>各 App アカウントに読み取り専用ロールを 1 つ配布し、中央の発見 Lambda だけが引き受けられるようにする</t>
    <phoneticPr fontId="2"/>
  </si>
  <si>
    <t>"Effect": "Allow",</t>
    <phoneticPr fontId="2"/>
  </si>
  <si>
    <t>// 信頼ポリシー（引受け元を発見 Lambda ロールに限定 + ExternalId）</t>
    <phoneticPr fontId="2"/>
  </si>
  <si>
    <t>"Principal": { "AWS": "arn:aws:iam::&lt;common-platform-acct&gt;:role/DiscoveryLambdaRole" },</t>
    <phoneticPr fontId="2"/>
  </si>
  <si>
    <t>"Action": "sts:AssumeRole",</t>
    <phoneticPr fontId="2"/>
  </si>
  <si>
    <t>"Condition": { "StringEquals": { "sts:ExternalId": "auth-impl-discovery" } }</t>
    <phoneticPr fontId="2"/>
  </si>
  <si>
    <t>・信頼先を発見 Lambda のロール 1 本に限定 + ExternalId（confused deputy 防止）</t>
    <phoneticPr fontId="2"/>
  </si>
  <si>
    <t>4. 必要な IAM 一覧</t>
    <phoneticPr fontId="2"/>
  </si>
  <si>
    <t>ロール</t>
    <phoneticPr fontId="2"/>
  </si>
  <si>
    <t>使い手</t>
    <phoneticPr fontId="2"/>
  </si>
  <si>
    <t>DiscoveryLambdaRole</t>
    <phoneticPr fontId="2"/>
  </si>
  <si>
    <t>CentralProbeRole</t>
    <phoneticPr fontId="2"/>
  </si>
  <si>
    <t>s3:GetObject・ListBucket（Monitoring Registry：台帳 + spec）/ secretsmanager:GetSecretValue / cloudwatch:PutMetricData / lambda:InvokeFunction（Alert Router）</t>
    <phoneticPr fontId="2"/>
  </si>
  <si>
    <t>alert-router-lambda-role</t>
    <phoneticPr fontId="2"/>
  </si>
  <si>
    <t>s3:GetObject（registry/*、alertRouting 解決）/ sns:Publish</t>
    <phoneticPr fontId="2"/>
  </si>
  <si>
    <t>各 App アカウント（StackSets 配布）</t>
    <phoneticPr fontId="2"/>
  </si>
  <si>
    <t>中央の発見 Lambda（AssumeRole）</t>
    <phoneticPr fontId="2"/>
  </si>
  <si>
    <t>5. 配布（StackSets）</t>
    <phoneticPr fontId="2"/>
  </si>
  <si>
    <t>配布物</t>
    <phoneticPr fontId="2"/>
  </si>
  <si>
    <t>CloudFormation StackSets（Organizations 連携・自動デプロイ）</t>
    <phoneticPr fontId="2"/>
  </si>
  <si>
    <t>新規アカウント作成時も自動で配布 → 巡回が即座に読める</t>
    <phoneticPr fontId="2"/>
  </si>
  <si>
    <t>Portfolio 共有（Organizations / RAM）</t>
    <phoneticPr fontId="2"/>
  </si>
  <si>
    <t>認証必須 / Origin Protection / タグの「守られた API の型」</t>
    <phoneticPr fontId="2"/>
  </si>
  <si>
    <t>6. 台帳の書き込み権限（中央のみ）</t>
    <phoneticPr fontId="2"/>
  </si>
  <si>
    <t>書き手</t>
    <phoneticPr fontId="2"/>
  </si>
  <si>
    <t>同一アカウント内 PutObject</t>
    <phoneticPr fontId="2"/>
  </si>
  <si>
    <t>s3:PutObject（registry/* / openapi/* プレフィックス限定）</t>
    <phoneticPr fontId="2"/>
  </si>
  <si>
    <t>共通基盤チーム（手動）</t>
    <phoneticPr fontId="2"/>
  </si>
  <si>
    <t>コンソール / CLI で JSON 更新</t>
    <phoneticPr fontId="2"/>
  </si>
  <si>
    <t>同上（alertRouting 設定・enabled 切替）</t>
    <phoneticPr fontId="2"/>
  </si>
  <si>
    <t>App アカウント側からの書き込み経路は存在しない。バケットは Versioning 有効なので誤更新は履歴から戻せる</t>
    <phoneticPr fontId="2"/>
  </si>
  <si>
    <t>7. VPC 外配置の判断（NW-2 例外の明示受容と代償統制）</t>
    <phoneticPr fontId="2"/>
  </si>
  <si>
    <t>構成</t>
    <phoneticPr fontId="2"/>
  </si>
  <si>
    <t>Lambda 3 本はすべて VPC 外（Lambda マネージド網）に配置する</t>
    <phoneticPr fontId="2"/>
  </si>
  <si>
    <t>得られる簡素化</t>
    <phoneticPr fontId="2"/>
  </si>
  <si>
    <t>VPC / サブネット / ENI 管理・Interface VPC Endpoint 群・TGW Attachment・NAT 依存・NWFW への許可ドメイン申請（アプリ追加のたび）がすべて不要</t>
    <phoneticPr fontId="2"/>
  </si>
  <si>
    <t>例外の内容</t>
    <phoneticPr fontId="2"/>
  </si>
  <si>
    <t>例外が許容できる理由</t>
    <phoneticPr fontId="2"/>
  </si>
  <si>
    <t>代償統制</t>
    <phoneticPr fontId="2"/>
  </si>
  <si>
    <t>承認</t>
    <phoneticPr fontId="2"/>
  </si>
  <si>
    <t>NW-2 の例外としてセキュリティ / 他組織（境界管理側）への明示的な承認を得る（M-Q-10-3。未決）</t>
    <phoneticPr fontId="2"/>
  </si>
  <si>
    <t>・経路 A はインバウンド境界（CloudFront + WAF）を実ユーザーと同じ向きで通過する（Origin Protection を破らない検査）。In 側はバイパスしない</t>
    <phoneticPr fontId="2"/>
  </si>
  <si>
    <t>・経路 C / D は AWS API・AWS 網内であり、インターネット境界（In / Out とも）は無関係</t>
    <phoneticPr fontId="2"/>
  </si>
  <si>
    <t>・Phase 2では認証実装チェック Lambda のみ VPC 化が必要になる。発見 Lambda と Alert Router は Phase 2 でも VPC 外のまま</t>
    <phoneticPr fontId="2"/>
  </si>
  <si>
    <t>8. Positive トークンの管理（共通クライアント資格情報 + 短命トークン）</t>
    <phoneticPr fontId="2"/>
  </si>
  <si>
    <t>【図13 Positive トークンの発行フロー 挿入位置】</t>
    <phoneticPr fontId="2"/>
  </si>
  <si>
    <t>認証基盤(Keycloak) に canary 専用サービスアカウント "api-canary-probe" を 1 つ</t>
    <phoneticPr fontId="2"/>
  </si>
  <si>
    <t>└ client_id/secret → Secrets Manager（共通基盤アカウント）に保管</t>
    <phoneticPr fontId="2"/>
  </si>
  <si>
    <t>└ GetSecretValue できるのは 認証実装チェック Lambda の IAM ロールのみ</t>
    <phoneticPr fontId="2"/>
  </si>
  <si>
    <t>認証実装チェック Lambda → Keycloak /token（client_credentials grant）</t>
    <phoneticPr fontId="2"/>
  </si>
  <si>
    <t>「ずっと使える 1 つ」の実体はクライアント資格情報（全 API 共通・定期ローテ）で、実際のトークンは毎回使い捨て。lib/token.js が取得・キャッシュ（TTL 内）する。x-canary-test-token-secret は既定で共通 Secret（canary-central-readonly 相当のクライアント資格情報）を指す</t>
    <phoneticPr fontId="2"/>
  </si>
  <si>
    <t>対策</t>
    <phoneticPr fontId="2"/>
  </si>
  <si>
    <t>漏洩しにくく</t>
    <phoneticPr fontId="2"/>
  </si>
  <si>
    <t>保管</t>
    <phoneticPr fontId="2"/>
  </si>
  <si>
    <t>client_secret は Secrets Manager のみ（環境変数・コード埋込・ログ出力禁止＝05 OBS-3）</t>
    <phoneticPr fontId="2"/>
  </si>
  <si>
    <t>アクセス</t>
    <phoneticPr fontId="2"/>
  </si>
  <si>
    <t>認証実装チェック Lambda ロールだけが secretsmanager:GetSecretValue（最小 IAM）</t>
    <phoneticPr fontId="2"/>
  </si>
  <si>
    <t>ローテ</t>
    <phoneticPr fontId="2"/>
  </si>
  <si>
    <t>自動ローテーション（30/90 日、Secrets Manager rotation）</t>
    <phoneticPr fontId="2"/>
  </si>
  <si>
    <t>中央アカウントからの egress のみ・TLS</t>
    <phoneticPr fontId="2"/>
  </si>
  <si>
    <t>影響を小さく</t>
    <phoneticPr fontId="2"/>
  </si>
  <si>
    <t>最小権限</t>
    <phoneticPr fontId="2"/>
  </si>
  <si>
    <t>canary クライアントは読み取り専用・最小スコープ（管理者でも書込でもない）</t>
    <phoneticPr fontId="2"/>
  </si>
  <si>
    <t>短 TTL</t>
    <phoneticPr fontId="2"/>
  </si>
  <si>
    <t>トークンは数分で失効 → 捕捉されてもすぐ死ぬ</t>
    <phoneticPr fontId="2"/>
  </si>
  <si>
    <t>GET 限定</t>
    <phoneticPr fontId="2"/>
  </si>
  <si>
    <t>Positive は GET のみ</t>
    <phoneticPr fontId="2"/>
  </si>
  <si>
    <t>即失効</t>
    <phoneticPr fontId="2"/>
  </si>
  <si>
    <t>発火元は中央アカウントの既知プリンシパル → 異常利用検知でクライアント無効化</t>
    <phoneticPr fontId="2"/>
  </si>
  <si>
    <t>レベル</t>
    <phoneticPr fontId="2"/>
  </si>
  <si>
    <t>canary スコープ</t>
    <phoneticPr fontId="2"/>
  </si>
  <si>
    <t>漏洩時の影響</t>
    <phoneticPr fontId="2"/>
  </si>
  <si>
    <t>全 API 横断の読み取り専用</t>
    <phoneticPr fontId="2"/>
  </si>
  <si>
    <t>canary として read-only GET が可能（中程度）</t>
    <phoneticPr fontId="2"/>
  </si>
  <si>
    <t>Phase 1 採用</t>
    <phoneticPr fontId="2"/>
  </si>
  <si>
    <t>canary 専用テナント / 合成データのみ読める</t>
    <phoneticPr fontId="2"/>
  </si>
  <si>
    <t>実データに一切届かない（最小）</t>
    <phoneticPr fontId="2"/>
  </si>
  <si>
    <t>目標（認証基盤 Keycloak のロール設計へ引き渡し、M-Q-11-4）</t>
    <phoneticPr fontId="2"/>
  </si>
  <si>
    <t>方針: Phase 1 は A（共通 1 クライアント + 短 TTL + 自動ローテ）で開始し、B（canary 専用スコープ = 漏洩しても実データに届かない）を目標とする。B は認証基盤側で canary 専用テナント / スコープを用意する必要がある。機微データを扱う API から順に B へ移行する</t>
    <phoneticPr fontId="2"/>
  </si>
  <si>
    <t>9. 通知先 ARN の解決（2 段）</t>
    <phoneticPr fontId="2"/>
  </si>
  <si>
    <t>順</t>
    <phoneticPr fontId="2"/>
  </si>
  <si>
    <t>解決元</t>
    <phoneticPr fontId="2"/>
  </si>
  <si>
    <t>App Registry（S3 台帳）の alertRouting {p1,p2,p3}</t>
    <phoneticPr fontId="2"/>
  </si>
  <si>
    <t>registry/{appId}/{env}.json の GetObject で引く</t>
    <phoneticPr fontId="2"/>
  </si>
  <si>
    <t>環境変数 DEFAULT_P1/P2/P3_TOPIC_ARN</t>
    <phoneticPr fontId="2"/>
  </si>
  <si>
    <t>台帳に無ければ fallback</t>
    <phoneticPr fontId="2"/>
  </si>
  <si>
    <t>（未解決）</t>
    <phoneticPr fontId="2"/>
  </si>
  <si>
    <t>どちらも無ければ ARN 未解決エラー → throw（DLQ / retry で可視化）</t>
    <phoneticPr fontId="2"/>
  </si>
  <si>
    <t>Alert イベント自体には SNS ARN が含まれない。アプリ個別の通知先（alertRouting）と全社デフォルト（環境変数）の 2 段構え</t>
    <phoneticPr fontId="2"/>
  </si>
  <si>
    <t>通知メッセージ: Subject = どのアプリ・どの endpoint で何が起きたか / Body = negStatus・posStatus、reason、対応 SLA（P1 即時・P2 24h・P3 通常）/ MessageAttributes = severity・priority・appId・env（SNS フィルタ用）</t>
    <phoneticPr fontId="2"/>
  </si>
  <si>
    <t>10. 分類 → 通知先・SLA</t>
    <phoneticPr fontId="2"/>
  </si>
  <si>
    <t>routingKey</t>
    <phoneticPr fontId="2"/>
  </si>
  <si>
    <t>SLA</t>
    <phoneticPr fontId="2"/>
  </si>
  <si>
    <t>典型</t>
    <phoneticPr fontId="2"/>
  </si>
  <si>
    <t>p1</t>
    <phoneticPr fontId="2"/>
  </si>
  <si>
    <t>即時</t>
    <phoneticPr fontId="2"/>
  </si>
  <si>
    <t>認証 missing（Neg=2xx）</t>
    <phoneticPr fontId="2"/>
  </si>
  <si>
    <t>p2</t>
    <phoneticPr fontId="2"/>
  </si>
  <si>
    <t>Platform チーム</t>
    <phoneticPr fontId="2"/>
  </si>
  <si>
    <t>24h</t>
    <phoneticPr fontId="2"/>
  </si>
  <si>
    <t>token 失効 / endpoint 不在</t>
    <phoneticPr fontId="2"/>
  </si>
  <si>
    <t>p3</t>
    <phoneticPr fontId="2"/>
  </si>
  <si>
    <t>通常</t>
    <phoneticPr fontId="2"/>
  </si>
  <si>
    <t>Backend バグ（Pos=5xx）</t>
    <phoneticPr fontId="2"/>
  </si>
  <si>
    <t>正常</t>
    <phoneticPr fontId="2"/>
  </si>
  <si>
    <t>理由</t>
    <phoneticPr fontId="2"/>
  </si>
  <si>
    <t>監視対象への登録作業・登録用のコード</t>
    <phoneticPr fontId="2"/>
  </si>
  <si>
    <t>OpenAPI の中央へのアップロード</t>
    <phoneticPr fontId="2"/>
  </si>
  <si>
    <t>通知先（SNS ARN）の設定</t>
    <phoneticPr fontId="2"/>
  </si>
  <si>
    <t>監視の一時停止（enabled）</t>
    <phoneticPr fontId="2"/>
  </si>
  <si>
    <t>endpoint を追加したときの監視設定</t>
    <phoneticPr fontId="2"/>
  </si>
  <si>
    <t>動的発見が Pattern β に必須、定期実行は不要</t>
    <phoneticPr fontId="2"/>
  </si>
  <si>
    <t>「認証漏れ」を運用に即時可視化</t>
    <phoneticPr fontId="2"/>
  </si>
  <si>
    <t>台帳ストアは S3。DynamoDB は不使用</t>
    <phoneticPr fontId="2"/>
  </si>
  <si>
    <t>未決事項（M-Q-* / BD-Q-*）</t>
    <phoneticPr fontId="2"/>
  </si>
  <si>
    <t>本シートは未決事項のみを収める。決定事項（D-M-*）は「10_設計判断一覧」シート。未決は未決のまま記載し、確定した設計としては書かない。担当・期限は未定のため空欄（記入用）。</t>
    <phoneticPr fontId="2"/>
  </si>
  <si>
    <t>期限</t>
    <phoneticPr fontId="2"/>
  </si>
  <si>
    <t>BD-Q-01</t>
    <phoneticPr fontId="2"/>
  </si>
  <si>
    <t>M-Q-10-1</t>
    <phoneticPr fontId="2"/>
  </si>
  <si>
    <t>Central 障害時の Multilocation（DR region replica）採否</t>
    <phoneticPr fontId="2"/>
  </si>
  <si>
    <t>M-Q-10-2</t>
    <phoneticPr fontId="2"/>
  </si>
  <si>
    <t>full-run（SAM local / 実 AWS）の実施タイミング</t>
    <phoneticPr fontId="2"/>
  </si>
  <si>
    <t>M-Q-10-3</t>
    <phoneticPr fontId="2"/>
  </si>
  <si>
    <t>NW-2 例外（VPC 外 Lambda の Egress が NWFW 非経由）の明示的承認をセキュリティ / 境界管理の他組織から取得</t>
    <phoneticPr fontId="2"/>
  </si>
  <si>
    <t>M-Q-11-1</t>
    <phoneticPr fontId="2"/>
  </si>
  <si>
    <t>M-Q-11-2</t>
    <phoneticPr fontId="2"/>
  </si>
  <si>
    <t>SigV4 Positive（api-gw-iam）の実装（@aws-sdk/signature-v4 手動署名、Phase 2）</t>
    <phoneticPr fontId="2"/>
  </si>
  <si>
    <t>M-Q-11-3</t>
    <phoneticPr fontId="2"/>
  </si>
  <si>
    <t>Cookie モノリス Positive（Puppeteer ログイン）の実装</t>
    <phoneticPr fontId="2"/>
  </si>
  <si>
    <t>M-Q-11-4</t>
    <phoneticPr fontId="2"/>
  </si>
  <si>
    <t>Positive トークン スコープ B（canary 専用テナント / 合成データ）の設計（認証基盤 Keycloak へ引き渡し）。Phase 1 は A、機微データ API から B へ移行</t>
    <phoneticPr fontId="2"/>
  </si>
  <si>
    <t>M-Q-12-1</t>
    <phoneticPr fontId="2"/>
  </si>
  <si>
    <t>alertRouting を全アプリ個別指定か、env 既定 + 上書きか</t>
    <phoneticPr fontId="2"/>
  </si>
  <si>
    <t>M-Q-12-2</t>
    <phoneticPr fontId="2"/>
  </si>
  <si>
    <t>バケットのバックアップ方針（Versioning は有効。加えてレプリケーション要否）</t>
    <phoneticPr fontId="2"/>
  </si>
  <si>
    <t>M-Q-12-3</t>
    <phoneticPr fontId="2"/>
  </si>
  <si>
    <t>probe lib lib/registry.js の S3 対応改修（DynamoDB Scan → S3 List/Get。M-Q-17-4 発見 Lambda 実装と同時に）+ 手動更新との競合対策（ETag 条件付き PUT）</t>
    <phoneticPr fontId="2"/>
  </si>
  <si>
    <t>M-Q-13-1</t>
    <phoneticPr fontId="2"/>
  </si>
  <si>
    <t>OpenAPI を持たないレガシー API の扱い</t>
    <phoneticPr fontId="2"/>
  </si>
  <si>
    <t>M-Q-13-2</t>
    <phoneticPr fontId="2"/>
  </si>
  <si>
    <t>S3 Object Lock（改ざん防止）の要否</t>
    <phoneticPr fontId="2"/>
  </si>
  <si>
    <t>M-Q-13-3</t>
    <phoneticPr fontId="2"/>
  </si>
  <si>
    <t>M-Q-14-1</t>
    <phoneticPr fontId="2"/>
  </si>
  <si>
    <t>SigV4 Positive / Cookie Positive / cleanup 実行の実装（Phase 2）</t>
    <phoneticPr fontId="2"/>
  </si>
  <si>
    <t>M-Q-14-2</t>
    <phoneticPr fontId="2"/>
  </si>
  <si>
    <t>Multilocation（DR region replica）採否（Central 障害耐性）</t>
    <phoneticPr fontId="2"/>
  </si>
  <si>
    <t>M-Q-14-3</t>
    <phoneticPr fontId="2"/>
  </si>
  <si>
    <t>authPattern 追加時の probe.js 拡張方針</t>
    <phoneticPr fontId="2"/>
  </si>
  <si>
    <t>M-Q-15-1</t>
    <phoneticPr fontId="2"/>
  </si>
  <si>
    <t>SNS の先（PagerDuty / Slack / メール）の接続方式</t>
    <phoneticPr fontId="2"/>
  </si>
  <si>
    <t>M-Q-15-2</t>
    <phoneticPr fontId="2"/>
  </si>
  <si>
    <t>P1 の自動 deny / rollback 連動の要否</t>
    <phoneticPr fontId="2"/>
  </si>
  <si>
    <t>M-Q-15-3</t>
    <phoneticPr fontId="2"/>
  </si>
  <si>
    <t>M-Q-16-1</t>
    <phoneticPr fontId="2"/>
  </si>
  <si>
    <t>DiscoveryReadRole の配布対象範囲</t>
    <phoneticPr fontId="2"/>
  </si>
  <si>
    <t>M-Q-16-2</t>
    <phoneticPr fontId="2"/>
  </si>
  <si>
    <t>発見 Lambda の並列度・スロットリング（アカウント数増加時の API コール制御）</t>
    <phoneticPr fontId="2"/>
  </si>
  <si>
    <t>M-Q-17-1</t>
    <phoneticPr fontId="2"/>
  </si>
  <si>
    <t>M-Q-17-2</t>
    <phoneticPr fontId="2"/>
  </si>
  <si>
    <t>対象アカウントの範囲指定（Organizations 全体 / 特定 OU / 明示リスト）</t>
    <phoneticPr fontId="2"/>
  </si>
  <si>
    <t>M-Q-17-3</t>
    <phoneticPr fontId="2"/>
  </si>
  <si>
    <t>M-Q-17-4</t>
    <phoneticPr fontId="2"/>
  </si>
  <si>
    <t>M-Q-17-5</t>
    <phoneticPr fontId="2"/>
  </si>
  <si>
    <t>消滅検知（enabled=false 化）とアプリ廃止手続きの運用整合</t>
    <phoneticPr fontId="2"/>
  </si>
  <si>
    <t>M-Q-17-6</t>
    <phoneticPr fontId="2"/>
  </si>
  <si>
    <t>M-Q-18-1</t>
    <phoneticPr fontId="2"/>
  </si>
  <si>
    <t>M-Q-18-3</t>
    <phoneticPr fontId="2"/>
  </si>
  <si>
    <t>結論</t>
    <phoneticPr fontId="2"/>
  </si>
  <si>
    <t>M-Q-18-2</t>
    <phoneticPr fontId="2"/>
  </si>
  <si>
    <t>解決: 中央巡回（pull、1h）に統一（ADR-061）</t>
    <phoneticPr fontId="2"/>
  </si>
  <si>
    <t>M-Q-18-4</t>
    <phoneticPr fontId="2"/>
  </si>
  <si>
    <t>注記: 文書情報の作成者・承認者、改訂履歴の担当、および本シートの担当・期限は未定のため空欄とする（記入用）。</t>
    <phoneticPr fontId="2"/>
  </si>
  <si>
    <t>ADR</t>
    <phoneticPr fontId="2"/>
  </si>
  <si>
    <t>タイトル</t>
    <phoneticPr fontId="2"/>
  </si>
  <si>
    <t>本書での扱い</t>
    <phoneticPr fontId="2"/>
  </si>
  <si>
    <t>参照のみ（番号参照）</t>
    <phoneticPr fontId="2"/>
  </si>
  <si>
    <t>Central Auth Check Canary Architecture（Pattern β）</t>
    <phoneticPr fontId="2"/>
  </si>
  <si>
    <t>ADR-039</t>
    <phoneticPr fontId="2"/>
  </si>
  <si>
    <t>Centralized Network Account Edge Layer（インターネット境界 CloudFront + WAF）</t>
    <phoneticPr fontId="2"/>
  </si>
  <si>
    <t>本文中で境界層の根拠として言及</t>
    <phoneticPr fontId="2"/>
  </si>
  <si>
    <t>第 10 章 外形監視 概要</t>
    <phoneticPr fontId="2"/>
  </si>
  <si>
    <t>第 12 章 App Registry 設計</t>
    <phoneticPr fontId="2"/>
  </si>
  <si>
    <t>第 13 章 OpenAPI Registry 設計</t>
    <phoneticPr fontId="2"/>
  </si>
  <si>
    <t>第 15 章 Alert Routing 設計</t>
    <phoneticPr fontId="2"/>
  </si>
  <si>
    <t>第 16 章 クロスアカウント IAM 設計</t>
    <phoneticPr fontId="2"/>
  </si>
  <si>
    <t>第 17 章 デプロイ連携・登録</t>
    <phoneticPr fontId="2"/>
  </si>
  <si>
    <t>第 18 章 スキャンモードとスケジューリング</t>
    <phoneticPr fontId="2"/>
  </si>
  <si>
    <t>対象外</t>
    <phoneticPr fontId="2"/>
  </si>
  <si>
    <t>要件定義であり基本設計の写しの対象外</t>
    <phoneticPr fontId="2"/>
  </si>
  <si>
    <t>検証の経過記録であり現行仕様ではない</t>
    <phoneticPr fontId="2"/>
  </si>
  <si>
    <t>実装コード本体</t>
    <phoneticPr fontId="2"/>
  </si>
  <si>
    <t>実装物</t>
    <phoneticPr fontId="2"/>
  </si>
  <si>
    <t>central-probe-lib</t>
    <phoneticPr fontId="2"/>
  </si>
  <si>
    <t>巡回発見（発見 Lambda）</t>
    <phoneticPr fontId="2"/>
  </si>
  <si>
    <t>AppId / Env / CostCenter / Owner を入力して払い出す。この製品には「認証が必ず有効な API」「Origin Protection」「必須タグ」があらかじめ組み込まれている。</t>
  </si>
  <si>
    <t>ルール: 本機構は「記述のない endpoint はすべて認証必須」と判定する（default-deny）。したがって、認証なしで公開する endpoint には x-synthetics-skip-auth-check: true を必ず記述する。記述漏れの場合、正しく公開している endpoint でも「認証漏れ」として P1（Security 即時）のアラートが発報される。</t>
  </si>
  <si>
    <t>・「記述がない = 認証必須」とする理由: 「うっかり公開した endpoint」を必ず検知できる側に倒しているため。</t>
  </si>
  <si>
    <t>・公開印は、アプリチームが必ず記述する必要がある唯一の監視用アノテーション（他は任意）。</t>
  </si>
  <si>
    <t>・公開印を付した endpoint も、公開の妥当性は別途セキュリティレビューの対象とする（棚卸しは中央が実施）。</t>
  </si>
  <si>
    <t>s3.ap-northeast-1.amazonaws.com</t>
  </si>
  <si>
    <t/>
  </si>
  <si>
    <t>◎</t>
  </si>
  <si>
    <t>0.4</t>
    <phoneticPr fontId="2"/>
  </si>
  <si>
    <t>2026-08-19</t>
    <phoneticPr fontId="2"/>
  </si>
  <si>
    <t>外部調整</t>
  </si>
  <si>
    <t>基盤IaC</t>
  </si>
  <si>
    <t>0.5</t>
    <phoneticPr fontId="2"/>
  </si>
  <si>
    <t>基盤IaC</t>
    <phoneticPr fontId="2"/>
  </si>
  <si>
    <t>A5-i</t>
  </si>
  <si>
    <t>S0-d</t>
  </si>
  <si>
    <t>残作業 WBS・工数見積 v3</t>
    <phoneticPr fontId="2"/>
  </si>
  <si>
    <t>Phase 3 実装〜リリースの残作業。AWS リソース毎に設計書行、Lambda は処理毎に設計・実装・単体テストの 3 行、結合テストはケース単位。全 125 行に区分・内容・人時・人日を持つ。→ 14_WBS / 15_WBS集計 シート</t>
    <phoneticPr fontId="2"/>
  </si>
  <si>
    <t>wbs-phase3-4-estimate.md</t>
    <phoneticPr fontId="2"/>
  </si>
  <si>
    <t>doc/api-platform/basic-design/research/wbs-phase3-4-estimate.md</t>
    <phoneticPr fontId="2"/>
  </si>
  <si>
    <t>0.6</t>
    <phoneticPr fontId="2"/>
  </si>
  <si>
    <t>「14_WBS」を v3 に全面改訂（明細 125 行: W1 6 / W2-A 25 / W2-B 10 / W2-C 65 / W3 9 / W4〜W7 10。設計・実装・単体テストを ID 規約 -d/-i/-t で分離）。「15_WBS集計」を追加</t>
    <phoneticPr fontId="2"/>
  </si>
  <si>
    <t>0.7</t>
    <phoneticPr fontId="2"/>
  </si>
  <si>
    <t xml:space="preserve"> </t>
    <phoneticPr fontId="2"/>
  </si>
  <si>
    <t>同 実装</t>
  </si>
  <si>
    <t>0.8</t>
    <phoneticPr fontId="2"/>
  </si>
  <si>
    <t>WBS v4 差分を反映: 手動変更検知（deploymentId 併読）の C12-d/i/t を新設（3 行・+9 人時）、W1-6 を「無ければ実装必須」に格上げ、S0-d を権限 6 アクション化、W5-1・W4-1 に「変更は必ず git 経由」原則を明記。明細 128 行・総合計 486.5 人時</t>
    <phoneticPr fontId="2"/>
  </si>
  <si>
    <t>現行仕様のみを断定形で記述する。設計に至った経緯は本文に書かず ADR-061 / ADR-059 を参照する。参照元資料のタイトル・所在は「13_出典一覧」シートにまとめる。</t>
    <phoneticPr fontId="2"/>
  </si>
  <si>
    <t>0.2</t>
    <phoneticPr fontId="2"/>
  </si>
  <si>
    <t>2026-08-18</t>
    <phoneticPr fontId="2"/>
  </si>
  <si>
    <t>レビュー指摘を反映（定めることの重複解消、D-M-14-4「検査 用 VPC」への修正、D-M-14-5 の判断追記、ListAccounts の未決制約注記、真偽値表記の統一、Runtime 表の 3 Lambda 化 ほか）。詳細通信フロー（W / P / N）、用語「STS / AssumeRole」、図14 発報フロー（2 系統）を追加</t>
    <phoneticPr fontId="2"/>
  </si>
  <si>
    <t>0.3</t>
    <phoneticPr fontId="2"/>
  </si>
  <si>
    <t>「14_WBS_Phase3-4」シートを追加（Phase 3 実装〜リリースの残作業 WBS・工数見積 32 タスク、集計・リスク・スコープ外）</t>
    <phoneticPr fontId="2"/>
  </si>
  <si>
    <t>「14_WBS」を追加（明細 75 行・オートフィルタ・区分の入力規則）。集計はピボットで行うため小計行と集計シートは持たない</t>
    <phoneticPr fontId="2"/>
  </si>
  <si>
    <t>WBS 内容列に用語補足を追記（15 行）・区分「改修」の定義を明記（15_WBS集計 前提 5）・W1 外部調整の記述を自立説明化（タスク名を平易化、内容を【これは何か】【なぜ調整が必要か】【やること】の 3 部構成に）</t>
    <phoneticPr fontId="2"/>
  </si>
  <si>
    <t>アプリチームが実装する認証の実装漏れを中央で継続検知する仕組み（＝認証実装確認処理）の基本設計。
ガイドラインが「アプリチームが守るルール」を定めるのに対し、本書は共通基盤チームが運用する中央機構の設計を定める。</t>
    <phoneticPr fontId="2"/>
  </si>
  <si>
    <t>静的解析や Config Rules は設定・コードの検査であり、実際に稼働中の API が未認証リクエストを弾いているかは保証できない。
実トラフィックで確認する外形監視が最後の砦になる。</t>
    <phoneticPr fontId="2"/>
  </si>
  <si>
    <t>静的解析をすり抜けた認証漏れを、稼働後に 検査 → 分類 → 通知 → 是正で捕捉する。</t>
    <phoneticPr fontId="2"/>
  </si>
  <si>
    <t>検査 範囲</t>
    <phoneticPr fontId="2"/>
  </si>
  <si>
    <t>検査 経路</t>
    <phoneticPr fontId="2"/>
  </si>
  <si>
    <t>STS / AssumeRole</t>
    <phoneticPr fontId="2"/>
  </si>
  <si>
    <t>AWS Security Token Service =「一時的な認証情報の発行所」。AssumeRole で他アカウントのロール（例: DiscoveryReadRole）を引き受け、期限付き・最小権限の一時キーを得る。恒久キーを配らずにクロスアカウント読み取りを実現する標準手段。</t>
    <phoneticPr fontId="2"/>
  </si>
  <si>
    <t>区分 A = 既存の設計図を描き直すもの。区分 B = 本書の表・記述を図化するもの（内容の追加はしない）。</t>
    <phoneticPr fontId="2"/>
  </si>
  <si>
    <t>認証実装確認処理を主体としたシーケンス図。①台帳 scan ②spec fetch ③extractEndpoints ④未認証検査 ⑤正規検査 ⑥分類 ⑦Alert Router 起動 ⑧putMetrics ⑨AuthCheckCritical。アプリループと endpoint ループの入れ子を明示</t>
    <phoneticPr fontId="2"/>
  </si>
  <si>
    <t>図7 実行モードの時間軸と 検査 範囲</t>
    <phoneticPr fontId="2"/>
  </si>
  <si>
    <t>認証基盤の canary 専用サービスアカウント（client_id / secret）→ Secrets Manager（共通基盤）→ 認証実装チェック Lambda ロールのみ取得可 → /token（client_credentials）→ 短命トークン（5〜15 分）→ 正規検査 → 破棄。スコープ A 採用・B 目標を注記</t>
    <phoneticPr fontId="2"/>
  </si>
  <si>
    <t>図14 発報フロー（2 系統）</t>
    <phoneticPr fontId="2"/>
  </si>
  <si>
    <t>即時系: 認証実装チェック Lambda → Alert Router（分類 済みイベント 起動）→ S3 registry/ で alertRouting 解決 → SNS P1/P2/P3 → 各チーム配信。保険系: 認証実装チェック Lambda → CloudWatch PutMetricData → AuthCheckCritical &gt; 0 アラーム → SNS（P1・宛先固定）。即時系が落ちても検知を失わない構図と、すべて共通基盤アカウント内で完結し境界・App アカウントが関与しないことを明示</t>
    <phoneticPr fontId="2"/>
  </si>
  <si>
    <t>検査（In 境界経由）</t>
    <phoneticPr fontId="2"/>
  </si>
  <si>
    <t>検査 / 分類 lib 共通</t>
    <phoneticPr fontId="2"/>
  </si>
  <si>
    <t>未認証/正規検査（実 UX と同じ境界経由）</t>
    <phoneticPr fontId="2"/>
  </si>
  <si>
    <t>インターネット経路には接続しない（非経由。NW-2 の明示的例外、M-Q-10-3）</t>
    <phoneticPr fontId="2"/>
  </si>
  <si>
    <t>検査 → アプリ（Negative / Positive）</t>
    <phoneticPr fontId="2"/>
  </si>
  <si>
    <t>検査 → 認証基盤 /token（Positive 用短命トークン）</t>
    <phoneticPr fontId="2"/>
  </si>
  <si>
    <t>S3（Monitoring Registry）/ Secrets / CloudWatch / SNS / Lambda 起動</t>
    <phoneticPr fontId="2"/>
  </si>
  <si>
    <t>5. 実装状態（「検証済み」と「未実装」を混同しないための一覧）。本設計は机上でなくローカル環境で実際に走らせて検証している。</t>
    <phoneticPr fontId="2"/>
  </si>
  <si>
    <t>認証実装確認処理 本体（OpenAPI 動的発見、Hybrid 検証、4×4 分類）。node --test で 27 PASS（分類 16 + 検査 統合 4 + extractEndpoints 7）</t>
    <phoneticPr fontId="2"/>
  </si>
  <si>
    <t>4×4 分類 → SNS routing。LocalStack 3.8.1 で台帳から alertRouting.p1 を解決し SNS Publish まで検証済み</t>
    <phoneticPr fontId="2"/>
  </si>
  <si>
    <t>full orchestration E2E（認証実装チェック Lambda E2E / 正規検査 / metrics 着地）</t>
    <phoneticPr fontId="2"/>
  </si>
  <si>
    <t>ロジックは検証済み。残るは AWS 環境依存の full-run。要 PoC 項目あり</t>
    <phoneticPr fontId="2"/>
  </si>
  <si>
    <t>静的解析ルール（cfn-guard 3 + Semgrep 3）</t>
    <phoneticPr fontId="2"/>
  </si>
  <si>
    <t>フィクスチャ検証済み</t>
    <phoneticPr fontId="2"/>
  </si>
  <si>
    <t>ローカル検証で実バグ 2 件を修正。静的解析自体は本機構のスコープ外（別領域）だが、本設計のローカル検証範囲に含む</t>
    <phoneticPr fontId="2"/>
  </si>
  <si>
    <t>4×4 分類に基づく SNS Publish</t>
    <phoneticPr fontId="2"/>
  </si>
  <si>
    <t>描くべき内容: ①台帳 scan ②spec fetch ③extractEndpoints ④未認証検査 ⑤正規検査 ⑥分類 ⑦Alert Router 起動 ⑧putMetrics ⑨AuthCheckCritical。アプリループと endpoint ループの入れ子を明示</t>
    <phoneticPr fontId="2"/>
  </si>
  <si>
    <t>（各 endpoint のループ）未認証検査（認証ヘッダなし）</t>
    <phoneticPr fontId="2"/>
  </si>
  <si>
    <t>正規検査（Bearer 等、対象時のみ）</t>
    <phoneticPr fontId="2"/>
  </si>
  <si>
    <t>分類（4×4 真偽値表）</t>
    <phoneticPr fontId="2"/>
  </si>
  <si>
    <t>severity != OK のとき 起動AlertRouter</t>
    <phoneticPr fontId="2"/>
  </si>
  <si>
    <t>実装対応: index.js（ハンドラ）+ lib/registry.js（①）+ lib/openapi.js（②③）+ lib/probe.js（④⑤）+ lib/classify.js（⑥）+ lib/emit.js（⑦⑧）</t>
    <phoneticPr fontId="2"/>
  </si>
  <si>
    <t>検査</t>
    <phoneticPr fontId="2"/>
  </si>
  <si>
    <t>注記: 静的解析をすり抜けた認証漏れを、稼働後に ④〜⑧ で捕捉するのが本機構の存在意義。①〜③はライフサイクル、④〜⑤の 1 実行内の詳細は図5 の検査シーケンスに示す。</t>
    <phoneticPr fontId="2"/>
  </si>
  <si>
    <t>具体的ユースケース（OpenAPI → 検査 → 分類 → alert）</t>
    <phoneticPr fontId="2"/>
  </si>
  <si>
    <t>詳細通信フロー（構成図作成用：アカウント × リソース × 経由エンドポイント）</t>
    <phoneticPr fontId="2"/>
  </si>
  <si>
    <t>通信経路 A〜D を、構成図に矢印を引ける粒度（ステップごとの発信元 / 宛先 / 経由エンドポイント / 認証）まで分解する。リージョンは例として ap-northeast-1。VPC 外 Lambda の通信は AWS API 宛 = AWS 網内、インターネット宛（検査 / token）= Lambda マネージド egress から直接（アウトバウンド境界は非経由）。</t>
    <phoneticPr fontId="2"/>
  </si>
  <si>
    <t>通信</t>
    <phoneticPr fontId="2"/>
  </si>
  <si>
    <t>発信元（アカウント / リソース）</t>
    <phoneticPr fontId="2"/>
  </si>
  <si>
    <t>宛先（アカウント / リソース）</t>
    <phoneticPr fontId="2"/>
  </si>
  <si>
    <t>経由・エンドポイント</t>
    <phoneticPr fontId="2"/>
  </si>
  <si>
    <t>プロトコル・認証</t>
    <phoneticPr fontId="2"/>
  </si>
  <si>
    <t>W1</t>
    <phoneticPr fontId="2"/>
  </si>
  <si>
    <t>W2</t>
    <phoneticPr fontId="2"/>
  </si>
  <si>
    <t>定期起動</t>
    <phoneticPr fontId="2"/>
  </si>
  <si>
    <t>共通基盤 / EventBridge Scheduler</t>
    <phoneticPr fontId="2"/>
  </si>
  <si>
    <t>共通基盤 / 発見 Lambda</t>
    <phoneticPr fontId="2"/>
  </si>
  <si>
    <t>AWS サービス間（Scheduler → lambda.ap-northeast-1.amazonaws.com）</t>
    <phoneticPr fontId="2"/>
  </si>
  <si>
    <t>Scheduler 実行ロールで 起動</t>
    <phoneticPr fontId="2"/>
  </si>
  <si>
    <t>W3</t>
    <phoneticPr fontId="2"/>
  </si>
  <si>
    <t>対象アカウント列挙</t>
    <phoneticPr fontId="2"/>
  </si>
  <si>
    <t>方式未確定（M-Q-17-2）</t>
    <phoneticPr fontId="2"/>
  </si>
  <si>
    <t>※ organizations:ListAccounts は管理アカウント（or delegated admin）でしか呼べない → 案 a: 管理アカウントの列挙用ロールへ AssumeRole（organizations.us-east-1.amazonaws.com、グローバル）/ 案 b: 静的リスト（SSM / 設定ファイル）</t>
    <phoneticPr fontId="2"/>
  </si>
  <si>
    <t>443、IAM</t>
    <phoneticPr fontId="2"/>
  </si>
  <si>
    <t>W4</t>
    <phoneticPr fontId="2"/>
  </si>
  <si>
    <t>AssumeRole</t>
    <phoneticPr fontId="2"/>
  </si>
  <si>
    <t>共通基盤 / 発見 Lambda（DiscoveryLambdaRole）</t>
    <phoneticPr fontId="2"/>
  </si>
  <si>
    <t>App / DiscoveryReadRole</t>
    <phoneticPr fontId="2"/>
  </si>
  <si>
    <t>sts.ap-northeast-1.amazonaws.com（リージョナル STS）</t>
    <phoneticPr fontId="2"/>
  </si>
  <si>
    <t>443、sts:AssumeRole + ExternalId</t>
    <phoneticPr fontId="2"/>
  </si>
  <si>
    <t>W5</t>
    <phoneticPr fontId="2"/>
  </si>
  <si>
    <t>共通基盤 / 発見 Lambda（DiscoveryReadRole の一時クレデンシャル）</t>
    <phoneticPr fontId="2"/>
  </si>
  <si>
    <t>W6</t>
    <phoneticPr fontId="2"/>
  </si>
  <si>
    <t>台帳読取</t>
    <phoneticPr fontId="2"/>
  </si>
  <si>
    <t>共通基盤 / Monitoring Registry S3 registry/</t>
    <phoneticPr fontId="2"/>
  </si>
  <si>
    <t>s3.ap-northeast-1.amazonaws.com</t>
    <phoneticPr fontId="2"/>
  </si>
  <si>
    <t>W7</t>
    <phoneticPr fontId="2"/>
  </si>
  <si>
    <t>W8</t>
    <phoneticPr fontId="2"/>
  </si>
  <si>
    <t>台帳更新 + spec 配置</t>
    <phoneticPr fontId="2"/>
  </si>
  <si>
    <t>共通基盤 / Monitoring Registry S3（registry/ + openapi/）</t>
    <phoneticPr fontId="2"/>
  </si>
  <si>
    <t>443、PutObject</t>
    <phoneticPr fontId="2"/>
  </si>
  <si>
    <t>W9</t>
    <phoneticPr fontId="2"/>
  </si>
  <si>
    <t>共通基盤 / 認証実装チェック Lambda</t>
    <phoneticPr fontId="2"/>
  </si>
  <si>
    <t>lambda.ap-northeast-1.amazonaws.com</t>
    <phoneticPr fontId="2"/>
  </si>
  <si>
    <t>443、lambda:InvokeFunction</t>
    <phoneticPr fontId="2"/>
  </si>
  <si>
    <t>台帳・spec 取得</t>
    <phoneticPr fontId="2"/>
  </si>
  <si>
    <t>共通基盤 / Monitoring Registry S3</t>
    <phoneticPr fontId="2"/>
  </si>
  <si>
    <t>クライアント資格情報取得</t>
    <phoneticPr fontId="2"/>
  </si>
  <si>
    <t>共通基盤 / Secrets Manager（canary-central-readonly）</t>
    <phoneticPr fontId="2"/>
  </si>
  <si>
    <t>secretsmanager.ap-northeast-1.amazonaws.com</t>
    <phoneticPr fontId="2"/>
  </si>
  <si>
    <t>443、IAM（+ KMS）</t>
    <phoneticPr fontId="2"/>
  </si>
  <si>
    <t>短命トークン取得（Positive 用）</t>
    <phoneticPr fontId="2"/>
  </si>
  <si>
    <t>Broker（認証基盤）/ Keycloak 公開 /token</t>
    <phoneticPr fontId="2"/>
  </si>
  <si>
    <t>Lambda マネージド egress → インターネット → 認証基盤の公開エンドポイント（認証基盤側の境界・経路はそちらの設計に従う）</t>
    <phoneticPr fontId="2"/>
  </si>
  <si>
    <t>443、OAuth client_credentials</t>
    <phoneticPr fontId="2"/>
  </si>
  <si>
    <t>P4</t>
    <phoneticPr fontId="2"/>
  </si>
  <si>
    <t>Negative / 正規検査</t>
    <phoneticPr fontId="2"/>
  </si>
  <si>
    <t>App / API GW・ALB（ただし直接ではない）</t>
    <phoneticPr fontId="2"/>
  </si>
  <si>
    <t>Lambda マネージド egress → インターネット → ネットワーク監査 / アプリごとの CloudFront + WAF → Origin Protection（X-Origin-Verify + prefix list）→ App / API GW（execute-api リージョナル）or ALB</t>
    <phoneticPr fontId="2"/>
  </si>
  <si>
    <t>443。Negative = 認証ヘッダなし / Positive = Bearer（P3 のトークン）</t>
    <phoneticPr fontId="2"/>
  </si>
  <si>
    <t>P5</t>
    <phoneticPr fontId="2"/>
  </si>
  <si>
    <t>メトリクス発行</t>
    <phoneticPr fontId="2"/>
  </si>
  <si>
    <t>共通基盤 / CloudWatch Metrics（APIPlatform/AuthCheck）</t>
    <phoneticPr fontId="2"/>
  </si>
  <si>
    <t>monitoring.ap-northeast-1.amazonaws.com</t>
    <phoneticPr fontId="2"/>
  </si>
  <si>
    <t>443、PutMetricData</t>
    <phoneticPr fontId="2"/>
  </si>
  <si>
    <t>P6</t>
    <phoneticPr fontId="2"/>
  </si>
  <si>
    <t>検知イベント送付（severity ≠ OK 時）</t>
    <phoneticPr fontId="2"/>
  </si>
  <si>
    <t>共通基盤 / Alert Router Lambda</t>
    <phoneticPr fontId="2"/>
  </si>
  <si>
    <t>構成図のポイント: 検査（P4）だけがインバウンド境界（ネットワーク監査アカウントの CloudFront + WAF）を通る。P4 の最終宛先は App アカウントだが、矢印は必ず CloudFront を経由させて描く（直接 App へ引かない）。P3 / P4 はアウトバウンド境界（NWFW）を通らない（明示的例外）。</t>
    <phoneticPr fontId="2"/>
  </si>
  <si>
    <t>F3. 発報（アラート）フロー — 2 系統</t>
    <phoneticPr fontId="2"/>
  </si>
  <si>
    <t>【図14 発報フロー（2 系統） 挿入位置】</t>
    <phoneticPr fontId="2"/>
  </si>
  <si>
    <t>描くべき内容: 即時系（N1 分類 済みイベント 起動 → N2 alertRouting 解決（S3 registry/ Get）→ N3 SNS P1/P2/P3 Publish → N4 各チーム配信）と、保険系（N5 PutMetricData → CloudWatch AuthCheckCritical → N6 アラーム（&gt;0）→ SNS P1）の 2 系統を両方描く</t>
    <phoneticPr fontId="2"/>
  </si>
  <si>
    <t>（この枠に図を貼り込む。即時系が落ちても検知を失わない構図と、すべて共通基盤アカウント内で完結し境界・App アカウントが関与しないことを明示する）</t>
    <phoneticPr fontId="2"/>
  </si>
  <si>
    <t>発信元</t>
    <phoneticPr fontId="2"/>
  </si>
  <si>
    <t>宛先</t>
    <phoneticPr fontId="2"/>
  </si>
  <si>
    <t>N1</t>
    <phoneticPr fontId="2"/>
  </si>
  <si>
    <t>検知イベント（即時系）</t>
    <phoneticPr fontId="2"/>
  </si>
  <si>
    <t>共通基盤 / Alert Router</t>
    <phoneticPr fontId="2"/>
  </si>
  <si>
    <t>4×4 分類済み（Alert イベント形式）</t>
    <phoneticPr fontId="2"/>
  </si>
  <si>
    <t>N2</t>
    <phoneticPr fontId="2"/>
  </si>
  <si>
    <t>通知先解決</t>
    <phoneticPr fontId="2"/>
  </si>
  <si>
    <t>共通基盤 / S3 registry/{appId}/{env}.json</t>
    <phoneticPr fontId="2"/>
  </si>
  <si>
    <t>alertRouting → 無ければ環境変数デフォルト</t>
    <phoneticPr fontId="2"/>
  </si>
  <si>
    <t>N3</t>
    <phoneticPr fontId="2"/>
  </si>
  <si>
    <t>通知発行</t>
    <phoneticPr fontId="2"/>
  </si>
  <si>
    <t>共通基盤 / SNS トピック P1 / P2 / P3</t>
    <phoneticPr fontId="2"/>
  </si>
  <si>
    <t>sns.ap-northeast-1.amazonaws.com</t>
    <phoneticPr fontId="2"/>
  </si>
  <si>
    <t>severity で振り分け（P1 = Security 即時 / P2 = Platform 24h / P3 = App）</t>
    <phoneticPr fontId="2"/>
  </si>
  <si>
    <t>N4</t>
    <phoneticPr fontId="2"/>
  </si>
  <si>
    <t>配信</t>
    <phoneticPr fontId="2"/>
  </si>
  <si>
    <t>共通基盤 / SNS</t>
    <phoneticPr fontId="2"/>
  </si>
  <si>
    <t>各チーム（メール / AWS Chatbot → Slack 等）</t>
    <phoneticPr fontId="2"/>
  </si>
  <si>
    <t>SNS サブスクリプション</t>
    <phoneticPr fontId="2"/>
  </si>
  <si>
    <t>接続方式は M-Q-15-1</t>
    <phoneticPr fontId="2"/>
  </si>
  <si>
    <t>N5</t>
    <phoneticPr fontId="2"/>
  </si>
  <si>
    <t>メトリクス（保険系）</t>
    <phoneticPr fontId="2"/>
  </si>
  <si>
    <t>共通基盤 / CloudWatch</t>
    <phoneticPr fontId="2"/>
  </si>
  <si>
    <t>P5 と同一</t>
    <phoneticPr fontId="2"/>
  </si>
  <si>
    <t>N6</t>
    <phoneticPr fontId="2"/>
  </si>
  <si>
    <t>アラーム発報</t>
    <phoneticPr fontId="2"/>
  </si>
  <si>
    <t>共通基盤 / CloudWatch アラーム（AuthCheckCritical &gt; 0）</t>
    <phoneticPr fontId="2"/>
  </si>
  <si>
    <t>共通基盤 / SNS（P1）</t>
    <phoneticPr fontId="2"/>
  </si>
  <si>
    <t>CloudWatch → SNS（サービス間）</t>
    <phoneticPr fontId="2"/>
  </si>
  <si>
    <t>即時系（N1〜N4）が落ちても検知を失わない保険</t>
    <phoneticPr fontId="2"/>
  </si>
  <si>
    <t>構成図のポイント: 発報は即時系（N1〜N4: Alert Router 経由・アプリ別の宛先解決あり）と保険系（N5〜N6: メトリクス → アラーム・宛先固定）の 2 系統を両方描く。すべて共通基盤アカウント内で完結し、境界・App アカウントは関与しない。</t>
    <phoneticPr fontId="2"/>
  </si>
  <si>
    <t>【図7 実行モードの時間軸と 検査 範囲 挿入位置】</t>
    <phoneticPr fontId="2"/>
  </si>
  <si>
    <t>認証漏れの典型（AuthorizationType=NONE / middleware 削除）は OpenAPI に現れないことが多い。だから「変更されたアプリは全 endpoint を 検査」する。全アプリ全量よりは軽く（変更アプリのみ）、endpoint 差分より安全</t>
    <phoneticPr fontId="2"/>
  </si>
  <si>
    <t>発見 Lambda から 起動（変化アプリのみ）。payload { mode:'delta', appId, env }</t>
    <phoneticPr fontId="2"/>
  </si>
  <si>
    <t>検査 ロジック</t>
    <phoneticPr fontId="2"/>
  </si>
  <si>
    <t>実行方式</t>
    <phoneticPr fontId="2"/>
  </si>
  <si>
    <t>全 endpoint へのスケジュール定期 検査</t>
    <phoneticPr fontId="2"/>
  </si>
  <si>
    <t>分類 / alert</t>
    <phoneticPr fontId="2"/>
  </si>
  <si>
    <t>8. 運用設計（メタ監視・エラー処理・スケール上限）</t>
    <phoneticPr fontId="2"/>
  </si>
  <si>
    <t>監視の空白 = 認証漏れの検知空白。監視系自身の停止・失敗を、被監視系（AuthCheck 系メトリクス）とは別系統で検知する。通知先はいずれも P2（Platform）とする（監視系の障害はアプリの障害ではないため）。</t>
    <phoneticPr fontId="2"/>
  </si>
  <si>
    <t>8.1 メタ監視 —「巡回が止まっていること」を検知する</t>
    <phoneticPr fontId="2"/>
  </si>
  <si>
    <t>検知対象</t>
    <phoneticPr fontId="2"/>
  </si>
  <si>
    <t>アラーム条件（初期値）</t>
    <phoneticPr fontId="2"/>
  </si>
  <si>
    <t>MM-1</t>
    <phoneticPr fontId="2"/>
  </si>
  <si>
    <t>巡回の停止（最重要）</t>
    <phoneticPr fontId="2"/>
  </si>
  <si>
    <t>発見 Lambda が巡回成功時に DiscoveryLastSuccess メトリクス（Count=1）を 発行</t>
    <phoneticPr fontId="2"/>
  </si>
  <si>
    <t>2 時間欠損（= 巡回 2 回分未実行）で発報</t>
    <phoneticPr fontId="2"/>
  </si>
  <si>
    <t>MM-2</t>
    <phoneticPr fontId="2"/>
  </si>
  <si>
    <t>発見 Lambda の失敗</t>
    <phoneticPr fontId="2"/>
  </si>
  <si>
    <t>Lambda 標準 Errors / Scheduler の起動失敗</t>
    <phoneticPr fontId="2"/>
  </si>
  <si>
    <t>Errors ≥ 1</t>
    <phoneticPr fontId="2"/>
  </si>
  <si>
    <t>MM-3</t>
    <phoneticPr fontId="2"/>
  </si>
  <si>
    <t>一部アカウントの巡回失敗</t>
    <phoneticPr fontId="2"/>
  </si>
  <si>
    <t>DiscoveryAccountErrors メトリクス（失敗アカウント数）</t>
    <phoneticPr fontId="2"/>
  </si>
  <si>
    <t>≥ 1（8.2 の部分失敗と連動）</t>
    <phoneticPr fontId="2"/>
  </si>
  <si>
    <t>MM-4</t>
    <phoneticPr fontId="2"/>
  </si>
  <si>
    <t>検査 Lambda の失敗</t>
    <phoneticPr fontId="2"/>
  </si>
  <si>
    <t>Errors ≥ 1 or DLQ 滞留 ≥ 1</t>
    <phoneticPr fontId="2"/>
  </si>
  <si>
    <t>MM-5</t>
    <phoneticPr fontId="2"/>
  </si>
  <si>
    <t>Alert Router の失敗</t>
    <phoneticPr fontId="2"/>
  </si>
  <si>
    <t>throw → リトライ / DLQ</t>
    <phoneticPr fontId="2"/>
  </si>
  <si>
    <t>DLQ 滞留 ≥ 1</t>
    <phoneticPr fontId="2"/>
  </si>
  <si>
    <t>保険系アラーム（AuthCheckCritical &gt; 0）は「検知した結果の発報」、本節は「検知できていない状態の発報」で役割が異なる。両方そろって初めて検知網が閉じる。</t>
    <phoneticPr fontId="2"/>
  </si>
  <si>
    <t>8.2 エラー処理・リトライ・冪等性</t>
    <phoneticPr fontId="2"/>
  </si>
  <si>
    <t>箇所</t>
    <phoneticPr fontId="2"/>
  </si>
  <si>
    <t>方針</t>
    <phoneticPr fontId="2"/>
  </si>
  <si>
    <t>発見 Lambda の巡回</t>
    <phoneticPr fontId="2"/>
  </si>
  <si>
    <t>アカウント単位で try-catch し、1 アカウントの失敗（AssumeRole 不可・スロットリング等）で全体を止めない。失敗数を DiscoveryAccountErrors で 発行（MM-3）し、次回巡回で自然リトライ</t>
    <phoneticPr fontId="2"/>
  </si>
  <si>
    <t>発見 → 検査の 起動</t>
    <phoneticPr fontId="2"/>
  </si>
  <si>
    <t>非同期（Event 起動）。Lambda 標準の自動リトライ（2 回）+ DLQ（SQS）を設定（MM-4）。同期にしないのは、1 アプリの検査失敗で巡回全体を巻き込まないため</t>
    <phoneticPr fontId="2"/>
  </si>
  <si>
    <t>検査 Lambda 内の endpoint 失敗</t>
    <phoneticPr fontId="2"/>
  </si>
  <si>
    <t>endpoint 単位で継続（1 endpoint のタイムアウトで残りを打ち切らない）。接続不能は 4×4 の WARN（構成）系に分類</t>
    <phoneticPr fontId="2"/>
  </si>
  <si>
    <t>1 件でも失敗したら throw → リトライ / DLQ</t>
    <phoneticPr fontId="2"/>
  </si>
  <si>
    <t>8.3 スケール上限（Lambda 15 分制限）と 分割起動 方針</t>
    <phoneticPr fontId="2"/>
  </si>
  <si>
    <t>Lambda の最大実行時間は 15 分。1 実行に詰め込まない構造にする。</t>
    <phoneticPr fontId="2"/>
  </si>
  <si>
    <t>実行</t>
    <phoneticPr fontId="2"/>
  </si>
  <si>
    <t>1 実行の範囲</t>
    <phoneticPr fontId="2"/>
  </si>
  <si>
    <t>15 分制限への設計</t>
    <phoneticPr fontId="2"/>
  </si>
  <si>
    <t>発見 Lambda（巡回）</t>
    <phoneticPr fontId="2"/>
  </si>
  <si>
    <t>全アカウント走査（現行）</t>
    <phoneticPr fontId="2"/>
  </si>
  <si>
    <t>1 アプリの全 endpoint</t>
    <phoneticPr fontId="2"/>
  </si>
  <si>
    <t>20 endpoint × 2 検査 × 数秒でも数分オーダー。1 アプリ = 1 実行なので endpoint 数が極端でない限り収まる</t>
    <phoneticPr fontId="2"/>
  </si>
  <si>
    <t>台帳 List → アプリ単位に 分割起動</t>
    <phoneticPr fontId="2"/>
  </si>
  <si>
    <t>全量を 1 実行で回さないため上限に当たらない</t>
    <phoneticPr fontId="2"/>
  </si>
  <si>
    <t>本シートは台帳スキーマ・monitoring.yaml 規約・OpenAPI アノテーション・CloudWatch Metrics・4×4 真偽値表・Alert イベント形式のデータ定義を示す。</t>
    <phoneticPr fontId="2"/>
  </si>
  <si>
    <t>prod</t>
    <phoneticPr fontId="2"/>
  </si>
  <si>
    <t>未認証検査 対象外（public endpoint）※ public は必須明示（MON-1）</t>
    <phoneticPr fontId="2"/>
  </si>
  <si>
    <t>false</t>
    <phoneticPr fontId="2"/>
  </si>
  <si>
    <t>検査 後の後処理（POST 等）</t>
    <phoneticPr fontId="2"/>
  </si>
  <si>
    <t>6. CloudWatch Metrics（認証実装確認処理が 発行）</t>
    <phoneticPr fontId="2"/>
  </si>
  <si>
    <t>「Negative = 401/403 かつ Positive = 200」のペアが揃って初めて OK。分類結果（severity / priority）は Alert Router と同一ロジックを共有する。</t>
    <phoneticPr fontId="2"/>
  </si>
  <si>
    <t>8. Alert イベント形式（検査 → alert-router）</t>
    <phoneticPr fontId="2"/>
  </si>
  <si>
    <t>10. WAF 干渉と誤判定の防止</t>
    <phoneticPr fontId="2"/>
  </si>
  <si>
    <t>4×4 での素朴な解釈</t>
    <phoneticPr fontId="2"/>
  </si>
  <si>
    <t>実際</t>
    <phoneticPr fontId="2"/>
  </si>
  <si>
    <t>「401/403 = 認証は正常」</t>
    <phoneticPr fontId="2"/>
  </si>
  <si>
    <t>認証まで到達していない</t>
    <phoneticPr fontId="2"/>
  </si>
  <si>
    <t>偽陰性（認証漏れがあっても OK 判定）</t>
    <phoneticPr fontId="2"/>
  </si>
  <si>
    <t>「Neg 2xx + Pos 403 = 認証逆転 CRITICAL」等</t>
    <phoneticPr fontId="2"/>
  </si>
  <si>
    <t>認証は正常、WAF が弾いただけ</t>
    <phoneticPr fontId="2"/>
  </si>
  <si>
    <t>誤 CRITICAL（誤報）</t>
    <phoneticPr fontId="2"/>
  </si>
  <si>
    <t>段</t>
    <phoneticPr fontId="2"/>
  </si>
  <si>
    <t>1（主対策）</t>
    <phoneticPr fontId="2"/>
  </si>
  <si>
    <t>2（副対策）</t>
    <phoneticPr fontId="2"/>
  </si>
  <si>
    <t>分類 側の防御</t>
    <phoneticPr fontId="2"/>
  </si>
  <si>
    <t>検査 → アプリ</t>
    <phoneticPr fontId="2"/>
  </si>
  <si>
    <t>検査 → OAuth /token</t>
    <phoneticPr fontId="2"/>
  </si>
  <si>
    <t>検査 自体はクロスアカウント権限を要さない（実ユーザーと同じ Public 経路）。権限が要るのは巡回の読み取りだけ。台帳への書き込みは中央アカウント内のみ</t>
    <phoneticPr fontId="2"/>
  </si>
  <si>
    <t>organizations:ListAccounts / sts:AssumeRole（各 App の DiscoveryReadRole）/ s3:PutObject・GetObject・ListBucket（Monitoring Registry の registry/* + openapi/*）/ lambda:InvokeFunction（認証実装チェック Lambda）。※ 列挙方式は未決 M-Q-17-2（organizations:ListAccounts は Organizations 管理アカウント（または delegated admin）限定で、共通基盤アカウントからの直接呼び出しは不可。案 a なら管理アカウントの列挙用ロールへの sts:AssumeRole、案 b なら ssm:GetParameter に置換する）</t>
    <phoneticPr fontId="2"/>
  </si>
  <si>
    <t>セキュリティ方針 NW-2「Outbound は NWFW ドメインフィルタ経由」の例外となる（監視系の外向き HTTPS が組織の Egress 統制を通らない）</t>
    <phoneticPr fontId="2"/>
  </si>
  <si>
    <t>① 宛先が固定 3 種のみ（台帳の baseUrl = 自組織の CloudFront／認証基盤 /token／AWS API）で、任意の外部 SaaS を呼ぶコードパスが存在しない ② コードは共通基盤チーム管理・CI 静的解析対象で、アプリ任意コードが乗らない ③ 漏洩リスク側は Positive トークン管理（短命トークン）で別途統制済み</t>
    <phoneticPr fontId="2"/>
  </si>
  <si>
    <t>描くべき内容: canary 専用サービスアカウント（client_id / secret）→ Secrets Manager（共通基盤）→ 認証実装チェック Lambda ロールのみ取得可 → /token（client_credentials）→ 短命トークン（5〜15 分）→ 正規検査 → 破棄。スコープ A 採用・B 目標を注記</t>
    <phoneticPr fontId="2"/>
  </si>
  <si>
    <t>正規検査（valid token → 200 期待）に使う認証情報は、静的な長寿命トークンを持たない。共通の OAuth クライアント資格情報を 1 つだけ持ち、実行ごとに短命トークンを発行する</t>
    <phoneticPr fontId="2"/>
  </si>
  <si>
    <t>【1 回の 検査 実行ごと】</t>
    <phoneticPr fontId="2"/>
  </si>
  <si>
    <t>データ定義はデータ契約を正とし、設計書は意図を説明する</t>
    <phoneticPr fontId="2"/>
  </si>
  <si>
    <t>検査 先は CloudFront URL（API GW 直でない）</t>
    <phoneticPr fontId="2"/>
  </si>
  <si>
    <t>検査 制御は OpenAPI アノテーションで表現</t>
    <phoneticPr fontId="2"/>
  </si>
  <si>
    <t>新規 endpoint は OpenAPI 更新で自動追随（検査 無改修）</t>
    <phoneticPr fontId="2"/>
  </si>
  <si>
    <t>probe lib を分割（registry / openapi / token / 検査 / 分類 / 発行）</t>
    <phoneticPr fontId="2"/>
  </si>
  <si>
    <t>Private は 検査 用 VPC + TGW（Phase 2）</t>
    <phoneticPr fontId="2"/>
  </si>
  <si>
    <t>要 PoC 項目をコード内 TODO + 設計書に明示する</t>
    <phoneticPr fontId="2"/>
  </si>
  <si>
    <t>検査 範囲はアプリ単位の全 endpoint（diff で endpoint 絞りしない）</t>
    <phoneticPr fontId="2"/>
  </si>
  <si>
    <t>D-M-18-8</t>
    <phoneticPr fontId="2"/>
  </si>
  <si>
    <t>メタ監視を被監視系と別系統で設計（巡回鮮度 DiscoveryLastSuccess の 2h 欠損アラーム + Lambda Errors + DLQ 滞留。通知は P2）</t>
    <phoneticPr fontId="2"/>
  </si>
  <si>
    <t>監視の空白 = 検知の空白。保険系（AuthCheckCritical）は「検知結果」、メタ監視は「検知不能状態」の発報で役割が異なる</t>
    <phoneticPr fontId="2"/>
  </si>
  <si>
    <t>D-M-18-9</t>
    <phoneticPr fontId="2"/>
  </si>
  <si>
    <t>解説・選択肢（回答記入用）</t>
    <phoneticPr fontId="2"/>
  </si>
  <si>
    <t>ROSA 側 P-18（監査アカウント他組織管理）確定時の責任分界 / 検査 先経路の改訂</t>
    <phoneticPr fontId="2"/>
  </si>
  <si>
    <t>【解説】ローカルで検証済みのロジックを、実 AWS（or SAM）で通しで動かす時期の話。決定事項ではなく実施タイミングのみ。【回答例】「発見 Lambda 実装（M-Q-17-4）完了後に実施」で足りる。【→ 回答: ＿＿】</t>
    <phoneticPr fontId="2"/>
  </si>
  <si>
    <t>【解説】監視 Lambda を VPC 外に置いたため、外向き通信が組織のアウトバウンド統制（Network Firewall のドメインフィルタ）を通らない。これは社内ルール NW-2 の例外にあたるため、セキュリティ部門と境界管理の他組織から明示的な承認を得る必要がある。宛先が固定 3 種のみ・コードは中央管理という例外理由と代償統制の説明資料は「08_セキュリティ・IAM」シートの「VPC 外配置の判断」表がそのまま使える。【回答】承認取得タスク。承認者と取得日を記入: ＿＿</t>
    <phoneticPr fontId="2"/>
  </si>
  <si>
    <t>【解説】AWS IAM 認証（SigV4 署名）の API に対する「正しい署名を付けたら通る」側の検査は未実装（Phase 2 計画）。未認証を弾く検査（Negative）は今でも可能。【回答】決定不要（Phase 2 実装タスク）。</t>
    <phoneticPr fontId="2"/>
  </si>
  <si>
    <t>【解説】Cookie ログイン型アプリ（モノリス/BFF）の「正規ログインしたら見える」側の検査は、ブラウザ自動操作（Puppeteer）の実装が必要で未実装。未ログインを弾く検査（302 確認）は今でも可能。【回答】決定不要（Phase 2 実装タスク）。</t>
    <phoneticPr fontId="2"/>
  </si>
  <si>
    <t>【解説】検査用の正規トークンが漏れても実データに一切届かないようにする強化策。認証基盤（Keycloak）側に「検査専用テナント/合成データしか読めないスコープ」を作ってもらう必要がある（現在はスコープ A=全 API 読み取り専用で開始）。【回答】認証基盤チームへの引き渡し事項。依頼日と回答を記入: ＿＿</t>
    <phoneticPr fontId="2"/>
  </si>
  <si>
    <t>M-Q-11-5</t>
    <phoneticPr fontId="2"/>
  </si>
  <si>
    <t>検査 識別ヘッダの WAF 許可ルールを境界管理側（ネットワーク監査アカウント）へ依頼・合意。M-Q-10-3（NW-2 例外承認）と同じ相手のため同梱で調整可</t>
    <phoneticPr fontId="2"/>
  </si>
  <si>
    <t>【解説】alertRouting とは「このアプリのアラートをどのチーム（SNS トピック）に届けるか」の宛先設定（台帳の 1 項目）。設定が無いアプリは全社デフォルトのトピックに届く 2 段構え。全アプリに個別設定を必須にするか、デフォルト運用で始めるかの選択。【選択肢】a) 全社デフォルトで開始し、必要なアプリだけ個別設定（★・運用が軽い）/ b) 全アプリ個別設定を必須にする（宛先は正確だが登録運用が重い）【→ 回答: ＿＿】</t>
    <phoneticPr fontId="2"/>
  </si>
  <si>
    <t>【解説】台帳と spec を置く S3 バケットの保全レベル。Versioning（誤更新を履歴から戻せる）は有効済み。加えて別リージョンへの複製（レプリケーション）まで要るか。データは巡回で再生成可能なため失っても再構築できる。【選択肢】a) Versioning のみ（★）/ b) クロスリージョンレプリケーションも追加　【→ 回答: ＿＿】</t>
    <phoneticPr fontId="2"/>
  </si>
  <si>
    <t>【解説】実装済みコード registry.js が旧 DynamoDB 読み取りのままで、S3 台帳への切替改修が必要。【回答】決定不要（実装タスク。発見 Lambda 実装 M-Q-17-4 と同時に対応）。</t>
    <phoneticPr fontId="2"/>
  </si>
  <si>
    <t>【解説】S3 Object Lock = 一定期間削除・上書きを不可能にする改ざん防止機能。監査証跡レベルの保全が必要かどうか。台帳・spec は運用データであり Versioning で通常は十分。【選択肢】a) 不要（Versioning で足りる ★）/ b) 必要（監査要件がある場合）【→ 回答: ＿＿】</t>
    <phoneticPr fontId="2"/>
  </si>
  <si>
    <t>【解説】ローカルテスト環境（LocalStack）専用の接続オプションをコードに持たせるかという実装細目。本番動作には無関係。【回答】決定不要（実装時に判断）。</t>
    <phoneticPr fontId="2"/>
  </si>
  <si>
    <t>【解説】M-Q-11-2 / 11-3 と同じ Phase 2 実装群（SigV4 検査・Cookie ログイン検査・検査後のデータ後始末処理）。【回答】決定不要（Phase 2 実装タスク）。</t>
    <phoneticPr fontId="2"/>
  </si>
  <si>
    <t>【解説】M-Q-10-1 と同一論点（重複）。回答は M-Q-10-1 に合わせる。【→ 回答: M-Q-10-1 と同じ】</t>
    <phoneticPr fontId="2"/>
  </si>
  <si>
    <t>【解説】将来、新しい認証方式（authPattern）が増えたときに検査コードをどう拡張するかの方針メモ。【回答】決定不要（実装ガイドラインとして実装時に整備）。</t>
    <phoneticPr fontId="2"/>
  </si>
  <si>
    <t>【解説】アラートの最終到達先。SNS トピックまでは設計済みで、その先を何に繋ぐか。P1=重大（認証漏れ・即時対応）、P2=構成系（24h）、P3=アプリ通知。【選択肢】a) P1=Slack+メール、P2/P3=Slack（Chatbot 連携）/ b) 全部メール（暫定回答済み ★）/ c) P1 のみ PagerDuty 等のオンコールツール　【→ 回答: ＿＿】</t>
    <phoneticPr fontId="2"/>
  </si>
  <si>
    <t>【解説】P1（認証漏れ）検知時に、通知だけでなく自動で API を遮断・ロールバックまでするか。誤検知時に正常なサービスを止めるリスクとのトレードオフ。【選択肢】a) Phase 1 は通知まで。遮断は手動 Runbook（★）/ b) 自動遮断を検討する　【→ 回答: ＿＿】</t>
    <phoneticPr fontId="2"/>
  </si>
  <si>
    <t>誤検知抑制（同一 endpoint の連続アラート抑制 / 重複抑制）</t>
    <phoneticPr fontId="2"/>
  </si>
  <si>
    <t>【解説】同じ認証漏れが直らない間、1 時間ごとの巡回のたびに同じアラートが再送される。同一内容を一定時間抑制（重複抑制）するか。【選択肢】a) 同一 アプリ×endpoint×重大度 は 24h 抑制 / b) 抑制なし（毎回発報）/ 補足: 通知先チームの希望も影響するため要ヒアリング（暫定: ヒアリング後に決定 ★）【→ 回答: ＿＿】</t>
    <phoneticPr fontId="2"/>
  </si>
  <si>
    <t>【解説】読み取りロール（DiscoveryReadRole）を StackSets でどの範囲のアカウントに配るか。M-Q-17-2 の巡回対象範囲と同じ回答になる。【選択肢】a) アプリ系 OU のみ（★・暫定回答済み）/ b) Organizations 全体 / c) 明示リスト　【→ 回答: ＿＿】</t>
    <phoneticPr fontId="2"/>
  </si>
  <si>
    <t>【解説】アカウント数が増えたときの巡回 API 呼び出しの流量制御（並列数・リトライ）。【回答】決定不要（実装タスク）。</t>
    <phoneticPr fontId="2"/>
  </si>
  <si>
    <t>【解説】巡回がどうやって対象アカウント一覧を得るか。技術制約: アカウント一覧 API（ListAccounts）は Organizations 管理アカウントでしか呼べないため、方式は 2 択。【選択肢】a) 管理アカウントに一覧取得用の読み取りロールを置き AssumeRole（新規アカウント自動追随 ★・暫定回答済み）/ b) 静的リスト（SSM に手動管理。管理アカウントに触らない代わり追加時に手作業）。あわせて範囲: アプリ系 OU のみ（暫定回答済み）/ 全体 / 明示リスト　【→ 回答: 方式＿＿・範囲＿＿】</t>
    <phoneticPr fontId="2"/>
  </si>
  <si>
    <t>【解説】「監視対象アプリのリポジトリ」を名前で見分ける規約（例: *-api で終わる）を決めるか。規約があると「API リポジトリなのに monitoring.yaml を置き忘れている」を検出してアラートできる。規約が無いと置き忘れ＝監視されないまま気付けない。【選択肢】a) 命名規約を採用（例 *-api。★・暫定回答済み。具体的な命名パターンを記入）/ b) 規約なし　【→ 回答: ＿＿ / 命名パターン: ＿＿】</t>
    <phoneticPr fontId="2"/>
  </si>
  <si>
    <t>【解説】中核コンポーネント「発見 Lambda」の実装と PoC。設計は確定済みで残るは実装のみ。【回答】決定不要（Phase 3/4 実装タスク）。</t>
    <phoneticPr fontId="2"/>
  </si>
  <si>
    <t>【解説】アプリ廃止時の流れ。リポジトリ削除を巡回が検知→監視停止(enabled=false)+棚卸しアラート→人が確認して台帳から削除、という運用で良いか。【回答例】「検知→enabled=false→30 日棚卸し→手動削除」を標準運用とする。【→ 回答: ＿＿】</t>
    <phoneticPr fontId="2"/>
  </si>
  <si>
    <t>RC-Q-1</t>
    <phoneticPr fontId="2"/>
  </si>
  <si>
    <t>App アカウント側費用（RC-12/13）の按分整理 — 課金ガイドへの記載方法</t>
    <phoneticPr fontId="2"/>
  </si>
  <si>
    <t>【解説】App アカウント側費用（RC-12/13）の按分整理 — 課金ガイドへの記載方法。監視のために App アカウント側で発生する費用は Config Rules（RC-12）と CodeCommit アクティブユーザー（RC-13）の 2 件で、これを「監視のための共通負担」として課金按分の説明に明記する必要がある（出典: 16_ランニング費用 シート）。【→ 回答: ＿＿】</t>
    <phoneticPr fontId="2"/>
  </si>
  <si>
    <t>RC-Q-2</t>
    <phoneticPr fontId="2"/>
  </si>
  <si>
    <t>RC-Q-3</t>
    <phoneticPr fontId="2"/>
  </si>
  <si>
    <t>Monitoring Registry の暗号化方式（SSE-S3 / SSE-KMS）— RC-14 の要否</t>
    <phoneticPr fontId="2"/>
  </si>
  <si>
    <t>【解説】Monitoring Registry の暗号化方式（SSE-S3 / SSE-KMS）— RC-14 の要否。SSE-S3 なら KMS 費用は不要、CMK 1 本なら $1/月 + リクエスト料が発生する。決定は基盤 IaC の A 系タスクに従う（出典: 16_ランニング費用 シート）。【選択肢】a) SSE-S3（★・費用ゼロ）/ b) SSE-KMS（CMK 管理が必要な場合）【→ 回答: ＿＿】</t>
    <phoneticPr fontId="2"/>
  </si>
  <si>
    <t>RC-Q-4</t>
    <phoneticPr fontId="2"/>
  </si>
  <si>
    <t>ログ保持期間の本決め（A 系タスクで設定。RC-10 の保存費に影響）</t>
    <phoneticPr fontId="2"/>
  </si>
  <si>
    <t>【解説】ログ保持期間の本決め（A 系タスクで設定。RC-10 の保存費に影響）。3 Lambda のロググループの保持期間を明示設定する（未定なら 90 日仮置き）。組織標準値がある場合はそれに従う（出典: 16_ランニング費用 シート）。【→ 回答: ＿＿】</t>
    <phoneticPr fontId="2"/>
  </si>
  <si>
    <t>OP-Q-1</t>
    <phoneticPr fontId="2"/>
  </si>
  <si>
    <t>導入期 3 か月後の実績による頻度・工数の v2 改訂（レビュー日を運用カレンダーに登録）</t>
    <phoneticPr fontId="2"/>
  </si>
  <si>
    <t>【解説】導入期 3 か月後の実績による頻度・工数の v2 改訂（レビュー日を運用カレンダーに登録）。運用工数の半分は発生ベースで、想定件数は運用実績で必ずブレるため、実測して見積もりを改訂する（出典: 17_運用工数 シート）。【→ 回答: レビュー日＿＿】</t>
    <phoneticPr fontId="2"/>
  </si>
  <si>
    <t>OP-Q-2</t>
    <phoneticPr fontId="2"/>
  </si>
  <si>
    <t>P1 の対応 SLA（一次切り分け・アプリ通知・暫定遮断の各期限）— セキュリティチームと合意要</t>
    <phoneticPr fontId="2"/>
  </si>
  <si>
    <t>【解説】P1 の対応 SLA（一次切り分け・アプリ通知・暫定遮断の各期限）— セキュリティチームと合意要。P1 は件数こそ少ないが対応期限が最も厳しく、Runbook ① の一次切り分けは 30 分以内を目標としている（出典: 17_運用工数 シート）。【→ 回答: ＿＿】</t>
    <phoneticPr fontId="2"/>
  </si>
  <si>
    <t>OP-Q-3</t>
    <phoneticPr fontId="2"/>
  </si>
  <si>
    <t>月次サマリレポート（検知件数・対応状況）の要否と宛先 — 不要なら OP に追加なし、必要なら +1h/月</t>
    <phoneticPr fontId="2"/>
  </si>
  <si>
    <t>【解説】月次サマリレポート（検知件数・対応状況）の要否と宛先 — 不要なら OP に追加なし、必要なら +1h/月（出典: 17_運用工数 シート）。【選択肢】a) 不要（★・工数増なし）/ b) 必要（+1h/月。宛先を記入）【→ 回答: ＿＿】</t>
    <phoneticPr fontId="2"/>
  </si>
  <si>
    <t>OP-Q-4</t>
    <phoneticPr fontId="2"/>
  </si>
  <si>
    <t>拡大時（10 アプリ超）の体制見直しトリガー（件数 or 工数の閾値）</t>
    <phoneticPr fontId="2"/>
  </si>
  <si>
    <t>【解説】拡大時（10 アプリ超）の体制見直しトリガー（件数 or 工数の閾値）。30 アプリ時は月 55h（0.34 FTE）の想定で、どの水準で増員・専任化を検討するかを決めておく（出典: 17_運用工数 シート）。【→ 回答: ＿＿】</t>
    <phoneticPr fontId="2"/>
  </si>
  <si>
    <t>解決済み（参照用）</t>
    <phoneticPr fontId="2"/>
  </si>
  <si>
    <t>検査 頻度（5min / 15min）とコストのバランス</t>
    <phoneticPr fontId="2"/>
  </si>
  <si>
    <t>解消: monitoring.yaml に endpoint リストを直接列挙して代替可</t>
    <phoneticPr fontId="2"/>
  </si>
  <si>
    <t>M-Q-18-5</t>
    <phoneticPr fontId="2"/>
  </si>
  <si>
    <t>前提規模の確定（対象アカウント数等）</t>
    <phoneticPr fontId="2"/>
  </si>
  <si>
    <t>解決: Phase 1 の対象は約 3 アカウント。発見 Lambda は単一実行で Lambda 15 分制限に十分な余裕があり、分割起動 分割への移行は不要（規模拡大時に再評価）</t>
    <phoneticPr fontId="2"/>
  </si>
  <si>
    <t>関連文書</t>
    <phoneticPr fontId="2"/>
  </si>
  <si>
    <t>参照元資料のタイトル・所在・パスは「13_出典一覧」シートにまとめる。</t>
    <phoneticPr fontId="2"/>
  </si>
  <si>
    <t>1. ADR（設計判断の経緯。本文では番号参照のみとし、内容は転記しない）</t>
    <phoneticPr fontId="2"/>
  </si>
  <si>
    <t>デプロイ検知の pull 型統一</t>
    <phoneticPr fontId="2"/>
  </si>
  <si>
    <t>2. 設計要素と実装物の対応</t>
    <phoneticPr fontId="2"/>
  </si>
  <si>
    <t>設計要素</t>
    <phoneticPr fontId="2"/>
  </si>
  <si>
    <t>認証実装チェック（検査 / 分類 / 発行）</t>
    <phoneticPr fontId="2"/>
  </si>
  <si>
    <t>未実装（M-Q-17-4）</t>
    <phoneticPr fontId="2"/>
  </si>
  <si>
    <t>未実装</t>
    <phoneticPr fontId="2"/>
  </si>
  <si>
    <t>App Registry（台帳 CRUD）</t>
    <phoneticPr fontId="2"/>
  </si>
  <si>
    <t>app-registry-lambda（旧 push 型の参考実装。ロジックを発見 Lambda に流用予定）</t>
    <phoneticPr fontId="2"/>
  </si>
  <si>
    <t>現行構成要素ではない</t>
    <phoneticPr fontId="2"/>
  </si>
  <si>
    <t>OpenAPI Registry（spec 取得）</t>
    <phoneticPr fontId="2"/>
  </si>
  <si>
    <t>openapi-export-lambda（旧 push 型の参考実装。ロジックを発見 Lambda に流用予定）</t>
    <phoneticPr fontId="2"/>
  </si>
  <si>
    <t>実装済み（発見 Lambda 連携は未実装）</t>
    <phoneticPr fontId="2"/>
  </si>
  <si>
    <t>台帳アクセス（検査 側）</t>
    <phoneticPr fontId="2"/>
  </si>
  <si>
    <t>central-probe-lib の lib/registry.js</t>
    <phoneticPr fontId="2"/>
  </si>
  <si>
    <t>S3 改修待ち（M-Q-12-3）</t>
    <phoneticPr fontId="2"/>
  </si>
  <si>
    <t>出典一覧（本書の出典表記 ↔ 参照元ファイルの場所とパス）</t>
    <phoneticPr fontId="2"/>
  </si>
  <si>
    <t>本書（Excel）は認証実装確認処理の基本設計そのものであり、本文に出典表記は持たない。内容の元となった資料のタイトル・概要・所在は本シートにまとめ、必要時にたどれるようにする。</t>
    <phoneticPr fontId="2"/>
  </si>
  <si>
    <t>1. 参照元の所在</t>
    <phoneticPr fontId="2"/>
  </si>
  <si>
    <t>リポジトリ</t>
    <phoneticPr fontId="2"/>
  </si>
  <si>
    <t>github.com/suepie/aws-atuh-poc</t>
    <phoneticPr fontId="2"/>
  </si>
  <si>
    <t>最新確認コミット</t>
    <phoneticPr fontId="2"/>
  </si>
  <si>
    <t>cc5620fcbe4824870afe50a706fd3cf23b1ebf3f</t>
    <phoneticPr fontId="2"/>
  </si>
  <si>
    <t>確認日時</t>
    <phoneticPr fontId="2"/>
  </si>
  <si>
    <t>2026-08-19T10:04:08Z</t>
    <phoneticPr fontId="2"/>
  </si>
  <si>
    <t>基本設計書ディレクトリ</t>
    <phoneticPr fontId="2"/>
  </si>
  <si>
    <t>doc/api-platform/basic-design/</t>
    <phoneticPr fontId="2"/>
  </si>
  <si>
    <t>ADR ディレクトリ</t>
    <phoneticPr fontId="2"/>
  </si>
  <si>
    <t>doc/adr/</t>
    <phoneticPr fontId="2"/>
  </si>
  <si>
    <t>未反映の更新</t>
    <phoneticPr fontId="2"/>
  </si>
  <si>
    <t>第 10 / 12 / 13 / 17 章は、最新確認コミット時点で本書に反映済みの版（下表の blob SHA）より新しい。次版で取り込む。</t>
    <phoneticPr fontId="2"/>
  </si>
  <si>
    <t>2. 参照元資料（基本設計書）</t>
    <phoneticPr fontId="2"/>
  </si>
  <si>
    <t>目的・スコープ、全体骨格、統合構成、AWS リソース構成と通信経路 A〜D、詳細通信フロー（W1〜W9 / P1〜P6 / N1〜N6）、リソース一覧、用語表。→ 02 / 03 / 04 / 05 / 08 シート</t>
    <phoneticPr fontId="2"/>
  </si>
  <si>
    <t>ファイル名</t>
    <phoneticPr fontId="2"/>
  </si>
  <si>
    <t>パス</t>
    <phoneticPr fontId="2"/>
  </si>
  <si>
    <t>blob SHA（本書に反映済みの版）</t>
    <phoneticPr fontId="2"/>
  </si>
  <si>
    <t>目的・スコープ、全体骨格、統合構成、AWS リソース構成と通信経路 A〜D、リソース一覧、用語表。→ 02 / 03 / 04 / 05 / 08 シート</t>
    <phoneticPr fontId="2"/>
  </si>
  <si>
    <t>10-external-monitoring-overview.md</t>
    <phoneticPr fontId="2"/>
  </si>
  <si>
    <t>doc/api-platform/basic-design/10-external-monitoring-overview.md</t>
    <phoneticPr fontId="2"/>
  </si>
  <si>
    <t>3c70968e6148d4cab5376a8a53d7da1c2912d2e2</t>
    <phoneticPr fontId="2"/>
  </si>
  <si>
    <t>第 11 章 中央 検査 アーキテクチャ</t>
    <phoneticPr fontId="2"/>
  </si>
  <si>
    <t>検査シーケンス、Negative / Positive の Hybrid 検証と 4×4 分類、WAF 干渉と誤判定の防止、authPattern 別の検査方式、Positive トークン管理、環境別動作、ユースケース。→ 05 / 07 / 08 シート</t>
    <phoneticPr fontId="2"/>
  </si>
  <si>
    <t>11-central-検査-architecture.md</t>
    <phoneticPr fontId="2"/>
  </si>
  <si>
    <t>doc/api-platform/basic-design/11-central-検査-architecture.md</t>
    <phoneticPr fontId="2"/>
  </si>
  <si>
    <t>33606e278464829e43ac2a3fb21568e8f0fc176f</t>
    <phoneticPr fontId="2"/>
  </si>
  <si>
    <t>S3 台帳のキー体系・項目定義・JSON 例、検査 先を CloudFront とする理由、台帳への書き込み権限。→ 07 / 08 シート</t>
    <phoneticPr fontId="2"/>
  </si>
  <si>
    <t>12-app-registry-design.md</t>
    <phoneticPr fontId="2"/>
  </si>
  <si>
    <t>doc/api-platform/basic-design/12-app-registry-design.md</t>
    <phoneticPr fontId="2"/>
  </si>
  <si>
    <t>f3d78f85f1854328fcea7136df53cd5b55acb192</t>
    <phoneticPr fontId="2"/>
  </si>
  <si>
    <t>spec の正本と S3 コピー、公開明示 MON-1（default-deny）、検査 制御アノテーション一覧、新規 endpoint の自動追随。→ 07 / 09 シート</t>
    <phoneticPr fontId="2"/>
  </si>
  <si>
    <t>13-openapi-registry-design.md</t>
    <phoneticPr fontId="2"/>
  </si>
  <si>
    <t>doc/api-platform/basic-design/13-openapi-registry-design.md</t>
    <phoneticPr fontId="2"/>
  </si>
  <si>
    <t>cf9e9ee0c3c05eb079e9a4577ce09ccc0b99a353</t>
    <phoneticPr fontId="2"/>
  </si>
  <si>
    <t>第 14 章 検査 実装ガイド</t>
    <phoneticPr fontId="2"/>
  </si>
  <si>
    <t>probe lib のモジュール構成、モノリス / BFF / Private API 対応、要 PoC 項目、テスト状況。→ 04 シート</t>
    <phoneticPr fontId="2"/>
  </si>
  <si>
    <t>14-検査-implementation-guide.md</t>
    <phoneticPr fontId="2"/>
  </si>
  <si>
    <t>doc/api-platform/basic-design/14-検査-implementation-guide.md</t>
    <phoneticPr fontId="2"/>
  </si>
  <si>
    <t>075f8473efcdf80c6a6f90b1f69b0b475cd24a62</t>
    <phoneticPr fontId="2"/>
  </si>
  <si>
    <t>4×4 分類から P1 / P2 / P3 への振り分け、通知先 ARN の 2 段解決、通知メッセージ、エラー処理。→ 08 シート</t>
    <phoneticPr fontId="2"/>
  </si>
  <si>
    <t>15-alert-routing-design.md</t>
    <phoneticPr fontId="2"/>
  </si>
  <si>
    <t>doc/api-platform/basic-design/15-alert-routing-design.md</t>
    <phoneticPr fontId="2"/>
  </si>
  <si>
    <t>451acac4d07f7089b950217d5ff0804a2c9b6f78</t>
    <phoneticPr fontId="2"/>
  </si>
  <si>
    <t>アカウント分離、DiscoveryReadRole の権限・信頼ポリシー、中央側 3 ロール、StackSets 配布。→ 08 シート</t>
    <phoneticPr fontId="2"/>
  </si>
  <si>
    <t>16-cross-account-iam-design.md</t>
    <phoneticPr fontId="2"/>
  </si>
  <si>
    <t>doc/api-platform/basic-design/16-cross-account-iam-design.md</t>
    <phoneticPr fontId="2"/>
  </si>
  <si>
    <t>0405bbcffc0ad32061c43245950013d881c1fade</t>
    <phoneticPr fontId="2"/>
  </si>
  <si>
    <t>巡回フロー、受容した穴 2 つと補完レイヤー、monitoring.yaml 規約、モノリス対応、SCP。→ 05 / 06 / 07 / 09 シート</t>
    <phoneticPr fontId="2"/>
  </si>
  <si>
    <t>17-deployment-integration-and-registration.md</t>
    <phoneticPr fontId="2"/>
  </si>
  <si>
    <t>doc/api-platform/basic-design/17-deployment-integration-and-registration.md</t>
    <phoneticPr fontId="2"/>
  </si>
  <si>
    <t>5592544f07a867d3537409ad9f8a4035caa85fac</t>
    <phoneticPr fontId="2"/>
  </si>
  <si>
    <t>18-scan-modes-and-scheduling.md</t>
    <phoneticPr fontId="2"/>
  </si>
  <si>
    <t>doc/api-platform/basic-design/18-scan-modes-and-scheduling.md</t>
    <phoneticPr fontId="2"/>
  </si>
  <si>
    <t>ade0bc6518fab5a9245075c8633b68bb7c94e355</t>
    <phoneticPr fontId="2"/>
  </si>
  <si>
    <t>データ契約</t>
    <phoneticPr fontId="2"/>
  </si>
  <si>
    <t>台帳スキーマ、authPattern enum（6 値）、OpenAPI アノテーション、CloudWatch Metrics、4×4 真偽値表、Alert イベント形式。データ定義はこの資料を正とする。→ 04 / 07 シート</t>
    <phoneticPr fontId="2"/>
  </si>
  <si>
    <t>code-samples/README.md</t>
    <phoneticPr fontId="2"/>
  </si>
  <si>
    <t>doc/api-platform/basic-design/code-samples/README.md</t>
    <phoneticPr fontId="2"/>
  </si>
  <si>
    <t>d11ae6a4d1d6079aaf634250904d8915ac3b497a</t>
    <phoneticPr fontId="2"/>
  </si>
  <si>
    <t>2a42093a6b80efff545f40aaa88153b876d5bfae</t>
    <phoneticPr fontId="2"/>
  </si>
  <si>
    <t>静的解析ガイドライン（04-static-analysis-guidelines.md）・セキュリティ（05-security.md）・課金按分（03-billing-cost-allocation-rules.md）は本書から参照のみで、転記対象外。所在は同ディレクトリ。</t>
    <phoneticPr fontId="2"/>
  </si>
  <si>
    <t>3. ADR（経緯。本書本文では番号参照のみ）</t>
    <phoneticPr fontId="2"/>
  </si>
  <si>
    <t>061-deploy-detection-pull-model.md</t>
    <phoneticPr fontId="2"/>
  </si>
  <si>
    <t>doc/adr/061-deploy-detection-pull-model.md</t>
    <phoneticPr fontId="2"/>
  </si>
  <si>
    <t>059-central-auth-check-canary-architecture.md</t>
    <phoneticPr fontId="2"/>
  </si>
  <si>
    <t>doc/adr/059-central-auth-check-canary-architecture.md</t>
    <phoneticPr fontId="2"/>
  </si>
  <si>
    <t>Centralized Network Account Edge Layer（インターネット境界）</t>
    <phoneticPr fontId="2"/>
  </si>
  <si>
    <t>039-centralized-network-account-edge-layer.md</t>
    <phoneticPr fontId="2"/>
  </si>
  <si>
    <t>doc/adr/039-centralized-network-account-edge-layer.md</t>
    <phoneticPr fontId="2"/>
  </si>
  <si>
    <t>4. 目録（参照のみ）</t>
    <phoneticPr fontId="2"/>
  </si>
  <si>
    <t>基本設計書群の目録</t>
    <phoneticPr fontId="2"/>
  </si>
  <si>
    <t>00-index.md</t>
    <phoneticPr fontId="2"/>
  </si>
  <si>
    <t>doc/api-platform/basic-design/00-index.md</t>
    <phoneticPr fontId="2"/>
  </si>
  <si>
    <t>ADR の目録</t>
    <phoneticPr fontId="2"/>
  </si>
  <si>
    <t>doc/adr/00-index.md</t>
    <phoneticPr fontId="2"/>
  </si>
  <si>
    <t>5. 本書の対象外（所在のみ記録）</t>
    <phoneticPr fontId="2"/>
  </si>
  <si>
    <t>要件定義</t>
    <phoneticPr fontId="2"/>
  </si>
  <si>
    <t>doc/api-platform/proposal/</t>
    <phoneticPr fontId="2"/>
  </si>
  <si>
    <t>検証の歴史記録</t>
    <phoneticPr fontId="2"/>
  </si>
  <si>
    <t>doc/api-platform/basic-design/research/</t>
    <phoneticPr fontId="2"/>
  </si>
  <si>
    <t>doc/api-platform/basic-design/code-samples/（README.md を除く）</t>
    <phoneticPr fontId="2"/>
  </si>
  <si>
    <t>実装物。データ契約のみ転記対象</t>
    <phoneticPr fontId="2"/>
  </si>
  <si>
    <t>WBS番号</t>
    <phoneticPr fontId="2"/>
  </si>
  <si>
    <t>タスク</t>
    <phoneticPr fontId="2"/>
  </si>
  <si>
    <t>依存</t>
    <phoneticPr fontId="2"/>
  </si>
  <si>
    <t>外部待ち</t>
    <phoneticPr fontId="2"/>
  </si>
  <si>
    <t>人時</t>
    <phoneticPr fontId="2"/>
  </si>
  <si>
    <t>人日</t>
    <phoneticPr fontId="2"/>
  </si>
  <si>
    <t>開始予定</t>
    <phoneticPr fontId="2"/>
  </si>
  <si>
    <t>終了予定</t>
    <phoneticPr fontId="2"/>
  </si>
  <si>
    <t>W1-1</t>
    <phoneticPr fontId="2"/>
  </si>
  <si>
    <t>外部調整</t>
    <phoneticPr fontId="2"/>
  </si>
  <si>
    <t>監視通信のセキュリティ規則例外の承認取得</t>
    <phoneticPr fontId="2"/>
  </si>
  <si>
    <t>【これは何か】社内セキュリティ規則（NW-2）は「AWS から外部への通信は必ずファイアウォール（許可ドメイン制）を通す」と定めている。今回の監視 Lambda は構成を簡素にするため VPC 外に置いており、検査の外向き通信がこのファイアウォールを通らない＝規則の例外にあたる。【なぜ調整が必要か】規則の所管（セキュリティ部門）とファイアウォールを管理する他組織の了承なしに例外運用はできない。無許可のままでは監査指摘・リリース差し止めのリスク。【やること】例外が許容できる理由（通信先が自組織の 3 種に固定・任意の外部サイトを呼ぶコードが存在しない・コードは中央管理）と代償統制（宛先固定・操作記録）をまとめた説明資料で承認を取り、記録を残す（管理番号: M-Q-10-3）</t>
    <phoneticPr fontId="2"/>
  </si>
  <si>
    <t>◎</t>
    <phoneticPr fontId="2"/>
  </si>
  <si>
    <t>W1-2</t>
    <phoneticPr fontId="2"/>
  </si>
  <si>
    <t>検査リクエストを WAF にブロックさせないための許可設定依頼</t>
    <phoneticPr fontId="2"/>
  </si>
  <si>
    <t>【これは何か】WAF＝不正アクセスやボットを自動ブロックする防御壁。監視の検査リクエストは機械的なアクセスのため、ボットと誤認されてブロックされる恐れがあり、そうなると「認証の 403」と「WAF の 403」の区別がつかず誤判定（漏れの見逃し・誤警報）につながる。【なぜ調整が必要か】WAF は境界を管理する他組織の所管で、当方だけでは設定できない。【やること】検査リクエストに付ける合言葉ヘッダ（X-Auth-Probe）の名前と秘密値の受け渡し方法を決め、「このヘッダ付きはブロック対象外」とするルール追加を依頼・合意する。承認相手が W1-1 と同じため同梱で調整（管理番号: M-Q-11-5）</t>
    <phoneticPr fontId="2"/>
  </si>
  <si>
    <t>W1-3</t>
    <phoneticPr fontId="2"/>
  </si>
  <si>
    <t>巡回対象アカウント一覧の自動取得の許可設定依頼</t>
    <phoneticPr fontId="2"/>
  </si>
  <si>
    <t>【これは何か】巡回は「どの AWS アカウントを見て回るか」の一覧を AWS Organizations から自動取得したい。しかしこの一覧取得 API は組織の親（管理）アカウントしか呼べない。委任ポリシー＝親アカウントが「この操作はこのアカウントにも許す」と一度設定すれば、共通基盤アカウントから直接呼べるようになる仕組み。【なぜ調整が必要か】親アカウントの管理者に設定してもらわないと、アカウント一覧を手作業のリスト管理にせざるを得ず、アカウント追加時の登録漏れ＝監視漏れのリスクが残る。【やること】委任ポリシーの文面を作成 → 親アカウントでの適用を依頼 → 共通基盤から一覧取得できることを確認（管理番号: M-Q-17-2）</t>
    <phoneticPr fontId="2"/>
  </si>
  <si>
    <t>W1-4</t>
    <phoneticPr fontId="2"/>
  </si>
  <si>
    <t>検査用の認証クライアント発行依頼（認証基盤チーム）</t>
    <phoneticPr fontId="2"/>
  </si>
  <si>
    <t>【これは何か】検査には「未認証は弾かれるか」だけでなく「正しいトークンなら通るか」を確かめる正規検査がある。その検査用トークンを発行してもらうためのシステム用アカウント（クライアント。読み取り専用の最小権限）が認証基盤（Keycloak）側に必要。【なぜ調整が必要か】認証基盤は別チームの所管で、クライアントの発行・権限設定は当方ではできない。【やること】検査専用クライアント（api-canary-probe）の発行を依頼し、発行後に実際にトークンが取得できることを受入確認する</t>
    <phoneticPr fontId="2"/>
  </si>
  <si>
    <t>W1-5</t>
    <phoneticPr fontId="2"/>
  </si>
  <si>
    <t>アラートの届け先と再送ルールの決定（受信チームへのヒアリング）</t>
    <phoneticPr fontId="2"/>
  </si>
  <si>
    <t>【これは何か】検知したアラートは重大度別に 3 系統（P1=重大・即時 / P2=構成系 / P3=アプリ通知）のメールで届く。その宛先メーリングリストと、同じ問題が直るまで 1 時間ごとに同じアラートが再送されることを抑制するか（重複抑制）という運用ルール。【なぜ調整が必要か】受け取る側（セキュリティ・Platform・アプリ各チーム）の体制や好みで正解が変わるため、当方単独で決められない。【やること】宛先 DL の確定と、再送抑制の要否ヒアリング・決定の記録（管理番号: M-Q-15-1 / M-Q-15-3）</t>
    <phoneticPr fontId="2"/>
  </si>
  <si>
    <t>W1-6</t>
    <phoneticPr fontId="2"/>
  </si>
  <si>
    <t>「コンソール直変更」を検知する別の仕組みの実在確認と整備</t>
    <phoneticPr fontId="2"/>
  </si>
  <si>
    <t>小計 W1</t>
    <phoneticPr fontId="2"/>
  </si>
  <si>
    <t>A1-d</t>
    <phoneticPr fontId="2"/>
  </si>
  <si>
    <t>S3 バケット 設計</t>
    <phoneticPr fontId="2"/>
  </si>
  <si>
    <t>Monitoring Registry のパラメータシート: バケット名 / Versioning / SSE 方式 / パブリックブロック / prefix 構成（registry/・openapi/）</t>
    <phoneticPr fontId="2"/>
  </si>
  <si>
    <t>A1-i</t>
    <phoneticPr fontId="2"/>
  </si>
  <si>
    <t>S3 バケット 実装</t>
    <phoneticPr fontId="2"/>
  </si>
  <si>
    <t>A1-d の IaC 化・適用・設定実査</t>
    <phoneticPr fontId="2"/>
  </si>
  <si>
    <t>A2-d</t>
    <phoneticPr fontId="2"/>
  </si>
  <si>
    <t>S3 バケットポリシー 設計</t>
    <phoneticPr fontId="2"/>
  </si>
  <si>
    <t>prefix 単位のアクセス制御表（誰が registry/*・openapi/* に何を許可されるか。3 ロール準拠）</t>
    <phoneticPr fontId="2"/>
  </si>
  <si>
    <t>A2-i</t>
    <phoneticPr fontId="2"/>
  </si>
  <si>
    <t>S3 バケットポリシー 実装</t>
    <phoneticPr fontId="2"/>
  </si>
  <si>
    <t>ポリシー IaC 化・適用・拒否確認（無関係ロールで AccessDenied）</t>
    <phoneticPr fontId="2"/>
  </si>
  <si>
    <t>A3-d</t>
    <phoneticPr fontId="2"/>
  </si>
  <si>
    <t>S3 Lifecycle 設計</t>
    <phoneticPr fontId="2"/>
  </si>
  <si>
    <t>noncurrent 版の失効日数（例 90 日）と対象 prefix の決定</t>
    <phoneticPr fontId="2"/>
  </si>
  <si>
    <t>A3-i</t>
    <phoneticPr fontId="2"/>
  </si>
  <si>
    <t>S3 Lifecycle 実装</t>
    <phoneticPr fontId="2"/>
  </si>
  <si>
    <t>Lifecycle ルール適用・確認</t>
    <phoneticPr fontId="2"/>
  </si>
  <si>
    <t>A4-d</t>
    <phoneticPr fontId="2"/>
  </si>
  <si>
    <t>SNS 設計</t>
    <phoneticPr fontId="2"/>
  </si>
  <si>
    <t>P1/P2/P3 のトピック名・サブスクリプション（W1-5 の DL）・アクセスポリシー</t>
    <phoneticPr fontId="2"/>
  </si>
  <si>
    <t>A4-i</t>
    <phoneticPr fontId="2"/>
  </si>
  <si>
    <t>SNS 実装</t>
    <phoneticPr fontId="2"/>
  </si>
  <si>
    <t>3 トピック + メールサブスクリプション作成・確認メール承認</t>
    <phoneticPr fontId="2"/>
  </si>
  <si>
    <t>A5-d</t>
    <phoneticPr fontId="2"/>
  </si>
  <si>
    <t>SQS DLQ 設計</t>
    <phoneticPr fontId="2"/>
  </si>
  <si>
    <t>検査 Lambda 用 / Alert Router 用の 2 本。保持期間・再処理手順の方針。【補足】DLQ（デッドレターキュー）＝処理に失敗したメッセージの退避先。失敗を握り潰さず、後から中身を見て再処理・原因調査するための受け皿</t>
    <phoneticPr fontId="2"/>
  </si>
  <si>
    <t>A5-i</t>
    <phoneticPr fontId="2"/>
  </si>
  <si>
    <t>SQS DLQ 実装</t>
    <phoneticPr fontId="2"/>
  </si>
  <si>
    <t>2 キュー作成・Lambda 非同期設定への紐付け</t>
    <phoneticPr fontId="2"/>
  </si>
  <si>
    <t>A6-d</t>
    <phoneticPr fontId="2"/>
  </si>
  <si>
    <t>Scheduler 設計</t>
    <phoneticPr fontId="2"/>
  </si>
  <si>
    <t>rate(1 hour)・リトライポリシー（回数 / 間隔）・Scheduler 側 DLQ・実行ロール</t>
    <phoneticPr fontId="2"/>
  </si>
  <si>
    <t>A6-i</t>
    <phoneticPr fontId="2"/>
  </si>
  <si>
    <t>Scheduler 実装</t>
    <phoneticPr fontId="2"/>
  </si>
  <si>
    <t>EventBridge Scheduler 作成・発見 Lambda への紐付け・空振り起動確認</t>
    <phoneticPr fontId="2"/>
  </si>
  <si>
    <t>A7-d</t>
    <phoneticPr fontId="2"/>
  </si>
  <si>
    <t>IAM: DiscoveryLambdaRole 設計</t>
    <phoneticPr fontId="2"/>
  </si>
  <si>
    <t>ポリシー明細（ListAccounts 委任呼出 / sts:AssumeRole / S3 registry・openapi / lambda:Invoke）と信頼ポリシー</t>
    <phoneticPr fontId="2"/>
  </si>
  <si>
    <t>A7-i</t>
    <phoneticPr fontId="2"/>
  </si>
  <si>
    <t>IAM: DiscoveryLambdaRole 実装</t>
    <phoneticPr fontId="2"/>
  </si>
  <si>
    <t>IaC 化・適用</t>
    <phoneticPr fontId="2"/>
  </si>
  <si>
    <t>A8-d</t>
    <phoneticPr fontId="2"/>
  </si>
  <si>
    <t>IAM: CentralProbeRole 設計</t>
    <phoneticPr fontId="2"/>
  </si>
  <si>
    <t>S3 Get/List・Secrets Get・CW Put・起動（Alert Router）の明細</t>
    <phoneticPr fontId="2"/>
  </si>
  <si>
    <t>A8-i</t>
    <phoneticPr fontId="2"/>
  </si>
  <si>
    <t>IAM: CentralProbeRole 実装</t>
    <phoneticPr fontId="2"/>
  </si>
  <si>
    <t>A9-d</t>
    <phoneticPr fontId="2"/>
  </si>
  <si>
    <t>IAM: alert-router-role 設計</t>
    <phoneticPr fontId="2"/>
  </si>
  <si>
    <t>S3 GetObject（registry/*）・SNS Publish の明細</t>
    <phoneticPr fontId="2"/>
  </si>
  <si>
    <t>A9-i</t>
    <phoneticPr fontId="2"/>
  </si>
  <si>
    <t>IAM: alert-router-role 実装</t>
    <phoneticPr fontId="2"/>
  </si>
  <si>
    <t>A10-i</t>
    <phoneticPr fontId="2"/>
  </si>
  <si>
    <t>Secrets: canary-central-readonly 登録</t>
    <phoneticPr fontId="2"/>
  </si>
  <si>
    <t>A11-d</t>
    <phoneticPr fontId="2"/>
  </si>
  <si>
    <t>Secrets: X-Auth-Probe 設計</t>
    <phoneticPr fontId="2"/>
  </si>
  <si>
    <t>ヘッダ secret の命名・値生成方法・ローテ方針（WAF 側と値を合わせる運用）</t>
    <phoneticPr fontId="2"/>
  </si>
  <si>
    <t>A11-i</t>
    <phoneticPr fontId="2"/>
  </si>
  <si>
    <t>Secrets: X-Auth-Probe 実装</t>
    <phoneticPr fontId="2"/>
  </si>
  <si>
    <t>エントリ作成・検査 Lambda からの参照確認</t>
    <phoneticPr fontId="2"/>
  </si>
  <si>
    <t>A12-i</t>
    <phoneticPr fontId="2"/>
  </si>
  <si>
    <t>暗号化方針の確認</t>
    <phoneticPr fontId="2"/>
  </si>
  <si>
    <t>Secrets / S3 の KMS（AWS マネージドで足りるか）の判断記録と設定</t>
    <phoneticPr fontId="2"/>
  </si>
  <si>
    <t>A13-d</t>
    <phoneticPr fontId="2"/>
  </si>
  <si>
    <t>タグ + Budgets 設計</t>
    <phoneticPr fontId="2"/>
  </si>
  <si>
    <t>監視系リソース自身への必須タグ値（app-id 等、BL-1）と月次 Budget 額・通知先（BL-2）</t>
    <phoneticPr fontId="2"/>
  </si>
  <si>
    <t>A13-i</t>
    <phoneticPr fontId="2"/>
  </si>
  <si>
    <t>タグ + Budgets 実装</t>
    <phoneticPr fontId="2"/>
  </si>
  <si>
    <t>全リソースへのタグ付与（IaC 共通タグ）+ Budgets 作成</t>
    <phoneticPr fontId="2"/>
  </si>
  <si>
    <t>A14-i</t>
    <phoneticPr fontId="2"/>
  </si>
  <si>
    <t>Lambda ログ保持設定</t>
    <phoneticPr fontId="2"/>
  </si>
  <si>
    <t>3 Lambda のロググループ保持期間の明示設定（OBS-4。組織標準値、未定なら 90 日仮置き）</t>
    <phoneticPr fontId="2"/>
  </si>
  <si>
    <t>小計 W2-A</t>
    <phoneticPr fontId="2"/>
  </si>
  <si>
    <t>B0-d</t>
    <phoneticPr fontId="2"/>
  </si>
  <si>
    <t>監視(定型)</t>
    <phoneticPr fontId="2"/>
  </si>
  <si>
    <t>監視設計書</t>
    <phoneticPr fontId="2"/>
  </si>
  <si>
    <t>アラーム一覧表（8 本: 名称 / メトリクス / 閾値 / 評価期間 / 通知先 / 対応 Runbook）+ メトリクス定義（DiscoveryLastSuccess / AccountErrors の単位・Dimensions）</t>
    <phoneticPr fontId="2"/>
  </si>
  <si>
    <t>B1-i</t>
    <phoneticPr fontId="2"/>
  </si>
  <si>
    <t>メトリクス 発行 実装</t>
    <phoneticPr fontId="2"/>
  </si>
  <si>
    <t>発見 Lambda に DiscoveryLastSuccess（巡回成功時）/ DiscoveryAccountErrors（失敗アカウント数）の PutMetricData を実装</t>
    <phoneticPr fontId="2"/>
  </si>
  <si>
    <t>C11-i</t>
    <phoneticPr fontId="2"/>
  </si>
  <si>
    <t>B2-i</t>
    <phoneticPr fontId="2"/>
  </si>
  <si>
    <t>アラーム: AuthCheckCritical &gt; 0</t>
    <phoneticPr fontId="2"/>
  </si>
  <si>
    <t>保険系。1 データポイントで発報 → SNS P1</t>
    <phoneticPr fontId="2"/>
  </si>
  <si>
    <t>B3-i</t>
    <phoneticPr fontId="2"/>
  </si>
  <si>
    <t>アラーム: MM-1 巡回鮮度</t>
    <phoneticPr fontId="2"/>
  </si>
  <si>
    <t>DiscoveryLastSuccess が 2 時間欠損（missing data 扱い = breaching）→ P2</t>
    <phoneticPr fontId="2"/>
  </si>
  <si>
    <t>B4-i</t>
    <phoneticPr fontId="2"/>
  </si>
  <si>
    <t>アラーム: MM-2 発見 Lambda Errors</t>
    <phoneticPr fontId="2"/>
  </si>
  <si>
    <t>Lambda Errors ≥ 1（Scheduler 起動失敗も Errors で捕捉）→ P2</t>
    <phoneticPr fontId="2"/>
  </si>
  <si>
    <t>B5-i</t>
    <phoneticPr fontId="2"/>
  </si>
  <si>
    <t>アラーム: MM-3 AccountErrors</t>
    <phoneticPr fontId="2"/>
  </si>
  <si>
    <t>DiscoveryAccountErrors ≥ 1 → P2</t>
    <phoneticPr fontId="2"/>
  </si>
  <si>
    <t>B6-i</t>
    <phoneticPr fontId="2"/>
  </si>
  <si>
    <t>アラーム: MM-4 検査 Lambda</t>
    <phoneticPr fontId="2"/>
  </si>
  <si>
    <t>Errors ≥ 1 + DLQ（検査用）滞留 ≥ 1 → P2</t>
    <phoneticPr fontId="2"/>
  </si>
  <si>
    <t>B7-i</t>
    <phoneticPr fontId="2"/>
  </si>
  <si>
    <t>アラーム: MM-5 Alert Router</t>
    <phoneticPr fontId="2"/>
  </si>
  <si>
    <t>DLQ（Router 用）滞留 ≥ 1 → P2</t>
    <phoneticPr fontId="2"/>
  </si>
  <si>
    <t>B8-i</t>
    <phoneticPr fontId="2"/>
  </si>
  <si>
    <t>アラーム: 発見 Lambda Duration</t>
    <phoneticPr fontId="2"/>
  </si>
  <si>
    <t>15 分制限の前倒し検知（初期閾値は仮置き → W3-5 で本決め）→ P2</t>
    <phoneticPr fontId="2"/>
  </si>
  <si>
    <t>B9-t</t>
    <phoneticPr fontId="2"/>
  </si>
  <si>
    <t>全アラームのテスト発報</t>
    <phoneticPr fontId="2"/>
  </si>
  <si>
    <t>8 本すべて閾値を跨がせ、SNS → メール到達まで実確認（訓練 W4-2 とは別の技術確認）</t>
    <phoneticPr fontId="2"/>
  </si>
  <si>
    <t>B2〜B8</t>
    <phoneticPr fontId="2"/>
  </si>
  <si>
    <t>小計 W2-B</t>
    <phoneticPr fontId="2"/>
  </si>
  <si>
    <t>C0-d</t>
    <phoneticPr fontId="2"/>
  </si>
  <si>
    <t>機能実装</t>
    <phoneticPr fontId="2"/>
  </si>
  <si>
    <t>発見 Lambda 全体設計</t>
    <phoneticPr fontId="2"/>
  </si>
  <si>
    <t>C1-d</t>
    <phoneticPr fontId="2"/>
  </si>
  <si>
    <t>アカウント列挙 設計</t>
    <phoneticPr fontId="2"/>
  </si>
  <si>
    <t>委任ポリシー経由 ListAccounts の呼出仕様・対象 OU フィルタ・ページング。【補足】アカウント列挙＝巡回の対象となる App アカウントの一覧を AWS Organizations から毎回取得する処理。手作業のリスト管理をなくし、アカウント追加に自動追随する</t>
    <phoneticPr fontId="2"/>
  </si>
  <si>
    <t>C1-i</t>
    <phoneticPr fontId="2"/>
  </si>
  <si>
    <t>アカウント列挙 実装</t>
    <phoneticPr fontId="2"/>
  </si>
  <si>
    <t>上記の実装</t>
    <phoneticPr fontId="2"/>
  </si>
  <si>
    <t>C1-d, W1-3</t>
    <phoneticPr fontId="2"/>
  </si>
  <si>
    <t>C1-t</t>
    <phoneticPr fontId="2"/>
  </si>
  <si>
    <t>テスト</t>
    <phoneticPr fontId="2"/>
  </si>
  <si>
    <t>アカウント列挙 単体テスト</t>
    <phoneticPr fontId="2"/>
  </si>
  <si>
    <t>OU フィルタ・ページング・権限エラー時の挙動</t>
    <phoneticPr fontId="2"/>
  </si>
  <si>
    <t>C2-d</t>
    <phoneticPr fontId="2"/>
  </si>
  <si>
    <t>C2-i</t>
    <phoneticPr fontId="2"/>
  </si>
  <si>
    <t>C2-d, A7-i</t>
    <phoneticPr fontId="2"/>
  </si>
  <si>
    <t>C2-t</t>
    <phoneticPr fontId="2"/>
  </si>
  <si>
    <t>AssumeRole 失敗・スロットリング時のリトライ挙動</t>
    <phoneticPr fontId="2"/>
  </si>
  <si>
    <t>C3-d</t>
    <phoneticPr fontId="2"/>
  </si>
  <si>
    <t>C3-i</t>
    <phoneticPr fontId="2"/>
  </si>
  <si>
    <t>C3-d, C2-i</t>
    <phoneticPr fontId="2"/>
  </si>
  <si>
    <t>C3-t</t>
    <phoneticPr fontId="2"/>
  </si>
  <si>
    <t>C5-d</t>
    <phoneticPr fontId="2"/>
  </si>
  <si>
    <t>monitoring.yaml 取得・検証 設計</t>
    <phoneticPr fontId="2"/>
  </si>
  <si>
    <t>C5-i</t>
    <phoneticPr fontId="2"/>
  </si>
  <si>
    <t>monitoring.yaml 取得・検証 実装</t>
    <phoneticPr fontId="2"/>
  </si>
  <si>
    <t>C5-t</t>
    <phoneticPr fontId="2"/>
  </si>
  <si>
    <t>monitoring.yaml 取得・検証 単体テスト</t>
    <phoneticPr fontId="2"/>
  </si>
  <si>
    <t>正常 / authPattern 不正 / baseUrl 欠落 / yaml 破損 / 6MB 超</t>
    <phoneticPr fontId="2"/>
  </si>
  <si>
    <t>C6-d</t>
    <phoneticPr fontId="2"/>
  </si>
  <si>
    <t>台帳同期 設計</t>
    <phoneticPr fontId="2"/>
  </si>
  <si>
    <t>C6-i</t>
    <phoneticPr fontId="2"/>
  </si>
  <si>
    <t>台帳同期 実装</t>
    <phoneticPr fontId="2"/>
  </si>
  <si>
    <t>C6-d, A1-i</t>
    <phoneticPr fontId="2"/>
  </si>
  <si>
    <t>C6-t</t>
    <phoneticPr fontId="2"/>
  </si>
  <si>
    <t>台帳同期 単体テスト</t>
    <phoneticPr fontId="2"/>
  </si>
  <si>
    <t>新規作成 / 更新 / ETag 競合（412）/ 中央管理項目（alertRouting・enabled）を上書きしないこと</t>
    <phoneticPr fontId="2"/>
  </si>
  <si>
    <t>C7-d</t>
    <phoneticPr fontId="2"/>
  </si>
  <si>
    <t>spec 配置 設計</t>
    <phoneticPr fontId="2"/>
  </si>
  <si>
    <t>C7-i</t>
    <phoneticPr fontId="2"/>
  </si>
  <si>
    <t>spec 配置 実装</t>
    <phoneticPr fontId="2"/>
  </si>
  <si>
    <t>C7-t</t>
    <phoneticPr fontId="2"/>
  </si>
  <si>
    <t>spec 配置 単体テスト</t>
    <phoneticPr fontId="2"/>
  </si>
  <si>
    <t>配置キーの正当性・spec 未指定時の挙動</t>
    <phoneticPr fontId="2"/>
  </si>
  <si>
    <t>C8-d</t>
    <phoneticPr fontId="2"/>
  </si>
  <si>
    <t>C8-i</t>
    <phoneticPr fontId="2"/>
  </si>
  <si>
    <t>C8-t</t>
    <phoneticPr fontId="2"/>
  </si>
  <si>
    <t>起動 payload・複数アプリ変更時の多重起動</t>
    <phoneticPr fontId="2"/>
  </si>
  <si>
    <t>C9-d</t>
    <phoneticPr fontId="2"/>
  </si>
  <si>
    <t>C9-i</t>
    <phoneticPr fontId="2"/>
  </si>
  <si>
    <t>C9-t</t>
    <phoneticPr fontId="2"/>
  </si>
  <si>
    <t>C10-d</t>
    <phoneticPr fontId="2"/>
  </si>
  <si>
    <t>メタ不足アラート 設計</t>
    <phoneticPr fontId="2"/>
  </si>
  <si>
    <t>不備種別ごとの通知文面・SNS P2 Publish・再通知抑制（毎巡回で重複させない）。【補足】メタ不足＝監視に必要な設定情報（monitoring.yaml そのもの、あるいは検査先 URL・認証方式などの項目）が欠けていて、正しく検査できない状態。放置すると「監視されないアプリ」が生まれるため、アラートで気づかせて設定を直させる</t>
    <phoneticPr fontId="2"/>
  </si>
  <si>
    <t>C10-i</t>
    <phoneticPr fontId="2"/>
  </si>
  <si>
    <t>メタ不足アラート 実装</t>
    <phoneticPr fontId="2"/>
  </si>
  <si>
    <t>C10-t</t>
    <phoneticPr fontId="2"/>
  </si>
  <si>
    <t>メタ不足アラート 単体テスト</t>
    <phoneticPr fontId="2"/>
  </si>
  <si>
    <t>各不備種別の通知・同一不備の重複抑制</t>
    <phoneticPr fontId="2"/>
  </si>
  <si>
    <t>C11-d</t>
    <phoneticPr fontId="2"/>
  </si>
  <si>
    <t>部分失敗分離 設計</t>
    <phoneticPr fontId="2"/>
  </si>
  <si>
    <t>アカウント単位 try-catch 継続・AccountErrors 集計・ログ出力。【補足】部分失敗分離＝一部のアカウントで読み取りに失敗しても巡回全体を止めず、残りのアカウントは処理を続けること（失敗はメトリクスで通知し、次の巡回で自然に再試行される）</t>
    <phoneticPr fontId="2"/>
  </si>
  <si>
    <t>部分失敗分離 実装</t>
    <phoneticPr fontId="2"/>
  </si>
  <si>
    <t>C11-t</t>
    <phoneticPr fontId="2"/>
  </si>
  <si>
    <t>部分失敗分離 単体テスト</t>
    <phoneticPr fontId="2"/>
  </si>
  <si>
    <t>1 アカウント失敗時に他アカウントが完走・メトリクス値</t>
    <phoneticPr fontId="2"/>
  </si>
  <si>
    <t>小計 W2-C（発見 Lambda）</t>
    <phoneticPr fontId="2"/>
  </si>
  <si>
    <t>K0-d</t>
    <phoneticPr fontId="2"/>
  </si>
  <si>
    <t>検査 Lambda 全体設計</t>
    <phoneticPr fontId="2"/>
  </si>
  <si>
    <t>K1-d</t>
    <phoneticPr fontId="2"/>
  </si>
  <si>
    <t>ハンドラ 転用 設計</t>
    <phoneticPr fontId="2"/>
  </si>
  <si>
    <t>index.js → Lambda ハンドラ 化・synthetics 抽象を https 実装で注入する構造</t>
    <phoneticPr fontId="2"/>
  </si>
  <si>
    <t>K1-i</t>
    <phoneticPr fontId="2"/>
  </si>
  <si>
    <t>ハンドラ 転用 実装</t>
    <phoneticPr fontId="2"/>
  </si>
  <si>
    <t>K1-t</t>
    <phoneticPr fontId="2"/>
  </si>
  <si>
    <t>ハンドラ 転用 単体テスト</t>
    <phoneticPr fontId="2"/>
  </si>
  <si>
    <t>ハンドラ 起動・https 注入の動作（既存 probe-integration の手法流用）</t>
    <phoneticPr fontId="2"/>
  </si>
  <si>
    <t>K2-d</t>
    <phoneticPr fontId="2"/>
  </si>
  <si>
    <t>mode 分岐・分割起動 設計</t>
    <phoneticPr fontId="2"/>
  </si>
  <si>
    <t>K2-i</t>
    <phoneticPr fontId="2"/>
  </si>
  <si>
    <t>mode 分岐・分割起動 実装</t>
    <phoneticPr fontId="2"/>
  </si>
  <si>
    <t>K2-t</t>
    <phoneticPr fontId="2"/>
  </si>
  <si>
    <t>mode 分岐・分割起動 単体テスト</t>
    <phoneticPr fontId="2"/>
  </si>
  <si>
    <t>delta 1 件 / full n 件 分割起動 / 空台帳</t>
    <phoneticPr fontId="2"/>
  </si>
  <si>
    <t>K3-d</t>
    <phoneticPr fontId="2"/>
  </si>
  <si>
    <t>検査 識別ヘッダ 設計</t>
    <phoneticPr fontId="2"/>
  </si>
  <si>
    <t>X-Auth-Probe 付与位置・secret 参照（A11）・ローテ時の追従</t>
    <phoneticPr fontId="2"/>
  </si>
  <si>
    <t>K3-i</t>
    <phoneticPr fontId="2"/>
  </si>
  <si>
    <t>検査 識別ヘッダ 実装</t>
    <phoneticPr fontId="2"/>
  </si>
  <si>
    <t>K3-d, A11-i</t>
    <phoneticPr fontId="2"/>
  </si>
  <si>
    <t>K3-t</t>
    <phoneticPr fontId="2"/>
  </si>
  <si>
    <t>検査 識別ヘッダ 単体テスト</t>
    <phoneticPr fontId="2"/>
  </si>
  <si>
    <t>ヘッダ付与・secret 未取得時のフェイル動作</t>
    <phoneticPr fontId="2"/>
  </si>
  <si>
    <t>K4-d</t>
    <phoneticPr fontId="2"/>
  </si>
  <si>
    <t>WAF ブロック判定 設計</t>
    <phoneticPr fontId="2"/>
  </si>
  <si>
    <t>WAF / CloudFront 由来 403 の識別条件（ヘッダ・本文）→ WARN「境界でブロック」分類 + Smoke の境界通過確認</t>
    <phoneticPr fontId="2"/>
  </si>
  <si>
    <t>K0-d, W1-2</t>
    <phoneticPr fontId="2"/>
  </si>
  <si>
    <t>K4-i</t>
    <phoneticPr fontId="2"/>
  </si>
  <si>
    <t>WAF ブロック判定 実装</t>
    <phoneticPr fontId="2"/>
  </si>
  <si>
    <t>分類 拡張 + Smoke 拡張</t>
    <phoneticPr fontId="2"/>
  </si>
  <si>
    <t>K4-t</t>
    <phoneticPr fontId="2"/>
  </si>
  <si>
    <t>WAF ブロック判定 単体テスト</t>
    <phoneticPr fontId="2"/>
  </si>
  <si>
    <t>WAF 403 → WARN（CRITICAL / OK にならない）/ アプリ 403 → 従来分類の分離確認</t>
    <phoneticPr fontId="2"/>
  </si>
  <si>
    <t>小計 W2-C（検査 Lambda）</t>
    <phoneticPr fontId="2"/>
  </si>
  <si>
    <t>R0-d</t>
    <phoneticPr fontId="2"/>
  </si>
  <si>
    <t>改修</t>
    <phoneticPr fontId="2"/>
  </si>
  <si>
    <t>S3 化改修 設計</t>
    <phoneticPr fontId="2"/>
  </si>
  <si>
    <t>registry.js / alert-router / emit.js の影響調査と改修方針メモ（呼出箇所・テスト影響一覧）。【補足】改修＝設計変更ではない。検証のため設計確定前に作った参考実装（動作検証済み・テスト 46 本）の台帳読み取り部だけが旧 DynamoDB 前提のため、確定済みの現行設計（S3 台帳）に合わせて手直しして流用する。中核ロジック（検査・分類・通知振り分け）はそのまま活きる</t>
    <phoneticPr fontId="2"/>
  </si>
  <si>
    <t>R1-i</t>
    <phoneticPr fontId="2"/>
  </si>
  <si>
    <t>registry.js S3 化 実装+UT</t>
    <phoneticPr fontId="2"/>
  </si>
  <si>
    <t>DynamoDB Scan → S3 List/Get（M-Q-12-3）。単体テスト更新込み</t>
    <phoneticPr fontId="2"/>
  </si>
  <si>
    <t>R0-d, A1-i</t>
    <phoneticPr fontId="2"/>
  </si>
  <si>
    <t>R2-i</t>
    <phoneticPr fontId="2"/>
  </si>
  <si>
    <t>alert-router S3 化 実装+UT</t>
    <phoneticPr fontId="2"/>
  </si>
  <si>
    <t>通知先解決 GetItem → GetObject。既存 19 テストの更新込み</t>
    <phoneticPr fontId="2"/>
  </si>
  <si>
    <t>R3-i</t>
    <phoneticPr fontId="2"/>
  </si>
  <si>
    <t>emit.js / 環境変数整理</t>
    <phoneticPr fontId="2"/>
  </si>
  <si>
    <t>DEFAULT_P1/P2/P3_TOPIC_ARN 等の設定整合・確認</t>
    <phoneticPr fontId="2"/>
  </si>
  <si>
    <t>T0-d</t>
    <phoneticPr fontId="2"/>
  </si>
  <si>
    <t>token・ローテ 設計</t>
    <phoneticPr fontId="2"/>
  </si>
  <si>
    <t>短命トークン取得シーケンスの実装割付 + ローテ方式の選定（rotation Lambda か手動手順か）と設計</t>
    <phoneticPr fontId="2"/>
  </si>
  <si>
    <t>T1-i</t>
    <phoneticPr fontId="2"/>
  </si>
  <si>
    <t>token.js 疎通 実装+UT</t>
    <phoneticPr fontId="2"/>
  </si>
  <si>
    <t>実 IdP（W1-4 クライアント）で client_credentials 実挙動・TTL キャッシュ確認。UT 込み</t>
    <phoneticPr fontId="2"/>
  </si>
  <si>
    <t>T0-d, A10-i</t>
    <phoneticPr fontId="2"/>
  </si>
  <si>
    <t>T2-i</t>
    <phoneticPr fontId="2"/>
  </si>
  <si>
    <t>ローテ機構 実装+UT</t>
    <phoneticPr fontId="2"/>
  </si>
  <si>
    <t>選定方式の実装（rotation Lambda の場合。手動選定なら Runbook 化を W4-1 に振替）</t>
    <phoneticPr fontId="2"/>
  </si>
  <si>
    <t>D0-d</t>
    <phoneticPr fontId="2"/>
  </si>
  <si>
    <t>重複抑制 設計（W1-5 で採用時のみ）</t>
    <phoneticPr fontId="2"/>
  </si>
  <si>
    <t>抑制キー（app×endpoint×severity）・24h 窓・状態の S3 保持・解除条件</t>
    <phoneticPr fontId="2"/>
  </si>
  <si>
    <t>D1-i</t>
    <phoneticPr fontId="2"/>
  </si>
  <si>
    <t>重複抑制 実装</t>
    <phoneticPr fontId="2"/>
  </si>
  <si>
    <t>D2-t</t>
    <phoneticPr fontId="2"/>
  </si>
  <si>
    <t>重複抑制 単体テスト</t>
    <phoneticPr fontId="2"/>
  </si>
  <si>
    <t>抑制・窓超過後の再通知・severity 変化時は抑制しない</t>
    <phoneticPr fontId="2"/>
  </si>
  <si>
    <t>S0-d</t>
    <phoneticPr fontId="2"/>
  </si>
  <si>
    <t>DiscoveryReadRole 設計</t>
    <phoneticPr fontId="2"/>
  </si>
  <si>
    <t>S1-i</t>
    <phoneticPr fontId="2"/>
  </si>
  <si>
    <t>StackSets テンプレ 実装</t>
    <phoneticPr fontId="2"/>
  </si>
  <si>
    <t>ロールの CFN テンプレ化・StackSets（Organizations 自動デプロイ）定義</t>
    <phoneticPr fontId="2"/>
  </si>
  <si>
    <t>S2-t</t>
    <phoneticPr fontId="2"/>
  </si>
  <si>
    <t>StackSets 配布検証</t>
    <phoneticPr fontId="2"/>
  </si>
  <si>
    <t>3 アカウント配布・AssumeRole 実確認・新規アカウント自動配布の設定確認</t>
    <phoneticPr fontId="2"/>
  </si>
  <si>
    <t>P0-d</t>
    <phoneticPr fontId="2"/>
  </si>
  <si>
    <t>Service Catalog 製品 設計</t>
    <phoneticPr fontId="2"/>
  </si>
  <si>
    <t>製品設計書: パラメータ一覧（AppId / Env / CostCenter / Owner / AuthPattern）・生成リソース構成（API GW 認証必須固定 + Origin Protection + タグ）・起動フロー図</t>
    <phoneticPr fontId="2"/>
  </si>
  <si>
    <t>P1-i</t>
    <phoneticPr fontId="2"/>
  </si>
  <si>
    <t>製品テンプレ 実装</t>
    <phoneticPr fontId="2"/>
  </si>
  <si>
    <t>上記の CFN 化</t>
    <phoneticPr fontId="2"/>
  </si>
  <si>
    <t>P2-i</t>
    <phoneticPr fontId="2"/>
  </si>
  <si>
    <t>Portfolio・共有・Launch 制約</t>
    <phoneticPr fontId="2"/>
  </si>
  <si>
    <t>Portfolio 作成・Organizations 共有・起動ロール</t>
    <phoneticPr fontId="2"/>
  </si>
  <si>
    <t>P3-t</t>
    <phoneticPr fontId="2"/>
  </si>
  <si>
    <t>製品起動検証</t>
    <phoneticPr fontId="2"/>
  </si>
  <si>
    <t>起動 → パラメータのタグ反映・認証必須・Origin Protection の実査</t>
    <phoneticPr fontId="2"/>
  </si>
  <si>
    <t>REV</t>
    <phoneticPr fontId="2"/>
  </si>
  <si>
    <t>コードレビュー・CI 通し</t>
    <phoneticPr fontId="2"/>
  </si>
  <si>
    <t>全実装分のレビュー・静的解析（CI: cfn-guard / Semgrep）修正</t>
    <phoneticPr fontId="2"/>
  </si>
  <si>
    <t>各-i</t>
    <phoneticPr fontId="2"/>
  </si>
  <si>
    <t>小計 W2-C（改修・周辺）</t>
    <phoneticPr fontId="2"/>
  </si>
  <si>
    <t>W3-1</t>
    <phoneticPr fontId="2"/>
  </si>
  <si>
    <t>ローカル統合</t>
    <phoneticPr fontId="2"/>
  </si>
  <si>
    <t>W2 各</t>
    <phoneticPr fontId="2"/>
  </si>
  <si>
    <t>W3-2</t>
    <phoneticPr fontId="2"/>
  </si>
  <si>
    <t>実 AWS PoC 環境構築</t>
    <phoneticPr fontId="2"/>
  </si>
  <si>
    <t>W2, W1-3/4</t>
    <phoneticPr fontId="2"/>
  </si>
  <si>
    <t>クリティカルパス</t>
    <phoneticPr fontId="2"/>
  </si>
  <si>
    <t>T-A</t>
    <phoneticPr fontId="2"/>
  </si>
  <si>
    <t>結合テスト A: 発見・登録系（7 ケース）</t>
    <phoneticPr fontId="2"/>
  </si>
  <si>
    <t>T-B</t>
    <phoneticPr fontId="2"/>
  </si>
  <si>
    <t>結合テスト B: 検査・分類系（9 ケース）</t>
    <phoneticPr fontId="2"/>
  </si>
  <si>
    <t>B-1 正常 JWT（Neg401 + Pos200 → OK・通知なし）/ B-2 NONE endpoint（Neg200 → CRITICAL・P1 メール到達・AuthCheckCritical アラーム発火）/ B-3 公開印 skip → 検査 対象外 / B-4 公開印なし public → P1 / B-5 Cookie モノリス（302 → OK、200 → CRITICAL）/ B-6 token 失効（Neg401 + Pos401 → WARN P2）/ B-7 spec にあるが実体なし（Pos404 → WARN）/ B-8 WAF ブロック（→ WARN「境界でブロック」。誤 CRITICAL にならない）/ B-9 本番 POST skip</t>
    <phoneticPr fontId="2"/>
  </si>
  <si>
    <t>T-C</t>
    <phoneticPr fontId="2"/>
  </si>
  <si>
    <t>結合テスト C: 発報系（5 ケース）</t>
    <phoneticPr fontId="2"/>
  </si>
  <si>
    <t>C-1 alertRouting 個別設定 → その宛先へ / C-2 未設定 → デフォルト ARN へ / C-3 ARN 未解決 → throw → DLQ / C-4 保険系: アラーム → SNS P1（即時系を止めた状態で）/ C-5 重複抑制（採用時: 2 巡目は抑制・24h 後再通知）</t>
    <phoneticPr fontId="2"/>
  </si>
  <si>
    <t>T-D</t>
    <phoneticPr fontId="2"/>
  </si>
  <si>
    <t>結合テスト D: 障害・運用系（6 ケース）</t>
    <phoneticPr fontId="2"/>
  </si>
  <si>
    <t>W3-5</t>
    <phoneticPr fontId="2"/>
  </si>
  <si>
    <t>性能実測・閾値本決め</t>
    <phoneticPr fontId="2"/>
  </si>
  <si>
    <t>T-A〜D</t>
    <phoneticPr fontId="2"/>
  </si>
  <si>
    <t>W3-6</t>
    <phoneticPr fontId="2"/>
  </si>
  <si>
    <t>セキュリティ確認</t>
    <phoneticPr fontId="2"/>
  </si>
  <si>
    <t>IAM 最小権限の実査（Access Analyzer / 手動）・ExternalId なし AssumeRole の拒否確認・全 Lambda ログに secret / トークンが出ないこと（OBS-3）</t>
    <phoneticPr fontId="2"/>
  </si>
  <si>
    <t>W3-7</t>
    <phoneticPr fontId="2"/>
  </si>
  <si>
    <t>ドキュメント</t>
    <phoneticPr fontId="2"/>
  </si>
  <si>
    <t>テスト報告書</t>
    <phoneticPr fontId="2"/>
  </si>
  <si>
    <t>ケース別結果一覧・検出不具合と対処・設計書（md）への検証済み事実反映</t>
    <phoneticPr fontId="2"/>
  </si>
  <si>
    <t>小計 W3</t>
    <phoneticPr fontId="2"/>
  </si>
  <si>
    <t>W4-1</t>
    <phoneticPr fontId="2"/>
  </si>
  <si>
    <t>運用</t>
    <phoneticPr fontId="2"/>
  </si>
  <si>
    <t>Runbook 5 本</t>
    <phoneticPr fontId="2"/>
  </si>
  <si>
    <t>W4-2</t>
    <phoneticPr fontId="2"/>
  </si>
  <si>
    <t>引き継ぎ・訓練</t>
    <phoneticPr fontId="2"/>
  </si>
  <si>
    <t>運用チームへの説明会 + P1 模擬発報 1 回（B-2 ケースを本番相当で再現し Runbook ① を通しで実施）</t>
    <phoneticPr fontId="2"/>
  </si>
  <si>
    <t>W4-3</t>
    <phoneticPr fontId="2"/>
  </si>
  <si>
    <t>運用ダッシュボード</t>
    <phoneticPr fontId="2"/>
  </si>
  <si>
    <t>CloudWatch ダッシュボード 1 画面: AuthCheck 系 5 メトリクス（per-app）+ メタ監視（LastSuccess・AccountErrors・DLQ 深さ・Duration）</t>
    <phoneticPr fontId="2"/>
  </si>
  <si>
    <t>B 系</t>
    <phoneticPr fontId="2"/>
  </si>
  <si>
    <t>W5-1</t>
    <phoneticPr fontId="2"/>
  </si>
  <si>
    <t>ガイド</t>
    <phoneticPr fontId="2"/>
  </si>
  <si>
    <t>アプリチーム向け利用ガイド</t>
    <phoneticPr fontId="2"/>
  </si>
  <si>
    <t>章立て: 概要 / やること 3 点 / monitoring.yaml の書き方（全項目解説）/ MON-1 公開印 / 「変更は必ず git 経由」の明記（コンソール直変更の禁止、2026-08-19 方針①）/ アラートが来たら（P3 の見方）/ FAQ（アプリチーム向け手順シートを配布形に再構成）</t>
    <phoneticPr fontId="2"/>
  </si>
  <si>
    <t>W5-2</t>
    <phoneticPr fontId="2"/>
  </si>
  <si>
    <t>monitoring.yaml JSON Schema + サンプル repo</t>
    <phoneticPr fontId="2"/>
  </si>
  <si>
    <t>Schema（C5-i の検証と同一物）+ 雛形 repo（yaml・openapi.yaml・公開印例）をテンプレとして公開</t>
    <phoneticPr fontId="2"/>
  </si>
  <si>
    <t>W5-3</t>
    <phoneticPr fontId="2"/>
  </si>
  <si>
    <t>説明会 + 初期問合せ対応</t>
    <phoneticPr fontId="2"/>
  </si>
  <si>
    <t>アプリチーム向け説明会 1 回（資料は W5-1 流用）+ 導入期の問合せ対応枠</t>
    <phoneticPr fontId="2"/>
  </si>
  <si>
    <t>W5-4</t>
    <phoneticPr fontId="2"/>
  </si>
  <si>
    <t>パイロット導入 → 展開</t>
    <phoneticPr fontId="2"/>
  </si>
  <si>
    <t>パイロット 1 アプリ: monitoring.yaml 設置支援 → 初回検知確認 → フィードバック反映。その後残りアプリ（3 アカウント）へ展開</t>
    <phoneticPr fontId="2"/>
  </si>
  <si>
    <t>T-A/B, W5-1</t>
    <phoneticPr fontId="2"/>
  </si>
  <si>
    <t>W6-1</t>
    <phoneticPr fontId="2"/>
  </si>
  <si>
    <t>設計書（md）実装反映</t>
    <phoneticPr fontId="2"/>
  </si>
  <si>
    <t>未決の消し込み（実装で確定した項目）・検証済み事実の追記・実装差分の反映</t>
    <phoneticPr fontId="2"/>
  </si>
  <si>
    <t>W6-2</t>
    <phoneticPr fontId="2"/>
  </si>
  <si>
    <t>Excel 同期</t>
    <phoneticPr fontId="2"/>
  </si>
  <si>
    <t>md 改訂の Excel 反映指示・検収（参照コミット更新含む）</t>
    <phoneticPr fontId="2"/>
  </si>
  <si>
    <t>W7-1</t>
    <phoneticPr fontId="2"/>
  </si>
  <si>
    <t>管理</t>
    <phoneticPr fontId="2"/>
  </si>
  <si>
    <t>進捗・課題・外部調整の追跡</t>
    <phoneticPr fontId="2"/>
  </si>
  <si>
    <t>週次の進捗整理・課題管理・W1 系リードタイムの督促（全体の約 10%）</t>
    <phoneticPr fontId="2"/>
  </si>
  <si>
    <t>小計 W4〜W7</t>
    <phoneticPr fontId="2"/>
  </si>
  <si>
    <t>総合計</t>
    <phoneticPr fontId="2"/>
  </si>
  <si>
    <t>残作業 WBS・工数見積 v3 — 前提・集計・別表・リスク</t>
    <phoneticPr fontId="2"/>
  </si>
  <si>
    <t>明細は「14_WBS」シート（125 行）。本シートの人時・人日は 14_WBS を参照する数式。</t>
    <phoneticPr fontId="2"/>
  </si>
  <si>
    <t>1. 前提条件</t>
    <phoneticPr fontId="2"/>
  </si>
  <si>
    <t>前提</t>
    <phoneticPr fontId="2"/>
  </si>
  <si>
    <t>1 人日 = 8 人時。人日は換算値</t>
    <phoneticPr fontId="2"/>
  </si>
  <si>
    <t>規模: 対象約 3 アカウント（M-Q-18-5）、パイロットアプリ 1 本から</t>
    <phoneticPr fontId="2"/>
  </si>
  <si>
    <t>要員: AWS + Node.js 経験者 1 名主担当。各行にレビュー時間込み</t>
    <phoneticPr fontId="2"/>
  </si>
  <si>
    <t>外部依頼の待ち時間（リードタイム）は工数外（◎印、カレンダー日で別管理）</t>
    <phoneticPr fontId="2"/>
  </si>
  <si>
    <t>流用資産: probe lib（27 PASS）/ alert-router（19 PASS）/ 旧 push 型 2 Lambda のロジック。区分「改修」の意味: 設計は最初から現行仕様（S3 台帳）で確定しており設計の手戻りではない。設計確定に先立って検証目的で作成した参考実装コードの一部（台帳読み取り部）が旧前提（DynamoDB）のまま残っているため、確定設計に合わせて手直しして流用するタスクを指す。新規書き起こしも可能だが検証済みロジックとテスト資産を捨てることになるため流用を採用</t>
    <phoneticPr fontId="2"/>
  </si>
  <si>
    <t>成果物の体系: AWS リソース毎に「インフラ設計書（パラメータシート）」、Lambda は「処理設計書（シーケンス・IF・エラー方針）」を実装前に作成し、処理毎に単体テストを残す</t>
    <phoneticPr fontId="2"/>
  </si>
  <si>
    <t>ID 規約: -d = 設計 / -i = 実装 / -t = 単体テスト。設計不要の作業系は -i のみ</t>
    <phoneticPr fontId="2"/>
  </si>
  <si>
    <t>区分（Excel フィルタ用・11 種）: 外部調整 / 基盤IaC / 監視(定型) / 機能実装 / 改修 / 配布物 / テスト / 運用 / ガイド / ドキュメント / 管理</t>
    <phoneticPr fontId="2"/>
  </si>
  <si>
    <t>-d 行の区分は対象と同じ区分（例: A1-d は 基盤IaC）。設計だけ抽出したい場合はタスク名の「設計」でフィルタする。</t>
    <phoneticPr fontId="2"/>
  </si>
  <si>
    <t>2. スコープ外</t>
    <phoneticPr fontId="2"/>
  </si>
  <si>
    <t>3. 集計（人時・人日は 14_WBS の該当範囲を参照）</t>
    <phoneticPr fontId="2"/>
  </si>
  <si>
    <t>人日（標準）</t>
    <phoneticPr fontId="2"/>
  </si>
  <si>
    <t>min–max（人日）</t>
    <phoneticPr fontId="2"/>
  </si>
  <si>
    <t>W1 外部調整・依頼（6 行）</t>
    <phoneticPr fontId="2"/>
  </si>
  <si>
    <t>3.5–9</t>
    <phoneticPr fontId="2"/>
  </si>
  <si>
    <t>W2-A 基盤 IaC（25 行）</t>
    <phoneticPr fontId="2"/>
  </si>
  <si>
    <t>3–5.5</t>
    <phoneticPr fontId="2"/>
  </si>
  <si>
    <t>W2-B 監視(定型)（10 行）</t>
    <phoneticPr fontId="2"/>
  </si>
  <si>
    <t>1.5–2.5</t>
    <phoneticPr fontId="2"/>
  </si>
  <si>
    <t>W2-C 機能実装・改修（68 行）</t>
    <phoneticPr fontId="2"/>
  </si>
  <si>
    <t>16–32</t>
    <phoneticPr fontId="2"/>
  </si>
  <si>
    <t>W3 テスト（9 行）</t>
    <phoneticPr fontId="2"/>
  </si>
  <si>
    <t>8–17.5</t>
    <phoneticPr fontId="2"/>
  </si>
  <si>
    <t>W4〜W6 運用・ガイド・ドキュメント（9 行）</t>
    <phoneticPr fontId="2"/>
  </si>
  <si>
    <t>9–18</t>
    <phoneticPr fontId="2"/>
  </si>
  <si>
    <t>W7 管理（1 行・約 10%）</t>
    <phoneticPr fontId="2"/>
  </si>
  <si>
    <t>4–8.5</t>
    <phoneticPr fontId="2"/>
  </si>
  <si>
    <t>合計（128 行）</t>
    <phoneticPr fontId="2"/>
  </si>
  <si>
    <t>45–93</t>
    <phoneticPr fontId="2"/>
  </si>
  <si>
    <t>注記: 集計は 14_WBS の明細行を SUM した値。元資料 v4 の小計は「発見 Lambda 60」「改修・周辺 85.5」「W2-C 170」「合計 486」と記載されているが、各行の合計はそれぞれ 61 / 85 で、W2-C は 170.5、総合計は 486.5 となる（元資料との差 +0.5）。行の工数は元資料どおりで、元資料側の小計の見直しが必要。</t>
    <phoneticPr fontId="2"/>
  </si>
  <si>
    <t>4. 別表: 定型監視の工数（区分 = 監視(定型) の横断集計）</t>
    <phoneticPr fontId="2"/>
  </si>
  <si>
    <t>監視設計書（アラーム一覧・閾値・通知先マトリクス）</t>
    <phoneticPr fontId="2"/>
  </si>
  <si>
    <t>B2-i〜B8-i</t>
    <phoneticPr fontId="2"/>
  </si>
  <si>
    <t>アラーム実装 7 本</t>
    <phoneticPr fontId="2"/>
  </si>
  <si>
    <t>定型監視 計</t>
    <phoneticPr fontId="2"/>
  </si>
  <si>
    <t>注記: 14_WBS で 区分=監視(定型) をフィルタしても同じ集合が得られる（人時計 25 = 3.1 人日）。</t>
    <phoneticPr fontId="2"/>
  </si>
  <si>
    <t>5. 漏れチェック結果</t>
    <phoneticPr fontId="2"/>
  </si>
  <si>
    <t>v2 で追加した 10 件（L2 Config Rules 確認 / S3 Lifecycle / Scheduler リトライ / Secrets 格納 / X-Auth-Probe secret / タグ + Budgets / ログ保持 / アラームテスト発報 / メタ不足・棚卸し通知経路 / JSON Schema 配布）は全行に反映済み。</t>
    <phoneticPr fontId="2"/>
  </si>
  <si>
    <t>v3 では成果物としての設計書群を明示化した: インフラ設計書（A 系 -d）/ 監視設計書（B0-d）/ Lambda 処理設計書（C0-d・K0-d）/ ロール・製品設計書（S0-d・P0-d）。</t>
    <phoneticPr fontId="2"/>
  </si>
  <si>
    <t>設計行の抽出はタスク名「設計」でフィルタ、または ID の -d で判別できる（-d 行は 34 行）。</t>
    <phoneticPr fontId="2"/>
  </si>
  <si>
    <t>v4（2026-08-19）: 手動変更検知の方針確定を反映 — C12-d/i/t 新設（deploymentId 併読 +9 人時）/ W1-6 を「無ければ実装必須」に格上げ / S0-d を権限 6 アクション化（apigateway:GET）/ W5-1・W4-1 に「変更は必ず git 経由」明記を追加。合計 477 → 486 人時（本書の明細合計は 486.5）。</t>
    <phoneticPr fontId="2"/>
  </si>
  <si>
    <t>6. リスク（見積が膨らむ主要因）</t>
    <phoneticPr fontId="2"/>
  </si>
  <si>
    <t>リスク</t>
    <phoneticPr fontId="2"/>
  </si>
  <si>
    <t>影響</t>
    <phoneticPr fontId="2"/>
  </si>
  <si>
    <t>NW-2 例外の否認 → VPC 戻し</t>
    <phoneticPr fontId="2"/>
  </si>
  <si>
    <t>+40〜64 人時</t>
    <phoneticPr fontId="2"/>
  </si>
  <si>
    <t>L2 Config Rules が組織に存在しない</t>
    <phoneticPr fontId="2"/>
  </si>
  <si>
    <t>+8 人時の実装が必須発生（v4 で「前提頼み」から「無ければ必ず作る」に格上げ、W1-6）。放置すると死角が塞がらない</t>
    <phoneticPr fontId="2"/>
  </si>
  <si>
    <t>WAF 許可ルール調整の難航</t>
    <phoneticPr fontId="2"/>
  </si>
  <si>
    <t>副対策（K4 系）のみで暫定リリース可</t>
    <phoneticPr fontId="2"/>
  </si>
  <si>
    <t>Service Catalog 製品の組織承認が重い</t>
    <phoneticPr fontId="2"/>
  </si>
  <si>
    <t>監視自体は先行リリース可</t>
    <phoneticPr fontId="2"/>
  </si>
  <si>
    <t>Keycloak クライアント発行の遅延</t>
    <phoneticPr fontId="2"/>
  </si>
  <si>
    <t>Negative のみで先行可（設計上許容）</t>
    <phoneticPr fontId="2"/>
  </si>
  <si>
    <t>7. メモ（クリティカルパス・体制）</t>
    <phoneticPr fontId="2"/>
  </si>
  <si>
    <t>クリティカルパス: W2-A → C0〜C12（発見）/ K 系・R 系（検査） → W3-2 → T-A / T-B →（W4-1 → W5-4）。</t>
    <phoneticPr fontId="2"/>
  </si>
  <si>
    <t>1 名専任で実働 約 3 か月（外部リードタイム除く）。W2 と W3-2 を 2 名並行なら 約 2 か月。</t>
    <phoneticPr fontId="2"/>
  </si>
  <si>
    <t>W1 は初日に発注（W1-1 / W1-2 は同梱。W1-3 / W1-4 / W1-6 は個別に並行）。</t>
    <phoneticPr fontId="2"/>
  </si>
  <si>
    <t>認証実装確認処理 ランニング費用（AWS 利用料）</t>
    <phoneticPr fontId="2"/>
  </si>
  <si>
    <t>対象範囲: 認証実装確認処理（外形監視）の機構のみ。アプリ本体・CloudFront / WAF（ネットワーク監査アカウント）・CodeCommit のアプリ利用分・ガイドライン章の費用は含まない。</t>
    <phoneticPr fontId="2"/>
  </si>
  <si>
    <t>1. 前提パラメータ</t>
    <phoneticPr fontId="2"/>
  </si>
  <si>
    <t>パラメータ</t>
    <phoneticPr fontId="2"/>
  </si>
  <si>
    <t>将来（拡大時）</t>
    <phoneticPr fontId="2"/>
  </si>
  <si>
    <t>P-1</t>
    <phoneticPr fontId="2"/>
  </si>
  <si>
    <t>App アカウント数 = アプリ数</t>
    <phoneticPr fontId="2"/>
  </si>
  <si>
    <t>WBS（Phase 1 ≈ 3 アカウント）</t>
    <phoneticPr fontId="2"/>
  </si>
  <si>
    <t>P-2</t>
    <phoneticPr fontId="2"/>
  </si>
  <si>
    <t>環境数 / アプリ</t>
    <phoneticPr fontId="2"/>
  </si>
  <si>
    <t>2（prod + stg）</t>
    <phoneticPr fontId="2"/>
  </si>
  <si>
    <t>monitoring.yaml 規約</t>
    <phoneticPr fontId="2"/>
  </si>
  <si>
    <t>P-3</t>
    <phoneticPr fontId="2"/>
  </si>
  <si>
    <t>endpoint 数 / アプリ</t>
    <phoneticPr fontId="2"/>
  </si>
  <si>
    <t>想定値（要ヒアリング）</t>
    <phoneticPr fontId="2"/>
  </si>
  <si>
    <t>P-4</t>
    <phoneticPr fontId="2"/>
  </si>
  <si>
    <t>1 時間毎 = 約 730 回/月</t>
    <phoneticPr fontId="2"/>
  </si>
  <si>
    <t>同左</t>
    <phoneticPr fontId="2"/>
  </si>
  <si>
    <t>P-5</t>
    <phoneticPr fontId="2"/>
  </si>
  <si>
    <t>1 回/営業日/アプリ ≈ 60 回/月</t>
    <phoneticPr fontId="2"/>
  </si>
  <si>
    <t>600 回/月</t>
    <phoneticPr fontId="2"/>
  </si>
  <si>
    <t>想定値</t>
    <phoneticPr fontId="2"/>
  </si>
  <si>
    <t>P-6</t>
    <phoneticPr fontId="2"/>
  </si>
  <si>
    <t>月 1 回</t>
    <phoneticPr fontId="2"/>
  </si>
  <si>
    <t>運用工数 OP-3（推奨頻度、未決 RC-Q-2）</t>
    <phoneticPr fontId="2"/>
  </si>
  <si>
    <t>P-7</t>
    <phoneticPr fontId="2"/>
  </si>
  <si>
    <t>Lambda メモリ / 実行時間</t>
    <phoneticPr fontId="2"/>
  </si>
  <si>
    <t>発見 512MB×60s、チェック 512MB×120s、Router 256MB×5s</t>
    <phoneticPr fontId="2"/>
  </si>
  <si>
    <t>発見は巡回対象比例で 300s</t>
    <phoneticPr fontId="2"/>
  </si>
  <si>
    <t>想定値（W3-5 実測で本決め）</t>
    <phoneticPr fontId="2"/>
  </si>
  <si>
    <t>P-8</t>
    <phoneticPr fontId="2"/>
  </si>
  <si>
    <t>為替目安</t>
    <phoneticPr fontId="2"/>
  </si>
  <si>
    <t>$1 = ¥150</t>
    <phoneticPr fontId="2"/>
  </si>
  <si>
    <t>概算表示用</t>
    <phoneticPr fontId="2"/>
  </si>
  <si>
    <t>単価は 2026-08-19 に AWS 公式（価格ページ + Price List API、ap-northeast-1）で検証済み。Scheduler 東京 $1.25/M・Logs 取り込み東京 $0.76/GB に補正</t>
    <phoneticPr fontId="2"/>
  </si>
  <si>
    <t>2. 費用内訳（月額 USD、東京）</t>
    <phoneticPr fontId="2"/>
  </si>
  <si>
    <t>算定（Phase 1）</t>
    <phoneticPr fontId="2"/>
  </si>
  <si>
    <t>月額 USD（Phase 1）</t>
    <phoneticPr fontId="2"/>
  </si>
  <si>
    <t>月額 USD（将来 30）</t>
    <phoneticPr fontId="2"/>
  </si>
  <si>
    <t>負担アカウント</t>
    <phoneticPr fontId="2"/>
  </si>
  <si>
    <t>RC-1</t>
    <phoneticPr fontId="2"/>
  </si>
  <si>
    <t>730 回 × 60s × 0.5GB = 21,900 GB-s × $0.0000166667</t>
    <phoneticPr fontId="2"/>
  </si>
  <si>
    <t>$0.4</t>
    <phoneticPr fontId="2"/>
  </si>
  <si>
    <t>$1.8</t>
    <phoneticPr fontId="2"/>
  </si>
  <si>
    <t>共通基盤</t>
    <phoneticPr fontId="2"/>
  </si>
  <si>
    <t>将来は巡回 300s/回で試算</t>
    <phoneticPr fontId="2"/>
  </si>
  <si>
    <t>RC-2</t>
    <phoneticPr fontId="2"/>
  </si>
  <si>
    <t>63 回 × 120s × 0.5GB ≈ 3,800 GB-s</t>
    <phoneticPr fontId="2"/>
  </si>
  <si>
    <t>$0.1</t>
    <phoneticPr fontId="2"/>
  </si>
  <si>
    <t>$0.6</t>
    <phoneticPr fontId="2"/>
  </si>
  <si>
    <t>RC-3</t>
    <phoneticPr fontId="2"/>
  </si>
  <si>
    <t>発報数十回 × 5s × 0.25GB</t>
    <phoneticPr fontId="2"/>
  </si>
  <si>
    <t>$0.0</t>
    <phoneticPr fontId="2"/>
  </si>
  <si>
    <t>無料枠内</t>
    <phoneticPr fontId="2"/>
  </si>
  <si>
    <t>RC-4</t>
    <phoneticPr fontId="2"/>
  </si>
  <si>
    <t>スケジューラ</t>
    <phoneticPr fontId="2"/>
  </si>
  <si>
    <t>730 起動 × $1.25/M</t>
    <phoneticPr fontId="2"/>
  </si>
  <si>
    <t>無料枠 1,400 万起動/月</t>
    <phoneticPr fontId="2"/>
  </si>
  <si>
    <t>RC-5</t>
    <phoneticPr fontId="2"/>
  </si>
  <si>
    <t>S3 Standard</t>
    <phoneticPr fontId="2"/>
  </si>
  <si>
    <t>&lt;1GB + GET 約 1 万/月 + PUT 少量</t>
    <phoneticPr fontId="2"/>
  </si>
  <si>
    <t>$0.5</t>
    <phoneticPr fontId="2"/>
  </si>
  <si>
    <t>Versioning 込みでも KB オーダー</t>
    <phoneticPr fontId="2"/>
  </si>
  <si>
    <t>RC-6</t>
    <phoneticPr fontId="2"/>
  </si>
  <si>
    <t>シークレット</t>
    <phoneticPr fontId="2"/>
  </si>
  <si>
    <t>3 個 × $0.40（検査 トークン共通 + X-Auth-Probe + 予備）</t>
    <phoneticPr fontId="2"/>
  </si>
  <si>
    <t>$1.2</t>
    <phoneticPr fontId="2"/>
  </si>
  <si>
    <t>$1.2〜12</t>
    <phoneticPr fontId="2"/>
  </si>
  <si>
    <t>将来 M-Q-11-4 スコープ B（アプリ別クライアント）採用なら 30 個 ≈ $12</t>
    <phoneticPr fontId="2"/>
  </si>
  <si>
    <t>RC-7</t>
    <phoneticPr fontId="2"/>
  </si>
  <si>
    <t>カスタムメトリクス</t>
    <phoneticPr fontId="2"/>
  </si>
  <si>
    <t>約 20 個（MM-1〜5 + AccountErrors + アプリ別次元 3×3 ほか）× $0.30</t>
    <phoneticPr fontId="2"/>
  </si>
  <si>
    <t>$6.0</t>
    <phoneticPr fontId="2"/>
  </si>
  <si>
    <t>$30.0</t>
    <phoneticPr fontId="2"/>
  </si>
  <si>
    <t>最大費目。メトリクスはディメンション組合せごとに 1 個課金 → アプリ数比例</t>
    <phoneticPr fontId="2"/>
  </si>
  <si>
    <t>RC-8</t>
    <phoneticPr fontId="2"/>
  </si>
  <si>
    <t>10 本（B2〜B8 + 保険系）× $0.10</t>
    <phoneticPr fontId="2"/>
  </si>
  <si>
    <t>$1.0</t>
    <phoneticPr fontId="2"/>
  </si>
  <si>
    <t>$1.5</t>
    <phoneticPr fontId="2"/>
  </si>
  <si>
    <t>RC-9</t>
    <phoneticPr fontId="2"/>
  </si>
  <si>
    <t>ダッシュボード</t>
    <phoneticPr fontId="2"/>
  </si>
  <si>
    <t>1 個（W4-3）</t>
    <phoneticPr fontId="2"/>
  </si>
  <si>
    <t>無料枠 3 個内</t>
    <phoneticPr fontId="2"/>
  </si>
  <si>
    <t>RC-10</t>
    <phoneticPr fontId="2"/>
  </si>
  <si>
    <t>ログ</t>
    <phoneticPr fontId="2"/>
  </si>
  <si>
    <t>CloudWatch Logs</t>
    <phoneticPr fontId="2"/>
  </si>
  <si>
    <t>取り込み 2GB × $0.76 + 保存</t>
    <phoneticPr fontId="2"/>
  </si>
  <si>
    <t>$2.0</t>
    <phoneticPr fontId="2"/>
  </si>
  <si>
    <t>$9.0</t>
    <phoneticPr fontId="2"/>
  </si>
  <si>
    <t>東京は $0.76/GB。保持期間の設定が保存費を左右（A 系で設定済み前提）</t>
    <phoneticPr fontId="2"/>
  </si>
  <si>
    <t>RC-11</t>
    <phoneticPr fontId="2"/>
  </si>
  <si>
    <t>通知メール</t>
    <phoneticPr fontId="2"/>
  </si>
  <si>
    <t>数百通/月</t>
    <phoneticPr fontId="2"/>
  </si>
  <si>
    <t>無料枠 1,000 通/月内。$2.00/10 万通</t>
    <phoneticPr fontId="2"/>
  </si>
  <si>
    <t>RC-12</t>
    <phoneticPr fontId="2"/>
  </si>
  <si>
    <t>Config Rules（②）</t>
    <phoneticPr fontId="2"/>
  </si>
  <si>
    <t>AWS Config</t>
    <phoneticPr fontId="2"/>
  </si>
  <si>
    <t>ルール評価 ~100 回 × $0.001 + 変更 CI ~100 × $0.003</t>
    <phoneticPr fontId="2"/>
  </si>
  <si>
    <t>$3.0</t>
    <phoneticPr fontId="2"/>
  </si>
  <si>
    <t>App 各アカウント</t>
    <phoneticPr fontId="2"/>
  </si>
  <si>
    <t>Config recorder は組織で有効済み前提（W1-6）。増分のみ計上</t>
    <phoneticPr fontId="2"/>
  </si>
  <si>
    <t>RC-13</t>
    <phoneticPr fontId="2"/>
  </si>
  <si>
    <t>CodeCommit アクティブユーザー</t>
    <phoneticPr fontId="2"/>
  </si>
  <si>
    <t>DiscoveryReadRole = 各 App アカウントで 1 アクティブユーザー（公式定義でクロスアカウントロールもカウント）</t>
    <phoneticPr fontId="2"/>
  </si>
  <si>
    <t>$0〜3</t>
    <phoneticPr fontId="2"/>
  </si>
  <si>
    <t>$0〜30</t>
    <phoneticPr fontId="2"/>
  </si>
  <si>
    <t>各アカウントの無料枠 5 ユーザー内なら $0。既に 5 人超のアカウントは +$1/月</t>
    <phoneticPr fontId="2"/>
  </si>
  <si>
    <t>RC-14</t>
    <phoneticPr fontId="2"/>
  </si>
  <si>
    <t>KMS</t>
    <phoneticPr fontId="2"/>
  </si>
  <si>
    <t>SSE-S3 なら不要。CMK 1 本なら $1 + リクエスト</t>
    <phoneticPr fontId="2"/>
  </si>
  <si>
    <t>$0〜1</t>
    <phoneticPr fontId="2"/>
  </si>
  <si>
    <t>暗号化方式は A 系 IaC の決定に従う（RC-Q-3）</t>
    <phoneticPr fontId="2"/>
  </si>
  <si>
    <t>合計</t>
    <phoneticPr fontId="2"/>
  </si>
  <si>
    <t>≈ $11〜15/月（≈ ¥1,700〜2,300）</t>
    <phoneticPr fontId="2"/>
  </si>
  <si>
    <t>≈ $48〜90/月（≈ ¥7,000〜14,000）</t>
    <phoneticPr fontId="2"/>
  </si>
  <si>
    <t>為替目安 $1 = ¥150</t>
    <phoneticPr fontId="2"/>
  </si>
  <si>
    <t>3. 読み方（要点）</t>
    <phoneticPr fontId="2"/>
  </si>
  <si>
    <t>機構のランニングは月 2,000 円前後で、支配項は CloudWatch（メトリクス + ログ = 費用の 2/3）。Lambda・S3・Scheduler は事実上ゼロ</t>
    <phoneticPr fontId="2"/>
  </si>
  <si>
    <t>アプリ数比例で増えるのは RC-7（メトリクス）・RC-10（ログ）・RC-12/13（App アカウント側）。30 アプリでも月 1 万円台</t>
    <phoneticPr fontId="2"/>
  </si>
  <si>
    <t>App アカウント側に発生する費用が 2 件ある（RC-12/13）。課金按分の説明にこの 2 件を「監視のための共通負担」として明記が必要 → RC-Q-1</t>
    <phoneticPr fontId="2"/>
  </si>
  <si>
    <t>4. 未決（費用）</t>
    <phoneticPr fontId="2"/>
  </si>
  <si>
    <t>認証実装確認処理 運用開始後の作業（運用工数）</t>
    <phoneticPr fontId="2"/>
  </si>
  <si>
    <t>体制想定 = 共通基盤チーム内の兼務 1 名。頻度は Phase 1（3 アプリ）想定で、導入期 3 か月の実績で v2 改訂（OP-Q-1）</t>
    <phoneticPr fontId="2"/>
  </si>
  <si>
    <t>時間は 1 件あたりの実働。「件数 × 時間」の変動項はアプリ数比例で、30 アプリ時は下部の集計表を参照。根拠: Runbook 5 本（W4-1 ①〜⑤）、メタ監視 MM-1〜5、4×4 分類。</t>
    <phoneticPr fontId="2"/>
  </si>
  <si>
    <t>1. 作業一覧（分類別）</t>
    <phoneticPr fontId="2"/>
  </si>
  <si>
    <t>作業</t>
    <phoneticPr fontId="2"/>
  </si>
  <si>
    <t>周期 or 件数/月</t>
    <phoneticPr fontId="2"/>
  </si>
  <si>
    <t>1 回 h</t>
    <phoneticPr fontId="2"/>
  </si>
  <si>
    <t>月換算 h</t>
    <phoneticPr fontId="2"/>
  </si>
  <si>
    <t>OP-1</t>
    <phoneticPr fontId="2"/>
  </si>
  <si>
    <t>定期</t>
    <phoneticPr fontId="2"/>
  </si>
  <si>
    <t>日次ヘルスチェック</t>
    <phoneticPr fontId="2"/>
  </si>
  <si>
    <t>ダッシュボード確認（巡回成功・未処理アラート・AccountErrors）</t>
    <phoneticPr fontId="2"/>
  </si>
  <si>
    <t>営業日</t>
    <phoneticPr fontId="2"/>
  </si>
  <si>
    <t>OP-2</t>
    <phoneticPr fontId="2"/>
  </si>
  <si>
    <t>月次棚卸し</t>
    <phoneticPr fontId="2"/>
  </si>
  <si>
    <t>消滅レコード削除・公開印 skip 濫用レビュー・enabled 一覧確認（Runbook ⑤）</t>
    <phoneticPr fontId="2"/>
  </si>
  <si>
    <t>月</t>
    <phoneticPr fontId="2"/>
  </si>
  <si>
    <t>OP-3</t>
    <phoneticPr fontId="2"/>
  </si>
  <si>
    <t>全アプリ全量検査 + 結果確認（Runbook ②）</t>
    <phoneticPr fontId="2"/>
  </si>
  <si>
    <t>月（RC-Q-2）</t>
    <phoneticPr fontId="2"/>
  </si>
  <si>
    <t>OP-4</t>
    <phoneticPr fontId="2"/>
  </si>
  <si>
    <t>アラームテスト発報</t>
    <phoneticPr fontId="2"/>
  </si>
  <si>
    <t>B-2 相当の擬似ケースで通知経路を通す訓練</t>
    <phoneticPr fontId="2"/>
  </si>
  <si>
    <t>四半期</t>
    <phoneticPr fontId="2"/>
  </si>
  <si>
    <t>OP-5</t>
    <phoneticPr fontId="2"/>
  </si>
  <si>
    <t>シークレットローテ確認</t>
    <phoneticPr fontId="2"/>
  </si>
  <si>
    <t>検査 トークンクライアント・X-Auth-Probe secret（T2 自動なら結果確認のみ）</t>
    <phoneticPr fontId="2"/>
  </si>
  <si>
    <t>OP-6</t>
    <phoneticPr fontId="2"/>
  </si>
  <si>
    <t>権限棚卸し</t>
    <phoneticPr fontId="2"/>
  </si>
  <si>
    <t>DiscoveryReadRole 信頼先・ExternalId・AssumeRole CloudTrail 監査</t>
    <phoneticPr fontId="2"/>
  </si>
  <si>
    <t>半期</t>
    <phoneticPr fontId="2"/>
  </si>
  <si>
    <t>OP-7</t>
    <phoneticPr fontId="2"/>
  </si>
  <si>
    <t>ランタイム・SDK 更新</t>
    <phoneticPr fontId="2"/>
  </si>
  <si>
    <t>Lambda ランタイム EOL 追随・依存更新 + 回帰（W3 の UT 資産流用）</t>
    <phoneticPr fontId="2"/>
  </si>
  <si>
    <t>年</t>
    <phoneticPr fontId="2"/>
  </si>
  <si>
    <t>OP-8</t>
    <phoneticPr fontId="2"/>
  </si>
  <si>
    <t>ガイド・Schema 年次見直し</t>
    <phoneticPr fontId="2"/>
  </si>
  <si>
    <t>利用ガイド / JSON Schema / FAQ の改訂</t>
    <phoneticPr fontId="2"/>
  </si>
  <si>
    <t>定期 小計</t>
    <phoneticPr fontId="2"/>
  </si>
  <si>
    <t>OP-9</t>
    <phoneticPr fontId="2"/>
  </si>
  <si>
    <t>発生ベース</t>
    <phoneticPr fontId="2"/>
  </si>
  <si>
    <t>P1 対応</t>
    <phoneticPr fontId="2"/>
  </si>
  <si>
    <t>認証漏れ疑いの一次切り分け（真の漏れ / 設定ずれ / 誤検知）→ アプリ連絡 → 暫定遮断判断（Runbook ①）</t>
    <phoneticPr fontId="2"/>
  </si>
  <si>
    <t>OP-10</t>
    <phoneticPr fontId="2"/>
  </si>
  <si>
    <t>P2 対応</t>
    <phoneticPr fontId="2"/>
  </si>
  <si>
    <t>OP-11</t>
    <phoneticPr fontId="2"/>
  </si>
  <si>
    <t>P3・問い合わせ対応</t>
    <phoneticPr fontId="2"/>
  </si>
  <si>
    <t>アプリ通知系のフォロー・FAQ 対応</t>
    <phoneticPr fontId="2"/>
  </si>
  <si>
    <t>OP-12</t>
    <phoneticPr fontId="2"/>
  </si>
  <si>
    <t>誤検知調査</t>
    <phoneticPr fontId="2"/>
  </si>
  <si>
    <t>WAF 干渉（X-Auth-Probe 不通など）・WARN 分類の原因調査</t>
    <phoneticPr fontId="2"/>
  </si>
  <si>
    <t>OP-13</t>
    <phoneticPr fontId="2"/>
  </si>
  <si>
    <t>メタ監視（MM）発報対応</t>
    <phoneticPr fontId="2"/>
  </si>
  <si>
    <t>DiscoveryLastSuccess 欠損等の初動（Runbook ③）</t>
    <phoneticPr fontId="2"/>
  </si>
  <si>
    <t>OP-14</t>
    <phoneticPr fontId="2"/>
  </si>
  <si>
    <t>新規アプリ導入支援</t>
    <phoneticPr fontId="2"/>
  </si>
  <si>
    <t>monitoring.yaml レビュー（apiGatewayId 宣言含む）・初回検知確認</t>
    <phoneticPr fontId="2"/>
  </si>
  <si>
    <t>OP-15</t>
    <phoneticPr fontId="2"/>
  </si>
  <si>
    <t>外部調整の維持</t>
    <phoneticPr fontId="2"/>
  </si>
  <si>
    <t>WAF ルール変更追随・Keycloak クライアント更新・NW-2 例外の年次更新</t>
    <phoneticPr fontId="2"/>
  </si>
  <si>
    <t>発生ベース 小計</t>
    <phoneticPr fontId="2"/>
  </si>
  <si>
    <t>OP-16</t>
    <phoneticPr fontId="2"/>
  </si>
  <si>
    <t>改善・維持</t>
    <phoneticPr fontId="2"/>
  </si>
  <si>
    <t>設計書・Excel・Runbook の同期</t>
    <phoneticPr fontId="2"/>
  </si>
  <si>
    <t>実装差分・未決消し込みの反映</t>
    <phoneticPr fontId="2"/>
  </si>
  <si>
    <t>OP-17</t>
    <phoneticPr fontId="2"/>
  </si>
  <si>
    <t>閾値チューニング</t>
    <phoneticPr fontId="2"/>
  </si>
  <si>
    <t>アラーム・WARN 分類の見直し（実績ベース）</t>
    <phoneticPr fontId="2"/>
  </si>
  <si>
    <t>改善・維持 小計</t>
    <phoneticPr fontId="2"/>
  </si>
  <si>
    <t>2. 集計</t>
    <phoneticPr fontId="2"/>
  </si>
  <si>
    <t>期間</t>
    <phoneticPr fontId="2"/>
  </si>
  <si>
    <t>月間工数</t>
    <phoneticPr fontId="2"/>
  </si>
  <si>
    <t>人日/月</t>
    <phoneticPr fontId="2"/>
  </si>
  <si>
    <t>FTE 換算</t>
    <phoneticPr fontId="2"/>
  </si>
  <si>
    <t>導入期（リリース後 3 か月）</t>
    <phoneticPr fontId="2"/>
  </si>
  <si>
    <t>約 39h（定常 26h × 1.5。チューニング・導入支援・誤検知が集中）</t>
    <phoneticPr fontId="2"/>
  </si>
  <si>
    <t>定常期（Phase 1、3 アプリ）</t>
    <phoneticPr fontId="2"/>
  </si>
  <si>
    <t>約 26h</t>
    <phoneticPr fontId="2"/>
  </si>
  <si>
    <t>拡大時（30 アプリ）</t>
    <phoneticPr fontId="2"/>
  </si>
  <si>
    <t>約 55h（OP-9〜14 がアプリ数比例で ×3〜4、定期作業は微増）</t>
    <phoneticPr fontId="2"/>
  </si>
  <si>
    <t>3. 読み方</t>
    <phoneticPr fontId="2"/>
  </si>
  <si>
    <t>専任は不要。定常期は兼務 1 名で 2 割弱の稼働。拡大時も 0.3〜0.4 FTE</t>
    <phoneticPr fontId="2"/>
  </si>
  <si>
    <t>工数の半分は発生ベース（OP-9〜15）であり、想定件数は運用実績で必ずブレる。導入期 3 か月の実績で頻度を実測し、本表を v2 改訂する（OP-Q-1）</t>
    <phoneticPr fontId="2"/>
  </si>
  <si>
    <t>P1（OP-9）は件数こそ少ないが対応期限が最も厳しい（認証漏れの可能性 = セキュリティインシデント扱い）。Runbook ① の一次切り分け 30 分以内を目標にする</t>
    <phoneticPr fontId="2"/>
  </si>
  <si>
    <t>4. 未決（運用）</t>
    <phoneticPr fontId="2"/>
  </si>
  <si>
    <t>検査を各アプリに配らず、共通基盤アカウントの認証実装確認処理（Lambda）が全アプリを横断監視する。</t>
    <phoneticPr fontId="2"/>
  </si>
  <si>
    <t>4 アカウント区分（共通基盤／ネットワーク監査＝境界／App A／App B）と 11 ノード（発見 Lambda・Monitoring Registry S3・認証実装確認処理 Lambda・Alert Router・SNS／CloudFront+WAF ×2／CodeCommit ×2・API GW / ALB ×2）、矢印 11 本。巡回読み取り（発見 Lambda → CodeCommit）は境界非経由、検査は境界経由で描き分ける</t>
    <phoneticPr fontId="2"/>
  </si>
  <si>
    <t>Negative status × Positive status の 8 組合せ → OK / CRITICAL / WARN / INFO → severity・priority → P1 Security 即時 / P2 Platform 24h / P3 App team / 通知なし。分類を 検査と Alert Router が共有すること、ARN は台帳 alertRouting → 環境変数の 2 段解決であることを併記</t>
    <phoneticPr fontId="2"/>
  </si>
  <si>
    <t>検査は実 UX と同じ境界経由</t>
    <phoneticPr fontId="2"/>
  </si>
  <si>
    <t>注記: 境界（CloudFront + WAF）はネットワーク監査アカウントにあり、検査はそこを実ユーザーと同じ経路で通る</t>
    <phoneticPr fontId="2"/>
  </si>
  <si>
    <t>注記: Lambda 3 本はすべて VPC 外（Lambda マネージド網）に配置する。VPC / VPC Endpoint 群 / TGW Attachment / NAT が一切不要になる。代償として 検査の外向き HTTPS がアウトバウンド境界（NWFW）を通らない ——これは NW-2 の明示的な例外として受容し、代償統制で補う（詳細は 08_セキュリティ・IAM シート）</t>
    <phoneticPr fontId="2"/>
  </si>
  <si>
    <t>検査の対象（アプリの認証実装そのもの）。検査が実際に叩く</t>
    <phoneticPr fontId="2"/>
  </si>
  <si>
    <t>インターネット境界（Origin Protection）。検査は実ユーザーと同じくここを経由して検査する（境界を破らない）</t>
    <phoneticPr fontId="2"/>
  </si>
  <si>
    <t>巡回 + 変化時 検査で概ね無料枠内</t>
    <phoneticPr fontId="2"/>
  </si>
  <si>
    <t>Lambda 標準 Errors + 非同期 起動の DLQ（SQS）</t>
    <phoneticPr fontId="2"/>
  </si>
  <si>
    <t>死守事項 MON-1（必須・default-deny）: すべての endpoint はデフォルトで「認証必須」とみなす。認証不要（public）な endpoint は x-synthetics-skip-auth-check: true を必ず明示する。明示のない endpoint は認証必須として 未認証検査で検査し、未認証で 2xx が返れば CRITICAL/P1（認証漏れ）とする</t>
    <phoneticPr fontId="2"/>
  </si>
  <si>
    <t>7. 4×4 真偽値表（分類ロジック。検査と alert-router で共有）</t>
    <phoneticPr fontId="2"/>
  </si>
  <si>
    <t>描くべき内容: Negative × Positive の 8 組合せ → OK / CRITICAL / WARN / INFO → severity・priority → P1 Security 即時 / P2 Platform 24h / P3 App team / 通知なし。分類を 検査と Alert Router が共有、ARN は台帳 alertRouting → 環境変数の 2 段解決</t>
    <phoneticPr fontId="2"/>
  </si>
  <si>
    <t>前提: 表の 401/403 は「アプリの認証レイヤーが返した」ものであること。WAF が 検査をブロックした 403 は別扱い（WARN「境界でブロック」。下記 10.）。</t>
    <phoneticPr fontId="2"/>
  </si>
  <si>
    <t>検査はインバウンド境界の WAF を通過する。WAF のルール（レートベース / Bot Control / ジオ制限等）が 検査 自体をブロックすると、応答コードが同じ 403 でも意味がまったく違うため、2 種類の誤判定が起きる。</t>
    <phoneticPr fontId="2"/>
  </si>
  <si>
    <t>WAF が 検査をブロックすると</t>
    <phoneticPr fontId="2"/>
  </si>
  <si>
    <t>未認証検査が WAF 403</t>
    <phoneticPr fontId="2"/>
  </si>
  <si>
    <t>正規検査が WAF 403</t>
    <phoneticPr fontId="2"/>
  </si>
  <si>
    <t>検査の識別と WAF 許可</t>
    <phoneticPr fontId="2"/>
  </si>
  <si>
    <t>検査は固定の識別ヘッダ（例 X-Auth-Probe: &lt;secret&gt;）を付与し、各アプリの WAF に「この識別を持つリクエストは Bot Control / レートルールの対象外」とする許可ルールを入れる（Origin Protection の X-Origin-Verify と同じ発想）。WAF は境界管理側のため設定依頼が必要（M-Q-11-5）。検査は変更時のみ・低頻度なのでレートルールには通常かからないが、Bot Control / ジオ制限は明示許可がないと誤爆し得る</t>
    <phoneticPr fontId="2"/>
  </si>
  <si>
    <t>WAF ブロック応答は API GW / アプリの 401/403 と応答の形が異なる（CloudFront / WAF 由来のエラーボディ・ヘッダ）。分類は WAF ブロックと判定できた場合、OK / CRITICAL ではなく WARN「検査が境界でブロックされた（テスト構成問題）」に分類し、Smoke test にも境界通過確認を含める</t>
    <phoneticPr fontId="2"/>
  </si>
  <si>
    <t>原則: 「403 だから認証は効いている」とは限らない。検査が認証レイヤーに到達したことを確かめて初めて Negative の 401/403 を「正常」と判定できる。</t>
    <phoneticPr fontId="2"/>
  </si>
  <si>
    <t>検査は境界越しに実ユーザーと同じ経路で検査する。認証実装確認処理は共通基盤アカウント（自社管理）に置くため、境界が他組織管理になっても再設計は不要。影響は 検査 先経路の調整のみ（BD-Q-01）</t>
    <phoneticPr fontId="2"/>
  </si>
  <si>
    <t>宛先 allowlist をコードで強制（検査の接続先は App Registry の baseUrl と設定済み token URL のみ。任意 URL を受け取る口を作らない）+ IAM 最小権限 + CloudTrail / Lambda ログで監査</t>
    <phoneticPr fontId="2"/>
  </si>
  <si>
    <t>→ 短命アクセストークン（5〜15 分）取得 → 正規検査に使用 → 破棄</t>
    <phoneticPr fontId="2"/>
  </si>
  <si>
    <t>Lambda 3 本は VPC 外配置（VPC / EP / TGW / NAT 不要）。検査の外向き HTTPS は NW-2（NWFW 経由）の明示的例外として受容し、宛先 allowlist のコード強制 + 中央管理コード + 監査で代償</t>
    <phoneticPr fontId="2"/>
  </si>
  <si>
    <t>宛先が固定 3 種のみで任意外部 SaaS を呼ばない監視系に NWFW 経路を組むのは複雑さに見合わない。例外承認は M-Q-10-3、Phase 2 Private 対応時に 検査のみ VPC 化。In 境界（CloudFront + WAF）は従来どおり実 UX と同じ向きで通過</t>
    <phoneticPr fontId="2"/>
  </si>
  <si>
    <t>分類は 4×4 真偽値表、分類を 検査 / alert-router で共通化</t>
    <phoneticPr fontId="2"/>
  </si>
  <si>
    <t>検査は Lambda + 共通 probe lib（OpenAPI 動的発見）。Synthetics / Multi Checks は将来オプション</t>
    <phoneticPr fontId="2"/>
  </si>
  <si>
    <t>独立テスト + 分類の共通化</t>
    <phoneticPr fontId="2"/>
  </si>
  <si>
    <t>検査は Public URL 経由でクロスアカウント権限不要</t>
    <phoneticPr fontId="2"/>
  </si>
  <si>
    <t>Lambda 15 分制限に構造で当たらない。検査は読み取り検査で重複無害</t>
    <phoneticPr fontId="2"/>
  </si>
  <si>
    <t>【解説】インターネット境界（CloudFront+WAF）が他組織管理になるかの確定待ち。確定しても中央リソースは自社の共通基盤アカウントにあるため再設計は不要で、検査が境界を通る経路の運用調整のみ発生する。【回答】当方では決められない（ROSA 側 P-18 の確定待ち）。→ 確定日と結果を記入: ＿＿</t>
    <phoneticPr fontId="2"/>
  </si>
  <si>
    <t>【解説】検査はインバウンド境界の WAF を通過するため、WAF（Bot Control / ジオ制限等）が 検査 自体を 403 でブロックすると、認証レイヤーに到達していないのに「401/403 = 認証は正常」と誤判定する（偽陰性）、または「認証逆転 CRITICAL」と誤報する。対策として 検査に固定の識別ヘッダ（例 X-Auth-Probe）を付け、各アプリの WAF でレート／Bot Control ルールの対象外とする許可ルールを境界管理側に入れてもらう必要がある。M-Q-10-3（NW-2 例外承認）と依頼先が同じため同梱で調整できる。【回答】依頼・合意タスク。依頼日と合意内容を記入: ＿＿</t>
    <phoneticPr fontId="2"/>
  </si>
  <si>
    <t>検査の S3Client に forcePathStyle 相当のテスト用オプションを持たせるか（本番不要）</t>
    <phoneticPr fontId="2"/>
  </si>
  <si>
    <t>検査 Lambda（central-probe-lib を Lambda ハンドラに転用）</t>
    <phoneticPr fontId="2"/>
  </si>
  <si>
    <t>エントリ作成 + W1-4 で発行された client_id / secret の格納・検査からの取得確認</t>
    <phoneticPr fontId="2"/>
  </si>
  <si>
    <t>上記の実装（B1-i の 発行と連動）</t>
    <phoneticPr fontId="2"/>
  </si>
  <si>
    <t>巡回 1 実行・1 アプリ 検査の所要時間実測（3 アカウント）→ Duration ほか B 系アラーム閾値の確定値を監視設計書（B0-d）に反映</t>
    <phoneticPr fontId="2"/>
  </si>
  <si>
    <t>検査の通信は CloudFront 経由の HTTPS 数千リクエスト/月でデータ転送費は誤差（&lt;$0.1）。apigateway:GET などコントロールプレーン呼び出しは非課金（公式価格ページの課金対象一覧に含まれないことを確認済み）</t>
    <phoneticPr fontId="2"/>
  </si>
  <si>
    <t>メタ不足・消滅検知・Config 設定ずれの確認とアプリ督促</t>
    <phoneticPr fontId="2"/>
  </si>
  <si>
    <t>エラー処理: 検査 Lambda からの起動は単一イベント想定だが配列でも処理（バッチ耐性）。1 件でも失敗したら throw → Lambda 失敗（retry / DLQ 発火）。classify.js と format.js の SEVERITY_META が 4×4 の分類定義を共有する。</t>
  </si>
  <si>
    <t>11.</t>
    <phoneticPr fontId="2"/>
  </si>
  <si>
    <t>12.</t>
    <phoneticPr fontId="2"/>
  </si>
  <si>
    <t>4. 用語</t>
    <phoneticPr fontId="2"/>
  </si>
  <si>
    <t>検査（probe）</t>
    <phoneticPr fontId="2"/>
  </si>
  <si>
    <t>未認証検査（Negative probe）</t>
    <phoneticPr fontId="2"/>
  </si>
  <si>
    <t>正規検査（Positive probe）</t>
    <phoneticPr fontId="2"/>
  </si>
  <si>
    <t>検査ロジック（probe lib）</t>
    <phoneticPr fontId="2"/>
  </si>
  <si>
    <t>06_実行トリガー</t>
    <phoneticPr fontId="2"/>
  </si>
  <si>
    <t>検査の実行タイミング（トリガー）設計 — いつ・何をきっかけに検査が走るか</t>
    <phoneticPr fontId="2"/>
  </si>
  <si>
    <t>検査が「どう動くか」は 05_処理フロー、「いつ動くか」は本シート</t>
    <phoneticPr fontId="2"/>
  </si>
  <si>
    <t>自動差分検査（モード1）</t>
    <phoneticPr fontId="2"/>
  </si>
  <si>
    <t>検査 Lambda（自動差分検査（モード1））</t>
    <phoneticPr fontId="2"/>
  </si>
  <si>
    <t>0. このシートに載せるデータ定義の一覧</t>
    <phoneticPr fontId="2"/>
  </si>
  <si>
    <t>何のために使うか</t>
    <phoneticPr fontId="2"/>
  </si>
  <si>
    <t>本シートの節</t>
    <phoneticPr fontId="2"/>
  </si>
  <si>
    <t>App Registry（S3 台帳）スキーマ</t>
    <phoneticPr fontId="2"/>
  </si>
  <si>
    <t>中央が「どのアプリをどう検査するか」を読む唯一の管理簿</t>
    <phoneticPr fontId="2"/>
  </si>
  <si>
    <t>1.</t>
    <phoneticPr fontId="2"/>
  </si>
  <si>
    <t>Monitoring Registry S3 構造</t>
    <phoneticPr fontId="2"/>
  </si>
  <si>
    <t>バケットとキー体系（registry/{appId}/{env}.json、openapi/{accountId}/{appId}/openapi.yaml）・Versioning</t>
    <phoneticPr fontId="2"/>
  </si>
  <si>
    <t>台帳と API 仕様書コピーの置き場所の取り決め</t>
    <phoneticPr fontId="2"/>
  </si>
  <si>
    <t>2.</t>
    <phoneticPr fontId="2"/>
  </si>
  <si>
    <t>authPattern enum（6 値）</t>
    <phoneticPr fontId="2"/>
  </si>
  <si>
    <t>認証方式の識別子と、方式ごとの未認証時の期待応答・正規検査の手段</t>
    <phoneticPr fontId="2"/>
  </si>
  <si>
    <t>検査の期待値（401 / 403 / 302 など）を切り替える</t>
    <phoneticPr fontId="2"/>
  </si>
  <si>
    <t>3.</t>
    <phoneticPr fontId="2"/>
  </si>
  <si>
    <t>台帳への供給源。このファイルの有無が監視対象の宣言そのもの</t>
    <phoneticPr fontId="2"/>
  </si>
  <si>
    <t>4.</t>
    <phoneticPr fontId="2"/>
  </si>
  <si>
    <t>OpenAPI アノテーションと MON-1</t>
    <phoneticPr fontId="2"/>
  </si>
  <si>
    <t>検査制御の印 7 種（公開明示 x-synthetics-skip-auth-check ほか）と default-deny の原則</t>
    <phoneticPr fontId="2"/>
  </si>
  <si>
    <t>どの endpoint をどう検査するかの指定</t>
    <phoneticPr fontId="2"/>
  </si>
  <si>
    <t>5.</t>
    <phoneticPr fontId="2"/>
  </si>
  <si>
    <t>CloudWatch Metrics</t>
    <phoneticPr fontId="2"/>
  </si>
  <si>
    <t>namespace・Dimensions・メトリクス 5 種・アラーム条件</t>
    <phoneticPr fontId="2"/>
  </si>
  <si>
    <t>検査結果の記録と発報</t>
    <phoneticPr fontId="2"/>
  </si>
  <si>
    <t>6.</t>
    <phoneticPr fontId="2"/>
  </si>
  <si>
    <t>4×4 真偽値表</t>
    <phoneticPr fontId="2"/>
  </si>
  <si>
    <t>未認証検査 × 正規検査の応答組合せ 8 行 → 重大度・優先度・通知先</t>
    <phoneticPr fontId="2"/>
  </si>
  <si>
    <t>検知結果の判定ロジック（検査と Alert Router が共有）</t>
    <phoneticPr fontId="2"/>
  </si>
  <si>
    <t>7.</t>
    <phoneticPr fontId="2"/>
  </si>
  <si>
    <t>Alert イベント形式</t>
    <phoneticPr fontId="2"/>
  </si>
  <si>
    <t>検査 → Alert Router へ渡す JSON の 10 項目</t>
    <phoneticPr fontId="2"/>
  </si>
  <si>
    <t>通知の入力データ</t>
    <phoneticPr fontId="2"/>
  </si>
  <si>
    <t>8.</t>
    <phoneticPr fontId="2"/>
  </si>
  <si>
    <t>環境別の検査動作</t>
    <phoneticPr fontId="2"/>
  </si>
  <si>
    <t>本番 / 検証それぞれの未認証検査・正規検査・POST の実施範囲</t>
    <phoneticPr fontId="2"/>
  </si>
  <si>
    <t>本番での副作用回避の規則</t>
    <phoneticPr fontId="2"/>
  </si>
  <si>
    <t>9.</t>
    <phoneticPr fontId="2"/>
  </si>
  <si>
    <t>WAF 干渉と誤判定の防止</t>
    <phoneticPr fontId="2"/>
  </si>
  <si>
    <t>WAF 由来 403 の識別条件と対策 2 段（識別ヘッダ許可・分類側の防御）</t>
    <phoneticPr fontId="2"/>
  </si>
  <si>
    <t>4×4 判定の前提条件（403 の意味の切り分け）</t>
    <phoneticPr fontId="2"/>
  </si>
  <si>
    <t>10.</t>
    <phoneticPr fontId="2"/>
  </si>
  <si>
    <t>検査起動 payload</t>
    <phoneticPr fontId="2"/>
  </si>
  <si>
    <t>発見 Lambda → 検査 Lambda の受け渡し形式（mode / appId / env）と起動例</t>
    <phoneticPr fontId="2"/>
  </si>
  <si>
    <t>検査識別ヘッダ X-Auth-Probe</t>
    <phoneticPr fontId="2"/>
  </si>
  <si>
    <t>ヘッダ名・値の保管場所・付与元・WAF 許可ルールとの対応</t>
    <phoneticPr fontId="2"/>
  </si>
  <si>
    <t>検査が WAF にブロックされ誤判定になるのを防ぐ</t>
    <phoneticPr fontId="2"/>
  </si>
  <si>
    <t>11. 検査起動 payload（発見 Lambda → 検査 Lambda）</t>
    <phoneticPr fontId="2"/>
  </si>
  <si>
    <t>mode</t>
    <phoneticPr fontId="2"/>
  </si>
  <si>
    <t>delta（変化のあった 1 アプリの全 endpoint）/ full（全アプリ全量）</t>
    <phoneticPr fontId="2"/>
  </si>
  <si>
    <t>delta</t>
    <phoneticPr fontId="2"/>
  </si>
  <si>
    <t>対象アプリ ID。delta では必須。full で指定すると特定アプリだけを全量検査</t>
    <phoneticPr fontId="2"/>
  </si>
  <si>
    <t>対象環境</t>
    <phoneticPr fontId="2"/>
  </si>
  <si>
    <t>{"mode":"full"}                            # 全アプリ Scan → 全 endpoint 検査</t>
    <phoneticPr fontId="2"/>
  </si>
  <si>
    <t>{"mode":"full","appId":"expense-api","env":"prod"}   # 特定アプリだけ全量</t>
    <phoneticPr fontId="2"/>
  </si>
  <si>
    <t>注記: full は台帳を List した後、アプリ単位に自分自身を分割起動する（1 Lambda 実行 = 1 アプリ）。全量を 1 実行で回さないため Lambda 15 分制限に当たらない。</t>
    <phoneticPr fontId="2"/>
  </si>
  <si>
    <t>12. 検査識別ヘッダ X-Auth-Probe</t>
    <phoneticPr fontId="2"/>
  </si>
  <si>
    <t>検査リクエストを WAF にボットと誤認させないための合言葉ヘッダ。これがないと「認証の 403」と「WAF の 403」が区別できず、偽陰性（漏れの見逃し）や誤 CRITICAL を招く。</t>
    <phoneticPr fontId="2"/>
  </si>
  <si>
    <t>ヘッダ名</t>
    <phoneticPr fontId="2"/>
  </si>
  <si>
    <t>X-Auth-Probe</t>
    <phoneticPr fontId="2"/>
  </si>
  <si>
    <t>secret（Secrets Manager に保管）。命名・値生成方法・ローテ方針は基盤リソース側で設計する</t>
    <phoneticPr fontId="2"/>
  </si>
  <si>
    <t>付与元</t>
    <phoneticPr fontId="2"/>
  </si>
  <si>
    <t>検査 Lambda。全検査リクエストに付与し、値は Secrets から参照する</t>
    <phoneticPr fontId="2"/>
  </si>
  <si>
    <t>各アプリの WAF に「この識別を持つリクエストは Bot Control / レートルールの対象外」とする許可ルールを入れてもらうための合言葉</t>
    <phoneticPr fontId="2"/>
  </si>
  <si>
    <t>発想の元</t>
    <phoneticPr fontId="2"/>
  </si>
  <si>
    <t>Origin Protection の X-Origin-Verify と同じ</t>
    <phoneticPr fontId="2"/>
  </si>
  <si>
    <t>設定主体</t>
    <phoneticPr fontId="2"/>
  </si>
  <si>
    <t>WAF は境界管理側の所管のため設定依頼が必要（M-Q-11-5）</t>
    <phoneticPr fontId="2"/>
  </si>
  <si>
    <t>WAF 側と値を合わせる運用。ローテ時は検査側も追従する</t>
    <phoneticPr fontId="2"/>
  </si>
  <si>
    <t>注記: 検査は変更時のみ・低頻度なのでレートルールには通常かからないが、Bot Control / ジオ制限は明示許可がないと誤爆し得る。secret 未取得時のフェイル動作は検査 Lambda の単体テスト対象。</t>
    <phoneticPr fontId="2"/>
  </si>
  <si>
    <t>分類ロジックは検査側の classify.js と共通化</t>
    <phoneticPr fontId="2"/>
  </si>
  <si>
    <t>図4. 巡回フロー（自動差分検査（モード1、旧称 M1） トリガー）</t>
    <phoneticPr fontId="2"/>
  </si>
  <si>
    <t>自動差分検査（モード1、旧称 M1） トリガの確定</t>
    <phoneticPr fontId="2"/>
  </si>
  <si>
    <t>処理設計書: 全体シーケンス図（W1〜W9 展開）/ 入出力定義（Scheduler イベント・台帳 JSON・自動差分検査（モード1、旧称 M1） payload）/ 環境変数一覧 / エラー・リトライ方針の実装割付 / ログ設計（相関 ID・マスク）</t>
    <phoneticPr fontId="2"/>
  </si>
  <si>
    <t>実行モード 自動差分検査（モード1、旧称 M1）</t>
    <phoneticPr fontId="2"/>
  </si>
  <si>
    <t>EventBridge（1h）→ 発見 Lambda。①Organizations 列挙 ②AssumeRole ③ListRepositories ④GetBranch ⑤lastCheckedCommitId 比較 ⑥GetDifferences / GetFile → 台帳更新・spec Put ⑦自動差分検査（モード1）起動 → lastCheckedCommitId 更新。分岐として新規発見（自動登録）・消滅検知（enabled=false）・メタ不足アラート</t>
    <phoneticPr fontId="2"/>
  </si>
  <si>
    <t>変化あり → 自動差分検査（モード1）起動</t>
    <phoneticPr fontId="2"/>
  </si>
  <si>
    <t>自動差分検査（モード1）起動（変更アプリのみ）</t>
    <phoneticPr fontId="2"/>
  </si>
  <si>
    <t>⑦ 自動差分検査（モード1）起動</t>
    <phoneticPr fontId="2"/>
  </si>
  <si>
    <t>自動差分検査（モード1）起動</t>
    <phoneticPr fontId="2"/>
  </si>
  <si>
    <t>3. 自動差分検査（モード1）の差分粒度は「アプリ単位」</t>
    <phoneticPr fontId="2"/>
  </si>
  <si>
    <t>4. 自動差分検査（モード1）の実行基盤（発見 → 検査の 2 段）</t>
    <phoneticPr fontId="2"/>
  </si>
  <si>
    <t>自動差分検査（モード1）と同じ認証実装チェック Lambda（mode=full）。実装 1 つを payload で切替</t>
    <phoneticPr fontId="2"/>
  </si>
  <si>
    <t>自動差分検査（モード1）起動が成功した後にのみ更新する。途中失敗時は据え置かれ、次回巡回が同じ差分を再検知する（at-least-once）。検査は読み取り検査で冪等のため重複実行は無害</t>
    <phoneticPr fontId="2"/>
  </si>
  <si>
    <t>{ mode: 'delta', appId, env }              # 発見 Lambda からの 自動差分検査（モード1）起動</t>
    <phoneticPr fontId="2"/>
  </si>
  <si>
    <t>自動差分検査（モード1）の差分粒度はアプリ単位（変更アプリの全 endpoint）</t>
    <phoneticPr fontId="2"/>
  </si>
  <si>
    <t>自動差分検査（モード1）のトリガは中央巡回（pull、1 時間毎）。アプリ側イベントに依存しない</t>
    <phoneticPr fontId="2"/>
  </si>
  <si>
    <t>自動差分検査（モード1）起動 設計</t>
    <phoneticPr fontId="2"/>
  </si>
  <si>
    <t>自動差分検査（モード1）起動 実装</t>
    <phoneticPr fontId="2"/>
  </si>
  <si>
    <t>自動差分検査（モード1）起動 単体テスト</t>
    <phoneticPr fontId="2"/>
  </si>
  <si>
    <t>LocalStack（3.8.1 ピン）/ SAM で 巡回 → 台帳登録 → 自動差分検査（モード1）起動 → 分類 → SNS（モック）の通し。確認観点: 台帳 JSON の内容 / spec 配置キー / 起動 payload / 4×4 分類結果</t>
    <phoneticPr fontId="2"/>
  </si>
  <si>
    <t>デプロイ（自動差分検査（モード1）起動）</t>
    <phoneticPr fontId="2"/>
  </si>
  <si>
    <t>mode=full は台帳を List した後、アプリ単位に自分自身を mode=delta 相当で 分割起動する（1 Lambda 実行 = 1 アプリ）。全量を 1 実行で回さないため、アプリ数が増えても Lambda 15 分制限に当たらない</t>
    <phoneticPr fontId="2"/>
  </si>
  <si>
    <t>検査した endpoint 総数</t>
    <phoneticPr fontId="2"/>
  </si>
  <si>
    <t>未決に M-Q-11-5（検査 識別ヘッダの WAF 許可）を追加。M-Q-18-5 を解決済みへ。運用設計（メタ監視 MM-1〜5 / エラー処理・冪等性 / スケール上限と 分割起動）、全量検査（モード2、旧称 M3「全量検査」）の 分割起動 実行方式、WAF 干渉と誤判定の防止、D-M-18-8・D-M-18-9 を追加</t>
    <phoneticPr fontId="2"/>
  </si>
  <si>
    <t>自動差分検査（モード1、旧称 M1）（自動・変更のあったアプリの全 endpoint）+ 全量検査（モード2、旧称 M3「全量検査」）（手動・全アプリ全 endpoint）。heartbeat 型検査（旧 M2、廃止 2026-08-20。将来必要なら Synthetics で復活）は将来。</t>
    <phoneticPr fontId="2"/>
  </si>
  <si>
    <t>自動差分検査（モード1） / 全量検査（モード2）</t>
    <phoneticPr fontId="2"/>
  </si>
  <si>
    <t>実行モード。自動差分検査（モード1） = 巡回差分（自動・1 時間毎の巡回で変化アプリのみ検査）／全量検査（モード2） = フル監査（手動）。</t>
    <phoneticPr fontId="2"/>
  </si>
  <si>
    <t>運用者（全量検査（モード2））+ 13 ノード。番号付き矢印 ①AssumeRole ②CodeCommit 読み取り ③台帳・spec 登録 ④自動差分検査（モード1）起動 ⑤未認証/正規検査 ⑥Metrics・Alert、および無番号の EventBridge→発見 Lambda／全量検査（モード2）／台帳取得／CloudFront→API GW／Alert Router→SNS／Service Catalog→API GW</t>
    <phoneticPr fontId="2"/>
  </si>
  <si>
    <t>①コミット &amp; デプロイ（静的解析 pass）②巡回発見（最大 1h）③自動差分検査（モード1） 自動 / 全量検査（モード2） 手動 ④検査 ⑤分類（OK は Metrics のみ・それ以外は ⑥ へ）⑥Alert Router ⑦通知 P1 / P2 / P3 ⑧是正 SLA。担当章の帯を添える</t>
    <phoneticPr fontId="2"/>
  </si>
  <si>
    <t>横軸を時間として、自動差分検査（モード1） = 1 時間毎の巡回（読み取り）と変更検知時のみ 検査（変更アプリの全 endpoint）／全量検査（モード2） = 手動・全アプリ全 endpoint／heartbeat 型検査（旧 M2、廃止 2026-08-20。将来必要なら Synthetics で復活） = 将来（重要 endpoint を 5-15 分）を並べ、検知遅延 最大 1 時間を明示</t>
    <phoneticPr fontId="2"/>
  </si>
  <si>
    <t>穴① コンソール直変更 → L2 Config Rules + 全量検査（モード2） + SCP、穴② コミット ≠ デプロイ → 次回巡回（1h 後）+ 全量検査（モード2）で補完。L5 外形監視が単層で完結しないこと、一次防衛が deploy 前ガード（静的解析・製品テンプレ）であることを図示</t>
    <phoneticPr fontId="2"/>
  </si>
  <si>
    <t>probe lib 共通。自動差分検査（モード1、旧称 M1） / 全量検査（モード2、旧称 M3「全量検査」） フル</t>
    <phoneticPr fontId="2"/>
  </si>
  <si>
    <t>台帳 List/Get + spec Get（自動差分検査（モード1）対象 / 全量検査（モード2） 全量）</t>
    <phoneticPr fontId="2"/>
  </si>
  <si>
    <t>全量検査（モード2） 手動実行</t>
    <phoneticPr fontId="2"/>
  </si>
  <si>
    <t>全量検査（モード2）</t>
    <phoneticPr fontId="2"/>
  </si>
  <si>
    <t>自動差分検査（モード1）起動（自動）／ 全量検査（モード2） フル（手動）</t>
    <phoneticPr fontId="2"/>
  </si>
  <si>
    <t>F2. 検査（検査）フロー — 自動差分検査（モード1） / 全量検査（モード2）の 1 実行</t>
    <phoneticPr fontId="2"/>
  </si>
  <si>
    <t>s3.ap-northeast-1.amazonaws.com（自動差分検査（モード1） = 対象 1 件 Get / 全量検査（モード2） = registry/ List → Get）</t>
    <phoneticPr fontId="2"/>
  </si>
  <si>
    <t>描くべき内容: 自動差分検査（モード1） = 1 時間毎の巡回（読み取り）と変更検知時のみ 検査（変更アプリの全 endpoint）／全量検査（モード2） = 手動・全アプリ全 endpoint／heartbeat 型検査（旧 M2、廃止 2026-08-20。将来必要なら Synthetics で復活） = 将来（重要 endpoint を 5-15 分）。検知遅延 最大 1 時間を明示</t>
    <phoneticPr fontId="2"/>
  </si>
  <si>
    <t>2. 自動差分検査（モード1）の巡回と heartbeat 型検査（旧 M2、廃止 2026-08-20。将来必要なら Synthetics で復活） heartbeat の違い（heartbeat 型検査（旧 M2、廃止 2026-08-20。将来必要なら Synthetics で復活）を当面なしとする現行仕様）</t>
    <phoneticPr fontId="2"/>
  </si>
  <si>
    <t>・heartbeat 型検査（旧 M2、廃止 2026-08-20。将来必要なら Synthetics で復活）は将来、アプリと重要 endpoint を合意した上で追加する（M-Q-18-1）。</t>
    <phoneticPr fontId="2"/>
  </si>
  <si>
    <t>5. 全量検査（モード2）（手動）</t>
    <phoneticPr fontId="2"/>
  </si>
  <si>
    <t>巡回差分（自動差分検査（モード1））/ 手動（全量検査（モード2））時のみ 検査</t>
    <phoneticPr fontId="2"/>
  </si>
  <si>
    <t>将来オプション: heartbeat 型検査（旧 M2、廃止 2026-08-20。将来必要なら Synthetics で復活）（常時 heartbeat）を追加する / HAR・スクリーンショット・Multilocation・run 履歴 UI が要る場合は、Synthetics canary を heartbeat 型検査（旧 M2、廃止 2026-08-20。将来必要なら Synthetics で復活）の実行環境として復活させる。その時も probe lib は共通</t>
    <phoneticPr fontId="2"/>
  </si>
  <si>
    <t>処理はアカウント単位の読み取り（数 API 呼び出し / repo）で軽く、Phase 1 の前提規模（対象約 3 アカウント）では 1 実行に十分収まる。収まらない規模に達したら親（列挙のみ）/ 子（1 アカウント処理）の 分割起動に分割する（構造は 全量検査（モード2）と同型。閾値監視は Lambda Duration アラームで前倒し検知）</t>
    <phoneticPr fontId="2"/>
  </si>
  <si>
    <t>検査 Lambda（全量検査（モード2））</t>
    <phoneticPr fontId="2"/>
  </si>
  <si>
    <t>「対象 endpoint」= 自動差分検査（モード1） なら変更アプリの全 endpoint、全量検査（モード2） なら全 endpoint。制御は OpenAPI アノテーション x-canary-positive-test: pre-prod-only。POST の副作用回避は本番の鉄則</t>
    <phoneticPr fontId="2"/>
  </si>
  <si>
    <t>「5 分全量」を廃し、自動差分検査（モード1、旧称 M1）（自動・1h）+ 全量検査（モード2） フル（手動）の 2 モードに</t>
    <phoneticPr fontId="2"/>
  </si>
  <si>
    <t>heartbeat 型検査（旧 M2、廃止 2026-08-20。将来必要なら Synthetics で復活）は当面なし（将来、重要 endpoint をアプリと合意後）</t>
    <phoneticPr fontId="2"/>
  </si>
  <si>
    <t>全量検査（モード2） フルは手動（スケジュールなし）</t>
    <phoneticPr fontId="2"/>
  </si>
  <si>
    <t>heartbeat 型検査（旧 M2、廃止 2026-08-20。将来必要なら Synthetics で復活） 廃止で定期実行メリットが不要、probe lib は共通で資産流用</t>
    <phoneticPr fontId="2"/>
  </si>
  <si>
    <t>【解説】中央（共通基盤アカウント）が障害になると監視が全停止する。別リージョンに監視系の複製を併走させるか。障害中も「検査が止まるだけ」で本番アプリには影響しない。【選択肢】a) Phase 1 は無し。復旧後に 全量検査（モード2、旧称 M3「全量検査」）で追い付く（★）/ b) Phase 2 検討として残す / c) Phase 1 から複製を持つ　【→ 回答: ＿＿】</t>
    <phoneticPr fontId="2"/>
  </si>
  <si>
    <t>【解説】Service Catalog 製品を通さない API GW の直接作成・変更を SCP（組織ポリシー）で禁止するか。禁止すれば「変更は必ず git 経由」になり、git 監視の唯一の穴（コンソール直変更）を入口で塞げる。ただし全社 SCP は調整コストが大きい。【選択肢】a) Phase 1 から導入 / b) Phase 2 で導入。まず Config Rules+全量検査（モード2）で運用（★・暫定回答済み）/ c) 導入しない　【→ 回答: ＿＿】</t>
    <phoneticPr fontId="2"/>
  </si>
  <si>
    <t>【解説】リポジトリの API 仕様書と本番の実態のズレ（デプロイ忘れ等）を、能動的に突合して検出するか。現状でも検査時に 404/警告として自然に表面化する。【選択肢】a) 能動検出しない（実測での顕在化に任せる ★）/ b) 全量検査（モード2）実行時に本番 API 定義と突合する　【→ 回答: ＿＿】</t>
    <phoneticPr fontId="2"/>
  </si>
  <si>
    <t>heartbeat 型検査（旧 M2、廃止 2026-08-20。将来必要なら Synthetics で復活）の重要 endpoint 定義（アプリチームと会話）+ 追加時期。定義できたら x-canary-heartbeat: true アノテーション + Synthetics canary で実装</t>
    <phoneticPr fontId="2"/>
  </si>
  <si>
    <t>【解説】将来モード heartbeat 型検査（旧 M2、廃止 2026-08-20。将来必要なら Synthetics で復活）（重要 endpoint だけ常時ヘルスチェック）の話。どの endpoint が「重要」かはアプリチームと会話しないと決められないため保留中。【回答】決定不要（Phase 2。アプリヒアリング後）。</t>
    <phoneticPr fontId="2"/>
  </si>
  <si>
    <t>全量検査（モード2） 手動実行の権限・実行者（共通基盤チームのみか、アプリチームも自アプリを回せるか）</t>
    <phoneticPr fontId="2"/>
  </si>
  <si>
    <t>【解説】手動フル監査（全量検査（モード2））を実行できる人の範囲。【選択肢】a) 共通基盤チームのみ（★・暫定回答済み）/ b) アプリチームも自アプリ分のみ実行可　【→ 回答: ＿＿】</t>
    <phoneticPr fontId="2"/>
  </si>
  <si>
    <t>全量検査（モード2）の定期実行頻度（月次推奨 / 四半期 / 監査時のみ）— OP-3 と連動</t>
    <phoneticPr fontId="2"/>
  </si>
  <si>
    <t>【解説】全量検査（モード2）の定期実行頻度（月次推奨 / 四半期 / 監査時のみ）— OP-3 と連動。運用工数 OP-3（全量検査（モード2）実行 1.0h/回）の月換算に直結する（出典: 16_ランニング費用 / 17_運用工数 シート）。【選択肢】a) 月次（★・現行の見積もり前提）/ b) 四半期 / c) 監査時のみ 【→ 回答: ＿＿】</t>
    <phoneticPr fontId="2"/>
  </si>
  <si>
    <t>モノリスの変更を 全量検査（モード2）で補う</t>
    <phoneticPr fontId="2"/>
  </si>
  <si>
    <t>解消: git 巡回でモノリスも自動発見・自動検知。全量検査（モード2）の役割は「git に現れない変更（コンソール直変更等）の網羅確認」に純化</t>
    <phoneticPr fontId="2"/>
  </si>
  <si>
    <t>解決: 自動差分検査（モード1）=巡回差分（1h）/ 全量検査（モード2）=手動の 2 モードに再設計済みで、定期 検査 自体が存在しない（ADR-061）</t>
    <phoneticPr fontId="2"/>
  </si>
  <si>
    <t>実行モード 自動差分検査（モード1、旧称 M1） / 全量検査（モード2、旧称 M3「全量検査」）</t>
    <phoneticPr fontId="2"/>
  </si>
  <si>
    <t>自動差分検査（モード1、旧称 M1） / 全量検査（モード2、旧称 M3「全量検査」）（分割起動）/ heartbeat 型検査（旧 M2、廃止 2026-08-20。将来必要なら Synthetics で復活） 将来の定義、差分粒度、実行基盤、運用設計（メタ監視・エラー処理・スケール上限）、アラーム。実行モデルはこの章を正とする。→ 06 シート</t>
    <phoneticPr fontId="2"/>
  </si>
  <si>
    <t>SigV4 Positive / Cookie Positive・cleanup / heartbeat 型検査（旧 M2、廃止 2026-08-20。将来必要なら Synthetics で復活） heartbeat / Private API VPC 化 / スコープ B（依頼のみ）/ SCP 強制（Phase 2 判断）/ Multilocation / ガイドライン章（01〜06）側の残未決</t>
    <phoneticPr fontId="2"/>
  </si>
  <si>
    <t>全量検査（モード2、旧称 M3「全量検査」）</t>
    <phoneticPr fontId="2"/>
  </si>
  <si>
    <t>自動差分検査（モード1） 60 + 全量検査（モード2） 3</t>
    <phoneticPr fontId="2"/>
  </si>
  <si>
    <t>全量検査（モード2、旧称 M3「全量検査」）実行</t>
    <phoneticPr fontId="2"/>
  </si>
  <si>
    <t>全量検査（モード2、旧称 M3「手動全量検査」）= 全アプリ・全量を 日次の定期自動実行＋監査時などの随時手動実行 で検査</t>
    <phoneticPr fontId="2"/>
  </si>
  <si>
    <t>heartbeat 型検査（旧 M2、重要 endpoint への 5-15 分 probe）は廃止（2026-08-20）。シグナルなし変化は日次全量が受け、重要 endpoint の選定が不要になった</t>
    <phoneticPr fontId="2"/>
  </si>
  <si>
    <t>実行基盤は Lambda、モードは自動差分検査（モード1）+ 全量検査（モード2）の 2 つ。heartbeat 型検査（旧 M2）は廃止。</t>
    <phoneticPr fontId="2"/>
  </si>
  <si>
    <t>1. モード一覧</t>
    <phoneticPr fontId="2"/>
  </si>
  <si>
    <t>日次定期（EventBridge Scheduler）+ 運用者の手動（随時）</t>
    <phoneticPr fontId="2"/>
  </si>
  <si>
    <t>日次 + オンデマンド</t>
    <phoneticPr fontId="2"/>
  </si>
  <si>
    <t>日次定期実行分のコストのみ。随時の手動実行は必要な時だけ人が回す</t>
    <phoneticPr fontId="2"/>
  </si>
  <si>
    <t>日次定期（EventBridge Scheduler）+ 手動（運用者が CLI / コンソールから invoke）</t>
  </si>
  <si>
    <t>発見 Lambda が変化のあったアプリを対象に検査 Lambda を起動する際の受け渡し形式。非同期 Event invokeで、Lambda 標準の自動リトライ（2 回）+ DLQ を設定する。</t>
    <phoneticPr fontId="2"/>
  </si>
  <si>
    <t>非同期 Event invoke（payload 仕様・分割起動・DLQ は A5）。【補足】自動差分検査（モード1）＝1 時間毎の巡回で「変更のあったアプリだけ」を自動検査する実行モード（全量検査（モード2、旧称 M3「全量検査」）＝運用者が手動で全アプリ全量を検査するモードと対をなす）。自動差分検査（モード1）起動＝発見 Lambda が変更を見つけたアプリを対象に、検査 Lambda を呼び出すこと</t>
    <phoneticPr fontId="2"/>
  </si>
  <si>
    <t>処理設計書: mode 分岐（delta / full）シーケンス / 分割起動 自己 invokeの設計 / 検査 実行フロー（P1〜P6 展開）/ 環境変数一覧 / エラー方針</t>
    <phoneticPr fontId="2"/>
  </si>
  <si>
    <t>delta（1 アプリ）/ full（台帳 List → アプリ単位に自己 invoke）の仕様。【補足】分割起動＝1 つの処理が対象ごとに自分自身を並列で呼び出して分担する方式。全アプリを 1 回の実行で回すと Lambda の制限時間（15 分）を超え得るため、アプリ単位に分けて起動する</t>
    <phoneticPr fontId="2"/>
  </si>
  <si>
    <t>自動差分検査（モード1、旧称 M1）の自動起動・全量検査（モード2、旧称 M3「手動全量検査」）の全量指定</t>
  </si>
  <si>
    <t>通知種別</t>
  </si>
  <si>
    <t>アプリチームの動き</t>
  </si>
  <si>
    <t>自アプリの構成・メタ不足系の通知</t>
  </si>
  <si>
    <t>P1 関連の連絡</t>
  </si>
  <si>
    <t>セキュリティ・共通基盤チームから連絡が来た場合</t>
  </si>
  <si>
    <t>認証設定の即時確認と修正を最優先で対応</t>
  </si>
  <si>
    <t>不明時</t>
  </si>
  <si>
    <t>判断がつかない場合</t>
  </si>
  <si>
    <t>共通基盤チームへ問い合わせる</t>
  </si>
  <si>
    <t>対象 App アカウントを列挙（⚠ organizations:ListAccounts は管理アカウント限定のため列挙方式は M-Q-17-2 で確定）</t>
    <phoneticPr fontId="2"/>
  </si>
  <si>
    <t>各アカウントに StackSets 配布済みの読み取り専用ロール（資材バケットの s3 read のみ）で入る</t>
    <phoneticPr fontId="2"/>
  </si>
  <si>
    <t>③ 資材列挙</t>
    <phoneticPr fontId="2"/>
  </si>
  <si>
    <t>App アカウントの資材バケット</t>
    <phoneticPr fontId="2"/>
  </si>
  <si>
    <t>資材バケットの {appId}/ プレフィックスを List。{appId}/monitoring.yaml が置かれている = 監視対象</t>
    <phoneticPr fontId="2"/>
  </si>
  <si>
    <t>④ バージョン取得</t>
    <phoneticPr fontId="2"/>
  </si>
  <si>
    <t>monitoring.yaml / openapi.yaml の VersionId（と ETag）を取得</t>
    <phoneticPr fontId="2"/>
  </si>
  <si>
    <t>台帳の lastArtifactVersions と比較。違えば「前回確認から資材が更新された = 新しい版がデプロイされた」</t>
    <phoneticPr fontId="2"/>
  </si>
  <si>
    <t>App アカウントの資材バケット / Monitoring Registry S3</t>
    <phoneticPr fontId="2"/>
  </si>
  <si>
    <t>変化したアプリのみ GetObject で monitoring.yaml / openapi.yaml を取得し、台帳更新・OpenAPI Registry へ Put</t>
    <phoneticPr fontId="2"/>
  </si>
  <si>
    <t>変化のあったアプリを対象に認証実装チェック Lambda を invoke（{mode:'delta', appId, env}）。完了後 lastArtifactVersions を更新</t>
    <phoneticPr fontId="2"/>
  </si>
  <si>
    <t>台帳に無い {appId}/monitoring.yaml は自動登録。「登録漏れ」という概念自体が消える</t>
    <phoneticPr fontId="2"/>
  </si>
  <si>
    <t>資材（monitoring.yaml）の削除は台帳を enabled=false に（棚卸しアラート）</t>
    <phoneticPr fontId="2"/>
  </si>
  <si>
    <t>monitoring.yaml 不備 / 資材 staleness の場合</t>
    <phoneticPr fontId="2"/>
  </si>
  <si>
    <t>注記: 変更検知の単位は資材オブジェクト。マルチパートアップロードでは ETag が MD5 と一致しないため、VersionId 主・ETag 副で比較する（資材バケットは Versioning 必須）。</t>
  </si>
  <si>
    <t>資材とデプロイの関係</t>
  </si>
  <si>
    <t>資材</t>
    <phoneticPr fontId="2"/>
  </si>
  <si>
    <t>資材はデプロイされた版の写しであり、git のブランチ・コミットの概念は中央からは見えない（追跡が必要な場合は任意の deploy-info.json に commitId 等を書ける）</t>
    <phoneticPr fontId="2"/>
  </si>
  <si>
    <t>アプリ単位の全 endpoint（endpoint 単位に絞らない。認証 middleware 削除は差分からどの endpoint に効くか判定できないため）</t>
    <phoneticPr fontId="2"/>
  </si>
  <si>
    <t>自動差分検査（モード1、旧称 M1）= 1 時間毎の巡回で「変更があった」と検知されたアプリを自動検査（資材バケットの資材 VersionId 比較）</t>
  </si>
  <si>
    <t>中央巡回（発見 Lambda が 1 時間毎に各 App アカウントの資材バケットを読み取り、資材 VersionId の変化を確認）</t>
  </si>
  <si>
    <t>・自動差分検査（モード1）の巡回は「資材バケットの読み取り」（VersionId 比較）であり、検査（HTTP 検査）は変更のあったアプリだけに飛ぶ。heartbeat 型検査（旧 M2、廃止 2026-08-20。将来必要なら Synthetics で復活）は「endpoint への検査を常時定期実行」する別物で、重要 endpoint の定義がないと全量検査の重さに戻る。</t>
  </si>
  <si>
    <t>・自動差分検査（モード1）で「資材の更新 = 新しい版がデプロイされた事実」を最大 1 時間遅れで捕捉でき、全量検査（モード2、日次定期＋手動）で「網羅確認」ができるため、常時検査がなくても認証漏れの主要な入り口は塞げる。</t>
  </si>
  <si>
    <t>発見 Lambda の 1 時間毎巡回（資材バケットの資材 VersionId = lastArtifactVersions 比較）が変更を検知し、変更のあったアプリだけ自動差分検査（モード1）を起動する。アプリ側イベントには依存しない。</t>
  </si>
  <si>
    <t>描くべき内容: 穴① コンソール直変更 → L2 Config Rules の実体化 + ガイド・Runbook に「変更は必ず CI/CD 経由」+ 全量検査（モード2、日次）が挙動レベルで最大 24h で捕捉、穴② アップロード忘れ・資材の誤り → 原則アプリ責任（staleness 検知・月次棚卸し・日次全量が補助）、穴③ アップロード ≠ デプロイの逆転 → 規約・パイプライン例で「デプロイ成功後」を固定</t>
  </si>
  <si>
    <t>検知遅延: 資材アップロード後 最大 1 時間。一次防衛は deploy 前ガードであり、外形監視は検知網のため許容</t>
  </si>
  <si>
    <t>各 Lambda のログはログ・監視ガイドライン（OBS-1〜4）に準拠（実行 ID を相関 ID として出力、トークン・資材内容はマスク、保持期間明示）。</t>
  </si>
  <si>
    <t>lastArtifactVersions の更新タイミング</t>
  </si>
  <si>
    <t>S3 スロットリング</t>
  </si>
  <si>
    <t>S3 API はプレフィックス単位のレート制限あり。SDK 標準リトライ（指数バックオフ）+ 発見 Lambda の直列処理で吸収。並列化する場合の制御は M-Q-16-2</t>
  </si>
  <si>
    <t>コンソールで Authorizer を外す等、資材に現れない変更</t>
    <phoneticPr fontId="2"/>
  </si>
  <si>
    <t>② L2 Config Rules の実体化（AuthorizationType=NONE の drift 検知。実在確認の上、無ければ実装）① ガイド・Runbook に「変更は必ず CI/CD 経由」を明記 + 全量検査（モード2、日次定期）が挙動レベルで最大 24h で捕捉。SCP による防止は Phase 2 判断</t>
    <phoneticPr fontId="2"/>
  </si>
  <si>
    <t>② アップロード忘れ・資材の誤り</t>
    <phoneticPr fontId="2"/>
  </si>
  <si>
    <t>デプロイしたのに資材を上げていない / 内容が実態と違う → 古い spec のまま検査され、新設 endpoint が検査対象に入らない</t>
    <phoneticPr fontId="2"/>
  </si>
  <si>
    <t>原則アプリ責任（顧客合意 M-Q-17-7）。中央の補助検知: (a) staleness 検知 — 資材の最終更新が閾値（例 90 日）超のアプリを棚卸しアラート (b) 月次棚卸し — API 提供契約 / タグと台帳の突合（M-Q-17-3）(c) 日次全量検査は既知の endpoint については認証漏れを継続捕捉</t>
    <phoneticPr fontId="2"/>
  </si>
  <si>
    <t>③ アップロード ≠ デプロイの逆転</t>
  </si>
  <si>
    <t>手順違反でデプロイ前にアップロードした場合の偽安心</t>
  </si>
  <si>
    <t>アップロードは「デプロイ成功後」を規約・パイプライン例で固定。逆転しても次回巡回・日次全量が実態基準で再検査</t>
  </si>
  <si>
    <t>定期起動の起点（2 本）。① 1 時間毎に発見 Lambda を起動（巡回）② 日次に認証実装チェック Lambda を mode=full で起動（全量検査（モード2）の定期実行）</t>
  </si>
  <si>
    <t>変更検知と登録の実行体（pull）。各 App アカウントの資材バケットを読み取り巡回し、資材（{appId}/monitoring.yaml）の発見・資材 VersionId 比較（lastArtifactVersions）・台帳登録・spec 取得を行い、変更のあったアプリの検査を起動する</t>
  </si>
  <si>
    <t>台帳 + spec コピーの一体ストア（DynamoDB は不使用）。registry/{appId}/{env}.json = 監視対象の台帳＋巡回スナップショット（baseUrl / authPattern / 通知先 / 前回確認資材 VersionId（lastArtifactVersions）。設定値は monitoring.yaml 由来、書き手は発見 Lambda）。openapi/… = 資材バケットのデプロイ版 openapi.yaml（正本はベンダー git）のさらにコピーで、endpoint 一覧と公開印（MON-1）の情報源</t>
  </si>
  <si>
    <t>資材バケット</t>
  </si>
  <si>
    <t>資材バケット</t>
    <phoneticPr fontId="2"/>
  </si>
  <si>
    <t>S3（auth-monitoring-artifacts-{accountId}、StackSets 配布・Versioning）</t>
    <phoneticPr fontId="2"/>
  </si>
  <si>
    <t>変更検知とメタデータの源。デプロイパイプライン最終段で monitoring.yaml（監視宣言）+ openapi.yaml（デプロイ版 spec の写し）+ 任意 deploy-info.json をアップロード。資材の VersionId 変化が自動差分検査（モード1）のトリガー</t>
    <phoneticPr fontId="2"/>
  </si>
  <si>
    <t>中央からの読み取り窓口。発見 Lambda だけが AssumeRole でき、資材バケットの s3 read のみ</t>
    <phoneticPr fontId="2"/>
  </si>
  <si>
    <t>ArtifactUploadRole-{appId}</t>
  </si>
  <si>
    <t>ベンダー CI からの資材アップロード窓口。{appId}/* 限定の s3:PutObject のみ（デプロイロールと分離）</t>
  </si>
  <si>
    <t>アプリがデプロイ時に監視資材（monitoring.yaml + openapi.yaml）を資材バケットへアップロードすると、中央の発見 Lambda が 1 時間毎の巡回（資材 VersionId 比較）で見つけて台帳・仕様を自動登録し、変更のあったアプリ（自動差分検査（モード1））と日次・監査時の全量（全量検査（モード2））に認証実装チェック Lambda が実際にリクエストを投げて認証漏れを検査、問題があれば 4×4 分類で適切なチームに通知される。アプリ側に登録処理はない（モノリスも同じ）。</t>
  </si>
  <si>
    <t>描くべき内容: 4 アカウント区分と 11 ノード（発見 Lambda・Monitoring Registry S3・認証実装確認処理 Lambda・Alert Router・SNS／CloudFront+WAF ×2／資材バケット S3 ×2・API GW / ALB ×2）、矢印 11 本。巡回読み取り（発見 Lambda → 資材バケット）は境界非経由、検査は境界経由で描き分ける</t>
  </si>
  <si>
    <t>資材バケット S3</t>
  </si>
  <si>
    <t>資材バケット S3（App A）</t>
  </si>
  <si>
    <t>読み取り AssumeRole：資材 VersionId 比較・monitoring.yaml・spec 取得</t>
  </si>
  <si>
    <t>資材バケット S3（App B）</t>
  </si>
  <si>
    <t>注記: 巡回の読み取り（発見 Lambda → 資材バケット）は境界を通らない。AWS API（S3）を読み取りロールで直接呼ぶ。変更検知は資材の VersionId 比較で、資材に現れないコンソール直変更は L2 Config Rules + 全量検査（モード2、日次定期・最大 24h）が補完</t>
  </si>
  <si>
    <t>描くべき内容: 運用者（全量検査（モード2）を随時手動起動）＋ Scheduler（日次定期起動）+ 13 ノード。①AssumeRole ②資材 List・VersionId 比較 / GetObject ③台帳・spec 登録（lastArtifactVersions 更新）④自動差分検査（モード1）起動 ⑤Neg/Pos 検査 ⑥Metrics・Alert、および無番号の EventBridge→発見 Lambda／全量検査（モード2）／台帳取得／CloudFront→API GW／Alert Router→SNS／Service Catalog→API GW</t>
  </si>
  <si>
    <t>monitoring.yaml + openapi.yaml（+ 任意 deploy-info.json）</t>
  </si>
  <si>
    <t>資材 s3 読み取り専用（StackSets 配布）</t>
  </si>
  <si>
    <t>資材 List・VersionId 取得 / GetObject</t>
  </si>
  <si>
    <t>注記: 登録・OpenAPI 取得はすべて中央の pull（S3 監視資材の VersionId 比較）で、アプリ側に登録処理はない（資材アップロードはデプロイパイプラインの標準ステップ）</t>
  </si>
  <si>
    <t>注記: 2 本の経路は別物。巡回の読み取り（①②＝資材バケット）は AWS API を直接呼び境界を通らない。検査（⑤）は実ユーザーと同じく境界（ネットワーク監査アカウントの CloudFront）を通る</t>
  </si>
  <si>
    <t>描くべき内容: 共通基盤（VPC なし・Lambda 3 本すべて VPC 外／S3 1 バケット／Secrets／CloudWatch／SNS）／インバウンド境界アカウント（CloudFront+WAF）／各 App（DiscoveryReadRole・資材バケット S3・API GW / ALB）／認証基盤 Broker（Keycloak /token）／アウトバウンド境界アカウント（TGW+NWFW・非経由）。経路 A〜D を線種で区別し、A / B のみ In 境界を通り Out 境界を通らないことを明示</t>
  </si>
  <si>
    <t>DiscoveryReadRole
（資材 s3 read-only）</t>
  </si>
  <si>
    <t>資材バケット S3
monitoring.yaml + openapi.yaml</t>
  </si>
  <si>
    <t>巡回読み取り（発見 Lambda → App アカウントの資材バケット S3）</t>
  </si>
  <si>
    <t>AWS API（STS AssumeRole → s3 ListObjectsV2 / ListObjectVersions / GetObject）</t>
  </si>
  <si>
    <t>描くべき内容: EventBridge（1h）→ 発見 Lambda。①Organizations 列挙 ②AssumeRole（資材 s3 read-only）③資材 List（{appId}/ プレフィックス）④資材 VersionId 取得 ⑤lastArtifactVersions 比較 ⑥GetObject（monitoring.yaml / openapi.yaml）→ 台帳更新・spec Put ⑦自動差分検査（モード1）起動 → lastArtifactVersions 更新。新規発見・消滅検知・メタ不足／資材 staleness の分岐</t>
  </si>
  <si>
    <t>描くべき内容: ①デプロイ &amp; 資材アップロード（静的解析 pass）②巡回発見（資材 VersionId 比較・最大 1h）③自動差分検査（モード1）自動 / 全量検査（モード2、日次+手動）④検査 ⑤分類（OK は Metrics のみ・それ以外は ⑥ へ）⑥Alert Router ⑦通知 P1 / P2 / P3 ⑧是正 SLA。担当章の帯を添える</t>
  </si>
  <si>
    <t>デプロイ &amp; 資材アップロード</t>
  </si>
  <si>
    <t>巡回発見（資材 VersionId 比較）</t>
  </si>
  <si>
    <t>資材アップロード</t>
  </si>
  <si>
    <t>App / ベンダー CI（ArtifactUploadRole-{appId} を Assume、デプロイ成功後）</t>
  </si>
  <si>
    <t>App / 資材バケット S3（{appId}/ プレフィックス）</t>
  </si>
  <si>
    <t>443、s3:PutObject（{appId}/* 限定）</t>
  </si>
  <si>
    <t>資材列挙・VersionId 取得</t>
  </si>
  <si>
    <t>443、ListObjectsV2 / ListObjectVersions</t>
  </si>
  <si>
    <t>資材取得</t>
  </si>
  <si>
    <t>App / 資材バケット S3</t>
  </si>
  <si>
    <t>443、GetObject（monitoring.yaml・openapi.yaml）</t>
  </si>
  <si>
    <t>構成図のポイント: W1 は App アカウントの資材バケットへの書き込みで完結（ベンダー CI → 自アプリ prefix のみ）。W4 / W5 / W7 だけがアカウント跨ぎ（共通基盤 → App）で、すべて AWS API（インバウンド／アウトバウンド境界とも非経由）。W5 / W7 は App アカウントの DiscoveryReadRole の権限（資材 s3 read-only）で実行する。</t>
  </si>
  <si>
    <t>F1. 資材連携フロー（CI 資材アップロード → 巡回検知 → 自動差分検査（モード1）起動）</t>
  </si>
  <si>
    <t>443、GetObject（同一アカウント IAM。lastArtifactVersions 比較）</t>
  </si>
  <si>
    <t>自動登録・lastArtifactVersions 更新 + spec Put（資材の openapi.yaml）</t>
  </si>
  <si>
    <t>Organizations 列挙 + 読み取り AssumeRole + 資材 VersionId 比較</t>
  </si>
  <si>
    <t>台帳の識別子（キーと同値）</t>
    <phoneticPr fontId="2"/>
  </si>
  <si>
    <t>検査先 CloudFront URL（Origin Protection 経由）</t>
    <phoneticPr fontId="2"/>
  </si>
  <si>
    <t>認証方式 enum</t>
    <phoneticPr fontId="2"/>
  </si>
  <si>
    <t>Positive 用 token の Secret 名</t>
    <phoneticPr fontId="2"/>
  </si>
  <si>
    <t>通知先 {p1,p2,p3} の SNS ARN（未設定は全社デフォルト）</t>
    <phoneticPr fontId="2"/>
  </si>
  <si>
    <t>{ p1: 'arn:aws:sns:...:security' }</t>
    <phoneticPr fontId="2"/>
  </si>
  <si>
    <t>監視有効フラグ（monitoring.yaml には置かない）</t>
    <phoneticPr fontId="2"/>
  </si>
  <si>
    <t>artifactBucket</t>
    <phoneticPr fontId="2"/>
  </si>
  <si>
    <t>発見元の資材バケット</t>
    <phoneticPr fontId="2"/>
  </si>
  <si>
    <t>auth-monitoring-artifacts-111122223333</t>
    <phoneticPr fontId="2"/>
  </si>
  <si>
    <t>巡回が記録</t>
    <phoneticPr fontId="2"/>
  </si>
  <si>
    <t>artifactPrefix</t>
    <phoneticPr fontId="2"/>
  </si>
  <si>
    <t>発見元の {appId}/ プレフィックス</t>
    <phoneticPr fontId="2"/>
  </si>
  <si>
    <t>expense-api/</t>
    <phoneticPr fontId="2"/>
  </si>
  <si>
    <t>lastArtifactVersions</t>
    <phoneticPr fontId="2"/>
  </si>
  <si>
    <t>前回確認した資材（monitoring.yaml / openapi.yaml）の S3 VersionId。差分判定の基準</t>
    <phoneticPr fontId="2"/>
  </si>
  <si>
    <t>{ 'monitoring.yaml': '3z9K…', 'openapi.yaml': '8aQ2…' }</t>
    <phoneticPr fontId="2"/>
  </si>
  <si>
    <t>deployInfo</t>
    <phoneticPr fontId="2"/>
  </si>
  <si>
    <t>ベンダー CI が申告した commitId / deployedAt 等の追跡用参考値（検知には使わない。staleness 検知の補助）</t>
    <phoneticPr fontId="2"/>
  </si>
  <si>
    <t>{ commitId: 'a1b2c3d…', deployedAt: '2026-08-20T12:00:00Z' }</t>
    <phoneticPr fontId="2"/>
  </si>
  <si>
    <t>deploy-info.json（任意）</t>
    <phoneticPr fontId="2"/>
  </si>
  <si>
    <t>最後に観測した日時（消滅検知用）</t>
    <phoneticPr fontId="2"/>
  </si>
  <si>
    <t>2026-08-21T00:00:00Z</t>
    <phoneticPr fontId="2"/>
  </si>
  <si>
    <t>置き場: Monitoring Registry バケットの registry/{appId}/{env}.json（1 アプリ×環境 = 1 JSON オブジェクト。DynamoDB は不使用）。発見 Lambda が巡回（各 App アカウントの資材バケットの monitoring.yaml）から自動登録・同期し、認証実装確認処理が registry/ を List → Get する。</t>
  </si>
  <si>
    <t>baseUrl / authPattern / testTokenSecret は monitoring.yaml 由来（巡回同期）、artifactBucket / artifactPrefix / lastArtifactVersions / lastSeenAt は巡回状態、alertRouting / enabled は台帳のみで中央管理。認証実装確認処理は enabled=true のみ検査する。自動差分検査（モード1）は該当 1 オブジェクトのみ Get、全量検査（モード2）は全 List。旧スキーマ（repositoryName / branch / pathPrefix / lastCheckedCommitId / apiGatewayId / stage / deploymentId）は 2026-08-21 廃止。</t>
  </si>
  <si>
    <t>"artifactBucket": "auth-monitoring-artifacts-111122223333",</t>
  </si>
  <si>
    <t>"artifactPrefix": "expense-api/",</t>
  </si>
  <si>
    <t>"lastArtifactVersions": { "monitoring.yaml": "3z9K…", "openapi.yaml": "8aQ2…" },</t>
  </si>
  <si>
    <t>"deployInfo": { "commitId": "a1b2c3d…", "deployedAt": "2026-08-20T12:00:00Z" },</t>
  </si>
  <si>
    <t>"lastSeenAt": "2026-08-21T00:00:00Z"</t>
  </si>
  <si>
    <t>台帳 JSON 例（キー例: registry/expense-api/prod.json）</t>
  </si>
  <si>
    <t>4. 監視資材の規約（S3・config-as-code）</t>
  </si>
  <si>
    <t>描くべき内容: 資材バケット由来（baseUrl / authPattern / testTokenSecret）→ 台帳、台帳のみ中央管理（alertRouting / enabled）、資材の openapi.yaml（デプロイ版の写し）→ S3 コピー → extractEndpoints。アプリ側に登録処理がないこと（アップロードはデプロイパイプラインの標準ステップ）</t>
  </si>
  <si>
    <t>監視メタデータは各 App アカウントの資材バケットに規定キーで置く。{appId}/monitoring.yaml がある = 監視対象。</t>
  </si>
  <si>
    <t>s3://auth-monitoring-artifacts-{accountId}/     ← StackSets 配布（Versioning 有効）</t>
  </si>
  <si>
    <t xml:space="preserve">  {appId}/</t>
  </si>
  <si>
    <t xml:space="preserve">    monitoring.yaml      # 監視宣言（下記）</t>
  </si>
  <si>
    <t xml:space="preserve">    openapi.yaml         # デプロイした版の spec（正本はベンダー git、これはデプロイ版の写し）</t>
  </si>
  <si>
    <t xml:space="preserve">    deploy-info.json     # 任意: { "commitId": "…", "deployedAt": "…", "pipelineRunId": "…" }</t>
  </si>
  <si>
    <t># {appId}/monitoring.yaml</t>
  </si>
  <si>
    <t>appId: expense-api               # プレフィックスと一致必須</t>
  </si>
  <si>
    <t xml:space="preserve">    baseUrl: https://expense.example.com   # 検査先（CloudFront URL）</t>
  </si>
  <si>
    <t>{appId}/monitoring.yaml</t>
  </si>
  <si>
    <t>{appId}/monitoring.yaml</t>
    <phoneticPr fontId="2"/>
  </si>
  <si>
    <t>API 提供契約 / タグがあるのに資材が無い場合は棚卸しで検出（M-Q-17-3）</t>
    <phoneticPr fontId="2"/>
  </si>
  <si>
    <t>プレフィックスと一致必須</t>
    <phoneticPr fontId="2"/>
  </si>
  <si>
    <t>不一致は取り込み拒否 + メタ不足アラート</t>
    <phoneticPr fontId="2"/>
  </si>
  <si>
    <t>既定 api-gw-jwt で 未認証検査のみ実施 + メタ不足アラート</t>
    <phoneticPr fontId="2"/>
  </si>
  <si>
    <t>openapi.yaml</t>
  </si>
  <si>
    <t>openapi.yaml</t>
    <phoneticPr fontId="2"/>
  </si>
  <si>
    <t>同プレフィックスに併置</t>
    <phoneticPr fontId="2"/>
  </si>
  <si>
    <t>無い場合は endpoint リストを monitoring.yaml に列挙（モノリス等）</t>
    <phoneticPr fontId="2"/>
  </si>
  <si>
    <t>deploy-info.json</t>
  </si>
  <si>
    <t>deploy-info.json</t>
    <phoneticPr fontId="2"/>
  </si>
  <si>
    <t>任意（commitId 等の追跡用参考値。中央は検知に使わない）</t>
    <phoneticPr fontId="2"/>
  </si>
  <si>
    <t>資材に書かない（SNS ARN を外部ベンダーの手に置かない）。台帳側で共通基盤チームが管理、未設定は全社デフォルト</t>
    <phoneticPr fontId="2"/>
  </si>
  <si>
    <t>資材に書かない。台帳側で中央管理（アプリ側の勝手な監視停止を防ぐ）</t>
    <phoneticPr fontId="2"/>
  </si>
  <si>
    <t>アップロード権限（16 章が正）: 資材バケットにはアプリ単位の専用アップロードロール（{appId}/ プレフィックス限定の s3:PutObject のみ。デプロイロールとは分離）を StackSets で同梱配布する。ベンダー CI はこのロールを各自の接続方式で Assume する。1 ベンダー複数アプリの場合もロールはアプリ単位（他アプリの資材は書けない）。</t>
  </si>
  <si>
    <t>旧方式（リポジトリ直下の monitoring.yaml、pathPrefix / branch / openapi パス指定、apiGatewayId / stage）は CodeCommit 前提の規約で 2026-08-21 廃止。資材はアプリ単位でアップロードされるため、モノレポのパス突合・ブランチ指定は不要になった。リソースタグ（app-id / cost-center 等）は課金按分用として従来どおり必須。</t>
  </si>
  <si>
    <t>1 アプリ × 1 環境ぶんの管理項目 14 個（appId / env / baseUrl / authPattern / openApiS3Key / testTokenSecret / alertRouting / enabled / registeredAt / artifactBucket / artifactPrefix / lastArtifactVersions / deployInfo / lastSeenAt）+ JSON 例</t>
  </si>
  <si>
    <t>監視資材の規約</t>
  </si>
  <si>
    <t>各 App アカウントの資材バケットに置く監視資材（バケット・キー体系・monitoring.yaml / openapi.yaml / 任意 deploy-info.json）＋項目規約と不備時の挙動、アップロード権限</t>
  </si>
  <si>
    <t>発見 Lambda が資材バケットの openapi.yaml（デプロイ版の写し）を GetObject で取得して Put</t>
  </si>
  <si>
    <t>Service Catalog 製品 / 資材バケット S3 / API GW・ALB / DiscoveryReadRole / ArtifactUploadRole-{appId}</t>
  </si>
  <si>
    <t>巡回発見（監視資材の読み取り）</t>
  </si>
  <si>
    <t>発見 Lambda が DiscoveryReadRole に AssumeRole → 資材バケットを読む</t>
  </si>
  <si>
    <t>s3 read-only（下記 3.）</t>
  </si>
  <si>
    <t>描くべき内容: DiscoveryLambdaRole → 各 App の DiscoveryReadRole（資材バケットの s3 read-only・信頼先 1 本・ExternalId）への AssumeRole 1 種のみ。ベンダー CI → ArtifactUploadRole-{appId}（{appId}/* 限定 PutObject）の書き込み経路。StackSets の全アカウント同一名配布、CentralProbeRole / alert-router-lambda-role の権限範囲、台帳書き込みが中央アカウント内のみであること</t>
  </si>
  <si>
    <t>// 権限（App アカウント側、read-only 最小。資材バケット限定）</t>
  </si>
  <si>
    <t xml:space="preserve">  "Statement": [</t>
  </si>
  <si>
    <t xml:space="preserve">    {</t>
  </si>
  <si>
    <t xml:space="preserve">      "Effect": "Allow",</t>
  </si>
  <si>
    <t xml:space="preserve">      "Action": ["s3:ListBucket", "s3:ListBucketVersions"],</t>
  </si>
  <si>
    <t xml:space="preserve">      "Resource": "arn:aws:s3:::auth-monitoring-artifacts-&lt;accountId&gt;"</t>
  </si>
  <si>
    <t xml:space="preserve">    },</t>
  </si>
  <si>
    <t xml:space="preserve">      "Action": ["s3:GetObject", "s3:GetObjectVersion"],</t>
  </si>
  <si>
    <t xml:space="preserve">      "Resource": "arn:aws:s3:::auth-monitoring-artifacts-&lt;accountId&gt;/*"</t>
  </si>
  <si>
    <t xml:space="preserve">    }</t>
  </si>
  <si>
    <t xml:space="preserve">  ]</t>
  </si>
  <si>
    <t>・read-only（資材バケットの s3 読み取り）のみ。漏洩時の影響は監視資材（monitoring.yaml / openapi.yaml）の閲覧（変更・削除・実行は不可。ソースコード・AWS 構成は見えない — 旧 codecommit 権限より機微性が大幅に低下）。</t>
  </si>
  <si>
    <t>・全 App アカウントで同一ロール名（DiscoveryReadRole）・同一バケット命名規約（auth-monitoring-artifacts-{accountId}、M-Q-17-8）にし、発見 Lambda は ARN を機械的に組み立てて AssumeRole。</t>
  </si>
  <si>
    <t>・2026-08-21 更新: 旧権限（codecommit 5 アクション + apigateway:GET）は外部 git 化と資材オンリー原則により全廃。読み取り対象は資材バケットのみで、git・API GW 構成には触れない。</t>
  </si>
  <si>
    <t>3.2 アップロードロール（ArtifactUploadRole-{appId}）の設計</t>
  </si>
  <si>
    <t>外部ベンダーの CI が資材を Put するためのアプリ単位の専用ロール。デプロイロールとは分離する（D-M-17-7）。</t>
  </si>
  <si>
    <t>// 権限（App アカウント側、自アプリ prefix 限定の書き込みのみ）</t>
  </si>
  <si>
    <t xml:space="preserve">    "Action": "s3:PutObject",</t>
  </si>
  <si>
    <t xml:space="preserve">    "Resource": "arn:aws:s3:::auth-monitoring-artifacts-&lt;accountId&gt;/&lt;appId&gt;/*"</t>
  </si>
  <si>
    <t>・削除・読み取り権限なし（Put のみ。旧版は Versioning が保全し、取り消しは中央 / アカウント管理者の操作）。信頼ポリシーはベンダー CI の接続方式（IAM ロール / OIDC federation 等）に合わせてアプリごとに設定し、ExternalId または OIDC の sub/aud 条件で引受け元を限定する。</t>
  </si>
  <si>
    <t>・1 ベンダー複数アプリでもロールはアプリ単位（他アプリの prefix には書けない）。バケットポリシー側でも {appId}/ 外への Put を Deny し二重化する。</t>
  </si>
  <si>
    <t>資材バケットの s3:ListBucket / ListBucketVersions / GetObject / GetObjectVersion（read-only）</t>
    <phoneticPr fontId="2"/>
  </si>
  <si>
    <t>各アプリのベンダー CI（アプリごとの接続方式で Assume）</t>
  </si>
  <si>
    <t>資材バケットの {appId}/* への s3:PutObject のみ</t>
  </si>
  <si>
    <t>—（S3。Versioning 有効 + バケットポリシーで prefix 外 Put を Deny）</t>
  </si>
  <si>
    <t>App アカウント側に置くのは資材バケット + 読み取りロール 1 本 + アプリ単位のアップロードロール。旧 push 型で必要だった中央への Invoke / 書き込み AssumeRole / Custom Resource 実行権限は不要のまま（中央への書き込み開放はしない）。</t>
  </si>
  <si>
    <t>アプリチーム（ベンダー）の作業は 3 点のみ。監視への登録作業はない（中央の機構が資材から自動で発見する）。</t>
  </si>
  <si>
    <t>デプロイパイプラインの最終段で監視資材をアップロードする</t>
  </si>
  <si>
    <t>自アカウントの資材バケット（auth-monitoring-artifacts-{accountId}）の {appId}/ 配下に monitoring.yaml と openapi.yaml を置く。専用のアップロードロール（ArtifactUploadRole-{appId}）を Assume して Put する。CI から AWS へ接続する方式は、アプリごとの既存方式でよい。</t>
  </si>
  <si>
    <t>認証が不要（誰でも呼べる）な endpoint にのみ x-synthetics-skip-auth-check: true を記述する。詳細は下記 5.（MON-1）。</t>
  </si>
  <si>
    <t>原則: アップロードは必ずデプロイ成功後に行うこと。これにより「資材がある = その版がデプロイ済み」が成り立ち、中央の検査が実態と一致する。変更は必ず CI/CD 経由で行い、コンソールでの直接変更はしない（資材に現れず検知が遅れる）。</t>
  </si>
  <si>
    <t>責任分界（顧客・ベンダー合意事項）: 資材のアップロード漏れ・内容の誤りは、原則アプリ（ベンダー）側の責任とする。中央は検知網（資材の最終更新が古いアプリの棚卸しアラート・月次棚卸し・日次の全量検査）で補助するが、「資材が正しく上がっていること」の保証責任は負わない。この分界は顧客・ベンダーとの合意が必要（M-Q-17-7）。</t>
  </si>
  <si>
    <t>2. やらなくてよいこと</t>
  </si>
  <si>
    <t>3. 資材の置き方</t>
  </si>
  <si>
    <t>中央の発見 Lambda が 1 時間毎に資材バケットを巡回して自動で見つけ、台帳に登録する。</t>
    <phoneticPr fontId="2"/>
  </si>
  <si>
    <t>資材バケットに置いた openapi.yaml を中央が取得してコピーする。</t>
    <phoneticPr fontId="2"/>
  </si>
  <si>
    <t>資材には書かない。共通基盤チームが台帳側で管理する（未設定なら全社デフォルト）。</t>
    <phoneticPr fontId="2"/>
  </si>
  <si>
    <t>資材には書かない。台帳側の中央管理。</t>
    <phoneticPr fontId="2"/>
  </si>
  <si>
    <t>openapi.yaml を更新して資材をアップロードすれば、次回巡回（最大 1 時間）で新しい endpoint も自動で検査対象になる。検査側の改修は不要。</t>
    <phoneticPr fontId="2"/>
  </si>
  <si>
    <t>s3://auth-monitoring-artifacts-{accountId}/     ← 各アカウントに配布済み（Versioning 有効）</t>
  </si>
  <si>
    <t xml:space="preserve">    monitoring.yaml      # 監視宣言（下記 4.）</t>
  </si>
  <si>
    <t xml:space="preserve">    openapi.yaml         # デプロイした版の API 仕様</t>
  </si>
  <si>
    <r>
      <rPr>
        <sz val="12"/>
        <color theme="1"/>
        <rFont val="游ゴシック"/>
        <family val="2"/>
        <charset val="128"/>
      </rPr>
      <t>アップロードは</t>
    </r>
    <r>
      <rPr>
        <sz val="12"/>
        <color theme="1"/>
        <rFont val="Consolas"/>
        <family val="2"/>
      </rPr>
      <t xml:space="preserve"> ArtifactUploadRole-{appId} </t>
    </r>
    <r>
      <rPr>
        <sz val="12"/>
        <color theme="1"/>
        <rFont val="游ゴシック"/>
        <family val="2"/>
        <charset val="128"/>
      </rPr>
      <t>を</t>
    </r>
    <r>
      <rPr>
        <sz val="12"/>
        <color theme="1"/>
        <rFont val="Consolas"/>
        <family val="2"/>
      </rPr>
      <t xml:space="preserve"> Assume </t>
    </r>
    <r>
      <rPr>
        <sz val="12"/>
        <color theme="1"/>
        <rFont val="游ゴシック"/>
        <family val="2"/>
        <charset val="128"/>
      </rPr>
      <t>して行う。このロールは自アプリの</t>
    </r>
    <r>
      <rPr>
        <sz val="12"/>
        <color theme="1"/>
        <rFont val="Consolas"/>
        <family val="2"/>
      </rPr>
      <t xml:space="preserve"> {appId}/ </t>
    </r>
    <r>
      <rPr>
        <sz val="12"/>
        <color theme="1"/>
        <rFont val="游ゴシック"/>
        <family val="2"/>
        <charset val="128"/>
      </rPr>
      <t>配下への</t>
    </r>
    <r>
      <rPr>
        <sz val="12"/>
        <color theme="1"/>
        <rFont val="Consolas"/>
        <family val="2"/>
      </rPr>
      <t xml:space="preserve"> Put </t>
    </r>
    <r>
      <rPr>
        <sz val="12"/>
        <color theme="1"/>
        <rFont val="游ゴシック"/>
        <family val="2"/>
        <charset val="128"/>
      </rPr>
      <t>だけができ、削除・読み取りはできない（他アプリの資材にも触れない）。</t>
    </r>
  </si>
  <si>
    <t>4. monitoring.yaml の書き方</t>
  </si>
  <si>
    <t>書き方</t>
  </si>
  <si>
    <t>必須。これが監視対象の宣言になる。</t>
  </si>
  <si>
    <t>API 提供契約やタグがあるのに資材が無い場合は、中央の棚卸しで検出される。</t>
  </si>
  <si>
    <t>プレフィックス（フォルダ名）と一致させる。</t>
  </si>
  <si>
    <t>不一致は取り込み拒否 + メタ不足アラート。</t>
  </si>
  <si>
    <t>認証方式を enum（6 種）から選ぶ。</t>
  </si>
  <si>
    <t>既定値 api-gw-jwt が使われ、未認証検査のみ実施 + メタ不足アラート。</t>
  </si>
  <si>
    <t>CloudFront の URL を書く（API Gateway の直 URL ではない）。</t>
  </si>
  <si>
    <t>検査できないため、メタ不足アラート。</t>
  </si>
  <si>
    <t>同じ {appId}/ 配下に併置する。</t>
  </si>
  <si>
    <t>無い場合は endpoint リストを monitoring.yaml に列挙する（ALB 直モノリス等）。</t>
  </si>
  <si>
    <t>任意。commitId / deployedAt 等の追跡用。</t>
  </si>
  <si>
    <t>中央は検知に使わないため、無くても問題ない。</t>
  </si>
  <si>
    <t>5. OpenAPI の公開印（MON-1）</t>
  </si>
  <si>
    <r>
      <t xml:space="preserve">6. </t>
    </r>
    <r>
      <rPr>
        <sz val="12"/>
        <color theme="1"/>
        <rFont val="游ゴシック"/>
        <family val="2"/>
        <charset val="128"/>
        <scheme val="minor"/>
      </rPr>
      <t>資材を上げてから監視されるまで</t>
    </r>
  </si>
  <si>
    <t>デプロイする（静的解析を通す）</t>
  </si>
  <si>
    <t>デプロイ成功後、パイプラインが資材（monitoring.yaml / openapi.yaml）を資材バケットへアップロードする</t>
  </si>
  <si>
    <t>デプロイ直後</t>
  </si>
  <si>
    <t>中央の巡回が資材の VersionId の変化に気づき、台帳と OpenAPI を自動で取り込む</t>
  </si>
  <si>
    <t>そのアプリの全 endpoint に対して検査（未認証検査 + 正規検査）が走り、問題があれば担当チームへ通知される（P1 Security 即時 / P2 Platform 24h / P3 App team 通常）</t>
  </si>
  <si>
    <t>なお、コンソールで直接 API の設定を変更した場合は資材に現れないため、この巡回では検知できない。その分は Config Rules（L2）と全量検査（モード2、日次定期＋手動。最大 24 時間で挙動レベルで捕捉）が補完する。だからこそ変更は必ず CI/CD 経由とすること（SCP による強制は Phase 2 判断）。</t>
  </si>
  <si>
    <t>7. アラートが来たら</t>
  </si>
  <si>
    <t>monitoring.yaml / openapi.yaml を確認し、修正して資材を再アップロード（次回巡回で自動再検査）</t>
  </si>
  <si>
    <t>8. 知っておくこと</t>
  </si>
  <si>
    <t>監視は毎日 1 回、全 endpoint への検査リクエスト（X-Auth-Probe ヘッダ付き）を送る。アプリのアクセスログに定期的な 401/403 が記録されるのは正常（資材の更新がなくても飛ぶ）。</t>
  </si>
  <si>
    <t>資材の最終更新が長期間（例 90 日）ないアプリは、中央の棚卸しアラートの対象になる。デプロイのたびに資材が上がっていれば自然に更新される。</t>
  </si>
  <si>
    <t>台帳に巡回スナップショット（lastArtifactVersions / lastSeenAt / 資材系属性）を同居</t>
    <phoneticPr fontId="2"/>
  </si>
  <si>
    <t>正本はベンダー git、中央が読むのは資材バケットの openapi.yaml（デプロイ版の写し）</t>
    <phoneticPr fontId="2"/>
  </si>
  <si>
    <t>資材と同じ読み取り経路で完結。deploy との設定ずれは検査実測で顕在化</t>
    <phoneticPr fontId="2"/>
  </si>
  <si>
    <t>変更検知は S3 監視資材の VersionId 比較 単独（2026-08-21。外部 git 前提により CodeCommit 巡回を置換、同時に deploymentId 併読を廃止）</t>
    <phoneticPr fontId="2"/>
  </si>
  <si>
    <t>資材オンリー原則: 中央が App アカウントで読むのは資材だけ（権限説明が単純・通信の線が最少）。アップロードがデプロイ後のため「資材あり = デプロイ済み」が成立。コンソール直変更は Config Rules + ガイド + 日次全量（24h）で受容</t>
    <phoneticPr fontId="2"/>
  </si>
  <si>
    <t>ADR-061 追記 2026-08-21</t>
  </si>
  <si>
    <t>ADR-061 追記 2026-08-21</t>
    <phoneticPr fontId="2"/>
  </si>
  <si>
    <t>at-least-once + 冪等（lastArtifactVersions は自動差分検査（モード1）起動成功後のみ更新、発見 → 検査は非同期起動 + DLQ、アカウント単位の部分失敗分離）。全量検査（モード2）と大規模巡回はアプリ / アカウント単位の分割起動</t>
    <phoneticPr fontId="2"/>
  </si>
  <si>
    <t>D-M-17-7</t>
  </si>
  <si>
    <t>アップロードはアプリ単位の専用ロール（デプロイロールと分離、{appId}/ prefix 限定 PutObject のみ）</t>
  </si>
  <si>
    <t>最小権限・ベンダー複数アプリでも相互に書けない・デプロイ権限と監視資材権限の分離</t>
  </si>
  <si>
    <t>D-M-17-8</t>
  </si>
  <si>
    <t>資材のアップロード漏れ・誤りは原則アプリ責任（中央は staleness 検知・棚卸し・日次全量で補助）</t>
  </si>
  <si>
    <t>外部ベンダーの CI 内部は中央から統制できない。責任分界を契約で明確化（顧客合意 M-Q-17-7）</t>
  </si>
  <si>
    <t>D-M-16-6</t>
  </si>
  <si>
    <t>読み取り対象は資材バケットのみ（codecommit / apigateway 権限は 2026-08-21 全廃）</t>
  </si>
  <si>
    <t>資材オンリー原則。ベンダーへの権限説明が単純・漏洩時影響も資材閲覧のみに縮小</t>
  </si>
  <si>
    <t>D-M-16-7</t>
  </si>
  <si>
    <t>アップロードは ArtifactUploadRole-{appId}（Put のみ・prefix 限定・デプロイロール分離）+ バケットポリシーで二重 Deny</t>
  </si>
  <si>
    <t>最小権限・アプリ間分離・書込経路の監査容易性</t>
  </si>
  <si>
    <t>SCP 強制（製品外の API GW 作成・変更禁止）の採否 — コンソール直変更を入口で塞ぐ鍵（deploymentId 併読廃止により重要度上昇）</t>
  </si>
  <si>
    <t>「資材が上がってくるはずなのに無い」の突合方法（API 提供契約リスト / タグ / Service Catalog launch 実績のどれと突合するか）と staleness 閾値（仮 90 日）</t>
  </si>
  <si>
    <t>発見 Lambda の実装 + PoC（Phase 3/4。S3 List/GetObject のページング・VersionId 比較・アカウント横断のレート制御）</t>
  </si>
  <si>
    <t>資材 openapi.yaml と本番デプロイの設定ずれ検出（全量検査（モード2、日次）の実測 404 で顕在化はするが、能動検出の要否）</t>
  </si>
  <si>
    <t>M-Q-17-7</t>
  </si>
  <si>
    <t>責任分界の顧客・ベンダー合意: 資材アップロード漏れ・内容誤りは原則アプリ責任（中央は補助検知のみ）とする条項。告知資料・契約への反映</t>
  </si>
  <si>
    <t>【解説】外部ベンダーの CI 内部は中央から統制できないため、「資材が正しく上がっていること」の保証責任はアプリ（ベンダー）側に置く設計になっている。中央は staleness 検知（資材の最終更新が閾値超）・月次棚卸し・日次の全量検査で補助するのみ。この分界を顧客・ベンダーと合意し、告知資料と契約条項に落とす必要がある。【回答】合意取得タスク。合意日と反映先を記入: ＿＿</t>
  </si>
  <si>
    <t>M-Q-17-8</t>
  </si>
  <si>
    <t>資材バケットの命名規約・暗号化方式（SSE-S3/KMS）・旧版ライフサイクル（保持期間）</t>
  </si>
  <si>
    <t>【解説】資材バケットは StackSets で全 App アカウントに配布するため、命名規約（例 auth-monitoring-artifacts-{accountId}）を固定しないと発見 Lambda が ARN を機械的に組み立てられない。あわせて暗号化方式と、Versioning で増える旧版の保持期間を決める。【選択肢】命名: a) auth-monitoring-artifacts-{accountId}（★・機械組み立て可）/ 暗号化: a) SSE-S3（★・費用ゼロ）/ b) SSE-KMS / 旧版保持: 例 90 日 【→ 回答: ＿＿】</t>
  </si>
  <si>
    <t>W1-7</t>
  </si>
  <si>
    <t>ベンダーへの監視資材アップロードの告知・CI 改修依頼</t>
  </si>
  <si>
    <t>【これは何か】コードリポジトリが開発ベンダーごとに外部にあるため、監視は「デプロイパイプラインの最終段で監視資材（monitoring.yaml / openapi.yaml）を App アカウントの資材バケットへアップロードしてもらう」方式に確定した（ADR-061 追記 2026-08-21）。【なぜ調整が必要か】アップロードの組み込みは各ベンダーの CI 改修であり、当方では実施できない。またアップロード漏れ・資材誤りは原則アプリ責任とする責任分界（M-Q-17-7）は顧客との合意事項。【やること】告知資料（バケット・キー規約 / アップロードロールの Assume 手順 / パイプライン例 / 責任分界）を作成・配布し、各ベンダーの CI 改修とアップロード実績を受入確認する。責任分界は顧客と合意し記録する</t>
  </si>
  <si>
    <t>S2</t>
  </si>
  <si>
    <t>外部律速</t>
  </si>
  <si>
    <t>A15-i</t>
  </si>
  <si>
    <t>全量検査の日次 Scheduler 実装</t>
  </si>
  <si>
    <t>EventBridge Scheduler（日次、時刻帯は M-Q-18-3）→ 認証実装チェック Lambda mode=full 起動の IaC + 起動確認。【補足】heartbeat 型検査（旧 M2）廃止の代替として、シグナルなし変化（ALB 直の手動変更・設定駆動の認証切替等）を最大 24h で機械的に捕捉する（D-M-18-4、18 §18.1.1）</t>
  </si>
  <si>
    <t>S2-d</t>
  </si>
  <si>
    <t>資材バケット + アップロードロール 設計</t>
  </si>
  <si>
    <t>資材バケット（auth-monitoring-artifacts-{accountId}、Versioning・暗号化・ライフサイクル・prefix 外 Put を Deny するバケットポリシー）+ ArtifactUploadRole-{appId}（{appId}/* 限定 PutObject のみ・デプロイロール分離・信頼先はアプリごとの CI 接続方式）の設計書（16 §16.2.2）。【補足】資材バケット＝アプリのデプロイパイプラインが監視資材を置く App アカウント側の S3 バケット。アップロードロール＝ベンダー CI が自アプリの prefix にだけ Put できる最小権限ロール</t>
  </si>
  <si>
    <t>S2-i</t>
  </si>
  <si>
    <t>StackSets テンプレへの組み込み（バケット + ロール。appId・CI 信頼先はパラメータ化）+ 配布・Put/Get 動作確認</t>
  </si>
  <si>
    <t>S2-d, S1-i</t>
  </si>
  <si>
    <t>【これは何か】本監視は S3 に上がった監視資材だけを見る方式（資材オンリー原則、2026-08-21）のため、コンソールで直接 AWS の認証設定を外した変更は資材に現れず検知できない（挙動レベルでは日次の全量検査（モード2）が最大 24h で捕捉）。この死角を設定レベルで常時チェックするのが AWS Config Rules。旧方式の deploymentId 併読の廃止により、本監視側の即時検知手段が無くなったため Config Rules の重要度が上がった。【なぜ調整が必要か】その Config Rules が組織に本当に整備されているかを確認していない。無ければ死角が塞がらないまま運用に入ってしまう。【やること】該当ルール（API GW の認証必須チェック）の有無を確認し、無ければ追加実装（+8 人時）を必須タスクとして起票する（管理番号: 17 §17.2.2 ②）</t>
  </si>
  <si>
    <t>AssumeRole/S3 資材クライアント 設計</t>
  </si>
  <si>
    <t>ExternalId・一時クレデンシャルのライフサイクル・SDK リトライ（指数バックオフ）設定。【補足】AssumeRole＝他アカウントに置かれた読み取り専用ロールの権限を、期限付きで一時的に借る AWS の標準的な仕組み。これで恆久的な鍵を配らずに App アカウントの資材バケットを読める</t>
  </si>
  <si>
    <t>AssumeRole/S3 資材クライアント 実装</t>
  </si>
  <si>
    <t>AssumeRole/S3 資材クライアント 単体テスト</t>
  </si>
  <si>
    <t>資材列挙・差分判定 設計</t>
  </si>
  <si>
    <t>資材バケットの List（{appId}/ プレフィックス）→ monitoring.yaml / openapi.yaml の VersionId 取得 → lastArtifactVersions 比較のロジックと「変更あり」判定基準。【補足】資材列挙＝App アカウントの資材バケットを一覧し、monitoring.yaml が置かれたアプリ（＝監視対象）を見つけること。差分判定＝前回巡回で確認した資材の VersionId と現在を比べ「新しい版がデプロイされたか」を判定すること（マルチパートで ETag が MD5 と一致しないため VersionId 主）</t>
  </si>
  <si>
    <t>資材列挙・差分判定 実装</t>
  </si>
  <si>
    <t>資材列挙・差分判定 単体テスト</t>
  </si>
  <si>
    <t>初回（台帳なし）/ 変更なし / 変更あり / バケット不在・アクセス拒否 の 4 分岐</t>
  </si>
  <si>
    <t>GetObject・スキーマ検証（W5-2 の JSON Schema 共用）・appId とプレフィックスの一致検証・不備時の分類（メタ不足の種別）。【補足】monitoring.yaml＝アプリが「このアプリを監視して」と宣言する設定ファイル（検査先 URL・認証方式などを記載。デプロイ時に資材バケットの {appId}/ 配下へアップロードする）</t>
  </si>
  <si>
    <t>registry/{appId}/{env}.json の生成・更新仕様、ETag 条件付き PUT、lastArtifactVersions は 自動差分検査（モード1）の起動成功後にのみ更新（at-least-once）。【補足】台帳＝「どのアプリをどう監視するか」を 1 か所に集めた S3 上の管理簿。ETag 条件付き PUT＝「読み込んだ時から誰も更新していなければ書き込む」仕組みで、同時更新による上書き事故を防ぐ。at-least-once＝取りこㄢしゼロを優先し、同じ変更を 2 回検査することは許容する方式（検査は読み取りのみなので重複しても無害）</t>
  </si>
  <si>
    <t>openapi.yaml GetObject → openapi/ Put のキー導出・上書き仕様。【補足】spec＝API 仕様書（openapi.yaml。どんな endpoint があるかの一覧）。検査 Lambda が「どこを叩くか」を知るための情報源で、資材バケットから取得して中央の S3 にコピーしておく</t>
  </si>
  <si>
    <t>消滅検知・staleness 検知 設計</t>
  </si>
  <si>
    <t>資材（monitoring.yaml）消滅 → enabled=false + 棚卸しアラート（SNS P2）の判定・通知文面。staleness 検知（資材の最終更新が閾値超 → 棚卸しアラート。アップロード忘れの補助検知、17 §17.2.2）。【補足】消滅検知＝前回まで存在した資材が無くなった（＝アプリ廃止の可能性）ことを検出し、監視を自動停止したうえで「本当に廃止か」の確認を人に促す仕組み</t>
  </si>
  <si>
    <t>消滅検知・staleness 検知 実装</t>
  </si>
  <si>
    <t>消滅検知・staleness 検知 単体テスト</t>
  </si>
  <si>
    <t>資材一式の削除 / monitoring.yaml のみ削除 / 一時的な取得失敗と消滅の区別 / staleness 閾値超過</t>
  </si>
  <si>
    <t>ロール設計書: 権限 s3 read 4 アクション（資材バケット限定）・信頼ポリシー（信頼先 1 本 + ExternalId）・全アカウント同一名（16 §16.2 準拠のパラメータシート）。【補足】DiscoveryReadRole＝各 App アカウントに置く「中央からの読み取り窓口」となる IAM ロール（資材バケットの読み取りのみ可。git・AWS 構成は読めない）。StackSets＝CloudFormation を複数アカウントへ一括配布する仕組みで、新規アカウントにも自動で配られる</t>
  </si>
  <si>
    <t>共通基盤 IaC 一式適用 + App アカウント側: 資材バケット + seed 資材（{appId}/monitoring.yaml + openapi.yaml）×2 アプリ・アップロードロール経由の Put 動作・サンプル API（API GW + JWT Authorizer、故意の NONE endpoint 付き）・CloudFront + WAF 簡易構成（Origin Protection + 検査 許可ルール）・Keycloak 接続（W1-4）</t>
  </si>
  <si>
    <t>A-1 新規資材（monitoring.yaml あり）→ 台帳生成 + spec 配置 + 自動差分検査（モード1）起動 / A-2 資材無しアカウント → 対象外 / A-3 appId とプレフィックス不一致 → 取り込み拒否 + メタ不足アラート / A-4 authPattern 不正 → 既定 api-gw-jwt + メタ不足 / A-5 openapi.yaml のみ更新 → そのアプリだけ 自動差分検査（モード1）を起動 / A-6 資材の staleness（最終更新が閾値超）→ 棚卸しアラート / A-7 monitoring.yaml 削除 → enabled=false + 棚卸しアラート</t>
  </si>
  <si>
    <t>D-1 1 アカウントの AssumeRole 拒否 → 他アカウント完走 + AccountErrors → MM-3 / D-2 検査 起動 失敗 → リトライ → DLQ → MM-4 / D-3 Scheduler 停止 → 2h 後 MM-1 発火 / D-4 自動差分検査（モード1）途中失敗 → lastArtifactVersions 据㹮置き → 次巡回で再検知（at-least-once）/ D-5 全量検査（モード2）の手動起動と日次定期起動 → 分割起動で全アプリ検査 / D-6 台帳の手動更新と巡回の競合（ETag 412 → リトライ）</t>
  </si>
  <si>
    <t>① P1（認証漏れ）対応: 一次切り分け（真の漏れ / 設定ずれ / 誤検知）→ アプリチーム連絡 → 暂定遮断の判断基準 ② 全量検査（モード2）の手動実行手順（CLI・実行権限）+ 日次定期実行の管理（時刻変更・一時停止） ③ メタ監視発報対応（MM-1〜5 別の初動） ④ 台帳手動更新（enabled 切替・alertRouting 設定・ETag 手順） ⑤ 棚卸し（消滅レコード削除・公開印 skip 濫用の月次レビュー）。各 Runbook に「変更は必ず git 経由」原則（2026-08-19 方針①）を明記</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</si>
</sst>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
  </numFmts>
  <fonts count="13">
    <font>
      <sz val="12"/>
      <color theme="1"/>
      <name val="游ゴシック"/>
      <family val="2"/>
      <charset val="128"/>
      <scheme val="minor"/>
    </font>
    <font>
      <b/>
      <sz val="12"/>
      <color theme="1"/>
      <name val="游ゴシック"/>
      <family val="2"/>
      <charset val="128"/>
      <scheme val="minor"/>
    </font>
    <font>
      <sz val="6"/>
      <name val="游ゴシック"/>
      <family val="2"/>
      <charset val="128"/>
      <scheme val="minor"/>
    </font>
    <font>
      <b/>
      <sz val="16"/>
      <color theme="1"/>
      <name val="游ゴシック"/>
      <family val="2"/>
      <charset val="128"/>
      <scheme val="minor"/>
    </font>
    <font>
      <b/>
      <sz val="12"/>
      <color rgb="FF1F4E79"/>
      <name val="游ゴシック"/>
      <family val="2"/>
      <charset val="128"/>
      <scheme val="minor"/>
    </font>
    <font>
      <b/>
      <sz val="12"/>
      <color rgb="FFFFFFFF"/>
      <name val="游ゴシック"/>
      <family val="2"/>
      <charset val="128"/>
      <scheme val="minor"/>
    </font>
    <font>
      <sz val="12"/>
      <color theme="1"/>
      <name val="Consolas"/>
      <family val="2"/>
    </font>
    <font>
      <sz val="12"/>
      <color theme="1"/>
      <name val="游ゴシック"/>
      <family val="2"/>
      <charset val="128"/>
    </font>
    <font>
      <b/>
      <sz val="12"/>
      <color rgb="FF1F4E79"/>
      <name val="Consolas"/>
      <family val="2"/>
    </font>
    <font>
      <b/>
      <sz val="12"/>
      <color rgb="FF7F6000"/>
      <name val="游ゴシック"/>
      <family val="2"/>
      <charset val="128"/>
      <scheme val="minor"/>
    </font>
    <font>
      <b/>
      <sz val="16"/>
      <color theme="1"/>
      <name val="Meiryo UI"/>
      <family val="2"/>
      <charset val="128"/>
    </font>
    <font>
      <sz val="12"/>
      <color theme="1"/>
      <name val="Meiryo UI"/>
      <family val="2"/>
      <charset val="128"/>
    </font>
    <font>
      <b/>
      <sz val="12"/>
      <color rgb="FFFFFFFF"/>
      <name val="Meiryo UI"/>
      <family val="2"/>
      <charset val="128"/>
    </font>
  </fonts>
  <fills count="17">
    <fill>
      <patternFill patternType="none"/>
    </fill>
    <fill>
      <patternFill patternType="gray125"/>
    </fill>
    <fill>
      <patternFill patternType="solid">
        <fgColor rgb="FF1F4E79"/>
        <bgColor indexed="64"/>
      </patternFill>
    </fill>
    <fill>
      <patternFill patternType="solid">
        <fgColor rgb="FFFFF3E0"/>
        <bgColor indexed="64"/>
      </patternFill>
    </fill>
    <fill>
      <patternFill patternType="solid">
        <fgColor rgb="FFFFFFFF"/>
        <bgColor indexed="64"/>
      </patternFill>
    </fill>
    <fill>
      <patternFill patternType="solid">
        <fgColor rgb="FFFCE4EC"/>
        <bgColor indexed="64"/>
      </patternFill>
    </fill>
    <fill>
      <patternFill patternType="solid">
        <fgColor rgb="FFE8F5E9"/>
        <bgColor indexed="64"/>
      </patternFill>
    </fill>
    <fill>
      <patternFill patternType="solid">
        <fgColor rgb="FFEDE7F6"/>
        <bgColor indexed="64"/>
      </patternFill>
    </fill>
    <fill>
      <patternFill patternType="solid">
        <fgColor rgb="FFFFF9C4"/>
        <bgColor indexed="64"/>
      </patternFill>
    </fill>
    <fill>
      <patternFill patternType="solid">
        <fgColor rgb="FFEEEEEE"/>
        <bgColor indexed="64"/>
      </patternFill>
    </fill>
    <fill>
      <patternFill patternType="solid">
        <fgColor rgb="FFF2F2F2"/>
        <bgColor indexed="64"/>
      </patternFill>
    </fill>
    <fill>
      <patternFill patternType="solid">
        <fgColor rgb="FFFFFF00"/>
        <bgColor indexed="64"/>
      </patternFill>
    </fill>
    <fill>
      <patternFill patternType="solid">
        <fgColor rgb="FFFFCDD2"/>
        <bgColor indexed="64"/>
      </patternFill>
    </fill>
    <fill>
      <patternFill patternType="solid">
        <fgColor rgb="FFC00000"/>
        <bgColor indexed="64"/>
      </patternFill>
    </fill>
    <fill>
      <patternFill patternType="solid">
        <fgColor rgb="FFFFF2CC"/>
        <bgColor indexed="64"/>
      </patternFill>
    </fill>
    <fill>
      <patternFill patternType="solid">
        <fgColor rgb="FFDDEBF7"/>
        <bgColor indexed="64"/>
      </patternFill>
    </fill>
    <fill>
      <patternFill patternType="solid">
        <fgColor theme="0" tint="-4.9989318521683403E-2"/>
        <bgColor indexed="64"/>
      </patternFill>
    </fill>
  </fills>
  <borders count="18">
    <border>
      <left/>
      <right/>
      <top/>
      <bottom/>
      <diagonal/>
    </border>
    <border>
      <left style="thin">
        <color rgb="FF7F7F7F"/>
      </left>
      <right style="thin">
        <color rgb="FF7F7F7F"/>
      </right>
      <top style="thin">
        <color rgb="FF7F7F7F"/>
      </top>
      <bottom style="thin">
        <color rgb="FF7F7F7F"/>
      </bottom>
      <diagonal/>
    </border>
    <border>
      <left style="thin">
        <color rgb="FF8EA9DB"/>
      </left>
      <right style="thin">
        <color rgb="FF8EA9DB"/>
      </right>
      <top style="thin">
        <color rgb="FF8EA9DB"/>
      </top>
      <bottom style="thin">
        <color rgb="FF8EA9DB"/>
      </bottom>
      <diagonal/>
    </border>
    <border>
      <left/>
      <right style="thin">
        <color rgb="FF8EA9DB"/>
      </right>
      <top style="thin">
        <color rgb="FF8EA9DB"/>
      </top>
      <bottom style="thin">
        <color rgb="FF8EA9DB"/>
      </bottom>
      <diagonal/>
    </border>
    <border>
      <left style="medium">
        <color rgb="FF404040"/>
      </left>
      <right/>
      <top style="medium">
        <color rgb="FF404040"/>
      </top>
      <bottom/>
      <diagonal/>
    </border>
    <border>
      <left style="thin">
        <color rgb="FF7F7F7F"/>
      </left>
      <right/>
      <top style="thin">
        <color rgb="FF7F7F7F"/>
      </top>
      <bottom style="thin">
        <color rgb="FF7F7F7F"/>
      </bottom>
      <diagonal/>
    </border>
    <border>
      <left style="thin">
        <color rgb="FF7F7F7F"/>
      </left>
      <right style="thin">
        <color rgb="FF7F7F7F"/>
      </right>
      <top style="thin">
        <color rgb="FF7F7F7F"/>
      </top>
      <bottom/>
      <diagonal/>
    </border>
    <border>
      <left style="thin">
        <color rgb="FF7F7F7F"/>
      </left>
      <right/>
      <top style="thin">
        <color rgb="FF7F7F7F"/>
      </top>
      <bottom/>
      <diagonal/>
    </border>
    <border>
      <left style="medium">
        <color rgb="FF404040"/>
      </left>
      <right style="medium">
        <color rgb="FF404040"/>
      </right>
      <top style="medium">
        <color rgb="FF404040"/>
      </top>
      <bottom/>
      <diagonal/>
    </border>
    <border>
      <left/>
      <right/>
      <top style="mediumDashed">
        <color rgb="FFBF8F00"/>
      </top>
      <bottom/>
      <diagonal/>
    </border>
    <border>
      <left/>
      <right/>
      <top/>
      <bottom style="mediumDashed">
        <color rgb="FFBF8F00"/>
      </bottom>
      <diagonal/>
    </border>
    <border>
      <left style="mediumDashed">
        <color rgb="FFBF8F00"/>
      </left>
      <right/>
      <top style="mediumDashed">
        <color rgb="FFBF8F00"/>
      </top>
      <bottom/>
      <diagonal/>
    </border>
    <border>
      <left style="mediumDashed">
        <color rgb="FFBF8F00"/>
      </left>
      <right/>
      <top/>
      <bottom/>
      <diagonal/>
    </border>
    <border>
      <left style="mediumDashed">
        <color rgb="FFBF8F00"/>
      </left>
      <right/>
      <top/>
      <bottom style="mediumDashed">
        <color rgb="FFBF8F00"/>
      </bottom>
      <diagonal/>
    </border>
    <border>
      <left/>
      <right style="mediumDashed">
        <color rgb="FFBF8F00"/>
      </right>
      <top style="mediumDashed">
        <color rgb="FFBF8F00"/>
      </top>
      <bottom/>
      <diagonal/>
    </border>
    <border>
      <left/>
      <right style="mediumDashed">
        <color rgb="FFBF8F00"/>
      </right>
      <top/>
      <bottom/>
      <diagonal/>
    </border>
    <border>
      <left/>
      <right style="mediumDashed">
        <color rgb="FFBF8F00"/>
      </right>
      <top/>
      <bottom style="mediumDashed">
        <color rgb="FFBF8F00"/>
      </bottom>
      <diagonal/>
    </border>
    <border>
      <left style="thin">
        <color rgb="FF8EA9DB"/>
      </left>
      <right style="thin">
        <color rgb="FF8EA9DB"/>
      </right>
      <top/>
      <bottom/>
      <diagonal/>
    </border>
  </borders>
  <cellStyleXfs count="1">
    <xf numFmtId="0" fontId="0" fillId="0" borderId="0">
      <alignment vertical="center"/>
    </xf>
  </cellStyleXfs>
  <cellXfs count="113">
    <xf numFmtId="0" fontId="0" fillId="0" borderId="0" xfId="0">
      <alignment vertical="center"/>
    </xf>
    <xf numFmtId="0" fontId="3" fillId="0" borderId="0" xfId="0" applyFont="1">
      <alignment vertical="center"/>
    </xf>
    <xf numFmtId="0" fontId="4" fillId="0" borderId="0" xfId="0" applyFont="1">
      <alignment vertical="center"/>
    </xf>
    <xf numFmtId="0" fontId="0" fillId="0" borderId="0" xfId="0" applyAlignment="1">
      <alignment vertical="top"/>
    </xf>
    <xf numFmtId="0" fontId="0" fillId="0" borderId="0" xfId="0" applyAlignment="1">
      <alignment vertical="top" wrapText="1"/>
    </xf>
    <xf numFmtId="0" fontId="5" fillId="2" borderId="3" xfId="0" applyFont="1" applyFill="1" applyBorder="1" applyAlignment="1">
      <alignment horizontal="center" vertical="center"/>
    </xf>
    <xf numFmtId="0" fontId="0" fillId="0" borderId="3" xfId="0" applyBorder="1" applyAlignment="1">
      <alignment vertical="top" wrapText="1"/>
    </xf>
    <xf numFmtId="0" fontId="5" fillId="2" borderId="2" xfId="0" applyFont="1" applyFill="1" applyBorder="1" applyAlignment="1">
      <alignment horizontal="center" vertical="center"/>
    </xf>
    <xf numFmtId="0" fontId="0" fillId="0" borderId="2" xfId="0" applyBorder="1" applyAlignment="1">
      <alignment vertical="top" wrapText="1"/>
    </xf>
    <xf numFmtId="0" fontId="1" fillId="0" borderId="0" xfId="0" applyFont="1" applyAlignment="1">
      <alignment vertical="top" wrapText="1"/>
    </xf>
    <xf numFmtId="0" fontId="4" fillId="0" borderId="0" xfId="0" applyFont="1" applyAlignment="1">
      <alignment vertical="top" wrapText="1"/>
    </xf>
    <xf numFmtId="0" fontId="1" fillId="3" borderId="4" xfId="0" applyFont="1" applyFill="1" applyBorder="1" applyAlignment="1">
      <alignment vertical="center" wrapText="1"/>
    </xf>
    <xf numFmtId="0" fontId="1" fillId="4" borderId="4" xfId="0" applyFont="1" applyFill="1" applyBorder="1" applyAlignment="1">
      <alignment vertical="center" wrapText="1"/>
    </xf>
    <xf numFmtId="0" fontId="1" fillId="5" borderId="4" xfId="0" applyFont="1" applyFill="1" applyBorder="1" applyAlignment="1">
      <alignment vertical="center" wrapText="1"/>
    </xf>
    <xf numFmtId="0" fontId="1" fillId="6" borderId="4" xfId="0" applyFont="1" applyFill="1" applyBorder="1" applyAlignment="1">
      <alignment vertical="center" wrapText="1"/>
    </xf>
    <xf numFmtId="0" fontId="0" fillId="0" borderId="0" xfId="0" applyAlignment="1">
      <alignment vertical="center" wrapText="1"/>
    </xf>
    <xf numFmtId="0" fontId="0" fillId="3" borderId="5" xfId="0" applyFill="1" applyBorder="1" applyAlignment="1">
      <alignment horizontal="center" vertical="center" wrapText="1"/>
    </xf>
    <xf numFmtId="0" fontId="0" fillId="3" borderId="1" xfId="0" applyFill="1" applyBorder="1" applyAlignment="1">
      <alignment horizontal="center" vertical="center" wrapText="1"/>
    </xf>
    <xf numFmtId="0" fontId="0" fillId="3" borderId="6" xfId="0" applyFill="1" applyBorder="1" applyAlignment="1">
      <alignment horizontal="center" vertical="center" wrapText="1"/>
    </xf>
    <xf numFmtId="0" fontId="0" fillId="3" borderId="7" xfId="0" applyFill="1" applyBorder="1" applyAlignment="1">
      <alignment horizontal="center" vertical="center" wrapText="1"/>
    </xf>
    <xf numFmtId="0" fontId="0" fillId="8" borderId="7" xfId="0" applyFill="1" applyBorder="1" applyAlignment="1">
      <alignment horizontal="center" vertical="center" wrapText="1"/>
    </xf>
    <xf numFmtId="0" fontId="0" fillId="4" borderId="5" xfId="0" applyFill="1" applyBorder="1" applyAlignment="1">
      <alignment horizontal="center" vertical="center" wrapText="1"/>
    </xf>
    <xf numFmtId="0" fontId="0" fillId="5" borderId="0" xfId="0" applyFill="1" applyAlignment="1">
      <alignment vertical="center" wrapText="1"/>
    </xf>
    <xf numFmtId="0" fontId="0" fillId="5" borderId="5" xfId="0" applyFill="1" applyBorder="1" applyAlignment="1">
      <alignment horizontal="center" vertical="center" wrapText="1"/>
    </xf>
    <xf numFmtId="0" fontId="0" fillId="6" borderId="7" xfId="0" applyFill="1" applyBorder="1" applyAlignment="1">
      <alignment horizontal="center" vertical="center" wrapText="1"/>
    </xf>
    <xf numFmtId="0" fontId="0" fillId="6" borderId="1" xfId="0" applyFill="1" applyBorder="1" applyAlignment="1">
      <alignment horizontal="center" vertical="center" wrapText="1"/>
    </xf>
    <xf numFmtId="0" fontId="0" fillId="6" borderId="6" xfId="0" applyFill="1" applyBorder="1" applyAlignment="1">
      <alignment horizontal="center" vertical="center" wrapText="1"/>
    </xf>
    <xf numFmtId="0" fontId="1" fillId="7" borderId="8" xfId="0" applyFont="1" applyFill="1" applyBorder="1" applyAlignment="1">
      <alignment vertical="center" wrapText="1"/>
    </xf>
    <xf numFmtId="0" fontId="0" fillId="7" borderId="1" xfId="0" applyFill="1" applyBorder="1" applyAlignment="1">
      <alignment horizontal="center" vertical="center" wrapText="1"/>
    </xf>
    <xf numFmtId="0" fontId="1" fillId="9" borderId="8" xfId="0" applyFont="1" applyFill="1" applyBorder="1" applyAlignment="1">
      <alignment vertical="center" wrapText="1"/>
    </xf>
    <xf numFmtId="0" fontId="0" fillId="9" borderId="5" xfId="0" applyFill="1" applyBorder="1" applyAlignment="1">
      <alignment horizontal="center" vertical="center" wrapText="1"/>
    </xf>
    <xf numFmtId="0" fontId="0" fillId="9" borderId="1" xfId="0" applyFill="1" applyBorder="1" applyAlignment="1">
      <alignment horizontal="center" vertical="center" wrapText="1"/>
    </xf>
    <xf numFmtId="56" fontId="0" fillId="0" borderId="2" xfId="0" applyNumberFormat="1" applyBorder="1" applyAlignment="1">
      <alignment vertical="top" wrapText="1"/>
    </xf>
    <xf numFmtId="0" fontId="6" fillId="10" borderId="0" xfId="0" applyFont="1" applyFill="1">
      <alignment vertical="center"/>
    </xf>
    <xf numFmtId="0" fontId="8" fillId="10" borderId="0" xfId="0" applyFont="1" applyFill="1">
      <alignment vertical="center"/>
    </xf>
    <xf numFmtId="0" fontId="1" fillId="11" borderId="0" xfId="0" applyFont="1" applyFill="1" applyAlignment="1">
      <alignment vertical="center" wrapText="1"/>
    </xf>
    <xf numFmtId="0" fontId="0" fillId="12" borderId="2" xfId="0" applyFill="1" applyBorder="1" applyAlignment="1">
      <alignment vertical="top" wrapText="1"/>
    </xf>
    <xf numFmtId="0" fontId="6" fillId="10" borderId="0" xfId="0" applyFont="1" applyFill="1" applyAlignment="1">
      <alignment vertical="top"/>
    </xf>
    <xf numFmtId="0" fontId="6" fillId="10" borderId="0" xfId="0" applyFont="1" applyFill="1" applyAlignment="1">
      <alignment vertical="top" wrapText="1"/>
    </xf>
    <xf numFmtId="0" fontId="5" fillId="13" borderId="3" xfId="0" applyFont="1" applyFill="1" applyBorder="1" applyAlignment="1">
      <alignment horizontal="center" vertical="center"/>
    </xf>
    <xf numFmtId="0" fontId="5" fillId="13" borderId="2" xfId="0" applyFont="1" applyFill="1" applyBorder="1" applyAlignment="1">
      <alignment horizontal="center" vertical="center"/>
    </xf>
    <xf numFmtId="49" fontId="0" fillId="0" borderId="2" xfId="0" applyNumberFormat="1" applyBorder="1" applyAlignment="1">
      <alignment vertical="top" wrapText="1"/>
    </xf>
    <xf numFmtId="0" fontId="0" fillId="14" borderId="0" xfId="0" applyFill="1" applyAlignment="1">
      <alignment vertical="top" wrapText="1"/>
    </xf>
    <xf numFmtId="0" fontId="0" fillId="14" borderId="9" xfId="0" applyFill="1" applyBorder="1" applyAlignment="1">
      <alignment vertical="top" wrapText="1"/>
    </xf>
    <xf numFmtId="0" fontId="0" fillId="14" borderId="10" xfId="0" applyFill="1" applyBorder="1" applyAlignment="1">
      <alignment vertical="top" wrapText="1"/>
    </xf>
    <xf numFmtId="0" fontId="0" fillId="14" borderId="12" xfId="0" applyFill="1" applyBorder="1" applyAlignment="1">
      <alignment vertical="top" wrapText="1"/>
    </xf>
    <xf numFmtId="0" fontId="0" fillId="14" borderId="13" xfId="0" applyFill="1" applyBorder="1" applyAlignment="1">
      <alignment vertical="top" wrapText="1"/>
    </xf>
    <xf numFmtId="0" fontId="0" fillId="14" borderId="14" xfId="0" applyFill="1" applyBorder="1" applyAlignment="1">
      <alignment vertical="top" wrapText="1"/>
    </xf>
    <xf numFmtId="0" fontId="0" fillId="14" borderId="15" xfId="0" applyFill="1" applyBorder="1" applyAlignment="1">
      <alignment vertical="top" wrapText="1"/>
    </xf>
    <xf numFmtId="0" fontId="0" fillId="14" borderId="16" xfId="0" applyFill="1" applyBorder="1" applyAlignment="1">
      <alignment vertical="top" wrapText="1"/>
    </xf>
    <xf numFmtId="0" fontId="9" fillId="14" borderId="11" xfId="0" applyFont="1" applyFill="1" applyBorder="1" applyAlignment="1">
      <alignment vertical="top" wrapText="1"/>
    </xf>
    <xf numFmtId="0" fontId="10" fillId="0" borderId="0" xfId="0" applyFont="1">
      <alignment vertical="center"/>
    </xf>
    <xf numFmtId="0" fontId="11" fillId="0" borderId="0" xfId="0" applyFont="1">
      <alignment vertical="center"/>
    </xf>
    <xf numFmtId="0" fontId="11" fillId="0" borderId="0" xfId="0" applyFont="1" applyAlignment="1">
      <alignment vertical="top"/>
    </xf>
    <xf numFmtId="0" fontId="12" fillId="2" borderId="2" xfId="0" applyFont="1" applyFill="1" applyBorder="1" applyAlignment="1">
      <alignment horizontal="center" vertical="center"/>
    </xf>
    <xf numFmtId="0" fontId="11" fillId="0" borderId="2" xfId="0" applyFont="1" applyBorder="1" applyAlignment="1">
      <alignment vertical="top" wrapText="1"/>
    </xf>
    <xf numFmtId="0" fontId="5" fillId="2" borderId="2" xfId="0" applyFont="1" applyFill="1" applyBorder="1" applyAlignment="1">
      <alignment horizontal="center" vertical="center" wrapText="1"/>
    </xf>
    <xf numFmtId="0" fontId="0" fillId="0" borderId="2" xfId="0" applyBorder="1">
      <alignment vertical="center"/>
    </xf>
    <xf numFmtId="0" fontId="5" fillId="13" borderId="2" xfId="0" applyFont="1" applyFill="1" applyBorder="1" applyAlignment="1">
      <alignment horizontal="center" vertical="center" wrapText="1"/>
    </xf>
    <xf numFmtId="176" fontId="0" fillId="0" borderId="2" xfId="0" applyNumberFormat="1" applyBorder="1" applyAlignment="1">
      <alignment vertical="top" wrapText="1"/>
    </xf>
    <xf numFmtId="176" fontId="0" fillId="0" borderId="2" xfId="0" applyNumberFormat="1" applyBorder="1">
      <alignment vertical="center"/>
    </xf>
    <xf numFmtId="0" fontId="0" fillId="0" borderId="2" xfId="0" applyBorder="1" applyAlignment="1">
      <alignment horizontal="center" vertical="top" wrapText="1"/>
    </xf>
    <xf numFmtId="0" fontId="1" fillId="0" borderId="2" xfId="0" applyFont="1" applyBorder="1">
      <alignment vertical="center"/>
    </xf>
    <xf numFmtId="176" fontId="1" fillId="0" borderId="2" xfId="0" applyNumberFormat="1" applyFont="1" applyBorder="1">
      <alignment vertical="center"/>
    </xf>
    <xf numFmtId="0" fontId="0" fillId="11" borderId="17" xfId="0" applyFill="1" applyBorder="1" applyAlignment="1">
      <alignment vertical="center" wrapText="1"/>
    </xf>
    <xf numFmtId="49" fontId="4" fillId="0" borderId="2" xfId="0" applyNumberFormat="1" applyFont="1" applyBorder="1" applyAlignment="1">
      <alignment vertical="top" wrapText="1"/>
    </xf>
    <xf numFmtId="0" fontId="4" fillId="0" borderId="0" xfId="0" applyFont="1" applyAlignment="1">
      <alignment vertical="top"/>
    </xf>
    <xf numFmtId="0" fontId="0" fillId="0" borderId="2" xfId="0" applyBorder="1" applyAlignment="1">
      <alignment vertical="top"/>
    </xf>
    <xf numFmtId="0" fontId="1" fillId="15" borderId="2" xfId="0" applyFont="1" applyFill="1" applyBorder="1">
      <alignment vertical="center"/>
    </xf>
    <xf numFmtId="1" fontId="0" fillId="0" borderId="2" xfId="0" applyNumberFormat="1" applyBorder="1" applyAlignment="1">
      <alignment vertical="top" wrapText="1"/>
    </xf>
    <xf numFmtId="2" fontId="0" fillId="0" borderId="2" xfId="0" applyNumberFormat="1" applyBorder="1" applyAlignment="1">
      <alignment vertical="top" wrapText="1"/>
    </xf>
    <xf numFmtId="2" fontId="1" fillId="15" borderId="2" xfId="0" applyNumberFormat="1" applyFont="1" applyFill="1" applyBorder="1">
      <alignment vertical="center"/>
    </xf>
    <xf numFmtId="0" fontId="1" fillId="15" borderId="2" xfId="0" applyFont="1" applyFill="1" applyBorder="1" applyAlignment="1">
      <alignment horizontal="center" vertical="top" wrapText="1"/>
    </xf>
    <xf numFmtId="0" fontId="1" fillId="15" borderId="2" xfId="0" applyFont="1" applyFill="1" applyBorder="1" applyAlignment="1">
      <alignment horizontal="center" vertical="center"/>
    </xf>
    <xf numFmtId="0" fontId="1" fillId="0" borderId="2" xfId="0" applyFont="1" applyBorder="1" applyAlignment="1">
      <alignment vertical="top" wrapText="1"/>
    </xf>
    <xf numFmtId="1" fontId="1" fillId="0" borderId="2" xfId="0" applyNumberFormat="1" applyFont="1" applyBorder="1">
      <alignment vertical="center"/>
    </xf>
    <xf numFmtId="0" fontId="1" fillId="14" borderId="2" xfId="0" applyFont="1" applyFill="1" applyBorder="1">
      <alignment vertical="center"/>
    </xf>
    <xf numFmtId="176" fontId="1" fillId="15" borderId="2" xfId="0" applyNumberFormat="1" applyFont="1" applyFill="1" applyBorder="1">
      <alignment vertical="center"/>
    </xf>
    <xf numFmtId="176" fontId="1" fillId="14" borderId="2" xfId="0" applyNumberFormat="1" applyFont="1" applyFill="1" applyBorder="1">
      <alignment vertical="center"/>
    </xf>
    <xf numFmtId="2" fontId="0" fillId="0" borderId="2" xfId="0" applyNumberFormat="1" applyBorder="1">
      <alignment vertical="center"/>
    </xf>
    <xf numFmtId="2" fontId="1" fillId="14" borderId="2" xfId="0" applyNumberFormat="1" applyFont="1" applyFill="1" applyBorder="1">
      <alignment vertical="center"/>
    </xf>
    <xf numFmtId="0" fontId="1" fillId="14" borderId="2" xfId="0" applyFont="1" applyFill="1" applyBorder="1" applyAlignment="1">
      <alignment horizontal="center" vertical="top" wrapText="1"/>
    </xf>
    <xf numFmtId="0" fontId="1" fillId="14" borderId="2" xfId="0" applyFont="1" applyFill="1" applyBorder="1" applyAlignment="1">
      <alignment horizontal="center" vertical="center"/>
    </xf>
    <xf numFmtId="0" fontId="5" fillId="2" borderId="2" xfId="0" applyFont="1" applyFill="1" applyBorder="1" applyAlignment="1">
      <alignment horizontal="center" vertical="top" wrapText="1"/>
    </xf>
    <xf numFmtId="0" fontId="0" fillId="14" borderId="0" xfId="0" applyFill="1" applyAlignment="1">
      <alignment vertical="top"/>
    </xf>
    <xf numFmtId="49" fontId="0" fillId="0" borderId="2" xfId="0" applyNumberFormat="1" applyBorder="1" applyAlignment="1">
      <alignment horizontal="right" vertical="top"/>
    </xf>
    <xf numFmtId="0" fontId="0" fillId="5" borderId="2" xfId="0" applyFill="1" applyBorder="1" applyAlignment="1">
      <alignment vertical="top"/>
    </xf>
    <xf numFmtId="49" fontId="0" fillId="5" borderId="2" xfId="0" applyNumberFormat="1" applyFill="1" applyBorder="1" applyAlignment="1">
      <alignment horizontal="right" vertical="top"/>
    </xf>
    <xf numFmtId="0" fontId="1" fillId="5" borderId="2" xfId="0" applyFont="1" applyFill="1" applyBorder="1" applyAlignment="1">
      <alignment vertical="top"/>
    </xf>
    <xf numFmtId="0" fontId="1" fillId="15" borderId="2" xfId="0" applyFont="1" applyFill="1" applyBorder="1" applyAlignment="1">
      <alignment vertical="top"/>
    </xf>
    <xf numFmtId="49" fontId="1" fillId="15" borderId="2" xfId="0" applyNumberFormat="1" applyFont="1" applyFill="1" applyBorder="1" applyAlignment="1">
      <alignment horizontal="right" vertical="top"/>
    </xf>
    <xf numFmtId="0" fontId="0" fillId="14" borderId="0" xfId="0" applyFill="1">
      <alignment vertical="center"/>
    </xf>
    <xf numFmtId="0" fontId="0" fillId="0" borderId="2" xfId="0" applyBorder="1" applyAlignment="1">
      <alignment horizontal="right" vertical="top"/>
    </xf>
    <xf numFmtId="0" fontId="1" fillId="15" borderId="2" xfId="0" applyFont="1" applyFill="1" applyBorder="1" applyAlignment="1">
      <alignment horizontal="right" vertical="top"/>
    </xf>
    <xf numFmtId="0" fontId="1" fillId="0" borderId="2" xfId="0" applyFont="1" applyBorder="1" applyAlignment="1">
      <alignment vertical="top"/>
    </xf>
    <xf numFmtId="0" fontId="1" fillId="11" borderId="0" xfId="0" applyFont="1" applyFill="1">
      <alignment vertical="center"/>
    </xf>
    <xf numFmtId="0" fontId="9" fillId="14" borderId="11" xfId="0" applyFont="1" applyFill="1" applyBorder="1" applyAlignment="1">
      <alignment vertical="top"/>
    </xf>
    <xf numFmtId="0" fontId="0" fillId="14" borderId="12" xfId="0" applyFill="1" applyBorder="1" applyAlignment="1">
      <alignment vertical="top"/>
    </xf>
    <xf numFmtId="0" fontId="0" fillId="14" borderId="13" xfId="0" applyFill="1" applyBorder="1" applyAlignment="1">
      <alignment vertical="top"/>
    </xf>
    <xf numFmtId="49" fontId="0" fillId="0" borderId="2" xfId="0" applyNumberFormat="1" applyBorder="1" applyAlignment="1">
      <alignment horizontal="center" vertical="top" wrapText="1"/>
    </xf>
    <xf numFmtId="0" fontId="0" fillId="14" borderId="9" xfId="0" applyFill="1" applyBorder="1" applyAlignment="1">
      <alignment vertical="top"/>
    </xf>
    <xf numFmtId="0" fontId="0" fillId="14" borderId="14" xfId="0" applyFill="1" applyBorder="1" applyAlignment="1">
      <alignment vertical="top"/>
    </xf>
    <xf numFmtId="0" fontId="0" fillId="14" borderId="15" xfId="0" applyFill="1" applyBorder="1" applyAlignment="1">
      <alignment vertical="top"/>
    </xf>
    <xf numFmtId="0" fontId="0" fillId="14" borderId="10" xfId="0" applyFill="1" applyBorder="1" applyAlignment="1">
      <alignment vertical="top"/>
    </xf>
    <xf numFmtId="0" fontId="0" fillId="14" borderId="16" xfId="0" applyFill="1" applyBorder="1" applyAlignment="1">
      <alignment vertical="top"/>
    </xf>
    <xf numFmtId="0" fontId="0" fillId="11" borderId="2" xfId="0" applyFill="1" applyBorder="1" applyAlignment="1">
      <alignment vertical="top"/>
    </xf>
    <xf numFmtId="0" fontId="6" fillId="16" borderId="0" xfId="0" applyFont="1" applyFill="1">
      <alignment vertical="center"/>
    </xf>
    <xf numFmtId="0" fontId="0" fillId="16" borderId="0" xfId="0" applyFill="1">
      <alignment vertical="center"/>
    </xf>
    <xf numFmtId="0" fontId="3" fillId="0" borderId="0" xfId="0" applyFont="1" applyAlignment="1">
      <alignment vertical="top"/>
    </xf>
    <xf numFmtId="0" fontId="3" fillId="14" borderId="0" xfId="0" applyFont="1" applyFill="1" applyAlignment="1">
      <alignment vertical="top"/>
    </xf>
    <xf numFmtId="0" fontId="3" fillId="9" borderId="0" xfId="0" applyFont="1" applyFill="1" applyAlignment="1">
      <alignment vertical="top"/>
    </xf>
    <xf numFmtId="0" fontId="0" fillId="0" borderId="3" xfId="0" applyBorder="1" applyAlignment="1">
      <alignment vertical="top"/>
    </xf>
    <xf numFmtId="0" fontId="1" fillId="11" borderId="0" xfId="0" applyFont="1" applyFill="1" applyAlignment="1">
      <alignment vertical="top"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A4160BE1-063F-A349-854D-20148F405AAA}">
  <we:reference id="wa200010725" version="1.0.0.1" store="en-US" storeType="OMEX"/>
  <we:alternateReferences>
    <we:reference id="wa200010725" version="1.0.0.1" store="" storeType="OMEX"/>
  </we:alternateReferences>
  <we:properties>
    <we:property name="claude.fileId" value="&quot;b9cb7434-595b-466c-bb7e-75abe0fbc067&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268219-F8FF-964D-9E27-EF797A07CBDF}">
  <dimension ref="A1:D44"/>
  <sheetViews>
    <sheetView topLeftCell="A29" workbookViewId="0">
      <selection activeCell="B31" sqref="B31"/>
    </sheetView>
  </sheetViews>
  <sheetFormatPr baseColWidth="10" defaultRowHeight="20"/>
  <cols>
    <col min="1" max="1" width="30" customWidth="1"/>
    <col min="2" max="2" width="61.42578125" customWidth="1"/>
    <col min="3" max="3" width="30" customWidth="1"/>
    <col min="4" max="4" width="15.7109375" customWidth="1"/>
  </cols>
  <sheetData>
    <row r="1" spans="1:3" ht="27">
      <c r="A1" s="1" t="s">
        <v>43</v>
      </c>
    </row>
    <row r="2" spans="1:3">
      <c r="A2" t="s">
        <v>44</v>
      </c>
    </row>
    <row r="4" spans="1:3">
      <c r="A4" s="2" t="s">
        <v>45</v>
      </c>
    </row>
    <row r="5" spans="1:3">
      <c r="A5" s="7" t="s">
        <v>46</v>
      </c>
      <c r="B5" s="7" t="s">
        <v>47</v>
      </c>
      <c r="C5" s="7"/>
    </row>
    <row r="6" spans="1:3" ht="21">
      <c r="A6" s="8" t="s">
        <v>48</v>
      </c>
      <c r="B6" s="8" t="s">
        <v>43</v>
      </c>
      <c r="C6" s="8" t="s">
        <v>49</v>
      </c>
    </row>
    <row r="7" spans="1:3" ht="21">
      <c r="A7" s="8" t="s">
        <v>50</v>
      </c>
      <c r="B7" s="8" t="s">
        <v>51</v>
      </c>
      <c r="C7" s="8"/>
    </row>
    <row r="8" spans="1:3" ht="42">
      <c r="A8" s="8" t="s">
        <v>52</v>
      </c>
      <c r="B8" s="8" t="s">
        <v>53</v>
      </c>
      <c r="C8" s="8"/>
    </row>
    <row r="9" spans="1:3" ht="21">
      <c r="A9" s="8" t="s">
        <v>54</v>
      </c>
      <c r="B9" s="8" t="s">
        <v>55</v>
      </c>
      <c r="C9" s="8"/>
    </row>
    <row r="10" spans="1:3" ht="21">
      <c r="A10" s="8" t="s">
        <v>56</v>
      </c>
      <c r="B10" s="41" t="s">
        <v>969</v>
      </c>
      <c r="C10" s="8" t="s">
        <v>49</v>
      </c>
    </row>
    <row r="11" spans="1:3" ht="21">
      <c r="A11" s="8" t="s">
        <v>57</v>
      </c>
      <c r="B11" s="41" t="s">
        <v>388</v>
      </c>
      <c r="C11" s="8" t="s">
        <v>49</v>
      </c>
    </row>
    <row r="12" spans="1:3" ht="21">
      <c r="A12" s="8" t="s">
        <v>58</v>
      </c>
      <c r="B12" s="8"/>
      <c r="C12" s="8" t="s">
        <v>49</v>
      </c>
    </row>
    <row r="13" spans="1:3" ht="21">
      <c r="A13" s="8" t="s">
        <v>59</v>
      </c>
      <c r="B13" s="8"/>
      <c r="C13" s="8" t="s">
        <v>49</v>
      </c>
    </row>
    <row r="14" spans="1:3">
      <c r="A14" s="8"/>
      <c r="B14" s="8"/>
      <c r="C14" s="8"/>
    </row>
    <row r="15" spans="1:3" ht="63">
      <c r="A15" s="8" t="s">
        <v>60</v>
      </c>
      <c r="B15" s="8" t="s">
        <v>971</v>
      </c>
      <c r="C15" s="8" t="s">
        <v>49</v>
      </c>
    </row>
    <row r="22" spans="4:4">
      <c r="D22" s="8"/>
    </row>
    <row r="23" spans="4:4">
      <c r="D23" s="8"/>
    </row>
    <row r="24" spans="4:4">
      <c r="D24" s="8"/>
    </row>
    <row r="25" spans="4:4">
      <c r="D25" s="8"/>
    </row>
    <row r="26" spans="4:4">
      <c r="D26" s="8"/>
    </row>
    <row r="27" spans="4:4">
      <c r="D27" s="8"/>
    </row>
    <row r="28" spans="4:4">
      <c r="D28" s="8"/>
    </row>
    <row r="29" spans="4:4">
      <c r="D29" s="8"/>
    </row>
    <row r="30" spans="4:4">
      <c r="D30" s="8"/>
    </row>
    <row r="31" spans="4:4">
      <c r="D31" s="8"/>
    </row>
    <row r="34" spans="1:4" ht="21">
      <c r="A34" s="10" t="s">
        <v>61</v>
      </c>
    </row>
    <row r="35" spans="1:4">
      <c r="A35" s="7" t="s">
        <v>56</v>
      </c>
      <c r="B35" s="7" t="s">
        <v>62</v>
      </c>
      <c r="C35" s="7" t="s">
        <v>63</v>
      </c>
      <c r="D35" s="7" t="s">
        <v>64</v>
      </c>
    </row>
    <row r="36" spans="1:4" ht="21">
      <c r="A36" s="41" t="s">
        <v>387</v>
      </c>
      <c r="B36" s="41" t="s">
        <v>388</v>
      </c>
      <c r="C36" s="8" t="s">
        <v>389</v>
      </c>
      <c r="D36" s="8"/>
    </row>
    <row r="37" spans="1:4" ht="189">
      <c r="A37" s="41" t="s">
        <v>972</v>
      </c>
      <c r="B37" s="41" t="s">
        <v>973</v>
      </c>
      <c r="C37" s="41" t="s">
        <v>974</v>
      </c>
      <c r="D37" s="41" t="s">
        <v>950</v>
      </c>
    </row>
    <row r="38" spans="1:4" ht="189">
      <c r="A38" s="41" t="s">
        <v>975</v>
      </c>
      <c r="B38" s="41" t="s">
        <v>973</v>
      </c>
      <c r="C38" s="41" t="s">
        <v>2145</v>
      </c>
      <c r="D38" s="41" t="s">
        <v>950</v>
      </c>
    </row>
    <row r="39" spans="1:4" ht="84">
      <c r="A39" s="65" t="s">
        <v>952</v>
      </c>
      <c r="B39" s="41" t="s">
        <v>953</v>
      </c>
      <c r="C39" s="41" t="s">
        <v>976</v>
      </c>
      <c r="D39" s="41" t="s">
        <v>950</v>
      </c>
    </row>
    <row r="40" spans="1:4" ht="84">
      <c r="A40" s="41" t="s">
        <v>956</v>
      </c>
      <c r="B40" s="41" t="s">
        <v>953</v>
      </c>
      <c r="C40" s="41" t="s">
        <v>977</v>
      </c>
      <c r="D40" s="41" t="s">
        <v>950</v>
      </c>
    </row>
    <row r="41" spans="1:4" ht="126">
      <c r="A41" s="41" t="s">
        <v>964</v>
      </c>
      <c r="B41" s="41" t="s">
        <v>953</v>
      </c>
      <c r="C41" s="41" t="s">
        <v>965</v>
      </c>
      <c r="D41" s="41" t="s">
        <v>950</v>
      </c>
    </row>
    <row r="42" spans="1:4" ht="147">
      <c r="A42" s="41" t="s">
        <v>966</v>
      </c>
      <c r="B42" s="41" t="s">
        <v>953</v>
      </c>
      <c r="C42" s="41" t="s">
        <v>978</v>
      </c>
      <c r="D42" s="41" t="s">
        <v>950</v>
      </c>
    </row>
    <row r="43" spans="1:4" ht="168">
      <c r="A43" s="41" t="s">
        <v>969</v>
      </c>
      <c r="B43" s="41" t="s">
        <v>953</v>
      </c>
      <c r="C43" s="41" t="s">
        <v>970</v>
      </c>
      <c r="D43" s="41" t="s">
        <v>950</v>
      </c>
    </row>
    <row r="44" spans="1:4">
      <c r="A44" t="s">
        <v>42</v>
      </c>
    </row>
  </sheetData>
  <phoneticPr fontId="2"/>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8D42C-589D-FD40-8240-035A97FA79D2}">
  <dimension ref="A1:D67"/>
  <sheetViews>
    <sheetView topLeftCell="A19" zoomScale="103" workbookViewId="0">
      <selection activeCell="B26" sqref="B26"/>
    </sheetView>
  </sheetViews>
  <sheetFormatPr baseColWidth="10" defaultRowHeight="20"/>
  <cols>
    <col min="1" max="1" width="27.140625" customWidth="1"/>
    <col min="2" max="2" width="101" customWidth="1"/>
    <col min="3" max="3" width="8.5703125" customWidth="1"/>
    <col min="4" max="5" width="24.28515625" customWidth="1"/>
  </cols>
  <sheetData>
    <row r="1" spans="1:2" ht="27">
      <c r="A1" s="1" t="s">
        <v>390</v>
      </c>
    </row>
    <row r="3" spans="1:2">
      <c r="A3" s="2" t="s">
        <v>391</v>
      </c>
    </row>
    <row r="4" spans="1:2">
      <c r="A4" s="7" t="s">
        <v>392</v>
      </c>
      <c r="B4" s="7" t="s">
        <v>47</v>
      </c>
    </row>
    <row r="5" spans="1:2" ht="42">
      <c r="A5" s="8" t="s">
        <v>393</v>
      </c>
      <c r="B5" s="8" t="s">
        <v>979</v>
      </c>
    </row>
    <row r="6" spans="1:2" ht="42">
      <c r="A6" s="8" t="s">
        <v>394</v>
      </c>
      <c r="B6" s="8" t="s">
        <v>980</v>
      </c>
    </row>
    <row r="7" spans="1:2" ht="21">
      <c r="A7" s="8" t="s">
        <v>395</v>
      </c>
      <c r="B7" s="8" t="s">
        <v>981</v>
      </c>
    </row>
    <row r="10" spans="1:2" ht="21">
      <c r="A10" s="10" t="s">
        <v>396</v>
      </c>
    </row>
    <row r="11" spans="1:2">
      <c r="A11" s="7" t="s">
        <v>114</v>
      </c>
      <c r="B11" s="7" t="s">
        <v>397</v>
      </c>
    </row>
    <row r="12" spans="1:2" ht="42">
      <c r="A12" s="8" t="s">
        <v>398</v>
      </c>
      <c r="B12" s="8" t="s">
        <v>399</v>
      </c>
    </row>
    <row r="13" spans="1:2" ht="21">
      <c r="A13" s="8" t="s">
        <v>400</v>
      </c>
      <c r="B13" s="8" t="s">
        <v>399</v>
      </c>
    </row>
    <row r="14" spans="1:2" ht="42">
      <c r="A14" s="8" t="s">
        <v>401</v>
      </c>
      <c r="B14" s="8" t="s">
        <v>399</v>
      </c>
    </row>
    <row r="15" spans="1:2" ht="21">
      <c r="A15" s="8" t="s">
        <v>402</v>
      </c>
      <c r="B15" s="8" t="s">
        <v>399</v>
      </c>
    </row>
    <row r="16" spans="1:2" ht="21">
      <c r="A16" s="8" t="s">
        <v>403</v>
      </c>
      <c r="B16" s="8" t="s">
        <v>399</v>
      </c>
    </row>
    <row r="17" spans="1:2" ht="21">
      <c r="A17" s="8" t="s">
        <v>404</v>
      </c>
      <c r="B17" s="8" t="s">
        <v>405</v>
      </c>
    </row>
    <row r="20" spans="1:2" ht="21">
      <c r="A20" s="10" t="s">
        <v>406</v>
      </c>
    </row>
    <row r="21" spans="1:2">
      <c r="A21" s="7" t="s">
        <v>46</v>
      </c>
      <c r="B21" s="7" t="s">
        <v>407</v>
      </c>
    </row>
    <row r="22" spans="1:2" ht="21">
      <c r="A22" s="8" t="s">
        <v>408</v>
      </c>
      <c r="B22" s="8" t="s">
        <v>1999</v>
      </c>
    </row>
    <row r="23" spans="1:2" ht="42">
      <c r="A23" s="8" t="s">
        <v>409</v>
      </c>
      <c r="B23" s="8" t="s">
        <v>410</v>
      </c>
    </row>
    <row r="24" spans="1:2" ht="21">
      <c r="A24" s="8" t="s">
        <v>411</v>
      </c>
      <c r="B24" s="8" t="s">
        <v>412</v>
      </c>
    </row>
    <row r="25" spans="1:2" ht="42">
      <c r="A25" s="8" t="s">
        <v>413</v>
      </c>
      <c r="B25" s="8" t="s">
        <v>2146</v>
      </c>
    </row>
    <row r="26" spans="1:2" ht="21">
      <c r="A26" s="8" t="s">
        <v>414</v>
      </c>
      <c r="B26" s="8" t="s">
        <v>415</v>
      </c>
    </row>
    <row r="27" spans="1:2" ht="42">
      <c r="A27" s="8" t="s">
        <v>416</v>
      </c>
      <c r="B27" s="8" t="s">
        <v>417</v>
      </c>
    </row>
    <row r="28" spans="1:2" ht="21">
      <c r="A28" s="8" t="s">
        <v>418</v>
      </c>
      <c r="B28" s="8" t="s">
        <v>419</v>
      </c>
    </row>
    <row r="29" spans="1:2" ht="21">
      <c r="A29" s="8" t="s">
        <v>982</v>
      </c>
      <c r="B29" s="8" t="s">
        <v>421</v>
      </c>
    </row>
    <row r="30" spans="1:2" ht="21">
      <c r="A30" s="8" t="s">
        <v>983</v>
      </c>
      <c r="B30" s="8" t="s">
        <v>422</v>
      </c>
    </row>
    <row r="31" spans="1:2" ht="21">
      <c r="A31" s="8" t="s">
        <v>423</v>
      </c>
      <c r="B31" s="8" t="s">
        <v>424</v>
      </c>
    </row>
    <row r="32" spans="1:2" ht="21">
      <c r="A32" s="8" t="s">
        <v>425</v>
      </c>
      <c r="B32" s="8" t="s">
        <v>426</v>
      </c>
    </row>
    <row r="33" spans="1:2" ht="21">
      <c r="A33" s="8" t="s">
        <v>427</v>
      </c>
      <c r="B33" s="8" t="s">
        <v>428</v>
      </c>
    </row>
    <row r="34" spans="1:2" ht="21">
      <c r="A34" s="8" t="s">
        <v>429</v>
      </c>
      <c r="B34" s="8" t="s">
        <v>430</v>
      </c>
    </row>
    <row r="35" spans="1:2" ht="42">
      <c r="A35" s="8" t="s">
        <v>431</v>
      </c>
      <c r="B35" s="8" t="s">
        <v>432</v>
      </c>
    </row>
    <row r="38" spans="1:2" ht="42">
      <c r="A38" s="10" t="s">
        <v>433</v>
      </c>
    </row>
    <row r="39" spans="1:2">
      <c r="A39" s="7" t="s">
        <v>434</v>
      </c>
      <c r="B39" s="7" t="s">
        <v>166</v>
      </c>
    </row>
    <row r="40" spans="1:2" ht="21">
      <c r="A40" s="8" t="s">
        <v>435</v>
      </c>
      <c r="B40" s="8" t="s">
        <v>436</v>
      </c>
    </row>
    <row r="41" spans="1:2" ht="42">
      <c r="A41" s="8" t="s">
        <v>71</v>
      </c>
      <c r="B41" s="8" t="s">
        <v>437</v>
      </c>
    </row>
    <row r="42" spans="1:2" ht="21">
      <c r="A42" s="8" t="s">
        <v>2043</v>
      </c>
      <c r="B42" s="8" t="s">
        <v>439</v>
      </c>
    </row>
    <row r="43" spans="1:2" ht="42">
      <c r="A43" s="8" t="s">
        <v>2044</v>
      </c>
      <c r="B43" s="8" t="s">
        <v>440</v>
      </c>
    </row>
    <row r="44" spans="1:2" ht="21">
      <c r="A44" s="8" t="s">
        <v>2045</v>
      </c>
      <c r="B44" s="8" t="s">
        <v>441</v>
      </c>
    </row>
    <row r="45" spans="1:2" ht="21">
      <c r="A45" s="8" t="s">
        <v>2046</v>
      </c>
      <c r="B45" s="8" t="s">
        <v>442</v>
      </c>
    </row>
    <row r="46" spans="1:2" ht="21">
      <c r="A46" s="8" t="s">
        <v>2047</v>
      </c>
      <c r="B46" s="8" t="s">
        <v>443</v>
      </c>
    </row>
    <row r="47" spans="1:2" ht="21">
      <c r="A47" s="8" t="s">
        <v>444</v>
      </c>
      <c r="B47" s="8" t="s">
        <v>445</v>
      </c>
    </row>
    <row r="48" spans="1:2" ht="42">
      <c r="A48" s="8" t="s">
        <v>2147</v>
      </c>
      <c r="B48" s="8" t="s">
        <v>2148</v>
      </c>
    </row>
    <row r="49" spans="1:4" ht="63">
      <c r="A49" s="8" t="s">
        <v>984</v>
      </c>
      <c r="B49" s="8" t="s">
        <v>985</v>
      </c>
    </row>
    <row r="51" spans="1:4" ht="63">
      <c r="A51" s="10" t="s">
        <v>446</v>
      </c>
    </row>
    <row r="52" spans="1:4">
      <c r="A52" t="s">
        <v>986</v>
      </c>
    </row>
    <row r="53" spans="1:4">
      <c r="A53" s="7" t="s">
        <v>447</v>
      </c>
      <c r="B53" s="7" t="s">
        <v>448</v>
      </c>
      <c r="C53" s="7" t="s">
        <v>449</v>
      </c>
      <c r="D53" s="7" t="s">
        <v>450</v>
      </c>
    </row>
    <row r="54" spans="1:4" ht="63">
      <c r="A54" s="8" t="s">
        <v>451</v>
      </c>
      <c r="B54" s="8" t="s">
        <v>2000</v>
      </c>
      <c r="C54" s="8" t="s">
        <v>452</v>
      </c>
      <c r="D54" s="8" t="s">
        <v>453</v>
      </c>
    </row>
    <row r="55" spans="1:4" ht="63">
      <c r="A55" s="8" t="s">
        <v>454</v>
      </c>
      <c r="B55" s="8" t="s">
        <v>2149</v>
      </c>
      <c r="C55" s="8" t="s">
        <v>452</v>
      </c>
      <c r="D55" s="8" t="s">
        <v>453</v>
      </c>
    </row>
    <row r="56" spans="1:4" ht="84">
      <c r="A56" s="8" t="s">
        <v>455</v>
      </c>
      <c r="B56" s="8" t="s">
        <v>456</v>
      </c>
      <c r="C56" s="8" t="s">
        <v>452</v>
      </c>
      <c r="D56" s="8" t="s">
        <v>453</v>
      </c>
    </row>
    <row r="57" spans="1:4" ht="63">
      <c r="A57" s="8" t="s">
        <v>457</v>
      </c>
      <c r="B57" s="8" t="s">
        <v>2126</v>
      </c>
      <c r="C57" s="8" t="s">
        <v>452</v>
      </c>
      <c r="D57" s="8" t="s">
        <v>458</v>
      </c>
    </row>
    <row r="58" spans="1:4" ht="42">
      <c r="A58" s="8" t="s">
        <v>459</v>
      </c>
      <c r="B58" s="8" t="s">
        <v>987</v>
      </c>
      <c r="C58" s="8" t="s">
        <v>452</v>
      </c>
      <c r="D58" s="8" t="s">
        <v>458</v>
      </c>
    </row>
    <row r="59" spans="1:4" ht="42">
      <c r="A59" s="8" t="s">
        <v>460</v>
      </c>
      <c r="B59" s="8" t="s">
        <v>2150</v>
      </c>
      <c r="C59" s="8" t="s">
        <v>452</v>
      </c>
      <c r="D59" s="8" t="s">
        <v>458</v>
      </c>
    </row>
    <row r="60" spans="1:4" ht="63">
      <c r="A60" s="8" t="s">
        <v>988</v>
      </c>
      <c r="B60" s="8" t="s">
        <v>2151</v>
      </c>
      <c r="C60" s="8" t="s">
        <v>461</v>
      </c>
      <c r="D60" s="8" t="s">
        <v>2048</v>
      </c>
    </row>
    <row r="61" spans="1:4" ht="63">
      <c r="A61" s="8" t="s">
        <v>462</v>
      </c>
      <c r="B61" s="8" t="s">
        <v>2152</v>
      </c>
      <c r="C61" s="8" t="s">
        <v>461</v>
      </c>
      <c r="D61" s="8" t="s">
        <v>2048</v>
      </c>
    </row>
    <row r="62" spans="1:4" ht="63">
      <c r="A62" s="8" t="s">
        <v>463</v>
      </c>
      <c r="B62" s="8" t="s">
        <v>464</v>
      </c>
      <c r="C62" s="8" t="s">
        <v>461</v>
      </c>
      <c r="D62" s="8" t="s">
        <v>465</v>
      </c>
    </row>
    <row r="63" spans="1:4" ht="42">
      <c r="A63" s="8" t="s">
        <v>466</v>
      </c>
      <c r="B63" s="8" t="s">
        <v>467</v>
      </c>
      <c r="C63" s="8" t="s">
        <v>461</v>
      </c>
      <c r="D63" s="8" t="s">
        <v>465</v>
      </c>
    </row>
    <row r="64" spans="1:4" ht="63">
      <c r="A64" s="8" t="s">
        <v>468</v>
      </c>
      <c r="B64" s="8" t="s">
        <v>2001</v>
      </c>
      <c r="C64" s="8" t="s">
        <v>461</v>
      </c>
      <c r="D64" s="8" t="s">
        <v>465</v>
      </c>
    </row>
    <row r="65" spans="1:4" ht="63">
      <c r="A65" s="8" t="s">
        <v>469</v>
      </c>
      <c r="B65" s="8" t="s">
        <v>470</v>
      </c>
      <c r="C65" s="8" t="s">
        <v>461</v>
      </c>
      <c r="D65" s="8" t="s">
        <v>471</v>
      </c>
    </row>
    <row r="66" spans="1:4" ht="63">
      <c r="A66" s="8" t="s">
        <v>472</v>
      </c>
      <c r="B66" s="8" t="s">
        <v>989</v>
      </c>
      <c r="C66" s="8" t="s">
        <v>461</v>
      </c>
      <c r="D66" s="8" t="s">
        <v>471</v>
      </c>
    </row>
    <row r="67" spans="1:4" ht="84">
      <c r="A67" s="8" t="s">
        <v>990</v>
      </c>
      <c r="B67" s="8" t="s">
        <v>991</v>
      </c>
      <c r="C67" s="8" t="s">
        <v>461</v>
      </c>
      <c r="D67" s="8" t="s">
        <v>458</v>
      </c>
    </row>
  </sheetData>
  <phoneticPr fontId="2"/>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3CE13B-69B0-1847-B6E5-D76B875054E9}">
  <dimension ref="A1:F109"/>
  <sheetViews>
    <sheetView zoomScale="136" workbookViewId="0">
      <selection activeCell="E109" sqref="E109"/>
    </sheetView>
  </sheetViews>
  <sheetFormatPr baseColWidth="10" defaultRowHeight="20"/>
  <cols>
    <col min="1" max="1" width="35.7109375" customWidth="1"/>
    <col min="2" max="2" width="30" customWidth="1"/>
    <col min="3" max="3" width="32.85546875" customWidth="1"/>
    <col min="4" max="4" width="47.140625" customWidth="1"/>
    <col min="5" max="5" width="24.28515625" customWidth="1"/>
    <col min="6" max="6" width="15.7109375" customWidth="1"/>
  </cols>
  <sheetData>
    <row r="1" spans="1:4" ht="27">
      <c r="A1" s="1" t="s">
        <v>473</v>
      </c>
    </row>
    <row r="3" spans="1:4" ht="21" thickBot="1">
      <c r="A3" s="2" t="s">
        <v>474</v>
      </c>
    </row>
    <row r="4" spans="1:4" ht="22" customHeight="1">
      <c r="A4" s="50" t="s">
        <v>475</v>
      </c>
      <c r="B4" s="43"/>
      <c r="C4" s="47"/>
    </row>
    <row r="5" spans="1:4" ht="22" customHeight="1">
      <c r="A5" s="45" t="s">
        <v>2262</v>
      </c>
      <c r="B5" s="42"/>
      <c r="C5" s="48"/>
    </row>
    <row r="6" spans="1:4" ht="22" customHeight="1">
      <c r="A6" s="45"/>
      <c r="B6" s="42"/>
      <c r="C6" s="48"/>
    </row>
    <row r="7" spans="1:4" ht="22" customHeight="1" thickBot="1">
      <c r="A7" s="46" t="s">
        <v>476</v>
      </c>
      <c r="B7" s="44"/>
      <c r="C7" s="49"/>
    </row>
    <row r="9" spans="1:4">
      <c r="A9" s="7" t="s">
        <v>477</v>
      </c>
      <c r="B9" s="7" t="s">
        <v>478</v>
      </c>
      <c r="C9" s="7" t="s">
        <v>479</v>
      </c>
      <c r="D9" s="7"/>
    </row>
    <row r="10" spans="1:4" ht="21">
      <c r="A10" s="8" t="s">
        <v>480</v>
      </c>
      <c r="B10" s="8" t="s">
        <v>71</v>
      </c>
      <c r="C10" s="8" t="s">
        <v>481</v>
      </c>
      <c r="D10" s="8"/>
    </row>
    <row r="11" spans="1:4" ht="21">
      <c r="A11" s="8" t="s">
        <v>480</v>
      </c>
      <c r="B11" s="8" t="s">
        <v>482</v>
      </c>
      <c r="C11" s="8" t="s">
        <v>483</v>
      </c>
      <c r="D11" s="8"/>
    </row>
    <row r="12" spans="1:4" ht="63">
      <c r="A12" s="8" t="s">
        <v>480</v>
      </c>
      <c r="B12" s="8" t="s">
        <v>484</v>
      </c>
      <c r="C12" s="8" t="s">
        <v>2153</v>
      </c>
      <c r="D12" s="8"/>
    </row>
    <row r="13" spans="1:4" ht="21">
      <c r="A13" s="8" t="s">
        <v>480</v>
      </c>
      <c r="B13" s="8" t="s">
        <v>80</v>
      </c>
      <c r="C13" s="8" t="s">
        <v>485</v>
      </c>
      <c r="D13" s="8"/>
    </row>
    <row r="14" spans="1:4" ht="21">
      <c r="A14" s="8" t="s">
        <v>480</v>
      </c>
      <c r="B14" s="8" t="s">
        <v>83</v>
      </c>
      <c r="C14" s="8" t="s">
        <v>486</v>
      </c>
      <c r="D14" s="8"/>
    </row>
    <row r="15" spans="1:4" ht="42">
      <c r="A15" s="8" t="s">
        <v>487</v>
      </c>
      <c r="B15" s="8" t="s">
        <v>488</v>
      </c>
      <c r="C15" s="8" t="s">
        <v>489</v>
      </c>
      <c r="D15" s="8"/>
    </row>
    <row r="16" spans="1:4" ht="42">
      <c r="A16" s="8" t="s">
        <v>487</v>
      </c>
      <c r="B16" s="8" t="s">
        <v>490</v>
      </c>
      <c r="C16" s="8" t="s">
        <v>489</v>
      </c>
      <c r="D16" s="8"/>
    </row>
    <row r="17" spans="1:6" ht="21">
      <c r="A17" s="8" t="s">
        <v>491</v>
      </c>
      <c r="B17" s="8" t="s">
        <v>2263</v>
      </c>
      <c r="C17" s="8" t="s">
        <v>3</v>
      </c>
      <c r="D17" s="8"/>
    </row>
    <row r="18" spans="1:6" ht="21">
      <c r="A18" s="8" t="s">
        <v>491</v>
      </c>
      <c r="B18" s="8" t="s">
        <v>92</v>
      </c>
      <c r="C18" s="8" t="s">
        <v>492</v>
      </c>
      <c r="D18" s="8"/>
    </row>
    <row r="19" spans="1:6" ht="21">
      <c r="A19" s="8" t="s">
        <v>493</v>
      </c>
      <c r="B19" s="8" t="s">
        <v>2263</v>
      </c>
      <c r="C19" s="8" t="s">
        <v>49</v>
      </c>
      <c r="D19" s="8"/>
    </row>
    <row r="20" spans="1:6" ht="21">
      <c r="A20" s="8" t="s">
        <v>493</v>
      </c>
      <c r="B20" s="8" t="s">
        <v>92</v>
      </c>
      <c r="C20" s="8" t="s">
        <v>492</v>
      </c>
      <c r="D20" s="8"/>
    </row>
    <row r="23" spans="1:6">
      <c r="A23" s="7" t="s">
        <v>494</v>
      </c>
      <c r="B23" s="7" t="s">
        <v>495</v>
      </c>
      <c r="C23" s="7" t="s">
        <v>496</v>
      </c>
      <c r="D23" s="7" t="s">
        <v>497</v>
      </c>
      <c r="E23" s="7" t="s">
        <v>498</v>
      </c>
      <c r="F23" s="7"/>
    </row>
    <row r="24" spans="1:6" ht="42">
      <c r="A24" s="8">
        <v>1</v>
      </c>
      <c r="B24" s="8" t="s">
        <v>71</v>
      </c>
      <c r="C24" s="8" t="s">
        <v>2264</v>
      </c>
      <c r="D24" s="8" t="s">
        <v>2265</v>
      </c>
      <c r="E24" s="8" t="s">
        <v>499</v>
      </c>
      <c r="F24" s="8"/>
    </row>
    <row r="25" spans="1:6" ht="21">
      <c r="A25" s="8">
        <v>2</v>
      </c>
      <c r="B25" s="8" t="s">
        <v>71</v>
      </c>
      <c r="C25" s="8" t="s">
        <v>2266</v>
      </c>
      <c r="D25" s="8" t="s">
        <v>500</v>
      </c>
      <c r="E25" s="8" t="s">
        <v>499</v>
      </c>
      <c r="F25" s="8"/>
    </row>
    <row r="26" spans="1:6" ht="21">
      <c r="A26" s="8">
        <v>3</v>
      </c>
      <c r="B26" s="8" t="s">
        <v>71</v>
      </c>
      <c r="C26" s="8" t="s">
        <v>482</v>
      </c>
      <c r="D26" s="8" t="s">
        <v>501</v>
      </c>
      <c r="E26" s="8" t="s">
        <v>502</v>
      </c>
      <c r="F26" s="8"/>
    </row>
    <row r="27" spans="1:6" ht="21">
      <c r="A27" s="8">
        <v>4</v>
      </c>
      <c r="B27" s="8" t="s">
        <v>71</v>
      </c>
      <c r="C27" s="8" t="s">
        <v>484</v>
      </c>
      <c r="D27" s="8" t="s">
        <v>2127</v>
      </c>
      <c r="E27" s="8" t="s">
        <v>502</v>
      </c>
      <c r="F27" s="8"/>
    </row>
    <row r="28" spans="1:6" ht="42">
      <c r="A28" s="8">
        <v>5</v>
      </c>
      <c r="B28" s="8" t="s">
        <v>484</v>
      </c>
      <c r="C28" s="8" t="s">
        <v>482</v>
      </c>
      <c r="D28" s="8" t="s">
        <v>2154</v>
      </c>
      <c r="E28" s="8" t="s">
        <v>502</v>
      </c>
      <c r="F28" s="8"/>
    </row>
    <row r="29" spans="1:6" ht="21">
      <c r="A29" s="8">
        <v>6</v>
      </c>
      <c r="B29" s="8" t="s">
        <v>484</v>
      </c>
      <c r="C29" s="8" t="s">
        <v>488</v>
      </c>
      <c r="D29" s="8" t="s">
        <v>2002</v>
      </c>
      <c r="E29" s="8" t="s">
        <v>992</v>
      </c>
      <c r="F29" s="8"/>
    </row>
    <row r="30" spans="1:6" ht="21">
      <c r="A30" s="8">
        <v>7</v>
      </c>
      <c r="B30" s="8" t="s">
        <v>488</v>
      </c>
      <c r="C30" s="8" t="s">
        <v>503</v>
      </c>
      <c r="D30" s="8" t="s">
        <v>49</v>
      </c>
      <c r="E30" s="8" t="s">
        <v>992</v>
      </c>
      <c r="F30" s="8"/>
    </row>
    <row r="31" spans="1:6" ht="21">
      <c r="A31" s="8">
        <v>8</v>
      </c>
      <c r="B31" s="8" t="s">
        <v>484</v>
      </c>
      <c r="C31" s="8" t="s">
        <v>490</v>
      </c>
      <c r="D31" s="8" t="s">
        <v>49</v>
      </c>
      <c r="E31" s="8" t="s">
        <v>992</v>
      </c>
      <c r="F31" s="8"/>
    </row>
    <row r="32" spans="1:6" ht="21">
      <c r="A32" s="8">
        <v>9</v>
      </c>
      <c r="B32" s="8" t="s">
        <v>490</v>
      </c>
      <c r="C32" s="8" t="s">
        <v>504</v>
      </c>
      <c r="D32" s="8" t="s">
        <v>49</v>
      </c>
      <c r="E32" s="8" t="s">
        <v>992</v>
      </c>
      <c r="F32" s="8"/>
    </row>
    <row r="33" spans="1:6" ht="21">
      <c r="A33" s="8">
        <v>10</v>
      </c>
      <c r="B33" s="8" t="s">
        <v>484</v>
      </c>
      <c r="C33" s="8" t="s">
        <v>80</v>
      </c>
      <c r="D33" s="8" t="s">
        <v>505</v>
      </c>
      <c r="E33" s="8" t="s">
        <v>502</v>
      </c>
      <c r="F33" s="8"/>
    </row>
    <row r="34" spans="1:6" ht="21">
      <c r="A34" s="8">
        <v>11</v>
      </c>
      <c r="B34" s="8" t="s">
        <v>80</v>
      </c>
      <c r="C34" s="8" t="s">
        <v>506</v>
      </c>
      <c r="D34" s="8" t="s">
        <v>49</v>
      </c>
      <c r="E34" s="8" t="s">
        <v>502</v>
      </c>
      <c r="F34" s="8"/>
    </row>
    <row r="36" spans="1:6">
      <c r="A36" s="3" t="s">
        <v>2003</v>
      </c>
    </row>
    <row r="37" spans="1:6">
      <c r="A37" s="3" t="s">
        <v>2267</v>
      </c>
    </row>
    <row r="39" spans="1:6" ht="21" thickBot="1">
      <c r="A39" s="2" t="s">
        <v>507</v>
      </c>
    </row>
    <row r="40" spans="1:6" ht="22" customHeight="1">
      <c r="A40" s="50" t="s">
        <v>508</v>
      </c>
      <c r="B40" s="43"/>
      <c r="C40" s="47"/>
    </row>
    <row r="41" spans="1:6" ht="22" customHeight="1">
      <c r="A41" s="45" t="s">
        <v>2268</v>
      </c>
      <c r="B41" s="42"/>
      <c r="C41" s="48"/>
    </row>
    <row r="42" spans="1:6" ht="22" customHeight="1">
      <c r="A42" s="45"/>
      <c r="B42" s="42"/>
      <c r="C42" s="48"/>
    </row>
    <row r="43" spans="1:6" ht="22" customHeight="1" thickBot="1">
      <c r="A43" s="46" t="s">
        <v>476</v>
      </c>
      <c r="B43" s="44"/>
      <c r="C43" s="49"/>
    </row>
    <row r="45" spans="1:6">
      <c r="A45" s="7" t="s">
        <v>477</v>
      </c>
      <c r="B45" s="7" t="s">
        <v>478</v>
      </c>
      <c r="C45" s="7" t="s">
        <v>479</v>
      </c>
      <c r="D45" s="7"/>
    </row>
    <row r="46" spans="1:6" ht="21">
      <c r="A46" s="8" t="s">
        <v>509</v>
      </c>
      <c r="B46" s="8" t="s">
        <v>510</v>
      </c>
      <c r="C46" s="8" t="s">
        <v>2155</v>
      </c>
      <c r="D46" s="8"/>
    </row>
    <row r="47" spans="1:6" ht="21">
      <c r="A47" s="8" t="s">
        <v>480</v>
      </c>
      <c r="B47" s="8" t="s">
        <v>69</v>
      </c>
      <c r="C47" s="8" t="s">
        <v>511</v>
      </c>
      <c r="D47" s="8"/>
    </row>
    <row r="48" spans="1:6" ht="21">
      <c r="A48" s="8" t="s">
        <v>480</v>
      </c>
      <c r="B48" s="8" t="s">
        <v>71</v>
      </c>
      <c r="C48" s="8" t="s">
        <v>512</v>
      </c>
      <c r="D48" s="8"/>
    </row>
    <row r="49" spans="1:6" ht="42">
      <c r="A49" s="8" t="s">
        <v>480</v>
      </c>
      <c r="B49" s="8" t="s">
        <v>482</v>
      </c>
      <c r="C49" s="8" t="s">
        <v>513</v>
      </c>
      <c r="D49" s="8"/>
    </row>
    <row r="50" spans="1:6" ht="21">
      <c r="A50" s="8" t="s">
        <v>480</v>
      </c>
      <c r="B50" s="8" t="s">
        <v>438</v>
      </c>
      <c r="C50" s="8" t="s">
        <v>993</v>
      </c>
      <c r="D50" s="8"/>
    </row>
    <row r="51" spans="1:6" ht="21">
      <c r="A51" s="8" t="s">
        <v>480</v>
      </c>
      <c r="B51" s="8" t="s">
        <v>514</v>
      </c>
      <c r="C51" s="8" t="s">
        <v>515</v>
      </c>
      <c r="D51" s="8"/>
    </row>
    <row r="52" spans="1:6" ht="21">
      <c r="A52" s="8" t="s">
        <v>480</v>
      </c>
      <c r="B52" s="8" t="s">
        <v>80</v>
      </c>
      <c r="C52" s="8" t="s">
        <v>49</v>
      </c>
      <c r="D52" s="8"/>
    </row>
    <row r="53" spans="1:6" ht="21">
      <c r="A53" s="8" t="s">
        <v>480</v>
      </c>
      <c r="B53" s="8" t="s">
        <v>83</v>
      </c>
      <c r="C53" s="8" t="s">
        <v>486</v>
      </c>
      <c r="D53" s="8"/>
    </row>
    <row r="54" spans="1:6" ht="42">
      <c r="A54" s="8" t="s">
        <v>516</v>
      </c>
      <c r="B54" s="8" t="s">
        <v>93</v>
      </c>
      <c r="C54" s="8" t="s">
        <v>517</v>
      </c>
      <c r="D54" s="8"/>
    </row>
    <row r="55" spans="1:6" ht="21">
      <c r="A55" s="8" t="s">
        <v>518</v>
      </c>
      <c r="B55" s="8" t="s">
        <v>86</v>
      </c>
      <c r="C55" s="8" t="s">
        <v>519</v>
      </c>
      <c r="D55" s="8"/>
    </row>
    <row r="56" spans="1:6" ht="42">
      <c r="A56" s="8" t="s">
        <v>518</v>
      </c>
      <c r="B56" s="8" t="s">
        <v>2263</v>
      </c>
      <c r="C56" s="8" t="s">
        <v>2269</v>
      </c>
      <c r="D56" s="8"/>
    </row>
    <row r="57" spans="1:6" ht="21">
      <c r="A57" s="8" t="s">
        <v>518</v>
      </c>
      <c r="B57" s="8" t="s">
        <v>92</v>
      </c>
      <c r="C57" s="8" t="s">
        <v>492</v>
      </c>
      <c r="D57" s="8"/>
    </row>
    <row r="58" spans="1:6" ht="21">
      <c r="A58" s="8" t="s">
        <v>518</v>
      </c>
      <c r="B58" s="8" t="s">
        <v>90</v>
      </c>
      <c r="C58" s="8" t="s">
        <v>2270</v>
      </c>
      <c r="D58" s="8"/>
    </row>
    <row r="61" spans="1:6">
      <c r="A61" s="7" t="s">
        <v>494</v>
      </c>
      <c r="B61" s="7" t="s">
        <v>495</v>
      </c>
      <c r="C61" s="7" t="s">
        <v>496</v>
      </c>
      <c r="D61" s="7" t="s">
        <v>497</v>
      </c>
      <c r="E61" s="7" t="s">
        <v>498</v>
      </c>
      <c r="F61" s="7"/>
    </row>
    <row r="62" spans="1:6" ht="21">
      <c r="A62" s="8" t="s">
        <v>49</v>
      </c>
      <c r="B62" s="8" t="s">
        <v>69</v>
      </c>
      <c r="C62" s="8" t="s">
        <v>71</v>
      </c>
      <c r="D62" s="8" t="s">
        <v>520</v>
      </c>
      <c r="E62" s="8" t="s">
        <v>502</v>
      </c>
      <c r="F62" s="8"/>
    </row>
    <row r="63" spans="1:6" ht="21">
      <c r="A63" s="8" t="s">
        <v>521</v>
      </c>
      <c r="B63" s="8" t="s">
        <v>71</v>
      </c>
      <c r="C63" s="8" t="s">
        <v>90</v>
      </c>
      <c r="D63" s="8" t="s">
        <v>522</v>
      </c>
      <c r="E63" s="8" t="s">
        <v>499</v>
      </c>
      <c r="F63" s="8"/>
    </row>
    <row r="64" spans="1:6" ht="21">
      <c r="A64" s="8" t="s">
        <v>523</v>
      </c>
      <c r="B64" s="8" t="s">
        <v>90</v>
      </c>
      <c r="C64" s="8" t="s">
        <v>2263</v>
      </c>
      <c r="D64" s="8" t="s">
        <v>2271</v>
      </c>
      <c r="E64" s="8" t="s">
        <v>499</v>
      </c>
      <c r="F64" s="8"/>
    </row>
    <row r="65" spans="1:6" ht="42">
      <c r="A65" s="8" t="s">
        <v>524</v>
      </c>
      <c r="B65" s="8" t="s">
        <v>71</v>
      </c>
      <c r="C65" s="8" t="s">
        <v>482</v>
      </c>
      <c r="D65" s="8" t="s">
        <v>2295</v>
      </c>
      <c r="E65" s="8" t="s">
        <v>502</v>
      </c>
      <c r="F65" s="8"/>
    </row>
    <row r="66" spans="1:6" ht="21">
      <c r="A66" s="8" t="s">
        <v>525</v>
      </c>
      <c r="B66" s="8" t="s">
        <v>71</v>
      </c>
      <c r="C66" s="8" t="s">
        <v>438</v>
      </c>
      <c r="D66" s="8" t="s">
        <v>2128</v>
      </c>
      <c r="E66" s="8" t="s">
        <v>502</v>
      </c>
      <c r="F66" s="8"/>
    </row>
    <row r="67" spans="1:6" ht="21">
      <c r="A67" s="8" t="s">
        <v>49</v>
      </c>
      <c r="B67" s="8" t="s">
        <v>510</v>
      </c>
      <c r="C67" s="8" t="s">
        <v>438</v>
      </c>
      <c r="D67" s="8" t="s">
        <v>2156</v>
      </c>
      <c r="E67" s="8" t="s">
        <v>502</v>
      </c>
      <c r="F67" s="8"/>
    </row>
    <row r="68" spans="1:6" ht="21">
      <c r="A68" s="8" t="s">
        <v>49</v>
      </c>
      <c r="B68" s="8" t="s">
        <v>438</v>
      </c>
      <c r="C68" s="8" t="s">
        <v>482</v>
      </c>
      <c r="D68" s="8" t="s">
        <v>526</v>
      </c>
      <c r="E68" s="8" t="s">
        <v>502</v>
      </c>
      <c r="F68" s="8"/>
    </row>
    <row r="69" spans="1:6" ht="21">
      <c r="A69" s="8" t="s">
        <v>527</v>
      </c>
      <c r="B69" s="8" t="s">
        <v>438</v>
      </c>
      <c r="C69" s="8" t="s">
        <v>93</v>
      </c>
      <c r="D69" s="8" t="s">
        <v>994</v>
      </c>
      <c r="E69" s="8" t="s">
        <v>992</v>
      </c>
      <c r="F69" s="8"/>
    </row>
    <row r="70" spans="1:6" ht="21">
      <c r="A70" s="8" t="s">
        <v>49</v>
      </c>
      <c r="B70" s="8" t="s">
        <v>93</v>
      </c>
      <c r="C70" s="8" t="s">
        <v>92</v>
      </c>
      <c r="D70" s="8" t="s">
        <v>49</v>
      </c>
      <c r="E70" s="8" t="s">
        <v>992</v>
      </c>
      <c r="F70" s="8"/>
    </row>
    <row r="71" spans="1:6" ht="21">
      <c r="A71" s="8" t="s">
        <v>528</v>
      </c>
      <c r="B71" s="8" t="s">
        <v>438</v>
      </c>
      <c r="C71" s="8" t="s">
        <v>514</v>
      </c>
      <c r="D71" s="8" t="s">
        <v>529</v>
      </c>
      <c r="E71" s="8" t="s">
        <v>502</v>
      </c>
      <c r="F71" s="8"/>
    </row>
    <row r="72" spans="1:6" ht="21">
      <c r="A72" s="8" t="s">
        <v>528</v>
      </c>
      <c r="B72" s="8" t="s">
        <v>438</v>
      </c>
      <c r="C72" s="8" t="s">
        <v>80</v>
      </c>
      <c r="D72" s="8" t="s">
        <v>505</v>
      </c>
      <c r="E72" s="8" t="s">
        <v>502</v>
      </c>
      <c r="F72" s="8"/>
    </row>
    <row r="73" spans="1:6" ht="21">
      <c r="A73" s="8" t="s">
        <v>49</v>
      </c>
      <c r="B73" s="8" t="s">
        <v>80</v>
      </c>
      <c r="C73" s="8" t="s">
        <v>506</v>
      </c>
      <c r="D73" s="8" t="s">
        <v>49</v>
      </c>
      <c r="E73" s="8" t="s">
        <v>502</v>
      </c>
      <c r="F73" s="8"/>
    </row>
    <row r="74" spans="1:6" ht="21">
      <c r="A74" s="8" t="s">
        <v>49</v>
      </c>
      <c r="B74" s="8" t="s">
        <v>86</v>
      </c>
      <c r="C74" s="8" t="s">
        <v>92</v>
      </c>
      <c r="D74" s="8" t="s">
        <v>530</v>
      </c>
      <c r="E74" s="8" t="s">
        <v>531</v>
      </c>
      <c r="F74" s="8"/>
    </row>
    <row r="76" spans="1:6">
      <c r="A76" s="3" t="s">
        <v>2272</v>
      </c>
    </row>
    <row r="77" spans="1:6">
      <c r="A77" s="3" t="s">
        <v>2273</v>
      </c>
    </row>
    <row r="80" spans="1:6" ht="21" thickBot="1">
      <c r="A80" s="2" t="s">
        <v>532</v>
      </c>
    </row>
    <row r="81" spans="1:6" ht="22" customHeight="1">
      <c r="A81" s="50" t="s">
        <v>533</v>
      </c>
      <c r="B81" s="43"/>
      <c r="C81" s="47"/>
    </row>
    <row r="82" spans="1:6" ht="22" customHeight="1">
      <c r="A82" s="45" t="s">
        <v>2274</v>
      </c>
      <c r="B82" s="42"/>
      <c r="C82" s="48"/>
    </row>
    <row r="83" spans="1:6" ht="22" customHeight="1">
      <c r="A83" s="45"/>
      <c r="B83" s="42"/>
      <c r="C83" s="48"/>
    </row>
    <row r="84" spans="1:6" ht="22" customHeight="1" thickBot="1">
      <c r="A84" s="46" t="s">
        <v>476</v>
      </c>
      <c r="B84" s="44"/>
      <c r="C84" s="49"/>
    </row>
    <row r="86" spans="1:6" ht="21" thickBot="1"/>
    <row r="87" spans="1:6" ht="42">
      <c r="A87" s="11" t="s">
        <v>534</v>
      </c>
      <c r="B87" s="11" t="s">
        <v>535</v>
      </c>
      <c r="C87" s="12" t="s">
        <v>536</v>
      </c>
      <c r="D87" s="13" t="s">
        <v>537</v>
      </c>
      <c r="E87" s="14" t="s">
        <v>538</v>
      </c>
      <c r="F87" s="27" t="s">
        <v>539</v>
      </c>
    </row>
    <row r="88" spans="1:6" ht="44" customHeight="1">
      <c r="A88" s="19" t="s">
        <v>540</v>
      </c>
      <c r="B88" s="19" t="s">
        <v>541</v>
      </c>
      <c r="C88" s="21" t="s">
        <v>536</v>
      </c>
      <c r="D88" s="23" t="s">
        <v>542</v>
      </c>
      <c r="E88" s="24" t="s">
        <v>2275</v>
      </c>
      <c r="F88" s="28" t="s">
        <v>543</v>
      </c>
    </row>
    <row r="89" spans="1:6" ht="44" customHeight="1">
      <c r="A89" s="20" t="s">
        <v>544</v>
      </c>
      <c r="B89" s="18" t="s">
        <v>545</v>
      </c>
      <c r="E89" s="26" t="s">
        <v>2276</v>
      </c>
    </row>
    <row r="90" spans="1:6" ht="44" customHeight="1">
      <c r="A90" s="20" t="s">
        <v>546</v>
      </c>
      <c r="B90" s="18" t="s">
        <v>547</v>
      </c>
      <c r="E90" s="25" t="s">
        <v>548</v>
      </c>
    </row>
    <row r="91" spans="1:6" ht="44" customHeight="1">
      <c r="A91" s="16" t="s">
        <v>549</v>
      </c>
      <c r="B91" s="17" t="s">
        <v>550</v>
      </c>
    </row>
    <row r="92" spans="1:6" ht="21" thickBot="1"/>
    <row r="93" spans="1:6" ht="42">
      <c r="A93" s="29" t="s">
        <v>551</v>
      </c>
    </row>
    <row r="94" spans="1:6" ht="44" customHeight="1">
      <c r="A94" s="30" t="s">
        <v>552</v>
      </c>
      <c r="B94" s="31" t="s">
        <v>995</v>
      </c>
    </row>
    <row r="96" spans="1:6">
      <c r="A96" s="3" t="s">
        <v>2004</v>
      </c>
    </row>
    <row r="99" spans="1:6">
      <c r="A99" s="2" t="s">
        <v>553</v>
      </c>
    </row>
    <row r="100" spans="1:6">
      <c r="A100" s="7" t="s">
        <v>494</v>
      </c>
      <c r="B100" s="7" t="s">
        <v>554</v>
      </c>
      <c r="C100" s="7" t="s">
        <v>555</v>
      </c>
      <c r="D100" s="7" t="s">
        <v>556</v>
      </c>
      <c r="E100" s="7" t="s">
        <v>557</v>
      </c>
      <c r="F100" s="7"/>
    </row>
    <row r="101" spans="1:6" ht="63">
      <c r="A101" s="8" t="s">
        <v>452</v>
      </c>
      <c r="B101" s="8" t="s">
        <v>996</v>
      </c>
      <c r="C101" s="8" t="s">
        <v>558</v>
      </c>
      <c r="D101" s="8" t="s">
        <v>559</v>
      </c>
      <c r="E101" s="8" t="s">
        <v>560</v>
      </c>
      <c r="F101" s="8"/>
    </row>
    <row r="102" spans="1:6" ht="42">
      <c r="A102" s="8" t="s">
        <v>461</v>
      </c>
      <c r="B102" s="8" t="s">
        <v>997</v>
      </c>
      <c r="C102" s="8" t="s">
        <v>561</v>
      </c>
      <c r="D102" s="8" t="s">
        <v>562</v>
      </c>
      <c r="E102" s="8" t="s">
        <v>563</v>
      </c>
      <c r="F102" s="8"/>
    </row>
    <row r="103" spans="1:6" ht="63">
      <c r="A103" s="8" t="s">
        <v>564</v>
      </c>
      <c r="B103" s="8" t="s">
        <v>2277</v>
      </c>
      <c r="C103" s="8" t="s">
        <v>2278</v>
      </c>
      <c r="D103" s="8" t="s">
        <v>565</v>
      </c>
      <c r="E103" s="8" t="s">
        <v>90</v>
      </c>
      <c r="F103" s="8"/>
    </row>
    <row r="104" spans="1:6" ht="42">
      <c r="A104" s="8" t="s">
        <v>566</v>
      </c>
      <c r="B104" s="8" t="s">
        <v>567</v>
      </c>
      <c r="C104" s="8" t="s">
        <v>998</v>
      </c>
      <c r="D104" s="8" t="s">
        <v>568</v>
      </c>
      <c r="E104" s="8" t="s">
        <v>569</v>
      </c>
      <c r="F104" s="8"/>
    </row>
    <row r="107" spans="1:6">
      <c r="A107" s="3" t="s">
        <v>570</v>
      </c>
    </row>
    <row r="108" spans="1:6">
      <c r="A108" s="3" t="s">
        <v>571</v>
      </c>
    </row>
    <row r="109" spans="1:6">
      <c r="A109" s="3" t="s">
        <v>572</v>
      </c>
    </row>
  </sheetData>
  <phoneticPr fontId="2"/>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04D32-4D78-B94D-9362-B7B8C8DE5C12}">
  <dimension ref="A1:C49"/>
  <sheetViews>
    <sheetView workbookViewId="0">
      <selection activeCell="C30" sqref="C30"/>
    </sheetView>
  </sheetViews>
  <sheetFormatPr baseColWidth="10" defaultRowHeight="20"/>
  <cols>
    <col min="1" max="1" width="42.85546875" customWidth="1"/>
    <col min="2" max="2" width="25.7109375" customWidth="1"/>
    <col min="3" max="3" width="88.5703125" customWidth="1"/>
  </cols>
  <sheetData>
    <row r="1" spans="1:3" ht="27">
      <c r="A1" s="1" t="s">
        <v>65</v>
      </c>
    </row>
    <row r="3" spans="1:3">
      <c r="A3" s="2" t="s">
        <v>573</v>
      </c>
    </row>
    <row r="4" spans="1:3">
      <c r="A4" s="7" t="s">
        <v>66</v>
      </c>
      <c r="B4" s="7" t="s">
        <v>67</v>
      </c>
      <c r="C4" s="7" t="s">
        <v>68</v>
      </c>
    </row>
    <row r="5" spans="1:3" ht="42">
      <c r="A5" s="8" t="s">
        <v>69</v>
      </c>
      <c r="B5" s="8" t="s">
        <v>70</v>
      </c>
      <c r="C5" s="8" t="s">
        <v>2251</v>
      </c>
    </row>
    <row r="6" spans="1:3" ht="63">
      <c r="A6" s="8" t="s">
        <v>71</v>
      </c>
      <c r="B6" s="8" t="s">
        <v>72</v>
      </c>
      <c r="C6" s="8" t="s">
        <v>2252</v>
      </c>
    </row>
    <row r="7" spans="1:3" ht="84">
      <c r="A7" s="8" t="s">
        <v>73</v>
      </c>
      <c r="B7" s="8" t="s">
        <v>74</v>
      </c>
      <c r="C7" s="8" t="s">
        <v>2253</v>
      </c>
    </row>
    <row r="8" spans="1:3" ht="42">
      <c r="A8" s="8" t="s">
        <v>75</v>
      </c>
      <c r="B8" s="8" t="s">
        <v>72</v>
      </c>
      <c r="C8" s="8" t="s">
        <v>76</v>
      </c>
    </row>
    <row r="9" spans="1:3" ht="21">
      <c r="A9" s="8" t="s">
        <v>77</v>
      </c>
      <c r="B9" s="8" t="s">
        <v>78</v>
      </c>
      <c r="C9" s="8" t="s">
        <v>79</v>
      </c>
    </row>
    <row r="10" spans="1:3" ht="21">
      <c r="A10" s="8" t="s">
        <v>80</v>
      </c>
      <c r="B10" s="8" t="s">
        <v>72</v>
      </c>
      <c r="C10" s="8" t="s">
        <v>81</v>
      </c>
    </row>
    <row r="11" spans="1:3" ht="21">
      <c r="A11" s="8" t="s">
        <v>82</v>
      </c>
      <c r="B11" s="8" t="s">
        <v>83</v>
      </c>
      <c r="C11" s="8" t="s">
        <v>84</v>
      </c>
    </row>
    <row r="12" spans="1:3" ht="21">
      <c r="A12" s="8" t="s">
        <v>85</v>
      </c>
      <c r="B12" s="8" t="s">
        <v>85</v>
      </c>
      <c r="C12" s="8" t="s">
        <v>574</v>
      </c>
    </row>
    <row r="15" spans="1:3" ht="21">
      <c r="A15" s="10" t="s">
        <v>575</v>
      </c>
    </row>
    <row r="16" spans="1:3">
      <c r="A16" s="7" t="s">
        <v>66</v>
      </c>
      <c r="B16" s="7" t="s">
        <v>67</v>
      </c>
      <c r="C16" s="7" t="s">
        <v>68</v>
      </c>
    </row>
    <row r="17" spans="1:3" ht="42">
      <c r="A17" s="8" t="s">
        <v>86</v>
      </c>
      <c r="B17" s="8" t="s">
        <v>87</v>
      </c>
      <c r="C17" s="8" t="s">
        <v>88</v>
      </c>
    </row>
    <row r="18" spans="1:3" ht="63">
      <c r="A18" s="8" t="s">
        <v>2255</v>
      </c>
      <c r="B18" s="8" t="s">
        <v>2256</v>
      </c>
      <c r="C18" s="8" t="s">
        <v>2257</v>
      </c>
    </row>
    <row r="19" spans="1:3" ht="21">
      <c r="A19" s="8" t="s">
        <v>90</v>
      </c>
      <c r="B19" s="8" t="s">
        <v>91</v>
      </c>
      <c r="C19" s="8" t="s">
        <v>2258</v>
      </c>
    </row>
    <row r="20" spans="1:3" ht="21">
      <c r="A20" s="8" t="s">
        <v>2259</v>
      </c>
      <c r="B20" s="8" t="s">
        <v>5</v>
      </c>
      <c r="C20" s="8" t="s">
        <v>2260</v>
      </c>
    </row>
    <row r="21" spans="1:3" ht="21">
      <c r="A21" s="8" t="s">
        <v>92</v>
      </c>
      <c r="B21" s="8" t="s">
        <v>49</v>
      </c>
      <c r="C21" s="8" t="s">
        <v>2005</v>
      </c>
    </row>
    <row r="24" spans="1:3" ht="42">
      <c r="A24" s="10" t="s">
        <v>576</v>
      </c>
    </row>
    <row r="25" spans="1:3">
      <c r="A25" s="7" t="s">
        <v>66</v>
      </c>
      <c r="B25" s="7" t="s">
        <v>67</v>
      </c>
      <c r="C25" s="7" t="s">
        <v>68</v>
      </c>
    </row>
    <row r="26" spans="1:3" ht="42">
      <c r="A26" s="8" t="s">
        <v>93</v>
      </c>
      <c r="B26" s="8" t="s">
        <v>94</v>
      </c>
      <c r="C26" s="8" t="s">
        <v>2006</v>
      </c>
    </row>
    <row r="29" spans="1:3">
      <c r="A29" s="2" t="s">
        <v>95</v>
      </c>
    </row>
    <row r="30" spans="1:3" ht="210">
      <c r="A30" s="4" t="s">
        <v>2261</v>
      </c>
    </row>
    <row r="33" spans="1:3">
      <c r="A33" s="2" t="s">
        <v>999</v>
      </c>
    </row>
    <row r="34" spans="1:3">
      <c r="A34" s="7" t="s">
        <v>96</v>
      </c>
      <c r="B34" s="7" t="s">
        <v>97</v>
      </c>
      <c r="C34" s="7" t="s">
        <v>47</v>
      </c>
    </row>
    <row r="35" spans="1:3" ht="42">
      <c r="A35" s="8" t="s">
        <v>98</v>
      </c>
      <c r="B35" s="8" t="s">
        <v>99</v>
      </c>
      <c r="C35" s="8" t="s">
        <v>1000</v>
      </c>
    </row>
    <row r="36" spans="1:3" ht="21">
      <c r="A36" s="8" t="s">
        <v>100</v>
      </c>
      <c r="B36" s="8" t="s">
        <v>99</v>
      </c>
      <c r="C36" s="8" t="s">
        <v>1001</v>
      </c>
    </row>
    <row r="37" spans="1:3" ht="42">
      <c r="A37" s="8" t="s">
        <v>101</v>
      </c>
      <c r="B37" s="8" t="s">
        <v>102</v>
      </c>
      <c r="C37" s="8" t="s">
        <v>103</v>
      </c>
    </row>
    <row r="38" spans="1:3" ht="21">
      <c r="A38" s="8" t="s">
        <v>104</v>
      </c>
      <c r="B38" s="8" t="s">
        <v>105</v>
      </c>
      <c r="C38" s="8" t="s">
        <v>106</v>
      </c>
    </row>
    <row r="39" spans="1:3" ht="21">
      <c r="A39" s="8" t="s">
        <v>107</v>
      </c>
      <c r="B39" s="8" t="s">
        <v>108</v>
      </c>
      <c r="C39" s="8" t="s">
        <v>109</v>
      </c>
    </row>
    <row r="40" spans="1:3" ht="21">
      <c r="A40" s="8" t="s">
        <v>110</v>
      </c>
      <c r="B40" s="8" t="s">
        <v>108</v>
      </c>
      <c r="C40" s="8" t="s">
        <v>111</v>
      </c>
    </row>
    <row r="41" spans="1:3" ht="42">
      <c r="A41" s="8" t="s">
        <v>1002</v>
      </c>
      <c r="B41" s="8" t="s">
        <v>112</v>
      </c>
      <c r="C41" s="8" t="s">
        <v>1003</v>
      </c>
    </row>
    <row r="42" spans="1:3" ht="42">
      <c r="A42" s="8" t="s">
        <v>1004</v>
      </c>
      <c r="B42" s="8" t="s">
        <v>1005</v>
      </c>
      <c r="C42" s="8" t="s">
        <v>1006</v>
      </c>
    </row>
    <row r="45" spans="1:3">
      <c r="A45" s="2" t="s">
        <v>113</v>
      </c>
    </row>
    <row r="46" spans="1:3">
      <c r="A46" s="7" t="s">
        <v>114</v>
      </c>
      <c r="B46" s="7" t="s">
        <v>115</v>
      </c>
      <c r="C46" s="7" t="s">
        <v>116</v>
      </c>
    </row>
    <row r="47" spans="1:3" ht="21">
      <c r="A47" s="8" t="s">
        <v>117</v>
      </c>
      <c r="B47" s="8" t="s">
        <v>118</v>
      </c>
      <c r="C47" s="8" t="s">
        <v>119</v>
      </c>
    </row>
    <row r="48" spans="1:3" ht="21">
      <c r="A48" s="8" t="s">
        <v>71</v>
      </c>
      <c r="B48" s="8" t="s">
        <v>118</v>
      </c>
      <c r="C48" s="8" t="s">
        <v>2296</v>
      </c>
    </row>
    <row r="49" spans="1:3" ht="21">
      <c r="A49" s="8" t="s">
        <v>80</v>
      </c>
      <c r="B49" s="8" t="s">
        <v>118</v>
      </c>
      <c r="C49" s="8" t="s">
        <v>1007</v>
      </c>
    </row>
  </sheetData>
  <phoneticPr fontId="2"/>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4A9CE4-FC1C-434B-A788-0635C1D26046}">
  <dimension ref="A1:F121"/>
  <sheetViews>
    <sheetView topLeftCell="A50" workbookViewId="0">
      <selection activeCell="D77" sqref="D77"/>
    </sheetView>
  </sheetViews>
  <sheetFormatPr baseColWidth="10" defaultRowHeight="20"/>
  <cols>
    <col min="1" max="1" width="35.7109375" customWidth="1"/>
    <col min="2" max="2" width="27.140625" customWidth="1"/>
    <col min="3" max="3" width="34.28515625" customWidth="1"/>
    <col min="4" max="4" width="74.28515625" customWidth="1"/>
    <col min="5" max="5" width="48.5703125" customWidth="1"/>
    <col min="6" max="6" width="35.7109375" customWidth="1"/>
  </cols>
  <sheetData>
    <row r="1" spans="1:5" ht="27">
      <c r="A1" s="1" t="s">
        <v>577</v>
      </c>
    </row>
    <row r="3" spans="1:5" ht="21" thickBot="1">
      <c r="A3" s="2" t="s">
        <v>2122</v>
      </c>
    </row>
    <row r="4" spans="1:5" ht="22" customHeight="1">
      <c r="A4" s="50" t="s">
        <v>578</v>
      </c>
      <c r="B4" s="43"/>
      <c r="C4" s="47"/>
    </row>
    <row r="5" spans="1:5" ht="22" customHeight="1">
      <c r="A5" s="45" t="s">
        <v>2279</v>
      </c>
      <c r="B5" s="42"/>
      <c r="C5" s="48"/>
    </row>
    <row r="6" spans="1:5" ht="22" customHeight="1">
      <c r="A6" s="45"/>
      <c r="B6" s="42"/>
      <c r="C6" s="48"/>
    </row>
    <row r="7" spans="1:5" ht="22" customHeight="1" thickBot="1">
      <c r="A7" s="46" t="s">
        <v>476</v>
      </c>
      <c r="B7" s="44"/>
      <c r="C7" s="49"/>
    </row>
    <row r="9" spans="1:5">
      <c r="A9" s="7" t="s">
        <v>579</v>
      </c>
      <c r="B9" s="7" t="s">
        <v>580</v>
      </c>
      <c r="C9" s="7" t="s">
        <v>581</v>
      </c>
      <c r="D9" s="7" t="s">
        <v>47</v>
      </c>
      <c r="E9" s="7"/>
    </row>
    <row r="10" spans="1:5" ht="42">
      <c r="A10" s="8" t="s">
        <v>582</v>
      </c>
      <c r="B10" s="8" t="s">
        <v>71</v>
      </c>
      <c r="C10" s="8" t="s">
        <v>583</v>
      </c>
      <c r="D10" s="8" t="s">
        <v>2213</v>
      </c>
      <c r="E10" s="8"/>
    </row>
    <row r="11" spans="1:5" ht="42">
      <c r="A11" s="8" t="s">
        <v>584</v>
      </c>
      <c r="B11" s="8" t="s">
        <v>71</v>
      </c>
      <c r="C11" s="8" t="s">
        <v>538</v>
      </c>
      <c r="D11" s="8" t="s">
        <v>2214</v>
      </c>
      <c r="E11" s="8"/>
    </row>
    <row r="12" spans="1:5" ht="42">
      <c r="A12" s="8" t="s">
        <v>2215</v>
      </c>
      <c r="B12" s="8" t="s">
        <v>71</v>
      </c>
      <c r="C12" s="8" t="s">
        <v>2216</v>
      </c>
      <c r="D12" s="8" t="s">
        <v>2217</v>
      </c>
      <c r="E12" s="8"/>
    </row>
    <row r="13" spans="1:5" ht="21">
      <c r="A13" s="8" t="s">
        <v>2218</v>
      </c>
      <c r="B13" s="8" t="s">
        <v>71</v>
      </c>
      <c r="C13" s="8" t="s">
        <v>2216</v>
      </c>
      <c r="D13" s="8" t="s">
        <v>2219</v>
      </c>
      <c r="E13" s="8"/>
    </row>
    <row r="14" spans="1:5" ht="42">
      <c r="A14" s="8" t="s">
        <v>585</v>
      </c>
      <c r="B14" s="8" t="s">
        <v>71</v>
      </c>
      <c r="C14" s="8" t="s">
        <v>482</v>
      </c>
      <c r="D14" s="8" t="s">
        <v>2220</v>
      </c>
      <c r="E14" s="8"/>
    </row>
    <row r="15" spans="1:5" ht="42">
      <c r="A15" s="8" t="s">
        <v>586</v>
      </c>
      <c r="B15" s="8" t="s">
        <v>71</v>
      </c>
      <c r="C15" s="8" t="s">
        <v>2221</v>
      </c>
      <c r="D15" s="8" t="s">
        <v>2222</v>
      </c>
      <c r="E15" s="8"/>
    </row>
    <row r="16" spans="1:5" ht="42">
      <c r="A16" s="8" t="s">
        <v>2129</v>
      </c>
      <c r="B16" s="8" t="s">
        <v>71</v>
      </c>
      <c r="C16" s="8" t="s">
        <v>438</v>
      </c>
      <c r="D16" s="8" t="s">
        <v>2223</v>
      </c>
      <c r="E16" s="8"/>
    </row>
    <row r="17" spans="1:5" ht="21">
      <c r="A17" s="8" t="s">
        <v>587</v>
      </c>
      <c r="B17" s="8" t="s">
        <v>71</v>
      </c>
      <c r="C17" s="8" t="s">
        <v>482</v>
      </c>
      <c r="D17" s="8" t="s">
        <v>2224</v>
      </c>
      <c r="E17" s="8"/>
    </row>
    <row r="18" spans="1:5" ht="21">
      <c r="A18" s="8" t="s">
        <v>588</v>
      </c>
      <c r="B18" s="8" t="s">
        <v>71</v>
      </c>
      <c r="C18" s="8" t="s">
        <v>482</v>
      </c>
      <c r="D18" s="8" t="s">
        <v>2225</v>
      </c>
      <c r="E18" s="8"/>
    </row>
    <row r="19" spans="1:5" ht="21">
      <c r="A19" s="8" t="s">
        <v>589</v>
      </c>
      <c r="B19" s="8" t="s">
        <v>71</v>
      </c>
      <c r="C19" s="8" t="s">
        <v>590</v>
      </c>
      <c r="D19" s="8" t="s">
        <v>2226</v>
      </c>
      <c r="E19" s="8"/>
    </row>
    <row r="20" spans="1:5" ht="105">
      <c r="A20" s="8" t="s">
        <v>2227</v>
      </c>
      <c r="B20" s="8"/>
      <c r="C20" s="8"/>
      <c r="D20" s="8"/>
      <c r="E20" s="8"/>
    </row>
    <row r="21" spans="1:5">
      <c r="A21" s="57"/>
      <c r="B21" s="57"/>
      <c r="C21" s="57"/>
      <c r="D21" s="57"/>
      <c r="E21" s="57"/>
    </row>
    <row r="22" spans="1:5">
      <c r="A22" s="57"/>
      <c r="B22" s="57"/>
      <c r="C22" s="57"/>
      <c r="D22" s="57"/>
      <c r="E22" s="57"/>
    </row>
    <row r="23" spans="1:5" ht="21">
      <c r="A23" s="10" t="s">
        <v>2228</v>
      </c>
    </row>
    <row r="24" spans="1:5" ht="21">
      <c r="A24" s="83" t="s">
        <v>392</v>
      </c>
      <c r="B24" s="83" t="s">
        <v>407</v>
      </c>
      <c r="C24" s="83"/>
    </row>
    <row r="25" spans="1:5" ht="126">
      <c r="A25" s="8" t="s">
        <v>2229</v>
      </c>
      <c r="B25" s="8" t="s">
        <v>2230</v>
      </c>
      <c r="C25" s="8"/>
    </row>
    <row r="26" spans="1:5" ht="105">
      <c r="A26" s="8" t="s">
        <v>420</v>
      </c>
      <c r="B26" s="8" t="s">
        <v>2231</v>
      </c>
      <c r="C26" s="8"/>
    </row>
    <row r="27" spans="1:5">
      <c r="A27" s="8"/>
      <c r="B27" s="8"/>
      <c r="C27" s="8"/>
    </row>
    <row r="31" spans="1:5" ht="21" thickBot="1">
      <c r="A31" s="2" t="s">
        <v>591</v>
      </c>
    </row>
    <row r="32" spans="1:5" ht="22" customHeight="1">
      <c r="A32" s="50" t="s">
        <v>592</v>
      </c>
      <c r="B32" s="43"/>
      <c r="C32" s="47"/>
    </row>
    <row r="33" spans="1:5" ht="22" customHeight="1">
      <c r="A33" s="45" t="s">
        <v>1008</v>
      </c>
      <c r="B33" s="42"/>
      <c r="C33" s="48"/>
    </row>
    <row r="34" spans="1:5" ht="22" customHeight="1">
      <c r="A34" s="45"/>
      <c r="B34" s="42"/>
      <c r="C34" s="48"/>
    </row>
    <row r="35" spans="1:5" ht="22" customHeight="1" thickBot="1">
      <c r="A35" s="46" t="s">
        <v>476</v>
      </c>
      <c r="B35" s="44"/>
      <c r="C35" s="49"/>
    </row>
    <row r="37" spans="1:5">
      <c r="A37" s="7" t="s">
        <v>494</v>
      </c>
      <c r="B37" s="7" t="s">
        <v>580</v>
      </c>
      <c r="C37" s="7" t="s">
        <v>581</v>
      </c>
      <c r="D37" s="7" t="s">
        <v>593</v>
      </c>
      <c r="E37" s="7"/>
    </row>
    <row r="38" spans="1:5" ht="21">
      <c r="A38" s="8" t="s">
        <v>521</v>
      </c>
      <c r="B38" s="8" t="s">
        <v>435</v>
      </c>
      <c r="C38" s="8" t="s">
        <v>400</v>
      </c>
      <c r="D38" s="8" t="s">
        <v>594</v>
      </c>
      <c r="E38" s="8"/>
    </row>
    <row r="39" spans="1:5" ht="21">
      <c r="A39" s="8" t="s">
        <v>523</v>
      </c>
      <c r="B39" s="8" t="s">
        <v>435</v>
      </c>
      <c r="C39" s="8" t="s">
        <v>595</v>
      </c>
      <c r="D39" s="8" t="s">
        <v>596</v>
      </c>
      <c r="E39" s="8"/>
    </row>
    <row r="40" spans="1:5" ht="21">
      <c r="A40" s="8" t="s">
        <v>524</v>
      </c>
      <c r="B40" s="8" t="s">
        <v>435</v>
      </c>
      <c r="C40" s="8" t="s">
        <v>435</v>
      </c>
      <c r="D40" s="8" t="s">
        <v>597</v>
      </c>
      <c r="E40" s="8"/>
    </row>
    <row r="41" spans="1:5" ht="21">
      <c r="A41" s="8" t="s">
        <v>525</v>
      </c>
      <c r="B41" s="8" t="s">
        <v>435</v>
      </c>
      <c r="C41" s="8" t="s">
        <v>598</v>
      </c>
      <c r="D41" s="8" t="s">
        <v>1009</v>
      </c>
      <c r="E41" s="8"/>
    </row>
    <row r="42" spans="1:5" ht="21">
      <c r="A42" s="8" t="s">
        <v>527</v>
      </c>
      <c r="B42" s="8" t="s">
        <v>435</v>
      </c>
      <c r="C42" s="8" t="s">
        <v>598</v>
      </c>
      <c r="D42" s="8" t="s">
        <v>1010</v>
      </c>
      <c r="E42" s="8"/>
    </row>
    <row r="43" spans="1:5" ht="21">
      <c r="A43" s="8" t="s">
        <v>528</v>
      </c>
      <c r="B43" s="8" t="s">
        <v>435</v>
      </c>
      <c r="C43" s="8" t="s">
        <v>435</v>
      </c>
      <c r="D43" s="8" t="s">
        <v>1011</v>
      </c>
      <c r="E43" s="8"/>
    </row>
    <row r="44" spans="1:5" ht="21">
      <c r="A44" s="8" t="s">
        <v>599</v>
      </c>
      <c r="B44" s="8" t="s">
        <v>435</v>
      </c>
      <c r="C44" s="8" t="s">
        <v>600</v>
      </c>
      <c r="D44" s="8" t="s">
        <v>1012</v>
      </c>
      <c r="E44" s="8"/>
    </row>
    <row r="45" spans="1:5" ht="21">
      <c r="A45" s="8" t="s">
        <v>601</v>
      </c>
      <c r="B45" s="8" t="s">
        <v>435</v>
      </c>
      <c r="C45" s="8" t="s">
        <v>78</v>
      </c>
      <c r="D45" s="8" t="s">
        <v>602</v>
      </c>
      <c r="E45" s="8"/>
    </row>
    <row r="46" spans="1:5" ht="21">
      <c r="A46" s="8" t="s">
        <v>603</v>
      </c>
      <c r="B46" s="8" t="s">
        <v>435</v>
      </c>
      <c r="C46" s="8" t="s">
        <v>435</v>
      </c>
      <c r="D46" s="8" t="s">
        <v>604</v>
      </c>
      <c r="E46" s="8"/>
    </row>
    <row r="48" spans="1:5" ht="84">
      <c r="A48" s="4" t="s">
        <v>1013</v>
      </c>
    </row>
    <row r="50" spans="1:5" ht="43" thickBot="1">
      <c r="A50" s="10" t="s">
        <v>605</v>
      </c>
    </row>
    <row r="51" spans="1:5" ht="22" customHeight="1">
      <c r="A51" s="50" t="s">
        <v>606</v>
      </c>
      <c r="B51" s="43"/>
      <c r="C51" s="47"/>
    </row>
    <row r="52" spans="1:5" ht="22" customHeight="1">
      <c r="A52" s="45" t="s">
        <v>2280</v>
      </c>
      <c r="B52" s="42"/>
      <c r="C52" s="48"/>
    </row>
    <row r="53" spans="1:5" ht="22" customHeight="1">
      <c r="A53" s="45"/>
      <c r="B53" s="42"/>
      <c r="C53" s="48"/>
    </row>
    <row r="54" spans="1:5" ht="22" customHeight="1" thickBot="1">
      <c r="A54" s="46" t="s">
        <v>476</v>
      </c>
      <c r="B54" s="44"/>
      <c r="C54" s="49"/>
    </row>
    <row r="56" spans="1:5">
      <c r="A56" s="7" t="s">
        <v>494</v>
      </c>
      <c r="B56" s="7" t="s">
        <v>607</v>
      </c>
      <c r="C56" s="7" t="s">
        <v>47</v>
      </c>
      <c r="D56" s="7"/>
      <c r="E56" s="7"/>
    </row>
    <row r="57" spans="1:5" ht="21">
      <c r="A57" s="8" t="s">
        <v>521</v>
      </c>
      <c r="B57" s="8" t="s">
        <v>2281</v>
      </c>
      <c r="C57" s="8" t="s">
        <v>608</v>
      </c>
      <c r="D57" s="8"/>
      <c r="E57" s="8"/>
    </row>
    <row r="58" spans="1:5" ht="21">
      <c r="A58" s="8" t="s">
        <v>523</v>
      </c>
      <c r="B58" s="8" t="s">
        <v>2282</v>
      </c>
      <c r="C58" s="8" t="s">
        <v>609</v>
      </c>
      <c r="D58" s="8"/>
      <c r="E58" s="8"/>
    </row>
    <row r="59" spans="1:5" ht="42">
      <c r="A59" s="8" t="s">
        <v>524</v>
      </c>
      <c r="B59" s="8" t="s">
        <v>610</v>
      </c>
      <c r="C59" s="8" t="s">
        <v>2157</v>
      </c>
      <c r="D59" s="8"/>
      <c r="E59" s="8"/>
    </row>
    <row r="60" spans="1:5" ht="21">
      <c r="A60" s="8" t="s">
        <v>525</v>
      </c>
      <c r="B60" s="8" t="s">
        <v>1014</v>
      </c>
      <c r="C60" s="8" t="s">
        <v>611</v>
      </c>
      <c r="D60" s="8"/>
      <c r="E60" s="8"/>
    </row>
    <row r="61" spans="1:5" ht="42">
      <c r="A61" s="8" t="s">
        <v>527</v>
      </c>
      <c r="B61" s="8" t="s">
        <v>234</v>
      </c>
      <c r="C61" s="8" t="s">
        <v>612</v>
      </c>
      <c r="D61" s="8"/>
      <c r="E61" s="8"/>
    </row>
    <row r="62" spans="1:5" ht="21">
      <c r="A62" s="8" t="s">
        <v>528</v>
      </c>
      <c r="B62" s="8" t="s">
        <v>600</v>
      </c>
      <c r="C62" s="8" t="s">
        <v>485</v>
      </c>
      <c r="D62" s="8"/>
      <c r="E62" s="8"/>
    </row>
    <row r="63" spans="1:5" ht="21">
      <c r="A63" s="8" t="s">
        <v>599</v>
      </c>
      <c r="B63" s="8" t="s">
        <v>423</v>
      </c>
      <c r="C63" s="8" t="s">
        <v>486</v>
      </c>
      <c r="D63" s="8"/>
      <c r="E63" s="8"/>
    </row>
    <row r="64" spans="1:5" ht="21">
      <c r="A64" s="8" t="s">
        <v>601</v>
      </c>
      <c r="B64" s="8" t="s">
        <v>613</v>
      </c>
      <c r="C64" s="8" t="s">
        <v>614</v>
      </c>
      <c r="D64" s="8"/>
      <c r="E64" s="8"/>
    </row>
    <row r="66" spans="1:5" ht="105">
      <c r="A66" s="4" t="s">
        <v>1015</v>
      </c>
    </row>
    <row r="69" spans="1:5">
      <c r="A69" s="2" t="s">
        <v>1016</v>
      </c>
    </row>
    <row r="70" spans="1:5">
      <c r="A70" s="7" t="s">
        <v>615</v>
      </c>
      <c r="B70" s="7" t="s">
        <v>260</v>
      </c>
      <c r="C70" s="7" t="s">
        <v>168</v>
      </c>
      <c r="D70" s="7" t="s">
        <v>234</v>
      </c>
      <c r="E70" s="7" t="s">
        <v>616</v>
      </c>
    </row>
    <row r="71" spans="1:5" ht="21">
      <c r="A71" s="8" t="s">
        <v>617</v>
      </c>
      <c r="B71" s="8">
        <v>401</v>
      </c>
      <c r="C71" s="8">
        <v>200</v>
      </c>
      <c r="D71" s="8" t="s">
        <v>239</v>
      </c>
      <c r="E71" s="8" t="s">
        <v>618</v>
      </c>
    </row>
    <row r="72" spans="1:5" ht="42">
      <c r="A72" s="8" t="s">
        <v>619</v>
      </c>
      <c r="B72" s="8">
        <v>200</v>
      </c>
      <c r="C72" s="8" t="s">
        <v>49</v>
      </c>
      <c r="D72" s="8" t="s">
        <v>620</v>
      </c>
      <c r="E72" s="8" t="s">
        <v>621</v>
      </c>
    </row>
    <row r="73" spans="1:5" ht="21">
      <c r="A73" s="8" t="s">
        <v>622</v>
      </c>
      <c r="B73" s="8">
        <v>401</v>
      </c>
      <c r="C73" s="8">
        <v>401</v>
      </c>
      <c r="D73" s="8" t="s">
        <v>623</v>
      </c>
      <c r="E73" s="8" t="s">
        <v>249</v>
      </c>
    </row>
    <row r="74" spans="1:5" ht="21">
      <c r="A74" s="8" t="s">
        <v>624</v>
      </c>
      <c r="B74" s="8">
        <v>302</v>
      </c>
      <c r="C74" s="8" t="s">
        <v>49</v>
      </c>
      <c r="D74" s="8" t="s">
        <v>239</v>
      </c>
      <c r="E74" s="8" t="s">
        <v>618</v>
      </c>
    </row>
    <row r="75" spans="1:5" ht="21">
      <c r="A75" s="8" t="s">
        <v>625</v>
      </c>
      <c r="B75" s="8">
        <v>200</v>
      </c>
      <c r="C75" s="8" t="s">
        <v>49</v>
      </c>
      <c r="D75" s="8" t="s">
        <v>620</v>
      </c>
      <c r="E75" s="8" t="s">
        <v>626</v>
      </c>
    </row>
    <row r="77" spans="1:5" ht="63">
      <c r="A77" s="4" t="s">
        <v>627</v>
      </c>
    </row>
    <row r="79" spans="1:5">
      <c r="A79" s="66" t="s">
        <v>1017</v>
      </c>
    </row>
    <row r="80" spans="1:5" ht="168">
      <c r="A80" s="4" t="s">
        <v>1018</v>
      </c>
    </row>
    <row r="82" spans="1:6">
      <c r="A82" s="2" t="s">
        <v>2293</v>
      </c>
    </row>
    <row r="83" spans="1:6">
      <c r="A83" s="7" t="s">
        <v>494</v>
      </c>
      <c r="B83" s="7" t="s">
        <v>1019</v>
      </c>
      <c r="C83" s="7" t="s">
        <v>1020</v>
      </c>
      <c r="D83" s="7" t="s">
        <v>1021</v>
      </c>
      <c r="E83" s="7" t="s">
        <v>1022</v>
      </c>
      <c r="F83" s="7" t="s">
        <v>1023</v>
      </c>
    </row>
    <row r="84" spans="1:6" ht="42">
      <c r="A84" s="8" t="s">
        <v>1024</v>
      </c>
      <c r="B84" s="8" t="s">
        <v>2283</v>
      </c>
      <c r="C84" s="8" t="s">
        <v>2284</v>
      </c>
      <c r="D84" s="8" t="s">
        <v>2285</v>
      </c>
      <c r="E84" s="8" t="s">
        <v>949</v>
      </c>
      <c r="F84" s="8" t="s">
        <v>2286</v>
      </c>
    </row>
    <row r="85" spans="1:6" ht="42">
      <c r="A85" s="8" t="s">
        <v>1025</v>
      </c>
      <c r="B85" s="8" t="s">
        <v>1026</v>
      </c>
      <c r="C85" s="8" t="s">
        <v>1027</v>
      </c>
      <c r="D85" s="8" t="s">
        <v>1028</v>
      </c>
      <c r="E85" s="8" t="s">
        <v>1029</v>
      </c>
      <c r="F85" s="8" t="s">
        <v>1030</v>
      </c>
    </row>
    <row r="86" spans="1:6" ht="105">
      <c r="A86" s="8" t="s">
        <v>1031</v>
      </c>
      <c r="B86" s="8" t="s">
        <v>1032</v>
      </c>
      <c r="C86" s="8" t="s">
        <v>1028</v>
      </c>
      <c r="D86" s="8" t="s">
        <v>1033</v>
      </c>
      <c r="E86" s="8" t="s">
        <v>1034</v>
      </c>
      <c r="F86" s="8" t="s">
        <v>1035</v>
      </c>
    </row>
    <row r="87" spans="1:6" ht="42">
      <c r="A87" s="8" t="s">
        <v>1036</v>
      </c>
      <c r="B87" s="8" t="s">
        <v>1037</v>
      </c>
      <c r="C87" s="8" t="s">
        <v>1038</v>
      </c>
      <c r="D87" s="8" t="s">
        <v>1039</v>
      </c>
      <c r="E87" s="8" t="s">
        <v>1040</v>
      </c>
      <c r="F87" s="8" t="s">
        <v>1041</v>
      </c>
    </row>
    <row r="88" spans="1:6" ht="63">
      <c r="A88" s="8" t="s">
        <v>1042</v>
      </c>
      <c r="B88" s="8" t="s">
        <v>2287</v>
      </c>
      <c r="C88" s="8" t="s">
        <v>1043</v>
      </c>
      <c r="D88" s="8" t="s">
        <v>2285</v>
      </c>
      <c r="E88" s="8" t="s">
        <v>949</v>
      </c>
      <c r="F88" s="8" t="s">
        <v>2288</v>
      </c>
    </row>
    <row r="89" spans="1:6" ht="42">
      <c r="A89" s="8" t="s">
        <v>1044</v>
      </c>
      <c r="B89" s="8" t="s">
        <v>1045</v>
      </c>
      <c r="C89" s="8" t="s">
        <v>1028</v>
      </c>
      <c r="D89" s="8" t="s">
        <v>1046</v>
      </c>
      <c r="E89" s="8" t="s">
        <v>1047</v>
      </c>
      <c r="F89" s="8" t="s">
        <v>2294</v>
      </c>
    </row>
    <row r="90" spans="1:6" ht="42">
      <c r="A90" s="8" t="s">
        <v>1048</v>
      </c>
      <c r="B90" s="8" t="s">
        <v>2289</v>
      </c>
      <c r="C90" s="8" t="s">
        <v>1028</v>
      </c>
      <c r="D90" s="8" t="s">
        <v>2290</v>
      </c>
      <c r="E90" s="8" t="s">
        <v>949</v>
      </c>
      <c r="F90" s="8" t="s">
        <v>2291</v>
      </c>
    </row>
    <row r="91" spans="1:6" ht="21">
      <c r="A91" s="8" t="s">
        <v>1049</v>
      </c>
      <c r="B91" s="8" t="s">
        <v>1050</v>
      </c>
      <c r="C91" s="8" t="s">
        <v>1028</v>
      </c>
      <c r="D91" s="8" t="s">
        <v>1051</v>
      </c>
      <c r="E91" s="8" t="s">
        <v>1047</v>
      </c>
      <c r="F91" s="8" t="s">
        <v>1052</v>
      </c>
    </row>
    <row r="92" spans="1:6" ht="21">
      <c r="A92" s="8" t="s">
        <v>1053</v>
      </c>
      <c r="B92" s="8" t="s">
        <v>2130</v>
      </c>
      <c r="C92" s="8" t="s">
        <v>1028</v>
      </c>
      <c r="D92" s="8" t="s">
        <v>1054</v>
      </c>
      <c r="E92" s="8" t="s">
        <v>1055</v>
      </c>
      <c r="F92" s="8" t="s">
        <v>1056</v>
      </c>
    </row>
    <row r="94" spans="1:6">
      <c r="A94" s="3" t="s">
        <v>2292</v>
      </c>
    </row>
    <row r="96" spans="1:6" ht="42">
      <c r="A96" s="10" t="s">
        <v>2158</v>
      </c>
    </row>
    <row r="97" spans="1:6">
      <c r="A97" s="7" t="s">
        <v>494</v>
      </c>
      <c r="B97" s="7" t="s">
        <v>1019</v>
      </c>
      <c r="C97" s="7" t="s">
        <v>1020</v>
      </c>
      <c r="D97" s="7" t="s">
        <v>1021</v>
      </c>
      <c r="E97" s="7" t="s">
        <v>1022</v>
      </c>
      <c r="F97" s="7" t="s">
        <v>1023</v>
      </c>
    </row>
    <row r="98" spans="1:6" ht="63">
      <c r="A98" s="8" t="s">
        <v>243</v>
      </c>
      <c r="B98" s="8" t="s">
        <v>1057</v>
      </c>
      <c r="C98" s="8" t="s">
        <v>1054</v>
      </c>
      <c r="D98" s="8" t="s">
        <v>1058</v>
      </c>
      <c r="E98" s="8" t="s">
        <v>2159</v>
      </c>
      <c r="F98" s="8" t="s">
        <v>1035</v>
      </c>
    </row>
    <row r="99" spans="1:6" ht="21">
      <c r="A99" s="8" t="s">
        <v>248</v>
      </c>
      <c r="B99" s="8" t="s">
        <v>1059</v>
      </c>
      <c r="C99" s="8" t="s">
        <v>1054</v>
      </c>
      <c r="D99" s="8" t="s">
        <v>1060</v>
      </c>
      <c r="E99" s="8" t="s">
        <v>1061</v>
      </c>
      <c r="F99" s="8" t="s">
        <v>1062</v>
      </c>
    </row>
    <row r="100" spans="1:6" ht="63">
      <c r="A100" s="8" t="s">
        <v>253</v>
      </c>
      <c r="B100" s="8" t="s">
        <v>1063</v>
      </c>
      <c r="C100" s="8" t="s">
        <v>1054</v>
      </c>
      <c r="D100" s="8" t="s">
        <v>1064</v>
      </c>
      <c r="E100" s="8" t="s">
        <v>1065</v>
      </c>
      <c r="F100" s="8" t="s">
        <v>1066</v>
      </c>
    </row>
    <row r="101" spans="1:6" ht="84">
      <c r="A101" s="8" t="s">
        <v>1067</v>
      </c>
      <c r="B101" s="8" t="s">
        <v>1068</v>
      </c>
      <c r="C101" s="8" t="s">
        <v>1054</v>
      </c>
      <c r="D101" s="8" t="s">
        <v>1069</v>
      </c>
      <c r="E101" s="8" t="s">
        <v>1070</v>
      </c>
      <c r="F101" s="8" t="s">
        <v>1071</v>
      </c>
    </row>
    <row r="102" spans="1:6" ht="21">
      <c r="A102" s="8" t="s">
        <v>1072</v>
      </c>
      <c r="B102" s="8" t="s">
        <v>1073</v>
      </c>
      <c r="C102" s="8" t="s">
        <v>1054</v>
      </c>
      <c r="D102" s="8" t="s">
        <v>1074</v>
      </c>
      <c r="E102" s="8" t="s">
        <v>1075</v>
      </c>
      <c r="F102" s="8" t="s">
        <v>1076</v>
      </c>
    </row>
    <row r="103" spans="1:6" ht="42">
      <c r="A103" s="8" t="s">
        <v>1077</v>
      </c>
      <c r="B103" s="8" t="s">
        <v>1078</v>
      </c>
      <c r="C103" s="8" t="s">
        <v>1054</v>
      </c>
      <c r="D103" s="8" t="s">
        <v>1079</v>
      </c>
      <c r="E103" s="8" t="s">
        <v>1055</v>
      </c>
      <c r="F103" s="8" t="s">
        <v>1056</v>
      </c>
    </row>
    <row r="105" spans="1:6" ht="147">
      <c r="A105" s="4" t="s">
        <v>1080</v>
      </c>
    </row>
    <row r="107" spans="1:6" ht="22" thickBot="1">
      <c r="A107" s="10" t="s">
        <v>1081</v>
      </c>
    </row>
    <row r="108" spans="1:6" ht="21">
      <c r="A108" s="50" t="s">
        <v>1082</v>
      </c>
      <c r="B108" s="43"/>
      <c r="C108" s="47"/>
    </row>
    <row r="109" spans="1:6" ht="147">
      <c r="A109" s="45" t="s">
        <v>1083</v>
      </c>
      <c r="B109" s="42"/>
      <c r="C109" s="48"/>
    </row>
    <row r="110" spans="1:6" ht="85" thickBot="1">
      <c r="A110" s="46" t="s">
        <v>1084</v>
      </c>
      <c r="B110" s="44"/>
      <c r="C110" s="49"/>
    </row>
    <row r="113" spans="1:6">
      <c r="A113" s="7" t="s">
        <v>494</v>
      </c>
      <c r="B113" s="7" t="s">
        <v>1019</v>
      </c>
      <c r="C113" s="7" t="s">
        <v>1085</v>
      </c>
      <c r="D113" s="7" t="s">
        <v>1086</v>
      </c>
      <c r="E113" s="7" t="s">
        <v>1022</v>
      </c>
      <c r="F113" s="7" t="s">
        <v>116</v>
      </c>
    </row>
    <row r="114" spans="1:6" ht="21">
      <c r="A114" s="8" t="s">
        <v>1087</v>
      </c>
      <c r="B114" s="8" t="s">
        <v>1088</v>
      </c>
      <c r="C114" s="8" t="s">
        <v>1054</v>
      </c>
      <c r="D114" s="8" t="s">
        <v>1089</v>
      </c>
      <c r="E114" s="8" t="s">
        <v>1055</v>
      </c>
      <c r="F114" s="8" t="s">
        <v>1090</v>
      </c>
    </row>
    <row r="115" spans="1:6" ht="21">
      <c r="A115" s="8" t="s">
        <v>1091</v>
      </c>
      <c r="B115" s="8" t="s">
        <v>1092</v>
      </c>
      <c r="C115" s="8" t="s">
        <v>1089</v>
      </c>
      <c r="D115" s="8" t="s">
        <v>1093</v>
      </c>
      <c r="E115" s="8" t="s">
        <v>1047</v>
      </c>
      <c r="F115" s="8" t="s">
        <v>1094</v>
      </c>
    </row>
    <row r="116" spans="1:6" ht="42">
      <c r="A116" s="8" t="s">
        <v>1095</v>
      </c>
      <c r="B116" s="8" t="s">
        <v>1096</v>
      </c>
      <c r="C116" s="8" t="s">
        <v>1089</v>
      </c>
      <c r="D116" s="8" t="s">
        <v>1097</v>
      </c>
      <c r="E116" s="8" t="s">
        <v>1098</v>
      </c>
      <c r="F116" s="8" t="s">
        <v>1099</v>
      </c>
    </row>
    <row r="117" spans="1:6" ht="21">
      <c r="A117" s="8" t="s">
        <v>1100</v>
      </c>
      <c r="B117" s="8" t="s">
        <v>1101</v>
      </c>
      <c r="C117" s="8" t="s">
        <v>1102</v>
      </c>
      <c r="D117" s="8" t="s">
        <v>1103</v>
      </c>
      <c r="E117" s="8" t="s">
        <v>1104</v>
      </c>
      <c r="F117" s="8" t="s">
        <v>1105</v>
      </c>
    </row>
    <row r="118" spans="1:6" ht="21">
      <c r="A118" s="8" t="s">
        <v>1106</v>
      </c>
      <c r="B118" s="8" t="s">
        <v>1107</v>
      </c>
      <c r="C118" s="8" t="s">
        <v>1054</v>
      </c>
      <c r="D118" s="8" t="s">
        <v>1108</v>
      </c>
      <c r="E118" s="8" t="s">
        <v>1075</v>
      </c>
      <c r="F118" s="8" t="s">
        <v>1109</v>
      </c>
    </row>
    <row r="119" spans="1:6" ht="42">
      <c r="A119" s="8" t="s">
        <v>1110</v>
      </c>
      <c r="B119" s="8" t="s">
        <v>1111</v>
      </c>
      <c r="C119" s="8" t="s">
        <v>1112</v>
      </c>
      <c r="D119" s="8" t="s">
        <v>1113</v>
      </c>
      <c r="E119" s="8" t="s">
        <v>1114</v>
      </c>
      <c r="F119" s="8" t="s">
        <v>1115</v>
      </c>
    </row>
    <row r="121" spans="1:6" ht="126">
      <c r="A121" s="4" t="s">
        <v>1116</v>
      </c>
    </row>
  </sheetData>
  <phoneticPr fontId="2"/>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95BEFB-1968-9340-B22A-C748422A09D9}">
  <dimension ref="A1:E109"/>
  <sheetViews>
    <sheetView topLeftCell="A69" workbookViewId="0">
      <selection activeCell="C27" sqref="C27"/>
    </sheetView>
  </sheetViews>
  <sheetFormatPr baseColWidth="10" defaultRowHeight="20"/>
  <cols>
    <col min="1" max="1" width="32.85546875" customWidth="1"/>
    <col min="2" max="2" width="60" customWidth="1"/>
    <col min="3" max="3" width="70.5703125" customWidth="1"/>
    <col min="4" max="4" width="28.5703125" customWidth="1"/>
    <col min="5" max="5" width="27.140625" customWidth="1"/>
  </cols>
  <sheetData>
    <row r="1" spans="1:5" ht="27">
      <c r="A1" s="1" t="s">
        <v>2049</v>
      </c>
    </row>
    <row r="2" spans="1:5" ht="27">
      <c r="A2" s="108" t="s">
        <v>2232</v>
      </c>
    </row>
    <row r="3" spans="1:5" ht="27">
      <c r="A3" s="108" t="s">
        <v>2191</v>
      </c>
    </row>
    <row r="4" spans="1:5" ht="27">
      <c r="A4" s="110" t="s">
        <v>2192</v>
      </c>
    </row>
    <row r="5" spans="1:5" ht="27">
      <c r="A5" s="109" t="s">
        <v>2050</v>
      </c>
    </row>
    <row r="6" spans="1:5" ht="27">
      <c r="A6" s="1"/>
    </row>
    <row r="7" spans="1:5">
      <c r="A7" s="3" t="s">
        <v>2193</v>
      </c>
    </row>
    <row r="9" spans="1:5" ht="21" thickBot="1">
      <c r="A9" s="2" t="s">
        <v>2194</v>
      </c>
    </row>
    <row r="10" spans="1:5" ht="22" customHeight="1">
      <c r="A10" s="96" t="s">
        <v>1117</v>
      </c>
      <c r="B10" s="43"/>
      <c r="C10" s="47"/>
    </row>
    <row r="11" spans="1:5" ht="22" customHeight="1">
      <c r="A11" s="97" t="s">
        <v>2160</v>
      </c>
      <c r="B11" s="42"/>
      <c r="C11" s="48"/>
    </row>
    <row r="12" spans="1:5" ht="22" customHeight="1">
      <c r="A12" s="97"/>
      <c r="B12" s="42"/>
      <c r="C12" s="48"/>
    </row>
    <row r="13" spans="1:5" ht="22" customHeight="1" thickBot="1">
      <c r="A13" s="98" t="s">
        <v>476</v>
      </c>
      <c r="B13" s="44"/>
      <c r="C13" s="49"/>
    </row>
    <row r="15" spans="1:5">
      <c r="A15" s="7" t="s">
        <v>628</v>
      </c>
      <c r="B15" s="7" t="s">
        <v>629</v>
      </c>
      <c r="C15" s="7" t="s">
        <v>630</v>
      </c>
      <c r="D15" s="7" t="s">
        <v>631</v>
      </c>
      <c r="E15" s="7" t="s">
        <v>97</v>
      </c>
    </row>
    <row r="16" spans="1:5" ht="42">
      <c r="A16" s="8" t="s">
        <v>2051</v>
      </c>
      <c r="B16" s="8" t="s">
        <v>2233</v>
      </c>
      <c r="C16" s="8" t="s">
        <v>632</v>
      </c>
      <c r="D16" s="8" t="s">
        <v>633</v>
      </c>
      <c r="E16" s="8" t="s">
        <v>634</v>
      </c>
    </row>
    <row r="17" spans="1:5" ht="21">
      <c r="A17" s="8" t="s">
        <v>2156</v>
      </c>
      <c r="B17" s="8" t="s">
        <v>2195</v>
      </c>
      <c r="C17" s="8" t="s">
        <v>635</v>
      </c>
      <c r="D17" s="8" t="s">
        <v>2196</v>
      </c>
      <c r="E17" s="8" t="s">
        <v>634</v>
      </c>
    </row>
    <row r="20" spans="1:5">
      <c r="A20" s="66" t="s">
        <v>2161</v>
      </c>
    </row>
    <row r="21" spans="1:5">
      <c r="A21" s="3" t="s">
        <v>2234</v>
      </c>
    </row>
    <row r="22" spans="1:5">
      <c r="A22" s="3" t="s">
        <v>636</v>
      </c>
    </row>
    <row r="23" spans="1:5">
      <c r="A23" s="3" t="s">
        <v>2235</v>
      </c>
    </row>
    <row r="24" spans="1:5">
      <c r="A24" s="3" t="s">
        <v>2162</v>
      </c>
    </row>
    <row r="27" spans="1:5" ht="42">
      <c r="A27" s="10" t="s">
        <v>2131</v>
      </c>
    </row>
    <row r="28" spans="1:5">
      <c r="A28" s="7" t="s">
        <v>637</v>
      </c>
      <c r="B28" s="7" t="s">
        <v>638</v>
      </c>
      <c r="C28" s="7" t="s">
        <v>639</v>
      </c>
      <c r="D28" s="7"/>
    </row>
    <row r="29" spans="1:5" ht="21">
      <c r="A29" s="8" t="s">
        <v>640</v>
      </c>
      <c r="B29" s="8" t="s">
        <v>641</v>
      </c>
      <c r="C29" s="8" t="s">
        <v>642</v>
      </c>
      <c r="D29" s="8"/>
    </row>
    <row r="30" spans="1:5" ht="21">
      <c r="A30" s="8" t="s">
        <v>643</v>
      </c>
      <c r="B30" s="8" t="s">
        <v>49</v>
      </c>
      <c r="C30" s="8" t="s">
        <v>644</v>
      </c>
      <c r="D30" s="8"/>
    </row>
    <row r="32" spans="1:5">
      <c r="A32" s="3" t="s">
        <v>1118</v>
      </c>
    </row>
    <row r="35" spans="1:3">
      <c r="A35" s="2" t="s">
        <v>2132</v>
      </c>
    </row>
    <row r="36" spans="1:3">
      <c r="A36" s="7" t="s">
        <v>46</v>
      </c>
      <c r="B36" s="7" t="s">
        <v>47</v>
      </c>
      <c r="C36" s="7"/>
    </row>
    <row r="37" spans="1:3" ht="63">
      <c r="A37" s="8" t="s">
        <v>629</v>
      </c>
      <c r="B37" s="8" t="s">
        <v>2236</v>
      </c>
      <c r="C37" s="8"/>
    </row>
    <row r="38" spans="1:3" ht="42">
      <c r="A38" s="8" t="s">
        <v>71</v>
      </c>
      <c r="B38" s="8" t="s">
        <v>645</v>
      </c>
      <c r="C38" s="8"/>
    </row>
    <row r="39" spans="1:3" ht="42">
      <c r="A39" s="8" t="s">
        <v>438</v>
      </c>
      <c r="B39" s="8" t="s">
        <v>1119</v>
      </c>
      <c r="C39" s="8"/>
    </row>
    <row r="40" spans="1:3" ht="42">
      <c r="A40" s="8" t="s">
        <v>1120</v>
      </c>
      <c r="B40" s="8" t="s">
        <v>646</v>
      </c>
      <c r="C40" s="8"/>
    </row>
    <row r="43" spans="1:3" ht="21">
      <c r="A43" s="10" t="s">
        <v>2163</v>
      </c>
    </row>
    <row r="44" spans="1:3">
      <c r="A44" s="7" t="s">
        <v>46</v>
      </c>
      <c r="B44" s="7" t="s">
        <v>47</v>
      </c>
      <c r="C44" s="5"/>
    </row>
    <row r="45" spans="1:3" ht="42">
      <c r="A45" s="8" t="s">
        <v>629</v>
      </c>
      <c r="B45" s="8" t="s">
        <v>2198</v>
      </c>
      <c r="C45" s="6"/>
    </row>
    <row r="46" spans="1:3" ht="21">
      <c r="A46" s="8" t="s">
        <v>630</v>
      </c>
      <c r="B46" s="8" t="s">
        <v>647</v>
      </c>
      <c r="C46" s="6"/>
    </row>
    <row r="47" spans="1:3" ht="21">
      <c r="A47" s="8" t="s">
        <v>648</v>
      </c>
      <c r="B47" s="8" t="s">
        <v>649</v>
      </c>
      <c r="C47" s="6"/>
    </row>
    <row r="48" spans="1:3" ht="42">
      <c r="A48" s="8" t="s">
        <v>650</v>
      </c>
      <c r="B48" s="8" t="s">
        <v>2133</v>
      </c>
      <c r="C48" s="6"/>
    </row>
    <row r="49" spans="1:4" ht="63">
      <c r="A49" s="8" t="s">
        <v>651</v>
      </c>
      <c r="B49" s="8" t="s">
        <v>6</v>
      </c>
      <c r="C49" s="6"/>
    </row>
    <row r="50" spans="1:4" ht="63">
      <c r="A50" s="8" t="s">
        <v>1121</v>
      </c>
      <c r="B50" s="8" t="s">
        <v>2143</v>
      </c>
      <c r="C50" s="6"/>
    </row>
    <row r="51" spans="1:4" ht="21">
      <c r="A51" s="8" t="s">
        <v>652</v>
      </c>
      <c r="B51" s="8" t="s">
        <v>2197</v>
      </c>
      <c r="C51" s="6"/>
    </row>
    <row r="54" spans="1:4" ht="22" thickBot="1">
      <c r="A54" s="10" t="s">
        <v>653</v>
      </c>
    </row>
    <row r="55" spans="1:4" ht="22" customHeight="1">
      <c r="A55" s="96" t="s">
        <v>654</v>
      </c>
      <c r="B55" s="43"/>
      <c r="C55" s="47"/>
    </row>
    <row r="56" spans="1:4" ht="22" customHeight="1">
      <c r="A56" s="97" t="s">
        <v>2237</v>
      </c>
      <c r="B56" s="42"/>
      <c r="C56" s="48"/>
    </row>
    <row r="57" spans="1:4" ht="22" customHeight="1">
      <c r="A57" s="97"/>
      <c r="B57" s="42"/>
      <c r="C57" s="48"/>
    </row>
    <row r="58" spans="1:4" ht="22" customHeight="1" thickBot="1">
      <c r="A58" s="98" t="s">
        <v>476</v>
      </c>
      <c r="B58" s="44"/>
      <c r="C58" s="49"/>
    </row>
    <row r="60" spans="1:4">
      <c r="A60" s="7" t="s">
        <v>655</v>
      </c>
      <c r="B60" s="7" t="s">
        <v>47</v>
      </c>
      <c r="C60" s="7" t="s">
        <v>656</v>
      </c>
      <c r="D60" s="5"/>
    </row>
    <row r="61" spans="1:4" ht="63">
      <c r="A61" s="8" t="s">
        <v>657</v>
      </c>
      <c r="B61" s="8" t="s">
        <v>2243</v>
      </c>
      <c r="C61" s="8" t="s">
        <v>2244</v>
      </c>
      <c r="D61" s="6"/>
    </row>
    <row r="62" spans="1:4" ht="84">
      <c r="A62" s="8" t="s">
        <v>2245</v>
      </c>
      <c r="B62" s="8" t="s">
        <v>2246</v>
      </c>
      <c r="C62" s="8" t="s">
        <v>2247</v>
      </c>
      <c r="D62" s="6"/>
    </row>
    <row r="63" spans="1:4" ht="42">
      <c r="A63" s="8" t="s">
        <v>2248</v>
      </c>
      <c r="B63" s="8" t="s">
        <v>2249</v>
      </c>
      <c r="C63" s="8" t="s">
        <v>2250</v>
      </c>
      <c r="D63" s="4"/>
    </row>
    <row r="65" spans="1:4" ht="63">
      <c r="A65" s="4" t="s">
        <v>2238</v>
      </c>
    </row>
    <row r="66" spans="1:4" ht="63">
      <c r="A66" s="4" t="s">
        <v>658</v>
      </c>
    </row>
    <row r="69" spans="1:4">
      <c r="A69" s="2" t="s">
        <v>659</v>
      </c>
    </row>
    <row r="70" spans="1:4">
      <c r="A70" s="7" t="s">
        <v>660</v>
      </c>
      <c r="B70" s="7" t="s">
        <v>661</v>
      </c>
      <c r="C70" s="7" t="s">
        <v>662</v>
      </c>
      <c r="D70" s="7"/>
    </row>
    <row r="71" spans="1:4" ht="21">
      <c r="A71" s="8" t="s">
        <v>663</v>
      </c>
      <c r="B71" s="8" t="s">
        <v>1122</v>
      </c>
      <c r="C71" s="8" t="s">
        <v>2164</v>
      </c>
      <c r="D71" s="8"/>
    </row>
    <row r="72" spans="1:4" ht="21">
      <c r="A72" s="8" t="s">
        <v>664</v>
      </c>
      <c r="B72" s="8" t="s">
        <v>665</v>
      </c>
      <c r="C72" s="8" t="s">
        <v>666</v>
      </c>
      <c r="D72" s="8"/>
    </row>
    <row r="73" spans="1:4" ht="21">
      <c r="A73" s="8" t="s">
        <v>1123</v>
      </c>
      <c r="B73" s="8" t="s">
        <v>665</v>
      </c>
      <c r="C73" s="8" t="s">
        <v>666</v>
      </c>
      <c r="D73" s="8"/>
    </row>
    <row r="74" spans="1:4" ht="21">
      <c r="A74" s="8" t="s">
        <v>425</v>
      </c>
      <c r="B74" s="8" t="s">
        <v>667</v>
      </c>
      <c r="C74" s="8" t="s">
        <v>668</v>
      </c>
      <c r="D74" s="8"/>
    </row>
    <row r="75" spans="1:4" ht="21">
      <c r="A75" s="8" t="s">
        <v>652</v>
      </c>
      <c r="B75" s="8" t="s">
        <v>669</v>
      </c>
      <c r="C75" s="8" t="s">
        <v>2007</v>
      </c>
      <c r="D75" s="8"/>
    </row>
    <row r="77" spans="1:4">
      <c r="A77" s="3" t="s">
        <v>2165</v>
      </c>
    </row>
    <row r="80" spans="1:4">
      <c r="A80" s="2" t="s">
        <v>1124</v>
      </c>
    </row>
    <row r="81" spans="1:4">
      <c r="A81" s="3" t="s">
        <v>1125</v>
      </c>
    </row>
    <row r="83" spans="1:4">
      <c r="A83" s="2" t="s">
        <v>1126</v>
      </c>
    </row>
    <row r="84" spans="1:4">
      <c r="A84" s="7" t="s">
        <v>494</v>
      </c>
      <c r="B84" s="7" t="s">
        <v>1127</v>
      </c>
      <c r="C84" s="7" t="s">
        <v>740</v>
      </c>
      <c r="D84" s="7" t="s">
        <v>1128</v>
      </c>
    </row>
    <row r="85" spans="1:4" ht="42">
      <c r="A85" s="8" t="s">
        <v>1129</v>
      </c>
      <c r="B85" s="8" t="s">
        <v>1130</v>
      </c>
      <c r="C85" s="8" t="s">
        <v>1131</v>
      </c>
      <c r="D85" s="8" t="s">
        <v>1132</v>
      </c>
    </row>
    <row r="86" spans="1:4" ht="21">
      <c r="A86" s="8" t="s">
        <v>1133</v>
      </c>
      <c r="B86" s="8" t="s">
        <v>1134</v>
      </c>
      <c r="C86" s="8" t="s">
        <v>1135</v>
      </c>
      <c r="D86" s="8" t="s">
        <v>1136</v>
      </c>
    </row>
    <row r="87" spans="1:4" ht="21">
      <c r="A87" s="8" t="s">
        <v>1137</v>
      </c>
      <c r="B87" s="8" t="s">
        <v>1138</v>
      </c>
      <c r="C87" s="8" t="s">
        <v>1139</v>
      </c>
      <c r="D87" s="8" t="s">
        <v>1140</v>
      </c>
    </row>
    <row r="88" spans="1:4" ht="21">
      <c r="A88" s="8" t="s">
        <v>1141</v>
      </c>
      <c r="B88" s="8" t="s">
        <v>1142</v>
      </c>
      <c r="C88" s="8" t="s">
        <v>2008</v>
      </c>
      <c r="D88" s="8" t="s">
        <v>1143</v>
      </c>
    </row>
    <row r="89" spans="1:4" ht="21">
      <c r="A89" s="8" t="s">
        <v>1144</v>
      </c>
      <c r="B89" s="8" t="s">
        <v>1145</v>
      </c>
      <c r="C89" s="8" t="s">
        <v>1146</v>
      </c>
      <c r="D89" s="8" t="s">
        <v>1147</v>
      </c>
    </row>
    <row r="91" spans="1:4" ht="105">
      <c r="A91" s="4" t="s">
        <v>1148</v>
      </c>
    </row>
    <row r="92" spans="1:4" ht="84">
      <c r="A92" s="4" t="s">
        <v>2239</v>
      </c>
    </row>
    <row r="94" spans="1:4" ht="21">
      <c r="A94" s="10" t="s">
        <v>1149</v>
      </c>
    </row>
    <row r="95" spans="1:4">
      <c r="A95" s="7" t="s">
        <v>1150</v>
      </c>
      <c r="B95" s="7" t="s">
        <v>1151</v>
      </c>
    </row>
    <row r="96" spans="1:4" ht="63">
      <c r="A96" s="8" t="s">
        <v>1152</v>
      </c>
      <c r="B96" s="8" t="s">
        <v>1153</v>
      </c>
    </row>
    <row r="97" spans="1:3" ht="63">
      <c r="A97" s="8" t="s">
        <v>2240</v>
      </c>
      <c r="B97" s="8" t="s">
        <v>2134</v>
      </c>
    </row>
    <row r="98" spans="1:3" ht="63">
      <c r="A98" s="8" t="s">
        <v>1154</v>
      </c>
      <c r="B98" s="8" t="s">
        <v>1155</v>
      </c>
    </row>
    <row r="99" spans="1:3" ht="42">
      <c r="A99" s="8" t="s">
        <v>1156</v>
      </c>
      <c r="B99" s="8" t="s">
        <v>1157</v>
      </c>
    </row>
    <row r="100" spans="1:3" ht="21">
      <c r="A100" s="8" t="s">
        <v>600</v>
      </c>
      <c r="B100" s="8" t="s">
        <v>1158</v>
      </c>
    </row>
    <row r="101" spans="1:3" ht="63">
      <c r="A101" s="8" t="s">
        <v>2241</v>
      </c>
      <c r="B101" s="8" t="s">
        <v>2242</v>
      </c>
    </row>
    <row r="104" spans="1:3">
      <c r="A104" s="66" t="s">
        <v>1159</v>
      </c>
    </row>
    <row r="105" spans="1:3">
      <c r="A105" s="3" t="s">
        <v>1160</v>
      </c>
    </row>
    <row r="106" spans="1:3">
      <c r="A106" s="7" t="s">
        <v>1161</v>
      </c>
      <c r="B106" s="7" t="s">
        <v>1162</v>
      </c>
      <c r="C106" s="7" t="s">
        <v>1163</v>
      </c>
    </row>
    <row r="107" spans="1:3" ht="84">
      <c r="A107" s="8" t="s">
        <v>1164</v>
      </c>
      <c r="B107" s="8" t="s">
        <v>1165</v>
      </c>
      <c r="C107" s="8" t="s">
        <v>2166</v>
      </c>
    </row>
    <row r="108" spans="1:3" ht="42">
      <c r="A108" s="8" t="s">
        <v>2052</v>
      </c>
      <c r="B108" s="8" t="s">
        <v>1166</v>
      </c>
      <c r="C108" s="8" t="s">
        <v>1167</v>
      </c>
    </row>
    <row r="109" spans="1:3" ht="21">
      <c r="A109" s="8" t="s">
        <v>2167</v>
      </c>
      <c r="B109" s="8" t="s">
        <v>1168</v>
      </c>
      <c r="C109" s="8" t="s">
        <v>1169</v>
      </c>
    </row>
  </sheetData>
  <phoneticPr fontId="2"/>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1129B5-6F54-194F-B116-79744427E101}">
  <dimension ref="A1:F272"/>
  <sheetViews>
    <sheetView topLeftCell="A247" workbookViewId="0">
      <selection activeCell="D268" sqref="D268"/>
    </sheetView>
  </sheetViews>
  <sheetFormatPr baseColWidth="10" defaultRowHeight="20"/>
  <cols>
    <col min="1" max="1" width="27.140625" customWidth="1"/>
    <col min="2" max="2" width="35.7109375" customWidth="1"/>
    <col min="3" max="4" width="47.140625" customWidth="1"/>
    <col min="5" max="5" width="26.140625" bestFit="1" customWidth="1"/>
    <col min="6" max="6" width="21.42578125" customWidth="1"/>
  </cols>
  <sheetData>
    <row r="1" spans="1:5" ht="27">
      <c r="A1" s="1" t="s">
        <v>120</v>
      </c>
    </row>
    <row r="2" spans="1:5">
      <c r="A2" s="3" t="s">
        <v>1170</v>
      </c>
    </row>
    <row r="3" spans="1:5">
      <c r="A3" s="66" t="s">
        <v>2053</v>
      </c>
    </row>
    <row r="4" spans="1:5" ht="21">
      <c r="A4" s="83" t="s">
        <v>494</v>
      </c>
      <c r="B4" s="56" t="s">
        <v>120</v>
      </c>
      <c r="C4" s="56" t="s">
        <v>555</v>
      </c>
      <c r="D4" s="56" t="s">
        <v>2054</v>
      </c>
      <c r="E4" s="56" t="s">
        <v>2055</v>
      </c>
    </row>
    <row r="5" spans="1:5" ht="105">
      <c r="A5" s="61">
        <v>1</v>
      </c>
      <c r="B5" s="8" t="s">
        <v>2056</v>
      </c>
      <c r="C5" s="8" t="s">
        <v>2356</v>
      </c>
      <c r="D5" s="8" t="s">
        <v>2057</v>
      </c>
      <c r="E5" s="99" t="s">
        <v>2058</v>
      </c>
    </row>
    <row r="6" spans="1:5" ht="63">
      <c r="A6" s="61">
        <v>2</v>
      </c>
      <c r="B6" s="8" t="s">
        <v>2059</v>
      </c>
      <c r="C6" s="8" t="s">
        <v>2060</v>
      </c>
      <c r="D6" s="8" t="s">
        <v>2061</v>
      </c>
      <c r="E6" s="99" t="s">
        <v>2062</v>
      </c>
    </row>
    <row r="7" spans="1:5" ht="42">
      <c r="A7" s="61">
        <v>3</v>
      </c>
      <c r="B7" s="8" t="s">
        <v>2063</v>
      </c>
      <c r="C7" s="8" t="s">
        <v>2064</v>
      </c>
      <c r="D7" s="8" t="s">
        <v>2065</v>
      </c>
      <c r="E7" s="99" t="s">
        <v>2066</v>
      </c>
    </row>
    <row r="8" spans="1:5" ht="84">
      <c r="A8" s="61">
        <v>4</v>
      </c>
      <c r="B8" s="8" t="s">
        <v>2357</v>
      </c>
      <c r="C8" s="8" t="s">
        <v>2358</v>
      </c>
      <c r="D8" s="8" t="s">
        <v>2067</v>
      </c>
      <c r="E8" s="99" t="s">
        <v>2068</v>
      </c>
    </row>
    <row r="9" spans="1:5" ht="42">
      <c r="A9" s="61">
        <v>5</v>
      </c>
      <c r="B9" s="8" t="s">
        <v>2069</v>
      </c>
      <c r="C9" s="8" t="s">
        <v>2070</v>
      </c>
      <c r="D9" s="8" t="s">
        <v>2071</v>
      </c>
      <c r="E9" s="99" t="s">
        <v>2072</v>
      </c>
    </row>
    <row r="10" spans="1:5" ht="21">
      <c r="A10" s="61">
        <v>6</v>
      </c>
      <c r="B10" s="8" t="s">
        <v>2073</v>
      </c>
      <c r="C10" s="8" t="s">
        <v>2074</v>
      </c>
      <c r="D10" s="8" t="s">
        <v>2075</v>
      </c>
      <c r="E10" s="99" t="s">
        <v>2076</v>
      </c>
    </row>
    <row r="11" spans="1:5" ht="42">
      <c r="A11" s="61">
        <v>7</v>
      </c>
      <c r="B11" s="8" t="s">
        <v>2077</v>
      </c>
      <c r="C11" s="8" t="s">
        <v>2078</v>
      </c>
      <c r="D11" s="8" t="s">
        <v>2079</v>
      </c>
      <c r="E11" s="99" t="s">
        <v>2080</v>
      </c>
    </row>
    <row r="12" spans="1:5" ht="21">
      <c r="A12" s="61">
        <v>8</v>
      </c>
      <c r="B12" s="8" t="s">
        <v>2081</v>
      </c>
      <c r="C12" s="8" t="s">
        <v>2082</v>
      </c>
      <c r="D12" s="8" t="s">
        <v>2083</v>
      </c>
      <c r="E12" s="99" t="s">
        <v>2084</v>
      </c>
    </row>
    <row r="13" spans="1:5" ht="42">
      <c r="A13" s="61">
        <v>9</v>
      </c>
      <c r="B13" s="8" t="s">
        <v>2085</v>
      </c>
      <c r="C13" s="8" t="s">
        <v>2086</v>
      </c>
      <c r="D13" s="8" t="s">
        <v>2087</v>
      </c>
      <c r="E13" s="99" t="s">
        <v>2088</v>
      </c>
    </row>
    <row r="14" spans="1:5" ht="42">
      <c r="A14" s="61">
        <v>10</v>
      </c>
      <c r="B14" s="8" t="s">
        <v>2089</v>
      </c>
      <c r="C14" s="8" t="s">
        <v>2090</v>
      </c>
      <c r="D14" s="8" t="s">
        <v>2091</v>
      </c>
      <c r="E14" s="99" t="s">
        <v>2092</v>
      </c>
    </row>
    <row r="15" spans="1:5" ht="42">
      <c r="A15" s="61">
        <v>11</v>
      </c>
      <c r="B15" s="8" t="s">
        <v>2093</v>
      </c>
      <c r="C15" s="8" t="s">
        <v>2094</v>
      </c>
      <c r="D15" s="8" t="s">
        <v>2203</v>
      </c>
      <c r="E15" s="99" t="s">
        <v>2041</v>
      </c>
    </row>
    <row r="16" spans="1:5" ht="42">
      <c r="A16" s="61">
        <v>12</v>
      </c>
      <c r="B16" s="8" t="s">
        <v>2095</v>
      </c>
      <c r="C16" s="8" t="s">
        <v>2096</v>
      </c>
      <c r="D16" s="8" t="s">
        <v>2097</v>
      </c>
      <c r="E16" s="99" t="s">
        <v>2042</v>
      </c>
    </row>
    <row r="17" spans="1:6">
      <c r="A17" s="3"/>
    </row>
    <row r="18" spans="1:6">
      <c r="A18" s="3"/>
    </row>
    <row r="20" spans="1:6">
      <c r="A20" s="2" t="s">
        <v>670</v>
      </c>
    </row>
    <row r="21" spans="1:6">
      <c r="A21" s="3" t="s">
        <v>2320</v>
      </c>
    </row>
    <row r="23" spans="1:6" ht="21">
      <c r="A23" s="83" t="s">
        <v>46</v>
      </c>
      <c r="B23" s="83" t="s">
        <v>121</v>
      </c>
      <c r="C23" s="83" t="s">
        <v>122</v>
      </c>
      <c r="D23" s="83" t="s">
        <v>123</v>
      </c>
      <c r="E23" s="83" t="s">
        <v>124</v>
      </c>
      <c r="F23" s="83"/>
    </row>
    <row r="24" spans="1:6" ht="42">
      <c r="A24" s="8" t="s">
        <v>125</v>
      </c>
      <c r="B24" s="8" t="s">
        <v>126</v>
      </c>
      <c r="C24" s="8" t="s">
        <v>2297</v>
      </c>
      <c r="D24" s="8" t="s">
        <v>127</v>
      </c>
      <c r="E24" s="8" t="s">
        <v>128</v>
      </c>
      <c r="F24" s="8" t="s">
        <v>129</v>
      </c>
    </row>
    <row r="25" spans="1:6" ht="42">
      <c r="A25" s="8" t="s">
        <v>130</v>
      </c>
      <c r="B25" s="8" t="s">
        <v>126</v>
      </c>
      <c r="C25" s="8" t="s">
        <v>2297</v>
      </c>
      <c r="D25" s="8" t="s">
        <v>131</v>
      </c>
      <c r="E25" s="8" t="s">
        <v>128</v>
      </c>
      <c r="F25" s="8" t="s">
        <v>129</v>
      </c>
    </row>
    <row r="26" spans="1:6" ht="42">
      <c r="A26" s="8" t="s">
        <v>132</v>
      </c>
      <c r="B26" s="8" t="s">
        <v>126</v>
      </c>
      <c r="C26" s="8" t="s">
        <v>2298</v>
      </c>
      <c r="D26" s="8" t="s">
        <v>133</v>
      </c>
      <c r="E26" s="8" t="s">
        <v>134</v>
      </c>
      <c r="F26" s="8" t="s">
        <v>129</v>
      </c>
    </row>
    <row r="27" spans="1:6" ht="42">
      <c r="A27" s="8" t="s">
        <v>135</v>
      </c>
      <c r="B27" s="8" t="s">
        <v>126</v>
      </c>
      <c r="C27" s="8" t="s">
        <v>2299</v>
      </c>
      <c r="D27" s="8" t="s">
        <v>136</v>
      </c>
      <c r="E27" s="8" t="s">
        <v>134</v>
      </c>
      <c r="F27" s="8" t="s">
        <v>129</v>
      </c>
    </row>
    <row r="28" spans="1:6" ht="42">
      <c r="A28" s="8" t="s">
        <v>137</v>
      </c>
      <c r="B28" s="8" t="s">
        <v>126</v>
      </c>
      <c r="C28" s="8" t="s">
        <v>138</v>
      </c>
      <c r="D28" s="8" t="s">
        <v>139</v>
      </c>
      <c r="E28" s="8" t="s">
        <v>140</v>
      </c>
      <c r="F28" s="8" t="s">
        <v>129</v>
      </c>
    </row>
    <row r="29" spans="1:6" ht="42">
      <c r="A29" s="8" t="s">
        <v>141</v>
      </c>
      <c r="B29" s="8" t="s">
        <v>126</v>
      </c>
      <c r="C29" s="8" t="s">
        <v>2300</v>
      </c>
      <c r="D29" s="8" t="s">
        <v>142</v>
      </c>
      <c r="E29" s="8" t="s">
        <v>134</v>
      </c>
      <c r="F29" s="8" t="s">
        <v>129</v>
      </c>
    </row>
    <row r="30" spans="1:6" ht="42">
      <c r="A30" s="8" t="s">
        <v>143</v>
      </c>
      <c r="B30" s="8" t="s">
        <v>144</v>
      </c>
      <c r="C30" s="8" t="s">
        <v>2301</v>
      </c>
      <c r="D30" s="8" t="s">
        <v>2302</v>
      </c>
      <c r="E30" s="8" t="s">
        <v>145</v>
      </c>
      <c r="F30" s="8" t="s">
        <v>129</v>
      </c>
    </row>
    <row r="31" spans="1:6" ht="42">
      <c r="A31" s="8" t="s">
        <v>146</v>
      </c>
      <c r="B31" s="8" t="s">
        <v>147</v>
      </c>
      <c r="C31" s="8" t="s">
        <v>2303</v>
      </c>
      <c r="D31" s="8" t="b">
        <v>1</v>
      </c>
      <c r="E31" s="8" t="s">
        <v>145</v>
      </c>
      <c r="F31" s="8" t="s">
        <v>129</v>
      </c>
    </row>
    <row r="32" spans="1:6" ht="42">
      <c r="A32" s="8" t="s">
        <v>148</v>
      </c>
      <c r="B32" s="8" t="s">
        <v>126</v>
      </c>
      <c r="C32" s="8" t="s">
        <v>149</v>
      </c>
      <c r="D32" s="8" t="s">
        <v>150</v>
      </c>
      <c r="E32" s="8" t="s">
        <v>151</v>
      </c>
      <c r="F32" s="8" t="s">
        <v>129</v>
      </c>
    </row>
    <row r="33" spans="1:6" ht="42">
      <c r="A33" s="8" t="s">
        <v>2304</v>
      </c>
      <c r="B33" s="8" t="s">
        <v>126</v>
      </c>
      <c r="C33" s="8" t="s">
        <v>2305</v>
      </c>
      <c r="D33" s="41" t="s">
        <v>2306</v>
      </c>
      <c r="E33" s="8" t="s">
        <v>2307</v>
      </c>
      <c r="F33" s="8" t="s">
        <v>129</v>
      </c>
    </row>
    <row r="34" spans="1:6" ht="42">
      <c r="A34" s="8" t="s">
        <v>2308</v>
      </c>
      <c r="B34" s="8" t="s">
        <v>126</v>
      </c>
      <c r="C34" s="8" t="s">
        <v>2309</v>
      </c>
      <c r="D34" s="8" t="s">
        <v>2310</v>
      </c>
      <c r="E34" s="8" t="s">
        <v>2307</v>
      </c>
      <c r="F34" s="8" t="s">
        <v>129</v>
      </c>
    </row>
    <row r="35" spans="1:6" ht="42">
      <c r="A35" s="8" t="s">
        <v>2311</v>
      </c>
      <c r="B35" s="8" t="s">
        <v>144</v>
      </c>
      <c r="C35" s="8" t="s">
        <v>2312</v>
      </c>
      <c r="D35" s="8" t="s">
        <v>2313</v>
      </c>
      <c r="E35" s="8" t="s">
        <v>152</v>
      </c>
      <c r="F35" s="8" t="s">
        <v>129</v>
      </c>
    </row>
    <row r="36" spans="1:6" ht="42">
      <c r="A36" s="8" t="s">
        <v>2314</v>
      </c>
      <c r="B36" s="8" t="s">
        <v>144</v>
      </c>
      <c r="C36" s="8" t="s">
        <v>2315</v>
      </c>
      <c r="D36" s="8" t="s">
        <v>2316</v>
      </c>
      <c r="E36" s="8" t="s">
        <v>2317</v>
      </c>
      <c r="F36" s="8" t="s">
        <v>129</v>
      </c>
    </row>
    <row r="37" spans="1:6" ht="42">
      <c r="A37" s="8" t="s">
        <v>153</v>
      </c>
      <c r="B37" s="8" t="s">
        <v>126</v>
      </c>
      <c r="C37" s="8" t="s">
        <v>2318</v>
      </c>
      <c r="D37" s="8" t="s">
        <v>2319</v>
      </c>
      <c r="E37" s="8" t="s">
        <v>152</v>
      </c>
      <c r="F37" s="8" t="s">
        <v>129</v>
      </c>
    </row>
    <row r="38" spans="1:6">
      <c r="A38" s="8"/>
      <c r="B38" s="8"/>
      <c r="C38" s="8"/>
      <c r="D38" s="8"/>
      <c r="E38" s="8"/>
      <c r="F38" s="8"/>
    </row>
    <row r="39" spans="1:6">
      <c r="A39" s="8"/>
      <c r="B39" s="8"/>
      <c r="C39" s="8"/>
      <c r="D39" s="8"/>
      <c r="E39" s="8"/>
      <c r="F39" s="8"/>
    </row>
    <row r="40" spans="1:6">
      <c r="A40" s="8"/>
      <c r="B40" s="8"/>
      <c r="C40" s="8"/>
      <c r="D40" s="8"/>
      <c r="E40" s="8"/>
      <c r="F40" s="8"/>
    </row>
    <row r="42" spans="1:6" ht="399">
      <c r="A42" s="4" t="s">
        <v>2321</v>
      </c>
    </row>
    <row r="45" spans="1:6">
      <c r="A45" s="2" t="s">
        <v>2327</v>
      </c>
    </row>
    <row r="46" spans="1:6">
      <c r="A46" s="33" t="s">
        <v>10</v>
      </c>
    </row>
    <row r="47" spans="1:6">
      <c r="A47" s="33" t="s">
        <v>671</v>
      </c>
    </row>
    <row r="48" spans="1:6">
      <c r="A48" s="33" t="s">
        <v>673</v>
      </c>
    </row>
    <row r="49" spans="1:1">
      <c r="A49" s="33" t="s">
        <v>675</v>
      </c>
    </row>
    <row r="50" spans="1:1">
      <c r="A50" s="33" t="s">
        <v>676</v>
      </c>
    </row>
    <row r="51" spans="1:1">
      <c r="A51" s="33" t="s">
        <v>678</v>
      </c>
    </row>
    <row r="52" spans="1:1">
      <c r="A52" s="33" t="s">
        <v>679</v>
      </c>
    </row>
    <row r="53" spans="1:1">
      <c r="A53" s="33" t="s">
        <v>680</v>
      </c>
    </row>
    <row r="54" spans="1:1">
      <c r="A54" s="33" t="s">
        <v>681</v>
      </c>
    </row>
    <row r="55" spans="1:1">
      <c r="A55" s="33" t="s">
        <v>682</v>
      </c>
    </row>
    <row r="56" spans="1:1">
      <c r="A56" s="33" t="s">
        <v>2322</v>
      </c>
    </row>
    <row r="57" spans="1:1">
      <c r="A57" s="33" t="s">
        <v>2323</v>
      </c>
    </row>
    <row r="58" spans="1:1">
      <c r="A58" s="33" t="s">
        <v>2324</v>
      </c>
    </row>
    <row r="59" spans="1:1">
      <c r="A59" s="33" t="s">
        <v>2325</v>
      </c>
    </row>
    <row r="60" spans="1:1">
      <c r="A60" s="33" t="s">
        <v>2326</v>
      </c>
    </row>
    <row r="61" spans="1:1">
      <c r="A61" s="33" t="s">
        <v>11</v>
      </c>
    </row>
    <row r="62" spans="1:1">
      <c r="A62" s="33"/>
    </row>
    <row r="63" spans="1:1">
      <c r="A63" s="33"/>
    </row>
    <row r="64" spans="1:1">
      <c r="A64" s="33"/>
    </row>
    <row r="67" spans="1:3" ht="21" thickBot="1">
      <c r="A67" s="34" t="s">
        <v>683</v>
      </c>
    </row>
    <row r="68" spans="1:3" ht="22" customHeight="1">
      <c r="A68" s="50" t="s">
        <v>684</v>
      </c>
      <c r="B68" s="43"/>
      <c r="C68" s="47"/>
    </row>
    <row r="69" spans="1:3" ht="22" customHeight="1">
      <c r="A69" s="45" t="s">
        <v>685</v>
      </c>
      <c r="B69" s="42"/>
      <c r="C69" s="48"/>
    </row>
    <row r="70" spans="1:3" ht="22" customHeight="1">
      <c r="A70" s="45"/>
      <c r="B70" s="42"/>
      <c r="C70" s="48"/>
    </row>
    <row r="71" spans="1:3" ht="22" customHeight="1" thickBot="1">
      <c r="A71" s="46" t="s">
        <v>476</v>
      </c>
      <c r="B71" s="44"/>
      <c r="C71" s="49"/>
    </row>
    <row r="73" spans="1:3">
      <c r="A73" s="7" t="s">
        <v>46</v>
      </c>
      <c r="B73" s="7" t="s">
        <v>156</v>
      </c>
      <c r="C73" s="7"/>
    </row>
    <row r="74" spans="1:3" ht="63">
      <c r="A74" s="8" t="s">
        <v>157</v>
      </c>
      <c r="B74" s="8" t="s">
        <v>158</v>
      </c>
      <c r="C74" s="8"/>
    </row>
    <row r="75" spans="1:3" ht="21">
      <c r="A75" s="8" t="s">
        <v>159</v>
      </c>
      <c r="B75" s="8" t="s">
        <v>160</v>
      </c>
      <c r="C75" s="8"/>
    </row>
    <row r="76" spans="1:3" ht="21">
      <c r="A76" s="8" t="s">
        <v>161</v>
      </c>
      <c r="B76" s="8" t="s">
        <v>162</v>
      </c>
      <c r="C76" s="8"/>
    </row>
    <row r="77" spans="1:3" ht="21">
      <c r="A77" s="8" t="s">
        <v>163</v>
      </c>
      <c r="B77" s="8" t="s">
        <v>164</v>
      </c>
      <c r="C77" s="8"/>
    </row>
    <row r="78" spans="1:3" ht="63">
      <c r="A78" s="8" t="s">
        <v>165</v>
      </c>
      <c r="B78" s="8" t="s">
        <v>2359</v>
      </c>
      <c r="C78" s="8"/>
    </row>
    <row r="81" spans="1:6" ht="63">
      <c r="A81" s="10" t="s">
        <v>686</v>
      </c>
    </row>
    <row r="82" spans="1:6">
      <c r="A82" s="7" t="s">
        <v>156</v>
      </c>
      <c r="B82" s="7" t="s">
        <v>166</v>
      </c>
      <c r="C82" s="7" t="s">
        <v>167</v>
      </c>
      <c r="D82" s="7" t="s">
        <v>168</v>
      </c>
      <c r="E82" s="7" t="s">
        <v>97</v>
      </c>
      <c r="F82" s="7"/>
    </row>
    <row r="83" spans="1:6" ht="21">
      <c r="A83" s="8" t="s">
        <v>136</v>
      </c>
      <c r="B83" s="8" t="s">
        <v>169</v>
      </c>
      <c r="C83" s="8" t="s">
        <v>170</v>
      </c>
      <c r="D83" s="8" t="s">
        <v>171</v>
      </c>
      <c r="E83" s="8" t="s">
        <v>172</v>
      </c>
      <c r="F83" s="8"/>
    </row>
    <row r="84" spans="1:6" ht="21">
      <c r="A84" s="8" t="s">
        <v>173</v>
      </c>
      <c r="B84" s="8" t="s">
        <v>174</v>
      </c>
      <c r="C84" s="8">
        <v>403</v>
      </c>
      <c r="D84" s="8" t="s">
        <v>175</v>
      </c>
      <c r="E84" s="8" t="s">
        <v>176</v>
      </c>
      <c r="F84" s="8"/>
    </row>
    <row r="85" spans="1:6" ht="21">
      <c r="A85" s="8" t="s">
        <v>177</v>
      </c>
      <c r="B85" s="8" t="s">
        <v>178</v>
      </c>
      <c r="C85" s="8" t="s">
        <v>170</v>
      </c>
      <c r="D85" s="8" t="s">
        <v>171</v>
      </c>
      <c r="E85" s="8" t="s">
        <v>172</v>
      </c>
      <c r="F85" s="8"/>
    </row>
    <row r="86" spans="1:6" ht="21">
      <c r="A86" s="8" t="s">
        <v>179</v>
      </c>
      <c r="B86" s="8" t="s">
        <v>180</v>
      </c>
      <c r="C86" s="8" t="s">
        <v>181</v>
      </c>
      <c r="D86" s="8" t="s">
        <v>182</v>
      </c>
      <c r="E86" s="8" t="s">
        <v>183</v>
      </c>
      <c r="F86" s="8"/>
    </row>
    <row r="87" spans="1:6" ht="21">
      <c r="A87" s="8" t="s">
        <v>184</v>
      </c>
      <c r="B87" s="8" t="s">
        <v>185</v>
      </c>
      <c r="C87" s="8" t="s">
        <v>186</v>
      </c>
      <c r="D87" s="8" t="s">
        <v>187</v>
      </c>
      <c r="E87" s="8" t="s">
        <v>183</v>
      </c>
      <c r="F87" s="8"/>
    </row>
    <row r="88" spans="1:6" ht="21">
      <c r="A88" s="8" t="s">
        <v>188</v>
      </c>
      <c r="B88" s="8" t="s">
        <v>189</v>
      </c>
      <c r="C88" s="8">
        <v>403</v>
      </c>
      <c r="D88" s="8" t="s">
        <v>175</v>
      </c>
      <c r="E88" s="8" t="s">
        <v>176</v>
      </c>
      <c r="F88" s="8"/>
    </row>
    <row r="90" spans="1:6" ht="147">
      <c r="A90" s="4" t="s">
        <v>687</v>
      </c>
    </row>
    <row r="93" spans="1:6" ht="21" thickBot="1">
      <c r="A93" s="2" t="s">
        <v>2328</v>
      </c>
    </row>
    <row r="94" spans="1:6" ht="22" customHeight="1">
      <c r="A94" s="50" t="s">
        <v>688</v>
      </c>
      <c r="B94" s="43"/>
      <c r="C94" s="47"/>
    </row>
    <row r="95" spans="1:6" ht="22" customHeight="1">
      <c r="A95" s="45" t="s">
        <v>2329</v>
      </c>
      <c r="B95" s="42"/>
      <c r="C95" s="48"/>
    </row>
    <row r="96" spans="1:6" ht="22" customHeight="1">
      <c r="A96" s="45"/>
      <c r="B96" s="42"/>
      <c r="C96" s="48"/>
    </row>
    <row r="97" spans="1:3" ht="22" customHeight="1" thickBot="1">
      <c r="A97" s="46" t="s">
        <v>476</v>
      </c>
      <c r="B97" s="44"/>
      <c r="C97" s="49"/>
    </row>
    <row r="99" spans="1:3" ht="84">
      <c r="A99" s="4" t="s">
        <v>2330</v>
      </c>
    </row>
    <row r="101" spans="1:3">
      <c r="A101" s="33" t="s">
        <v>2331</v>
      </c>
    </row>
    <row r="102" spans="1:3">
      <c r="A102" s="33" t="s">
        <v>2332</v>
      </c>
    </row>
    <row r="103" spans="1:3">
      <c r="A103" s="33" t="s">
        <v>2333</v>
      </c>
    </row>
    <row r="104" spans="1:3">
      <c r="A104" s="33" t="s">
        <v>2334</v>
      </c>
    </row>
    <row r="105" spans="1:3">
      <c r="A105" s="33" t="s">
        <v>2335</v>
      </c>
    </row>
    <row r="106" spans="1:3">
      <c r="A106" s="33"/>
    </row>
    <row r="107" spans="1:3">
      <c r="A107" s="33" t="s">
        <v>2336</v>
      </c>
    </row>
    <row r="108" spans="1:3">
      <c r="A108" s="33" t="s">
        <v>2337</v>
      </c>
    </row>
    <row r="109" spans="1:3">
      <c r="A109" s="33" t="s">
        <v>12</v>
      </c>
    </row>
    <row r="110" spans="1:3">
      <c r="A110" s="33" t="s">
        <v>13</v>
      </c>
    </row>
    <row r="111" spans="1:3">
      <c r="A111" s="33" t="s">
        <v>2338</v>
      </c>
    </row>
    <row r="112" spans="1:3">
      <c r="A112" s="33" t="s">
        <v>34</v>
      </c>
    </row>
    <row r="113" spans="1:4">
      <c r="A113" s="33" t="s">
        <v>14</v>
      </c>
    </row>
    <row r="114" spans="1:4">
      <c r="A114" s="33" t="s">
        <v>15</v>
      </c>
    </row>
    <row r="115" spans="1:4">
      <c r="A115" s="33" t="s">
        <v>16</v>
      </c>
    </row>
    <row r="116" spans="1:4">
      <c r="A116" s="33" t="s">
        <v>35</v>
      </c>
    </row>
    <row r="117" spans="1:4">
      <c r="A117" s="33"/>
    </row>
    <row r="119" spans="1:4">
      <c r="A119" s="7" t="s">
        <v>46</v>
      </c>
      <c r="B119" s="7" t="s">
        <v>190</v>
      </c>
      <c r="C119" s="7" t="s">
        <v>191</v>
      </c>
      <c r="D119" s="5"/>
    </row>
    <row r="120" spans="1:4" ht="42">
      <c r="A120" s="8" t="s">
        <v>2340</v>
      </c>
      <c r="B120" s="8" t="s">
        <v>192</v>
      </c>
      <c r="C120" s="8" t="s">
        <v>2341</v>
      </c>
      <c r="D120" s="6"/>
    </row>
    <row r="121" spans="1:4" ht="21">
      <c r="A121" s="8" t="s">
        <v>125</v>
      </c>
      <c r="B121" s="8" t="s">
        <v>2342</v>
      </c>
      <c r="C121" s="8" t="s">
        <v>2343</v>
      </c>
      <c r="D121" s="6"/>
    </row>
    <row r="122" spans="1:4" ht="21">
      <c r="A122" s="8" t="s">
        <v>135</v>
      </c>
      <c r="B122" s="8" t="s">
        <v>193</v>
      </c>
      <c r="C122" s="8" t="s">
        <v>2344</v>
      </c>
      <c r="D122" s="6"/>
    </row>
    <row r="123" spans="1:4" ht="21">
      <c r="A123" s="8" t="s">
        <v>132</v>
      </c>
      <c r="B123" s="8" t="s">
        <v>689</v>
      </c>
      <c r="C123" s="8" t="s">
        <v>194</v>
      </c>
      <c r="D123" s="6"/>
    </row>
    <row r="124" spans="1:4" ht="42">
      <c r="A124" s="8" t="s">
        <v>2346</v>
      </c>
      <c r="B124" s="8" t="s">
        <v>2347</v>
      </c>
      <c r="C124" s="8" t="s">
        <v>2348</v>
      </c>
      <c r="D124" s="6"/>
    </row>
    <row r="125" spans="1:4" ht="42">
      <c r="A125" s="8" t="s">
        <v>2350</v>
      </c>
      <c r="B125" s="8" t="s">
        <v>2351</v>
      </c>
      <c r="C125" s="8" t="s">
        <v>49</v>
      </c>
      <c r="D125" s="6"/>
    </row>
    <row r="126" spans="1:4" ht="63">
      <c r="A126" s="8" t="s">
        <v>195</v>
      </c>
      <c r="B126" s="8" t="s">
        <v>2352</v>
      </c>
      <c r="C126" s="8" t="s">
        <v>49</v>
      </c>
      <c r="D126" s="4"/>
    </row>
    <row r="127" spans="1:4" ht="42">
      <c r="A127" s="8" t="s">
        <v>196</v>
      </c>
      <c r="B127" s="8" t="s">
        <v>2353</v>
      </c>
      <c r="C127" s="8" t="s">
        <v>49</v>
      </c>
    </row>
    <row r="128" spans="1:4">
      <c r="A128" s="3"/>
    </row>
    <row r="129" spans="1:4" ht="231">
      <c r="A129" s="4" t="s">
        <v>2354</v>
      </c>
    </row>
    <row r="130" spans="1:4" ht="231">
      <c r="A130" s="4" t="s">
        <v>2355</v>
      </c>
    </row>
    <row r="131" spans="1:4">
      <c r="A131" s="2" t="s">
        <v>690</v>
      </c>
    </row>
    <row r="132" spans="1:4">
      <c r="A132" s="95" t="s">
        <v>2009</v>
      </c>
    </row>
    <row r="134" spans="1:4">
      <c r="A134" s="3" t="s">
        <v>691</v>
      </c>
    </row>
    <row r="135" spans="1:4">
      <c r="A135" s="3" t="s">
        <v>692</v>
      </c>
    </row>
    <row r="136" spans="1:4">
      <c r="A136" s="3" t="s">
        <v>693</v>
      </c>
    </row>
    <row r="137" spans="1:4">
      <c r="A137" s="3" t="s">
        <v>694</v>
      </c>
    </row>
    <row r="139" spans="1:4">
      <c r="A139" s="7" t="s">
        <v>197</v>
      </c>
      <c r="B139" s="7" t="s">
        <v>166</v>
      </c>
      <c r="C139" s="7" t="s">
        <v>198</v>
      </c>
      <c r="D139" s="7"/>
    </row>
    <row r="140" spans="1:4" ht="42">
      <c r="A140" s="8" t="s">
        <v>199</v>
      </c>
      <c r="B140" s="8" t="s">
        <v>1172</v>
      </c>
      <c r="C140" s="8" t="s">
        <v>200</v>
      </c>
      <c r="D140" s="8"/>
    </row>
    <row r="141" spans="1:4" ht="42">
      <c r="A141" s="8" t="s">
        <v>201</v>
      </c>
      <c r="B141" s="8" t="s">
        <v>202</v>
      </c>
      <c r="C141" s="41" t="s">
        <v>1173</v>
      </c>
      <c r="D141" s="8"/>
    </row>
    <row r="142" spans="1:4" ht="42">
      <c r="A142" s="8" t="s">
        <v>203</v>
      </c>
      <c r="B142" s="8" t="s">
        <v>204</v>
      </c>
      <c r="C142" s="8" t="s">
        <v>205</v>
      </c>
      <c r="D142" s="8"/>
    </row>
    <row r="143" spans="1:4" ht="42">
      <c r="A143" s="8" t="s">
        <v>206</v>
      </c>
      <c r="B143" s="8" t="s">
        <v>207</v>
      </c>
      <c r="C143" s="8" t="s">
        <v>49</v>
      </c>
      <c r="D143" s="8"/>
    </row>
    <row r="144" spans="1:4" ht="42">
      <c r="A144" s="8" t="s">
        <v>208</v>
      </c>
      <c r="B144" s="8" t="s">
        <v>1174</v>
      </c>
      <c r="C144" s="8" t="s">
        <v>49</v>
      </c>
      <c r="D144" s="8"/>
    </row>
    <row r="145" spans="1:4" ht="42">
      <c r="A145" s="8" t="s">
        <v>209</v>
      </c>
      <c r="B145" s="8" t="s">
        <v>210</v>
      </c>
      <c r="C145" s="8" t="s">
        <v>49</v>
      </c>
      <c r="D145" s="8"/>
    </row>
    <row r="146" spans="1:4" ht="42">
      <c r="A146" s="8" t="s">
        <v>211</v>
      </c>
      <c r="B146" s="8" t="s">
        <v>212</v>
      </c>
      <c r="C146" s="8" t="s">
        <v>49</v>
      </c>
      <c r="D146" s="8"/>
    </row>
    <row r="148" spans="1:4" ht="42">
      <c r="A148" s="4" t="s">
        <v>695</v>
      </c>
    </row>
    <row r="150" spans="1:4" ht="21">
      <c r="A150" s="10" t="s">
        <v>696</v>
      </c>
    </row>
    <row r="151" spans="1:4">
      <c r="A151" s="33" t="s">
        <v>213</v>
      </c>
    </row>
    <row r="152" spans="1:4">
      <c r="A152" s="33" t="s">
        <v>697</v>
      </c>
    </row>
    <row r="153" spans="1:4">
      <c r="A153" s="33" t="s">
        <v>698</v>
      </c>
    </row>
    <row r="154" spans="1:4">
      <c r="A154" s="33" t="s">
        <v>699</v>
      </c>
    </row>
    <row r="155" spans="1:4">
      <c r="A155" s="33" t="s">
        <v>700</v>
      </c>
    </row>
    <row r="156" spans="1:4">
      <c r="A156" s="33" t="s">
        <v>701</v>
      </c>
    </row>
    <row r="157" spans="1:4">
      <c r="A157" s="33" t="s">
        <v>702</v>
      </c>
    </row>
    <row r="158" spans="1:4">
      <c r="A158" s="33" t="s">
        <v>703</v>
      </c>
    </row>
    <row r="159" spans="1:4">
      <c r="A159" s="33" t="s">
        <v>704</v>
      </c>
    </row>
    <row r="160" spans="1:4">
      <c r="A160" s="33" t="s">
        <v>705</v>
      </c>
    </row>
    <row r="161" spans="1:3">
      <c r="A161" s="33" t="s">
        <v>698</v>
      </c>
    </row>
    <row r="162" spans="1:3">
      <c r="A162" s="33" t="s">
        <v>706</v>
      </c>
    </row>
    <row r="163" spans="1:3">
      <c r="A163" s="33" t="s">
        <v>707</v>
      </c>
    </row>
    <row r="164" spans="1:3">
      <c r="A164" s="33" t="s">
        <v>698</v>
      </c>
    </row>
    <row r="165" spans="1:3">
      <c r="A165" s="33" t="s">
        <v>708</v>
      </c>
    </row>
    <row r="166" spans="1:3">
      <c r="A166" s="33" t="s">
        <v>211</v>
      </c>
    </row>
    <row r="170" spans="1:3">
      <c r="A170" s="2" t="s">
        <v>1175</v>
      </c>
    </row>
    <row r="171" spans="1:3">
      <c r="A171" s="7" t="s">
        <v>46</v>
      </c>
      <c r="B171" s="7" t="s">
        <v>156</v>
      </c>
      <c r="C171" s="7"/>
    </row>
    <row r="172" spans="1:3" ht="21">
      <c r="A172" s="8" t="s">
        <v>214</v>
      </c>
      <c r="B172" s="8" t="s">
        <v>215</v>
      </c>
      <c r="C172" s="8"/>
    </row>
    <row r="173" spans="1:3" ht="21">
      <c r="A173" s="8" t="s">
        <v>216</v>
      </c>
      <c r="B173" s="8" t="s">
        <v>217</v>
      </c>
      <c r="C173" s="8"/>
    </row>
    <row r="174" spans="1:3" ht="42">
      <c r="A174" s="8" t="s">
        <v>218</v>
      </c>
      <c r="B174" s="8" t="s">
        <v>219</v>
      </c>
      <c r="C174" s="8"/>
    </row>
    <row r="177" spans="1:6">
      <c r="A177" s="7" t="s">
        <v>220</v>
      </c>
      <c r="B177" s="7" t="s">
        <v>221</v>
      </c>
      <c r="C177" s="7" t="s">
        <v>166</v>
      </c>
      <c r="D177" s="7"/>
    </row>
    <row r="178" spans="1:6" ht="21">
      <c r="A178" s="8" t="s">
        <v>222</v>
      </c>
      <c r="B178" s="8" t="s">
        <v>223</v>
      </c>
      <c r="C178" s="8" t="s">
        <v>224</v>
      </c>
      <c r="D178" s="8"/>
    </row>
    <row r="179" spans="1:6" ht="21">
      <c r="A179" s="8" t="s">
        <v>225</v>
      </c>
      <c r="B179" s="8" t="s">
        <v>223</v>
      </c>
      <c r="C179" s="8" t="s">
        <v>226</v>
      </c>
      <c r="D179" s="8"/>
    </row>
    <row r="180" spans="1:6" ht="21">
      <c r="A180" s="8" t="s">
        <v>227</v>
      </c>
      <c r="B180" s="8" t="s">
        <v>223</v>
      </c>
      <c r="C180" s="8" t="s">
        <v>228</v>
      </c>
      <c r="D180" s="8"/>
    </row>
    <row r="181" spans="1:6" ht="21">
      <c r="A181" s="8" t="s">
        <v>229</v>
      </c>
      <c r="B181" s="8" t="s">
        <v>223</v>
      </c>
      <c r="C181" s="8" t="s">
        <v>230</v>
      </c>
      <c r="D181" s="8"/>
    </row>
    <row r="182" spans="1:6" ht="21">
      <c r="A182" s="8" t="s">
        <v>231</v>
      </c>
      <c r="B182" s="8" t="s">
        <v>223</v>
      </c>
      <c r="C182" s="8" t="s">
        <v>2144</v>
      </c>
      <c r="D182" s="8"/>
    </row>
    <row r="185" spans="1:6" ht="21" thickBot="1">
      <c r="A185" s="66" t="s">
        <v>2010</v>
      </c>
    </row>
    <row r="186" spans="1:6" ht="22" customHeight="1">
      <c r="A186" s="50" t="s">
        <v>709</v>
      </c>
      <c r="B186" s="43"/>
      <c r="C186" s="47"/>
    </row>
    <row r="187" spans="1:6" ht="22" customHeight="1">
      <c r="A187" s="45" t="s">
        <v>2011</v>
      </c>
      <c r="B187" s="42"/>
      <c r="C187" s="48"/>
    </row>
    <row r="188" spans="1:6" ht="22" customHeight="1">
      <c r="A188" s="45"/>
      <c r="B188" s="42"/>
      <c r="C188" s="48"/>
    </row>
    <row r="189" spans="1:6" ht="22" customHeight="1" thickBot="1">
      <c r="A189" s="46" t="s">
        <v>476</v>
      </c>
      <c r="B189" s="44"/>
      <c r="C189" s="49"/>
    </row>
    <row r="191" spans="1:6">
      <c r="A191" s="7" t="s">
        <v>232</v>
      </c>
      <c r="B191" s="7" t="s">
        <v>233</v>
      </c>
      <c r="C191" s="7" t="s">
        <v>234</v>
      </c>
      <c r="D191" s="7" t="s">
        <v>235</v>
      </c>
      <c r="E191" s="7" t="s">
        <v>236</v>
      </c>
      <c r="F191" s="7" t="s">
        <v>237</v>
      </c>
    </row>
    <row r="192" spans="1:6" ht="21">
      <c r="A192" s="8" t="s">
        <v>170</v>
      </c>
      <c r="B192" s="8" t="s">
        <v>238</v>
      </c>
      <c r="C192" s="8" t="s">
        <v>239</v>
      </c>
      <c r="D192" s="8" t="s">
        <v>49</v>
      </c>
      <c r="E192" s="8" t="s">
        <v>49</v>
      </c>
      <c r="F192" s="8" t="s">
        <v>240</v>
      </c>
    </row>
    <row r="193" spans="1:6" ht="21">
      <c r="A193" s="36">
        <v>200</v>
      </c>
      <c r="B193" s="36">
        <v>200</v>
      </c>
      <c r="C193" s="36" t="s">
        <v>241</v>
      </c>
      <c r="D193" s="36" t="s">
        <v>242</v>
      </c>
      <c r="E193" s="36" t="s">
        <v>243</v>
      </c>
      <c r="F193" s="36" t="s">
        <v>244</v>
      </c>
    </row>
    <row r="194" spans="1:6" ht="21">
      <c r="A194" s="36">
        <v>200</v>
      </c>
      <c r="B194" s="36" t="s">
        <v>170</v>
      </c>
      <c r="C194" s="36" t="s">
        <v>245</v>
      </c>
      <c r="D194" s="36" t="s">
        <v>242</v>
      </c>
      <c r="E194" s="36" t="s">
        <v>243</v>
      </c>
      <c r="F194" s="36" t="s">
        <v>244</v>
      </c>
    </row>
    <row r="195" spans="1:6" ht="21">
      <c r="A195" s="8" t="s">
        <v>170</v>
      </c>
      <c r="B195" s="8" t="s">
        <v>170</v>
      </c>
      <c r="C195" s="8" t="s">
        <v>246</v>
      </c>
      <c r="D195" s="8" t="s">
        <v>247</v>
      </c>
      <c r="E195" s="8" t="s">
        <v>248</v>
      </c>
      <c r="F195" s="8" t="s">
        <v>249</v>
      </c>
    </row>
    <row r="196" spans="1:6" ht="21">
      <c r="A196" s="8" t="s">
        <v>170</v>
      </c>
      <c r="B196" s="8">
        <v>404</v>
      </c>
      <c r="C196" s="8" t="s">
        <v>250</v>
      </c>
      <c r="D196" s="8" t="s">
        <v>247</v>
      </c>
      <c r="E196" s="8" t="s">
        <v>248</v>
      </c>
      <c r="F196" s="8" t="s">
        <v>249</v>
      </c>
    </row>
    <row r="197" spans="1:6" ht="21">
      <c r="A197" s="8" t="s">
        <v>170</v>
      </c>
      <c r="B197" s="8">
        <v>500</v>
      </c>
      <c r="C197" s="8" t="s">
        <v>251</v>
      </c>
      <c r="D197" s="8" t="s">
        <v>252</v>
      </c>
      <c r="E197" s="8" t="s">
        <v>253</v>
      </c>
      <c r="F197" s="8" t="s">
        <v>254</v>
      </c>
    </row>
    <row r="198" spans="1:6" ht="21">
      <c r="A198" s="8">
        <v>404</v>
      </c>
      <c r="B198" s="8" t="s">
        <v>255</v>
      </c>
      <c r="C198" s="8" t="s">
        <v>256</v>
      </c>
      <c r="D198" s="8" t="s">
        <v>247</v>
      </c>
      <c r="E198" s="8" t="s">
        <v>248</v>
      </c>
      <c r="F198" s="8" t="s">
        <v>249</v>
      </c>
    </row>
    <row r="199" spans="1:6" ht="21">
      <c r="A199" s="8" t="s">
        <v>257</v>
      </c>
      <c r="B199" s="8">
        <v>200</v>
      </c>
      <c r="C199" s="8" t="s">
        <v>258</v>
      </c>
      <c r="D199" s="8" t="s">
        <v>49</v>
      </c>
      <c r="E199" s="8" t="s">
        <v>49</v>
      </c>
      <c r="F199" s="8" t="s">
        <v>240</v>
      </c>
    </row>
    <row r="201" spans="1:6">
      <c r="A201" s="3" t="s">
        <v>1176</v>
      </c>
    </row>
    <row r="202" spans="1:6">
      <c r="A202" s="3" t="s">
        <v>710</v>
      </c>
    </row>
    <row r="203" spans="1:6">
      <c r="A203" s="3" t="s">
        <v>711</v>
      </c>
    </row>
    <row r="204" spans="1:6">
      <c r="A204" s="3" t="s">
        <v>2012</v>
      </c>
    </row>
    <row r="206" spans="1:6" ht="42">
      <c r="A206" s="10" t="s">
        <v>1177</v>
      </c>
    </row>
    <row r="207" spans="1:6">
      <c r="A207" s="33" t="s">
        <v>154</v>
      </c>
    </row>
    <row r="208" spans="1:6">
      <c r="A208" s="33" t="s">
        <v>672</v>
      </c>
    </row>
    <row r="209" spans="1:1">
      <c r="A209" s="33" t="s">
        <v>674</v>
      </c>
    </row>
    <row r="210" spans="1:1">
      <c r="A210" s="33" t="s">
        <v>677</v>
      </c>
    </row>
    <row r="211" spans="1:1">
      <c r="A211" s="33" t="s">
        <v>712</v>
      </c>
    </row>
    <row r="212" spans="1:1">
      <c r="A212" s="33" t="s">
        <v>713</v>
      </c>
    </row>
    <row r="213" spans="1:1">
      <c r="A213" s="33" t="s">
        <v>714</v>
      </c>
    </row>
    <row r="214" spans="1:1">
      <c r="A214" s="33" t="s">
        <v>715</v>
      </c>
    </row>
    <row r="215" spans="1:1">
      <c r="A215" s="33" t="s">
        <v>716</v>
      </c>
    </row>
    <row r="216" spans="1:1">
      <c r="A216" s="33" t="s">
        <v>717</v>
      </c>
    </row>
    <row r="217" spans="1:1">
      <c r="A217" s="33" t="s">
        <v>718</v>
      </c>
    </row>
    <row r="218" spans="1:1">
      <c r="A218" s="33" t="s">
        <v>155</v>
      </c>
    </row>
    <row r="221" spans="1:1">
      <c r="A221" s="37" t="s">
        <v>719</v>
      </c>
    </row>
    <row r="224" spans="1:1">
      <c r="A224" s="2" t="s">
        <v>720</v>
      </c>
    </row>
    <row r="225" spans="1:6">
      <c r="A225" s="7" t="s">
        <v>259</v>
      </c>
      <c r="B225" s="7" t="s">
        <v>260</v>
      </c>
      <c r="C225" s="7" t="s">
        <v>261</v>
      </c>
      <c r="D225" s="7" t="s">
        <v>262</v>
      </c>
      <c r="E225" s="7" t="s">
        <v>263</v>
      </c>
      <c r="F225" s="7"/>
    </row>
    <row r="226" spans="1:6" ht="21">
      <c r="A226" s="8" t="s">
        <v>264</v>
      </c>
      <c r="B226" s="8" t="s">
        <v>265</v>
      </c>
      <c r="C226" s="8" t="s">
        <v>266</v>
      </c>
      <c r="D226" s="8" t="s">
        <v>267</v>
      </c>
      <c r="E226" s="8" t="s">
        <v>268</v>
      </c>
      <c r="F226" s="8"/>
    </row>
    <row r="227" spans="1:6" ht="21">
      <c r="A227" s="8" t="s">
        <v>269</v>
      </c>
      <c r="B227" s="8" t="s">
        <v>265</v>
      </c>
      <c r="C227" s="8" t="s">
        <v>266</v>
      </c>
      <c r="D227" s="8" t="s">
        <v>270</v>
      </c>
      <c r="E227" s="8" t="s">
        <v>268</v>
      </c>
      <c r="F227" s="8"/>
    </row>
    <row r="229" spans="1:6">
      <c r="A229" s="3" t="s">
        <v>2168</v>
      </c>
    </row>
    <row r="232" spans="1:6">
      <c r="A232" s="2" t="s">
        <v>1178</v>
      </c>
    </row>
    <row r="233" spans="1:6">
      <c r="A233" s="3" t="s">
        <v>2013</v>
      </c>
    </row>
    <row r="235" spans="1:6">
      <c r="A235" s="7" t="s">
        <v>2014</v>
      </c>
      <c r="B235" s="7" t="s">
        <v>1179</v>
      </c>
      <c r="C235" s="7" t="s">
        <v>1180</v>
      </c>
      <c r="D235" s="7" t="s">
        <v>529</v>
      </c>
    </row>
    <row r="236" spans="1:6" ht="21">
      <c r="A236" s="8" t="s">
        <v>2015</v>
      </c>
      <c r="B236" s="8" t="s">
        <v>1181</v>
      </c>
      <c r="C236" s="8" t="s">
        <v>1182</v>
      </c>
      <c r="D236" s="8" t="s">
        <v>1183</v>
      </c>
    </row>
    <row r="237" spans="1:6" ht="42">
      <c r="A237" s="8" t="s">
        <v>2016</v>
      </c>
      <c r="B237" s="8" t="s">
        <v>1184</v>
      </c>
      <c r="C237" s="8" t="s">
        <v>1185</v>
      </c>
      <c r="D237" s="8" t="s">
        <v>1186</v>
      </c>
    </row>
    <row r="240" spans="1:6">
      <c r="A240" s="7" t="s">
        <v>1187</v>
      </c>
      <c r="B240" s="7" t="s">
        <v>801</v>
      </c>
      <c r="C240" s="7" t="s">
        <v>47</v>
      </c>
    </row>
    <row r="241" spans="1:4" ht="168">
      <c r="A241" s="8" t="s">
        <v>1188</v>
      </c>
      <c r="B241" s="8" t="s">
        <v>2017</v>
      </c>
      <c r="C241" s="8" t="s">
        <v>2018</v>
      </c>
    </row>
    <row r="242" spans="1:4" ht="126">
      <c r="A242" s="8" t="s">
        <v>1189</v>
      </c>
      <c r="B242" s="8" t="s">
        <v>1190</v>
      </c>
      <c r="C242" s="8" t="s">
        <v>2019</v>
      </c>
    </row>
    <row r="244" spans="1:4">
      <c r="A244" s="3" t="s">
        <v>2020</v>
      </c>
    </row>
    <row r="247" spans="1:4">
      <c r="A247" s="2" t="s">
        <v>2098</v>
      </c>
    </row>
    <row r="248" spans="1:4" ht="126">
      <c r="A248" s="4" t="s">
        <v>2199</v>
      </c>
    </row>
    <row r="249" spans="1:4">
      <c r="A249" s="7" t="s">
        <v>46</v>
      </c>
      <c r="B249" s="7" t="s">
        <v>121</v>
      </c>
      <c r="C249" s="7" t="s">
        <v>122</v>
      </c>
      <c r="D249" s="7" t="s">
        <v>123</v>
      </c>
    </row>
    <row r="250" spans="1:4" ht="42">
      <c r="A250" s="8" t="s">
        <v>2099</v>
      </c>
      <c r="B250" s="8" t="s">
        <v>126</v>
      </c>
      <c r="C250" s="8" t="s">
        <v>2100</v>
      </c>
      <c r="D250" s="8" t="s">
        <v>2101</v>
      </c>
    </row>
    <row r="251" spans="1:4" ht="42">
      <c r="A251" s="8" t="s">
        <v>125</v>
      </c>
      <c r="B251" s="8" t="s">
        <v>126</v>
      </c>
      <c r="C251" s="8" t="s">
        <v>2102</v>
      </c>
      <c r="D251" s="8" t="s">
        <v>127</v>
      </c>
    </row>
    <row r="252" spans="1:4" ht="21">
      <c r="A252" s="8" t="s">
        <v>130</v>
      </c>
      <c r="B252" s="8" t="s">
        <v>126</v>
      </c>
      <c r="C252" s="8" t="s">
        <v>2103</v>
      </c>
      <c r="D252" s="8" t="s">
        <v>1171</v>
      </c>
    </row>
    <row r="254" spans="1:4" ht="21">
      <c r="A254" s="9" t="s">
        <v>651</v>
      </c>
    </row>
    <row r="255" spans="1:4">
      <c r="A255" s="33" t="s">
        <v>2135</v>
      </c>
    </row>
    <row r="256" spans="1:4">
      <c r="A256" s="33" t="s">
        <v>2104</v>
      </c>
    </row>
    <row r="257" spans="1:2">
      <c r="A257" s="33" t="s">
        <v>2105</v>
      </c>
    </row>
    <row r="259" spans="1:2">
      <c r="A259" s="37" t="s">
        <v>2106</v>
      </c>
    </row>
    <row r="261" spans="1:2">
      <c r="A261" s="2" t="s">
        <v>2107</v>
      </c>
    </row>
    <row r="262" spans="1:2">
      <c r="A262" s="3" t="s">
        <v>2108</v>
      </c>
    </row>
    <row r="263" spans="1:2">
      <c r="A263" s="7" t="s">
        <v>46</v>
      </c>
      <c r="B263" s="7" t="s">
        <v>47</v>
      </c>
    </row>
    <row r="264" spans="1:2" ht="21">
      <c r="A264" s="8" t="s">
        <v>2109</v>
      </c>
      <c r="B264" s="8" t="s">
        <v>2110</v>
      </c>
    </row>
    <row r="265" spans="1:2" ht="63">
      <c r="A265" s="8" t="s">
        <v>156</v>
      </c>
      <c r="B265" s="8" t="s">
        <v>2111</v>
      </c>
    </row>
    <row r="266" spans="1:2" ht="42">
      <c r="A266" s="8" t="s">
        <v>2112</v>
      </c>
      <c r="B266" s="8" t="s">
        <v>2113</v>
      </c>
    </row>
    <row r="267" spans="1:2" ht="84">
      <c r="A267" s="8" t="s">
        <v>648</v>
      </c>
      <c r="B267" s="8" t="s">
        <v>2114</v>
      </c>
    </row>
    <row r="268" spans="1:2" ht="21">
      <c r="A268" s="8" t="s">
        <v>2115</v>
      </c>
      <c r="B268" s="8" t="s">
        <v>2116</v>
      </c>
    </row>
    <row r="269" spans="1:2" ht="42">
      <c r="A269" s="8" t="s">
        <v>2117</v>
      </c>
      <c r="B269" s="8" t="s">
        <v>2118</v>
      </c>
    </row>
    <row r="270" spans="1:2" ht="42">
      <c r="A270" s="8" t="s">
        <v>807</v>
      </c>
      <c r="B270" s="8" t="s">
        <v>2119</v>
      </c>
    </row>
    <row r="272" spans="1:2">
      <c r="A272" s="3" t="s">
        <v>2120</v>
      </c>
    </row>
  </sheetData>
  <phoneticPr fontId="2"/>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6F13BF-CB40-7D4A-AE7A-56E1F2C561B0}">
  <dimension ref="A1:F164"/>
  <sheetViews>
    <sheetView topLeftCell="A99" workbookViewId="0">
      <selection activeCell="C32" sqref="C32"/>
    </sheetView>
  </sheetViews>
  <sheetFormatPr baseColWidth="10" defaultRowHeight="20"/>
  <cols>
    <col min="1" max="1" width="40" customWidth="1"/>
    <col min="2" max="2" width="35.7109375" customWidth="1"/>
    <col min="3" max="3" width="40" customWidth="1"/>
    <col min="4" max="4" width="74.28515625" customWidth="1"/>
    <col min="5" max="5" width="21.42578125" customWidth="1"/>
    <col min="6" max="6" width="17.140625" customWidth="1"/>
  </cols>
  <sheetData>
    <row r="1" spans="1:6" ht="27">
      <c r="A1" s="1" t="s">
        <v>721</v>
      </c>
    </row>
    <row r="2" spans="1:6">
      <c r="C2" t="s">
        <v>967</v>
      </c>
    </row>
    <row r="3" spans="1:6">
      <c r="A3" s="2" t="s">
        <v>722</v>
      </c>
    </row>
    <row r="4" spans="1:6">
      <c r="A4" s="7" t="s">
        <v>477</v>
      </c>
      <c r="B4" s="7" t="s">
        <v>723</v>
      </c>
      <c r="C4" s="7" t="s">
        <v>724</v>
      </c>
      <c r="D4" s="7"/>
    </row>
    <row r="5" spans="1:6">
      <c r="A5" s="67" t="s">
        <v>725</v>
      </c>
      <c r="B5" s="67" t="s">
        <v>726</v>
      </c>
      <c r="C5" s="67" t="s">
        <v>727</v>
      </c>
      <c r="D5" s="67"/>
    </row>
    <row r="6" spans="1:6">
      <c r="A6" s="67" t="s">
        <v>728</v>
      </c>
      <c r="B6" s="67" t="s">
        <v>729</v>
      </c>
      <c r="C6" s="67" t="s">
        <v>730</v>
      </c>
      <c r="D6" s="67"/>
    </row>
    <row r="7" spans="1:6">
      <c r="A7" s="67" t="s">
        <v>731</v>
      </c>
      <c r="B7" s="67" t="s">
        <v>732</v>
      </c>
      <c r="C7" s="67" t="s">
        <v>733</v>
      </c>
      <c r="D7" s="67"/>
    </row>
    <row r="8" spans="1:6">
      <c r="A8" s="67" t="s">
        <v>538</v>
      </c>
      <c r="B8" s="67" t="s">
        <v>2360</v>
      </c>
      <c r="C8" s="67" t="s">
        <v>734</v>
      </c>
      <c r="D8" s="67"/>
    </row>
    <row r="9" spans="1:6">
      <c r="A9" s="67" t="s">
        <v>539</v>
      </c>
      <c r="B9" s="67" t="s">
        <v>735</v>
      </c>
      <c r="C9" s="67" t="s">
        <v>736</v>
      </c>
      <c r="D9" s="67"/>
    </row>
    <row r="11" spans="1:6">
      <c r="A11" s="3" t="s">
        <v>2021</v>
      </c>
    </row>
    <row r="12" spans="1:6">
      <c r="A12" s="3" t="s">
        <v>737</v>
      </c>
    </row>
    <row r="15" spans="1:6">
      <c r="A15" s="2" t="s">
        <v>738</v>
      </c>
    </row>
    <row r="16" spans="1:6">
      <c r="A16" s="7" t="s">
        <v>494</v>
      </c>
      <c r="B16" s="7" t="s">
        <v>554</v>
      </c>
      <c r="C16" s="7" t="s">
        <v>739</v>
      </c>
      <c r="D16" s="7" t="s">
        <v>740</v>
      </c>
      <c r="E16" s="7" t="s">
        <v>741</v>
      </c>
      <c r="F16" s="7"/>
    </row>
    <row r="17" spans="1:6">
      <c r="A17" s="67">
        <v>1</v>
      </c>
      <c r="B17" s="67" t="s">
        <v>2361</v>
      </c>
      <c r="C17" s="67" t="s">
        <v>742</v>
      </c>
      <c r="D17" s="67" t="s">
        <v>2362</v>
      </c>
      <c r="E17" s="67" t="s">
        <v>2363</v>
      </c>
      <c r="F17" s="67"/>
    </row>
    <row r="18" spans="1:6">
      <c r="A18" s="67" t="s">
        <v>49</v>
      </c>
      <c r="B18" s="67" t="s">
        <v>1191</v>
      </c>
      <c r="C18" s="67" t="s">
        <v>743</v>
      </c>
      <c r="D18" s="67" t="s">
        <v>744</v>
      </c>
      <c r="E18" s="67" t="s">
        <v>745</v>
      </c>
      <c r="F18" s="67"/>
    </row>
    <row r="19" spans="1:6">
      <c r="A19" s="67" t="s">
        <v>49</v>
      </c>
      <c r="B19" s="67" t="s">
        <v>1192</v>
      </c>
      <c r="C19" s="67" t="s">
        <v>746</v>
      </c>
      <c r="D19" s="67" t="s">
        <v>747</v>
      </c>
      <c r="E19" s="67" t="s">
        <v>745</v>
      </c>
      <c r="F19" s="67"/>
    </row>
    <row r="21" spans="1:6">
      <c r="A21" s="3" t="s">
        <v>1193</v>
      </c>
    </row>
    <row r="24" spans="1:6" ht="21" thickBot="1">
      <c r="A24" s="2" t="s">
        <v>748</v>
      </c>
    </row>
    <row r="25" spans="1:6" ht="22" customHeight="1">
      <c r="A25" s="96" t="s">
        <v>749</v>
      </c>
      <c r="B25" s="100"/>
      <c r="C25" s="101"/>
    </row>
    <row r="26" spans="1:6" ht="22" customHeight="1">
      <c r="A26" s="97" t="s">
        <v>2364</v>
      </c>
      <c r="B26" s="84"/>
      <c r="C26" s="102"/>
    </row>
    <row r="27" spans="1:6" ht="22" customHeight="1">
      <c r="A27" s="97"/>
      <c r="B27" s="84"/>
      <c r="C27" s="102"/>
    </row>
    <row r="28" spans="1:6" ht="22" customHeight="1" thickBot="1">
      <c r="A28" s="98" t="s">
        <v>476</v>
      </c>
      <c r="B28" s="103"/>
      <c r="C28" s="104"/>
    </row>
    <row r="30" spans="1:6">
      <c r="A30" s="3" t="s">
        <v>750</v>
      </c>
    </row>
    <row r="32" spans="1:6">
      <c r="A32" s="33" t="s">
        <v>2365</v>
      </c>
      <c r="B32" s="107"/>
    </row>
    <row r="33" spans="1:3">
      <c r="A33" s="33" t="s">
        <v>10</v>
      </c>
      <c r="B33" s="107"/>
    </row>
    <row r="34" spans="1:3">
      <c r="A34" s="33" t="s">
        <v>21</v>
      </c>
      <c r="B34" s="107"/>
    </row>
    <row r="35" spans="1:3">
      <c r="A35" s="33" t="s">
        <v>2366</v>
      </c>
      <c r="B35" s="107"/>
    </row>
    <row r="36" spans="1:3">
      <c r="A36" s="33" t="s">
        <v>2367</v>
      </c>
      <c r="B36" s="107"/>
    </row>
    <row r="37" spans="1:3">
      <c r="A37" s="33" t="s">
        <v>2368</v>
      </c>
      <c r="B37" s="107"/>
    </row>
    <row r="38" spans="1:3">
      <c r="A38" s="33" t="s">
        <v>2369</v>
      </c>
      <c r="B38" s="107"/>
    </row>
    <row r="39" spans="1:3">
      <c r="A39" s="33" t="s">
        <v>2370</v>
      </c>
      <c r="B39" s="107"/>
    </row>
    <row r="40" spans="1:3">
      <c r="A40" s="33" t="s">
        <v>2371</v>
      </c>
      <c r="B40" s="107"/>
    </row>
    <row r="41" spans="1:3">
      <c r="A41" s="33" t="s">
        <v>2367</v>
      </c>
      <c r="B41" s="107"/>
    </row>
    <row r="42" spans="1:3">
      <c r="A42" s="33" t="s">
        <v>2368</v>
      </c>
      <c r="B42" s="107"/>
    </row>
    <row r="43" spans="1:3">
      <c r="A43" s="33" t="s">
        <v>2372</v>
      </c>
      <c r="B43" s="107"/>
    </row>
    <row r="44" spans="1:3">
      <c r="A44" s="33" t="s">
        <v>2373</v>
      </c>
      <c r="B44" s="107"/>
    </row>
    <row r="45" spans="1:3">
      <c r="A45" s="33" t="s">
        <v>2374</v>
      </c>
      <c r="B45" s="107"/>
    </row>
    <row r="46" spans="1:3">
      <c r="A46" s="33" t="s">
        <v>2375</v>
      </c>
      <c r="B46" s="107"/>
    </row>
    <row r="47" spans="1:3">
      <c r="A47" s="33" t="s">
        <v>11</v>
      </c>
    </row>
    <row r="48" spans="1:3">
      <c r="A48" s="106" t="s">
        <v>752</v>
      </c>
      <c r="B48" s="107"/>
      <c r="C48" s="107"/>
    </row>
    <row r="49" spans="1:3">
      <c r="A49" s="106" t="s">
        <v>154</v>
      </c>
      <c r="B49" s="107"/>
      <c r="C49" s="107"/>
    </row>
    <row r="50" spans="1:3">
      <c r="A50" s="106" t="s">
        <v>751</v>
      </c>
      <c r="B50" s="107"/>
      <c r="C50" s="107"/>
    </row>
    <row r="51" spans="1:3">
      <c r="A51" s="106" t="s">
        <v>753</v>
      </c>
      <c r="B51" s="107"/>
      <c r="C51" s="107"/>
    </row>
    <row r="52" spans="1:3">
      <c r="A52" s="106" t="s">
        <v>754</v>
      </c>
      <c r="B52" s="107"/>
      <c r="C52" s="107"/>
    </row>
    <row r="53" spans="1:3">
      <c r="A53" s="106" t="s">
        <v>755</v>
      </c>
      <c r="B53" s="107"/>
      <c r="C53" s="107"/>
    </row>
    <row r="54" spans="1:3">
      <c r="A54" s="106" t="s">
        <v>155</v>
      </c>
      <c r="B54" s="107"/>
      <c r="C54" s="107"/>
    </row>
    <row r="56" spans="1:3">
      <c r="A56" s="3" t="s">
        <v>2376</v>
      </c>
    </row>
    <row r="57" spans="1:3">
      <c r="A57" s="3" t="s">
        <v>756</v>
      </c>
    </row>
    <row r="58" spans="1:3">
      <c r="A58" s="3" t="s">
        <v>2377</v>
      </c>
    </row>
    <row r="59" spans="1:3">
      <c r="A59" s="3" t="s">
        <v>2378</v>
      </c>
    </row>
    <row r="60" spans="1:3">
      <c r="A60" s="2" t="s">
        <v>2379</v>
      </c>
    </row>
    <row r="61" spans="1:3">
      <c r="A61" t="s">
        <v>2380</v>
      </c>
    </row>
    <row r="62" spans="1:3">
      <c r="A62" s="33" t="s">
        <v>2381</v>
      </c>
    </row>
    <row r="63" spans="1:3">
      <c r="A63" s="33" t="s">
        <v>10</v>
      </c>
    </row>
    <row r="64" spans="1:3">
      <c r="A64" s="33" t="s">
        <v>21</v>
      </c>
    </row>
    <row r="65" spans="1:5">
      <c r="A65" s="33" t="s">
        <v>22</v>
      </c>
    </row>
    <row r="66" spans="1:5">
      <c r="A66" s="33" t="s">
        <v>23</v>
      </c>
    </row>
    <row r="67" spans="1:5">
      <c r="A67" s="33" t="s">
        <v>2382</v>
      </c>
    </row>
    <row r="68" spans="1:5">
      <c r="A68" s="33" t="s">
        <v>2383</v>
      </c>
    </row>
    <row r="69" spans="1:5">
      <c r="A69" s="33" t="s">
        <v>24</v>
      </c>
    </row>
    <row r="70" spans="1:5">
      <c r="A70" s="33" t="s">
        <v>11</v>
      </c>
    </row>
    <row r="71" spans="1:5" ht="126">
      <c r="A71" s="15" t="s">
        <v>2384</v>
      </c>
    </row>
    <row r="72" spans="1:5" ht="84">
      <c r="A72" s="15" t="s">
        <v>2385</v>
      </c>
    </row>
    <row r="73" spans="1:5">
      <c r="A73" s="66" t="s">
        <v>757</v>
      </c>
    </row>
    <row r="74" spans="1:5">
      <c r="A74" s="7" t="s">
        <v>449</v>
      </c>
      <c r="B74" s="7" t="s">
        <v>758</v>
      </c>
      <c r="C74" s="7" t="s">
        <v>759</v>
      </c>
      <c r="D74" s="7" t="s">
        <v>741</v>
      </c>
      <c r="E74" s="5"/>
    </row>
    <row r="75" spans="1:5">
      <c r="A75" s="67" t="s">
        <v>725</v>
      </c>
      <c r="B75" s="67" t="s">
        <v>760</v>
      </c>
      <c r="C75" s="67" t="s">
        <v>71</v>
      </c>
      <c r="D75" s="67" t="s">
        <v>1194</v>
      </c>
      <c r="E75" s="111"/>
    </row>
    <row r="76" spans="1:5">
      <c r="A76" s="67" t="s">
        <v>725</v>
      </c>
      <c r="B76" s="67" t="s">
        <v>761</v>
      </c>
      <c r="C76" s="67" t="s">
        <v>438</v>
      </c>
      <c r="D76" s="67" t="s">
        <v>762</v>
      </c>
      <c r="E76" s="111"/>
    </row>
    <row r="77" spans="1:5">
      <c r="A77" s="67" t="s">
        <v>725</v>
      </c>
      <c r="B77" s="67" t="s">
        <v>763</v>
      </c>
      <c r="C77" s="67" t="s">
        <v>600</v>
      </c>
      <c r="D77" s="67" t="s">
        <v>764</v>
      </c>
      <c r="E77" s="111"/>
    </row>
    <row r="78" spans="1:5" ht="42">
      <c r="A78" s="8" t="s">
        <v>765</v>
      </c>
      <c r="B78" s="8" t="s">
        <v>90</v>
      </c>
      <c r="C78" s="8" t="s">
        <v>766</v>
      </c>
      <c r="D78" s="8" t="s">
        <v>2386</v>
      </c>
      <c r="E78" s="111"/>
    </row>
    <row r="79" spans="1:5" ht="42">
      <c r="A79" s="8" t="s">
        <v>25</v>
      </c>
      <c r="B79" s="8" t="s">
        <v>2259</v>
      </c>
      <c r="C79" s="8" t="s">
        <v>2387</v>
      </c>
      <c r="D79" s="8" t="s">
        <v>2388</v>
      </c>
      <c r="E79" s="3"/>
    </row>
    <row r="80" spans="1:5" ht="42">
      <c r="A80" s="8" t="s">
        <v>25</v>
      </c>
      <c r="B80" s="8" t="s">
        <v>2254</v>
      </c>
      <c r="C80" s="8" t="s">
        <v>2389</v>
      </c>
      <c r="D80" s="8" t="s">
        <v>1</v>
      </c>
      <c r="E80" s="3"/>
    </row>
    <row r="82" spans="1:4">
      <c r="A82" s="3" t="s">
        <v>2390</v>
      </c>
    </row>
    <row r="84" spans="1:4">
      <c r="A84" s="66" t="s">
        <v>767</v>
      </c>
    </row>
    <row r="85" spans="1:4">
      <c r="A85" s="7" t="s">
        <v>768</v>
      </c>
      <c r="B85" s="7" t="s">
        <v>740</v>
      </c>
      <c r="C85" s="7" t="s">
        <v>47</v>
      </c>
      <c r="D85" s="7"/>
    </row>
    <row r="86" spans="1:4">
      <c r="A86" s="67" t="s">
        <v>90</v>
      </c>
      <c r="B86" s="67" t="s">
        <v>769</v>
      </c>
      <c r="C86" s="67" t="s">
        <v>770</v>
      </c>
      <c r="D86" s="67"/>
    </row>
    <row r="87" spans="1:4">
      <c r="A87" s="67" t="s">
        <v>86</v>
      </c>
      <c r="B87" s="67" t="s">
        <v>771</v>
      </c>
      <c r="C87" s="67" t="s">
        <v>772</v>
      </c>
    </row>
    <row r="90" spans="1:4">
      <c r="A90" s="2" t="s">
        <v>773</v>
      </c>
    </row>
    <row r="91" spans="1:4">
      <c r="A91" s="7" t="s">
        <v>774</v>
      </c>
      <c r="B91" s="7" t="s">
        <v>554</v>
      </c>
      <c r="C91" s="7" t="s">
        <v>741</v>
      </c>
      <c r="D91" s="7"/>
    </row>
    <row r="92" spans="1:4">
      <c r="A92" s="67" t="s">
        <v>71</v>
      </c>
      <c r="B92" s="67" t="s">
        <v>775</v>
      </c>
      <c r="C92" s="67" t="s">
        <v>776</v>
      </c>
      <c r="D92" s="67"/>
    </row>
    <row r="93" spans="1:4">
      <c r="A93" s="67" t="s">
        <v>777</v>
      </c>
      <c r="B93" s="67" t="s">
        <v>778</v>
      </c>
      <c r="C93" s="67" t="s">
        <v>779</v>
      </c>
      <c r="D93" s="67"/>
    </row>
    <row r="95" spans="1:4">
      <c r="A95" s="3" t="s">
        <v>780</v>
      </c>
    </row>
    <row r="98" spans="1:3">
      <c r="A98" s="2" t="s">
        <v>781</v>
      </c>
    </row>
    <row r="99" spans="1:3">
      <c r="A99" s="7" t="s">
        <v>392</v>
      </c>
      <c r="B99" s="7" t="s">
        <v>47</v>
      </c>
      <c r="C99" s="7"/>
    </row>
    <row r="100" spans="1:3">
      <c r="A100" s="67" t="s">
        <v>782</v>
      </c>
      <c r="B100" s="67" t="s">
        <v>783</v>
      </c>
      <c r="C100" s="67"/>
    </row>
    <row r="101" spans="1:3">
      <c r="A101" s="67" t="s">
        <v>784</v>
      </c>
      <c r="B101" s="67" t="s">
        <v>785</v>
      </c>
      <c r="C101" s="67"/>
    </row>
    <row r="102" spans="1:3">
      <c r="A102" s="67" t="s">
        <v>786</v>
      </c>
      <c r="B102" s="67" t="s">
        <v>1195</v>
      </c>
      <c r="C102" s="67"/>
    </row>
    <row r="103" spans="1:3">
      <c r="A103" s="67" t="s">
        <v>787</v>
      </c>
      <c r="B103" s="67" t="s">
        <v>1196</v>
      </c>
      <c r="C103" s="67"/>
    </row>
    <row r="104" spans="1:3">
      <c r="A104" s="67" t="s">
        <v>788</v>
      </c>
      <c r="B104" s="67" t="s">
        <v>2022</v>
      </c>
      <c r="C104" s="67"/>
    </row>
    <row r="105" spans="1:3">
      <c r="A105" s="105" t="s">
        <v>789</v>
      </c>
      <c r="B105" s="105" t="s">
        <v>790</v>
      </c>
      <c r="C105" s="105"/>
    </row>
    <row r="107" spans="1:3">
      <c r="A107" s="3" t="s">
        <v>791</v>
      </c>
    </row>
    <row r="108" spans="1:3">
      <c r="A108" s="3" t="s">
        <v>792</v>
      </c>
    </row>
    <row r="109" spans="1:3">
      <c r="A109" s="3" t="s">
        <v>793</v>
      </c>
    </row>
    <row r="112" spans="1:3" ht="21" thickBot="1">
      <c r="A112" s="66" t="s">
        <v>794</v>
      </c>
    </row>
    <row r="113" spans="1:3" ht="22" customHeight="1">
      <c r="A113" s="96" t="s">
        <v>795</v>
      </c>
      <c r="B113" s="100"/>
      <c r="C113" s="101"/>
    </row>
    <row r="114" spans="1:3" ht="22" customHeight="1">
      <c r="A114" s="97" t="s">
        <v>1197</v>
      </c>
      <c r="B114" s="84"/>
      <c r="C114" s="102"/>
    </row>
    <row r="115" spans="1:3" ht="22" customHeight="1">
      <c r="A115" s="97"/>
      <c r="B115" s="84"/>
      <c r="C115" s="102"/>
    </row>
    <row r="116" spans="1:3" ht="22" customHeight="1" thickBot="1">
      <c r="A116" s="98" t="s">
        <v>476</v>
      </c>
      <c r="B116" s="103"/>
      <c r="C116" s="104"/>
    </row>
    <row r="118" spans="1:3">
      <c r="A118" s="3" t="s">
        <v>1198</v>
      </c>
    </row>
    <row r="120" spans="1:3">
      <c r="A120" s="33" t="s">
        <v>796</v>
      </c>
    </row>
    <row r="121" spans="1:3">
      <c r="A121" s="33" t="s">
        <v>797</v>
      </c>
    </row>
    <row r="122" spans="1:3">
      <c r="A122" s="33" t="s">
        <v>798</v>
      </c>
    </row>
    <row r="123" spans="1:3">
      <c r="A123" s="33"/>
    </row>
    <row r="124" spans="1:3">
      <c r="A124" s="33" t="s">
        <v>1199</v>
      </c>
    </row>
    <row r="125" spans="1:3">
      <c r="A125" s="33" t="s">
        <v>799</v>
      </c>
    </row>
    <row r="126" spans="1:3">
      <c r="A126" s="33" t="s">
        <v>2023</v>
      </c>
    </row>
    <row r="128" spans="1:3">
      <c r="A128" s="37" t="s">
        <v>800</v>
      </c>
    </row>
    <row r="130" spans="1:5">
      <c r="A130" s="7" t="s">
        <v>449</v>
      </c>
      <c r="B130" s="7" t="s">
        <v>801</v>
      </c>
      <c r="C130" s="7" t="s">
        <v>47</v>
      </c>
      <c r="D130" s="7"/>
    </row>
    <row r="131" spans="1:5">
      <c r="A131" s="67" t="s">
        <v>802</v>
      </c>
      <c r="B131" s="67" t="s">
        <v>803</v>
      </c>
      <c r="C131" s="67" t="s">
        <v>804</v>
      </c>
      <c r="D131" s="67"/>
    </row>
    <row r="132" spans="1:5">
      <c r="A132" s="67" t="s">
        <v>802</v>
      </c>
      <c r="B132" s="67" t="s">
        <v>805</v>
      </c>
      <c r="C132" s="67" t="s">
        <v>806</v>
      </c>
      <c r="D132" s="67"/>
    </row>
    <row r="133" spans="1:5">
      <c r="A133" s="67" t="s">
        <v>802</v>
      </c>
      <c r="B133" s="67" t="s">
        <v>807</v>
      </c>
      <c r="C133" s="67" t="s">
        <v>808</v>
      </c>
      <c r="D133" s="67"/>
    </row>
    <row r="134" spans="1:5">
      <c r="A134" s="67" t="s">
        <v>802</v>
      </c>
      <c r="B134" s="67" t="s">
        <v>554</v>
      </c>
      <c r="C134" s="67" t="s">
        <v>809</v>
      </c>
      <c r="D134" s="67"/>
    </row>
    <row r="135" spans="1:5">
      <c r="A135" s="67" t="s">
        <v>810</v>
      </c>
      <c r="B135" s="67" t="s">
        <v>811</v>
      </c>
      <c r="C135" s="67" t="s">
        <v>812</v>
      </c>
      <c r="D135" s="67"/>
    </row>
    <row r="136" spans="1:5">
      <c r="A136" s="67" t="s">
        <v>810</v>
      </c>
      <c r="B136" s="67" t="s">
        <v>813</v>
      </c>
      <c r="C136" s="67" t="s">
        <v>814</v>
      </c>
      <c r="D136" s="67"/>
    </row>
    <row r="137" spans="1:5">
      <c r="A137" s="67" t="s">
        <v>810</v>
      </c>
      <c r="B137" s="67" t="s">
        <v>815</v>
      </c>
      <c r="C137" s="67" t="s">
        <v>816</v>
      </c>
      <c r="D137" s="67"/>
    </row>
    <row r="138" spans="1:5">
      <c r="A138" s="67" t="s">
        <v>810</v>
      </c>
      <c r="B138" s="67" t="s">
        <v>817</v>
      </c>
      <c r="C138" s="67" t="s">
        <v>818</v>
      </c>
      <c r="D138" s="67"/>
    </row>
    <row r="141" spans="1:5">
      <c r="A141" s="7" t="s">
        <v>819</v>
      </c>
      <c r="B141" s="7" t="s">
        <v>820</v>
      </c>
      <c r="C141" s="7" t="s">
        <v>821</v>
      </c>
      <c r="D141" s="7" t="s">
        <v>639</v>
      </c>
      <c r="E141" s="7"/>
    </row>
    <row r="142" spans="1:5">
      <c r="A142" s="67" t="s">
        <v>452</v>
      </c>
      <c r="B142" s="67" t="s">
        <v>822</v>
      </c>
      <c r="C142" s="67" t="s">
        <v>823</v>
      </c>
      <c r="D142" s="67" t="s">
        <v>824</v>
      </c>
      <c r="E142" s="67"/>
    </row>
    <row r="143" spans="1:5">
      <c r="A143" s="67" t="s">
        <v>461</v>
      </c>
      <c r="B143" s="67" t="s">
        <v>825</v>
      </c>
      <c r="C143" s="67" t="s">
        <v>826</v>
      </c>
      <c r="D143" s="67" t="s">
        <v>827</v>
      </c>
      <c r="E143" s="67"/>
    </row>
    <row r="145" spans="1:6">
      <c r="A145" s="3" t="s">
        <v>828</v>
      </c>
    </row>
    <row r="148" spans="1:6">
      <c r="A148" s="2" t="s">
        <v>829</v>
      </c>
    </row>
    <row r="149" spans="1:6">
      <c r="A149" s="7" t="s">
        <v>830</v>
      </c>
      <c r="B149" s="7" t="s">
        <v>831</v>
      </c>
      <c r="C149" s="7" t="s">
        <v>47</v>
      </c>
      <c r="D149" s="7"/>
    </row>
    <row r="150" spans="1:6">
      <c r="A150" s="67">
        <v>1</v>
      </c>
      <c r="B150" s="67" t="s">
        <v>832</v>
      </c>
      <c r="C150" s="67" t="s">
        <v>833</v>
      </c>
      <c r="D150" s="67"/>
    </row>
    <row r="151" spans="1:6">
      <c r="A151" s="67">
        <v>2</v>
      </c>
      <c r="B151" s="67" t="s">
        <v>834</v>
      </c>
      <c r="C151" s="67" t="s">
        <v>835</v>
      </c>
      <c r="D151" s="67"/>
    </row>
    <row r="152" spans="1:6">
      <c r="A152" s="67">
        <v>3</v>
      </c>
      <c r="B152" s="67" t="s">
        <v>836</v>
      </c>
      <c r="C152" s="67" t="s">
        <v>837</v>
      </c>
      <c r="D152" s="67"/>
    </row>
    <row r="154" spans="1:6">
      <c r="A154" s="3" t="s">
        <v>838</v>
      </c>
    </row>
    <row r="155" spans="1:6">
      <c r="A155" s="3" t="s">
        <v>839</v>
      </c>
    </row>
    <row r="156" spans="1:6">
      <c r="A156" s="3" t="s">
        <v>2040</v>
      </c>
    </row>
    <row r="159" spans="1:6">
      <c r="A159" s="66" t="s">
        <v>840</v>
      </c>
    </row>
    <row r="160" spans="1:6">
      <c r="A160" s="7" t="s">
        <v>235</v>
      </c>
      <c r="B160" s="7" t="s">
        <v>236</v>
      </c>
      <c r="C160" s="7" t="s">
        <v>841</v>
      </c>
      <c r="D160" s="7" t="s">
        <v>237</v>
      </c>
      <c r="E160" s="7" t="s">
        <v>842</v>
      </c>
      <c r="F160" s="7" t="s">
        <v>843</v>
      </c>
    </row>
    <row r="161" spans="1:6">
      <c r="A161" s="67" t="s">
        <v>242</v>
      </c>
      <c r="B161" s="67" t="s">
        <v>243</v>
      </c>
      <c r="C161" s="67" t="s">
        <v>844</v>
      </c>
      <c r="D161" s="67" t="s">
        <v>244</v>
      </c>
      <c r="E161" s="67" t="s">
        <v>845</v>
      </c>
      <c r="F161" s="67" t="s">
        <v>846</v>
      </c>
    </row>
    <row r="162" spans="1:6">
      <c r="A162" s="67" t="s">
        <v>247</v>
      </c>
      <c r="B162" s="67" t="s">
        <v>248</v>
      </c>
      <c r="C162" s="67" t="s">
        <v>847</v>
      </c>
      <c r="D162" s="67" t="s">
        <v>848</v>
      </c>
      <c r="E162" s="67" t="s">
        <v>849</v>
      </c>
      <c r="F162" s="67" t="s">
        <v>850</v>
      </c>
    </row>
    <row r="163" spans="1:6">
      <c r="A163" s="67" t="s">
        <v>252</v>
      </c>
      <c r="B163" s="67" t="s">
        <v>253</v>
      </c>
      <c r="C163" s="67" t="s">
        <v>851</v>
      </c>
      <c r="D163" s="67" t="s">
        <v>254</v>
      </c>
      <c r="E163" s="67" t="s">
        <v>852</v>
      </c>
      <c r="F163" s="67" t="s">
        <v>853</v>
      </c>
    </row>
    <row r="164" spans="1:6">
      <c r="A164" s="67" t="s">
        <v>239</v>
      </c>
      <c r="B164" s="67" t="s">
        <v>49</v>
      </c>
      <c r="C164" s="67" t="s">
        <v>49</v>
      </c>
      <c r="D164" s="67" t="s">
        <v>240</v>
      </c>
      <c r="E164" s="67" t="s">
        <v>49</v>
      </c>
      <c r="F164" s="67" t="s">
        <v>854</v>
      </c>
    </row>
  </sheetData>
  <phoneticPr fontId="2"/>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E5C37E-C305-3940-BA40-24062CD80BFB}">
  <dimension ref="A1:F90"/>
  <sheetViews>
    <sheetView topLeftCell="A40" workbookViewId="0">
      <selection activeCell="C13" sqref="C13"/>
    </sheetView>
  </sheetViews>
  <sheetFormatPr baseColWidth="10" defaultRowHeight="26" customHeight="1"/>
  <cols>
    <col min="1" max="1" width="41.42578125" style="52" customWidth="1"/>
    <col min="2" max="2" width="60" style="52" customWidth="1"/>
    <col min="3" max="3" width="67.140625" style="52" customWidth="1"/>
    <col min="4" max="16384" width="10.7109375" style="52"/>
  </cols>
  <sheetData>
    <row r="1" spans="1:6" ht="26" customHeight="1">
      <c r="A1" s="1" t="s">
        <v>27</v>
      </c>
      <c r="B1"/>
      <c r="C1"/>
      <c r="D1"/>
      <c r="E1"/>
      <c r="F1"/>
    </row>
    <row r="2" spans="1:6" ht="26" customHeight="1">
      <c r="A2" s="4" t="s">
        <v>2391</v>
      </c>
      <c r="B2"/>
      <c r="C2"/>
      <c r="D2"/>
      <c r="E2"/>
      <c r="F2"/>
    </row>
    <row r="3" spans="1:6" ht="26" customHeight="1">
      <c r="A3"/>
      <c r="B3"/>
      <c r="C3"/>
      <c r="D3"/>
      <c r="E3"/>
      <c r="F3"/>
    </row>
    <row r="4" spans="1:6" ht="26" customHeight="1">
      <c r="A4" s="2" t="s">
        <v>28</v>
      </c>
      <c r="B4"/>
      <c r="C4"/>
      <c r="D4"/>
      <c r="E4"/>
      <c r="F4"/>
    </row>
    <row r="5" spans="1:6" ht="26" customHeight="1">
      <c r="A5" s="56" t="s">
        <v>29</v>
      </c>
      <c r="B5" s="56" t="s">
        <v>30</v>
      </c>
      <c r="C5" s="56" t="s">
        <v>31</v>
      </c>
      <c r="D5"/>
      <c r="E5"/>
      <c r="F5"/>
    </row>
    <row r="6" spans="1:6" ht="26" customHeight="1">
      <c r="A6" s="8">
        <v>1</v>
      </c>
      <c r="B6" s="8" t="s">
        <v>32</v>
      </c>
      <c r="C6" s="8" t="s">
        <v>944</v>
      </c>
      <c r="D6"/>
      <c r="E6"/>
      <c r="F6"/>
    </row>
    <row r="7" spans="1:6" ht="26" customHeight="1">
      <c r="A7" s="8">
        <v>2</v>
      </c>
      <c r="B7" s="8" t="s">
        <v>2392</v>
      </c>
      <c r="C7" s="8" t="s">
        <v>2393</v>
      </c>
      <c r="D7"/>
      <c r="E7"/>
      <c r="F7"/>
    </row>
    <row r="8" spans="1:6" ht="26" customHeight="1">
      <c r="A8" s="8">
        <v>3</v>
      </c>
      <c r="B8" s="8" t="s">
        <v>33</v>
      </c>
      <c r="C8" s="8" t="s">
        <v>2394</v>
      </c>
      <c r="D8"/>
      <c r="E8"/>
      <c r="F8"/>
    </row>
    <row r="9" spans="1:6" ht="26" customHeight="1">
      <c r="A9"/>
      <c r="B9"/>
      <c r="C9"/>
      <c r="D9"/>
      <c r="E9"/>
      <c r="F9"/>
    </row>
    <row r="10" spans="1:6" ht="26" customHeight="1">
      <c r="A10" s="35" t="s">
        <v>2395</v>
      </c>
      <c r="B10"/>
      <c r="C10"/>
      <c r="D10"/>
      <c r="E10"/>
      <c r="F10"/>
    </row>
    <row r="11" spans="1:6" ht="26" customHeight="1">
      <c r="A11"/>
      <c r="B11"/>
      <c r="C11"/>
      <c r="D11"/>
      <c r="E11"/>
      <c r="F11"/>
    </row>
    <row r="12" spans="1:6" ht="26" customHeight="1">
      <c r="A12" s="22" t="s">
        <v>2396</v>
      </c>
      <c r="B12"/>
      <c r="C12"/>
      <c r="D12"/>
      <c r="E12"/>
      <c r="F12"/>
    </row>
    <row r="13" spans="1:6" ht="26" customHeight="1">
      <c r="A13"/>
      <c r="B13"/>
      <c r="C13"/>
      <c r="D13"/>
      <c r="E13"/>
      <c r="F13"/>
    </row>
    <row r="14" spans="1:6" ht="26" customHeight="1">
      <c r="A14" s="2" t="s">
        <v>2397</v>
      </c>
      <c r="B14"/>
      <c r="C14"/>
      <c r="D14"/>
      <c r="E14"/>
      <c r="F14"/>
    </row>
    <row r="15" spans="1:6" ht="26" customHeight="1">
      <c r="A15" s="56" t="s">
        <v>46</v>
      </c>
      <c r="B15" s="56" t="s">
        <v>855</v>
      </c>
      <c r="C15"/>
      <c r="D15"/>
      <c r="E15"/>
      <c r="F15"/>
    </row>
    <row r="16" spans="1:6" ht="26" customHeight="1">
      <c r="A16" s="8" t="s">
        <v>856</v>
      </c>
      <c r="B16" s="8" t="s">
        <v>2399</v>
      </c>
      <c r="C16"/>
      <c r="D16"/>
      <c r="E16"/>
      <c r="F16"/>
    </row>
    <row r="17" spans="1:6" ht="26" customHeight="1">
      <c r="A17" s="8" t="s">
        <v>857</v>
      </c>
      <c r="B17" s="8" t="s">
        <v>2400</v>
      </c>
      <c r="C17"/>
      <c r="D17"/>
      <c r="E17"/>
      <c r="F17"/>
    </row>
    <row r="18" spans="1:6" ht="26" customHeight="1">
      <c r="A18" s="8" t="s">
        <v>858</v>
      </c>
      <c r="B18" s="8" t="s">
        <v>2401</v>
      </c>
      <c r="C18"/>
      <c r="D18"/>
      <c r="E18"/>
      <c r="F18"/>
    </row>
    <row r="19" spans="1:6" ht="26" customHeight="1">
      <c r="A19" s="8" t="s">
        <v>859</v>
      </c>
      <c r="B19" s="8" t="s">
        <v>2402</v>
      </c>
      <c r="C19"/>
      <c r="D19"/>
      <c r="E19"/>
      <c r="F19"/>
    </row>
    <row r="20" spans="1:6" ht="26" customHeight="1">
      <c r="A20" s="8" t="s">
        <v>860</v>
      </c>
      <c r="B20" s="8" t="s">
        <v>2403</v>
      </c>
      <c r="C20"/>
      <c r="D20"/>
      <c r="E20"/>
      <c r="F20"/>
    </row>
    <row r="21" spans="1:6" ht="26" customHeight="1">
      <c r="A21"/>
      <c r="B21"/>
      <c r="C21"/>
      <c r="D21"/>
      <c r="E21"/>
      <c r="F21"/>
    </row>
    <row r="22" spans="1:6" ht="26" customHeight="1">
      <c r="A22" s="10" t="s">
        <v>2398</v>
      </c>
      <c r="B22"/>
      <c r="C22"/>
      <c r="D22"/>
      <c r="E22"/>
      <c r="F22"/>
    </row>
    <row r="23" spans="1:6" ht="26" customHeight="1">
      <c r="A23" s="33" t="s">
        <v>2404</v>
      </c>
      <c r="B23"/>
      <c r="C23"/>
      <c r="D23"/>
      <c r="E23"/>
      <c r="F23"/>
    </row>
    <row r="24" spans="1:6" ht="26" customHeight="1">
      <c r="A24" s="33" t="s">
        <v>2332</v>
      </c>
      <c r="B24"/>
      <c r="C24"/>
      <c r="D24"/>
      <c r="E24"/>
      <c r="F24"/>
    </row>
    <row r="25" spans="1:6" ht="26" customHeight="1">
      <c r="A25" s="33" t="s">
        <v>2405</v>
      </c>
      <c r="B25"/>
      <c r="C25"/>
      <c r="D25"/>
      <c r="E25"/>
      <c r="F25"/>
    </row>
    <row r="26" spans="1:6" ht="26" customHeight="1">
      <c r="A26" s="33" t="s">
        <v>2406</v>
      </c>
      <c r="B26"/>
      <c r="C26"/>
      <c r="D26"/>
      <c r="E26"/>
      <c r="F26"/>
    </row>
    <row r="27" spans="1:6" ht="26" customHeight="1">
      <c r="A27" s="33" t="s">
        <v>2335</v>
      </c>
      <c r="B27"/>
      <c r="C27"/>
      <c r="D27"/>
      <c r="E27"/>
      <c r="F27"/>
    </row>
    <row r="28" spans="1:6" ht="26" customHeight="1">
      <c r="A28"/>
      <c r="B28"/>
      <c r="C28"/>
      <c r="D28"/>
      <c r="E28"/>
      <c r="F28"/>
    </row>
    <row r="29" spans="1:6" ht="26" customHeight="1">
      <c r="A29" s="38" t="s">
        <v>2407</v>
      </c>
      <c r="B29"/>
      <c r="C29"/>
      <c r="D29"/>
      <c r="E29"/>
      <c r="F29"/>
    </row>
    <row r="30" spans="1:6" ht="26" customHeight="1">
      <c r="A30"/>
      <c r="B30"/>
      <c r="C30"/>
      <c r="D30"/>
      <c r="E30"/>
      <c r="F30"/>
    </row>
    <row r="31" spans="1:6" ht="26" customHeight="1">
      <c r="A31" s="2" t="s">
        <v>2408</v>
      </c>
      <c r="B31"/>
      <c r="C31"/>
      <c r="D31"/>
      <c r="E31"/>
      <c r="F31"/>
    </row>
    <row r="32" spans="1:6" ht="26" customHeight="1">
      <c r="A32" s="33" t="s">
        <v>2336</v>
      </c>
      <c r="B32"/>
      <c r="C32"/>
      <c r="D32"/>
      <c r="E32"/>
      <c r="F32"/>
    </row>
    <row r="33" spans="1:6" ht="26" customHeight="1">
      <c r="A33" s="33" t="s">
        <v>2337</v>
      </c>
      <c r="B33"/>
      <c r="C33"/>
      <c r="D33"/>
      <c r="E33"/>
      <c r="F33"/>
    </row>
    <row r="34" spans="1:6" ht="26" customHeight="1">
      <c r="A34" s="33" t="s">
        <v>12</v>
      </c>
      <c r="B34"/>
      <c r="C34"/>
      <c r="D34"/>
      <c r="E34"/>
      <c r="F34"/>
    </row>
    <row r="35" spans="1:6" ht="26" customHeight="1">
      <c r="A35" s="33" t="s">
        <v>13</v>
      </c>
      <c r="B35"/>
      <c r="C35"/>
      <c r="D35"/>
      <c r="E35"/>
      <c r="F35"/>
    </row>
    <row r="36" spans="1:6" ht="26" customHeight="1">
      <c r="A36" s="33" t="s">
        <v>2338</v>
      </c>
      <c r="B36"/>
      <c r="C36"/>
      <c r="D36"/>
      <c r="E36"/>
      <c r="F36"/>
    </row>
    <row r="37" spans="1:6" ht="26" customHeight="1">
      <c r="A37" s="33" t="s">
        <v>34</v>
      </c>
      <c r="B37"/>
      <c r="C37"/>
      <c r="D37"/>
      <c r="E37"/>
      <c r="F37"/>
    </row>
    <row r="38" spans="1:6" ht="26" customHeight="1">
      <c r="A38" s="33" t="s">
        <v>14</v>
      </c>
      <c r="B38"/>
      <c r="C38"/>
      <c r="D38"/>
      <c r="E38"/>
      <c r="F38"/>
    </row>
    <row r="39" spans="1:6" ht="26" customHeight="1">
      <c r="A39" s="33" t="s">
        <v>15</v>
      </c>
      <c r="B39"/>
      <c r="C39"/>
      <c r="D39"/>
      <c r="E39"/>
      <c r="F39"/>
    </row>
    <row r="40" spans="1:6" ht="26" customHeight="1">
      <c r="A40" s="33" t="s">
        <v>16</v>
      </c>
      <c r="B40"/>
      <c r="C40"/>
      <c r="D40"/>
      <c r="E40"/>
      <c r="F40"/>
    </row>
    <row r="41" spans="1:6" ht="20">
      <c r="A41" s="33" t="s">
        <v>35</v>
      </c>
      <c r="B41"/>
      <c r="C41"/>
      <c r="D41"/>
      <c r="E41"/>
      <c r="F41"/>
    </row>
    <row r="42" spans="1:6" ht="20">
      <c r="A42"/>
      <c r="B42"/>
      <c r="C42"/>
      <c r="D42"/>
      <c r="E42"/>
      <c r="F42"/>
    </row>
    <row r="43" spans="1:6" ht="21">
      <c r="A43" s="56" t="s">
        <v>0</v>
      </c>
      <c r="B43" s="56" t="s">
        <v>2409</v>
      </c>
      <c r="C43" s="56" t="s">
        <v>36</v>
      </c>
      <c r="D43"/>
      <c r="E43"/>
      <c r="F43"/>
    </row>
    <row r="44" spans="1:6" ht="21">
      <c r="A44" s="8" t="s">
        <v>2339</v>
      </c>
      <c r="B44" s="8" t="s">
        <v>2410</v>
      </c>
      <c r="C44" s="8" t="s">
        <v>2411</v>
      </c>
      <c r="D44"/>
      <c r="E44"/>
      <c r="F44"/>
    </row>
    <row r="45" spans="1:6" ht="21">
      <c r="A45" s="8" t="s">
        <v>7</v>
      </c>
      <c r="B45" s="8" t="s">
        <v>2412</v>
      </c>
      <c r="C45" s="8" t="s">
        <v>2413</v>
      </c>
      <c r="D45"/>
      <c r="E45"/>
      <c r="F45"/>
    </row>
    <row r="46" spans="1:6" ht="21">
      <c r="A46" s="8" t="s">
        <v>9</v>
      </c>
      <c r="B46" s="8" t="s">
        <v>2414</v>
      </c>
      <c r="C46" s="8" t="s">
        <v>2415</v>
      </c>
      <c r="D46"/>
      <c r="E46"/>
      <c r="F46"/>
    </row>
    <row r="47" spans="1:6" ht="26" customHeight="1">
      <c r="A47" s="8" t="s">
        <v>8</v>
      </c>
      <c r="B47" s="8" t="s">
        <v>2416</v>
      </c>
      <c r="C47" s="8" t="s">
        <v>2417</v>
      </c>
      <c r="D47"/>
      <c r="E47"/>
      <c r="F47"/>
    </row>
    <row r="48" spans="1:6" ht="26" customHeight="1">
      <c r="A48" s="8" t="s">
        <v>2345</v>
      </c>
      <c r="B48" s="8" t="s">
        <v>2418</v>
      </c>
      <c r="C48" s="8" t="s">
        <v>2419</v>
      </c>
      <c r="D48"/>
      <c r="E48"/>
      <c r="F48"/>
    </row>
    <row r="49" spans="1:6" ht="26" customHeight="1">
      <c r="A49" s="8" t="s">
        <v>2349</v>
      </c>
      <c r="B49" s="8" t="s">
        <v>2420</v>
      </c>
      <c r="C49" s="8" t="s">
        <v>2421</v>
      </c>
      <c r="D49"/>
      <c r="E49"/>
      <c r="F49"/>
    </row>
    <row r="50" spans="1:6" ht="26" customHeight="1">
      <c r="A50"/>
      <c r="B50"/>
      <c r="C50"/>
      <c r="D50"/>
      <c r="E50"/>
      <c r="F50"/>
    </row>
    <row r="51" spans="1:6" ht="26" customHeight="1">
      <c r="A51" s="10" t="s">
        <v>2422</v>
      </c>
      <c r="B51"/>
      <c r="C51"/>
      <c r="D51"/>
      <c r="E51"/>
      <c r="F51"/>
    </row>
    <row r="52" spans="1:6" ht="26" customHeight="1">
      <c r="A52" s="112" t="s">
        <v>945</v>
      </c>
      <c r="B52"/>
      <c r="C52"/>
      <c r="D52"/>
      <c r="E52"/>
      <c r="F52"/>
    </row>
    <row r="53" spans="1:6" ht="26" customHeight="1">
      <c r="A53"/>
      <c r="B53"/>
      <c r="C53"/>
      <c r="D53"/>
      <c r="E53"/>
      <c r="F53"/>
    </row>
    <row r="54" spans="1:6" ht="26" customHeight="1">
      <c r="A54" s="4" t="s">
        <v>946</v>
      </c>
      <c r="B54"/>
      <c r="C54"/>
      <c r="D54"/>
      <c r="E54"/>
      <c r="F54"/>
    </row>
    <row r="55" spans="1:6" ht="26" customHeight="1">
      <c r="A55" s="4" t="s">
        <v>947</v>
      </c>
      <c r="B55"/>
      <c r="C55"/>
      <c r="D55"/>
      <c r="E55"/>
      <c r="F55"/>
    </row>
    <row r="56" spans="1:6" ht="26" customHeight="1">
      <c r="A56" s="4" t="s">
        <v>948</v>
      </c>
      <c r="B56"/>
      <c r="C56"/>
      <c r="D56"/>
      <c r="E56"/>
      <c r="F56"/>
    </row>
    <row r="57" spans="1:6" ht="26" customHeight="1">
      <c r="A57"/>
      <c r="B57"/>
      <c r="C57"/>
      <c r="D57"/>
      <c r="E57"/>
      <c r="F57"/>
    </row>
    <row r="58" spans="1:6" ht="26" customHeight="1">
      <c r="A58" s="33" t="s">
        <v>17</v>
      </c>
      <c r="B58"/>
      <c r="C58"/>
      <c r="D58"/>
      <c r="E58"/>
      <c r="F58"/>
    </row>
    <row r="59" spans="1:6" ht="26" customHeight="1">
      <c r="A59" s="33" t="s">
        <v>19</v>
      </c>
      <c r="B59"/>
      <c r="C59"/>
      <c r="D59"/>
      <c r="E59"/>
      <c r="F59"/>
    </row>
    <row r="60" spans="1:6" ht="26" customHeight="1">
      <c r="A60" s="33" t="s">
        <v>18</v>
      </c>
      <c r="B60"/>
      <c r="C60"/>
      <c r="D60"/>
      <c r="E60"/>
      <c r="F60"/>
    </row>
    <row r="61" spans="1:6" ht="26" customHeight="1">
      <c r="A61" s="33" t="s">
        <v>37</v>
      </c>
      <c r="B61"/>
      <c r="C61"/>
      <c r="D61"/>
      <c r="E61"/>
      <c r="F61"/>
    </row>
    <row r="62" spans="1:6" ht="26" customHeight="1">
      <c r="A62"/>
      <c r="B62"/>
      <c r="C62"/>
      <c r="D62"/>
      <c r="E62"/>
      <c r="F62"/>
    </row>
    <row r="63" spans="1:6" ht="26" customHeight="1">
      <c r="A63" s="34" t="s">
        <v>2423</v>
      </c>
      <c r="B63"/>
      <c r="C63"/>
      <c r="D63"/>
      <c r="E63"/>
      <c r="F63"/>
    </row>
    <row r="64" spans="1:6" ht="26" customHeight="1">
      <c r="A64" s="56" t="s">
        <v>4</v>
      </c>
      <c r="B64" s="56" t="s">
        <v>38</v>
      </c>
      <c r="C64" s="56" t="s">
        <v>39</v>
      </c>
      <c r="D64"/>
      <c r="E64"/>
      <c r="F64"/>
    </row>
    <row r="65" spans="1:6" ht="26" customHeight="1">
      <c r="A65" s="8">
        <v>1</v>
      </c>
      <c r="B65" s="8" t="s">
        <v>2424</v>
      </c>
      <c r="C65" s="8" t="s">
        <v>1</v>
      </c>
      <c r="D65"/>
      <c r="E65"/>
      <c r="F65"/>
    </row>
    <row r="66" spans="1:6" ht="26" customHeight="1">
      <c r="A66" s="8">
        <v>2</v>
      </c>
      <c r="B66" s="8" t="s">
        <v>2425</v>
      </c>
      <c r="C66" s="8" t="s">
        <v>2426</v>
      </c>
      <c r="D66"/>
      <c r="E66"/>
      <c r="F66"/>
    </row>
    <row r="67" spans="1:6" ht="26" customHeight="1">
      <c r="A67" s="8">
        <v>3</v>
      </c>
      <c r="B67" s="8" t="s">
        <v>2427</v>
      </c>
      <c r="C67" s="8" t="s">
        <v>40</v>
      </c>
      <c r="D67"/>
      <c r="E67"/>
      <c r="F67"/>
    </row>
    <row r="68" spans="1:6" ht="26" customHeight="1">
      <c r="A68" s="8">
        <v>4</v>
      </c>
      <c r="B68" s="8" t="s">
        <v>2428</v>
      </c>
      <c r="C68" s="8" t="s">
        <v>41</v>
      </c>
      <c r="D68"/>
      <c r="E68"/>
      <c r="F68"/>
    </row>
    <row r="69" spans="1:6" ht="26" customHeight="1">
      <c r="A69"/>
      <c r="B69"/>
      <c r="C69"/>
      <c r="D69"/>
      <c r="E69"/>
      <c r="F69"/>
    </row>
    <row r="70" spans="1:6" ht="26" customHeight="1">
      <c r="A70" s="4" t="s">
        <v>2429</v>
      </c>
      <c r="B70"/>
      <c r="C70"/>
      <c r="D70"/>
      <c r="E70"/>
      <c r="F70"/>
    </row>
    <row r="71" spans="1:6" ht="26" customHeight="1">
      <c r="A71"/>
      <c r="B71"/>
      <c r="C71"/>
      <c r="D71"/>
      <c r="E71"/>
      <c r="F71"/>
    </row>
    <row r="72" spans="1:6" ht="26" customHeight="1">
      <c r="A72" s="2" t="s">
        <v>2430</v>
      </c>
      <c r="B72"/>
      <c r="C72"/>
      <c r="D72"/>
      <c r="E72"/>
      <c r="F72"/>
    </row>
    <row r="73" spans="1:6" ht="26" customHeight="1">
      <c r="A73" s="56" t="s">
        <v>2204</v>
      </c>
      <c r="B73" s="56" t="s">
        <v>2</v>
      </c>
      <c r="C73" s="56" t="s">
        <v>2205</v>
      </c>
      <c r="D73"/>
      <c r="E73"/>
      <c r="F73"/>
    </row>
    <row r="74" spans="1:6" ht="26" customHeight="1">
      <c r="A74" s="8" t="s">
        <v>20</v>
      </c>
      <c r="B74" s="8" t="s">
        <v>2206</v>
      </c>
      <c r="C74" s="8" t="s">
        <v>2431</v>
      </c>
      <c r="D74"/>
      <c r="E74"/>
      <c r="F74"/>
    </row>
    <row r="75" spans="1:6" ht="26" customHeight="1">
      <c r="A75" s="8" t="s">
        <v>2207</v>
      </c>
      <c r="B75" s="8" t="s">
        <v>2208</v>
      </c>
      <c r="C75" s="8" t="s">
        <v>2209</v>
      </c>
      <c r="D75"/>
      <c r="E75"/>
      <c r="F75"/>
    </row>
    <row r="76" spans="1:6" ht="26" customHeight="1">
      <c r="A76" s="8" t="s">
        <v>2210</v>
      </c>
      <c r="B76" s="8" t="s">
        <v>2211</v>
      </c>
      <c r="C76" s="8" t="s">
        <v>2212</v>
      </c>
      <c r="D76"/>
      <c r="E76"/>
      <c r="F76"/>
    </row>
    <row r="77" spans="1:6" ht="26" customHeight="1">
      <c r="A77"/>
      <c r="B77"/>
      <c r="C77"/>
      <c r="D77"/>
      <c r="E77"/>
      <c r="F77"/>
    </row>
    <row r="78" spans="1:6" ht="26" customHeight="1">
      <c r="A78" s="10" t="s">
        <v>2432</v>
      </c>
      <c r="B78"/>
      <c r="C78"/>
      <c r="D78"/>
      <c r="E78"/>
      <c r="F78"/>
    </row>
    <row r="79" spans="1:6" ht="26" customHeight="1">
      <c r="A79" s="4" t="s">
        <v>2433</v>
      </c>
      <c r="B79"/>
      <c r="C79"/>
      <c r="D79"/>
      <c r="E79"/>
      <c r="F79"/>
    </row>
    <row r="80" spans="1:6" ht="26" customHeight="1">
      <c r="A80" s="4" t="s">
        <v>2434</v>
      </c>
      <c r="B80"/>
      <c r="C80"/>
      <c r="D80"/>
      <c r="E80"/>
      <c r="F80"/>
    </row>
    <row r="81" spans="1:6" ht="26" customHeight="1">
      <c r="A81"/>
      <c r="B81"/>
      <c r="C81"/>
      <c r="D81"/>
      <c r="E81"/>
      <c r="F81"/>
    </row>
    <row r="82" spans="1:6" ht="26" customHeight="1">
      <c r="A82"/>
      <c r="B82"/>
      <c r="C82"/>
      <c r="D82"/>
      <c r="E82"/>
      <c r="F82"/>
    </row>
    <row r="83" spans="1:6" ht="26" customHeight="1">
      <c r="A83"/>
      <c r="B83"/>
      <c r="C83"/>
      <c r="D83"/>
      <c r="E83"/>
      <c r="F83"/>
    </row>
    <row r="84" spans="1:6" ht="26" customHeight="1">
      <c r="A84"/>
      <c r="B84"/>
      <c r="C84"/>
      <c r="D84"/>
      <c r="E84"/>
      <c r="F84"/>
    </row>
    <row r="85" spans="1:6" ht="26" customHeight="1">
      <c r="A85"/>
      <c r="B85"/>
      <c r="C85"/>
      <c r="D85"/>
      <c r="E85"/>
      <c r="F85"/>
    </row>
    <row r="86" spans="1:6" ht="26" customHeight="1">
      <c r="A86"/>
      <c r="B86"/>
      <c r="C86"/>
      <c r="D86"/>
      <c r="E86"/>
      <c r="F86"/>
    </row>
    <row r="87" spans="1:6" ht="26" customHeight="1">
      <c r="A87"/>
      <c r="B87"/>
      <c r="C87"/>
      <c r="D87"/>
      <c r="E87"/>
      <c r="F87"/>
    </row>
    <row r="88" spans="1:6" ht="26" customHeight="1">
      <c r="A88"/>
      <c r="B88"/>
      <c r="C88"/>
      <c r="D88"/>
      <c r="E88"/>
      <c r="F88"/>
    </row>
    <row r="89" spans="1:6" ht="26" customHeight="1">
      <c r="A89"/>
      <c r="B89"/>
      <c r="C89"/>
      <c r="D89"/>
      <c r="E89"/>
      <c r="F89"/>
    </row>
    <row r="90" spans="1:6" ht="26" customHeight="1">
      <c r="A90"/>
      <c r="B90"/>
      <c r="C90"/>
      <c r="D90"/>
      <c r="E90"/>
      <c r="F90"/>
    </row>
  </sheetData>
  <phoneticPr fontId="2"/>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E3BA3-C03B-BA4B-B611-FC633187F1C2}">
  <dimension ref="A1:D55"/>
  <sheetViews>
    <sheetView workbookViewId="0">
      <pane ySplit="4" topLeftCell="A5" activePane="bottomLeft" state="frozen"/>
      <selection pane="bottomLeft" activeCell="C30" sqref="C30"/>
    </sheetView>
  </sheetViews>
  <sheetFormatPr baseColWidth="10" defaultRowHeight="18"/>
  <cols>
    <col min="1" max="1" width="12.85546875" style="52" customWidth="1"/>
    <col min="2" max="3" width="74.28515625" style="52" customWidth="1"/>
    <col min="4" max="4" width="24.28515625" style="52" customWidth="1"/>
    <col min="5" max="16384" width="10.7109375" style="52"/>
  </cols>
  <sheetData>
    <row r="1" spans="1:4" ht="22">
      <c r="A1" s="51" t="s">
        <v>271</v>
      </c>
    </row>
    <row r="2" spans="1:4" ht="25" customHeight="1">
      <c r="A2" s="53" t="s">
        <v>272</v>
      </c>
    </row>
    <row r="4" spans="1:4">
      <c r="A4" s="54" t="s">
        <v>273</v>
      </c>
      <c r="B4" s="54" t="s">
        <v>274</v>
      </c>
      <c r="C4" s="54" t="s">
        <v>275</v>
      </c>
      <c r="D4" s="54" t="s">
        <v>276</v>
      </c>
    </row>
    <row r="5" spans="1:4" ht="19">
      <c r="A5" s="55" t="s">
        <v>277</v>
      </c>
      <c r="B5" s="55" t="s">
        <v>278</v>
      </c>
      <c r="C5" s="55" t="s">
        <v>279</v>
      </c>
      <c r="D5" s="55" t="s">
        <v>280</v>
      </c>
    </row>
    <row r="6" spans="1:4" ht="19">
      <c r="A6" s="55" t="s">
        <v>281</v>
      </c>
      <c r="B6" s="55" t="s">
        <v>1200</v>
      </c>
      <c r="C6" s="55" t="s">
        <v>282</v>
      </c>
      <c r="D6" s="55" t="s">
        <v>49</v>
      </c>
    </row>
    <row r="7" spans="1:4" ht="19">
      <c r="A7" s="55" t="s">
        <v>283</v>
      </c>
      <c r="B7" s="55" t="s">
        <v>284</v>
      </c>
      <c r="C7" s="55" t="s">
        <v>285</v>
      </c>
      <c r="D7" s="55" t="s">
        <v>49</v>
      </c>
    </row>
    <row r="8" spans="1:4" ht="57">
      <c r="A8" s="55" t="s">
        <v>286</v>
      </c>
      <c r="B8" s="55" t="s">
        <v>2024</v>
      </c>
      <c r="C8" s="55" t="s">
        <v>2025</v>
      </c>
      <c r="D8" s="55" t="s">
        <v>49</v>
      </c>
    </row>
    <row r="9" spans="1:4" ht="19">
      <c r="A9" s="55" t="s">
        <v>287</v>
      </c>
      <c r="B9" s="55" t="s">
        <v>288</v>
      </c>
      <c r="C9" s="55" t="s">
        <v>289</v>
      </c>
      <c r="D9" s="55" t="s">
        <v>49</v>
      </c>
    </row>
    <row r="10" spans="1:4" ht="19">
      <c r="A10" s="55" t="s">
        <v>290</v>
      </c>
      <c r="B10" s="55" t="s">
        <v>2026</v>
      </c>
      <c r="C10" s="55" t="s">
        <v>291</v>
      </c>
      <c r="D10" s="55" t="s">
        <v>49</v>
      </c>
    </row>
    <row r="11" spans="1:4" ht="38">
      <c r="A11" s="55" t="s">
        <v>292</v>
      </c>
      <c r="B11" s="55" t="s">
        <v>2027</v>
      </c>
      <c r="C11" s="55" t="s">
        <v>861</v>
      </c>
      <c r="D11" s="55" t="s">
        <v>49</v>
      </c>
    </row>
    <row r="12" spans="1:4" ht="19">
      <c r="A12" s="55" t="s">
        <v>293</v>
      </c>
      <c r="B12" s="55" t="s">
        <v>294</v>
      </c>
      <c r="C12" s="55" t="s">
        <v>295</v>
      </c>
      <c r="D12" s="55" t="s">
        <v>49</v>
      </c>
    </row>
    <row r="13" spans="1:4" ht="19">
      <c r="A13" s="55" t="s">
        <v>296</v>
      </c>
      <c r="B13" s="55" t="s">
        <v>297</v>
      </c>
      <c r="C13" s="55" t="s">
        <v>862</v>
      </c>
      <c r="D13" s="55" t="s">
        <v>49</v>
      </c>
    </row>
    <row r="14" spans="1:4" ht="19">
      <c r="A14" s="55" t="s">
        <v>298</v>
      </c>
      <c r="B14" s="55" t="s">
        <v>863</v>
      </c>
      <c r="C14" s="55" t="s">
        <v>299</v>
      </c>
      <c r="D14" s="55" t="s">
        <v>300</v>
      </c>
    </row>
    <row r="15" spans="1:4" ht="19">
      <c r="A15" s="55" t="s">
        <v>301</v>
      </c>
      <c r="B15" s="55" t="s">
        <v>1201</v>
      </c>
      <c r="C15" s="55" t="s">
        <v>302</v>
      </c>
      <c r="D15" s="55" t="s">
        <v>49</v>
      </c>
    </row>
    <row r="16" spans="1:4" ht="19">
      <c r="A16" s="55" t="s">
        <v>303</v>
      </c>
      <c r="B16" s="55" t="s">
        <v>304</v>
      </c>
      <c r="C16" s="55" t="s">
        <v>305</v>
      </c>
      <c r="D16" s="55" t="s">
        <v>306</v>
      </c>
    </row>
    <row r="17" spans="1:4" ht="19">
      <c r="A17" s="55" t="s">
        <v>307</v>
      </c>
      <c r="B17" s="55" t="s">
        <v>2435</v>
      </c>
      <c r="C17" s="55" t="s">
        <v>308</v>
      </c>
      <c r="D17" s="55" t="s">
        <v>49</v>
      </c>
    </row>
    <row r="18" spans="1:4" ht="19">
      <c r="A18" s="55" t="s">
        <v>309</v>
      </c>
      <c r="B18" s="55" t="s">
        <v>310</v>
      </c>
      <c r="C18" s="55" t="s">
        <v>311</v>
      </c>
      <c r="D18" s="55" t="s">
        <v>49</v>
      </c>
    </row>
    <row r="19" spans="1:4" ht="19">
      <c r="A19" s="55" t="s">
        <v>312</v>
      </c>
      <c r="B19" s="55" t="s">
        <v>2436</v>
      </c>
      <c r="C19" s="55" t="s">
        <v>2437</v>
      </c>
      <c r="D19" s="55" t="s">
        <v>313</v>
      </c>
    </row>
    <row r="20" spans="1:4" ht="19">
      <c r="A20" s="55" t="s">
        <v>314</v>
      </c>
      <c r="B20" s="55" t="s">
        <v>1202</v>
      </c>
      <c r="C20" s="55" t="s">
        <v>315</v>
      </c>
      <c r="D20" s="55" t="s">
        <v>49</v>
      </c>
    </row>
    <row r="21" spans="1:4" ht="19">
      <c r="A21" s="55" t="s">
        <v>316</v>
      </c>
      <c r="B21" s="55" t="s">
        <v>317</v>
      </c>
      <c r="C21" s="55" t="s">
        <v>318</v>
      </c>
      <c r="D21" s="55" t="s">
        <v>49</v>
      </c>
    </row>
    <row r="22" spans="1:4" ht="19">
      <c r="A22" s="55" t="s">
        <v>319</v>
      </c>
      <c r="B22" s="55" t="s">
        <v>1203</v>
      </c>
      <c r="C22" s="55" t="s">
        <v>320</v>
      </c>
      <c r="D22" s="55" t="s">
        <v>49</v>
      </c>
    </row>
    <row r="23" spans="1:4" ht="19">
      <c r="A23" s="55" t="s">
        <v>321</v>
      </c>
      <c r="B23" s="55" t="s">
        <v>1204</v>
      </c>
      <c r="C23" s="55" t="s">
        <v>2028</v>
      </c>
      <c r="D23" s="55" t="s">
        <v>49</v>
      </c>
    </row>
    <row r="24" spans="1:4" ht="19">
      <c r="A24" s="55" t="s">
        <v>322</v>
      </c>
      <c r="B24" s="55" t="s">
        <v>323</v>
      </c>
      <c r="C24" s="55" t="s">
        <v>324</v>
      </c>
      <c r="D24" s="55" t="s">
        <v>49</v>
      </c>
    </row>
    <row r="25" spans="1:4" ht="19">
      <c r="A25" s="55" t="s">
        <v>325</v>
      </c>
      <c r="B25" s="55" t="s">
        <v>326</v>
      </c>
      <c r="C25" s="55" t="s">
        <v>327</v>
      </c>
      <c r="D25" s="55" t="s">
        <v>280</v>
      </c>
    </row>
    <row r="26" spans="1:4" ht="19">
      <c r="A26" s="55" t="s">
        <v>328</v>
      </c>
      <c r="B26" s="55" t="s">
        <v>1205</v>
      </c>
      <c r="C26" s="55" t="s">
        <v>329</v>
      </c>
      <c r="D26" s="55" t="s">
        <v>280</v>
      </c>
    </row>
    <row r="27" spans="1:4" ht="19">
      <c r="A27" s="55" t="s">
        <v>330</v>
      </c>
      <c r="B27" s="55" t="s">
        <v>1206</v>
      </c>
      <c r="C27" s="55" t="s">
        <v>331</v>
      </c>
      <c r="D27" s="55" t="s">
        <v>49</v>
      </c>
    </row>
    <row r="28" spans="1:4" ht="19">
      <c r="A28" s="55" t="s">
        <v>332</v>
      </c>
      <c r="B28" s="55" t="s">
        <v>333</v>
      </c>
      <c r="C28" s="55" t="s">
        <v>334</v>
      </c>
      <c r="D28" s="55" t="s">
        <v>49</v>
      </c>
    </row>
    <row r="29" spans="1:4" ht="19">
      <c r="A29" s="55" t="s">
        <v>335</v>
      </c>
      <c r="B29" s="55" t="s">
        <v>336</v>
      </c>
      <c r="C29" s="55" t="s">
        <v>337</v>
      </c>
      <c r="D29" s="55" t="s">
        <v>49</v>
      </c>
    </row>
    <row r="30" spans="1:4" ht="19">
      <c r="A30" s="55" t="s">
        <v>338</v>
      </c>
      <c r="B30" s="55" t="s">
        <v>2121</v>
      </c>
      <c r="C30" s="55" t="s">
        <v>339</v>
      </c>
      <c r="D30" s="55" t="s">
        <v>49</v>
      </c>
    </row>
    <row r="31" spans="1:4" ht="19">
      <c r="A31" s="55" t="s">
        <v>340</v>
      </c>
      <c r="B31" s="55" t="s">
        <v>341</v>
      </c>
      <c r="C31" s="55" t="s">
        <v>342</v>
      </c>
      <c r="D31" s="55" t="s">
        <v>49</v>
      </c>
    </row>
    <row r="32" spans="1:4" ht="19">
      <c r="A32" s="55" t="s">
        <v>343</v>
      </c>
      <c r="B32" s="55" t="s">
        <v>344</v>
      </c>
      <c r="C32" s="55" t="s">
        <v>345</v>
      </c>
      <c r="D32" s="55" t="s">
        <v>306</v>
      </c>
    </row>
    <row r="33" spans="1:4" ht="19">
      <c r="A33" s="55" t="s">
        <v>346</v>
      </c>
      <c r="B33" s="55" t="s">
        <v>2029</v>
      </c>
      <c r="C33" s="55" t="s">
        <v>347</v>
      </c>
      <c r="D33" s="55" t="s">
        <v>49</v>
      </c>
    </row>
    <row r="34" spans="1:4" ht="19">
      <c r="A34" s="55" t="s">
        <v>348</v>
      </c>
      <c r="B34" s="55" t="s">
        <v>349</v>
      </c>
      <c r="C34" s="55" t="s">
        <v>350</v>
      </c>
      <c r="D34" s="55" t="s">
        <v>49</v>
      </c>
    </row>
    <row r="35" spans="1:4" ht="19">
      <c r="A35" s="55" t="s">
        <v>351</v>
      </c>
      <c r="B35" s="55" t="s">
        <v>352</v>
      </c>
      <c r="C35" s="55" t="s">
        <v>353</v>
      </c>
      <c r="D35" s="55" t="s">
        <v>49</v>
      </c>
    </row>
    <row r="36" spans="1:4" ht="19">
      <c r="A36" s="55" t="s">
        <v>354</v>
      </c>
      <c r="B36" s="55" t="s">
        <v>355</v>
      </c>
      <c r="C36" s="55" t="s">
        <v>356</v>
      </c>
      <c r="D36" s="55" t="s">
        <v>49</v>
      </c>
    </row>
    <row r="37" spans="1:4" ht="19">
      <c r="A37" s="55" t="s">
        <v>2449</v>
      </c>
      <c r="B37" s="55" t="s">
        <v>2450</v>
      </c>
      <c r="C37" s="55" t="s">
        <v>2451</v>
      </c>
      <c r="D37" s="55" t="s">
        <v>2440</v>
      </c>
    </row>
    <row r="38" spans="1:4" ht="38">
      <c r="A38" s="55" t="s">
        <v>2452</v>
      </c>
      <c r="B38" s="55" t="s">
        <v>2453</v>
      </c>
      <c r="C38" s="55" t="s">
        <v>2454</v>
      </c>
      <c r="D38" s="55" t="s">
        <v>1</v>
      </c>
    </row>
    <row r="39" spans="1:4" ht="19">
      <c r="A39" s="55" t="s">
        <v>357</v>
      </c>
      <c r="B39" s="55" t="s">
        <v>358</v>
      </c>
      <c r="C39" s="55" t="s">
        <v>359</v>
      </c>
      <c r="D39" s="55" t="s">
        <v>306</v>
      </c>
    </row>
    <row r="40" spans="1:4" ht="19">
      <c r="A40" s="55" t="s">
        <v>360</v>
      </c>
      <c r="B40" s="55" t="s">
        <v>361</v>
      </c>
      <c r="C40" s="55" t="s">
        <v>362</v>
      </c>
      <c r="D40" s="55" t="s">
        <v>49</v>
      </c>
    </row>
    <row r="41" spans="1:4" ht="57">
      <c r="A41" s="55" t="s">
        <v>363</v>
      </c>
      <c r="B41" s="55" t="s">
        <v>2438</v>
      </c>
      <c r="C41" s="55" t="s">
        <v>2439</v>
      </c>
      <c r="D41" s="55" t="s">
        <v>2441</v>
      </c>
    </row>
    <row r="42" spans="1:4" ht="19">
      <c r="A42" s="55" t="s">
        <v>364</v>
      </c>
      <c r="B42" s="55" t="s">
        <v>365</v>
      </c>
      <c r="C42" s="55" t="s">
        <v>366</v>
      </c>
      <c r="D42" s="55" t="s">
        <v>49</v>
      </c>
    </row>
    <row r="43" spans="1:4" ht="19">
      <c r="A43" s="55" t="s">
        <v>367</v>
      </c>
      <c r="B43" s="55" t="s">
        <v>1207</v>
      </c>
      <c r="C43" s="55" t="s">
        <v>368</v>
      </c>
      <c r="D43" s="55" t="s">
        <v>49</v>
      </c>
    </row>
    <row r="44" spans="1:4" ht="19">
      <c r="A44" s="55" t="s">
        <v>369</v>
      </c>
      <c r="B44" s="55" t="s">
        <v>370</v>
      </c>
      <c r="C44" s="55" t="s">
        <v>371</v>
      </c>
      <c r="D44" s="55" t="s">
        <v>49</v>
      </c>
    </row>
    <row r="45" spans="1:4" ht="19">
      <c r="A45" s="55" t="s">
        <v>2443</v>
      </c>
      <c r="B45" s="55" t="s">
        <v>2444</v>
      </c>
      <c r="C45" s="55" t="s">
        <v>2445</v>
      </c>
      <c r="D45" s="55" t="s">
        <v>1</v>
      </c>
    </row>
    <row r="46" spans="1:4" ht="19">
      <c r="A46" s="55" t="s">
        <v>2446</v>
      </c>
      <c r="B46" s="55" t="s">
        <v>2447</v>
      </c>
      <c r="C46" s="55" t="s">
        <v>2448</v>
      </c>
      <c r="D46" s="55" t="s">
        <v>1</v>
      </c>
    </row>
    <row r="47" spans="1:4" ht="38">
      <c r="A47" s="55" t="s">
        <v>372</v>
      </c>
      <c r="B47" s="55" t="s">
        <v>2169</v>
      </c>
      <c r="C47" s="55" t="s">
        <v>373</v>
      </c>
      <c r="D47" s="55" t="s">
        <v>49</v>
      </c>
    </row>
    <row r="48" spans="1:4" ht="19">
      <c r="A48" s="55" t="s">
        <v>374</v>
      </c>
      <c r="B48" s="55" t="s">
        <v>2136</v>
      </c>
      <c r="C48" s="55" t="s">
        <v>375</v>
      </c>
      <c r="D48" s="55" t="s">
        <v>49</v>
      </c>
    </row>
    <row r="49" spans="1:4" ht="38">
      <c r="A49" s="55" t="s">
        <v>376</v>
      </c>
      <c r="B49" s="55" t="s">
        <v>2170</v>
      </c>
      <c r="C49" s="55" t="s">
        <v>377</v>
      </c>
      <c r="D49" s="55" t="s">
        <v>49</v>
      </c>
    </row>
    <row r="50" spans="1:4" ht="19">
      <c r="A50" s="55" t="s">
        <v>378</v>
      </c>
      <c r="B50" s="55" t="s">
        <v>2171</v>
      </c>
      <c r="C50" s="55" t="s">
        <v>379</v>
      </c>
      <c r="D50" s="55" t="s">
        <v>49</v>
      </c>
    </row>
    <row r="51" spans="1:4" ht="38">
      <c r="A51" s="55" t="s">
        <v>380</v>
      </c>
      <c r="B51" s="55" t="s">
        <v>381</v>
      </c>
      <c r="C51" s="55" t="s">
        <v>2172</v>
      </c>
      <c r="D51" s="55" t="s">
        <v>49</v>
      </c>
    </row>
    <row r="52" spans="1:4" ht="19">
      <c r="A52" s="55" t="s">
        <v>382</v>
      </c>
      <c r="B52" s="55" t="s">
        <v>383</v>
      </c>
      <c r="C52" s="55" t="s">
        <v>384</v>
      </c>
      <c r="D52" s="55" t="s">
        <v>49</v>
      </c>
    </row>
    <row r="53" spans="1:4" ht="19">
      <c r="A53" s="55" t="s">
        <v>385</v>
      </c>
      <c r="B53" s="55" t="s">
        <v>2137</v>
      </c>
      <c r="C53" s="55" t="s">
        <v>386</v>
      </c>
      <c r="D53" s="55" t="s">
        <v>306</v>
      </c>
    </row>
    <row r="54" spans="1:4" ht="38">
      <c r="A54" s="55" t="s">
        <v>1208</v>
      </c>
      <c r="B54" s="55" t="s">
        <v>1209</v>
      </c>
      <c r="C54" s="55" t="s">
        <v>1210</v>
      </c>
      <c r="D54" s="55" t="s">
        <v>49</v>
      </c>
    </row>
    <row r="55" spans="1:4" ht="57">
      <c r="A55" s="55" t="s">
        <v>1211</v>
      </c>
      <c r="B55" s="55" t="s">
        <v>2442</v>
      </c>
      <c r="C55" s="55" t="s">
        <v>2030</v>
      </c>
      <c r="D55" s="55" t="s">
        <v>49</v>
      </c>
    </row>
  </sheetData>
  <phoneticPr fontId="2"/>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0C5CB3-3B2C-E045-B349-EAA791B398A9}">
  <dimension ref="A1:E54"/>
  <sheetViews>
    <sheetView tabSelected="1" workbookViewId="0">
      <pane ySplit="4" topLeftCell="A5" activePane="bottomLeft" state="frozen"/>
      <selection pane="bottomLeft" activeCell="B10" sqref="B10"/>
    </sheetView>
  </sheetViews>
  <sheetFormatPr baseColWidth="10" defaultRowHeight="20"/>
  <cols>
    <col min="1" max="1" width="14.28515625" customWidth="1"/>
    <col min="2" max="2" width="100" customWidth="1"/>
    <col min="3" max="3" width="88.5703125" customWidth="1"/>
    <col min="4" max="4" width="28.5703125" customWidth="1"/>
    <col min="5" max="5" width="15.7109375" customWidth="1"/>
  </cols>
  <sheetData>
    <row r="1" spans="1:5" ht="27">
      <c r="A1" s="1" t="s">
        <v>864</v>
      </c>
    </row>
    <row r="2" spans="1:5">
      <c r="A2" s="3" t="s">
        <v>865</v>
      </c>
    </row>
    <row r="4" spans="1:5" ht="21">
      <c r="A4" s="58" t="s">
        <v>273</v>
      </c>
      <c r="B4" s="58" t="s">
        <v>47</v>
      </c>
      <c r="C4" s="58" t="s">
        <v>1212</v>
      </c>
      <c r="D4" s="58" t="s">
        <v>64</v>
      </c>
      <c r="E4" s="58" t="s">
        <v>866</v>
      </c>
    </row>
    <row r="5" spans="1:5" ht="63">
      <c r="A5" s="8" t="s">
        <v>867</v>
      </c>
      <c r="B5" s="8" t="s">
        <v>1213</v>
      </c>
      <c r="C5" s="8" t="s">
        <v>2031</v>
      </c>
      <c r="D5" s="8"/>
      <c r="E5" s="8"/>
    </row>
    <row r="6" spans="1:5" ht="84">
      <c r="A6" s="8" t="s">
        <v>868</v>
      </c>
      <c r="B6" s="8" t="s">
        <v>869</v>
      </c>
      <c r="C6" s="32" t="s">
        <v>2173</v>
      </c>
      <c r="D6" s="8"/>
      <c r="E6" s="8"/>
    </row>
    <row r="7" spans="1:5" ht="42">
      <c r="A7" s="8" t="s">
        <v>870</v>
      </c>
      <c r="B7" s="8" t="s">
        <v>871</v>
      </c>
      <c r="C7" s="8" t="s">
        <v>1214</v>
      </c>
      <c r="D7" s="8"/>
      <c r="E7" s="8"/>
    </row>
    <row r="8" spans="1:5" ht="105">
      <c r="A8" s="8" t="s">
        <v>872</v>
      </c>
      <c r="B8" s="8" t="s">
        <v>873</v>
      </c>
      <c r="C8" s="32" t="s">
        <v>1215</v>
      </c>
      <c r="D8" s="8"/>
      <c r="E8" s="8"/>
    </row>
    <row r="9" spans="1:5" ht="42">
      <c r="A9" s="8" t="s">
        <v>875</v>
      </c>
      <c r="B9" s="8" t="s">
        <v>876</v>
      </c>
      <c r="C9" s="8" t="s">
        <v>1216</v>
      </c>
      <c r="D9" s="8"/>
      <c r="E9" s="8"/>
    </row>
    <row r="10" spans="1:5" ht="63">
      <c r="A10" s="8" t="s">
        <v>877</v>
      </c>
      <c r="B10" s="8" t="s">
        <v>878</v>
      </c>
      <c r="C10" s="8" t="s">
        <v>1217</v>
      </c>
      <c r="D10" s="8"/>
      <c r="E10" s="8"/>
    </row>
    <row r="11" spans="1:5" ht="63">
      <c r="A11" s="8" t="s">
        <v>879</v>
      </c>
      <c r="B11" s="8" t="s">
        <v>880</v>
      </c>
      <c r="C11" s="8" t="s">
        <v>1218</v>
      </c>
      <c r="D11" s="8"/>
      <c r="E11" s="8"/>
    </row>
    <row r="12" spans="1:5" ht="126">
      <c r="A12" s="8" t="s">
        <v>1219</v>
      </c>
      <c r="B12" s="8" t="s">
        <v>1220</v>
      </c>
      <c r="C12" s="8" t="s">
        <v>2032</v>
      </c>
      <c r="D12" s="8"/>
      <c r="E12" s="8"/>
    </row>
    <row r="13" spans="1:5" ht="84">
      <c r="A13" s="8" t="s">
        <v>881</v>
      </c>
      <c r="B13" s="8" t="s">
        <v>882</v>
      </c>
      <c r="C13" s="8" t="s">
        <v>1221</v>
      </c>
      <c r="D13" s="8"/>
      <c r="E13" s="8"/>
    </row>
    <row r="14" spans="1:5" ht="63">
      <c r="A14" s="8" t="s">
        <v>883</v>
      </c>
      <c r="B14" s="8" t="s">
        <v>884</v>
      </c>
      <c r="C14" s="8" t="s">
        <v>1222</v>
      </c>
      <c r="D14" s="8"/>
      <c r="E14" s="8"/>
    </row>
    <row r="15" spans="1:5" ht="42">
      <c r="A15" s="8" t="s">
        <v>885</v>
      </c>
      <c r="B15" s="8" t="s">
        <v>886</v>
      </c>
      <c r="C15" s="8" t="s">
        <v>1223</v>
      </c>
      <c r="D15" s="8"/>
      <c r="E15" s="8"/>
    </row>
    <row r="16" spans="1:5" ht="63">
      <c r="A16" s="8" t="s">
        <v>889</v>
      </c>
      <c r="B16" s="8" t="s">
        <v>890</v>
      </c>
      <c r="C16" s="8" t="s">
        <v>1224</v>
      </c>
      <c r="D16" s="8"/>
      <c r="E16" s="8"/>
    </row>
    <row r="17" spans="1:5" ht="42">
      <c r="A17" s="8" t="s">
        <v>891</v>
      </c>
      <c r="B17" s="8" t="s">
        <v>2033</v>
      </c>
      <c r="C17" s="8" t="s">
        <v>1225</v>
      </c>
      <c r="D17" s="8"/>
      <c r="E17" s="8"/>
    </row>
    <row r="18" spans="1:5" ht="42">
      <c r="A18" s="8" t="s">
        <v>892</v>
      </c>
      <c r="B18" s="8" t="s">
        <v>893</v>
      </c>
      <c r="C18" s="8" t="s">
        <v>1226</v>
      </c>
      <c r="D18" s="8"/>
      <c r="E18" s="8"/>
    </row>
    <row r="19" spans="1:5" ht="21">
      <c r="A19" s="8" t="s">
        <v>894</v>
      </c>
      <c r="B19" s="8" t="s">
        <v>895</v>
      </c>
      <c r="C19" s="8" t="s">
        <v>1227</v>
      </c>
      <c r="D19" s="8"/>
      <c r="E19" s="8"/>
    </row>
    <row r="20" spans="1:5" ht="42">
      <c r="A20" s="8" t="s">
        <v>896</v>
      </c>
      <c r="B20" s="8" t="s">
        <v>897</v>
      </c>
      <c r="C20" s="8" t="s">
        <v>1228</v>
      </c>
      <c r="D20" s="8"/>
      <c r="E20" s="8"/>
    </row>
    <row r="21" spans="1:5" ht="63">
      <c r="A21" s="8" t="s">
        <v>898</v>
      </c>
      <c r="B21" s="8" t="s">
        <v>899</v>
      </c>
      <c r="C21" s="8" t="s">
        <v>1229</v>
      </c>
      <c r="D21" s="8"/>
      <c r="E21" s="8"/>
    </row>
    <row r="22" spans="1:5" ht="63">
      <c r="A22" s="8" t="s">
        <v>900</v>
      </c>
      <c r="B22" s="8" t="s">
        <v>901</v>
      </c>
      <c r="C22" s="8" t="s">
        <v>1230</v>
      </c>
      <c r="D22" s="8"/>
      <c r="E22" s="8"/>
    </row>
    <row r="23" spans="1:5" ht="63">
      <c r="A23" s="8" t="s">
        <v>902</v>
      </c>
      <c r="B23" s="8" t="s">
        <v>1231</v>
      </c>
      <c r="C23" s="8" t="s">
        <v>1232</v>
      </c>
      <c r="D23" s="8"/>
      <c r="E23" s="8"/>
    </row>
    <row r="24" spans="1:5" ht="63">
      <c r="A24" s="8" t="s">
        <v>903</v>
      </c>
      <c r="B24" s="8" t="s">
        <v>904</v>
      </c>
      <c r="C24" s="8" t="s">
        <v>1233</v>
      </c>
      <c r="D24" s="8"/>
      <c r="E24" s="8"/>
    </row>
    <row r="25" spans="1:5" ht="42">
      <c r="A25" s="8" t="s">
        <v>905</v>
      </c>
      <c r="B25" s="8" t="s">
        <v>906</v>
      </c>
      <c r="C25" s="8" t="s">
        <v>1234</v>
      </c>
      <c r="D25" s="8"/>
      <c r="E25" s="8"/>
    </row>
    <row r="26" spans="1:5" ht="84">
      <c r="A26" s="8" t="s">
        <v>907</v>
      </c>
      <c r="B26" s="8" t="s">
        <v>2455</v>
      </c>
      <c r="C26" s="8" t="s">
        <v>2174</v>
      </c>
      <c r="D26" s="8"/>
      <c r="E26" s="8"/>
    </row>
    <row r="27" spans="1:5" ht="105">
      <c r="A27" s="8" t="s">
        <v>908</v>
      </c>
      <c r="B27" s="8" t="s">
        <v>909</v>
      </c>
      <c r="C27" s="8" t="s">
        <v>1235</v>
      </c>
      <c r="D27" s="8"/>
      <c r="E27" s="8"/>
    </row>
    <row r="28" spans="1:5" ht="84">
      <c r="A28" s="8" t="s">
        <v>910</v>
      </c>
      <c r="B28" s="8" t="s">
        <v>2456</v>
      </c>
      <c r="C28" s="8" t="s">
        <v>1236</v>
      </c>
      <c r="D28" s="8"/>
      <c r="E28" s="8"/>
    </row>
    <row r="29" spans="1:5" ht="42">
      <c r="A29" s="8" t="s">
        <v>911</v>
      </c>
      <c r="B29" s="8" t="s">
        <v>2457</v>
      </c>
      <c r="C29" s="8" t="s">
        <v>1237</v>
      </c>
      <c r="D29" s="8"/>
      <c r="E29" s="8"/>
    </row>
    <row r="30" spans="1:5" ht="63">
      <c r="A30" s="8" t="s">
        <v>912</v>
      </c>
      <c r="B30" s="8" t="s">
        <v>913</v>
      </c>
      <c r="C30" s="8" t="s">
        <v>1238</v>
      </c>
      <c r="D30" s="8"/>
      <c r="E30" s="8"/>
    </row>
    <row r="31" spans="1:5" ht="63">
      <c r="A31" s="8" t="s">
        <v>914</v>
      </c>
      <c r="B31" s="8" t="s">
        <v>2458</v>
      </c>
      <c r="C31" s="8" t="s">
        <v>2175</v>
      </c>
      <c r="D31" s="8"/>
      <c r="E31" s="8"/>
    </row>
    <row r="32" spans="1:5" ht="84">
      <c r="A32" s="8" t="s">
        <v>2459</v>
      </c>
      <c r="B32" s="8" t="s">
        <v>2460</v>
      </c>
      <c r="C32" s="8" t="s">
        <v>2461</v>
      </c>
      <c r="D32" s="8"/>
      <c r="E32" s="8"/>
    </row>
    <row r="33" spans="1:5" ht="105">
      <c r="A33" s="8" t="s">
        <v>2462</v>
      </c>
      <c r="B33" s="8" t="s">
        <v>2463</v>
      </c>
      <c r="C33" s="8" t="s">
        <v>2464</v>
      </c>
      <c r="D33" s="8"/>
      <c r="E33" s="8"/>
    </row>
    <row r="34" spans="1:5" ht="63">
      <c r="A34" s="8" t="s">
        <v>915</v>
      </c>
      <c r="B34" s="8" t="s">
        <v>2176</v>
      </c>
      <c r="C34" s="8" t="s">
        <v>2177</v>
      </c>
      <c r="D34" s="8"/>
      <c r="E34" s="8"/>
    </row>
    <row r="35" spans="1:5" ht="42">
      <c r="A35" s="8" t="s">
        <v>916</v>
      </c>
      <c r="B35" s="8" t="s">
        <v>2178</v>
      </c>
      <c r="C35" s="8" t="s">
        <v>2179</v>
      </c>
      <c r="D35" s="8"/>
      <c r="E35" s="8"/>
    </row>
    <row r="36" spans="1:5" ht="84">
      <c r="A36" s="8" t="s">
        <v>1239</v>
      </c>
      <c r="B36" s="8" t="s">
        <v>1240</v>
      </c>
      <c r="C36" s="8" t="s">
        <v>1241</v>
      </c>
      <c r="D36" s="8"/>
      <c r="E36" s="8"/>
    </row>
    <row r="37" spans="1:5" ht="63">
      <c r="A37" s="8" t="s">
        <v>1242</v>
      </c>
      <c r="B37" s="8" t="s">
        <v>2180</v>
      </c>
      <c r="C37" s="8" t="s">
        <v>2181</v>
      </c>
      <c r="D37" s="8"/>
      <c r="E37" s="8"/>
    </row>
    <row r="38" spans="1:5" ht="84">
      <c r="A38" s="8" t="s">
        <v>1243</v>
      </c>
      <c r="B38" s="8" t="s">
        <v>1244</v>
      </c>
      <c r="C38" s="8" t="s">
        <v>1245</v>
      </c>
      <c r="D38" s="8"/>
      <c r="E38" s="8"/>
    </row>
    <row r="39" spans="1:5" ht="63">
      <c r="A39" s="8" t="s">
        <v>1246</v>
      </c>
      <c r="B39" s="8" t="s">
        <v>1247</v>
      </c>
      <c r="C39" s="8" t="s">
        <v>1248</v>
      </c>
      <c r="D39" s="8"/>
      <c r="E39" s="8"/>
    </row>
    <row r="40" spans="1:5" ht="63">
      <c r="A40" s="8" t="s">
        <v>1249</v>
      </c>
      <c r="B40" s="8" t="s">
        <v>1250</v>
      </c>
      <c r="C40" s="8" t="s">
        <v>1251</v>
      </c>
      <c r="D40" s="8"/>
      <c r="E40" s="8"/>
    </row>
    <row r="41" spans="1:5" ht="63">
      <c r="A41" s="8" t="s">
        <v>1252</v>
      </c>
      <c r="B41" s="8" t="s">
        <v>1253</v>
      </c>
      <c r="C41" s="8" t="s">
        <v>1254</v>
      </c>
      <c r="D41" s="8"/>
      <c r="E41" s="8"/>
    </row>
    <row r="42" spans="1:5" ht="63">
      <c r="A42" s="8" t="s">
        <v>1255</v>
      </c>
      <c r="B42" s="8" t="s">
        <v>1256</v>
      </c>
      <c r="C42" s="8" t="s">
        <v>1257</v>
      </c>
      <c r="D42" s="8"/>
      <c r="E42" s="8"/>
    </row>
    <row r="43" spans="1:5" ht="63">
      <c r="A43" s="8" t="s">
        <v>1258</v>
      </c>
      <c r="B43" s="8" t="s">
        <v>1259</v>
      </c>
      <c r="C43" s="8" t="s">
        <v>1260</v>
      </c>
      <c r="D43" s="8"/>
      <c r="E43" s="8"/>
    </row>
    <row r="47" spans="1:5">
      <c r="A47" s="2" t="s">
        <v>1261</v>
      </c>
    </row>
    <row r="48" spans="1:5">
      <c r="A48" s="40" t="s">
        <v>273</v>
      </c>
      <c r="B48" s="40" t="s">
        <v>47</v>
      </c>
      <c r="C48" s="40" t="s">
        <v>917</v>
      </c>
      <c r="D48" s="39"/>
    </row>
    <row r="49" spans="1:4" ht="21">
      <c r="A49" s="8" t="s">
        <v>918</v>
      </c>
      <c r="B49" s="8" t="s">
        <v>2123</v>
      </c>
      <c r="C49" s="8" t="s">
        <v>919</v>
      </c>
      <c r="D49" s="6"/>
    </row>
    <row r="50" spans="1:4" ht="42">
      <c r="A50" s="8" t="s">
        <v>920</v>
      </c>
      <c r="B50" s="8" t="s">
        <v>2182</v>
      </c>
      <c r="C50" s="8" t="s">
        <v>2183</v>
      </c>
      <c r="D50" s="6"/>
    </row>
    <row r="51" spans="1:4" ht="42">
      <c r="A51" s="8" t="s">
        <v>874</v>
      </c>
      <c r="B51" s="8" t="s">
        <v>1262</v>
      </c>
      <c r="C51" s="8" t="s">
        <v>2184</v>
      </c>
    </row>
    <row r="52" spans="1:4" ht="21">
      <c r="A52" s="8" t="s">
        <v>887</v>
      </c>
      <c r="B52" s="8" t="s">
        <v>888</v>
      </c>
      <c r="C52" s="8" t="s">
        <v>1263</v>
      </c>
    </row>
    <row r="53" spans="1:4" ht="42">
      <c r="A53" s="8" t="s">
        <v>1264</v>
      </c>
      <c r="B53" s="8" t="s">
        <v>1265</v>
      </c>
      <c r="C53" s="8" t="s">
        <v>1266</v>
      </c>
    </row>
    <row r="54" spans="1:4" ht="168">
      <c r="A54" s="15" t="s">
        <v>921</v>
      </c>
    </row>
  </sheetData>
  <phoneticPr fontId="2"/>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F3C945-1046-C947-8E59-E47C9A796148}">
  <dimension ref="A1:C19"/>
  <sheetViews>
    <sheetView workbookViewId="0">
      <selection activeCell="C36" sqref="C36"/>
    </sheetView>
  </sheetViews>
  <sheetFormatPr baseColWidth="10" defaultRowHeight="20"/>
  <cols>
    <col min="1" max="1" width="42.85546875" customWidth="1"/>
    <col min="2" max="2" width="74.28515625" customWidth="1"/>
    <col min="3" max="3" width="37.140625" customWidth="1"/>
    <col min="4" max="4" width="14.28515625" customWidth="1"/>
    <col min="5" max="5" width="42.85546875" customWidth="1"/>
  </cols>
  <sheetData>
    <row r="1" spans="1:3" ht="27">
      <c r="A1" s="1" t="s">
        <v>1267</v>
      </c>
    </row>
    <row r="2" spans="1:3" ht="42">
      <c r="A2" s="4" t="s">
        <v>1268</v>
      </c>
    </row>
    <row r="4" spans="1:3">
      <c r="A4" s="2" t="s">
        <v>1269</v>
      </c>
    </row>
    <row r="5" spans="1:3">
      <c r="A5" s="7" t="s">
        <v>922</v>
      </c>
      <c r="B5" s="7" t="s">
        <v>923</v>
      </c>
      <c r="C5" s="7" t="s">
        <v>924</v>
      </c>
    </row>
    <row r="6" spans="1:3" ht="21">
      <c r="A6" s="8" t="s">
        <v>306</v>
      </c>
      <c r="B6" s="8" t="s">
        <v>1270</v>
      </c>
      <c r="C6" s="8" t="s">
        <v>925</v>
      </c>
    </row>
    <row r="7" spans="1:3" ht="21">
      <c r="A7" s="8" t="s">
        <v>280</v>
      </c>
      <c r="B7" s="8" t="s">
        <v>926</v>
      </c>
      <c r="C7" s="8" t="s">
        <v>925</v>
      </c>
    </row>
    <row r="8" spans="1:3" ht="21">
      <c r="A8" s="8" t="s">
        <v>927</v>
      </c>
      <c r="B8" s="8" t="s">
        <v>928</v>
      </c>
      <c r="C8" s="8" t="s">
        <v>929</v>
      </c>
    </row>
    <row r="11" spans="1:3" ht="21">
      <c r="A11" s="10" t="s">
        <v>1271</v>
      </c>
    </row>
    <row r="12" spans="1:3">
      <c r="A12" s="7" t="s">
        <v>1272</v>
      </c>
      <c r="B12" s="7" t="s">
        <v>941</v>
      </c>
      <c r="C12" s="7" t="s">
        <v>97</v>
      </c>
    </row>
    <row r="13" spans="1:3" ht="21">
      <c r="A13" s="8" t="s">
        <v>1273</v>
      </c>
      <c r="B13" s="8" t="s">
        <v>942</v>
      </c>
      <c r="C13" s="8" t="s">
        <v>99</v>
      </c>
    </row>
    <row r="14" spans="1:3" ht="21">
      <c r="A14" s="8" t="s">
        <v>600</v>
      </c>
      <c r="B14" s="8" t="s">
        <v>100</v>
      </c>
      <c r="C14" s="8" t="s">
        <v>99</v>
      </c>
    </row>
    <row r="15" spans="1:3" ht="21">
      <c r="A15" s="8" t="s">
        <v>943</v>
      </c>
      <c r="B15" s="8" t="s">
        <v>1274</v>
      </c>
      <c r="C15" s="8" t="s">
        <v>1275</v>
      </c>
    </row>
    <row r="16" spans="1:3" ht="21">
      <c r="A16" s="8" t="s">
        <v>1276</v>
      </c>
      <c r="B16" s="8" t="s">
        <v>1277</v>
      </c>
      <c r="C16" s="8" t="s">
        <v>1278</v>
      </c>
    </row>
    <row r="17" spans="1:3" ht="21">
      <c r="A17" s="8" t="s">
        <v>1279</v>
      </c>
      <c r="B17" s="8" t="s">
        <v>1280</v>
      </c>
      <c r="C17" s="8" t="s">
        <v>1278</v>
      </c>
    </row>
    <row r="18" spans="1:3" ht="42">
      <c r="A18" s="8" t="s">
        <v>2185</v>
      </c>
      <c r="B18" s="8" t="s">
        <v>2034</v>
      </c>
      <c r="C18" s="8" t="s">
        <v>1281</v>
      </c>
    </row>
    <row r="19" spans="1:3" ht="21">
      <c r="A19" s="8" t="s">
        <v>1282</v>
      </c>
      <c r="B19" s="8" t="s">
        <v>1283</v>
      </c>
      <c r="C19" s="8" t="s">
        <v>1284</v>
      </c>
    </row>
  </sheetData>
  <phoneticPr fontId="2"/>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88D921-C17E-DC4C-BFBC-7E1D3ED34A1B}">
  <dimension ref="A1:E47"/>
  <sheetViews>
    <sheetView topLeftCell="A2" workbookViewId="0">
      <selection activeCell="D15" sqref="D15"/>
    </sheetView>
  </sheetViews>
  <sheetFormatPr baseColWidth="10" defaultRowHeight="20"/>
  <cols>
    <col min="1" max="1" width="20" customWidth="1"/>
    <col min="2" max="2" width="80" customWidth="1"/>
    <col min="3" max="3" width="47.140625" customWidth="1"/>
    <col min="4" max="4" width="67.140625" customWidth="1"/>
    <col min="5" max="5" width="42.85546875" customWidth="1"/>
  </cols>
  <sheetData>
    <row r="1" spans="1:5" ht="27">
      <c r="A1" s="1" t="s">
        <v>1285</v>
      </c>
    </row>
    <row r="2" spans="1:5" ht="168">
      <c r="A2" s="4" t="s">
        <v>1286</v>
      </c>
    </row>
    <row r="4" spans="1:5">
      <c r="A4" s="2" t="s">
        <v>1287</v>
      </c>
    </row>
    <row r="5" spans="1:5">
      <c r="A5" s="7" t="s">
        <v>46</v>
      </c>
      <c r="B5" s="7" t="s">
        <v>156</v>
      </c>
    </row>
    <row r="6" spans="1:5" ht="21">
      <c r="A6" s="8" t="s">
        <v>1288</v>
      </c>
      <c r="B6" s="8" t="s">
        <v>1289</v>
      </c>
    </row>
    <row r="7" spans="1:5" ht="21">
      <c r="A7" s="8" t="s">
        <v>1290</v>
      </c>
      <c r="B7" s="8" t="s">
        <v>1291</v>
      </c>
    </row>
    <row r="8" spans="1:5" ht="21">
      <c r="A8" s="8" t="s">
        <v>1292</v>
      </c>
      <c r="B8" s="8" t="s">
        <v>1293</v>
      </c>
    </row>
    <row r="9" spans="1:5" ht="21">
      <c r="A9" s="8" t="s">
        <v>1294</v>
      </c>
      <c r="B9" s="8" t="s">
        <v>1295</v>
      </c>
    </row>
    <row r="10" spans="1:5" ht="21">
      <c r="A10" s="8" t="s">
        <v>1296</v>
      </c>
      <c r="B10" s="8" t="s">
        <v>1297</v>
      </c>
    </row>
    <row r="11" spans="1:5" ht="42">
      <c r="A11" s="8" t="s">
        <v>1298</v>
      </c>
      <c r="B11" s="8" t="s">
        <v>1299</v>
      </c>
    </row>
    <row r="13" spans="1:5" ht="42">
      <c r="A13" s="10" t="s">
        <v>1300</v>
      </c>
    </row>
    <row r="14" spans="1:5">
      <c r="A14" s="7" t="s">
        <v>923</v>
      </c>
      <c r="B14" s="7" t="s">
        <v>1301</v>
      </c>
      <c r="C14" s="7" t="s">
        <v>1302</v>
      </c>
      <c r="D14" s="7" t="s">
        <v>1303</v>
      </c>
      <c r="E14" s="7" t="s">
        <v>1304</v>
      </c>
    </row>
    <row r="15" spans="1:5" ht="42">
      <c r="A15" s="8" t="s">
        <v>930</v>
      </c>
      <c r="B15" s="8" t="s">
        <v>1305</v>
      </c>
      <c r="C15" s="8" t="s">
        <v>1306</v>
      </c>
      <c r="D15" s="8" t="s">
        <v>1307</v>
      </c>
      <c r="E15" s="8" t="s">
        <v>1308</v>
      </c>
    </row>
    <row r="16" spans="1:5" ht="63">
      <c r="A16" s="8" t="s">
        <v>1309</v>
      </c>
      <c r="B16" s="8" t="s">
        <v>1310</v>
      </c>
      <c r="C16" s="8" t="s">
        <v>1311</v>
      </c>
      <c r="D16" s="8" t="s">
        <v>1312</v>
      </c>
      <c r="E16" s="8" t="s">
        <v>1313</v>
      </c>
    </row>
    <row r="17" spans="1:5" ht="42">
      <c r="A17" s="8" t="s">
        <v>931</v>
      </c>
      <c r="B17" s="8" t="s">
        <v>1314</v>
      </c>
      <c r="C17" s="8" t="s">
        <v>1315</v>
      </c>
      <c r="D17" s="8" t="s">
        <v>1316</v>
      </c>
      <c r="E17" s="8" t="s">
        <v>1317</v>
      </c>
    </row>
    <row r="18" spans="1:5" ht="42">
      <c r="A18" s="8" t="s">
        <v>932</v>
      </c>
      <c r="B18" s="8" t="s">
        <v>1318</v>
      </c>
      <c r="C18" s="8" t="s">
        <v>1319</v>
      </c>
      <c r="D18" s="8" t="s">
        <v>1320</v>
      </c>
      <c r="E18" s="8" t="s">
        <v>1321</v>
      </c>
    </row>
    <row r="19" spans="1:5" ht="42">
      <c r="A19" s="8" t="s">
        <v>1322</v>
      </c>
      <c r="B19" s="8" t="s">
        <v>1323</v>
      </c>
      <c r="C19" s="8" t="s">
        <v>1324</v>
      </c>
      <c r="D19" s="8" t="s">
        <v>1325</v>
      </c>
      <c r="E19" s="8" t="s">
        <v>1326</v>
      </c>
    </row>
    <row r="20" spans="1:5" ht="42">
      <c r="A20" s="8" t="s">
        <v>933</v>
      </c>
      <c r="B20" s="8" t="s">
        <v>1327</v>
      </c>
      <c r="C20" s="8" t="s">
        <v>1328</v>
      </c>
      <c r="D20" s="8" t="s">
        <v>1329</v>
      </c>
      <c r="E20" s="8" t="s">
        <v>1330</v>
      </c>
    </row>
    <row r="21" spans="1:5" ht="42">
      <c r="A21" s="8" t="s">
        <v>934</v>
      </c>
      <c r="B21" s="8" t="s">
        <v>1331</v>
      </c>
      <c r="C21" s="8" t="s">
        <v>1332</v>
      </c>
      <c r="D21" s="8" t="s">
        <v>1333</v>
      </c>
      <c r="E21" s="8" t="s">
        <v>1334</v>
      </c>
    </row>
    <row r="22" spans="1:5" ht="42">
      <c r="A22" s="8" t="s">
        <v>935</v>
      </c>
      <c r="B22" s="8" t="s">
        <v>1335</v>
      </c>
      <c r="C22" s="8" t="s">
        <v>1336</v>
      </c>
      <c r="D22" s="8" t="s">
        <v>1337</v>
      </c>
      <c r="E22" s="8" t="s">
        <v>1338</v>
      </c>
    </row>
    <row r="23" spans="1:5" ht="84">
      <c r="A23" s="8" t="s">
        <v>936</v>
      </c>
      <c r="B23" s="8" t="s">
        <v>2186</v>
      </c>
      <c r="C23" s="8" t="s">
        <v>1339</v>
      </c>
      <c r="D23" s="8" t="s">
        <v>1340</v>
      </c>
      <c r="E23" s="8" t="s">
        <v>1341</v>
      </c>
    </row>
    <row r="24" spans="1:5" ht="42">
      <c r="A24" s="8" t="s">
        <v>1342</v>
      </c>
      <c r="B24" s="8" t="s">
        <v>1343</v>
      </c>
      <c r="C24" s="8" t="s">
        <v>1344</v>
      </c>
      <c r="D24" s="8" t="s">
        <v>1345</v>
      </c>
      <c r="E24" s="8" t="s">
        <v>1346</v>
      </c>
    </row>
    <row r="25" spans="1:5" ht="63">
      <c r="A25" s="8" t="s">
        <v>960</v>
      </c>
      <c r="B25" s="8" t="s">
        <v>961</v>
      </c>
      <c r="C25" s="8" t="s">
        <v>962</v>
      </c>
      <c r="D25" s="8" t="s">
        <v>963</v>
      </c>
      <c r="E25" s="8" t="s">
        <v>1347</v>
      </c>
    </row>
    <row r="27" spans="1:5" ht="210">
      <c r="A27" s="4" t="s">
        <v>1348</v>
      </c>
    </row>
    <row r="30" spans="1:5">
      <c r="A30" s="2" t="s">
        <v>1349</v>
      </c>
    </row>
    <row r="31" spans="1:5">
      <c r="A31" s="7" t="s">
        <v>922</v>
      </c>
      <c r="B31" s="7" t="s">
        <v>923</v>
      </c>
      <c r="C31" s="7" t="s">
        <v>1302</v>
      </c>
      <c r="D31" s="7" t="s">
        <v>1303</v>
      </c>
    </row>
    <row r="32" spans="1:5" ht="21">
      <c r="A32" s="8" t="s">
        <v>306</v>
      </c>
      <c r="B32" s="8" t="s">
        <v>1270</v>
      </c>
      <c r="C32" s="8" t="s">
        <v>1350</v>
      </c>
      <c r="D32" s="8" t="s">
        <v>1351</v>
      </c>
    </row>
    <row r="33" spans="1:4" ht="21">
      <c r="A33" s="8" t="s">
        <v>280</v>
      </c>
      <c r="B33" s="8" t="s">
        <v>926</v>
      </c>
      <c r="C33" s="8" t="s">
        <v>1352</v>
      </c>
      <c r="D33" s="8" t="s">
        <v>1353</v>
      </c>
    </row>
    <row r="34" spans="1:4" ht="21">
      <c r="A34" s="8" t="s">
        <v>927</v>
      </c>
      <c r="B34" s="8" t="s">
        <v>1354</v>
      </c>
      <c r="C34" s="8" t="s">
        <v>1355</v>
      </c>
      <c r="D34" s="8" t="s">
        <v>1356</v>
      </c>
    </row>
    <row r="37" spans="1:4" ht="21">
      <c r="A37" s="10" t="s">
        <v>1357</v>
      </c>
    </row>
    <row r="38" spans="1:4">
      <c r="A38" s="7" t="s">
        <v>47</v>
      </c>
      <c r="B38" s="7" t="s">
        <v>1302</v>
      </c>
      <c r="C38" s="7" t="s">
        <v>1303</v>
      </c>
    </row>
    <row r="39" spans="1:4" ht="21">
      <c r="A39" s="8" t="s">
        <v>1358</v>
      </c>
      <c r="B39" s="8" t="s">
        <v>1359</v>
      </c>
      <c r="C39" s="8" t="s">
        <v>1360</v>
      </c>
    </row>
    <row r="40" spans="1:4" ht="21">
      <c r="A40" s="8" t="s">
        <v>1361</v>
      </c>
      <c r="B40" s="8" t="s">
        <v>1359</v>
      </c>
      <c r="C40" s="8" t="s">
        <v>1362</v>
      </c>
    </row>
    <row r="43" spans="1:4">
      <c r="A43" s="2" t="s">
        <v>1363</v>
      </c>
    </row>
    <row r="44" spans="1:4">
      <c r="A44" s="7" t="s">
        <v>937</v>
      </c>
      <c r="B44" s="7" t="s">
        <v>1303</v>
      </c>
      <c r="C44" s="7" t="s">
        <v>855</v>
      </c>
    </row>
    <row r="45" spans="1:4" ht="21">
      <c r="A45" s="8" t="s">
        <v>1364</v>
      </c>
      <c r="B45" s="8" t="s">
        <v>1365</v>
      </c>
      <c r="C45" s="8" t="s">
        <v>938</v>
      </c>
    </row>
    <row r="46" spans="1:4" ht="21">
      <c r="A46" s="8" t="s">
        <v>1366</v>
      </c>
      <c r="B46" s="8" t="s">
        <v>1367</v>
      </c>
      <c r="C46" s="8" t="s">
        <v>939</v>
      </c>
    </row>
    <row r="47" spans="1:4" ht="21">
      <c r="A47" s="8" t="s">
        <v>940</v>
      </c>
      <c r="B47" s="8" t="s">
        <v>1368</v>
      </c>
      <c r="C47" s="8" t="s">
        <v>1369</v>
      </c>
    </row>
  </sheetData>
  <phoneticPr fontId="2"/>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5DF64A-6159-354B-ABF7-65BBF66877B8}">
  <dimension ref="A1:M136"/>
  <sheetViews>
    <sheetView workbookViewId="0">
      <pane ySplit="1" topLeftCell="A2" activePane="bottomLeft" state="frozen"/>
      <selection pane="bottomLeft" activeCell="J3" sqref="J3"/>
    </sheetView>
  </sheetViews>
  <sheetFormatPr baseColWidth="10" defaultRowHeight="20"/>
  <cols>
    <col min="1" max="1" width="9.140625" customWidth="1"/>
    <col min="2" max="2" width="11.140625" customWidth="1"/>
    <col min="3" max="3" width="32.85546875" customWidth="1"/>
    <col min="4" max="4" width="74.28515625" customWidth="1"/>
    <col min="5" max="5" width="13.5703125" customWidth="1"/>
    <col min="6" max="6" width="12.85546875" bestFit="1" customWidth="1"/>
    <col min="7" max="8" width="7.140625" customWidth="1"/>
    <col min="9" max="9" width="9.7109375" customWidth="1"/>
    <col min="10" max="11" width="11.140625" customWidth="1"/>
    <col min="12" max="12" width="8.85546875" customWidth="1"/>
    <col min="13" max="13" width="18.5703125" customWidth="1"/>
    <col min="14" max="14" width="27.140625" customWidth="1"/>
  </cols>
  <sheetData>
    <row r="1" spans="1:13" ht="21">
      <c r="A1" s="56" t="s">
        <v>1370</v>
      </c>
      <c r="B1" s="56" t="s">
        <v>449</v>
      </c>
      <c r="C1" s="56" t="s">
        <v>1371</v>
      </c>
      <c r="D1" s="56" t="s">
        <v>47</v>
      </c>
      <c r="E1" s="56" t="s">
        <v>1372</v>
      </c>
      <c r="F1" s="56" t="s">
        <v>1373</v>
      </c>
      <c r="G1" s="56" t="s">
        <v>1374</v>
      </c>
      <c r="H1" s="56" t="s">
        <v>1375</v>
      </c>
      <c r="I1" s="56" t="s">
        <v>64</v>
      </c>
      <c r="J1" s="56" t="s">
        <v>1376</v>
      </c>
      <c r="K1" s="56" t="s">
        <v>1377</v>
      </c>
      <c r="L1" s="56" t="s">
        <v>97</v>
      </c>
      <c r="M1" s="56" t="s">
        <v>116</v>
      </c>
    </row>
    <row r="2" spans="1:13" ht="168">
      <c r="A2" s="61" t="s">
        <v>1378</v>
      </c>
      <c r="B2" s="8" t="s">
        <v>1379</v>
      </c>
      <c r="C2" s="8" t="s">
        <v>1380</v>
      </c>
      <c r="D2" s="8" t="s">
        <v>1381</v>
      </c>
      <c r="E2" s="8" t="s">
        <v>49</v>
      </c>
      <c r="F2" s="61" t="s">
        <v>1382</v>
      </c>
      <c r="G2" s="59">
        <v>12</v>
      </c>
      <c r="H2" s="79">
        <v>1.5</v>
      </c>
      <c r="I2" s="57"/>
      <c r="J2" s="57"/>
      <c r="K2" s="57"/>
      <c r="L2" s="57"/>
      <c r="M2" s="57"/>
    </row>
    <row r="3" spans="1:13" ht="147">
      <c r="A3" s="61" t="s">
        <v>1383</v>
      </c>
      <c r="B3" s="8" t="s">
        <v>1379</v>
      </c>
      <c r="C3" s="8" t="s">
        <v>1384</v>
      </c>
      <c r="D3" s="8" t="s">
        <v>1385</v>
      </c>
      <c r="E3" s="8" t="s">
        <v>49</v>
      </c>
      <c r="F3" s="61" t="s">
        <v>1382</v>
      </c>
      <c r="G3" s="59">
        <v>8</v>
      </c>
      <c r="H3" s="79">
        <v>1</v>
      </c>
      <c r="I3" s="57"/>
      <c r="J3" s="57"/>
      <c r="K3" s="57"/>
      <c r="L3" s="57"/>
      <c r="M3" s="57"/>
    </row>
    <row r="4" spans="1:13" ht="147">
      <c r="A4" s="61" t="s">
        <v>1386</v>
      </c>
      <c r="B4" s="8" t="s">
        <v>1379</v>
      </c>
      <c r="C4" s="8" t="s">
        <v>1387</v>
      </c>
      <c r="D4" s="8" t="s">
        <v>1388</v>
      </c>
      <c r="E4" s="8" t="s">
        <v>49</v>
      </c>
      <c r="F4" s="61" t="s">
        <v>1382</v>
      </c>
      <c r="G4" s="59">
        <v>4</v>
      </c>
      <c r="H4" s="79">
        <v>0.5</v>
      </c>
      <c r="I4" s="57"/>
      <c r="J4" s="57"/>
      <c r="K4" s="57"/>
      <c r="L4" s="57"/>
      <c r="M4" s="57"/>
    </row>
    <row r="5" spans="1:13" ht="126">
      <c r="A5" s="61" t="s">
        <v>1389</v>
      </c>
      <c r="B5" s="8" t="s">
        <v>1379</v>
      </c>
      <c r="C5" s="8" t="s">
        <v>1390</v>
      </c>
      <c r="D5" s="8" t="s">
        <v>1391</v>
      </c>
      <c r="E5" s="8" t="s">
        <v>49</v>
      </c>
      <c r="F5" s="61" t="s">
        <v>1382</v>
      </c>
      <c r="G5" s="59">
        <v>8</v>
      </c>
      <c r="H5" s="79">
        <v>1</v>
      </c>
      <c r="I5" s="57"/>
      <c r="J5" s="57"/>
      <c r="K5" s="57"/>
      <c r="L5" s="57"/>
      <c r="M5" s="57"/>
    </row>
    <row r="6" spans="1:13" ht="126">
      <c r="A6" s="61" t="s">
        <v>1392</v>
      </c>
      <c r="B6" s="8" t="s">
        <v>1379</v>
      </c>
      <c r="C6" s="8" t="s">
        <v>1393</v>
      </c>
      <c r="D6" s="8" t="s">
        <v>1394</v>
      </c>
      <c r="E6" s="8" t="s">
        <v>49</v>
      </c>
      <c r="F6" s="61"/>
      <c r="G6" s="59">
        <v>4</v>
      </c>
      <c r="H6" s="79">
        <v>0.5</v>
      </c>
      <c r="I6" s="57"/>
      <c r="J6" s="57"/>
      <c r="K6" s="57"/>
      <c r="L6" s="57"/>
      <c r="M6" s="57"/>
    </row>
    <row r="7" spans="1:13" ht="189">
      <c r="A7" s="61" t="s">
        <v>1395</v>
      </c>
      <c r="B7" s="8" t="s">
        <v>1379</v>
      </c>
      <c r="C7" s="8" t="s">
        <v>1396</v>
      </c>
      <c r="D7" s="8" t="s">
        <v>2479</v>
      </c>
      <c r="E7" s="8" t="s">
        <v>49</v>
      </c>
      <c r="F7" s="61"/>
      <c r="G7" s="59">
        <v>4</v>
      </c>
      <c r="H7" s="79">
        <v>0.5</v>
      </c>
      <c r="I7" s="57"/>
      <c r="J7" s="57"/>
      <c r="K7" s="57"/>
      <c r="L7" s="57"/>
      <c r="M7" s="57"/>
    </row>
    <row r="8" spans="1:13" ht="168">
      <c r="A8" s="61" t="s">
        <v>2465</v>
      </c>
      <c r="B8" s="8" t="s">
        <v>954</v>
      </c>
      <c r="C8" s="8" t="s">
        <v>2466</v>
      </c>
      <c r="D8" s="8" t="s">
        <v>2467</v>
      </c>
      <c r="E8" s="8" t="s">
        <v>2468</v>
      </c>
      <c r="F8" s="61" t="s">
        <v>951</v>
      </c>
      <c r="G8" s="59">
        <v>8</v>
      </c>
      <c r="H8" s="79">
        <f>G8/8</f>
        <v>1</v>
      </c>
      <c r="I8" s="57"/>
      <c r="J8" s="57"/>
      <c r="K8" s="57"/>
      <c r="L8" s="57"/>
      <c r="M8" s="57" t="s">
        <v>2469</v>
      </c>
    </row>
    <row r="9" spans="1:13" ht="21">
      <c r="A9" s="72" t="s">
        <v>1397</v>
      </c>
      <c r="B9" s="68"/>
      <c r="C9" s="68"/>
      <c r="D9" s="68"/>
      <c r="E9" s="68"/>
      <c r="F9" s="73"/>
      <c r="G9" s="77">
        <f>SUM(G2:G8)</f>
        <v>48</v>
      </c>
      <c r="H9" s="71">
        <f>SUM(H2:H8)</f>
        <v>6</v>
      </c>
      <c r="I9" s="68"/>
      <c r="J9" s="68"/>
      <c r="K9" s="68"/>
      <c r="L9" s="68"/>
      <c r="M9" s="68"/>
    </row>
    <row r="10" spans="1:13" ht="42">
      <c r="A10" s="61" t="s">
        <v>1398</v>
      </c>
      <c r="B10" s="8" t="s">
        <v>957</v>
      </c>
      <c r="C10" s="8" t="s">
        <v>1399</v>
      </c>
      <c r="D10" s="8" t="s">
        <v>1400</v>
      </c>
      <c r="E10" s="8" t="s">
        <v>49</v>
      </c>
      <c r="F10" s="61"/>
      <c r="G10" s="59">
        <v>1</v>
      </c>
      <c r="H10" s="79">
        <v>0.125</v>
      </c>
      <c r="I10" s="57"/>
      <c r="J10" s="57"/>
      <c r="K10" s="57"/>
      <c r="L10" s="57"/>
      <c r="M10" s="57"/>
    </row>
    <row r="11" spans="1:13" ht="21">
      <c r="A11" s="61" t="s">
        <v>1401</v>
      </c>
      <c r="B11" s="8" t="s">
        <v>957</v>
      </c>
      <c r="C11" s="8" t="s">
        <v>1402</v>
      </c>
      <c r="D11" s="8" t="s">
        <v>1403</v>
      </c>
      <c r="E11" s="8" t="s">
        <v>1398</v>
      </c>
      <c r="F11" s="61"/>
      <c r="G11" s="59">
        <v>2</v>
      </c>
      <c r="H11" s="79">
        <v>0.25</v>
      </c>
      <c r="I11" s="57"/>
      <c r="J11" s="57"/>
      <c r="K11" s="57"/>
      <c r="L11" s="57"/>
      <c r="M11" s="57"/>
    </row>
    <row r="12" spans="1:13" ht="42">
      <c r="A12" s="61" t="s">
        <v>1404</v>
      </c>
      <c r="B12" s="8" t="s">
        <v>957</v>
      </c>
      <c r="C12" s="8" t="s">
        <v>1405</v>
      </c>
      <c r="D12" s="8" t="s">
        <v>1406</v>
      </c>
      <c r="E12" s="8" t="s">
        <v>1398</v>
      </c>
      <c r="F12" s="61"/>
      <c r="G12" s="59">
        <v>1</v>
      </c>
      <c r="H12" s="79">
        <v>0.125</v>
      </c>
      <c r="I12" s="57"/>
      <c r="J12" s="57"/>
      <c r="K12" s="57"/>
      <c r="L12" s="57"/>
      <c r="M12" s="57"/>
    </row>
    <row r="13" spans="1:13" ht="21">
      <c r="A13" s="61" t="s">
        <v>1407</v>
      </c>
      <c r="B13" s="8" t="s">
        <v>957</v>
      </c>
      <c r="C13" s="8" t="s">
        <v>1408</v>
      </c>
      <c r="D13" s="8" t="s">
        <v>1409</v>
      </c>
      <c r="E13" s="8" t="s">
        <v>1404</v>
      </c>
      <c r="F13" s="61"/>
      <c r="G13" s="59">
        <v>2</v>
      </c>
      <c r="H13" s="79">
        <v>0.25</v>
      </c>
      <c r="I13" s="57"/>
      <c r="J13" s="57"/>
      <c r="K13" s="57"/>
      <c r="L13" s="57"/>
      <c r="M13" s="57"/>
    </row>
    <row r="14" spans="1:13" ht="21">
      <c r="A14" s="61" t="s">
        <v>1410</v>
      </c>
      <c r="B14" s="8" t="s">
        <v>957</v>
      </c>
      <c r="C14" s="8" t="s">
        <v>1411</v>
      </c>
      <c r="D14" s="8" t="s">
        <v>1412</v>
      </c>
      <c r="E14" s="8" t="s">
        <v>1398</v>
      </c>
      <c r="F14" s="61"/>
      <c r="G14" s="59">
        <v>0.5</v>
      </c>
      <c r="H14" s="79">
        <v>6.25E-2</v>
      </c>
      <c r="I14" s="57"/>
      <c r="J14" s="57"/>
      <c r="K14" s="57"/>
      <c r="L14" s="57"/>
      <c r="M14" s="57"/>
    </row>
    <row r="15" spans="1:13" ht="21">
      <c r="A15" s="61" t="s">
        <v>1413</v>
      </c>
      <c r="B15" s="8" t="s">
        <v>957</v>
      </c>
      <c r="C15" s="8" t="s">
        <v>1414</v>
      </c>
      <c r="D15" s="8" t="s">
        <v>1415</v>
      </c>
      <c r="E15" s="8" t="s">
        <v>1410</v>
      </c>
      <c r="F15" s="61"/>
      <c r="G15" s="59">
        <v>1</v>
      </c>
      <c r="H15" s="79">
        <v>0.125</v>
      </c>
      <c r="I15" s="57"/>
      <c r="J15" s="57"/>
      <c r="K15" s="57"/>
      <c r="L15" s="57"/>
      <c r="M15" s="57"/>
    </row>
    <row r="16" spans="1:13" ht="21">
      <c r="A16" s="61" t="s">
        <v>1416</v>
      </c>
      <c r="B16" s="8" t="s">
        <v>957</v>
      </c>
      <c r="C16" s="8" t="s">
        <v>1417</v>
      </c>
      <c r="D16" s="8" t="s">
        <v>1418</v>
      </c>
      <c r="E16" s="8" t="s">
        <v>1392</v>
      </c>
      <c r="F16" s="61"/>
      <c r="G16" s="59">
        <v>0.5</v>
      </c>
      <c r="H16" s="79">
        <v>6.25E-2</v>
      </c>
      <c r="I16" s="57"/>
      <c r="J16" s="57"/>
      <c r="K16" s="57"/>
      <c r="L16" s="57"/>
      <c r="M16" s="57"/>
    </row>
    <row r="17" spans="1:13" ht="21">
      <c r="A17" s="61" t="s">
        <v>1419</v>
      </c>
      <c r="B17" s="8" t="s">
        <v>957</v>
      </c>
      <c r="C17" s="8" t="s">
        <v>1420</v>
      </c>
      <c r="D17" s="8" t="s">
        <v>1421</v>
      </c>
      <c r="E17" s="8" t="s">
        <v>1416</v>
      </c>
      <c r="F17" s="61"/>
      <c r="G17" s="59">
        <v>2</v>
      </c>
      <c r="H17" s="79">
        <v>0.25</v>
      </c>
      <c r="I17" s="57"/>
      <c r="J17" s="57"/>
      <c r="K17" s="57"/>
      <c r="L17" s="57"/>
      <c r="M17" s="57"/>
    </row>
    <row r="18" spans="1:13" ht="63">
      <c r="A18" s="61" t="s">
        <v>1422</v>
      </c>
      <c r="B18" s="8" t="s">
        <v>957</v>
      </c>
      <c r="C18" s="8" t="s">
        <v>1423</v>
      </c>
      <c r="D18" s="8" t="s">
        <v>1424</v>
      </c>
      <c r="E18" s="8" t="s">
        <v>49</v>
      </c>
      <c r="F18" s="61"/>
      <c r="G18" s="59">
        <v>0.5</v>
      </c>
      <c r="H18" s="79">
        <v>6.25E-2</v>
      </c>
      <c r="I18" s="57"/>
      <c r="J18" s="57"/>
      <c r="K18" s="57"/>
      <c r="L18" s="57"/>
      <c r="M18" s="57"/>
    </row>
    <row r="19" spans="1:13" ht="21">
      <c r="A19" s="61" t="s">
        <v>1425</v>
      </c>
      <c r="B19" s="8" t="s">
        <v>957</v>
      </c>
      <c r="C19" s="8" t="s">
        <v>1426</v>
      </c>
      <c r="D19" s="8" t="s">
        <v>1427</v>
      </c>
      <c r="E19" s="8" t="s">
        <v>1422</v>
      </c>
      <c r="F19" s="61"/>
      <c r="G19" s="59">
        <v>2</v>
      </c>
      <c r="H19" s="79">
        <v>0.25</v>
      </c>
      <c r="I19" s="57"/>
      <c r="J19" s="57"/>
      <c r="K19" s="57"/>
      <c r="L19" s="57"/>
      <c r="M19" s="57"/>
    </row>
    <row r="20" spans="1:13" ht="21">
      <c r="A20" s="61" t="s">
        <v>1428</v>
      </c>
      <c r="B20" s="8" t="s">
        <v>957</v>
      </c>
      <c r="C20" s="8" t="s">
        <v>1429</v>
      </c>
      <c r="D20" s="8" t="s">
        <v>1430</v>
      </c>
      <c r="E20" s="8" t="s">
        <v>49</v>
      </c>
      <c r="F20" s="61"/>
      <c r="G20" s="59">
        <v>1</v>
      </c>
      <c r="H20" s="79">
        <v>0.125</v>
      </c>
      <c r="I20" s="57"/>
      <c r="J20" s="57"/>
      <c r="K20" s="57"/>
      <c r="L20" s="57"/>
      <c r="M20" s="57"/>
    </row>
    <row r="21" spans="1:13" ht="21">
      <c r="A21" s="61" t="s">
        <v>1431</v>
      </c>
      <c r="B21" s="8" t="s">
        <v>957</v>
      </c>
      <c r="C21" s="8" t="s">
        <v>1432</v>
      </c>
      <c r="D21" s="8" t="s">
        <v>1433</v>
      </c>
      <c r="E21" s="8" t="s">
        <v>1428</v>
      </c>
      <c r="F21" s="61"/>
      <c r="G21" s="59">
        <v>2</v>
      </c>
      <c r="H21" s="79">
        <v>0.25</v>
      </c>
      <c r="I21" s="57"/>
      <c r="J21" s="57"/>
      <c r="K21" s="57"/>
      <c r="L21" s="57"/>
      <c r="M21" s="57"/>
    </row>
    <row r="22" spans="1:13" ht="42">
      <c r="A22" s="61" t="s">
        <v>1434</v>
      </c>
      <c r="B22" s="8" t="s">
        <v>957</v>
      </c>
      <c r="C22" s="8" t="s">
        <v>1435</v>
      </c>
      <c r="D22" s="8" t="s">
        <v>1436</v>
      </c>
      <c r="E22" s="8" t="s">
        <v>49</v>
      </c>
      <c r="F22" s="61"/>
      <c r="G22" s="59">
        <v>1</v>
      </c>
      <c r="H22" s="79">
        <v>0.125</v>
      </c>
      <c r="I22" s="57"/>
      <c r="J22" s="57"/>
      <c r="K22" s="57"/>
      <c r="L22" s="57"/>
      <c r="M22" s="57"/>
    </row>
    <row r="23" spans="1:13" ht="21">
      <c r="A23" s="61" t="s">
        <v>1437</v>
      </c>
      <c r="B23" s="8" t="s">
        <v>957</v>
      </c>
      <c r="C23" s="8" t="s">
        <v>1438</v>
      </c>
      <c r="D23" s="8" t="s">
        <v>1439</v>
      </c>
      <c r="E23" s="8" t="s">
        <v>1434</v>
      </c>
      <c r="F23" s="61"/>
      <c r="G23" s="59">
        <v>2</v>
      </c>
      <c r="H23" s="79">
        <v>0.25</v>
      </c>
      <c r="I23" s="57"/>
      <c r="J23" s="57"/>
      <c r="K23" s="57"/>
      <c r="L23" s="57"/>
      <c r="M23" s="57"/>
    </row>
    <row r="24" spans="1:13" ht="21">
      <c r="A24" s="61" t="s">
        <v>1440</v>
      </c>
      <c r="B24" s="8" t="s">
        <v>957</v>
      </c>
      <c r="C24" s="8" t="s">
        <v>1441</v>
      </c>
      <c r="D24" s="8" t="s">
        <v>1442</v>
      </c>
      <c r="E24" s="8" t="s">
        <v>49</v>
      </c>
      <c r="F24" s="61"/>
      <c r="G24" s="59">
        <v>0.5</v>
      </c>
      <c r="H24" s="79">
        <v>6.25E-2</v>
      </c>
      <c r="I24" s="57"/>
      <c r="J24" s="57"/>
      <c r="K24" s="57"/>
      <c r="L24" s="57"/>
      <c r="M24" s="57"/>
    </row>
    <row r="25" spans="1:13" ht="21">
      <c r="A25" s="61" t="s">
        <v>1443</v>
      </c>
      <c r="B25" s="8" t="s">
        <v>957</v>
      </c>
      <c r="C25" s="8" t="s">
        <v>1444</v>
      </c>
      <c r="D25" s="8" t="s">
        <v>1439</v>
      </c>
      <c r="E25" s="8" t="s">
        <v>1440</v>
      </c>
      <c r="F25" s="61"/>
      <c r="G25" s="59">
        <v>1</v>
      </c>
      <c r="H25" s="79">
        <v>0.125</v>
      </c>
      <c r="I25" s="57"/>
      <c r="J25" s="57"/>
      <c r="K25" s="57"/>
      <c r="L25" s="57"/>
      <c r="M25" s="57"/>
    </row>
    <row r="26" spans="1:13" ht="21">
      <c r="A26" s="61" t="s">
        <v>1445</v>
      </c>
      <c r="B26" s="8" t="s">
        <v>957</v>
      </c>
      <c r="C26" s="8" t="s">
        <v>1446</v>
      </c>
      <c r="D26" s="8" t="s">
        <v>1447</v>
      </c>
      <c r="E26" s="8" t="s">
        <v>49</v>
      </c>
      <c r="F26" s="61"/>
      <c r="G26" s="59">
        <v>0.5</v>
      </c>
      <c r="H26" s="79">
        <v>6.25E-2</v>
      </c>
      <c r="I26" s="57"/>
      <c r="J26" s="57"/>
      <c r="K26" s="57"/>
      <c r="L26" s="57"/>
      <c r="M26" s="57"/>
    </row>
    <row r="27" spans="1:13" ht="21">
      <c r="A27" s="61" t="s">
        <v>1448</v>
      </c>
      <c r="B27" s="8" t="s">
        <v>957</v>
      </c>
      <c r="C27" s="8" t="s">
        <v>1449</v>
      </c>
      <c r="D27" s="8" t="s">
        <v>1439</v>
      </c>
      <c r="E27" s="8" t="s">
        <v>1445</v>
      </c>
      <c r="F27" s="61"/>
      <c r="G27" s="59">
        <v>1</v>
      </c>
      <c r="H27" s="79">
        <v>0.125</v>
      </c>
      <c r="I27" s="57"/>
      <c r="J27" s="57"/>
      <c r="K27" s="57"/>
      <c r="L27" s="57"/>
      <c r="M27" s="57"/>
    </row>
    <row r="28" spans="1:13" ht="21">
      <c r="A28" s="61" t="s">
        <v>1450</v>
      </c>
      <c r="B28" s="8" t="s">
        <v>957</v>
      </c>
      <c r="C28" s="8" t="s">
        <v>1451</v>
      </c>
      <c r="D28" s="8" t="s">
        <v>2035</v>
      </c>
      <c r="E28" s="8" t="s">
        <v>1389</v>
      </c>
      <c r="F28" s="61"/>
      <c r="G28" s="59">
        <v>1</v>
      </c>
      <c r="H28" s="79">
        <v>0.125</v>
      </c>
      <c r="I28" s="57"/>
      <c r="J28" s="57"/>
      <c r="K28" s="57"/>
      <c r="L28" s="57"/>
      <c r="M28" s="57"/>
    </row>
    <row r="29" spans="1:13" ht="21">
      <c r="A29" s="61" t="s">
        <v>1452</v>
      </c>
      <c r="B29" s="8" t="s">
        <v>957</v>
      </c>
      <c r="C29" s="8" t="s">
        <v>1453</v>
      </c>
      <c r="D29" s="8" t="s">
        <v>1454</v>
      </c>
      <c r="E29" s="8" t="s">
        <v>1383</v>
      </c>
      <c r="F29" s="61"/>
      <c r="G29" s="59">
        <v>0.5</v>
      </c>
      <c r="H29" s="79">
        <v>6.25E-2</v>
      </c>
      <c r="I29" s="57"/>
      <c r="J29" s="57"/>
      <c r="K29" s="57"/>
      <c r="L29" s="57"/>
      <c r="M29" s="57"/>
    </row>
    <row r="30" spans="1:13" ht="21">
      <c r="A30" s="61" t="s">
        <v>1455</v>
      </c>
      <c r="B30" s="8" t="s">
        <v>957</v>
      </c>
      <c r="C30" s="8" t="s">
        <v>1456</v>
      </c>
      <c r="D30" s="8" t="s">
        <v>1457</v>
      </c>
      <c r="E30" s="8" t="s">
        <v>1452</v>
      </c>
      <c r="F30" s="61"/>
      <c r="G30" s="59">
        <v>1</v>
      </c>
      <c r="H30" s="79">
        <v>0.125</v>
      </c>
      <c r="I30" s="57"/>
      <c r="J30" s="57"/>
      <c r="K30" s="57"/>
      <c r="L30" s="57"/>
      <c r="M30" s="57"/>
    </row>
    <row r="31" spans="1:13" ht="21">
      <c r="A31" s="61" t="s">
        <v>1458</v>
      </c>
      <c r="B31" s="8" t="s">
        <v>957</v>
      </c>
      <c r="C31" s="8" t="s">
        <v>1459</v>
      </c>
      <c r="D31" s="8" t="s">
        <v>1460</v>
      </c>
      <c r="E31" s="8" t="s">
        <v>49</v>
      </c>
      <c r="F31" s="61"/>
      <c r="G31" s="59">
        <v>1</v>
      </c>
      <c r="H31" s="79">
        <v>0.125</v>
      </c>
      <c r="I31" s="57"/>
      <c r="J31" s="57"/>
      <c r="K31" s="57"/>
      <c r="L31" s="57"/>
      <c r="M31" s="57"/>
    </row>
    <row r="32" spans="1:13" ht="21">
      <c r="A32" s="61" t="s">
        <v>1461</v>
      </c>
      <c r="B32" s="8" t="s">
        <v>957</v>
      </c>
      <c r="C32" s="8" t="s">
        <v>1462</v>
      </c>
      <c r="D32" s="8" t="s">
        <v>1463</v>
      </c>
      <c r="E32" s="8" t="s">
        <v>49</v>
      </c>
      <c r="F32" s="61"/>
      <c r="G32" s="59">
        <v>1</v>
      </c>
      <c r="H32" s="79">
        <v>0.125</v>
      </c>
      <c r="I32" s="57"/>
      <c r="J32" s="57"/>
      <c r="K32" s="57"/>
      <c r="L32" s="57"/>
      <c r="M32" s="57"/>
    </row>
    <row r="33" spans="1:13" ht="21">
      <c r="A33" s="61" t="s">
        <v>1464</v>
      </c>
      <c r="B33" s="8" t="s">
        <v>957</v>
      </c>
      <c r="C33" s="8" t="s">
        <v>1465</v>
      </c>
      <c r="D33" s="8" t="s">
        <v>1466</v>
      </c>
      <c r="E33" s="8" t="s">
        <v>1461</v>
      </c>
      <c r="F33" s="61"/>
      <c r="G33" s="59">
        <v>2</v>
      </c>
      <c r="H33" s="79">
        <v>0.25</v>
      </c>
      <c r="I33" s="57"/>
      <c r="J33" s="57"/>
      <c r="K33" s="57"/>
      <c r="L33" s="57"/>
      <c r="M33" s="57"/>
    </row>
    <row r="34" spans="1:13" ht="21">
      <c r="A34" s="61" t="s">
        <v>1467</v>
      </c>
      <c r="B34" s="8" t="s">
        <v>957</v>
      </c>
      <c r="C34" s="8" t="s">
        <v>1468</v>
      </c>
      <c r="D34" s="8" t="s">
        <v>1469</v>
      </c>
      <c r="E34" s="8" t="s">
        <v>49</v>
      </c>
      <c r="F34" s="61"/>
      <c r="G34" s="59">
        <v>1</v>
      </c>
      <c r="H34" s="79">
        <v>0.125</v>
      </c>
      <c r="I34" s="57"/>
      <c r="J34" s="57"/>
      <c r="K34" s="57"/>
      <c r="L34" s="57"/>
      <c r="M34" s="57"/>
    </row>
    <row r="35" spans="1:13" ht="84">
      <c r="A35" s="61" t="s">
        <v>2470</v>
      </c>
      <c r="B35" s="8" t="s">
        <v>955</v>
      </c>
      <c r="C35" s="8" t="s">
        <v>2471</v>
      </c>
      <c r="D35" s="8" t="s">
        <v>2472</v>
      </c>
      <c r="E35" s="8" t="s">
        <v>958</v>
      </c>
      <c r="F35" s="61"/>
      <c r="G35" s="59">
        <v>2</v>
      </c>
      <c r="H35" s="79">
        <f>G35/8</f>
        <v>0.25</v>
      </c>
      <c r="I35" s="57"/>
      <c r="J35" s="57"/>
      <c r="K35" s="57"/>
      <c r="L35" s="57"/>
      <c r="M35" s="57"/>
    </row>
    <row r="36" spans="1:13" ht="21">
      <c r="A36" s="72" t="s">
        <v>1470</v>
      </c>
      <c r="B36" s="68"/>
      <c r="C36" s="68"/>
      <c r="D36" s="68"/>
      <c r="E36" s="68"/>
      <c r="F36" s="73"/>
      <c r="G36" s="77">
        <f>SUM(G10:G35)</f>
        <v>31</v>
      </c>
      <c r="H36" s="71">
        <f>SUM(H10:H35)</f>
        <v>3.875</v>
      </c>
      <c r="I36" s="68"/>
      <c r="J36" s="68"/>
      <c r="K36" s="68"/>
      <c r="L36" s="68"/>
      <c r="M36" s="68"/>
    </row>
    <row r="37" spans="1:13" ht="42">
      <c r="A37" s="61" t="s">
        <v>1471</v>
      </c>
      <c r="B37" s="8" t="s">
        <v>1472</v>
      </c>
      <c r="C37" s="8" t="s">
        <v>1473</v>
      </c>
      <c r="D37" s="8" t="s">
        <v>1474</v>
      </c>
      <c r="E37" s="8" t="s">
        <v>49</v>
      </c>
      <c r="F37" s="61"/>
      <c r="G37" s="59">
        <v>2</v>
      </c>
      <c r="H37" s="79">
        <v>0.25</v>
      </c>
      <c r="I37" s="57"/>
      <c r="J37" s="57"/>
      <c r="K37" s="57"/>
      <c r="L37" s="57"/>
      <c r="M37" s="57"/>
    </row>
    <row r="38" spans="1:13" ht="42">
      <c r="A38" s="61" t="s">
        <v>1475</v>
      </c>
      <c r="B38" s="8" t="s">
        <v>1472</v>
      </c>
      <c r="C38" s="8" t="s">
        <v>1476</v>
      </c>
      <c r="D38" s="8" t="s">
        <v>1477</v>
      </c>
      <c r="E38" s="8" t="s">
        <v>1478</v>
      </c>
      <c r="F38" s="61"/>
      <c r="G38" s="59">
        <v>2</v>
      </c>
      <c r="H38" s="79">
        <v>0.25</v>
      </c>
      <c r="I38" s="57"/>
      <c r="J38" s="57"/>
      <c r="K38" s="57"/>
      <c r="L38" s="57"/>
      <c r="M38" s="57"/>
    </row>
    <row r="39" spans="1:13" ht="21">
      <c r="A39" s="61" t="s">
        <v>1479</v>
      </c>
      <c r="B39" s="8" t="s">
        <v>1472</v>
      </c>
      <c r="C39" s="8" t="s">
        <v>1480</v>
      </c>
      <c r="D39" s="8" t="s">
        <v>1481</v>
      </c>
      <c r="E39" s="8" t="s">
        <v>1471</v>
      </c>
      <c r="F39" s="61"/>
      <c r="G39" s="59">
        <v>1</v>
      </c>
      <c r="H39" s="79">
        <v>0.125</v>
      </c>
      <c r="I39" s="57"/>
      <c r="J39" s="57"/>
      <c r="K39" s="57"/>
      <c r="L39" s="57"/>
      <c r="M39" s="57"/>
    </row>
    <row r="40" spans="1:13" ht="21">
      <c r="A40" s="61" t="s">
        <v>1482</v>
      </c>
      <c r="B40" s="8" t="s">
        <v>1472</v>
      </c>
      <c r="C40" s="8" t="s">
        <v>1483</v>
      </c>
      <c r="D40" s="8" t="s">
        <v>1484</v>
      </c>
      <c r="E40" s="8" t="s">
        <v>1471</v>
      </c>
      <c r="F40" s="61"/>
      <c r="G40" s="59">
        <v>1</v>
      </c>
      <c r="H40" s="79">
        <v>0.125</v>
      </c>
      <c r="I40" s="57"/>
      <c r="J40" s="57"/>
      <c r="K40" s="57"/>
      <c r="L40" s="57"/>
      <c r="M40" s="57"/>
    </row>
    <row r="41" spans="1:13" ht="21">
      <c r="A41" s="61" t="s">
        <v>1485</v>
      </c>
      <c r="B41" s="8" t="s">
        <v>1472</v>
      </c>
      <c r="C41" s="8" t="s">
        <v>1486</v>
      </c>
      <c r="D41" s="8" t="s">
        <v>1487</v>
      </c>
      <c r="E41" s="8" t="s">
        <v>1471</v>
      </c>
      <c r="F41" s="61"/>
      <c r="G41" s="59">
        <v>1</v>
      </c>
      <c r="H41" s="79">
        <v>0.125</v>
      </c>
      <c r="I41" s="57"/>
      <c r="J41" s="57"/>
      <c r="K41" s="57"/>
      <c r="L41" s="57"/>
      <c r="M41" s="57"/>
    </row>
    <row r="42" spans="1:13" ht="21">
      <c r="A42" s="61" t="s">
        <v>1488</v>
      </c>
      <c r="B42" s="8" t="s">
        <v>1472</v>
      </c>
      <c r="C42" s="8" t="s">
        <v>1489</v>
      </c>
      <c r="D42" s="8" t="s">
        <v>1490</v>
      </c>
      <c r="E42" s="8" t="s">
        <v>1471</v>
      </c>
      <c r="F42" s="61"/>
      <c r="G42" s="59">
        <v>1</v>
      </c>
      <c r="H42" s="79">
        <v>0.125</v>
      </c>
      <c r="I42" s="57"/>
      <c r="J42" s="57"/>
      <c r="K42" s="57"/>
      <c r="L42" s="57"/>
      <c r="M42" s="57"/>
    </row>
    <row r="43" spans="1:13" ht="21">
      <c r="A43" s="61" t="s">
        <v>1491</v>
      </c>
      <c r="B43" s="8" t="s">
        <v>1472</v>
      </c>
      <c r="C43" s="8" t="s">
        <v>1492</v>
      </c>
      <c r="D43" s="8" t="s">
        <v>1493</v>
      </c>
      <c r="E43" s="8" t="s">
        <v>1471</v>
      </c>
      <c r="F43" s="61"/>
      <c r="G43" s="59">
        <v>1</v>
      </c>
      <c r="H43" s="79">
        <v>0.125</v>
      </c>
      <c r="I43" s="57"/>
      <c r="J43" s="57"/>
      <c r="K43" s="57"/>
      <c r="L43" s="57"/>
      <c r="M43" s="57"/>
    </row>
    <row r="44" spans="1:13" ht="21">
      <c r="A44" s="61" t="s">
        <v>1494</v>
      </c>
      <c r="B44" s="8" t="s">
        <v>1472</v>
      </c>
      <c r="C44" s="8" t="s">
        <v>1495</v>
      </c>
      <c r="D44" s="8" t="s">
        <v>1496</v>
      </c>
      <c r="E44" s="8" t="s">
        <v>1471</v>
      </c>
      <c r="F44" s="61"/>
      <c r="G44" s="59">
        <v>1</v>
      </c>
      <c r="H44" s="79">
        <v>0.125</v>
      </c>
      <c r="I44" s="57"/>
      <c r="J44" s="57"/>
      <c r="K44" s="57"/>
      <c r="L44" s="57"/>
      <c r="M44" s="57"/>
    </row>
    <row r="45" spans="1:13" ht="21">
      <c r="A45" s="61" t="s">
        <v>1497</v>
      </c>
      <c r="B45" s="8" t="s">
        <v>1472</v>
      </c>
      <c r="C45" s="8" t="s">
        <v>1498</v>
      </c>
      <c r="D45" s="8" t="s">
        <v>1499</v>
      </c>
      <c r="E45" s="8" t="s">
        <v>1471</v>
      </c>
      <c r="F45" s="61"/>
      <c r="G45" s="59">
        <v>1</v>
      </c>
      <c r="H45" s="79">
        <v>0.125</v>
      </c>
      <c r="I45" s="57"/>
      <c r="J45" s="57"/>
      <c r="K45" s="57"/>
      <c r="L45" s="57"/>
      <c r="M45" s="57"/>
    </row>
    <row r="46" spans="1:13" ht="21">
      <c r="A46" s="61" t="s">
        <v>1500</v>
      </c>
      <c r="B46" s="8" t="s">
        <v>1472</v>
      </c>
      <c r="C46" s="8" t="s">
        <v>1501</v>
      </c>
      <c r="D46" s="8" t="s">
        <v>1502</v>
      </c>
      <c r="E46" s="8" t="s">
        <v>1503</v>
      </c>
      <c r="F46" s="61"/>
      <c r="G46" s="59">
        <v>2</v>
      </c>
      <c r="H46" s="79">
        <v>0.25</v>
      </c>
      <c r="I46" s="57"/>
      <c r="J46" s="57"/>
      <c r="K46" s="57"/>
      <c r="L46" s="57"/>
      <c r="M46" s="57"/>
    </row>
    <row r="47" spans="1:13" ht="21">
      <c r="A47" s="72" t="s">
        <v>1504</v>
      </c>
      <c r="B47" s="68"/>
      <c r="C47" s="68"/>
      <c r="D47" s="68"/>
      <c r="E47" s="68"/>
      <c r="F47" s="73"/>
      <c r="G47" s="77">
        <f>SUM(G37:G46)</f>
        <v>13</v>
      </c>
      <c r="H47" s="71">
        <f>SUM(H37:H46)</f>
        <v>1.625</v>
      </c>
      <c r="I47" s="68"/>
      <c r="J47" s="68"/>
      <c r="K47" s="68"/>
      <c r="L47" s="68"/>
      <c r="M47" s="68"/>
    </row>
    <row r="48" spans="1:13" ht="63">
      <c r="A48" s="61" t="s">
        <v>1505</v>
      </c>
      <c r="B48" s="8" t="s">
        <v>1506</v>
      </c>
      <c r="C48" s="8" t="s">
        <v>1507</v>
      </c>
      <c r="D48" s="8" t="s">
        <v>2124</v>
      </c>
      <c r="E48" s="8" t="s">
        <v>49</v>
      </c>
      <c r="F48" s="61"/>
      <c r="G48" s="59">
        <v>6</v>
      </c>
      <c r="H48" s="79">
        <v>0.75</v>
      </c>
      <c r="I48" s="57"/>
      <c r="J48" s="57"/>
      <c r="K48" s="57"/>
      <c r="L48" s="57"/>
      <c r="M48" s="57"/>
    </row>
    <row r="49" spans="1:13" ht="63">
      <c r="A49" s="61" t="s">
        <v>1508</v>
      </c>
      <c r="B49" s="8" t="s">
        <v>1506</v>
      </c>
      <c r="C49" s="8" t="s">
        <v>1509</v>
      </c>
      <c r="D49" s="8" t="s">
        <v>1510</v>
      </c>
      <c r="E49" s="8" t="s">
        <v>1505</v>
      </c>
      <c r="F49" s="61"/>
      <c r="G49" s="59">
        <v>1</v>
      </c>
      <c r="H49" s="79">
        <v>0.125</v>
      </c>
      <c r="I49" s="57"/>
      <c r="J49" s="57"/>
      <c r="K49" s="57"/>
      <c r="L49" s="57"/>
      <c r="M49" s="57"/>
    </row>
    <row r="50" spans="1:13" ht="21">
      <c r="A50" s="61" t="s">
        <v>1511</v>
      </c>
      <c r="B50" s="8" t="s">
        <v>1506</v>
      </c>
      <c r="C50" s="8" t="s">
        <v>1512</v>
      </c>
      <c r="D50" s="8" t="s">
        <v>1513</v>
      </c>
      <c r="E50" s="8" t="s">
        <v>1514</v>
      </c>
      <c r="F50" s="61"/>
      <c r="G50" s="59">
        <v>2</v>
      </c>
      <c r="H50" s="79">
        <v>0.25</v>
      </c>
      <c r="I50" s="57"/>
      <c r="J50" s="57"/>
      <c r="K50" s="57"/>
      <c r="L50" s="57"/>
      <c r="M50" s="57"/>
    </row>
    <row r="51" spans="1:13" ht="21">
      <c r="A51" s="61" t="s">
        <v>1515</v>
      </c>
      <c r="B51" s="8" t="s">
        <v>1516</v>
      </c>
      <c r="C51" s="8" t="s">
        <v>1517</v>
      </c>
      <c r="D51" s="8" t="s">
        <v>1518</v>
      </c>
      <c r="E51" s="8" t="s">
        <v>1511</v>
      </c>
      <c r="F51" s="61"/>
      <c r="G51" s="59">
        <v>1</v>
      </c>
      <c r="H51" s="79">
        <v>0.125</v>
      </c>
      <c r="I51" s="57"/>
      <c r="J51" s="57"/>
      <c r="K51" s="57"/>
      <c r="L51" s="57"/>
      <c r="M51" s="57"/>
    </row>
    <row r="52" spans="1:13" ht="84">
      <c r="A52" s="61" t="s">
        <v>1519</v>
      </c>
      <c r="B52" s="8" t="s">
        <v>1506</v>
      </c>
      <c r="C52" s="8" t="s">
        <v>2480</v>
      </c>
      <c r="D52" s="8" t="s">
        <v>2481</v>
      </c>
      <c r="E52" s="8" t="s">
        <v>1505</v>
      </c>
      <c r="F52" s="61"/>
      <c r="G52" s="59">
        <v>1</v>
      </c>
      <c r="H52" s="79">
        <v>0.125</v>
      </c>
      <c r="I52" s="57"/>
      <c r="J52" s="57"/>
      <c r="K52" s="57"/>
      <c r="L52" s="57"/>
      <c r="M52" s="57"/>
    </row>
    <row r="53" spans="1:13" ht="21">
      <c r="A53" s="61" t="s">
        <v>1520</v>
      </c>
      <c r="B53" s="8" t="s">
        <v>1506</v>
      </c>
      <c r="C53" s="8" t="s">
        <v>2482</v>
      </c>
      <c r="D53" s="8" t="s">
        <v>1513</v>
      </c>
      <c r="E53" s="8" t="s">
        <v>1521</v>
      </c>
      <c r="F53" s="61"/>
      <c r="G53" s="59">
        <v>3</v>
      </c>
      <c r="H53" s="79">
        <v>0.375</v>
      </c>
      <c r="I53" s="57"/>
      <c r="J53" s="57"/>
      <c r="K53" s="57"/>
      <c r="L53" s="57"/>
      <c r="M53" s="57"/>
    </row>
    <row r="54" spans="1:13" ht="42">
      <c r="A54" s="61" t="s">
        <v>1522</v>
      </c>
      <c r="B54" s="8" t="s">
        <v>1516</v>
      </c>
      <c r="C54" s="8" t="s">
        <v>2483</v>
      </c>
      <c r="D54" s="8" t="s">
        <v>1523</v>
      </c>
      <c r="E54" s="8" t="s">
        <v>1520</v>
      </c>
      <c r="F54" s="61"/>
      <c r="G54" s="59">
        <v>1</v>
      </c>
      <c r="H54" s="79">
        <v>0.125</v>
      </c>
      <c r="I54" s="57"/>
      <c r="J54" s="57"/>
      <c r="K54" s="57"/>
      <c r="L54" s="57"/>
      <c r="M54" s="57"/>
    </row>
    <row r="55" spans="1:13" ht="126">
      <c r="A55" s="61" t="s">
        <v>1524</v>
      </c>
      <c r="B55" s="8" t="s">
        <v>1506</v>
      </c>
      <c r="C55" s="8" t="s">
        <v>2484</v>
      </c>
      <c r="D55" s="8" t="s">
        <v>2485</v>
      </c>
      <c r="E55" s="8" t="s">
        <v>1505</v>
      </c>
      <c r="F55" s="61"/>
      <c r="G55" s="59">
        <v>1</v>
      </c>
      <c r="H55" s="79">
        <v>0.125</v>
      </c>
      <c r="I55" s="57"/>
      <c r="J55" s="57"/>
      <c r="K55" s="57"/>
      <c r="L55" s="57"/>
      <c r="M55" s="57"/>
    </row>
    <row r="56" spans="1:13" ht="21">
      <c r="A56" s="61" t="s">
        <v>1525</v>
      </c>
      <c r="B56" s="8" t="s">
        <v>1506</v>
      </c>
      <c r="C56" s="8" t="s">
        <v>2486</v>
      </c>
      <c r="D56" s="8" t="s">
        <v>1513</v>
      </c>
      <c r="E56" s="8" t="s">
        <v>1526</v>
      </c>
      <c r="F56" s="61"/>
      <c r="G56" s="59">
        <v>3</v>
      </c>
      <c r="H56" s="79">
        <v>0.375</v>
      </c>
      <c r="I56" s="57"/>
      <c r="J56" s="57"/>
      <c r="K56" s="57"/>
      <c r="L56" s="57"/>
      <c r="M56" s="57"/>
    </row>
    <row r="57" spans="1:13" ht="21">
      <c r="A57" s="61" t="s">
        <v>1527</v>
      </c>
      <c r="B57" s="8" t="s">
        <v>1516</v>
      </c>
      <c r="C57" s="8" t="s">
        <v>2487</v>
      </c>
      <c r="D57" s="8" t="s">
        <v>2488</v>
      </c>
      <c r="E57" s="8" t="s">
        <v>1525</v>
      </c>
      <c r="F57" s="61"/>
      <c r="G57" s="59">
        <v>1</v>
      </c>
      <c r="H57" s="79">
        <v>0.125</v>
      </c>
      <c r="I57" s="57"/>
      <c r="J57" s="57"/>
      <c r="K57" s="57"/>
      <c r="L57" s="57"/>
      <c r="M57" s="57"/>
    </row>
    <row r="58" spans="1:13" ht="84">
      <c r="A58" s="61" t="s">
        <v>1528</v>
      </c>
      <c r="B58" s="8" t="s">
        <v>1506</v>
      </c>
      <c r="C58" s="8" t="s">
        <v>1529</v>
      </c>
      <c r="D58" s="8" t="s">
        <v>2489</v>
      </c>
      <c r="E58" s="8" t="s">
        <v>1505</v>
      </c>
      <c r="F58" s="61"/>
      <c r="G58" s="59">
        <v>1</v>
      </c>
      <c r="H58" s="79">
        <v>0.125</v>
      </c>
      <c r="I58" s="57"/>
      <c r="J58" s="57"/>
      <c r="K58" s="57"/>
      <c r="L58" s="57"/>
      <c r="M58" s="57"/>
    </row>
    <row r="59" spans="1:13" ht="21">
      <c r="A59" s="61" t="s">
        <v>1530</v>
      </c>
      <c r="B59" s="8" t="s">
        <v>1506</v>
      </c>
      <c r="C59" s="8" t="s">
        <v>1531</v>
      </c>
      <c r="D59" s="8" t="s">
        <v>1513</v>
      </c>
      <c r="E59" s="8" t="s">
        <v>1528</v>
      </c>
      <c r="F59" s="61"/>
      <c r="G59" s="59">
        <v>4</v>
      </c>
      <c r="H59" s="79">
        <v>0.5</v>
      </c>
      <c r="I59" s="57"/>
      <c r="J59" s="57"/>
      <c r="K59" s="57"/>
      <c r="L59" s="57"/>
      <c r="M59" s="57"/>
    </row>
    <row r="60" spans="1:13" ht="21">
      <c r="A60" s="61" t="s">
        <v>1532</v>
      </c>
      <c r="B60" s="8" t="s">
        <v>1516</v>
      </c>
      <c r="C60" s="8" t="s">
        <v>1533</v>
      </c>
      <c r="D60" s="8" t="s">
        <v>1534</v>
      </c>
      <c r="E60" s="8" t="s">
        <v>1530</v>
      </c>
      <c r="F60" s="61"/>
      <c r="G60" s="59">
        <v>1</v>
      </c>
      <c r="H60" s="79">
        <v>0.125</v>
      </c>
      <c r="I60" s="57"/>
      <c r="J60" s="57"/>
      <c r="K60" s="57"/>
      <c r="L60" s="57"/>
      <c r="M60" s="57"/>
    </row>
    <row r="61" spans="1:13" ht="126">
      <c r="A61" s="61" t="s">
        <v>1535</v>
      </c>
      <c r="B61" s="8" t="s">
        <v>1506</v>
      </c>
      <c r="C61" s="8" t="s">
        <v>1536</v>
      </c>
      <c r="D61" s="8" t="s">
        <v>2490</v>
      </c>
      <c r="E61" s="8" t="s">
        <v>1505</v>
      </c>
      <c r="F61" s="61"/>
      <c r="G61" s="59">
        <v>1</v>
      </c>
      <c r="H61" s="79">
        <v>0.125</v>
      </c>
      <c r="I61" s="57"/>
      <c r="J61" s="57"/>
      <c r="K61" s="57"/>
      <c r="L61" s="57"/>
      <c r="M61" s="57"/>
    </row>
    <row r="62" spans="1:13" ht="21">
      <c r="A62" s="61" t="s">
        <v>1537</v>
      </c>
      <c r="B62" s="8" t="s">
        <v>1506</v>
      </c>
      <c r="C62" s="8" t="s">
        <v>1538</v>
      </c>
      <c r="D62" s="8" t="s">
        <v>1513</v>
      </c>
      <c r="E62" s="8" t="s">
        <v>1539</v>
      </c>
      <c r="F62" s="61"/>
      <c r="G62" s="59">
        <v>3</v>
      </c>
      <c r="H62" s="79">
        <v>0.375</v>
      </c>
      <c r="I62" s="57"/>
      <c r="J62" s="57"/>
      <c r="K62" s="57"/>
      <c r="L62" s="57"/>
      <c r="M62" s="57"/>
    </row>
    <row r="63" spans="1:13" ht="42">
      <c r="A63" s="61" t="s">
        <v>1540</v>
      </c>
      <c r="B63" s="8" t="s">
        <v>1516</v>
      </c>
      <c r="C63" s="8" t="s">
        <v>1541</v>
      </c>
      <c r="D63" s="8" t="s">
        <v>1542</v>
      </c>
      <c r="E63" s="8" t="s">
        <v>1537</v>
      </c>
      <c r="F63" s="61"/>
      <c r="G63" s="59">
        <v>1</v>
      </c>
      <c r="H63" s="79">
        <v>0.125</v>
      </c>
      <c r="I63" s="57"/>
      <c r="J63" s="57"/>
      <c r="K63" s="57"/>
      <c r="L63" s="57"/>
      <c r="M63" s="57"/>
    </row>
    <row r="64" spans="1:13" ht="63">
      <c r="A64" s="61" t="s">
        <v>1543</v>
      </c>
      <c r="B64" s="8" t="s">
        <v>1506</v>
      </c>
      <c r="C64" s="8" t="s">
        <v>1544</v>
      </c>
      <c r="D64" s="8" t="s">
        <v>2491</v>
      </c>
      <c r="E64" s="8" t="s">
        <v>1528</v>
      </c>
      <c r="F64" s="61"/>
      <c r="G64" s="59">
        <v>0.5</v>
      </c>
      <c r="H64" s="79">
        <v>6.25E-2</v>
      </c>
      <c r="I64" s="57"/>
      <c r="J64" s="57"/>
      <c r="K64" s="57"/>
      <c r="L64" s="57"/>
      <c r="M64" s="57"/>
    </row>
    <row r="65" spans="1:13" ht="21">
      <c r="A65" s="61" t="s">
        <v>1545</v>
      </c>
      <c r="B65" s="8" t="s">
        <v>1506</v>
      </c>
      <c r="C65" s="8" t="s">
        <v>1546</v>
      </c>
      <c r="D65" s="8" t="s">
        <v>1513</v>
      </c>
      <c r="E65" s="8" t="s">
        <v>1543</v>
      </c>
      <c r="F65" s="61"/>
      <c r="G65" s="59">
        <v>2</v>
      </c>
      <c r="H65" s="79">
        <v>0.25</v>
      </c>
      <c r="I65" s="57"/>
      <c r="J65" s="57"/>
      <c r="K65" s="57"/>
      <c r="L65" s="57"/>
      <c r="M65" s="57"/>
    </row>
    <row r="66" spans="1:13" ht="21">
      <c r="A66" s="61" t="s">
        <v>1547</v>
      </c>
      <c r="B66" s="8" t="s">
        <v>1516</v>
      </c>
      <c r="C66" s="8" t="s">
        <v>1548</v>
      </c>
      <c r="D66" s="8" t="s">
        <v>1549</v>
      </c>
      <c r="E66" s="8" t="s">
        <v>1545</v>
      </c>
      <c r="F66" s="61"/>
      <c r="G66" s="59">
        <v>0.5</v>
      </c>
      <c r="H66" s="79">
        <v>6.25E-2</v>
      </c>
      <c r="I66" s="57"/>
      <c r="J66" s="57"/>
      <c r="K66" s="57"/>
      <c r="L66" s="57"/>
      <c r="M66" s="57"/>
    </row>
    <row r="67" spans="1:13" ht="105">
      <c r="A67" s="61" t="s">
        <v>1550</v>
      </c>
      <c r="B67" s="8" t="s">
        <v>1506</v>
      </c>
      <c r="C67" s="8" t="s">
        <v>2138</v>
      </c>
      <c r="D67" s="8" t="s">
        <v>2200</v>
      </c>
      <c r="E67" s="8" t="s">
        <v>1505</v>
      </c>
      <c r="F67" s="61"/>
      <c r="G67" s="59">
        <v>0.5</v>
      </c>
      <c r="H67" s="79">
        <v>6.25E-2</v>
      </c>
      <c r="I67" s="57"/>
      <c r="J67" s="57"/>
      <c r="K67" s="57"/>
      <c r="L67" s="57"/>
      <c r="M67" s="57"/>
    </row>
    <row r="68" spans="1:13" ht="21">
      <c r="A68" s="61" t="s">
        <v>1551</v>
      </c>
      <c r="B68" s="8" t="s">
        <v>1506</v>
      </c>
      <c r="C68" s="8" t="s">
        <v>2139</v>
      </c>
      <c r="D68" s="8" t="s">
        <v>1513</v>
      </c>
      <c r="E68" s="8" t="s">
        <v>1550</v>
      </c>
      <c r="F68" s="61"/>
      <c r="G68" s="59">
        <v>2</v>
      </c>
      <c r="H68" s="79">
        <v>0.25</v>
      </c>
      <c r="I68" s="57"/>
      <c r="J68" s="57"/>
      <c r="K68" s="57"/>
      <c r="L68" s="57"/>
      <c r="M68" s="57"/>
    </row>
    <row r="69" spans="1:13" ht="42">
      <c r="A69" s="61" t="s">
        <v>1552</v>
      </c>
      <c r="B69" s="8" t="s">
        <v>1516</v>
      </c>
      <c r="C69" s="8" t="s">
        <v>2140</v>
      </c>
      <c r="D69" s="8" t="s">
        <v>1553</v>
      </c>
      <c r="E69" s="8" t="s">
        <v>1551</v>
      </c>
      <c r="F69" s="61"/>
      <c r="G69" s="59">
        <v>0.5</v>
      </c>
      <c r="H69" s="79">
        <v>6.25E-2</v>
      </c>
      <c r="I69" s="57"/>
      <c r="J69" s="57"/>
      <c r="K69" s="57"/>
      <c r="L69" s="57"/>
      <c r="M69" s="57"/>
    </row>
    <row r="70" spans="1:13" ht="84">
      <c r="A70" s="61" t="s">
        <v>1554</v>
      </c>
      <c r="B70" s="8" t="s">
        <v>1506</v>
      </c>
      <c r="C70" s="8" t="s">
        <v>2492</v>
      </c>
      <c r="D70" s="8" t="s">
        <v>2493</v>
      </c>
      <c r="E70" s="8" t="s">
        <v>1524</v>
      </c>
      <c r="F70" s="61"/>
      <c r="G70" s="59">
        <v>0.5</v>
      </c>
      <c r="H70" s="79">
        <v>6.25E-2</v>
      </c>
      <c r="I70" s="57"/>
      <c r="J70" s="57"/>
      <c r="K70" s="57"/>
      <c r="L70" s="57"/>
      <c r="M70" s="57"/>
    </row>
    <row r="71" spans="1:13" ht="21">
      <c r="A71" s="61" t="s">
        <v>1555</v>
      </c>
      <c r="B71" s="8" t="s">
        <v>1506</v>
      </c>
      <c r="C71" s="8" t="s">
        <v>2494</v>
      </c>
      <c r="D71" s="8" t="s">
        <v>1513</v>
      </c>
      <c r="E71" s="8" t="s">
        <v>1554</v>
      </c>
      <c r="F71" s="61"/>
      <c r="G71" s="59">
        <v>2</v>
      </c>
      <c r="H71" s="79">
        <v>0.25</v>
      </c>
      <c r="I71" s="57"/>
      <c r="J71" s="57"/>
      <c r="K71" s="57"/>
      <c r="L71" s="57"/>
      <c r="M71" s="57"/>
    </row>
    <row r="72" spans="1:13" ht="42">
      <c r="A72" s="61" t="s">
        <v>1556</v>
      </c>
      <c r="B72" s="8" t="s">
        <v>1516</v>
      </c>
      <c r="C72" s="8" t="s">
        <v>2495</v>
      </c>
      <c r="D72" s="8" t="s">
        <v>2496</v>
      </c>
      <c r="E72" s="8" t="s">
        <v>1555</v>
      </c>
      <c r="F72" s="61"/>
      <c r="G72" s="59">
        <v>1</v>
      </c>
      <c r="H72" s="79">
        <v>0.125</v>
      </c>
      <c r="I72" s="57"/>
      <c r="J72" s="57"/>
      <c r="K72" s="57"/>
      <c r="L72" s="57"/>
      <c r="M72" s="57"/>
    </row>
    <row r="73" spans="1:13" ht="84">
      <c r="A73" s="61" t="s">
        <v>1557</v>
      </c>
      <c r="B73" s="8" t="s">
        <v>1506</v>
      </c>
      <c r="C73" s="8" t="s">
        <v>1558</v>
      </c>
      <c r="D73" s="8" t="s">
        <v>1559</v>
      </c>
      <c r="E73" s="8" t="s">
        <v>1528</v>
      </c>
      <c r="F73" s="61"/>
      <c r="G73" s="59">
        <v>0.5</v>
      </c>
      <c r="H73" s="79">
        <v>6.25E-2</v>
      </c>
      <c r="I73" s="57"/>
      <c r="J73" s="57"/>
      <c r="K73" s="57"/>
      <c r="L73" s="57"/>
      <c r="M73" s="57"/>
    </row>
    <row r="74" spans="1:13" ht="21">
      <c r="A74" s="61" t="s">
        <v>1560</v>
      </c>
      <c r="B74" s="8" t="s">
        <v>1506</v>
      </c>
      <c r="C74" s="8" t="s">
        <v>1561</v>
      </c>
      <c r="D74" s="8" t="s">
        <v>1513</v>
      </c>
      <c r="E74" s="8" t="s">
        <v>1557</v>
      </c>
      <c r="F74" s="61"/>
      <c r="G74" s="59">
        <v>2</v>
      </c>
      <c r="H74" s="79">
        <v>0.25</v>
      </c>
      <c r="I74" s="57"/>
      <c r="J74" s="57"/>
      <c r="K74" s="57"/>
      <c r="L74" s="57"/>
      <c r="M74" s="57"/>
    </row>
    <row r="75" spans="1:13" ht="21">
      <c r="A75" s="61" t="s">
        <v>1562</v>
      </c>
      <c r="B75" s="8" t="s">
        <v>1516</v>
      </c>
      <c r="C75" s="8" t="s">
        <v>1563</v>
      </c>
      <c r="D75" s="8" t="s">
        <v>1564</v>
      </c>
      <c r="E75" s="8" t="s">
        <v>1560</v>
      </c>
      <c r="F75" s="61"/>
      <c r="G75" s="59">
        <v>0.5</v>
      </c>
      <c r="H75" s="79">
        <v>6.25E-2</v>
      </c>
      <c r="I75" s="57"/>
      <c r="J75" s="57"/>
      <c r="K75" s="57"/>
      <c r="L75" s="57"/>
      <c r="M75" s="57"/>
    </row>
    <row r="76" spans="1:13" ht="63">
      <c r="A76" s="61" t="s">
        <v>1565</v>
      </c>
      <c r="B76" s="8" t="s">
        <v>1506</v>
      </c>
      <c r="C76" s="8" t="s">
        <v>1566</v>
      </c>
      <c r="D76" s="8" t="s">
        <v>1567</v>
      </c>
      <c r="E76" s="8" t="s">
        <v>1505</v>
      </c>
      <c r="F76" s="61"/>
      <c r="G76" s="59">
        <v>0.5</v>
      </c>
      <c r="H76" s="79">
        <v>6.25E-2</v>
      </c>
      <c r="I76" s="57"/>
      <c r="J76" s="57"/>
      <c r="K76" s="57"/>
      <c r="L76" s="57"/>
      <c r="M76" s="57"/>
    </row>
    <row r="77" spans="1:13" ht="21">
      <c r="A77" s="61" t="s">
        <v>1478</v>
      </c>
      <c r="B77" s="8" t="s">
        <v>1506</v>
      </c>
      <c r="C77" s="8" t="s">
        <v>1568</v>
      </c>
      <c r="D77" s="8" t="s">
        <v>2036</v>
      </c>
      <c r="E77" s="8" t="s">
        <v>1565</v>
      </c>
      <c r="F77" s="61"/>
      <c r="G77" s="59">
        <v>2</v>
      </c>
      <c r="H77" s="79">
        <v>0.25</v>
      </c>
      <c r="I77" s="57"/>
      <c r="J77" s="57"/>
      <c r="K77" s="57"/>
      <c r="L77" s="57"/>
      <c r="M77" s="57"/>
    </row>
    <row r="78" spans="1:13" ht="21">
      <c r="A78" s="61" t="s">
        <v>1569</v>
      </c>
      <c r="B78" s="8" t="s">
        <v>1516</v>
      </c>
      <c r="C78" s="8" t="s">
        <v>1570</v>
      </c>
      <c r="D78" s="8" t="s">
        <v>1571</v>
      </c>
      <c r="E78" s="8" t="s">
        <v>1478</v>
      </c>
      <c r="F78" s="61"/>
      <c r="G78" s="59">
        <v>1</v>
      </c>
      <c r="H78" s="79">
        <v>0.125</v>
      </c>
      <c r="I78" s="57"/>
      <c r="J78" s="57"/>
      <c r="K78" s="57"/>
      <c r="L78" s="57"/>
      <c r="M78" s="57"/>
    </row>
    <row r="79" spans="1:13" ht="63">
      <c r="A79" s="72" t="s">
        <v>1572</v>
      </c>
      <c r="B79" s="68"/>
      <c r="C79" s="68"/>
      <c r="D79" s="68"/>
      <c r="E79" s="68"/>
      <c r="F79" s="73"/>
      <c r="G79" s="77">
        <f>SUM(G48:G78)</f>
        <v>47</v>
      </c>
      <c r="H79" s="71">
        <f>SUM(H48:H78)</f>
        <v>5.875</v>
      </c>
      <c r="I79" s="68"/>
      <c r="J79" s="68"/>
      <c r="K79" s="68"/>
      <c r="L79" s="68"/>
      <c r="M79" s="68"/>
    </row>
    <row r="80" spans="1:13" ht="42">
      <c r="A80" s="61" t="s">
        <v>1573</v>
      </c>
      <c r="B80" s="8" t="s">
        <v>1506</v>
      </c>
      <c r="C80" s="8" t="s">
        <v>1574</v>
      </c>
      <c r="D80" s="8" t="s">
        <v>2201</v>
      </c>
      <c r="E80" s="8" t="s">
        <v>49</v>
      </c>
      <c r="F80" s="61"/>
      <c r="G80" s="59">
        <v>4</v>
      </c>
      <c r="H80" s="79">
        <v>0.5</v>
      </c>
      <c r="I80" s="57"/>
      <c r="J80" s="57"/>
      <c r="K80" s="57"/>
      <c r="L80" s="57"/>
      <c r="M80" s="57"/>
    </row>
    <row r="81" spans="1:13" ht="21">
      <c r="A81" s="61" t="s">
        <v>1575</v>
      </c>
      <c r="B81" s="8" t="s">
        <v>1506</v>
      </c>
      <c r="C81" s="8" t="s">
        <v>1576</v>
      </c>
      <c r="D81" s="8" t="s">
        <v>1577</v>
      </c>
      <c r="E81" s="8" t="s">
        <v>1573</v>
      </c>
      <c r="F81" s="61"/>
      <c r="G81" s="59">
        <v>1</v>
      </c>
      <c r="H81" s="79">
        <v>0.125</v>
      </c>
      <c r="I81" s="57"/>
      <c r="J81" s="57"/>
      <c r="K81" s="57"/>
      <c r="L81" s="57"/>
      <c r="M81" s="57"/>
    </row>
    <row r="82" spans="1:13" ht="21">
      <c r="A82" s="61" t="s">
        <v>1578</v>
      </c>
      <c r="B82" s="8" t="s">
        <v>1506</v>
      </c>
      <c r="C82" s="8" t="s">
        <v>1579</v>
      </c>
      <c r="D82" s="8" t="s">
        <v>1513</v>
      </c>
      <c r="E82" s="8" t="s">
        <v>1575</v>
      </c>
      <c r="F82" s="61"/>
      <c r="G82" s="59">
        <v>4</v>
      </c>
      <c r="H82" s="79">
        <v>0.5</v>
      </c>
      <c r="I82" s="57"/>
      <c r="J82" s="57"/>
      <c r="K82" s="57"/>
      <c r="L82" s="57"/>
      <c r="M82" s="57"/>
    </row>
    <row r="83" spans="1:13" ht="21">
      <c r="A83" s="61" t="s">
        <v>1580</v>
      </c>
      <c r="B83" s="8" t="s">
        <v>1516</v>
      </c>
      <c r="C83" s="8" t="s">
        <v>1581</v>
      </c>
      <c r="D83" s="8" t="s">
        <v>1582</v>
      </c>
      <c r="E83" s="8" t="s">
        <v>1578</v>
      </c>
      <c r="F83" s="61"/>
      <c r="G83" s="59">
        <v>1</v>
      </c>
      <c r="H83" s="79">
        <v>0.125</v>
      </c>
      <c r="I83" s="57"/>
      <c r="J83" s="57"/>
      <c r="K83" s="57"/>
      <c r="L83" s="57"/>
      <c r="M83" s="57"/>
    </row>
    <row r="84" spans="1:13" ht="63">
      <c r="A84" s="61" t="s">
        <v>1583</v>
      </c>
      <c r="B84" s="8" t="s">
        <v>1506</v>
      </c>
      <c r="C84" s="8" t="s">
        <v>1584</v>
      </c>
      <c r="D84" s="8" t="s">
        <v>2202</v>
      </c>
      <c r="E84" s="8" t="s">
        <v>1573</v>
      </c>
      <c r="F84" s="61"/>
      <c r="G84" s="59">
        <v>1</v>
      </c>
      <c r="H84" s="79">
        <v>0.125</v>
      </c>
      <c r="I84" s="57"/>
      <c r="J84" s="57"/>
      <c r="K84" s="57"/>
      <c r="L84" s="57"/>
      <c r="M84" s="57"/>
    </row>
    <row r="85" spans="1:13" ht="21">
      <c r="A85" s="61" t="s">
        <v>1585</v>
      </c>
      <c r="B85" s="8" t="s">
        <v>1506</v>
      </c>
      <c r="C85" s="8" t="s">
        <v>1586</v>
      </c>
      <c r="D85" s="8" t="s">
        <v>1513</v>
      </c>
      <c r="E85" s="8" t="s">
        <v>1583</v>
      </c>
      <c r="F85" s="61"/>
      <c r="G85" s="59">
        <v>4</v>
      </c>
      <c r="H85" s="79">
        <v>0.5</v>
      </c>
      <c r="I85" s="57"/>
      <c r="J85" s="57"/>
      <c r="K85" s="57"/>
      <c r="L85" s="57"/>
      <c r="M85" s="57"/>
    </row>
    <row r="86" spans="1:13" ht="21">
      <c r="A86" s="61" t="s">
        <v>1587</v>
      </c>
      <c r="B86" s="8" t="s">
        <v>1516</v>
      </c>
      <c r="C86" s="8" t="s">
        <v>1588</v>
      </c>
      <c r="D86" s="8" t="s">
        <v>1589</v>
      </c>
      <c r="E86" s="8" t="s">
        <v>1585</v>
      </c>
      <c r="F86" s="61"/>
      <c r="G86" s="59">
        <v>1</v>
      </c>
      <c r="H86" s="79">
        <v>0.125</v>
      </c>
      <c r="I86" s="57"/>
      <c r="J86" s="57"/>
      <c r="K86" s="57"/>
      <c r="L86" s="57"/>
      <c r="M86" s="57"/>
    </row>
    <row r="87" spans="1:13" ht="21">
      <c r="A87" s="61" t="s">
        <v>1590</v>
      </c>
      <c r="B87" s="8" t="s">
        <v>1506</v>
      </c>
      <c r="C87" s="8" t="s">
        <v>1591</v>
      </c>
      <c r="D87" s="8" t="s">
        <v>1592</v>
      </c>
      <c r="E87" s="8" t="s">
        <v>1573</v>
      </c>
      <c r="F87" s="61"/>
      <c r="G87" s="59">
        <v>0.5</v>
      </c>
      <c r="H87" s="79">
        <v>6.25E-2</v>
      </c>
      <c r="I87" s="57"/>
      <c r="J87" s="57"/>
      <c r="K87" s="57"/>
      <c r="L87" s="57"/>
      <c r="M87" s="57"/>
    </row>
    <row r="88" spans="1:13" ht="21">
      <c r="A88" s="61" t="s">
        <v>1593</v>
      </c>
      <c r="B88" s="8" t="s">
        <v>1506</v>
      </c>
      <c r="C88" s="8" t="s">
        <v>1594</v>
      </c>
      <c r="D88" s="8" t="s">
        <v>1513</v>
      </c>
      <c r="E88" s="8" t="s">
        <v>1595</v>
      </c>
      <c r="F88" s="61"/>
      <c r="G88" s="59">
        <v>1</v>
      </c>
      <c r="H88" s="79">
        <v>0.125</v>
      </c>
      <c r="I88" s="57"/>
      <c r="J88" s="57"/>
      <c r="K88" s="57"/>
      <c r="L88" s="57"/>
      <c r="M88" s="57"/>
    </row>
    <row r="89" spans="1:13" ht="21">
      <c r="A89" s="61" t="s">
        <v>1596</v>
      </c>
      <c r="B89" s="8" t="s">
        <v>1516</v>
      </c>
      <c r="C89" s="8" t="s">
        <v>1597</v>
      </c>
      <c r="D89" s="8" t="s">
        <v>1598</v>
      </c>
      <c r="E89" s="8" t="s">
        <v>1593</v>
      </c>
      <c r="F89" s="61"/>
      <c r="G89" s="59">
        <v>0.5</v>
      </c>
      <c r="H89" s="79">
        <v>6.25E-2</v>
      </c>
      <c r="I89" s="57"/>
      <c r="J89" s="57"/>
      <c r="K89" s="57"/>
      <c r="L89" s="57"/>
      <c r="M89" s="57"/>
    </row>
    <row r="90" spans="1:13" ht="42">
      <c r="A90" s="61" t="s">
        <v>1599</v>
      </c>
      <c r="B90" s="8" t="s">
        <v>1506</v>
      </c>
      <c r="C90" s="8" t="s">
        <v>1600</v>
      </c>
      <c r="D90" s="8" t="s">
        <v>1601</v>
      </c>
      <c r="E90" s="8" t="s">
        <v>1602</v>
      </c>
      <c r="F90" s="61"/>
      <c r="G90" s="59">
        <v>1</v>
      </c>
      <c r="H90" s="79">
        <v>0.125</v>
      </c>
      <c r="I90" s="57"/>
      <c r="J90" s="57"/>
      <c r="K90" s="57"/>
      <c r="L90" s="57"/>
      <c r="M90" s="57"/>
    </row>
    <row r="91" spans="1:13" ht="21">
      <c r="A91" s="61" t="s">
        <v>1603</v>
      </c>
      <c r="B91" s="8" t="s">
        <v>1506</v>
      </c>
      <c r="C91" s="8" t="s">
        <v>1604</v>
      </c>
      <c r="D91" s="8" t="s">
        <v>1605</v>
      </c>
      <c r="E91" s="8" t="s">
        <v>1599</v>
      </c>
      <c r="F91" s="61"/>
      <c r="G91" s="59">
        <v>4</v>
      </c>
      <c r="H91" s="79">
        <v>0.5</v>
      </c>
      <c r="I91" s="57"/>
      <c r="J91" s="57"/>
      <c r="K91" s="57"/>
      <c r="L91" s="57"/>
      <c r="M91" s="57"/>
    </row>
    <row r="92" spans="1:13" ht="21">
      <c r="A92" s="61" t="s">
        <v>1606</v>
      </c>
      <c r="B92" s="8" t="s">
        <v>1516</v>
      </c>
      <c r="C92" s="8" t="s">
        <v>1607</v>
      </c>
      <c r="D92" s="8" t="s">
        <v>1608</v>
      </c>
      <c r="E92" s="8" t="s">
        <v>1603</v>
      </c>
      <c r="F92" s="61"/>
      <c r="G92" s="59">
        <v>1.5</v>
      </c>
      <c r="H92" s="79">
        <v>0.1875</v>
      </c>
      <c r="I92" s="57"/>
      <c r="J92" s="57"/>
      <c r="K92" s="57"/>
      <c r="L92" s="57"/>
      <c r="M92" s="57"/>
    </row>
    <row r="93" spans="1:13" ht="63">
      <c r="A93" s="72" t="s">
        <v>1609</v>
      </c>
      <c r="B93" s="68"/>
      <c r="C93" s="68"/>
      <c r="D93" s="68"/>
      <c r="E93" s="68"/>
      <c r="F93" s="73"/>
      <c r="G93" s="77">
        <f>SUM(G80:G92)</f>
        <v>24.5</v>
      </c>
      <c r="H93" s="71">
        <f>SUM(H80:H92)</f>
        <v>3.0625</v>
      </c>
      <c r="I93" s="68"/>
      <c r="J93" s="68"/>
      <c r="K93" s="68"/>
      <c r="L93" s="68"/>
      <c r="M93" s="68"/>
    </row>
    <row r="94" spans="1:13" ht="105">
      <c r="A94" s="61" t="s">
        <v>1610</v>
      </c>
      <c r="B94" s="8" t="s">
        <v>1611</v>
      </c>
      <c r="C94" s="8" t="s">
        <v>1612</v>
      </c>
      <c r="D94" s="8" t="s">
        <v>1613</v>
      </c>
      <c r="E94" s="8" t="s">
        <v>49</v>
      </c>
      <c r="F94" s="61"/>
      <c r="G94" s="59">
        <v>2</v>
      </c>
      <c r="H94" s="79">
        <v>0.25</v>
      </c>
      <c r="I94" s="57"/>
      <c r="J94" s="57"/>
      <c r="K94" s="57"/>
      <c r="L94" s="57"/>
      <c r="M94" s="57"/>
    </row>
    <row r="95" spans="1:13" ht="21">
      <c r="A95" s="61" t="s">
        <v>1614</v>
      </c>
      <c r="B95" s="8" t="s">
        <v>1611</v>
      </c>
      <c r="C95" s="8" t="s">
        <v>1615</v>
      </c>
      <c r="D95" s="8" t="s">
        <v>1616</v>
      </c>
      <c r="E95" s="8" t="s">
        <v>1617</v>
      </c>
      <c r="F95" s="61"/>
      <c r="G95" s="59">
        <v>5</v>
      </c>
      <c r="H95" s="79">
        <v>0.625</v>
      </c>
      <c r="I95" s="57"/>
      <c r="J95" s="57"/>
      <c r="K95" s="57"/>
      <c r="L95" s="57"/>
      <c r="M95" s="57"/>
    </row>
    <row r="96" spans="1:13" ht="21">
      <c r="A96" s="61" t="s">
        <v>1618</v>
      </c>
      <c r="B96" s="8" t="s">
        <v>1611</v>
      </c>
      <c r="C96" s="8" t="s">
        <v>1619</v>
      </c>
      <c r="D96" s="8" t="s">
        <v>1620</v>
      </c>
      <c r="E96" s="8" t="s">
        <v>1617</v>
      </c>
      <c r="F96" s="61"/>
      <c r="G96" s="59">
        <v>6</v>
      </c>
      <c r="H96" s="79">
        <v>0.75</v>
      </c>
      <c r="I96" s="57"/>
      <c r="J96" s="57"/>
      <c r="K96" s="57"/>
      <c r="L96" s="57"/>
      <c r="M96" s="57"/>
    </row>
    <row r="97" spans="1:13" ht="21">
      <c r="A97" s="61" t="s">
        <v>1621</v>
      </c>
      <c r="B97" s="8" t="s">
        <v>1611</v>
      </c>
      <c r="C97" s="8" t="s">
        <v>1622</v>
      </c>
      <c r="D97" s="8" t="s">
        <v>1623</v>
      </c>
      <c r="E97" s="8" t="s">
        <v>1419</v>
      </c>
      <c r="F97" s="61"/>
      <c r="G97" s="59">
        <v>1</v>
      </c>
      <c r="H97" s="79">
        <v>0.125</v>
      </c>
      <c r="I97" s="57"/>
      <c r="J97" s="57"/>
      <c r="K97" s="57"/>
      <c r="L97" s="57"/>
      <c r="M97" s="57"/>
    </row>
    <row r="98" spans="1:13" ht="42">
      <c r="A98" s="61" t="s">
        <v>1624</v>
      </c>
      <c r="B98" s="8" t="s">
        <v>1506</v>
      </c>
      <c r="C98" s="8" t="s">
        <v>1625</v>
      </c>
      <c r="D98" s="8" t="s">
        <v>1626</v>
      </c>
      <c r="E98" s="8" t="s">
        <v>1389</v>
      </c>
      <c r="F98" s="61"/>
      <c r="G98" s="59">
        <v>2</v>
      </c>
      <c r="H98" s="79">
        <v>0.25</v>
      </c>
      <c r="I98" s="57"/>
      <c r="J98" s="57"/>
      <c r="K98" s="57"/>
      <c r="L98" s="57"/>
      <c r="M98" s="57"/>
    </row>
    <row r="99" spans="1:13" ht="21">
      <c r="A99" s="61" t="s">
        <v>1627</v>
      </c>
      <c r="B99" s="8" t="s">
        <v>1506</v>
      </c>
      <c r="C99" s="8" t="s">
        <v>1628</v>
      </c>
      <c r="D99" s="8" t="s">
        <v>1629</v>
      </c>
      <c r="E99" s="8" t="s">
        <v>1630</v>
      </c>
      <c r="F99" s="61"/>
      <c r="G99" s="59">
        <v>4</v>
      </c>
      <c r="H99" s="79">
        <v>0.5</v>
      </c>
      <c r="I99" s="57"/>
      <c r="J99" s="57"/>
      <c r="K99" s="57"/>
      <c r="L99" s="57"/>
      <c r="M99" s="57"/>
    </row>
    <row r="100" spans="1:13" ht="21">
      <c r="A100" s="61" t="s">
        <v>1631</v>
      </c>
      <c r="B100" s="8" t="s">
        <v>1506</v>
      </c>
      <c r="C100" s="8" t="s">
        <v>1632</v>
      </c>
      <c r="D100" s="8" t="s">
        <v>1633</v>
      </c>
      <c r="E100" s="8" t="s">
        <v>1624</v>
      </c>
      <c r="F100" s="61"/>
      <c r="G100" s="59">
        <v>7</v>
      </c>
      <c r="H100" s="79">
        <v>0.875</v>
      </c>
      <c r="I100" s="57"/>
      <c r="J100" s="57"/>
      <c r="K100" s="57"/>
      <c r="L100" s="57"/>
      <c r="M100" s="57"/>
    </row>
    <row r="101" spans="1:13" ht="21">
      <c r="A101" s="61" t="s">
        <v>1634</v>
      </c>
      <c r="B101" s="8" t="s">
        <v>1506</v>
      </c>
      <c r="C101" s="8" t="s">
        <v>1635</v>
      </c>
      <c r="D101" s="8" t="s">
        <v>1636</v>
      </c>
      <c r="E101" s="8" t="s">
        <v>1392</v>
      </c>
      <c r="F101" s="61"/>
      <c r="G101" s="59">
        <v>2</v>
      </c>
      <c r="H101" s="79">
        <v>0.25</v>
      </c>
      <c r="I101" s="57"/>
      <c r="J101" s="57"/>
      <c r="K101" s="57"/>
      <c r="L101" s="57"/>
      <c r="M101" s="57"/>
    </row>
    <row r="102" spans="1:13" ht="21">
      <c r="A102" s="61" t="s">
        <v>1637</v>
      </c>
      <c r="B102" s="8" t="s">
        <v>1506</v>
      </c>
      <c r="C102" s="8" t="s">
        <v>1638</v>
      </c>
      <c r="D102" s="8" t="s">
        <v>1513</v>
      </c>
      <c r="E102" s="8" t="s">
        <v>1634</v>
      </c>
      <c r="F102" s="61"/>
      <c r="G102" s="59">
        <v>8</v>
      </c>
      <c r="H102" s="79">
        <v>1</v>
      </c>
      <c r="I102" s="57"/>
      <c r="J102" s="57"/>
      <c r="K102" s="57"/>
      <c r="L102" s="57"/>
      <c r="M102" s="57"/>
    </row>
    <row r="103" spans="1:13" ht="21">
      <c r="A103" s="61" t="s">
        <v>1639</v>
      </c>
      <c r="B103" s="8" t="s">
        <v>1516</v>
      </c>
      <c r="C103" s="8" t="s">
        <v>1640</v>
      </c>
      <c r="D103" s="8" t="s">
        <v>1641</v>
      </c>
      <c r="E103" s="8" t="s">
        <v>1637</v>
      </c>
      <c r="F103" s="61"/>
      <c r="G103" s="59">
        <v>2</v>
      </c>
      <c r="H103" s="79">
        <v>0.25</v>
      </c>
      <c r="I103" s="57"/>
      <c r="J103" s="57"/>
      <c r="K103" s="57"/>
      <c r="L103" s="57"/>
      <c r="M103" s="57"/>
    </row>
    <row r="104" spans="1:13" ht="105">
      <c r="A104" s="61" t="s">
        <v>1642</v>
      </c>
      <c r="B104" s="8" t="s">
        <v>768</v>
      </c>
      <c r="C104" s="8" t="s">
        <v>1643</v>
      </c>
      <c r="D104" s="8" t="s">
        <v>2497</v>
      </c>
      <c r="E104" s="8" t="s">
        <v>49</v>
      </c>
      <c r="F104" s="61"/>
      <c r="G104" s="59">
        <v>2</v>
      </c>
      <c r="H104" s="79">
        <v>0.25</v>
      </c>
      <c r="I104" s="57"/>
      <c r="J104" s="57"/>
      <c r="K104" s="57"/>
      <c r="L104" s="57"/>
      <c r="M104" s="57"/>
    </row>
    <row r="105" spans="1:13" ht="126">
      <c r="A105" s="61" t="s">
        <v>2473</v>
      </c>
      <c r="B105" s="8" t="s">
        <v>26</v>
      </c>
      <c r="C105" s="8" t="s">
        <v>2474</v>
      </c>
      <c r="D105" s="8" t="s">
        <v>2475</v>
      </c>
      <c r="E105" s="8" t="s">
        <v>959</v>
      </c>
      <c r="F105" s="61"/>
      <c r="G105" s="59">
        <v>2</v>
      </c>
      <c r="H105" s="79">
        <f>G105/8</f>
        <v>0.25</v>
      </c>
      <c r="I105" s="57"/>
      <c r="J105" s="57"/>
      <c r="K105" s="57"/>
      <c r="L105" s="57"/>
      <c r="M105" s="57"/>
    </row>
    <row r="106" spans="1:13" ht="42">
      <c r="A106" s="61" t="s">
        <v>2476</v>
      </c>
      <c r="B106" s="8" t="s">
        <v>26</v>
      </c>
      <c r="C106" s="8" t="s">
        <v>968</v>
      </c>
      <c r="D106" s="8" t="s">
        <v>2477</v>
      </c>
      <c r="E106" s="8" t="s">
        <v>2478</v>
      </c>
      <c r="F106" s="61"/>
      <c r="G106" s="59">
        <v>3</v>
      </c>
      <c r="H106" s="79">
        <f>G106/8</f>
        <v>0.375</v>
      </c>
      <c r="I106" s="57"/>
      <c r="J106" s="57"/>
      <c r="K106" s="57"/>
      <c r="L106" s="57"/>
      <c r="M106" s="57"/>
    </row>
    <row r="107" spans="1:13" ht="21">
      <c r="A107" s="61" t="s">
        <v>1644</v>
      </c>
      <c r="B107" s="8" t="s">
        <v>768</v>
      </c>
      <c r="C107" s="8" t="s">
        <v>1645</v>
      </c>
      <c r="D107" s="8" t="s">
        <v>1646</v>
      </c>
      <c r="E107" s="8" t="s">
        <v>1642</v>
      </c>
      <c r="F107" s="61"/>
      <c r="G107" s="59">
        <v>4</v>
      </c>
      <c r="H107" s="79">
        <v>0.5</v>
      </c>
      <c r="I107" s="57"/>
      <c r="J107" s="57"/>
      <c r="K107" s="57"/>
      <c r="L107" s="57"/>
      <c r="M107" s="57"/>
    </row>
    <row r="108" spans="1:13" ht="21">
      <c r="A108" s="61" t="s">
        <v>1647</v>
      </c>
      <c r="B108" s="8" t="s">
        <v>1516</v>
      </c>
      <c r="C108" s="8" t="s">
        <v>1648</v>
      </c>
      <c r="D108" s="8" t="s">
        <v>1649</v>
      </c>
      <c r="E108" s="8" t="s">
        <v>1644</v>
      </c>
      <c r="F108" s="61"/>
      <c r="G108" s="59">
        <v>2</v>
      </c>
      <c r="H108" s="79">
        <v>0.25</v>
      </c>
      <c r="I108" s="57"/>
      <c r="J108" s="57"/>
      <c r="K108" s="57"/>
      <c r="L108" s="57"/>
      <c r="M108" s="57"/>
    </row>
    <row r="109" spans="1:13" ht="42">
      <c r="A109" s="61" t="s">
        <v>1650</v>
      </c>
      <c r="B109" s="8" t="s">
        <v>768</v>
      </c>
      <c r="C109" s="8" t="s">
        <v>1651</v>
      </c>
      <c r="D109" s="8" t="s">
        <v>1652</v>
      </c>
      <c r="E109" s="8" t="s">
        <v>49</v>
      </c>
      <c r="F109" s="61"/>
      <c r="G109" s="59">
        <v>4</v>
      </c>
      <c r="H109" s="79">
        <v>0.5</v>
      </c>
      <c r="I109" s="57"/>
      <c r="J109" s="57"/>
      <c r="K109" s="57"/>
      <c r="L109" s="57"/>
      <c r="M109" s="57"/>
    </row>
    <row r="110" spans="1:13" ht="21">
      <c r="A110" s="61" t="s">
        <v>1653</v>
      </c>
      <c r="B110" s="8" t="s">
        <v>768</v>
      </c>
      <c r="C110" s="8" t="s">
        <v>1654</v>
      </c>
      <c r="D110" s="8" t="s">
        <v>1655</v>
      </c>
      <c r="E110" s="8" t="s">
        <v>1650</v>
      </c>
      <c r="F110" s="61"/>
      <c r="G110" s="59">
        <v>12</v>
      </c>
      <c r="H110" s="79">
        <v>1.5</v>
      </c>
      <c r="I110" s="57"/>
      <c r="J110" s="57"/>
      <c r="K110" s="57"/>
      <c r="L110" s="57"/>
      <c r="M110" s="57"/>
    </row>
    <row r="111" spans="1:13" ht="21">
      <c r="A111" s="61" t="s">
        <v>1656</v>
      </c>
      <c r="B111" s="8" t="s">
        <v>768</v>
      </c>
      <c r="C111" s="8" t="s">
        <v>1657</v>
      </c>
      <c r="D111" s="8" t="s">
        <v>1658</v>
      </c>
      <c r="E111" s="8" t="s">
        <v>1653</v>
      </c>
      <c r="F111" s="61"/>
      <c r="G111" s="59">
        <v>6</v>
      </c>
      <c r="H111" s="79">
        <v>0.75</v>
      </c>
      <c r="I111" s="57"/>
      <c r="J111" s="57"/>
      <c r="K111" s="57"/>
      <c r="L111" s="57"/>
      <c r="M111" s="57"/>
    </row>
    <row r="112" spans="1:13" ht="21">
      <c r="A112" s="61" t="s">
        <v>1659</v>
      </c>
      <c r="B112" s="8" t="s">
        <v>1516</v>
      </c>
      <c r="C112" s="8" t="s">
        <v>1660</v>
      </c>
      <c r="D112" s="8" t="s">
        <v>1661</v>
      </c>
      <c r="E112" s="8" t="s">
        <v>1656</v>
      </c>
      <c r="F112" s="61"/>
      <c r="G112" s="59">
        <v>4</v>
      </c>
      <c r="H112" s="79">
        <v>0.5</v>
      </c>
      <c r="I112" s="57"/>
      <c r="J112" s="57"/>
      <c r="K112" s="57"/>
      <c r="L112" s="57"/>
      <c r="M112" s="57"/>
    </row>
    <row r="113" spans="1:13" ht="21">
      <c r="A113" s="61" t="s">
        <v>1662</v>
      </c>
      <c r="B113" s="8" t="s">
        <v>1506</v>
      </c>
      <c r="C113" s="8" t="s">
        <v>1663</v>
      </c>
      <c r="D113" s="8" t="s">
        <v>1664</v>
      </c>
      <c r="E113" s="8" t="s">
        <v>1665</v>
      </c>
      <c r="F113" s="61"/>
      <c r="G113" s="59">
        <v>12</v>
      </c>
      <c r="H113" s="79">
        <v>1.5</v>
      </c>
      <c r="I113" s="57"/>
      <c r="J113" s="57"/>
      <c r="K113" s="57"/>
      <c r="L113" s="57"/>
      <c r="M113" s="57"/>
    </row>
    <row r="114" spans="1:13" ht="63">
      <c r="A114" s="72" t="s">
        <v>1666</v>
      </c>
      <c r="B114" s="68"/>
      <c r="C114" s="68"/>
      <c r="D114" s="68"/>
      <c r="E114" s="68"/>
      <c r="F114" s="73"/>
      <c r="G114" s="77">
        <f>SUM(G94:G113)</f>
        <v>90</v>
      </c>
      <c r="H114" s="71">
        <f>SUM(H94:H113)</f>
        <v>11.25</v>
      </c>
      <c r="I114" s="68"/>
      <c r="J114" s="68"/>
      <c r="K114" s="68"/>
      <c r="L114" s="68"/>
      <c r="M114" s="68"/>
    </row>
    <row r="115" spans="1:13" ht="63">
      <c r="A115" s="61" t="s">
        <v>1667</v>
      </c>
      <c r="B115" s="8" t="s">
        <v>1516</v>
      </c>
      <c r="C115" s="8" t="s">
        <v>1668</v>
      </c>
      <c r="D115" s="8" t="s">
        <v>2141</v>
      </c>
      <c r="E115" s="8" t="s">
        <v>1669</v>
      </c>
      <c r="F115" s="61"/>
      <c r="G115" s="59">
        <v>16</v>
      </c>
      <c r="H115" s="70">
        <v>2</v>
      </c>
      <c r="I115" s="8"/>
      <c r="J115" s="8"/>
      <c r="K115" s="8"/>
      <c r="L115" s="8"/>
      <c r="M115" s="57"/>
    </row>
    <row r="116" spans="1:13" ht="84">
      <c r="A116" s="61" t="s">
        <v>1670</v>
      </c>
      <c r="B116" s="8" t="s">
        <v>1516</v>
      </c>
      <c r="C116" s="8" t="s">
        <v>1671</v>
      </c>
      <c r="D116" s="8" t="s">
        <v>2498</v>
      </c>
      <c r="E116" s="8" t="s">
        <v>1672</v>
      </c>
      <c r="F116" s="61"/>
      <c r="G116" s="59">
        <v>24</v>
      </c>
      <c r="H116" s="70">
        <v>3</v>
      </c>
      <c r="I116" s="8"/>
      <c r="J116" s="8"/>
      <c r="K116" s="8"/>
      <c r="L116" s="8"/>
      <c r="M116" s="57" t="s">
        <v>1673</v>
      </c>
    </row>
    <row r="117" spans="1:13" ht="105">
      <c r="A117" s="61" t="s">
        <v>1674</v>
      </c>
      <c r="B117" s="8" t="s">
        <v>1516</v>
      </c>
      <c r="C117" s="8" t="s">
        <v>1675</v>
      </c>
      <c r="D117" s="8" t="s">
        <v>2499</v>
      </c>
      <c r="E117" s="8" t="s">
        <v>1670</v>
      </c>
      <c r="F117" s="61"/>
      <c r="G117" s="59">
        <v>8</v>
      </c>
      <c r="H117" s="70">
        <v>1</v>
      </c>
      <c r="I117" s="8"/>
      <c r="J117" s="8"/>
      <c r="K117" s="8"/>
      <c r="L117" s="8"/>
      <c r="M117" s="57" t="s">
        <v>1673</v>
      </c>
    </row>
    <row r="118" spans="1:13" ht="126">
      <c r="A118" s="61" t="s">
        <v>1676</v>
      </c>
      <c r="B118" s="8" t="s">
        <v>1516</v>
      </c>
      <c r="C118" s="8" t="s">
        <v>1677</v>
      </c>
      <c r="D118" s="8" t="s">
        <v>1678</v>
      </c>
      <c r="E118" s="8" t="s">
        <v>1670</v>
      </c>
      <c r="F118" s="61"/>
      <c r="G118" s="59">
        <v>10</v>
      </c>
      <c r="H118" s="70">
        <v>1.25</v>
      </c>
      <c r="I118" s="8"/>
      <c r="J118" s="8"/>
      <c r="K118" s="8"/>
      <c r="L118" s="8"/>
      <c r="M118" s="57" t="s">
        <v>1673</v>
      </c>
    </row>
    <row r="119" spans="1:13" ht="63">
      <c r="A119" s="61" t="s">
        <v>1679</v>
      </c>
      <c r="B119" s="8" t="s">
        <v>1516</v>
      </c>
      <c r="C119" s="8" t="s">
        <v>1680</v>
      </c>
      <c r="D119" s="8" t="s">
        <v>1681</v>
      </c>
      <c r="E119" s="8" t="s">
        <v>1670</v>
      </c>
      <c r="F119" s="61"/>
      <c r="G119" s="59">
        <v>4</v>
      </c>
      <c r="H119" s="70">
        <v>0.5</v>
      </c>
      <c r="I119" s="8"/>
      <c r="J119" s="8"/>
      <c r="K119" s="8"/>
      <c r="L119" s="8"/>
      <c r="M119" s="57"/>
    </row>
    <row r="120" spans="1:13" ht="105">
      <c r="A120" s="61" t="s">
        <v>1682</v>
      </c>
      <c r="B120" s="8" t="s">
        <v>1516</v>
      </c>
      <c r="C120" s="8" t="s">
        <v>1683</v>
      </c>
      <c r="D120" s="8" t="s">
        <v>2500</v>
      </c>
      <c r="E120" s="8" t="s">
        <v>1670</v>
      </c>
      <c r="F120" s="61"/>
      <c r="G120" s="59">
        <v>8</v>
      </c>
      <c r="H120" s="70">
        <v>1</v>
      </c>
      <c r="I120" s="8"/>
      <c r="J120" s="8"/>
      <c r="K120" s="8"/>
      <c r="L120" s="8"/>
      <c r="M120" s="57"/>
    </row>
    <row r="121" spans="1:13" ht="42">
      <c r="A121" s="61" t="s">
        <v>1684</v>
      </c>
      <c r="B121" s="8" t="s">
        <v>1472</v>
      </c>
      <c r="C121" s="8" t="s">
        <v>1685</v>
      </c>
      <c r="D121" s="8" t="s">
        <v>2037</v>
      </c>
      <c r="E121" s="8" t="s">
        <v>1686</v>
      </c>
      <c r="F121" s="61"/>
      <c r="G121" s="59">
        <v>4</v>
      </c>
      <c r="H121" s="70">
        <v>0.5</v>
      </c>
      <c r="I121" s="8"/>
      <c r="J121" s="8"/>
      <c r="K121" s="8"/>
      <c r="L121" s="8"/>
      <c r="M121" s="57"/>
    </row>
    <row r="122" spans="1:13" ht="42">
      <c r="A122" s="61" t="s">
        <v>1687</v>
      </c>
      <c r="B122" s="8" t="s">
        <v>1516</v>
      </c>
      <c r="C122" s="8" t="s">
        <v>1688</v>
      </c>
      <c r="D122" s="8" t="s">
        <v>1689</v>
      </c>
      <c r="E122" s="8" t="s">
        <v>1670</v>
      </c>
      <c r="F122" s="61"/>
      <c r="G122" s="59">
        <v>8</v>
      </c>
      <c r="H122" s="70">
        <v>1</v>
      </c>
      <c r="I122" s="8"/>
      <c r="J122" s="8"/>
      <c r="K122" s="8"/>
      <c r="L122" s="8"/>
      <c r="M122" s="57"/>
    </row>
    <row r="123" spans="1:13" ht="21">
      <c r="A123" s="61" t="s">
        <v>1690</v>
      </c>
      <c r="B123" s="8" t="s">
        <v>1691</v>
      </c>
      <c r="C123" s="8" t="s">
        <v>1692</v>
      </c>
      <c r="D123" s="8" t="s">
        <v>1693</v>
      </c>
      <c r="E123" s="8" t="s">
        <v>1686</v>
      </c>
      <c r="F123" s="61"/>
      <c r="G123" s="59">
        <v>8</v>
      </c>
      <c r="H123" s="70">
        <v>1</v>
      </c>
      <c r="I123" s="8"/>
      <c r="J123" s="8"/>
      <c r="K123" s="8"/>
      <c r="L123" s="8"/>
      <c r="M123" s="57"/>
    </row>
    <row r="124" spans="1:13" ht="21">
      <c r="A124" s="72" t="s">
        <v>1694</v>
      </c>
      <c r="B124" s="68"/>
      <c r="C124" s="68"/>
      <c r="D124" s="68"/>
      <c r="E124" s="68"/>
      <c r="F124" s="73"/>
      <c r="G124" s="77">
        <f>SUM(G115:G123)</f>
        <v>90</v>
      </c>
      <c r="H124" s="71">
        <f>SUM(H115:H123)</f>
        <v>11.25</v>
      </c>
      <c r="I124" s="68"/>
      <c r="J124" s="68"/>
      <c r="K124" s="68"/>
      <c r="L124" s="68"/>
      <c r="M124" s="68"/>
    </row>
    <row r="125" spans="1:13" ht="126">
      <c r="A125" s="61" t="s">
        <v>1695</v>
      </c>
      <c r="B125" s="8" t="s">
        <v>1696</v>
      </c>
      <c r="C125" s="8" t="s">
        <v>1697</v>
      </c>
      <c r="D125" s="8" t="s">
        <v>2501</v>
      </c>
      <c r="E125" s="8" t="s">
        <v>1031</v>
      </c>
      <c r="F125" s="61"/>
      <c r="G125" s="59">
        <v>24</v>
      </c>
      <c r="H125" s="79">
        <v>3</v>
      </c>
      <c r="I125" s="57"/>
      <c r="J125" s="57"/>
      <c r="K125" s="57"/>
      <c r="L125" s="57"/>
      <c r="M125" s="57"/>
    </row>
    <row r="126" spans="1:13" ht="42">
      <c r="A126" s="61" t="s">
        <v>1698</v>
      </c>
      <c r="B126" s="8" t="s">
        <v>1696</v>
      </c>
      <c r="C126" s="8" t="s">
        <v>1699</v>
      </c>
      <c r="D126" s="8" t="s">
        <v>1700</v>
      </c>
      <c r="E126" s="8" t="s">
        <v>1695</v>
      </c>
      <c r="F126" s="61"/>
      <c r="G126" s="59">
        <v>8</v>
      </c>
      <c r="H126" s="79">
        <v>1</v>
      </c>
      <c r="I126" s="57"/>
      <c r="J126" s="57"/>
      <c r="K126" s="57"/>
      <c r="L126" s="57"/>
      <c r="M126" s="57"/>
    </row>
    <row r="127" spans="1:13" ht="42">
      <c r="A127" s="61" t="s">
        <v>1701</v>
      </c>
      <c r="B127" s="8" t="s">
        <v>1472</v>
      </c>
      <c r="C127" s="8" t="s">
        <v>1702</v>
      </c>
      <c r="D127" s="8" t="s">
        <v>1703</v>
      </c>
      <c r="E127" s="8" t="s">
        <v>1704</v>
      </c>
      <c r="F127" s="61"/>
      <c r="G127" s="59">
        <v>8</v>
      </c>
      <c r="H127" s="79">
        <v>1</v>
      </c>
      <c r="I127" s="57"/>
      <c r="J127" s="57"/>
      <c r="K127" s="57"/>
      <c r="L127" s="57"/>
      <c r="M127" s="57"/>
    </row>
    <row r="128" spans="1:13" ht="63">
      <c r="A128" s="61" t="s">
        <v>1705</v>
      </c>
      <c r="B128" s="8" t="s">
        <v>1706</v>
      </c>
      <c r="C128" s="8" t="s">
        <v>1707</v>
      </c>
      <c r="D128" s="8" t="s">
        <v>1708</v>
      </c>
      <c r="E128" s="8" t="s">
        <v>49</v>
      </c>
      <c r="F128" s="61"/>
      <c r="G128" s="59">
        <v>16</v>
      </c>
      <c r="H128" s="79">
        <v>2</v>
      </c>
      <c r="I128" s="57"/>
      <c r="J128" s="57"/>
      <c r="K128" s="57"/>
      <c r="L128" s="57"/>
      <c r="M128" s="57"/>
    </row>
    <row r="129" spans="1:13" ht="42">
      <c r="A129" s="61" t="s">
        <v>1709</v>
      </c>
      <c r="B129" s="8" t="s">
        <v>768</v>
      </c>
      <c r="C129" s="8" t="s">
        <v>1710</v>
      </c>
      <c r="D129" s="8" t="s">
        <v>1711</v>
      </c>
      <c r="E129" s="8" t="s">
        <v>1530</v>
      </c>
      <c r="F129" s="61"/>
      <c r="G129" s="59">
        <v>4</v>
      </c>
      <c r="H129" s="79">
        <v>0.5</v>
      </c>
      <c r="I129" s="57"/>
      <c r="J129" s="57"/>
      <c r="K129" s="57"/>
      <c r="L129" s="57"/>
      <c r="M129" s="57"/>
    </row>
    <row r="130" spans="1:13" ht="21">
      <c r="A130" s="61" t="s">
        <v>1712</v>
      </c>
      <c r="B130" s="8" t="s">
        <v>1706</v>
      </c>
      <c r="C130" s="8" t="s">
        <v>1713</v>
      </c>
      <c r="D130" s="8" t="s">
        <v>1714</v>
      </c>
      <c r="E130" s="8" t="s">
        <v>1705</v>
      </c>
      <c r="F130" s="61"/>
      <c r="G130" s="59">
        <v>8</v>
      </c>
      <c r="H130" s="79">
        <v>1</v>
      </c>
      <c r="I130" s="57"/>
      <c r="J130" s="57"/>
      <c r="K130" s="57"/>
      <c r="L130" s="57"/>
      <c r="M130" s="57"/>
    </row>
    <row r="131" spans="1:13" ht="42">
      <c r="A131" s="61" t="s">
        <v>1715</v>
      </c>
      <c r="B131" s="8" t="s">
        <v>1706</v>
      </c>
      <c r="C131" s="8" t="s">
        <v>1716</v>
      </c>
      <c r="D131" s="8" t="s">
        <v>1717</v>
      </c>
      <c r="E131" s="8" t="s">
        <v>1718</v>
      </c>
      <c r="F131" s="61"/>
      <c r="G131" s="59">
        <v>16</v>
      </c>
      <c r="H131" s="79">
        <v>2</v>
      </c>
      <c r="I131" s="57"/>
      <c r="J131" s="57"/>
      <c r="K131" s="57"/>
      <c r="L131" s="57"/>
      <c r="M131" s="57"/>
    </row>
    <row r="132" spans="1:13" ht="21">
      <c r="A132" s="61" t="s">
        <v>1719</v>
      </c>
      <c r="B132" s="8" t="s">
        <v>1691</v>
      </c>
      <c r="C132" s="8" t="s">
        <v>1720</v>
      </c>
      <c r="D132" s="8" t="s">
        <v>1721</v>
      </c>
      <c r="E132" s="8" t="s">
        <v>1690</v>
      </c>
      <c r="F132" s="61"/>
      <c r="G132" s="59">
        <v>12</v>
      </c>
      <c r="H132" s="79">
        <v>1.5</v>
      </c>
      <c r="I132" s="57"/>
      <c r="J132" s="57"/>
      <c r="K132" s="57"/>
      <c r="L132" s="57"/>
      <c r="M132" s="57"/>
    </row>
    <row r="133" spans="1:13" ht="21">
      <c r="A133" s="61" t="s">
        <v>1722</v>
      </c>
      <c r="B133" s="8" t="s">
        <v>1691</v>
      </c>
      <c r="C133" s="8" t="s">
        <v>1723</v>
      </c>
      <c r="D133" s="8" t="s">
        <v>1724</v>
      </c>
      <c r="E133" s="8" t="s">
        <v>1719</v>
      </c>
      <c r="F133" s="61"/>
      <c r="G133" s="59">
        <v>4</v>
      </c>
      <c r="H133" s="79">
        <v>0.5</v>
      </c>
      <c r="I133" s="57"/>
      <c r="J133" s="57"/>
      <c r="K133" s="57"/>
      <c r="L133" s="57"/>
      <c r="M133" s="57"/>
    </row>
    <row r="134" spans="1:13" ht="21">
      <c r="A134" s="61" t="s">
        <v>1725</v>
      </c>
      <c r="B134" s="8" t="s">
        <v>1726</v>
      </c>
      <c r="C134" s="8" t="s">
        <v>1727</v>
      </c>
      <c r="D134" s="8" t="s">
        <v>1728</v>
      </c>
      <c r="E134" s="8" t="s">
        <v>49</v>
      </c>
      <c r="F134" s="61"/>
      <c r="G134" s="59">
        <v>44</v>
      </c>
      <c r="H134" s="79">
        <v>5.5</v>
      </c>
      <c r="I134" s="57"/>
      <c r="J134" s="57"/>
      <c r="K134" s="57"/>
      <c r="L134" s="57"/>
      <c r="M134" s="57"/>
    </row>
    <row r="135" spans="1:13" ht="42">
      <c r="A135" s="72" t="s">
        <v>1729</v>
      </c>
      <c r="B135" s="68"/>
      <c r="C135" s="68"/>
      <c r="D135" s="68"/>
      <c r="E135" s="68"/>
      <c r="F135" s="73"/>
      <c r="G135" s="77">
        <f>SUM(G125:G134)</f>
        <v>144</v>
      </c>
      <c r="H135" s="71">
        <f>SUM(H125:H134)</f>
        <v>18</v>
      </c>
      <c r="I135" s="68"/>
      <c r="J135" s="68"/>
      <c r="K135" s="68"/>
      <c r="L135" s="68"/>
      <c r="M135" s="68"/>
    </row>
    <row r="136" spans="1:13" ht="21">
      <c r="A136" s="81" t="s">
        <v>1730</v>
      </c>
      <c r="B136" s="76"/>
      <c r="C136" s="76"/>
      <c r="D136" s="76"/>
      <c r="E136" s="76"/>
      <c r="F136" s="82"/>
      <c r="G136" s="78">
        <f>G9+G36+G47+G79+G93+G114+G124+G135</f>
        <v>487.5</v>
      </c>
      <c r="H136" s="80">
        <f>H9+H36+H47+H79+H93+H114+H124+H135</f>
        <v>60.9375</v>
      </c>
      <c r="I136" s="76"/>
      <c r="J136" s="76"/>
      <c r="K136" s="76"/>
      <c r="L136" s="76"/>
      <c r="M136" s="76"/>
    </row>
  </sheetData>
  <autoFilter ref="A1:M136" xr:uid="{715DF64A-6159-354B-ABF7-65BBF66877B8}"/>
  <phoneticPr fontId="2"/>
  <dataValidations count="1">
    <dataValidation type="list" allowBlank="1" showInputMessage="1" showErrorMessage="1" sqref="B2:B135" xr:uid="{B7F0058C-7946-264B-9A6D-BA63516C1A25}">
      <formula1>"外部調整,基盤IaC,監視(定型),機能実装,改修,配布物,テスト,運用,ガイド,ドキュメント,管理"</formula1>
    </dataValidation>
  </dataValidation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975903-347B-8B4A-9232-F071B506365A}">
  <dimension ref="A1:D61"/>
  <sheetViews>
    <sheetView workbookViewId="0"/>
  </sheetViews>
  <sheetFormatPr baseColWidth="10" defaultRowHeight="20"/>
  <cols>
    <col min="1" max="1" width="35.7109375" customWidth="1"/>
    <col min="2" max="2" width="80" customWidth="1"/>
    <col min="3" max="3" width="17.140625" customWidth="1"/>
    <col min="4" max="4" width="18.5703125" customWidth="1"/>
  </cols>
  <sheetData>
    <row r="1" spans="1:2" ht="27">
      <c r="A1" s="1" t="s">
        <v>1731</v>
      </c>
    </row>
    <row r="2" spans="1:2" ht="63">
      <c r="A2" s="4" t="s">
        <v>1732</v>
      </c>
    </row>
    <row r="4" spans="1:2">
      <c r="A4" s="2" t="s">
        <v>1733</v>
      </c>
    </row>
    <row r="5" spans="1:2">
      <c r="A5" s="7" t="s">
        <v>494</v>
      </c>
      <c r="B5" s="7" t="s">
        <v>1734</v>
      </c>
    </row>
    <row r="6" spans="1:2" ht="21">
      <c r="A6" s="8">
        <v>1</v>
      </c>
      <c r="B6" s="8" t="s">
        <v>1735</v>
      </c>
    </row>
    <row r="7" spans="1:2" ht="21">
      <c r="A7" s="8">
        <v>2</v>
      </c>
      <c r="B7" s="8" t="s">
        <v>1736</v>
      </c>
    </row>
    <row r="8" spans="1:2" ht="21">
      <c r="A8" s="8">
        <v>3</v>
      </c>
      <c r="B8" s="8" t="s">
        <v>1737</v>
      </c>
    </row>
    <row r="9" spans="1:2" ht="21">
      <c r="A9" s="8">
        <v>4</v>
      </c>
      <c r="B9" s="8" t="s">
        <v>1738</v>
      </c>
    </row>
    <row r="10" spans="1:2" ht="105">
      <c r="A10" s="8">
        <v>5</v>
      </c>
      <c r="B10" s="8" t="s">
        <v>1739</v>
      </c>
    </row>
    <row r="11" spans="1:2" ht="42">
      <c r="A11" s="8">
        <v>6</v>
      </c>
      <c r="B11" s="8" t="s">
        <v>1740</v>
      </c>
    </row>
    <row r="12" spans="1:2" ht="21">
      <c r="A12" s="8">
        <v>7</v>
      </c>
      <c r="B12" s="8" t="s">
        <v>1741</v>
      </c>
    </row>
    <row r="14" spans="1:2" ht="84">
      <c r="A14" s="4" t="s">
        <v>1742</v>
      </c>
    </row>
    <row r="15" spans="1:2" ht="63">
      <c r="A15" s="4" t="s">
        <v>1743</v>
      </c>
    </row>
    <row r="17" spans="1:4">
      <c r="A17" s="2" t="s">
        <v>1744</v>
      </c>
    </row>
    <row r="18" spans="1:4" ht="147">
      <c r="A18" s="4" t="s">
        <v>2187</v>
      </c>
    </row>
    <row r="20" spans="1:4">
      <c r="A20" s="2" t="s">
        <v>1745</v>
      </c>
    </row>
    <row r="21" spans="1:4">
      <c r="A21" s="7" t="s">
        <v>234</v>
      </c>
      <c r="B21" s="7" t="s">
        <v>1374</v>
      </c>
      <c r="C21" s="7" t="s">
        <v>1746</v>
      </c>
      <c r="D21" s="7" t="s">
        <v>1747</v>
      </c>
    </row>
    <row r="22" spans="1:4">
      <c r="A22" s="57" t="s">
        <v>1748</v>
      </c>
      <c r="B22" s="60">
        <v>40</v>
      </c>
      <c r="C22" s="60">
        <v>5</v>
      </c>
      <c r="D22" s="57" t="s">
        <v>1749</v>
      </c>
    </row>
    <row r="23" spans="1:4">
      <c r="A23" s="57" t="s">
        <v>1750</v>
      </c>
      <c r="B23" s="60">
        <v>29</v>
      </c>
      <c r="C23" s="60">
        <v>3.625</v>
      </c>
      <c r="D23" s="57" t="s">
        <v>1751</v>
      </c>
    </row>
    <row r="24" spans="1:4">
      <c r="A24" s="57" t="s">
        <v>1752</v>
      </c>
      <c r="B24" s="60">
        <v>13</v>
      </c>
      <c r="C24" s="60">
        <v>1.625</v>
      </c>
      <c r="D24" s="57" t="s">
        <v>1753</v>
      </c>
    </row>
    <row r="25" spans="1:4">
      <c r="A25" s="57" t="s">
        <v>1754</v>
      </c>
      <c r="B25" s="60">
        <v>170.5</v>
      </c>
      <c r="C25" s="60">
        <v>21.3125</v>
      </c>
      <c r="D25" s="57" t="s">
        <v>1755</v>
      </c>
    </row>
    <row r="26" spans="1:4">
      <c r="A26" s="57" t="s">
        <v>1756</v>
      </c>
      <c r="B26" s="60">
        <v>90</v>
      </c>
      <c r="C26" s="60">
        <v>11.25</v>
      </c>
      <c r="D26" s="57" t="s">
        <v>1757</v>
      </c>
    </row>
    <row r="27" spans="1:4">
      <c r="A27" s="57" t="s">
        <v>1758</v>
      </c>
      <c r="B27" s="60">
        <v>100</v>
      </c>
      <c r="C27" s="60">
        <v>12.5</v>
      </c>
      <c r="D27" s="57" t="s">
        <v>1759</v>
      </c>
    </row>
    <row r="28" spans="1:4">
      <c r="A28" s="57" t="s">
        <v>1760</v>
      </c>
      <c r="B28" s="60">
        <v>44</v>
      </c>
      <c r="C28" s="60">
        <v>5.5</v>
      </c>
      <c r="D28" s="57" t="s">
        <v>1761</v>
      </c>
    </row>
    <row r="29" spans="1:4">
      <c r="A29" s="62" t="s">
        <v>1762</v>
      </c>
      <c r="B29" s="63">
        <v>486.5</v>
      </c>
      <c r="C29" s="63">
        <v>60.8125</v>
      </c>
      <c r="D29" s="62" t="s">
        <v>1763</v>
      </c>
    </row>
    <row r="30" spans="1:4">
      <c r="A30" s="57"/>
      <c r="B30" s="57"/>
      <c r="C30" s="57"/>
      <c r="D30" s="57"/>
    </row>
    <row r="31" spans="1:4" ht="168">
      <c r="A31" s="64" t="s">
        <v>1764</v>
      </c>
    </row>
    <row r="33" spans="1:3">
      <c r="A33" s="2" t="s">
        <v>1765</v>
      </c>
    </row>
    <row r="34" spans="1:3">
      <c r="A34" s="7" t="s">
        <v>273</v>
      </c>
      <c r="B34" s="7" t="s">
        <v>47</v>
      </c>
      <c r="C34" s="7" t="s">
        <v>1374</v>
      </c>
    </row>
    <row r="35" spans="1:3" ht="21">
      <c r="A35" s="8" t="s">
        <v>1471</v>
      </c>
      <c r="B35" s="8" t="s">
        <v>1766</v>
      </c>
      <c r="C35" s="69">
        <v>2</v>
      </c>
    </row>
    <row r="36" spans="1:3" ht="21">
      <c r="A36" s="8" t="s">
        <v>1475</v>
      </c>
      <c r="B36" s="8" t="s">
        <v>1476</v>
      </c>
      <c r="C36" s="69">
        <v>2</v>
      </c>
    </row>
    <row r="37" spans="1:3" ht="21">
      <c r="A37" s="8" t="s">
        <v>1767</v>
      </c>
      <c r="B37" s="8" t="s">
        <v>1768</v>
      </c>
      <c r="C37" s="69">
        <v>7</v>
      </c>
    </row>
    <row r="38" spans="1:3" ht="21">
      <c r="A38" s="8" t="s">
        <v>1500</v>
      </c>
      <c r="B38" s="8" t="s">
        <v>1501</v>
      </c>
      <c r="C38" s="69">
        <v>2</v>
      </c>
    </row>
    <row r="39" spans="1:3" ht="21">
      <c r="A39" s="8" t="s">
        <v>1684</v>
      </c>
      <c r="B39" s="8" t="s">
        <v>1685</v>
      </c>
      <c r="C39" s="69">
        <v>4</v>
      </c>
    </row>
    <row r="40" spans="1:3" ht="21">
      <c r="A40" s="8" t="s">
        <v>1701</v>
      </c>
      <c r="B40" s="8" t="s">
        <v>1702</v>
      </c>
      <c r="C40" s="69">
        <v>8</v>
      </c>
    </row>
    <row r="41" spans="1:3" ht="21">
      <c r="A41" s="74" t="s">
        <v>1769</v>
      </c>
      <c r="B41" s="62"/>
      <c r="C41" s="75">
        <v>25</v>
      </c>
    </row>
    <row r="43" spans="1:3" ht="63">
      <c r="A43" s="4" t="s">
        <v>1770</v>
      </c>
    </row>
    <row r="45" spans="1:3">
      <c r="A45" s="2" t="s">
        <v>1771</v>
      </c>
    </row>
    <row r="46" spans="1:3" ht="126">
      <c r="A46" s="4" t="s">
        <v>1772</v>
      </c>
    </row>
    <row r="47" spans="1:3" ht="84">
      <c r="A47" s="4" t="s">
        <v>1773</v>
      </c>
    </row>
    <row r="48" spans="1:3" ht="63">
      <c r="A48" s="4" t="s">
        <v>1774</v>
      </c>
    </row>
    <row r="49" spans="1:2" ht="147">
      <c r="A49" s="4" t="s">
        <v>1775</v>
      </c>
    </row>
    <row r="50" spans="1:2" ht="21">
      <c r="A50" s="10" t="s">
        <v>1776</v>
      </c>
    </row>
    <row r="51" spans="1:2">
      <c r="A51" s="7" t="s">
        <v>1777</v>
      </c>
      <c r="B51" s="7" t="s">
        <v>1778</v>
      </c>
    </row>
    <row r="52" spans="1:2" ht="21">
      <c r="A52" s="8" t="s">
        <v>1779</v>
      </c>
      <c r="B52" s="8" t="s">
        <v>1780</v>
      </c>
    </row>
    <row r="53" spans="1:2" ht="42">
      <c r="A53" s="8" t="s">
        <v>1781</v>
      </c>
      <c r="B53" s="8" t="s">
        <v>1782</v>
      </c>
    </row>
    <row r="54" spans="1:2" ht="21">
      <c r="A54" s="8" t="s">
        <v>1783</v>
      </c>
      <c r="B54" s="8" t="s">
        <v>1784</v>
      </c>
    </row>
    <row r="55" spans="1:2" ht="21">
      <c r="A55" s="8" t="s">
        <v>1785</v>
      </c>
      <c r="B55" s="8" t="s">
        <v>1786</v>
      </c>
    </row>
    <row r="56" spans="1:2" ht="21">
      <c r="A56" s="8" t="s">
        <v>1787</v>
      </c>
      <c r="B56" s="8" t="s">
        <v>1788</v>
      </c>
    </row>
    <row r="58" spans="1:2" ht="21">
      <c r="A58" s="10" t="s">
        <v>1789</v>
      </c>
    </row>
    <row r="59" spans="1:2" ht="63">
      <c r="A59" s="4" t="s">
        <v>1790</v>
      </c>
    </row>
    <row r="60" spans="1:2" ht="63">
      <c r="A60" s="4" t="s">
        <v>1791</v>
      </c>
    </row>
    <row r="61" spans="1:2" ht="42">
      <c r="A61" s="4" t="s">
        <v>1792</v>
      </c>
    </row>
  </sheetData>
  <phoneticPr fontId="2"/>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7DC3A4-87AC-9E4E-89CA-F862606B80B5}">
  <dimension ref="A1:H46"/>
  <sheetViews>
    <sheetView topLeftCell="A12" workbookViewId="0">
      <selection activeCell="F33" sqref="F33"/>
    </sheetView>
  </sheetViews>
  <sheetFormatPr baseColWidth="10" defaultRowHeight="20"/>
  <cols>
    <col min="1" max="1" width="10" customWidth="1"/>
    <col min="2" max="2" width="27.140625" customWidth="1"/>
    <col min="3" max="3" width="21.42578125" customWidth="1"/>
    <col min="4" max="4" width="47.140625" customWidth="1"/>
    <col min="5" max="6" width="21.42578125" customWidth="1"/>
    <col min="7" max="7" width="17.140625" customWidth="1"/>
    <col min="8" max="8" width="47.140625" customWidth="1"/>
  </cols>
  <sheetData>
    <row r="1" spans="1:5" ht="27">
      <c r="A1" s="1" t="s">
        <v>1793</v>
      </c>
    </row>
    <row r="2" spans="1:5">
      <c r="A2" s="3" t="s">
        <v>1794</v>
      </c>
    </row>
    <row r="4" spans="1:5">
      <c r="A4" s="2" t="s">
        <v>1795</v>
      </c>
    </row>
    <row r="5" spans="1:5">
      <c r="A5" s="7" t="s">
        <v>494</v>
      </c>
      <c r="B5" s="7" t="s">
        <v>1796</v>
      </c>
      <c r="C5" s="7" t="s">
        <v>634</v>
      </c>
      <c r="D5" s="7" t="s">
        <v>1797</v>
      </c>
      <c r="E5" s="7" t="s">
        <v>275</v>
      </c>
    </row>
    <row r="6" spans="1:5">
      <c r="A6" s="67" t="s">
        <v>1798</v>
      </c>
      <c r="B6" s="67" t="s">
        <v>1799</v>
      </c>
      <c r="C6" s="67">
        <v>3</v>
      </c>
      <c r="D6" s="67">
        <v>30</v>
      </c>
      <c r="E6" s="67" t="s">
        <v>1800</v>
      </c>
    </row>
    <row r="7" spans="1:5">
      <c r="A7" s="67" t="s">
        <v>1801</v>
      </c>
      <c r="B7" s="67" t="s">
        <v>1802</v>
      </c>
      <c r="C7" s="67" t="s">
        <v>1803</v>
      </c>
      <c r="D7" s="67">
        <v>2</v>
      </c>
      <c r="E7" s="67" t="s">
        <v>1804</v>
      </c>
    </row>
    <row r="8" spans="1:5">
      <c r="A8" s="67" t="s">
        <v>1805</v>
      </c>
      <c r="B8" s="67" t="s">
        <v>1806</v>
      </c>
      <c r="C8" s="67">
        <v>30</v>
      </c>
      <c r="D8" s="67">
        <v>30</v>
      </c>
      <c r="E8" s="67" t="s">
        <v>1807</v>
      </c>
    </row>
    <row r="9" spans="1:5">
      <c r="A9" s="67" t="s">
        <v>1808</v>
      </c>
      <c r="B9" s="67" t="s">
        <v>411</v>
      </c>
      <c r="C9" s="67" t="s">
        <v>1809</v>
      </c>
      <c r="D9" s="67" t="s">
        <v>1810</v>
      </c>
      <c r="E9" s="67" t="s">
        <v>2125</v>
      </c>
    </row>
    <row r="10" spans="1:5">
      <c r="A10" s="67" t="s">
        <v>1811</v>
      </c>
      <c r="B10" s="67" t="s">
        <v>2142</v>
      </c>
      <c r="C10" s="67" t="s">
        <v>1812</v>
      </c>
      <c r="D10" s="67" t="s">
        <v>1813</v>
      </c>
      <c r="E10" s="67" t="s">
        <v>1814</v>
      </c>
    </row>
    <row r="11" spans="1:5">
      <c r="A11" s="67" t="s">
        <v>1815</v>
      </c>
      <c r="B11" s="67" t="s">
        <v>2188</v>
      </c>
      <c r="C11" s="67" t="s">
        <v>1816</v>
      </c>
      <c r="D11" s="67" t="s">
        <v>1816</v>
      </c>
      <c r="E11" s="67" t="s">
        <v>1817</v>
      </c>
    </row>
    <row r="12" spans="1:5">
      <c r="A12" s="67" t="s">
        <v>1818</v>
      </c>
      <c r="B12" s="67" t="s">
        <v>1819</v>
      </c>
      <c r="C12" s="67" t="s">
        <v>1820</v>
      </c>
      <c r="D12" s="67" t="s">
        <v>1821</v>
      </c>
      <c r="E12" s="67" t="s">
        <v>1822</v>
      </c>
    </row>
    <row r="13" spans="1:5">
      <c r="A13" s="67" t="s">
        <v>1823</v>
      </c>
      <c r="B13" s="67" t="s">
        <v>1824</v>
      </c>
      <c r="C13" s="67" t="s">
        <v>1825</v>
      </c>
      <c r="D13" s="67" t="s">
        <v>1810</v>
      </c>
      <c r="E13" s="67" t="s">
        <v>1826</v>
      </c>
    </row>
    <row r="15" spans="1:5">
      <c r="A15" s="84" t="s">
        <v>1827</v>
      </c>
    </row>
    <row r="17" spans="1:8">
      <c r="A17" s="2" t="s">
        <v>1828</v>
      </c>
    </row>
    <row r="18" spans="1:8">
      <c r="A18" s="7" t="s">
        <v>273</v>
      </c>
      <c r="B18" s="7" t="s">
        <v>46</v>
      </c>
      <c r="C18" s="7" t="s">
        <v>66</v>
      </c>
      <c r="D18" s="7" t="s">
        <v>1829</v>
      </c>
      <c r="E18" s="7" t="s">
        <v>1830</v>
      </c>
      <c r="F18" s="7" t="s">
        <v>1831</v>
      </c>
      <c r="G18" s="7" t="s">
        <v>1832</v>
      </c>
      <c r="H18" s="7" t="s">
        <v>116</v>
      </c>
    </row>
    <row r="19" spans="1:8">
      <c r="A19" s="67" t="s">
        <v>1833</v>
      </c>
      <c r="B19" s="67" t="s">
        <v>71</v>
      </c>
      <c r="C19" s="67" t="s">
        <v>72</v>
      </c>
      <c r="D19" s="67" t="s">
        <v>1834</v>
      </c>
      <c r="E19" s="85" t="s">
        <v>1835</v>
      </c>
      <c r="F19" s="85" t="s">
        <v>1836</v>
      </c>
      <c r="G19" s="67" t="s">
        <v>1837</v>
      </c>
      <c r="H19" s="67" t="s">
        <v>1838</v>
      </c>
    </row>
    <row r="20" spans="1:8">
      <c r="A20" s="67" t="s">
        <v>1839</v>
      </c>
      <c r="B20" s="67" t="s">
        <v>438</v>
      </c>
      <c r="C20" s="67" t="s">
        <v>72</v>
      </c>
      <c r="D20" s="67" t="s">
        <v>1840</v>
      </c>
      <c r="E20" s="85" t="s">
        <v>1841</v>
      </c>
      <c r="F20" s="85" t="s">
        <v>1842</v>
      </c>
      <c r="G20" s="67" t="s">
        <v>1837</v>
      </c>
      <c r="H20" s="67" t="s">
        <v>2189</v>
      </c>
    </row>
    <row r="21" spans="1:8">
      <c r="A21" s="67" t="s">
        <v>1843</v>
      </c>
      <c r="B21" s="67" t="s">
        <v>600</v>
      </c>
      <c r="C21" s="67" t="s">
        <v>72</v>
      </c>
      <c r="D21" s="67" t="s">
        <v>1844</v>
      </c>
      <c r="E21" s="85" t="s">
        <v>1845</v>
      </c>
      <c r="F21" s="85" t="s">
        <v>1845</v>
      </c>
      <c r="G21" s="67" t="s">
        <v>1837</v>
      </c>
      <c r="H21" s="67" t="s">
        <v>1846</v>
      </c>
    </row>
    <row r="22" spans="1:8">
      <c r="A22" s="67" t="s">
        <v>1847</v>
      </c>
      <c r="B22" s="67" t="s">
        <v>1848</v>
      </c>
      <c r="C22" s="67" t="s">
        <v>69</v>
      </c>
      <c r="D22" s="67" t="s">
        <v>1849</v>
      </c>
      <c r="E22" s="85" t="s">
        <v>1845</v>
      </c>
      <c r="F22" s="85" t="s">
        <v>1845</v>
      </c>
      <c r="G22" s="67" t="s">
        <v>1837</v>
      </c>
      <c r="H22" s="67" t="s">
        <v>1850</v>
      </c>
    </row>
    <row r="23" spans="1:8">
      <c r="A23" s="67" t="s">
        <v>1851</v>
      </c>
      <c r="B23" s="67" t="s">
        <v>73</v>
      </c>
      <c r="C23" s="67" t="s">
        <v>1852</v>
      </c>
      <c r="D23" s="67" t="s">
        <v>1853</v>
      </c>
      <c r="E23" s="85" t="s">
        <v>1841</v>
      </c>
      <c r="F23" s="85" t="s">
        <v>1854</v>
      </c>
      <c r="G23" s="67" t="s">
        <v>1837</v>
      </c>
      <c r="H23" s="67" t="s">
        <v>1855</v>
      </c>
    </row>
    <row r="24" spans="1:8">
      <c r="A24" s="67" t="s">
        <v>1856</v>
      </c>
      <c r="B24" s="67" t="s">
        <v>1857</v>
      </c>
      <c r="C24" s="67" t="s">
        <v>85</v>
      </c>
      <c r="D24" s="67" t="s">
        <v>1858</v>
      </c>
      <c r="E24" s="85" t="s">
        <v>1859</v>
      </c>
      <c r="F24" s="85" t="s">
        <v>1860</v>
      </c>
      <c r="G24" s="67" t="s">
        <v>1837</v>
      </c>
      <c r="H24" s="67" t="s">
        <v>1861</v>
      </c>
    </row>
    <row r="25" spans="1:8">
      <c r="A25" s="67" t="s">
        <v>1862</v>
      </c>
      <c r="B25" s="67" t="s">
        <v>1863</v>
      </c>
      <c r="C25" s="67" t="s">
        <v>78</v>
      </c>
      <c r="D25" s="67" t="s">
        <v>1864</v>
      </c>
      <c r="E25" s="85" t="s">
        <v>1865</v>
      </c>
      <c r="F25" s="85" t="s">
        <v>1866</v>
      </c>
      <c r="G25" s="67" t="s">
        <v>1837</v>
      </c>
      <c r="H25" s="67" t="s">
        <v>1867</v>
      </c>
    </row>
    <row r="26" spans="1:8">
      <c r="A26" s="67" t="s">
        <v>1868</v>
      </c>
      <c r="B26" s="67" t="s">
        <v>425</v>
      </c>
      <c r="C26" s="67" t="s">
        <v>78</v>
      </c>
      <c r="D26" s="67" t="s">
        <v>1869</v>
      </c>
      <c r="E26" s="85" t="s">
        <v>1870</v>
      </c>
      <c r="F26" s="85" t="s">
        <v>1871</v>
      </c>
      <c r="G26" s="67" t="s">
        <v>1837</v>
      </c>
      <c r="H26" s="67"/>
    </row>
    <row r="27" spans="1:8">
      <c r="A27" s="67" t="s">
        <v>1872</v>
      </c>
      <c r="B27" s="67" t="s">
        <v>1873</v>
      </c>
      <c r="C27" s="67" t="s">
        <v>78</v>
      </c>
      <c r="D27" s="67" t="s">
        <v>1874</v>
      </c>
      <c r="E27" s="85" t="s">
        <v>1845</v>
      </c>
      <c r="F27" s="85" t="s">
        <v>1845</v>
      </c>
      <c r="G27" s="67" t="s">
        <v>1837</v>
      </c>
      <c r="H27" s="67" t="s">
        <v>1875</v>
      </c>
    </row>
    <row r="28" spans="1:8">
      <c r="A28" s="67" t="s">
        <v>1876</v>
      </c>
      <c r="B28" s="67" t="s">
        <v>1877</v>
      </c>
      <c r="C28" s="67" t="s">
        <v>1878</v>
      </c>
      <c r="D28" s="67" t="s">
        <v>1879</v>
      </c>
      <c r="E28" s="85" t="s">
        <v>1880</v>
      </c>
      <c r="F28" s="85" t="s">
        <v>1881</v>
      </c>
      <c r="G28" s="67" t="s">
        <v>1837</v>
      </c>
      <c r="H28" s="67" t="s">
        <v>1882</v>
      </c>
    </row>
    <row r="29" spans="1:8">
      <c r="A29" s="67" t="s">
        <v>1883</v>
      </c>
      <c r="B29" s="67" t="s">
        <v>1884</v>
      </c>
      <c r="C29" s="67" t="s">
        <v>83</v>
      </c>
      <c r="D29" s="67" t="s">
        <v>1885</v>
      </c>
      <c r="E29" s="85" t="s">
        <v>1845</v>
      </c>
      <c r="F29" s="85" t="s">
        <v>1845</v>
      </c>
      <c r="G29" s="67" t="s">
        <v>1837</v>
      </c>
      <c r="H29" s="67" t="s">
        <v>1886</v>
      </c>
    </row>
    <row r="30" spans="1:8">
      <c r="A30" s="86" t="s">
        <v>1887</v>
      </c>
      <c r="B30" s="86" t="s">
        <v>1888</v>
      </c>
      <c r="C30" s="86" t="s">
        <v>1889</v>
      </c>
      <c r="D30" s="86" t="s">
        <v>1890</v>
      </c>
      <c r="E30" s="87" t="s">
        <v>1854</v>
      </c>
      <c r="F30" s="87" t="s">
        <v>1891</v>
      </c>
      <c r="G30" s="88" t="s">
        <v>1892</v>
      </c>
      <c r="H30" s="86" t="s">
        <v>1893</v>
      </c>
    </row>
    <row r="31" spans="1:8">
      <c r="A31" s="86" t="s">
        <v>1894</v>
      </c>
      <c r="B31" s="86" t="s">
        <v>1895</v>
      </c>
      <c r="C31" s="86" t="s">
        <v>89</v>
      </c>
      <c r="D31" s="86" t="s">
        <v>1896</v>
      </c>
      <c r="E31" s="87" t="s">
        <v>1897</v>
      </c>
      <c r="F31" s="87" t="s">
        <v>1898</v>
      </c>
      <c r="G31" s="88" t="s">
        <v>1892</v>
      </c>
      <c r="H31" s="86" t="s">
        <v>1899</v>
      </c>
    </row>
    <row r="32" spans="1:8">
      <c r="A32" s="67" t="s">
        <v>1900</v>
      </c>
      <c r="B32" s="67" t="s">
        <v>1901</v>
      </c>
      <c r="C32" s="67" t="s">
        <v>1901</v>
      </c>
      <c r="D32" s="67" t="s">
        <v>1902</v>
      </c>
      <c r="E32" s="85" t="s">
        <v>1903</v>
      </c>
      <c r="F32" s="85" t="s">
        <v>1903</v>
      </c>
      <c r="G32" s="67" t="s">
        <v>1837</v>
      </c>
      <c r="H32" s="67" t="s">
        <v>1904</v>
      </c>
    </row>
    <row r="33" spans="1:8">
      <c r="A33" s="89"/>
      <c r="B33" s="89" t="s">
        <v>1905</v>
      </c>
      <c r="C33" s="89"/>
      <c r="D33" s="89"/>
      <c r="E33" s="90" t="s">
        <v>1906</v>
      </c>
      <c r="F33" s="90" t="s">
        <v>1907</v>
      </c>
      <c r="G33" s="89"/>
      <c r="H33" s="89" t="s">
        <v>1908</v>
      </c>
    </row>
    <row r="35" spans="1:8">
      <c r="A35" s="2" t="s">
        <v>1909</v>
      </c>
    </row>
    <row r="36" spans="1:8">
      <c r="A36" s="3" t="s">
        <v>1910</v>
      </c>
    </row>
    <row r="37" spans="1:8">
      <c r="A37" s="3" t="s">
        <v>1911</v>
      </c>
    </row>
    <row r="38" spans="1:8">
      <c r="A38" s="3" t="s">
        <v>1912</v>
      </c>
    </row>
    <row r="39" spans="1:8">
      <c r="A39" s="3" t="s">
        <v>2038</v>
      </c>
    </row>
    <row r="41" spans="1:8">
      <c r="A41" s="66" t="s">
        <v>1913</v>
      </c>
    </row>
    <row r="42" spans="1:8">
      <c r="A42" s="7" t="s">
        <v>273</v>
      </c>
      <c r="B42" s="7" t="s">
        <v>47</v>
      </c>
    </row>
    <row r="43" spans="1:8">
      <c r="A43" s="67" t="s">
        <v>1239</v>
      </c>
      <c r="B43" s="67" t="s">
        <v>1240</v>
      </c>
    </row>
    <row r="44" spans="1:8">
      <c r="A44" s="67" t="s">
        <v>1242</v>
      </c>
      <c r="B44" s="67" t="s">
        <v>2180</v>
      </c>
    </row>
    <row r="45" spans="1:8">
      <c r="A45" s="67" t="s">
        <v>1243</v>
      </c>
      <c r="B45" s="67" t="s">
        <v>1244</v>
      </c>
    </row>
    <row r="46" spans="1:8">
      <c r="A46" s="67" t="s">
        <v>1246</v>
      </c>
      <c r="B46" s="67" t="s">
        <v>1247</v>
      </c>
    </row>
  </sheetData>
  <phoneticPr fontId="2"/>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C7C677-0766-0848-BFDC-344E2CC70E69}">
  <dimension ref="A1:H44"/>
  <sheetViews>
    <sheetView workbookViewId="0">
      <selection activeCell="C18" sqref="C18"/>
    </sheetView>
  </sheetViews>
  <sheetFormatPr baseColWidth="10" defaultRowHeight="20"/>
  <cols>
    <col min="1" max="1" width="10" customWidth="1"/>
    <col min="2" max="2" width="62.85546875" customWidth="1"/>
    <col min="3" max="3" width="28.5703125" customWidth="1"/>
    <col min="4" max="4" width="61.42578125" customWidth="1"/>
    <col min="5" max="5" width="15.7109375" customWidth="1"/>
    <col min="6" max="7" width="8.85546875" customWidth="1"/>
    <col min="8" max="8" width="17.140625" customWidth="1"/>
  </cols>
  <sheetData>
    <row r="1" spans="1:8" ht="27">
      <c r="A1" s="1" t="s">
        <v>1914</v>
      </c>
    </row>
    <row r="2" spans="1:8">
      <c r="A2" s="91" t="s">
        <v>1915</v>
      </c>
    </row>
    <row r="3" spans="1:8">
      <c r="A3" s="3" t="s">
        <v>1916</v>
      </c>
    </row>
    <row r="5" spans="1:8">
      <c r="A5" s="2" t="s">
        <v>1917</v>
      </c>
    </row>
    <row r="6" spans="1:8">
      <c r="A6" s="7" t="s">
        <v>273</v>
      </c>
      <c r="B6" s="7" t="s">
        <v>234</v>
      </c>
      <c r="C6" s="7" t="s">
        <v>1918</v>
      </c>
      <c r="D6" s="7" t="s">
        <v>47</v>
      </c>
      <c r="E6" s="7" t="s">
        <v>1919</v>
      </c>
      <c r="F6" s="7" t="s">
        <v>1920</v>
      </c>
      <c r="G6" s="7" t="s">
        <v>1921</v>
      </c>
      <c r="H6" s="7" t="s">
        <v>116</v>
      </c>
    </row>
    <row r="7" spans="1:8">
      <c r="A7" s="67" t="s">
        <v>1922</v>
      </c>
      <c r="B7" s="67" t="s">
        <v>1923</v>
      </c>
      <c r="C7" s="67" t="s">
        <v>1924</v>
      </c>
      <c r="D7" s="67" t="s">
        <v>1925</v>
      </c>
      <c r="E7" s="92" t="s">
        <v>1926</v>
      </c>
      <c r="F7" s="92">
        <v>0.2</v>
      </c>
      <c r="G7" s="92">
        <v>4</v>
      </c>
      <c r="H7" s="67"/>
    </row>
    <row r="8" spans="1:8">
      <c r="A8" s="67" t="s">
        <v>1927</v>
      </c>
      <c r="B8" s="67" t="s">
        <v>1923</v>
      </c>
      <c r="C8" s="67" t="s">
        <v>1928</v>
      </c>
      <c r="D8" s="67" t="s">
        <v>1929</v>
      </c>
      <c r="E8" s="92" t="s">
        <v>1930</v>
      </c>
      <c r="F8" s="92">
        <v>2</v>
      </c>
      <c r="G8" s="92">
        <v>2</v>
      </c>
      <c r="H8" s="67"/>
    </row>
    <row r="9" spans="1:8">
      <c r="A9" s="67" t="s">
        <v>1931</v>
      </c>
      <c r="B9" s="67" t="s">
        <v>1923</v>
      </c>
      <c r="C9" s="67" t="s">
        <v>2190</v>
      </c>
      <c r="D9" s="67" t="s">
        <v>1932</v>
      </c>
      <c r="E9" s="92" t="s">
        <v>1933</v>
      </c>
      <c r="F9" s="92">
        <v>1</v>
      </c>
      <c r="G9" s="92">
        <v>1</v>
      </c>
      <c r="H9" s="67"/>
    </row>
    <row r="10" spans="1:8">
      <c r="A10" s="67" t="s">
        <v>1934</v>
      </c>
      <c r="B10" s="67" t="s">
        <v>1923</v>
      </c>
      <c r="C10" s="67" t="s">
        <v>1935</v>
      </c>
      <c r="D10" s="67" t="s">
        <v>1936</v>
      </c>
      <c r="E10" s="92" t="s">
        <v>1937</v>
      </c>
      <c r="F10" s="92">
        <v>2</v>
      </c>
      <c r="G10" s="92">
        <v>0.7</v>
      </c>
      <c r="H10" s="67"/>
    </row>
    <row r="11" spans="1:8">
      <c r="A11" s="67" t="s">
        <v>1938</v>
      </c>
      <c r="B11" s="67" t="s">
        <v>1923</v>
      </c>
      <c r="C11" s="67" t="s">
        <v>1939</v>
      </c>
      <c r="D11" s="67" t="s">
        <v>1940</v>
      </c>
      <c r="E11" s="92" t="s">
        <v>1937</v>
      </c>
      <c r="F11" s="92">
        <v>2</v>
      </c>
      <c r="G11" s="92">
        <v>0.7</v>
      </c>
      <c r="H11" s="67"/>
    </row>
    <row r="12" spans="1:8">
      <c r="A12" s="67" t="s">
        <v>1941</v>
      </c>
      <c r="B12" s="67" t="s">
        <v>1923</v>
      </c>
      <c r="C12" s="67" t="s">
        <v>1942</v>
      </c>
      <c r="D12" s="67" t="s">
        <v>1943</v>
      </c>
      <c r="E12" s="92" t="s">
        <v>1944</v>
      </c>
      <c r="F12" s="92">
        <v>3</v>
      </c>
      <c r="G12" s="92">
        <v>0.5</v>
      </c>
      <c r="H12" s="67"/>
    </row>
    <row r="13" spans="1:8">
      <c r="A13" s="67" t="s">
        <v>1945</v>
      </c>
      <c r="B13" s="67" t="s">
        <v>1923</v>
      </c>
      <c r="C13" s="67" t="s">
        <v>1946</v>
      </c>
      <c r="D13" s="67" t="s">
        <v>1947</v>
      </c>
      <c r="E13" s="92" t="s">
        <v>1948</v>
      </c>
      <c r="F13" s="92">
        <v>16</v>
      </c>
      <c r="G13" s="92">
        <v>1.3</v>
      </c>
      <c r="H13" s="67"/>
    </row>
    <row r="14" spans="1:8">
      <c r="A14" s="67" t="s">
        <v>1949</v>
      </c>
      <c r="B14" s="67" t="s">
        <v>1923</v>
      </c>
      <c r="C14" s="67" t="s">
        <v>1950</v>
      </c>
      <c r="D14" s="67" t="s">
        <v>1951</v>
      </c>
      <c r="E14" s="92" t="s">
        <v>1948</v>
      </c>
      <c r="F14" s="92">
        <v>8</v>
      </c>
      <c r="G14" s="92">
        <v>0.7</v>
      </c>
      <c r="H14" s="67"/>
    </row>
    <row r="15" spans="1:8">
      <c r="A15" s="89"/>
      <c r="B15" s="89" t="s">
        <v>1952</v>
      </c>
      <c r="C15" s="89"/>
      <c r="D15" s="89"/>
      <c r="E15" s="93"/>
      <c r="F15" s="93"/>
      <c r="G15" s="93">
        <v>10.9</v>
      </c>
      <c r="H15" s="89"/>
    </row>
    <row r="16" spans="1:8">
      <c r="A16" s="67" t="s">
        <v>1953</v>
      </c>
      <c r="B16" s="67" t="s">
        <v>1954</v>
      </c>
      <c r="C16" s="67" t="s">
        <v>1955</v>
      </c>
      <c r="D16" s="67" t="s">
        <v>1956</v>
      </c>
      <c r="E16" s="92">
        <v>0.5</v>
      </c>
      <c r="F16" s="92">
        <v>4</v>
      </c>
      <c r="G16" s="92">
        <v>2</v>
      </c>
      <c r="H16" s="67"/>
    </row>
    <row r="17" spans="1:8">
      <c r="A17" s="67" t="s">
        <v>1957</v>
      </c>
      <c r="B17" s="67" t="s">
        <v>1954</v>
      </c>
      <c r="C17" s="67" t="s">
        <v>1958</v>
      </c>
      <c r="D17" s="67" t="s">
        <v>2039</v>
      </c>
      <c r="E17" s="92">
        <v>3</v>
      </c>
      <c r="F17" s="92">
        <v>1</v>
      </c>
      <c r="G17" s="92">
        <v>3</v>
      </c>
      <c r="H17" s="67"/>
    </row>
    <row r="18" spans="1:8">
      <c r="A18" s="67" t="s">
        <v>1959</v>
      </c>
      <c r="B18" s="67" t="s">
        <v>1954</v>
      </c>
      <c r="C18" s="67" t="s">
        <v>1960</v>
      </c>
      <c r="D18" s="67" t="s">
        <v>1961</v>
      </c>
      <c r="E18" s="92">
        <v>4</v>
      </c>
      <c r="F18" s="92">
        <v>0.5</v>
      </c>
      <c r="G18" s="92">
        <v>2</v>
      </c>
      <c r="H18" s="67"/>
    </row>
    <row r="19" spans="1:8">
      <c r="A19" s="67" t="s">
        <v>1962</v>
      </c>
      <c r="B19" s="67" t="s">
        <v>1954</v>
      </c>
      <c r="C19" s="67" t="s">
        <v>1963</v>
      </c>
      <c r="D19" s="67" t="s">
        <v>1964</v>
      </c>
      <c r="E19" s="92">
        <v>1</v>
      </c>
      <c r="F19" s="92">
        <v>2</v>
      </c>
      <c r="G19" s="92">
        <v>2</v>
      </c>
      <c r="H19" s="67"/>
    </row>
    <row r="20" spans="1:8">
      <c r="A20" s="67" t="s">
        <v>1965</v>
      </c>
      <c r="B20" s="67" t="s">
        <v>1954</v>
      </c>
      <c r="C20" s="67" t="s">
        <v>1966</v>
      </c>
      <c r="D20" s="67" t="s">
        <v>1967</v>
      </c>
      <c r="E20" s="92">
        <v>1</v>
      </c>
      <c r="F20" s="92">
        <v>1</v>
      </c>
      <c r="G20" s="92">
        <v>1</v>
      </c>
      <c r="H20" s="67"/>
    </row>
    <row r="21" spans="1:8">
      <c r="A21" s="67" t="s">
        <v>1968</v>
      </c>
      <c r="B21" s="67" t="s">
        <v>1954</v>
      </c>
      <c r="C21" s="67" t="s">
        <v>1969</v>
      </c>
      <c r="D21" s="67" t="s">
        <v>1970</v>
      </c>
      <c r="E21" s="92">
        <v>1</v>
      </c>
      <c r="F21" s="92">
        <v>3</v>
      </c>
      <c r="G21" s="92">
        <v>3</v>
      </c>
      <c r="H21" s="67"/>
    </row>
    <row r="22" spans="1:8">
      <c r="A22" s="67" t="s">
        <v>1971</v>
      </c>
      <c r="B22" s="67" t="s">
        <v>1954</v>
      </c>
      <c r="C22" s="67" t="s">
        <v>1972</v>
      </c>
      <c r="D22" s="67" t="s">
        <v>1973</v>
      </c>
      <c r="E22" s="92">
        <v>0.5</v>
      </c>
      <c r="F22" s="92">
        <v>1</v>
      </c>
      <c r="G22" s="92">
        <v>0.5</v>
      </c>
      <c r="H22" s="67"/>
    </row>
    <row r="23" spans="1:8">
      <c r="A23" s="89"/>
      <c r="B23" s="89" t="s">
        <v>1974</v>
      </c>
      <c r="C23" s="89"/>
      <c r="D23" s="89"/>
      <c r="E23" s="93"/>
      <c r="F23" s="93"/>
      <c r="G23" s="93">
        <v>13.5</v>
      </c>
      <c r="H23" s="89"/>
    </row>
    <row r="24" spans="1:8">
      <c r="A24" s="67" t="s">
        <v>1975</v>
      </c>
      <c r="B24" s="67" t="s">
        <v>1976</v>
      </c>
      <c r="C24" s="67" t="s">
        <v>1977</v>
      </c>
      <c r="D24" s="67" t="s">
        <v>1978</v>
      </c>
      <c r="E24" s="92"/>
      <c r="F24" s="92"/>
      <c r="G24" s="92">
        <v>1</v>
      </c>
      <c r="H24" s="67"/>
    </row>
    <row r="25" spans="1:8">
      <c r="A25" s="67" t="s">
        <v>1979</v>
      </c>
      <c r="B25" s="67" t="s">
        <v>1976</v>
      </c>
      <c r="C25" s="67" t="s">
        <v>1980</v>
      </c>
      <c r="D25" s="67" t="s">
        <v>1981</v>
      </c>
      <c r="E25" s="92"/>
      <c r="F25" s="92"/>
      <c r="G25" s="92">
        <v>0.5</v>
      </c>
      <c r="H25" s="67"/>
    </row>
    <row r="26" spans="1:8">
      <c r="A26" s="89"/>
      <c r="B26" s="89" t="s">
        <v>1982</v>
      </c>
      <c r="C26" s="89"/>
      <c r="D26" s="89"/>
      <c r="E26" s="93"/>
      <c r="F26" s="93"/>
      <c r="G26" s="93">
        <v>1.5</v>
      </c>
      <c r="H26" s="89"/>
    </row>
    <row r="28" spans="1:8">
      <c r="A28" s="2" t="s">
        <v>1983</v>
      </c>
    </row>
    <row r="29" spans="1:8">
      <c r="A29" s="7" t="s">
        <v>1984</v>
      </c>
      <c r="B29" s="7" t="s">
        <v>1985</v>
      </c>
      <c r="C29" s="7" t="s">
        <v>1986</v>
      </c>
      <c r="D29" s="7" t="s">
        <v>1987</v>
      </c>
    </row>
    <row r="30" spans="1:8">
      <c r="A30" s="67" t="s">
        <v>1988</v>
      </c>
      <c r="B30" s="67" t="s">
        <v>1989</v>
      </c>
      <c r="C30" s="67">
        <v>4.9000000000000004</v>
      </c>
      <c r="D30" s="67">
        <v>0.24</v>
      </c>
    </row>
    <row r="31" spans="1:8">
      <c r="A31" s="94" t="s">
        <v>1990</v>
      </c>
      <c r="B31" s="94" t="s">
        <v>1991</v>
      </c>
      <c r="C31" s="94">
        <v>3.3</v>
      </c>
      <c r="D31" s="94">
        <v>0.16</v>
      </c>
    </row>
    <row r="32" spans="1:8">
      <c r="A32" s="67" t="s">
        <v>1992</v>
      </c>
      <c r="B32" s="67" t="s">
        <v>1993</v>
      </c>
      <c r="C32" s="67">
        <v>6.9</v>
      </c>
      <c r="D32" s="67">
        <v>0.34</v>
      </c>
    </row>
    <row r="34" spans="1:2">
      <c r="A34" s="2" t="s">
        <v>1994</v>
      </c>
    </row>
    <row r="35" spans="1:2">
      <c r="A35" s="3" t="s">
        <v>1995</v>
      </c>
    </row>
    <row r="36" spans="1:2">
      <c r="A36" s="3" t="s">
        <v>1996</v>
      </c>
    </row>
    <row r="37" spans="1:2">
      <c r="A37" s="3" t="s">
        <v>1997</v>
      </c>
    </row>
    <row r="39" spans="1:2">
      <c r="A39" s="66" t="s">
        <v>1998</v>
      </c>
    </row>
    <row r="40" spans="1:2">
      <c r="A40" s="7" t="s">
        <v>273</v>
      </c>
      <c r="B40" s="7" t="s">
        <v>47</v>
      </c>
    </row>
    <row r="41" spans="1:2">
      <c r="A41" s="67" t="s">
        <v>1249</v>
      </c>
      <c r="B41" s="67" t="s">
        <v>1250</v>
      </c>
    </row>
    <row r="42" spans="1:2">
      <c r="A42" s="67" t="s">
        <v>1252</v>
      </c>
      <c r="B42" s="67" t="s">
        <v>1253</v>
      </c>
    </row>
    <row r="43" spans="1:2">
      <c r="A43" s="67" t="s">
        <v>1255</v>
      </c>
      <c r="B43" s="67" t="s">
        <v>1256</v>
      </c>
    </row>
    <row r="44" spans="1:2">
      <c r="A44" s="67" t="s">
        <v>1258</v>
      </c>
      <c r="B44" s="67" t="s">
        <v>1259</v>
      </c>
    </row>
  </sheetData>
  <phoneticPr fontId="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17</vt:i4>
      </vt:variant>
    </vt:vector>
  </HeadingPairs>
  <TitlesOfParts>
    <vt:vector size="17" baseType="lpstr">
      <vt:lpstr>01_表紙・改訂履歴</vt:lpstr>
      <vt:lpstr>02_全体概要</vt:lpstr>
      <vt:lpstr>03_構成図</vt:lpstr>
      <vt:lpstr>04_リソース一覧</vt:lpstr>
      <vt:lpstr>05_処理フロー</vt:lpstr>
      <vt:lpstr>06_実行トリガー</vt:lpstr>
      <vt:lpstr>07_データ定義</vt:lpstr>
      <vt:lpstr>08_セキュリティ・IAM</vt:lpstr>
      <vt:lpstr>09_アプリチーム向け手順</vt:lpstr>
      <vt:lpstr>10_設計判断一覧</vt:lpstr>
      <vt:lpstr>11_未決事項</vt:lpstr>
      <vt:lpstr>12_関連文書</vt:lpstr>
      <vt:lpstr>13_出典一覧</vt:lpstr>
      <vt:lpstr>14_WBS</vt:lpstr>
      <vt:lpstr>15_WBS集計</vt:lpstr>
      <vt:lpstr>16_ランニング費用</vt:lpstr>
      <vt:lpstr>17_運用工数</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昌平 末永</dc:creator>
  <cp:lastModifiedBy>昌平 末永</cp:lastModifiedBy>
  <dcterms:created xsi:type="dcterms:W3CDTF">2026-08-14T01:46:13Z</dcterms:created>
  <dcterms:modified xsi:type="dcterms:W3CDTF">2026-09-07T11:18:02Z</dcterms:modified>
</cp:coreProperties>
</file>