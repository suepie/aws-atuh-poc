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012FC827-5D93-5644-9DF0-C4C26CA55DDE}" xr6:coauthVersionLast="47" xr6:coauthVersionMax="47" xr10:uidLastSave="{00000000-0000-0000-0000-000000000000}"/>
  <bookViews>
    <workbookView xWindow="0" yWindow="780" windowWidth="34200" windowHeight="21460" firstSheet="1" activeTab="4"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WBS(基本設計)" sheetId="9" r:id="rId10"/>
    <sheet name="WBS(詳細設計_製造)" sheetId="8" r:id="rId11"/>
    <sheet name="WBS(テスト)" sheetId="10" r:id="rId12"/>
    <sheet name="Git照合スクリプト" sheetId="13" r:id="rId13"/>
  </sheets>
  <definedNames>
    <definedName name="_xlnm._FilterDatabase" localSheetId="8" hidden="1">ADR一覧!$A$5:$E$72</definedName>
    <definedName name="_xlnm._FilterDatabase" localSheetId="11" hidden="1">'WBS(テスト)'!$A$5:$G$48</definedName>
    <definedName name="_xlnm._FilterDatabase" localSheetId="9" hidden="1">'WBS(基本設計)'!$A$5:$I$91</definedName>
    <definedName name="_xlnm._FilterDatabase" localSheetId="10" hidden="1">'WBS(詳細設計_製造)'!$A$5:$P$108</definedName>
    <definedName name="_xlnm._FilterDatabase" localSheetId="1" hidden="1">コスト見積もり!$A$24:$M$59</definedName>
    <definedName name="_xlnm._FilterDatabase" localSheetId="4" hidden="1">進捗一覧!$A$3:$P$295</definedName>
    <definedName name="_xlnm._FilterDatabase" localSheetId="7" hidden="1">設計→要件!$A$5:$F$55</definedName>
    <definedName name="_xlnm._FilterDatabase" localSheetId="5" hidden="1">設計決定一覧!$A$4:$E$189</definedName>
    <definedName name="_xlnm._FilterDatabase" localSheetId="6" hidden="1">要件→設計!$A$4:$H$183</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7" l="1"/>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F26" i="7"/>
  <c r="G26" i="7"/>
  <c r="B27" i="7"/>
  <c r="C27" i="7"/>
  <c r="D27" i="7"/>
  <c r="E27" i="7"/>
  <c r="F27" i="7"/>
  <c r="G27" i="7"/>
  <c r="B28" i="7"/>
  <c r="C28" i="7"/>
  <c r="D28" i="7"/>
  <c r="E28" i="7"/>
  <c r="F28" i="7"/>
  <c r="G28" i="7"/>
  <c r="B29" i="7"/>
  <c r="C29" i="7"/>
  <c r="D29" i="7"/>
  <c r="E29" i="7"/>
  <c r="F29" i="7"/>
  <c r="G29" i="7"/>
  <c r="B30" i="7"/>
  <c r="C30" i="7"/>
  <c r="D30" i="7"/>
  <c r="E30" i="7"/>
  <c r="F30" i="7"/>
  <c r="G30" i="7"/>
  <c r="B31" i="7"/>
  <c r="C31" i="7"/>
  <c r="D31" i="7"/>
  <c r="E31" i="7"/>
  <c r="F31" i="7"/>
  <c r="G31" i="7"/>
  <c r="B32" i="7"/>
  <c r="C32" i="7"/>
  <c r="D32" i="7"/>
  <c r="E32" i="7"/>
  <c r="F32" i="7"/>
  <c r="G32" i="7"/>
  <c r="D38" i="7"/>
  <c r="B39" i="7"/>
  <c r="B42" i="7" s="1"/>
  <c r="D39" i="7"/>
  <c r="B40" i="7"/>
  <c r="D40" i="7"/>
  <c r="B41" i="7"/>
  <c r="D41" i="7"/>
  <c r="B7" i="2"/>
  <c r="C7" i="2"/>
  <c r="D7" i="2"/>
  <c r="E7" i="2"/>
  <c r="F7" i="2"/>
  <c r="G7" i="2"/>
  <c r="B8" i="2"/>
  <c r="C8" i="2"/>
  <c r="D8" i="2"/>
  <c r="E8" i="2"/>
  <c r="F8" i="2"/>
  <c r="G8" i="2"/>
  <c r="B9" i="2"/>
  <c r="C9" i="2"/>
  <c r="D9" i="2"/>
  <c r="E9" i="2"/>
  <c r="F9" i="2"/>
  <c r="G9" i="2"/>
  <c r="B10" i="2"/>
  <c r="C10" i="2"/>
  <c r="D10" i="2"/>
  <c r="E10" i="2"/>
  <c r="F10" i="2"/>
  <c r="G10" i="2"/>
  <c r="B11" i="2"/>
  <c r="C11" i="2"/>
  <c r="D11" i="2"/>
  <c r="E11" i="2"/>
  <c r="F11" i="2"/>
  <c r="G11" i="2"/>
  <c r="B12" i="2"/>
  <c r="C12" i="2"/>
  <c r="D12" i="2"/>
  <c r="E12" i="2"/>
  <c r="F12" i="2"/>
  <c r="G12" i="2"/>
  <c r="F13" i="2"/>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7" i="2"/>
  <c r="B58" i="2"/>
  <c r="B62" i="2" s="1"/>
  <c r="B59" i="2"/>
  <c r="B60" i="2"/>
  <c r="C60" i="2" s="1"/>
  <c r="B61" i="2"/>
  <c r="B67" i="2"/>
  <c r="B73" i="2" s="1"/>
  <c r="B68" i="2"/>
  <c r="B69" i="2"/>
  <c r="B70" i="2"/>
  <c r="B71" i="2"/>
  <c r="B72" i="2"/>
  <c r="D33" i="7" l="1"/>
  <c r="C13" i="2"/>
  <c r="B13" i="2"/>
  <c r="H13" i="2" s="1"/>
  <c r="B33" i="7"/>
  <c r="G13" i="2"/>
  <c r="F33" i="7"/>
  <c r="D13" i="2"/>
  <c r="E33" i="7"/>
  <c r="C33" i="7"/>
  <c r="G33" i="7"/>
  <c r="E13" i="2"/>
  <c r="B43" i="7"/>
  <c r="F43" i="7" s="1"/>
  <c r="C68" i="2"/>
  <c r="C72" i="2"/>
  <c r="E73" i="2"/>
  <c r="C69" i="2"/>
  <c r="C73" i="2"/>
  <c r="C67" i="2"/>
  <c r="C70" i="2"/>
  <c r="C71" i="2"/>
  <c r="C57" i="2"/>
  <c r="C61" i="2"/>
  <c r="C62" i="2"/>
  <c r="C59" i="2"/>
  <c r="E62" i="2"/>
  <c r="C58" i="2"/>
  <c r="B79" i="12" l="1"/>
  <c r="C79" i="12"/>
  <c r="D79" i="12"/>
  <c r="B78" i="12"/>
  <c r="C78" i="12"/>
  <c r="D78" i="12"/>
  <c r="B77" i="12"/>
  <c r="C77" i="12"/>
  <c r="D77" i="12"/>
  <c r="B76" i="12"/>
  <c r="C76" i="12"/>
  <c r="D76" i="12"/>
  <c r="B75" i="12"/>
  <c r="C75" i="12"/>
  <c r="D75" i="12"/>
  <c r="B74" i="12"/>
  <c r="C74" i="12"/>
  <c r="D74" i="12"/>
  <c r="F70" i="12"/>
  <c r="B70" i="12"/>
  <c r="C70" i="12"/>
  <c r="D70" i="12"/>
  <c r="E70" i="12"/>
  <c r="B64" i="12"/>
  <c r="C64" i="12"/>
  <c r="D64" i="12"/>
  <c r="E64" i="12"/>
  <c r="B65" i="12"/>
  <c r="C65" i="12"/>
  <c r="D65" i="12"/>
  <c r="E65" i="12"/>
  <c r="B66" i="12"/>
  <c r="C66" i="12"/>
  <c r="D66" i="12"/>
  <c r="E66" i="12"/>
  <c r="B67" i="12"/>
  <c r="C67" i="12"/>
  <c r="D67" i="12"/>
  <c r="E67" i="12"/>
  <c r="B68" i="12"/>
  <c r="C68" i="12"/>
  <c r="D68" i="12"/>
  <c r="E68" i="12"/>
  <c r="B69" i="12"/>
  <c r="C69" i="12"/>
  <c r="D69" i="12"/>
  <c r="E69" i="12"/>
  <c r="N60" i="12"/>
  <c r="J60" i="12"/>
  <c r="K60" i="12"/>
  <c r="L60" i="12"/>
  <c r="J25" i="12"/>
  <c r="K25" i="12"/>
  <c r="L25" i="12"/>
  <c r="J26" i="12"/>
  <c r="K26" i="12"/>
  <c r="L26" i="12"/>
  <c r="J27" i="12"/>
  <c r="K27" i="12"/>
  <c r="L27" i="12"/>
  <c r="J28" i="12"/>
  <c r="K28" i="12"/>
  <c r="L28" i="12"/>
  <c r="J29" i="12"/>
  <c r="K29" i="12"/>
  <c r="L29" i="12"/>
  <c r="J30" i="12"/>
  <c r="K30" i="12"/>
  <c r="L30" i="12"/>
  <c r="J31" i="12"/>
  <c r="K31" i="12"/>
  <c r="L31" i="12"/>
  <c r="J32" i="12"/>
  <c r="K32" i="12"/>
  <c r="L32" i="12"/>
  <c r="J33" i="12"/>
  <c r="K33" i="12"/>
  <c r="L33" i="12"/>
  <c r="J34" i="12"/>
  <c r="K34" i="12"/>
  <c r="L34" i="12"/>
  <c r="J35" i="12"/>
  <c r="K35" i="12"/>
  <c r="L35" i="12"/>
  <c r="J36" i="12"/>
  <c r="K36" i="12"/>
  <c r="L36" i="12"/>
  <c r="J37" i="12"/>
  <c r="K37" i="12"/>
  <c r="L37" i="12"/>
  <c r="J38" i="12"/>
  <c r="K38" i="12"/>
  <c r="L38" i="12"/>
  <c r="J39" i="12"/>
  <c r="K39" i="12"/>
  <c r="L39" i="12"/>
  <c r="J40" i="12"/>
  <c r="K40" i="12"/>
  <c r="L40" i="12"/>
  <c r="J41" i="12"/>
  <c r="K41" i="12"/>
  <c r="L41" i="12"/>
  <c r="J42" i="12"/>
  <c r="K42" i="12"/>
  <c r="L42" i="12"/>
  <c r="J43" i="12"/>
  <c r="K43" i="12"/>
  <c r="L43" i="12"/>
  <c r="J44" i="12"/>
  <c r="K44" i="12"/>
  <c r="L44" i="12"/>
  <c r="J45" i="12"/>
  <c r="K45" i="12"/>
  <c r="L45" i="12"/>
  <c r="J46" i="12"/>
  <c r="K46" i="12"/>
  <c r="L46" i="12"/>
  <c r="J47" i="12"/>
  <c r="K47" i="12"/>
  <c r="L47" i="12"/>
  <c r="J48" i="12"/>
  <c r="K48" i="12"/>
  <c r="L48" i="12"/>
  <c r="J49" i="12"/>
  <c r="K49" i="12"/>
  <c r="L49" i="12"/>
  <c r="J50" i="12"/>
  <c r="K50" i="12"/>
  <c r="L50" i="12"/>
  <c r="J51" i="12"/>
  <c r="K51" i="12"/>
  <c r="L51" i="12"/>
  <c r="J52" i="12"/>
  <c r="K52" i="12"/>
  <c r="L52" i="12"/>
  <c r="J53" i="12"/>
  <c r="K53" i="12"/>
  <c r="L53" i="12"/>
  <c r="J54" i="12"/>
  <c r="K54" i="12"/>
  <c r="L54" i="12"/>
  <c r="J55" i="12"/>
  <c r="K55" i="12"/>
  <c r="L55" i="12"/>
  <c r="J56" i="12"/>
  <c r="K56" i="12"/>
  <c r="L56" i="12"/>
  <c r="J57" i="12"/>
  <c r="K57" i="12"/>
  <c r="L57" i="12"/>
  <c r="J58" i="12"/>
  <c r="K58" i="12"/>
  <c r="L58" i="12"/>
  <c r="J59" i="12"/>
  <c r="K59" i="12"/>
  <c r="L5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S24" i="8"/>
  <c r="X17" i="8"/>
  <c r="X16" i="8"/>
  <c r="X15" i="8"/>
  <c r="X14" i="8"/>
  <c r="X13" i="8"/>
  <c r="X12" i="8"/>
  <c r="X11" i="8"/>
  <c r="X10" i="8"/>
  <c r="X9" i="8"/>
  <c r="X8" i="8"/>
  <c r="X7" i="8"/>
  <c r="X6" i="8"/>
  <c r="W17" i="8"/>
  <c r="F60" i="10"/>
  <c r="B60" i="10"/>
  <c r="C60" i="10"/>
  <c r="E60" i="10"/>
  <c r="B52" i="10"/>
  <c r="C52" i="10"/>
  <c r="B53" i="10"/>
  <c r="C53" i="10"/>
  <c r="B54" i="10"/>
  <c r="C54" i="10"/>
  <c r="B55" i="10"/>
  <c r="C55" i="10"/>
  <c r="B56" i="10"/>
  <c r="C56" i="10"/>
  <c r="B57" i="10"/>
  <c r="C57" i="10"/>
  <c r="B58" i="10"/>
  <c r="C58" i="10"/>
  <c r="B59" i="10"/>
  <c r="C59" i="10"/>
  <c r="P16" i="9"/>
  <c r="L16" i="9"/>
  <c r="M16" i="9"/>
  <c r="N16" i="9"/>
  <c r="O16" i="9"/>
  <c r="L15" i="9"/>
  <c r="L14" i="9"/>
  <c r="L13" i="9"/>
  <c r="M13" i="9"/>
  <c r="N13" i="9"/>
  <c r="O13" i="9"/>
  <c r="O12" i="9"/>
  <c r="O11" i="9"/>
  <c r="O10" i="9"/>
  <c r="O9" i="9"/>
  <c r="O8" i="9"/>
  <c r="O7" i="9"/>
  <c r="O6" i="9"/>
  <c r="L6" i="9"/>
  <c r="M6" i="9"/>
  <c r="L7" i="9"/>
  <c r="M7" i="9"/>
  <c r="L8" i="9"/>
  <c r="M8" i="9"/>
  <c r="L9" i="9"/>
  <c r="M9" i="9"/>
  <c r="L10" i="9"/>
  <c r="M10" i="9"/>
  <c r="L11" i="9"/>
  <c r="M11" i="9"/>
  <c r="L12" i="9"/>
  <c r="M12" i="9"/>
  <c r="I13" i="6"/>
  <c r="H13" i="6"/>
  <c r="H7" i="6"/>
  <c r="H8" i="6"/>
  <c r="H9" i="6"/>
  <c r="H10" i="6"/>
  <c r="H11" i="6"/>
  <c r="H12" i="6"/>
  <c r="S23" i="8"/>
  <c r="S22" i="8"/>
  <c r="S17" i="8"/>
  <c r="T17" i="8"/>
  <c r="U17" i="8"/>
  <c r="V17" i="8"/>
  <c r="S6" i="8"/>
  <c r="T6" i="8"/>
  <c r="U6" i="8"/>
  <c r="V6" i="8"/>
  <c r="S7" i="8"/>
  <c r="T7" i="8"/>
  <c r="U7" i="8"/>
  <c r="V7" i="8"/>
  <c r="S8" i="8"/>
  <c r="T8" i="8"/>
  <c r="U8" i="8"/>
  <c r="V8" i="8"/>
  <c r="S9" i="8"/>
  <c r="T9" i="8"/>
  <c r="U9" i="8"/>
  <c r="V9" i="8"/>
  <c r="S10" i="8"/>
  <c r="T10" i="8"/>
  <c r="U10" i="8"/>
  <c r="V10" i="8"/>
  <c r="S11" i="8"/>
  <c r="T11" i="8"/>
  <c r="U11" i="8"/>
  <c r="V11" i="8"/>
  <c r="S12" i="8"/>
  <c r="T12" i="8"/>
  <c r="U12" i="8"/>
  <c r="V12" i="8"/>
  <c r="S13" i="8"/>
  <c r="T13" i="8"/>
  <c r="U13" i="8"/>
  <c r="V13" i="8"/>
  <c r="S14" i="8"/>
  <c r="T14" i="8"/>
  <c r="U14" i="8"/>
  <c r="V14" i="8"/>
  <c r="S15" i="8"/>
  <c r="T15" i="8"/>
  <c r="U15" i="8"/>
  <c r="V15" i="8"/>
  <c r="S25" i="8" l="1"/>
  <c r="S26" i="8" s="1"/>
  <c r="U26" i="8" s="1"/>
  <c r="D60" i="10"/>
</calcChain>
</file>

<file path=xl/sharedStrings.xml><?xml version="1.0" encoding="utf-8"?>
<sst xmlns="http://schemas.openxmlformats.org/spreadsheetml/2006/main" count="10024" uniqueCount="5029">
  <si>
    <t>認証基盤 要件定義・基本設計 進捗一覧</t>
  </si>
  <si>
    <t>区分</t>
  </si>
  <si>
    <t>確定</t>
  </si>
  <si>
    <t>検討中</t>
  </si>
  <si>
    <t>合計</t>
  </si>
  <si>
    <t>小項目</t>
  </si>
  <si>
    <t>ID</t>
  </si>
  <si>
    <t>概要</t>
  </si>
  <si>
    <t>決定内容・残論点</t>
  </si>
  <si>
    <t>出典</t>
  </si>
  <si>
    <t>FR-AUTH-001</t>
  </si>
  <si>
    <t>FR-AUTH-002</t>
  </si>
  <si>
    <t>FR-AUTH-003</t>
  </si>
  <si>
    <t>FR-AUTH-004</t>
  </si>
  <si>
    <t>FR-AUTH-005</t>
  </si>
  <si>
    <t>FR-AUTH-006</t>
  </si>
  <si>
    <t>FR-AUTH-007</t>
  </si>
  <si>
    <t>FR-AUTH-008</t>
  </si>
  <si>
    <t>FR-AUTH-009</t>
  </si>
  <si>
    <t>FR-AUTH-010</t>
  </si>
  <si>
    <t>FR-AUTH-011</t>
  </si>
  <si>
    <t>FR-AUTH-012</t>
  </si>
  <si>
    <t>FR-AUTH-013</t>
  </si>
  <si>
    <t>FR-AUTH-014</t>
  </si>
  <si>
    <t>FR-FED-001</t>
  </si>
  <si>
    <t>FR-FED-002</t>
  </si>
  <si>
    <t>FR-FED-003</t>
  </si>
  <si>
    <t>FR-FED-004</t>
  </si>
  <si>
    <t>FR-FED-005</t>
  </si>
  <si>
    <t>FR-FED-006</t>
  </si>
  <si>
    <t>FR-FED-007</t>
  </si>
  <si>
    <t>FR-FED-014</t>
  </si>
  <si>
    <t>FR-FED-008</t>
  </si>
  <si>
    <t>FR-FED-009</t>
  </si>
  <si>
    <t>FR-FED-012</t>
  </si>
  <si>
    <t>FR-FED-010</t>
  </si>
  <si>
    <t>FR-FED-011</t>
  </si>
  <si>
    <t>FR-FED-013</t>
  </si>
  <si>
    <t>FR-MFA-001</t>
  </si>
  <si>
    <t>FR-MFA-002</t>
  </si>
  <si>
    <t>FR-MFA-003</t>
  </si>
  <si>
    <t>FR-MFA-004</t>
  </si>
  <si>
    <t>FR-MFA-005</t>
  </si>
  <si>
    <t>FR-MFA-006</t>
  </si>
  <si>
    <t>FR-MFA-007</t>
  </si>
  <si>
    <t>FR-MFA-008</t>
  </si>
  <si>
    <t>FR-MFA-009</t>
  </si>
  <si>
    <t>FR-SSO-001</t>
  </si>
  <si>
    <t>FR-SSO-002</t>
  </si>
  <si>
    <t>FR-SSO-003</t>
  </si>
  <si>
    <t>FR-SSO-004</t>
  </si>
  <si>
    <t>FR-SSO-005</t>
  </si>
  <si>
    <t>FR-SSO-006</t>
  </si>
  <si>
    <t>FR-SSO-007</t>
  </si>
  <si>
    <t>FR-SSO-008</t>
  </si>
  <si>
    <t>FR-SSO-009</t>
  </si>
  <si>
    <t>FR-SSO-010</t>
  </si>
  <si>
    <t>FR-AUTHZ-001</t>
  </si>
  <si>
    <t>FR-AUTHZ-002</t>
  </si>
  <si>
    <t>FR-AUTHZ-003</t>
  </si>
  <si>
    <t>FR-AUTHZ-004</t>
  </si>
  <si>
    <t>FR-AUTHZ-005</t>
  </si>
  <si>
    <t>FR-AUTHZ-006</t>
  </si>
  <si>
    <t>FR-AUTHZ-007</t>
  </si>
  <si>
    <t>FR-AUTHZ-008</t>
  </si>
  <si>
    <t>FR-AUTHZ-009</t>
  </si>
  <si>
    <t>FR-AUTHZ-010</t>
  </si>
  <si>
    <t>FR-USER-001</t>
  </si>
  <si>
    <t>FR-USER-005</t>
  </si>
  <si>
    <t>FR-USER-006</t>
  </si>
  <si>
    <t>FR-USER-011</t>
  </si>
  <si>
    <t>FR-USER-002</t>
  </si>
  <si>
    <t>FR-USER-007</t>
  </si>
  <si>
    <t>FR-USER-008</t>
  </si>
  <si>
    <t>FR-USER-004</t>
  </si>
  <si>
    <t>FR-USER-012</t>
  </si>
  <si>
    <t>FR-USER-003</t>
  </si>
  <si>
    <t>FR-USER-009</t>
  </si>
  <si>
    <t>FR-USER-010</t>
  </si>
  <si>
    <t>FR-ADMIN-001</t>
  </si>
  <si>
    <t>FR-ADMIN-002</t>
  </si>
  <si>
    <t>FR-ADMIN-003</t>
  </si>
  <si>
    <t>FR-ADMIN-004</t>
  </si>
  <si>
    <t>FR-ADMIN-005</t>
  </si>
  <si>
    <t>FR-ADMIN-009</t>
  </si>
  <si>
    <t>FR-ADMIN-007</t>
  </si>
  <si>
    <t>FR-ADMIN-008</t>
  </si>
  <si>
    <t>FR-ADMIN-006</t>
  </si>
  <si>
    <t>FR-ADMIN-010</t>
  </si>
  <si>
    <t>FR-ADMIN-011</t>
  </si>
  <si>
    <t>FR-ADMIN-012</t>
  </si>
  <si>
    <t>FR-INT-001</t>
  </si>
  <si>
    <t>FR-INT-002</t>
  </si>
  <si>
    <t>FR-INT-003</t>
  </si>
  <si>
    <t>FR-INT-004</t>
  </si>
  <si>
    <t>FR-INT-007</t>
  </si>
  <si>
    <t>FR-INT-008</t>
  </si>
  <si>
    <t>FR-INT-009</t>
  </si>
  <si>
    <t>FR-INT-005</t>
  </si>
  <si>
    <t>FR-INT-006</t>
  </si>
  <si>
    <t>FR-INT-010</t>
  </si>
  <si>
    <t>NFR-AVL-001</t>
  </si>
  <si>
    <t>NFR-AVL-002</t>
  </si>
  <si>
    <t>NFR-AVL-003</t>
  </si>
  <si>
    <t>NFR-AVL-004</t>
  </si>
  <si>
    <t>NFR-AVL-005</t>
  </si>
  <si>
    <t>NFR-AVL-006</t>
  </si>
  <si>
    <t>NFR-PERF-001</t>
  </si>
  <si>
    <t>NFR-PERF-003</t>
  </si>
  <si>
    <t>NFR-PERF-004</t>
  </si>
  <si>
    <t>NFR-PERF-005</t>
  </si>
  <si>
    <t>NFR-PERF-008</t>
  </si>
  <si>
    <t>NFR-PERF-002</t>
  </si>
  <si>
    <t>NFR-PERF-006</t>
  </si>
  <si>
    <t>NFR-PERF-007</t>
  </si>
  <si>
    <t>NFR-SCL-001</t>
  </si>
  <si>
    <t>NFR-SCL-002</t>
  </si>
  <si>
    <t>NFR-SCL-003</t>
  </si>
  <si>
    <t>NFR-SCL-004</t>
  </si>
  <si>
    <t>NFR-SCL-005</t>
  </si>
  <si>
    <t>NFR-SCL-006</t>
  </si>
  <si>
    <t>NFR-SCL-007</t>
  </si>
  <si>
    <t>NFR-SEC-001</t>
  </si>
  <si>
    <t>NFR-SEC-002</t>
  </si>
  <si>
    <t>NFR-SEC-003</t>
  </si>
  <si>
    <t>NFR-SEC-009</t>
  </si>
  <si>
    <t>NFR-SEC-015</t>
  </si>
  <si>
    <t>NFR-SEC-004</t>
  </si>
  <si>
    <t>NFR-SEC-005</t>
  </si>
  <si>
    <t>NFR-SEC-006</t>
  </si>
  <si>
    <t>NFR-SEC-007</t>
  </si>
  <si>
    <t>NFR-SEC-008</t>
  </si>
  <si>
    <t>NFR-SEC-020</t>
  </si>
  <si>
    <t>NFR-SEC-010</t>
  </si>
  <si>
    <t>NFR-SEC-010-2</t>
  </si>
  <si>
    <t>NFR-SEC-012</t>
  </si>
  <si>
    <t>NFR-SEC-013</t>
  </si>
  <si>
    <t>NFR-SEC-014</t>
  </si>
  <si>
    <t>NFR-SEC-011</t>
  </si>
  <si>
    <t>NFR-SEC-016</t>
  </si>
  <si>
    <t>NFR-SEC-017</t>
  </si>
  <si>
    <t>NFR-SEC-018</t>
  </si>
  <si>
    <t>NFR-SEC-019</t>
  </si>
  <si>
    <t>NFR-DR-001</t>
  </si>
  <si>
    <t>NFR-DR-002</t>
  </si>
  <si>
    <t>NFR-DR-003</t>
  </si>
  <si>
    <t>NFR-DR-004</t>
  </si>
  <si>
    <t>NFR-DR-005</t>
  </si>
  <si>
    <t>NFR-DR-006</t>
  </si>
  <si>
    <t>NFR-DR-007</t>
  </si>
  <si>
    <t>NFR-DR-008</t>
  </si>
  <si>
    <t>NFR-OPS-001</t>
  </si>
  <si>
    <t>NFR-OPS-002</t>
  </si>
  <si>
    <t>NFR-OPS-003</t>
  </si>
  <si>
    <t>NFR-OPS-004</t>
  </si>
  <si>
    <t>NFR-OPS-005</t>
  </si>
  <si>
    <t>NFR-OPS-006</t>
  </si>
  <si>
    <t>NFR-OPS-007</t>
  </si>
  <si>
    <t>NFR-OPS-010</t>
  </si>
  <si>
    <t>NFR-OPS-008</t>
  </si>
  <si>
    <t>NFR-OPS-009</t>
  </si>
  <si>
    <t>NFR-OPS-011</t>
  </si>
  <si>
    <t>NFR-COMP-001</t>
  </si>
  <si>
    <t>NFR-COMP-002</t>
  </si>
  <si>
    <t>NFR-COMP-008</t>
  </si>
  <si>
    <t>NFR-COMP-003</t>
  </si>
  <si>
    <t>NFR-COMP-004</t>
  </si>
  <si>
    <t>NFR-COMP-005</t>
  </si>
  <si>
    <t>NFR-COMP-006</t>
  </si>
  <si>
    <t>NFR-COMP-007</t>
  </si>
  <si>
    <t>NFR-COMP-010</t>
  </si>
  <si>
    <t>NFR-COMP-009</t>
  </si>
  <si>
    <t>NFR-COMP-011</t>
  </si>
  <si>
    <t>NFR-COST-001</t>
  </si>
  <si>
    <t>NFR-COST-002</t>
  </si>
  <si>
    <t>NFR-COST-003</t>
  </si>
  <si>
    <t>NFR-COST-003-PLUS</t>
  </si>
  <si>
    <t>NFR-COST-004</t>
  </si>
  <si>
    <t>NFR-COST-005</t>
  </si>
  <si>
    <t>NFR-COST-006</t>
  </si>
  <si>
    <t>NFR-COST-007</t>
  </si>
  <si>
    <t>NFR-COST-007-PLUS</t>
  </si>
  <si>
    <t>NFR-COST-008</t>
  </si>
  <si>
    <t>NFR-COST-009</t>
  </si>
  <si>
    <t>NFR-MIG-001</t>
  </si>
  <si>
    <t>NFR-MIG-002</t>
  </si>
  <si>
    <t>NFR-MIG-003</t>
  </si>
  <si>
    <t>NFR-MIG-004</t>
  </si>
  <si>
    <t>NFR-MIG-005</t>
  </si>
  <si>
    <t>U2 Keycloak論理</t>
  </si>
  <si>
    <t>G-IdP-Scale</t>
  </si>
  <si>
    <t>1000/2000 IdP実測PoC P-1〜P-7</t>
  </si>
  <si>
    <t>basic-design/01-architecture-baseline.md §1.5</t>
  </si>
  <si>
    <t>G-SPI-Compat</t>
  </si>
  <si>
    <t>RHBK 26.4 × upstream 26.x Custom SPI互換（HRD / Re-Activation）</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</si>
  <si>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</si>
  <si>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</si>
  <si>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</si>
  <si>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</si>
  <si>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</si>
  <si>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</si>
  <si>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</si>
  <si>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G-OSAKA</t>
  </si>
  <si>
    <t>大阪インスタンス在庫・vCPUクォータ実確認</t>
  </si>
  <si>
    <t>G-EGRESS</t>
  </si>
  <si>
    <t>Egress許可ドメインの追加運用方式</t>
  </si>
  <si>
    <t>U7 セキュリティ</t>
  </si>
  <si>
    <t>G-DPA</t>
  </si>
  <si>
    <t>データ処理契約・越境（APPI 28条）</t>
  </si>
  <si>
    <t>U8 可用性・DR</t>
  </si>
  <si>
    <t>G-EDGE-DR</t>
  </si>
  <si>
    <t>エッジ層のDR切替合意</t>
  </si>
  <si>
    <t>G-LDAP</t>
  </si>
  <si>
    <t>LDAP/AD直接連携の検証</t>
  </si>
  <si>
    <t>G-PCI-WAF</t>
  </si>
  <si>
    <t>PCI DSS向けWAF要件</t>
  </si>
  <si>
    <t>A. PoC・技術ゲート実測</t>
  </si>
  <si>
    <t>A-1</t>
  </si>
  <si>
    <t>調査25人日。公式実測が存在せず本PoCが一次検証（keycloak-benchmark#382）。2026-07-30: IdP数決定困難→仮定値（1000/2000・フェデ:IdP-KC=50:50）で設計継続、後追い検証に格下げ・着手優先度↓。依存=E-2の試験計画を先行。包含=G-IdP-Scale P-1〜P-7, O-11, O-U9-2, O-U8-4</t>
  </si>
  <si>
    <t>basic-design/00a-remaining-tasks-and-effort.md §2 A</t>
  </si>
  <si>
    <t>A-2</t>
  </si>
  <si>
    <t>調査10人日。★実質残ブロッカー①。依存=RHBK環境。包含=U2 §2.8.4 #1/2, §2.2.5 #1, §2.6制約3, CVE-2025-14559, O-U9-5</t>
  </si>
  <si>
    <t>basic-design/00a-remaining-tasks-and-effort.md §2 A/§3.1</t>
  </si>
  <si>
    <t>A-3</t>
  </si>
  <si>
    <t>G-SCIM（自作SCIM Facadeプロトタイプ実装 + Entra/Okta Validator + D1/D2 E2E + Soft Delete写像 + 500/1000テナントp99 + バルク5万件）</t>
  </si>
  <si>
    <t>調査20人日。包含=G-SCIM再定義版（U3 §3.7.2）, Facadeスケール手当て（D3-16）。D-4の入力</t>
  </si>
  <si>
    <t>A-4</t>
  </si>
  <si>
    <t>G-LDAP（B-SCIM-13）</t>
  </si>
  <si>
    <t>廃止（2026-07-30、LDAP顧客なし）。工数0人日。当初はW1最優先だったが対象外化</t>
  </si>
  <si>
    <t>A-5</t>
  </si>
  <si>
    <t>B-SCIM-12: SAML経由JITのSPI検証（NameID handling差）</t>
  </si>
  <si>
    <t>調査4人日。D-11 SAML IdPテンプレートの入力。包含=U3 §3.7.2, U2 §2.8.2</t>
  </si>
  <si>
    <t>A-6</t>
  </si>
  <si>
    <t>B-SCIM-14: 実IdP統合検証（Entra ID / Okta trialでClaims・iss・SPI発火・login_hint・amr差）</t>
  </si>
  <si>
    <t>調査8人日。Phase 1 β前必須。依存=A-5後推奨。包含=U3 §3.7.2, login_hint挙動差, mfa_indicator Mapper（U2 §2.4.2/2.4.4）</t>
  </si>
  <si>
    <t>A-7</t>
  </si>
  <si>
    <t>G-OSAKA: 大阪c7g/c7i在庫・vCPUクォータ・arm64 Machine Pool / RHBK Operator arm64対応</t>
  </si>
  <si>
    <t>調査3人日。包含=O-1, O-U8-2（U6 §6.8.1）</t>
  </si>
  <si>
    <t>A-8</t>
  </si>
  <si>
    <t>Argon2idスループット実測（KCデフォルト m=7MiB/t=5 でのreq/s実測 → サイジング補正）</t>
  </si>
  <si>
    <t>調査2人日。A-1環境相乗り可。包含=U6 §6.5.1, U7 §7.8.2</t>
  </si>
  <si>
    <t>A-9</t>
  </si>
  <si>
    <t>SAMLメタデータ自動更新の実機確認（metadata descriptor URL + Refresh periodが実機に存在・動作するか）</t>
  </si>
  <si>
    <t>調査2人日。外部突合で判明（Discussion #27828未解決＝文書と実装の乖離疑い）。1000+ IdPの証明書ローテ運用の前提。無ければ運用代替（D-12と連動）</t>
  </si>
  <si>
    <t>A-10</t>
  </si>
  <si>
    <t>SPI debounce負荷試験（100 RPS × 24h × 10万ユーザのAurora IOPS / Infinispan invalidate / Podリソース）</t>
  </si>
  <si>
    <t>調査5人日。A-1環境相乗り可。包含=B-SCIM-9（hearing L226）</t>
  </si>
  <si>
    <t>A-11</t>
  </si>
  <si>
    <t>小粒実機確認バンドル（multi-cluster v2版数 / ROSA SA issuer JWKS / Red Hat docs 403分のEUS・Operatorチャネル・監査ログ制約の本文確認）</t>
  </si>
  <si>
    <t>調査2人日。3点セットで1バッチ化。包含=O-U8-6, O-U7-8, E-11</t>
  </si>
  <si>
    <t>A-12</t>
  </si>
  <si>
    <t>ServiceNow SP連携の実機検証（SAML Client CL-SN-01実機 + L1 SCIM→L2 SAML JIT統合フロー + Matching Field突合 + Webhook配信）</t>
  </si>
  <si>
    <t>調査6人日。NameID=username / RSA-SHA256 / IdP-initiated無効。パターン選択B-SN-3未回答のため暫定②で検証。包含=U10 D-U10-01〜06</t>
  </si>
  <si>
    <t>basic-design/00a-remaining-tasks-and-effort.md §2 A/横串</t>
  </si>
  <si>
    <t>B. 他組織・エッジ連携確定</t>
  </si>
  <si>
    <t>B-1</t>
  </si>
  <si>
    <t>要求仕様書v1の発行〜回答反映（既存B部記述を要求仕様書として体裁化・発行、先方QA対応、回答の各単元反映）</t>
  </si>
  <si>
    <t>検討12人日。発行は即可。REQ-IN-01〜11/13・REQ-OUT-01〜06・REQ-DR-01〜05は全件未回答。包含=O-4（In-A/In-B）, O-7（NW Acct管理主体）, O-10（zero-egressのTGW接続可否）。★W0最優先</t>
  </si>
  <si>
    <t>basic-design/00a-remaining-tasks-and-effort.md §2 B</t>
  </si>
  <si>
    <t>B-2</t>
  </si>
  <si>
    <t>CloudFront→エッジLB到達方式 + NFWルート設計の技術詰め</t>
  </si>
  <si>
    <t>検討5人日。custom origin vs VPC origins × NFW ingressルート × In-B（TCPパススルーNLB）の相性整理、先方協議資料。B-1と同時発行。包含=REQ-IN-13, O-APP-1</t>
  </si>
  <si>
    <t>B-3</t>
  </si>
  <si>
    <t>CIDR台帳の凍結（社内NW・他組織・顧客CIDRの入手と衝突確認）</t>
  </si>
  <si>
    <t>検討2人日。install後変更不可のため構築前必須。依存=社内NWチーム。包含=A6a-5（06a §A.5）</t>
  </si>
  <si>
    <t>B-4</t>
  </si>
  <si>
    <t>3ゲート合意の交渉サポート資料（SLA選択肢・未合意時の要件改訂影響を先方向けに整理）</t>
  </si>
  <si>
    <t>検討4人日。依存=B-1。包含=G-EGRESS（O-2/O-U9-1）, G-EDGE-DR（O-U8-1）, G-PCI-WAF（REQ-IN-01明細+ATPフィールド添付）</t>
  </si>
  <si>
    <t>B-5</t>
  </si>
  <si>
    <t>Canary Bot除外合意（Canary送信元のWAF誤検知除外をREQ追補へ）</t>
  </si>
  <si>
    <t>検討1人日。依存=B-1。包含=A6a-3</t>
  </si>
  <si>
    <t>C. 設計是正・文書整合</t>
  </si>
  <si>
    <t>C-1</t>
  </si>
  <si>
    <t>U6サイジング是正（Podモデル+接続予算）</t>
  </si>
  <si>
    <t>検討4人日。「27 Pod」不整合是正、少数大型Podモデルへ寄せる設計判断、D-U6-08に接続予算規約追加。2026-07-30: フェデ:IdP-KC=50:50（B-BROK-1暫定）を入力に再計算（従前70/30→IdP-KC負荷が上がる方向）。公式算定式突合=15 req/s/vCPU・+150%ヘッドルーム・100 req/sあたりAurora 1,400 Write IOPS</t>
  </si>
  <si>
    <t>basic-design/00a-remaining-tasks-and-effort.md §2 C</t>
  </si>
  <si>
    <t>C-2</t>
  </si>
  <si>
    <t>Baseline整合3点（NFR-3 10M改訂 / §C-7改訂ステータスの01・00-index矛盾突合 / P-09「RT 30日」精密化）</t>
  </si>
  <si>
    <t>検討2人日。01 §1.4残タスクの消化</t>
  </si>
  <si>
    <t>C-3</t>
  </si>
  <si>
    <t>ADR反映残の一括処理（ADR-051の12項目 / 053 / 059 / 019 / 048 / 038 / 023 §L.8 + research波及文書修正）</t>
  </si>
  <si>
    <t>検討4人日。各設計書で確定済みの内容をADR側へ反映するのみ</t>
  </si>
  <si>
    <t>C-4</t>
  </si>
  <si>
    <t>小粒登録4点（legacy_spiのD3-04行追加 / REQ-IN-12のU6登録 / REQ-OUT-06起票 / Pod・Service CIDRずらし承認）</t>
  </si>
  <si>
    <t>検討1人日。単純追記。包含=A6a-2</t>
  </si>
  <si>
    <t>C-5</t>
  </si>
  <si>
    <t>宙に浮いた参照8件の解消（idp_priority→D-1 / AAL操作一覧→D-2 / canaryスコープ→D-10 / L4特権JIT API→D-15 / drawio→G-4 / 00計画書のSorry旧記述 / §C-7 / ADR-040・036トリガー追跡→F-4）</t>
  </si>
  <si>
    <t>検討2人日。行き先を確定しトラッカーに載せ直す</t>
  </si>
  <si>
    <t>C-6</t>
  </si>
  <si>
    <t>research波及文書修正（rosa-detailed-analysis §4/§7、rhbk-support-and-pricing §4.5）</t>
  </si>
  <si>
    <t>検討1人日。記述更新のみ</t>
  </si>
  <si>
    <t>C-7</t>
  </si>
  <si>
    <t>PCI DSSスコープのPhase 1除外化</t>
  </si>
  <si>
    <t>検討2人日。2026-07-30 B-PCI-1受け。U7 §7.7/§7.8のPCI対応記述を「Phase 1対象外（将来再開可）」へ降格（削除でなく無効化注記）。G-PCI-WAF/B-MFA-PCI-1の参照除去。注意: pci-dss-* / hearing-checklistは別スレッド編集中のため触らない</t>
  </si>
  <si>
    <t>C-8</t>
  </si>
  <si>
    <t>LDAP経路の対象外化（U2/U3のLDAP記述、ADR-025 §H、D3-04 ldap経路に「Phase 1対象外」注記）</t>
  </si>
  <si>
    <t>検討1人日。2026-07-30 B-LDAP-1受け。削除でなく降格。provisioned_by=ldapは将来用に予約</t>
  </si>
  <si>
    <t>D. 未確定設計の合同確定</t>
  </si>
  <si>
    <t>D-1</t>
  </si>
  <si>
    <t>idp_priority属性 + Orgセレクター表示順（U2×U4合同）</t>
  </si>
  <si>
    <t>検討2人日。包含=U2 §2.1.4, U4 #10</t>
  </si>
  <si>
    <t>basic-design/00a-remaining-tasks-and-effort.md §2 D</t>
  </si>
  <si>
    <t>D-2</t>
  </si>
  <si>
    <t>AAL2/AAL3要求操作一覧（RP契約の前倒し確定）</t>
  </si>
  <si>
    <t>検討3人日。B-APP-STEPUP-1は暫定でよい。包含=U5 §5.9.1 #2, U2 §2.8.4 #9</t>
  </si>
  <si>
    <t>D-3</t>
  </si>
  <si>
    <t>idmap補助DB物理配置</t>
  </si>
  <si>
    <t>検討2人日。包含=O-8, U3-OP-2</t>
  </si>
  <si>
    <t>D-4</t>
  </si>
  <si>
    <t>SCIM Facade実行形態（U3×U6×U9三者）</t>
  </si>
  <si>
    <t>検討3人日。依存=A-3実測が入力。包含=O-9, U3-OP-3, O-U9-4</t>
  </si>
  <si>
    <t>D-5</t>
  </si>
  <si>
    <t>idm-api内部ルート + サービス間認可</t>
  </si>
  <si>
    <t>D-6</t>
  </si>
  <si>
    <t>SES/メール送信設計（サンドボックス解除・SPF/DKIM・realm単位SMTP as-code）</t>
  </si>
  <si>
    <t>検討3人日。包含=A6a-1 + 外部突合（SMTP realm単位）</t>
  </si>
  <si>
    <t>D-7</t>
  </si>
  <si>
    <t>ITDR DynamoDB大阪方式 + Break-Glass大阪実体（U7×U8）</t>
  </si>
  <si>
    <t>検討3人日。包含=O-U7-7, O-U8-9</t>
  </si>
  <si>
    <t>D-8</t>
  </si>
  <si>
    <t>D3-17 portal値 + ext_拡張属性受入枠 + app 90日バッチオプトイン</t>
  </si>
  <si>
    <t>検討2人日。包含=U3 §3.8, U2 §2.6, U3-OP-1</t>
  </si>
  <si>
    <t>D-9</t>
  </si>
  <si>
    <t>idm-api周辺5点（エンタイトルメント×App Registryスキーマ統合 / 監査二重書き / 承認UI共用 / canaryスコープ / SLO境界）</t>
  </si>
  <si>
    <t>検討5人日。包含=U10-OP-3/4/6/7/8 + U9</t>
  </si>
  <si>
    <t>D-10</t>
  </si>
  <si>
    <t>LDAP経路の追加Flow設計</t>
  </si>
  <si>
    <t>廃止（2026-07-30、LDAPなし）。工数0人日</t>
  </si>
  <si>
    <t>D-11</t>
  </si>
  <si>
    <t>SAML IdPテンプレート（Mapper定義）</t>
  </si>
  <si>
    <t>検討2人日。依存=A-5。包含=U2 §2.8.2</t>
  </si>
  <si>
    <t>D-12</t>
  </si>
  <si>
    <t>IdP証明書ローテーション運用設計（SP側SAML鍵ローテ含む）</t>
  </si>
  <si>
    <t>検討3人日。依存=A-9（自動更新機能の実在結果を反映）。包含=U10-OP-1 + 外部突合（Realm鍵3-6ヶ月ローテ・passive保持）</t>
  </si>
  <si>
    <t>D-13</t>
  </si>
  <si>
    <t>ロックアウト×Brokerリスクスコア整合</t>
  </si>
  <si>
    <t>検討2人日。包含=U7 §7.2.1</t>
  </si>
  <si>
    <t>D-14</t>
  </si>
  <si>
    <t>ATPフォームフィールド添付 + HRD文言最終稿</t>
  </si>
  <si>
    <t>検討1人日。包含=U7 §7.8.1, U4 §4.1.3</t>
  </si>
  <si>
    <t>D-15</t>
  </si>
  <si>
    <t>L3昇格API配置</t>
  </si>
  <si>
    <t>検討2人日。依存=F-4（ADR-040完了後）。包含=U7 §7.6.1</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</si>
  <si>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</si>
  <si>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</si>
  <si>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</si>
  <si>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</si>
  <si>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</si>
  <si>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検討5人日。2026-07-30 A-5-2受け（P-07転換）。「管理者=ローカルPW+WebAuthn」をP-1運用者に限定し、P-2テナント管理者はMFA=フェデ側責任へ書換。別レイヤ注意: IdP-KCが収容するIdPなしテナントのエンドユーザはローカルPWだが通常Webログイン経由（踏み台ではない）。provisioned_by=local-adminはP-1運用者作成分に限定。改訂先=U2 §2.3.1, U3 D3-04, U4 D-U4-04, U7 D-U7-14</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</si>
  <si>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</si>
  <si>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</si>
  <si>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</si>
  <si>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</si>
  <si>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</si>
  <si>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調査2+検討6=8人日。6 Acct体系はprod前提で現状どの単元にも無い。外部突合の薄領域判定①。現状はU9 §9.6.1の断片のみ</t>
  </si>
  <si>
    <t>basic-design/00a-remaining-tasks-and-effort.md §2 E</t>
  </si>
  <si>
    <t>E-2</t>
  </si>
  <si>
    <t>負荷試験一元計画書（keycloak-benchmark/Gatling・dataset投入・合格基準・「Pod増で1Pod性能低下」公式警告の織込み）</t>
  </si>
  <si>
    <t>検討4人日。実施自体はA-1等。★内部クリティカルパスの起点（E-2→A-1→C-1/D系）。根拠=薄領域判定②、keycloak.orgサイジングガイド「必ず自前の負荷試験を」</t>
  </si>
  <si>
    <t>basic-design/00a-remaining-tasks-and-effort.md §2 E/§4</t>
  </si>
  <si>
    <t>E-3</t>
  </si>
  <si>
    <t>FinOps/継続コスト管理（タグ戦略・予算アラート・テナント別原価・3y見積回収）</t>
  </si>
  <si>
    <t>検討4人日。Tag Policyは必須タグを強制できない→SCP/Config補完。包含=O-6。根拠=薄領域判定③、AWS Organizations/Cost公式</t>
  </si>
  <si>
    <t>E-4</t>
  </si>
  <si>
    <t>KC本番設定の詰め漏れ反映（http-max-queued-requests / 公開パス遮断表 / JGroups mTLS 30日自動ローテ / jdbc-ping / persistent-user-sessions前提確認）</t>
  </si>
  <si>
    <t>調査2+検討3=5人日。http-max-queued-requestsはデフォルト無制限→ロードシェディング必須。/admin・/metrics・/health・/realms/masterのプロキシ遮断はhostname分離と別作業。根拠=keycloak.org configuration-production / reverseproxy / caching</t>
  </si>
  <si>
    <t>E-5</t>
  </si>
  <si>
    <t>アップグレード運用の精密化（update-compatibility checkのCI組込み / DB・cache系変更=recreate全停止のメンテ窓設計 / RHBK EUS・チャネル確認）</t>
  </si>
  <si>
    <t>調査2+検討3=5人日。A-11と連動。根拠=keycloak.org update-compatibility、RHBKライフサイクル</t>
  </si>
  <si>
    <t>E-6</t>
  </si>
  <si>
    <t>Aurora接続の公式部品採否（AWS Advanced JDBC Wrapper failoverプラグイン採否 / migration-strategy選定 / WAL・バックアップ暗号化範囲確認）</t>
  </si>
  <si>
    <t>調査2+検討1=3人日。根拠=keycloak.org server/db</t>
  </si>
  <si>
    <t>E-7</t>
  </si>
  <si>
    <t>ROSA監査ログの中央集約制約（CloudWatch別Acct直接転送非サポートの本文確認 + 4.17.2+ OAuthログ肥大）</t>
  </si>
  <si>
    <t>調査2+検討1=3人日。D-U9-01/05の監査Acct集約方針と整合が必要。根拠=access.redhat.com/solutions/7002219（要確認）</t>
  </si>
  <si>
    <t>E-8</t>
  </si>
  <si>
    <t>brute force戦略選定 + アカウント列挙対策の明文化</t>
  </si>
  <si>
    <t>検討1人日。公式4戦略、ロックアウト起点の列挙リスク。根拠=keycloak.org server_admin</t>
  </si>
  <si>
    <t>F. ヒアリング・契約・法務</t>
  </si>
  <si>
    <t>F-1</t>
  </si>
  <si>
    <t>ヒアリング質問状のパッケージ化（127項目を優先度圧縮）</t>
  </si>
  <si>
    <t>検討2人日。2026-07-30で高ブロック6件は解消済み→残りはB-SN/B-MIG/B-TAP/B-DR/UX系が中心。hearing-checklist全127項目中未回答123（回答済はPoC自己解決4件のみ、顧客回答ゼロ）。★W0最優先（外部リードタイムが律速）</t>
  </si>
  <si>
    <t>basic-design/00a-remaining-tasks-and-effort.md §2 F/§0</t>
  </si>
  <si>
    <t>F-2</t>
  </si>
  <si>
    <t>ヒアリング回答反映（P表更新→影響単元改訂）</t>
  </si>
  <si>
    <t>検討8人日。C-201=Yes等の悪い回答時は別途増分。包含=P-03/04/07/17, B-*全群。依存=F-1の回答受領</t>
  </si>
  <si>
    <t>basic-design/00a-remaining-tasks-and-effort.md §2 F</t>
  </si>
  <si>
    <t>F-3</t>
  </si>
  <si>
    <t>法務系の起票と追撃（Red Hat DPA / Key Custodian Agreement / PPC報告雛形 / 契約テンプレ）</t>
  </si>
  <si>
    <t>検討2人日。★実質残ブロッカー②: Red Hat DPA=クラウド利用のAPPI同意は取得方針、残はSRE越境閲覧確認中の1点。契約テンプレ=Responsibility Matrix / MFA責任分界（12.9.2はPCI除外で不要）。包含=O-U7-5, U7 §7.1.2/7.7.3, U10 §10.6.3。★W0最優先</t>
  </si>
  <si>
    <t>basic-design/00a-remaining-tasks-and-effort.md §2 F/§3.1</t>
  </si>
  <si>
    <t>F-4</t>
  </si>
  <si>
    <t>ADR-040/036別スレッド完了後の統合（OOS残存参照整理）</t>
  </si>
  <si>
    <t>検討2人日。D-15の前提。包含=O-U9-9</t>
  </si>
  <si>
    <t>G. 運用実体化</t>
  </si>
  <si>
    <t>G-1</t>
  </si>
  <si>
    <t>Runbook Phase 1必須13冊の執筆（TEN-01/03、SEC-01〜06、DR-00〜05）</t>
  </si>
  <si>
    <t>検討16人日。仕様は各単元確定済み。W1でA系と並行可。包含=D-U9-07。参考: 残り23冊（G-2、20人日）はリリース後3ヶ月以内で可・総計外</t>
  </si>
  <si>
    <t>basic-design/00a-remaining-tasks-and-effort.md §2 G</t>
  </si>
  <si>
    <t>G-2</t>
  </si>
  <si>
    <t>（参考・総計外）Runbook残り23冊 — リリース後3ヶ月以内</t>
  </si>
  <si>
    <t>検討20人日（総計外）。包含=D-U9-07</t>
  </si>
  <si>
    <t>G-3</t>
  </si>
  <si>
    <t>オンコール/アラートRouting実体（PagerDuty契約・ローテーション）</t>
  </si>
  <si>
    <t>検討2人日。包含=O-U9-6</t>
  </si>
  <si>
    <t>G-4</t>
  </si>
  <si>
    <t>drawio清書（mermaid → AWSアイコン版、旧EKS図置換）</t>
  </si>
  <si>
    <t>検討4人日。包含=A6a-4。C-5の宙に浮いた参照の行き先</t>
  </si>
  <si>
    <t>状態</t>
  </si>
  <si>
    <t>Device Code Flow</t>
    <phoneticPr fontId="2"/>
  </si>
  <si>
    <t>決めること（平易な説明）</t>
  </si>
  <si>
    <t>顧客のID基盤を1000件つないでも実際に耐えられるか、動かして測る</t>
  </si>
  <si>
    <t>独自に作り込む部分が、採用する製品の正式版でも動くか実機で確かめる</t>
  </si>
  <si>
    <t>メールアドレスを持たない利用者でも、登録からログインまで完走できるか実機で確かめる</t>
  </si>
  <si>
    <t>顧客のID基盤からの利用者自動同期が、各社の仕様どおり動き、大量件数でも耐えるか確かめる</t>
  </si>
  <si>
    <t>予備の地域で必要な機材が実際に確保できるか確かめる</t>
  </si>
  <si>
    <t>外部への通信許可を追加するとき、誰にどう依頼し、何日で通るかを合意する</t>
  </si>
  <si>
    <t>海外の保守要員がデータを閲覧する可能性について、法令上の扱いを整理し合意する</t>
  </si>
  <si>
    <t>大きな障害が起きたときの切替方式と復旧目標を、顧客・関係組織と合意する</t>
  </si>
  <si>
    <t>社内ディレクトリとの直接連携を検証するか（不要と決着済み）</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</si>
  <si>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</si>
  <si>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</si>
  <si>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</si>
  <si>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</si>
  <si>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</si>
  <si>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</si>
  <si>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</si>
  <si>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</si>
  <si>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</si>
  <si>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</si>
  <si>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</si>
  <si>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</si>
  <si>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</si>
  <si>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</si>
  <si>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</si>
  <si>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</si>
  <si>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</si>
  <si>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</si>
  <si>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</si>
  <si>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</si>
  <si>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</si>
  <si>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</si>
  <si>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</si>
  <si>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</si>
  <si>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</si>
  <si>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</si>
  <si>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</si>
  <si>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</si>
  <si>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</si>
  <si>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</si>
  <si>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</si>
  <si>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</si>
  <si>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</si>
  <si>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</si>
  <si>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</si>
  <si>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</si>
  <si>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</si>
  <si>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</si>
  <si>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</si>
  <si>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</si>
  <si>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</si>
  <si>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</si>
  <si>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</si>
  <si>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復旧を手動・約14日に変えた方針と、誤削除やランサム被害にも備えるバックアップ方式に合わせて設計文書を書き換える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</si>
  <si>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</si>
  <si>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</si>
  <si>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</si>
  <si>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</si>
  <si>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</si>
  <si>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</si>
  <si>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</si>
  <si>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</si>
  <si>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</si>
  <si>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</si>
  <si>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</si>
  <si>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</si>
  <si>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</si>
  <si>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</si>
  <si>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</si>
  <si>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</si>
  <si>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</si>
  <si>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</si>
  <si>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</si>
  <si>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</si>
  <si>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</si>
  <si>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</si>
  <si>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</si>
  <si>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</si>
  <si>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</si>
  <si>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</si>
  <si>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</si>
  <si>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§2.1.3</t>
  </si>
  <si>
    <t>U2 §2.2.2</t>
  </si>
  <si>
    <t>U2 §2.2.3</t>
  </si>
  <si>
    <t>U2 §2.2.4</t>
  </si>
  <si>
    <t>U2 §2.2.5 #3</t>
  </si>
  <si>
    <t>U2 §2.2.5 #4</t>
  </si>
  <si>
    <t>U2 §2.2.5 #5</t>
  </si>
  <si>
    <t>U2 §2.3 共通制約</t>
  </si>
  <si>
    <t>U2 §2.3.1</t>
  </si>
  <si>
    <t>U2 §2.3.2</t>
  </si>
  <si>
    <t>U2 §2.4.1</t>
  </si>
  <si>
    <t>U2 §2.4.2</t>
  </si>
  <si>
    <t>U2 §2.4.3</t>
  </si>
  <si>
    <t>U2 §2.4.4</t>
  </si>
  <si>
    <t>U2 §2.5.1</t>
  </si>
  <si>
    <t>U2 §2.5.2</t>
  </si>
  <si>
    <t>U2 §2.7.5</t>
  </si>
  <si>
    <t>D3-02</t>
  </si>
  <si>
    <t>D3-03</t>
  </si>
  <si>
    <t>D3-04</t>
  </si>
  <si>
    <t>D3-06</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</si>
  <si>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</si>
  <si>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</si>
  <si>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</si>
  <si>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</si>
  <si>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</si>
  <si>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</si>
  <si>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</si>
  <si>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</si>
  <si>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</si>
  <si>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</si>
  <si>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</si>
  <si>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</si>
  <si>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</si>
  <si>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</si>
  <si>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</si>
  <si>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</si>
  <si>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</si>
  <si>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</si>
  <si>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</si>
  <si>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</si>
  <si>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</si>
  <si>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</si>
  <si>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</si>
  <si>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</si>
  <si>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</si>
  <si>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</si>
  <si>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</si>
  <si>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</si>
  <si>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</si>
  <si>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</si>
  <si>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</si>
  <si>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</si>
  <si>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</si>
  <si>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</si>
  <si>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</si>
  <si>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</si>
  <si>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</si>
  <si>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</si>
  <si>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</si>
  <si>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</si>
  <si>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</si>
  <si>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</si>
  <si>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</si>
  <si>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</si>
  <si>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</si>
  <si>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</si>
  <si>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</si>
  <si>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</si>
  <si>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</si>
  <si>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</si>
  <si>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</si>
  <si>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</si>
  <si>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</si>
  <si>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</si>
  <si>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</si>
  <si>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</si>
  <si>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</si>
  <si>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</si>
  <si>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</si>
  <si>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</si>
  <si>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</si>
  <si>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</si>
  <si>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</si>
  <si>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</si>
  <si>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</si>
  <si>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</si>
  <si>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</si>
  <si>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</si>
  <si>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</si>
  <si>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</si>
  <si>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</si>
  <si>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</si>
  <si>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</si>
  <si>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</si>
  <si>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</si>
  <si>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</si>
  <si>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</si>
  <si>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</si>
  <si>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</si>
  <si>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</si>
  <si>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</si>
  <si>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</si>
  <si>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</si>
  <si>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</si>
  <si>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</si>
  <si>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</si>
  <si>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</si>
  <si>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</si>
  <si>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</si>
  <si>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</si>
  <si>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</si>
  <si>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</si>
  <si>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</si>
  <si>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</si>
  <si>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</si>
  <si>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</si>
  <si>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</si>
  <si>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</si>
  <si>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</si>
  <si>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</si>
  <si>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</si>
  <si>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</si>
  <si>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</si>
  <si>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</si>
  <si>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</si>
  <si>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</si>
  <si>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</si>
  <si>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</si>
  <si>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</si>
  <si>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</si>
  <si>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</si>
  <si>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</si>
  <si>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</si>
  <si>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</si>
  <si>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</si>
  <si>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</si>
  <si>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</si>
  <si>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</si>
  <si>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</si>
  <si>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</si>
  <si>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</si>
  <si>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</si>
  <si>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</si>
  <si>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</si>
  <si>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</si>
  <si>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</si>
  <si>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</si>
  <si>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</si>
  <si>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</si>
  <si>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</si>
  <si>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</si>
  <si>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</si>
  <si>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</si>
  <si>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</si>
  <si>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</si>
  <si>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</si>
  <si>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</si>
  <si>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</si>
  <si>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</si>
  <si>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</si>
  <si>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</si>
  <si>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</si>
  <si>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</si>
  <si>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</si>
  <si>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</si>
  <si>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2"/>
  </si>
  <si>
    <t>U4</t>
    <phoneticPr fontId="2"/>
  </si>
  <si>
    <t>部分</t>
    <phoneticPr fontId="2"/>
  </si>
  <si>
    <t>追加確認手段のリセット経路（テナント管理者／運用ランブック）は決定済。パスワード自体の自己リセット画面はカスタマイズ対象10ファイルに含まれず未確認</t>
    <phoneticPr fontId="2"/>
  </si>
  <si>
    <t>（なし）</t>
    <phoneticPr fontId="2"/>
  </si>
  <si>
    <t>未対応</t>
    <phoneticPr fontId="2"/>
  </si>
  <si>
    <t>D-U4-03</t>
    <phoneticPr fontId="2"/>
  </si>
  <si>
    <t>顧客別の画面出しはPhase 1不採用。顧客別URL方式はPhase 2オプションとして保留</t>
    <phoneticPr fontId="2"/>
  </si>
  <si>
    <t>U2 §2.3.3 / §2.7.2 ・ D-U4-01 / D-U4-02</t>
    <phoneticPr fontId="2"/>
  </si>
  <si>
    <t>U2+U4</t>
    <phoneticPr fontId="2"/>
  </si>
  <si>
    <t>設計済</t>
    <phoneticPr fontId="2"/>
  </si>
  <si>
    <t>接続先一覧は恒久非表示。識別子先行の2段階＋所属限定セレクター、失敗時の応答同一化まで確定</t>
    <phoneticPr fontId="2"/>
  </si>
  <si>
    <t>D-U4-04 ・ U4 §4.3.2</t>
    <phoneticPr fontId="2"/>
  </si>
  <si>
    <t>自社受け皿収容の利用者にWebAuthn不可時の代替として提供。6桁の自動送信はしない</t>
    <phoneticPr fontId="2"/>
  </si>
  <si>
    <t>D-U4-04 ・ U4 §4.3.2 ・ U2 §2.3.1</t>
    <phoneticPr fontId="2"/>
  </si>
  <si>
    <t>第一候補として提示。運用者は必須、最上位強度はこの方式のみ</t>
    <phoneticPr fontId="2"/>
  </si>
  <si>
    <t>D-U4-04</t>
    <phoneticPr fontId="2"/>
  </si>
  <si>
    <t>対象外</t>
    <phoneticPr fontId="2"/>
  </si>
  <si>
    <t>不採用を確定（推奨されない方式かつ個人情報を持つため）</t>
    <phoneticPr fontId="2"/>
  </si>
  <si>
    <t>基盤側の認証手段を持つ全員に発行。残3以下で再発行誘導、全消費時は強制再発行</t>
    <phoneticPr fontId="2"/>
  </si>
  <si>
    <t>U2 §2.3.5 ・ D-U4-04</t>
    <phoneticPr fontId="2"/>
  </si>
  <si>
    <t>状況に応じた判定はPhase 1対象外。画面の挿入位置も次段階で設計</t>
    <phoneticPr fontId="2"/>
  </si>
  <si>
    <t>対象者の区分で強制範囲を定義（外部フェデは顧客責任、自社受け皿収容と運用者は必須・猶予なし）</t>
    <phoneticPr fontId="2"/>
  </si>
  <si>
    <t>30日スキップの採否は未確定（未実装で設計済み、追加は設定変更のみで可）</t>
    <phoneticPr fontId="2"/>
  </si>
  <si>
    <t>U4 §4.2.3</t>
    <phoneticPr fontId="2"/>
  </si>
  <si>
    <t>アカウント設定画面は標準ベース＋文言/ロゴのみを暫定。編集可能項目の範囲は未確定</t>
    <phoneticPr fontId="2"/>
  </si>
  <si>
    <t>U4 §4.1.4</t>
    <phoneticPr fontId="2"/>
  </si>
  <si>
    <t>D-U4-03 ・ U4 §4.2.3</t>
    <phoneticPr fontId="2"/>
  </si>
  <si>
    <t>統一テーマ1本を採用し顧客別の差し替えはPhase 1不採用。カスタマイズ対象は10ファイルに限定</t>
    <phoneticPr fontId="2"/>
  </si>
  <si>
    <t>D-U7-04</t>
  </si>
  <si>
    <t>不正検知のパイプライン構成と配置</t>
  </si>
  <si>
    <t>D-U7-10b</t>
  </si>
  <si>
    <t>D-U7-19</t>
  </si>
  <si>
    <t>D-U7-17</t>
    <phoneticPr fontId="2"/>
  </si>
  <si>
    <t>U7</t>
    <phoneticPr fontId="2"/>
  </si>
  <si>
    <t>12文字以上＋英数混在＋漏洩パスワード照合を必須と確定</t>
    <phoneticPr fontId="2"/>
  </si>
  <si>
    <t>D-U7-05 / D-U7-17 ・ U2 §2.3.5</t>
    <phoneticPr fontId="2"/>
  </si>
  <si>
    <t>U2+U7</t>
    <phoneticPr fontId="2"/>
  </si>
  <si>
    <t>連続5回で30分ロック。恒久ロックはサービス妨害化を防ぐため不使用と明記</t>
    <phoneticPr fontId="2"/>
  </si>
  <si>
    <t>D-U7-14</t>
    <phoneticPr fontId="2"/>
  </si>
  <si>
    <t>全アクセスで追加確認を必須化することにより、定期変更の要件を適用外化する方針</t>
    <phoneticPr fontId="2"/>
  </si>
  <si>
    <t>D-U7-01 / D-U7-02</t>
    <phoneticPr fontId="2"/>
  </si>
  <si>
    <t>3階層の暗号鍵体系と命名規約、職務分離の鍵ポリシーまで確定</t>
    <phoneticPr fontId="2"/>
  </si>
  <si>
    <t>D-U7-03 ・ U5 §5.2.1</t>
    <phoneticPr fontId="2"/>
  </si>
  <si>
    <t>U5+U7</t>
    <phoneticPr fontId="2"/>
  </si>
  <si>
    <t>署名方式を確定し、標準機能で管理して90日周期で更新（旧鍵は30日並走）</t>
    <phoneticPr fontId="2"/>
  </si>
  <si>
    <t>12文字以上＋英数混在＋漏洩照合を確定。アルゴリズムの詳細値は末尾欠落部にあり未取得</t>
    <phoneticPr fontId="2"/>
  </si>
  <si>
    <t>D-U7-02 / D-U7-09 / D-U7-10a / D-U7-10b</t>
    <phoneticPr fontId="2"/>
  </si>
  <si>
    <t>保管庫管理＋90日自動更新＋設定への直書き禁止（機械検査）。内部は無秘密方式へ移行</t>
    <phoneticPr fontId="2"/>
  </si>
  <si>
    <t>D-U7-05 / D-U7-08 / D-U7-06</t>
    <phoneticPr fontId="2"/>
  </si>
  <si>
    <t>総当たり・横断的な試行・署名鍵悪用の4シグナルまで検知範囲を確定</t>
    <phoneticPr fontId="2"/>
  </si>
  <si>
    <t>D-U7-13</t>
    <phoneticPr fontId="2"/>
  </si>
  <si>
    <t>D-U7-16</t>
    <phoneticPr fontId="2"/>
  </si>
  <si>
    <t>D-U7-13 / D-U7-07</t>
    <phoneticPr fontId="2"/>
  </si>
  <si>
    <t>U7+U9</t>
    <phoneticPr fontId="2"/>
  </si>
  <si>
    <t>即時分析90日＋改ざん不能7年の2層。全ログはマスキング通過後に保存</t>
    <phoneticPr fontId="2"/>
  </si>
  <si>
    <t>検索基盤とデータレイク検索の2段構え。運用ダッシュボード化は運用設計側</t>
    <phoneticPr fontId="2"/>
  </si>
  <si>
    <t>D-U7-15b</t>
    <phoneticPr fontId="2"/>
  </si>
  <si>
    <t>D-U7-12 / D-U7-13</t>
    <phoneticPr fontId="2"/>
  </si>
  <si>
    <t>対象ログ源11種を必須セットとして列挙し、監査アカウントを唯一の集約先に確定</t>
    <phoneticPr fontId="2"/>
  </si>
  <si>
    <t>アカウントの存在有無を返さない汎用エラーと応答時間の均一化は確定。ログイン時の識別子作り替えの明示的な記述は確認できず</t>
    <phoneticPr fontId="2"/>
  </si>
  <si>
    <t>D-U7-05</t>
    <phoneticPr fontId="2"/>
  </si>
  <si>
    <t>漏洩パスワード照合を採用。ログイン成功時と設定変更時に照会し、ヒット時は変更強制／設定拒否</t>
    <phoneticPr fontId="2"/>
  </si>
  <si>
    <t>エッジ側の大規模攻撃防御は他組織へ要求。体積型は保証しないと責任分担表に明記。自管理側は自動増減で吸収余地のみ</t>
    <phoneticPr fontId="2"/>
  </si>
  <si>
    <t>ミラー同期パイプラインに脆弱性スキャンと署名検証を組み込む方針は確定。頻度と合格基準は未確定</t>
    <phoneticPr fontId="2"/>
  </si>
  <si>
    <t>不正自動化対策・認証情報リスト攻撃検知・流量制限（5分2000件/送信元）を要求仕様として明細化。設定管理は他組織</t>
    <phoneticPr fontId="2"/>
  </si>
  <si>
    <t>D-U7-12</t>
    <phoneticPr fontId="2"/>
  </si>
  <si>
    <t>D-U7-03 ・ U5 §5.6.3</t>
    <phoneticPr fontId="2"/>
  </si>
  <si>
    <t>鍵は90日周期で更新し旧鍵30日並走。窓口自体の保護レベルはインフラ側</t>
    <phoneticPr fontId="2"/>
  </si>
  <si>
    <t>前提側で不要と確定済み。本文の該当節も対象外化の改訂待ちと明記されている</t>
    <phoneticPr fontId="2"/>
  </si>
  <si>
    <t>D-U7-09 / D-U7-10a / D-U7-19</t>
    <phoneticPr fontId="2"/>
  </si>
  <si>
    <t>実行主体ごとに1ロール・完全一致の信頼設定。内部は無秘密方式へ移行し、両系統に届く単一権限を作らない</t>
    <phoneticPr fontId="2"/>
  </si>
  <si>
    <t>D-U8-02</t>
  </si>
  <si>
    <t>D-U8-03</t>
  </si>
  <si>
    <t>D-U8-04</t>
  </si>
  <si>
    <t>D-U8-07</t>
  </si>
  <si>
    <t>（廃止）予備地域を温めて待機する方式</t>
  </si>
  <si>
    <t>D-U8-10</t>
  </si>
  <si>
    <t>D-U8-12</t>
  </si>
  <si>
    <t>切り戻しは計画切替（データ喪失ゼロ）</t>
  </si>
  <si>
    <t>D-U8-01</t>
    <phoneticPr fontId="2"/>
  </si>
  <si>
    <t>U8</t>
    <phoneticPr fontId="2"/>
  </si>
  <si>
    <t>月間停止許容枠43.8分。計測は認証成功率で、計画停止と顧客側ID基盤起因は除外。律速は他組織管理のエッジで99.95%以上を要求仕様化</t>
    <phoneticPr fontId="2"/>
  </si>
  <si>
    <t>D-U8-01 / D-U8-04</t>
    <phoneticPr fontId="2"/>
  </si>
  <si>
    <t>月1回・深夜2〜4時・7日前通知で確定。機能追加を伴う版数更新はこの窓で実施</t>
    <phoneticPr fontId="2"/>
  </si>
  <si>
    <t>D-U8-02</t>
    <phoneticPr fontId="2"/>
  </si>
  <si>
    <t>最小3台を拠点ごとに分散配置し偏りを1に制限</t>
    <phoneticPr fontId="2"/>
  </si>
  <si>
    <t>同時停止許容数1、ノード障害は基盤側で自動置換、クラスタ再編も自動</t>
    <phoneticPr fontId="2"/>
  </si>
  <si>
    <t>D-U8-02 / D-U8-03</t>
    <phoneticPr fontId="2"/>
  </si>
  <si>
    <t>負荷分散・接続窓口・データベースをすべて3拠点化。出口装置を持たない構成</t>
    <phoneticPr fontId="2"/>
  </si>
  <si>
    <t>D-U8-04</t>
    <phoneticPr fontId="2"/>
  </si>
  <si>
    <t>設定変更と修正版は無停止（順次再起動）。機能追加を伴う更新のみ計画停止窓</t>
    <phoneticPr fontId="2"/>
  </si>
  <si>
    <t>D-U8-05 / D-U8-14 / D-U8-09</t>
    <phoneticPr fontId="2"/>
  </si>
  <si>
    <t>手動復旧・およそ14日で確定（2026-07-30に「1時間」から全面転換）。工程ごとの内訳と成立条件5点も定義</t>
    <phoneticPr fontId="2"/>
  </si>
  <si>
    <t>D-U8-14 / D-U8-10</t>
    <phoneticPr fontId="2"/>
  </si>
  <si>
    <t>3層で定義（継続複製=約1秒／時点復元=1秒精度／変更不能な控え=取得間隔）。ただし地域災害時にどこまで詰めるかは未決（継続複製の維持か定期取得のみか）</t>
    <phoneticPr fontId="2"/>
  </si>
  <si>
    <t>D-U8-08 / D-U8-05</t>
    <phoneticPr fontId="2"/>
  </si>
  <si>
    <t>判定チェックリストで2系統以上該当なら宣言。昇格・全体切替・切り戻しは手動承認、承認は検知から15分以内</t>
    <phoneticPr fontId="2"/>
  </si>
  <si>
    <t>D-U8-14</t>
    <phoneticPr fontId="2"/>
  </si>
  <si>
    <t>時点復元は1〜35日。定期取得の控えの保持期間は「無期限は永久課金のため避ける」方針のみで具体値は未確定</t>
    <phoneticPr fontId="2"/>
  </si>
  <si>
    <t>D-U8-14 / D-U8-06</t>
    <phoneticPr fontId="2"/>
  </si>
  <si>
    <t>1〜35日・1秒精度。論理破壊時の主たる復元手段と位置づけ</t>
    <phoneticPr fontId="2"/>
  </si>
  <si>
    <t>定期取得の控えを別地域かつ別アカウントへ複製。継続バックアップは別地域複製できない制約を明記</t>
    <phoneticPr fontId="2"/>
  </si>
  <si>
    <t>D-U8-13</t>
    <phoneticPr fontId="2"/>
  </si>
  <si>
    <t>年2回（上期=地域災害の作り直し／下期=論理破壊の復元）。他組織にも年1回以上の参加を要求</t>
    <phoneticPr fontId="2"/>
  </si>
  <si>
    <t>D-U8-10</t>
    <phoneticPr fontId="2"/>
  </si>
  <si>
    <t>維持しない方針を確定。全利用者が再認証となることを製品仕様として明文化し顧客との取り決めに記載</t>
    <phoneticPr fontId="2"/>
  </si>
  <si>
    <t>U8+U9</t>
    <phoneticPr fontId="2"/>
  </si>
  <si>
    <t>D-U8-14 / D-U8-11</t>
    <phoneticPr fontId="2"/>
  </si>
  <si>
    <t>U8+U6</t>
    <phoneticPr fontId="2"/>
  </si>
  <si>
    <t>予備地域の計算資源を平時ゼロにしたことで常時費用は削減。データ保全分の費用は未算定</t>
    <phoneticPr fontId="2"/>
  </si>
  <si>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</si>
  <si>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</si>
  <si>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</si>
  <si>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</si>
  <si>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</si>
  <si>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</si>
  <si>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</si>
  <si>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</si>
  <si>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2"/>
  </si>
  <si>
    <t>U6</t>
    <phoneticPr fontId="2"/>
  </si>
  <si>
    <t>ピーク時1,000〜3,000件/秒を試算前提として設定。応答時間の合格値自体は負荷試験計画で確定予定</t>
    <phoneticPr fontId="2"/>
  </si>
  <si>
    <t>U5+U6</t>
    <phoneticPr fontId="2"/>
  </si>
  <si>
    <t>U5 §5.6.3 ・ D-U6-10</t>
    <phoneticPr fontId="2"/>
  </si>
  <si>
    <t>受け取り側にキャッシュと更新追従を義務付け、基盤側のキャッシュ初期値も明示。保持時間の具体値は未確定</t>
    <phoneticPr fontId="2"/>
  </si>
  <si>
    <t>D-U6-07 / D-U6-08</t>
    <phoneticPr fontId="2"/>
  </si>
  <si>
    <t>構成と接続プールは確定（総接続810に対し上限3,300で余裕）。応答時間の目標値は未確定</t>
    <phoneticPr fontId="2"/>
  </si>
  <si>
    <t>D-U6-04 ・ D-U6-05</t>
    <phoneticPr fontId="2"/>
  </si>
  <si>
    <t>ピーク1,000〜3,000件/秒で必要資源を算定し、上限台数（Broker 9／自社受け皿18）まで確定</t>
    <phoneticPr fontId="2"/>
  </si>
  <si>
    <t>D-U6-13</t>
    <phoneticPr fontId="2"/>
  </si>
  <si>
    <t>入口側の流量制限は他組織への要求仕様として明細化。自管理側の受付上限は未確定</t>
    <phoneticPr fontId="2"/>
  </si>
  <si>
    <t>D-U6-04</t>
    <phoneticPr fontId="2"/>
  </si>
  <si>
    <t>自動増減を採用。自社受け皿側は起動が遅いため、CPUではなく予兆（1台あたり毎秒8件超が3分継続）を優先トリガに</t>
    <phoneticPr fontId="2"/>
  </si>
  <si>
    <t>D-U6-05 ・ D-U6-04</t>
    <phoneticPr fontId="2"/>
  </si>
  <si>
    <t>10M上限で資源を算定。立ち上げ期から上限までの構成変更なしでの吸収可能性まで確認済み</t>
    <phoneticPr fontId="2"/>
  </si>
  <si>
    <t>D-U6-10</t>
    <phoneticPr fontId="2"/>
  </si>
  <si>
    <t>キャッシュ初期値は確定。同時セッション数そのものの見込み値は顧客確認待ち</t>
    <phoneticPr fontId="2"/>
  </si>
  <si>
    <t>委任方式が合意できれば翌営業日以内は成立。合意不成立時は要件自体の改訂へ差し戻す条件を明記</t>
    <phoneticPr fontId="2"/>
  </si>
  <si>
    <t>2系統に分離し、認証製品側のみ動的に増減。管理系は規模と監視量で準静的に調整</t>
    <phoneticPr fontId="2"/>
  </si>
  <si>
    <t>D-U6-03 ・ D-U8-05</t>
    <phoneticPr fontId="2"/>
  </si>
  <si>
    <t>U6+U8</t>
    <phoneticPr fontId="2"/>
  </si>
  <si>
    <t>平時は東京のみ稼働。予備地域は平時に計算資源を持たず被災時に作り直す方式で確定</t>
    <phoneticPr fontId="2"/>
  </si>
  <si>
    <t>D-U6-07 / D-U6-08 / D-U6-09</t>
    <phoneticPr fontId="2"/>
  </si>
  <si>
    <t>3拠点構成＋接続プール等値化。中継サービスは恩恵が薄く当面不採用と判断</t>
    <phoneticPr fontId="2"/>
  </si>
  <si>
    <t>D-U6-06 ・ D-U6-03</t>
    <phoneticPr fontId="2"/>
  </si>
  <si>
    <t>入口方式は通過型を推奨し、平文の出現位置を自管理側に閉じ込める。裏側通信は単方向の私設経路</t>
    <phoneticPr fontId="2"/>
  </si>
  <si>
    <t>U6+U7</t>
    <phoneticPr fontId="2"/>
  </si>
  <si>
    <t>D-U6-05</t>
    <phoneticPr fontId="2"/>
  </si>
  <si>
    <t>基盤部分は月額およそ2,032ドルと算定。データベース等を含む全体額は概算±30%</t>
    <phoneticPr fontId="2"/>
  </si>
  <si>
    <t>D-U6-03 ・ D-U6-05</t>
    <phoneticPr fontId="2"/>
  </si>
  <si>
    <t>製品サポートは基盤に内包され追加費用なしと確定</t>
    <phoneticPr fontId="2"/>
  </si>
  <si>
    <t>月額の内訳は算定済。3年総額としての集計は未実施</t>
    <phoneticPr fontId="2"/>
  </si>
  <si>
    <t>同上。規模別の線形加算の考え方のみ提示</t>
    <phoneticPr fontId="2"/>
  </si>
  <si>
    <t>U9 運用・監視・IaC</t>
  </si>
  <si>
    <t>D-U9-17</t>
  </si>
  <si>
    <t>D-U9-18</t>
  </si>
  <si>
    <t>D-U9-16</t>
  </si>
  <si>
    <t>常時監視用の自動アクセスの配置変更と検知範囲</t>
  </si>
  <si>
    <t>D-U9-05 / D-U9-06 ・ U5 §5.4.2</t>
    <phoneticPr fontId="2"/>
  </si>
  <si>
    <t>U5+U9</t>
    <phoneticPr fontId="2"/>
  </si>
  <si>
    <t>即時参照90日＋検索用1年＋長期7年。管理操作は全量を取込セットに含める</t>
    <phoneticPr fontId="2"/>
  </si>
  <si>
    <t>D-U9-06 / D-U9-11</t>
    <phoneticPr fontId="2"/>
  </si>
  <si>
    <t>U9</t>
    <phoneticPr fontId="2"/>
  </si>
  <si>
    <t>管理操作の全量を記録し、構成のずれ検知の照合元も兼ねる。ずれ検出時は正当／不正の分岐フローまで定義</t>
    <phoneticPr fontId="2"/>
  </si>
  <si>
    <t>D-U9-05</t>
    <phoneticPr fontId="2"/>
  </si>
  <si>
    <t>3層への出力経路を確定（即時参照・検索用・長期の変更不能保管）。全ソースがマスキング通過後に保存</t>
    <phoneticPr fontId="2"/>
  </si>
  <si>
    <t>D-U9-06</t>
    <phoneticPr fontId="2"/>
  </si>
  <si>
    <t>D-U9-01 / D-U9-02 / D-U9-03 ・ D-U8-01</t>
    <phoneticPr fontId="2"/>
  </si>
  <si>
    <t>計装14点と系列数の規約まで確定。接続先件数を注記した時系列で継続計測し基準値比+10%で警戒</t>
    <phoneticPr fontId="2"/>
  </si>
  <si>
    <t>D-U9-04 / D-U9-01</t>
    <phoneticPr fontId="2"/>
  </si>
  <si>
    <t>停止許容枠の消費速度で3段階（急速消費は即時呼出15分応答／緩慢はチャット／予兆は通知）</t>
    <phoneticPr fontId="2"/>
  </si>
  <si>
    <t>D-U9-14 ・ U2 §2.7.1</t>
    <phoneticPr fontId="2"/>
  </si>
  <si>
    <t>U2+U9</t>
    <phoneticPr fontId="2"/>
  </si>
  <si>
    <t>版数固定・イメージは識別子指定・管理ソフトは手動承認。修正版含む全昇格が1000件規模の回帰通過を必須</t>
    <phoneticPr fontId="2"/>
  </si>
  <si>
    <t>D-U9-13 / D-U9-14</t>
    <phoneticPr fontId="2"/>
  </si>
  <si>
    <t>脆弱性は重大24時間・高7日で対処。昇格経路は定例と同じパイプライン</t>
    <phoneticPr fontId="2"/>
  </si>
  <si>
    <t>D-U9-09 / D-U9-10 / D-U9-08</t>
    <phoneticPr fontId="2"/>
  </si>
  <si>
    <t>基盤層はコード管理でPR2名レビュー、顧客層は宣言ファイル＋自作エンジン。管理画面からの直接変更は禁則で機械強制</t>
    <phoneticPr fontId="2"/>
  </si>
  <si>
    <t>D-U9-12 / D-U9-13</t>
    <phoneticPr fontId="2"/>
  </si>
  <si>
    <t>組み立てから配信まで自動化し、本番昇格のみ手動承認。段階投入は15分の様子見＋自動巻き戻し</t>
    <phoneticPr fontId="2"/>
  </si>
  <si>
    <t>D-U9-04 / D-U9-07</t>
    <phoneticPr fontId="2"/>
  </si>
  <si>
    <t>警報の振り分けと手順書体系は確定。当初は業務時間内対応で、24時間体制は次段階</t>
    <phoneticPr fontId="2"/>
  </si>
  <si>
    <t>D-U9-15</t>
    <phoneticPr fontId="2"/>
  </si>
  <si>
    <t>6ステップの内訳と所要時間まで確定。基盤側の純作業2〜3時間で翌営業日以内は成立</t>
    <phoneticPr fontId="2"/>
  </si>
  <si>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</si>
  <si>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</si>
  <si>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</si>
  <si>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</si>
  <si>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</si>
  <si>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</si>
  <si>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</si>
  <si>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</si>
  <si>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</si>
  <si>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</si>
  <si>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</si>
  <si>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</si>
  <si>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</si>
  <si>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</si>
  <si>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D-U10-08 ・ U5 §5.8.1</t>
    <phoneticPr fontId="2"/>
  </si>
  <si>
    <t>U5+U10</t>
    <phoneticPr fontId="2"/>
  </si>
  <si>
    <t>検索条件（文字列・社員番号・有効状態）とカーソル方式のページング（1回200件上限）まで確定</t>
    <phoneticPr fontId="2"/>
  </si>
  <si>
    <t>U3+U10</t>
    <phoneticPr fontId="2"/>
  </si>
  <si>
    <t>D-U10-08 ・ U4 §4.1.4</t>
    <phoneticPr fontId="2"/>
  </si>
  <si>
    <t>U4+U10</t>
    <phoneticPr fontId="2"/>
  </si>
  <si>
    <t>招待リンク発行のAPIは提供操作に含まれる。文面・有効期限とメール送信そのものの設計は未着手</t>
    <phoneticPr fontId="2"/>
  </si>
  <si>
    <t>D-U10-08 ・ U2 §2.1.2 / §2.7.5</t>
    <phoneticPr fontId="2"/>
  </si>
  <si>
    <t>U2+U10</t>
    <phoneticPr fontId="2"/>
  </si>
  <si>
    <t>所属の参照・更新と接続先の追加削除のAPIは確定。顧客の離脱・退出時の扱いは顧客確認が未了</t>
    <phoneticPr fontId="2"/>
  </si>
  <si>
    <t>D-U10-08 / D-U10-09</t>
    <phoneticPr fontId="2"/>
  </si>
  <si>
    <t>U10</t>
    <phoneticPr fontId="2"/>
  </si>
  <si>
    <t>役割一覧の取得と割当のAPIを提供。ただし基盤側の管理系役割のみで、業務権限は各アプリの責務と明確化</t>
    <phoneticPr fontId="2"/>
  </si>
  <si>
    <t>D-U10-09 ・ U5 §5.8.1</t>
    <phoneticPr fontId="2"/>
  </si>
  <si>
    <t>「アプリを使えるか」は管理画面側で持ちAPI照会で配り、アプリ内の詳細権限は各アプリが持つと役割分担を確定</t>
    <phoneticPr fontId="2"/>
  </si>
  <si>
    <t>D-U10-02</t>
    <phoneticPr fontId="2"/>
  </si>
  <si>
    <t>接続定義のテンプレートを新規作成し、識別名・突合属性・署名方式・戻り先URLまで確定</t>
    <phoneticPr fontId="2"/>
  </si>
  <si>
    <t>D-U10-11 ・ D-U9-06</t>
    <phoneticPr fontId="2"/>
  </si>
  <si>
    <t>U9+U10</t>
    <phoneticPr fontId="2"/>
  </si>
  <si>
    <t>正規化イベントを正とする配信機構は確定。顧客側の監視製品への標準形式提供は次段階</t>
    <phoneticPr fontId="2"/>
  </si>
  <si>
    <t>D-U10-11 ・ D3-10</t>
    <phoneticPr fontId="2"/>
  </si>
  <si>
    <t>配信7種・署名方式・重複排除・再送8回約24時間・待避キュー14日まで確定。個人情報は載せず受信側がAPI取得</t>
    <phoneticPr fontId="2"/>
  </si>
  <si>
    <t>D-U10-12</t>
    <phoneticPr fontId="2"/>
  </si>
  <si>
    <t>利用者集団を4分類し方式を割当。切替単位はアプリ単位、並走3〜6ヶ月</t>
    <phoneticPr fontId="2"/>
  </si>
  <si>
    <t>判定フローを確定。既定は並走方式で初回ログイン時に新方式へ再保存＝強制リセットなし。抽出不能や脆弱な方式のみリセット</t>
    <phoneticPr fontId="2"/>
  </si>
  <si>
    <t>D-U10-12 ・ U2 §2.7.4 / §2.7.5 ・ D-U8-06</t>
    <phoneticPr fontId="2"/>
  </si>
  <si>
    <t>U2+U8+U10</t>
    <phoneticPr fontId="2"/>
  </si>
  <si>
    <t>一括書き出し禁止とコード管理を正とする方針、旧IDの対応表記録までは確定。乗り換え評価そのものは未実施</t>
    <phoneticPr fontId="2"/>
  </si>
  <si>
    <t>D-U10-13 ・ D-U8-06</t>
    <phoneticPr fontId="2"/>
  </si>
  <si>
    <t>U8+U10</t>
    <phoneticPr fontId="2"/>
  </si>
  <si>
    <t>標準形式での書き出し手順を確定（秘匿値は含めない）。移転用は業界標準形式でも出力</t>
    <phoneticPr fontId="2"/>
  </si>
  <si>
    <t>D-U10-12 / D-U10-04</t>
    <phoneticPr fontId="2"/>
  </si>
  <si>
    <t>並走4段階と各段階の巻き戻し手段まで確定。並走期間は3〜6ヶ月</t>
    <phoneticPr fontId="2"/>
  </si>
  <si>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</si>
  <si>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</si>
  <si>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</si>
  <si>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</si>
  <si>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</si>
  <si>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</si>
  <si>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</si>
  <si>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</si>
  <si>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</si>
  <si>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</si>
  <si>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</si>
  <si>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</si>
  <si>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</si>
  <si>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</si>
  <si>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</si>
  <si>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</si>
  <si>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</si>
  <si>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</si>
  <si>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</si>
  <si>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</si>
  <si>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</si>
  <si>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</si>
  <si>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</si>
  <si>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</si>
  <si>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</si>
  <si>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</si>
  <si>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</si>
  <si>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</si>
  <si>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</si>
  <si>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</si>
  <si>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</si>
  <si>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</si>
  <si>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</si>
  <si>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</si>
  <si>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</si>
  <si>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</si>
  <si>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</si>
  <si>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</si>
  <si>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</si>
  <si>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</si>
  <si>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</si>
  <si>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</si>
  <si>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</si>
  <si>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</si>
  <si>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</si>
  <si>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</si>
  <si>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</si>
  <si>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</si>
  <si>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</si>
  <si>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</si>
  <si>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</si>
  <si>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</si>
  <si>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</si>
  <si>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</si>
  <si>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</si>
  <si>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</si>
  <si>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</si>
  <si>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</si>
  <si>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</si>
  <si>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</si>
  <si>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</si>
  <si>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</si>
  <si>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</si>
  <si>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</si>
  <si>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</si>
  <si>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</si>
  <si>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</si>
  <si>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</si>
  <si>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</si>
  <si>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</si>
  <si>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</si>
  <si>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</si>
  <si>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</si>
  <si>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</si>
  <si>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</si>
  <si>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</si>
  <si>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</si>
  <si>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</si>
  <si>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</si>
  <si>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</si>
  <si>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</si>
  <si>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</si>
  <si>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</si>
  <si>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</si>
  <si>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</si>
  <si>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</si>
  <si>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</si>
  <si>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</si>
  <si>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</si>
  <si>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</si>
  <si>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</si>
  <si>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</si>
  <si>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</si>
  <si>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</si>
  <si>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</si>
  <si>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</si>
  <si>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</si>
  <si>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</si>
  <si>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</si>
  <si>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</si>
  <si>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</si>
  <si>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</si>
  <si>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</si>
  <si>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2"/>
  </si>
  <si>
    <t>3層防御（他組織側の遮断は保証せず自管理の拒否ルールが生命線）＋管理用ホスト名を公開DNSに載せない分離＋一時昇格経由に限定</t>
    <phoneticPr fontId="2"/>
  </si>
  <si>
    <t>D-U6-03 / D-U6-06 / D-U6-11 ・ D-U7-12</t>
    <phoneticPr fontId="2"/>
  </si>
  <si>
    <t>各アカウント専用の仮想ネットワークで内部限定配置。管理APIは内部限定の接続点経由でインターネットに露出しない</t>
    <phoneticPr fontId="2"/>
  </si>
  <si>
    <t>直近5世代の再利用を禁止（2026 コミット 389e87c で反映、07 §7.8.1）。当初は判定不能としていたが真の漏れに再分類のうえ反映済み</t>
    <phoneticPr fontId="2"/>
  </si>
  <si>
    <t>初回ログイン時にパスワード変更を強制。対象は自社受け皿収容のローカルパスワード利用者で、顧客側ID基盤経由の利用者は対象外（2026 コミット 389e87c で反映、07 §7.8.1）</t>
    <phoneticPr fontId="2"/>
  </si>
  <si>
    <t>メールによる追加確認を不採用と明示（メール非保有利用者を受け入れる前提と衝突するため、パスキーと認証アプリの2方式に固定。2026 コミット 389e87c で反映、07 §7.7.2）</t>
    <phoneticPr fontId="2"/>
  </si>
  <si>
    <t>D-U9-04</t>
    <phoneticPr fontId="2"/>
  </si>
  <si>
    <t>権限コンテキスト取得の応答目標を暫定でp99 300ミリ秒未満と設定（2026 コミット 389e87c で反映、09 §9.2.1）。確定値は自動同期の検証ゲートとインフラ側サイジングの実測待ち</t>
    <phoneticPr fontId="2"/>
  </si>
  <si>
    <t>処理能力の律速要因に関する考察を追記（同上）。数値目標の確定はインフラ側サイジング実測待ち</t>
    <phoneticPr fontId="2"/>
  </si>
  <si>
    <t>－</t>
    <phoneticPr fontId="2"/>
  </si>
  <si>
    <t>要件・設計の双方で未確定。据え置き妥当と再監査で合意（キオスク端末でのパスキー利用は顧客確認に連動、機器向けの認証方式は未採用）</t>
    <phoneticPr fontId="2"/>
  </si>
  <si>
    <t>D-U10-01 / D-U10-02 ・ U2 §2.8.2</t>
    <phoneticPr fontId="2"/>
  </si>
  <si>
    <t>本基盤が業務システムに対して旧来方式のID提供元として振る舞う構成を決定（接続定義テンプレート・識別名・突合属性・署名方式まで確定）。当初「未対応」としたが誤判定</t>
    <phoneticPr fontId="2"/>
  </si>
  <si>
    <t>U2 §2.5.4 ・ D3-11 / D3-14</t>
    <phoneticPr fontId="2"/>
  </si>
  <si>
    <t>U2+U3</t>
    <phoneticPr fontId="2"/>
  </si>
  <si>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2"/>
  </si>
  <si>
    <t>D-U10-02 ・ U5 §5.6.3</t>
    <phoneticPr fontId="2"/>
  </si>
  <si>
    <t>接続設定の自動取得窓口は製品標準機能で成立。旧来方式側の接続情報の自動更新機能は実機確認予定（調査タスク A-9）。当初「未対応」としたが標準機能のため誤判定</t>
    <phoneticPr fontId="2"/>
  </si>
  <si>
    <t>D-U7-17 / D-U7-16</t>
    <phoneticPr fontId="2"/>
  </si>
  <si>
    <t>責任分担は決定済（入口側は他組織へ要求、自管理側は実装時に実施）。頻度の数値のみ未確定。当初「未対応」としたが責任の所在は決まっているため部分に再分類</t>
    <phoneticPr fontId="2"/>
  </si>
  <si>
    <t>00a 残タスク棚卸し ・ ADR-040</t>
    <phoneticPr fontId="2"/>
  </si>
  <si>
    <t>（設計書外）</t>
    <phoneticPr fontId="2"/>
  </si>
  <si>
    <t>構築フェーズの概算を16〜22人月と算定、運用体制は10名で別文書に確定済み。技術設計9冊には載せない方針のため、設計書側の欠落ではない</t>
    <phoneticPr fontId="2"/>
  </si>
  <si>
    <t>Trust Center ・ ADR-036</t>
    <phoneticPr fontId="2"/>
  </si>
  <si>
    <t>海外規制対応は第三者監査・情報開示の枠組み側で扱う方針。技術設計9冊の対象外</t>
    <phoneticPr fontId="2"/>
  </si>
  <si>
    <t>第三者による内部統制証明は同枠組み側で扱う方針</t>
    <phoneticPr fontId="2"/>
  </si>
  <si>
    <t>情報セキュリティ認証は同枠組み側で扱う方針</t>
    <phoneticPr fontId="2"/>
  </si>
  <si>
    <t>00a 残タスク棚卸し（B-PCI-1）</t>
    <phoneticPr fontId="2"/>
  </si>
  <si>
    <t>カード決済規格対応は今回スコープから除外を明示決定（削除ではなく降格で将来再開可）。当初「単元未取込」としたが決定済みのため再分類</t>
    <phoneticPr fontId="2"/>
  </si>
  <si>
    <t>proposal 側 ・ ADR-032 / ADR-058</t>
    <phoneticPr fontId="2"/>
  </si>
  <si>
    <t>費用系は提案書側の文書で扱う方針。技術設計9冊の対象外</t>
    <phoneticPr fontId="2"/>
  </si>
  <si>
    <t>同上</t>
    <phoneticPr fontId="2"/>
  </si>
  <si>
    <t>同上。人件費は別文書で決定済みで技術設計の対象外</t>
    <phoneticPr fontId="2"/>
  </si>
  <si>
    <t>D-U5-14</t>
  </si>
  <si>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</si>
  <si>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</si>
  <si>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セルフサービスのセッション・端末管理</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</si>
  <si>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</si>
  <si>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</si>
  <si>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</si>
  <si>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</si>
  <si>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</si>
  <si>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</si>
  <si>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</si>
  <si>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</si>
  <si>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</si>
  <si>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</si>
  <si>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</si>
  <si>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</si>
  <si>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継続アクセス評価の実機検証（製品の実験的機能である配信側の動作確認と、自作の送出部品との機能差・性能比較）</t>
  </si>
  <si>
    <t>通行証の取り消しが受け取り側に届かない残余時間（最大30分）を数秒まで縮める仕組みが実際に使えるか、製品標準に乗るか自作を続けるかを判定する</t>
  </si>
  <si>
    <t>U7 §7.5.3 ・ U2 §2.2.3 ・ D-U5-13</t>
    <phoneticPr fontId="2"/>
  </si>
  <si>
    <t>U2+U5+U7</t>
    <phoneticPr fontId="2"/>
  </si>
  <si>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2"/>
  </si>
  <si>
    <t>U5 §5.2.1 / §5.2.3 ・ U2 §2.2.5 #2 ・ D-U5-11 / D-U4-09</t>
    <phoneticPr fontId="2"/>
  </si>
  <si>
    <t>U2+U4+U5</t>
    <phoneticPr fontId="2"/>
  </si>
  <si>
    <t>無操作1時間・最長24時間。顧客別の短縮は専用の登録枠で、規制対応は分離した領域で実現。2026-08-12追加=管理系に同時セッション数の上限、利用者が自分でセッションと端末を確認・失効できる画面</t>
    <phoneticPr fontId="2"/>
  </si>
  <si>
    <t>U5 §5.4.1 / §5.4.3 / §5.2.4 ・ D-U5-09 / D-U4-09</t>
    <phoneticPr fontId="2"/>
  </si>
  <si>
    <t>U4+U5</t>
    <phoneticPr fontId="2"/>
  </si>
  <si>
    <t>取消の仕組みは用意。最大30分の取り消し漏れ時間が残ることを明示。2026-08-12追加=継続アクセス評価を目標構成に据え、高価値経路は数秒まで短縮する3段階計画。利用者による自己失効も追加</t>
    <phoneticPr fontId="2"/>
  </si>
  <si>
    <t>U5 §5.4.2 ・ D-U5-11 / D-U5-09</t>
    <phoneticPr fontId="2"/>
  </si>
  <si>
    <t>U5</t>
    <phoneticPr fontId="2"/>
  </si>
  <si>
    <t>個別・顧客単位・全体の3粒度。2026-08-12追加=同時セッション数の上限で失効時の影響範囲を縮小、失効イベントの標準配信で受け取り側への伝播を高速化</t>
    <phoneticPr fontId="2"/>
  </si>
  <si>
    <t>D-U7-15 / D-U7-15b / D-U7-21 ・ U2 §2.6</t>
    <phoneticPr fontId="2"/>
  </si>
  <si>
    <t>漏えい報告の7ステップと期限、委託先監督の方針まで確定。2026-08-12追加=同意の記録・撤回・監査証跡（同意レシート）の枠組み。越境や第三者提供が絡む顧客は必須</t>
    <phoneticPr fontId="2"/>
  </si>
  <si>
    <t>D-U7-15b / D-U7-21</t>
    <phoneticPr fontId="2"/>
  </si>
  <si>
    <t>国内2拠点に限定し越境は最小化。保守要員の越境閲覧の扱いが確認中の唯一の論点。2026-08-12追加=越境が絡む顧客には同意レシートを必須化</t>
    <phoneticPr fontId="2"/>
  </si>
  <si>
    <t>D-U9-06 / D-U9-05 / D-U9-20 ・ D-U7-12</t>
    <phoneticPr fontId="2"/>
  </si>
  <si>
    <t>取込イベントセットを確定し監査アカウントを唯一の集約先に。2026-08-12追加=認可判定の決定ログ（誰が・何に・なぜ・ポリシー版）を出力し、最小権限の証明と定期棚卸しの証跡を担保</t>
    <phoneticPr fontId="2"/>
  </si>
  <si>
    <t>D-U10-13 / D-U10-13b ・ D3-09 / D3-17</t>
    <phoneticPr fontId="2"/>
  </si>
  <si>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2"/>
  </si>
  <si>
    <t>継続アクセス評価</t>
  </si>
  <si>
    <t>B-CAEP-1</t>
  </si>
  <si>
    <t>顧客側ID基盤が失効イベントを送信できるか。受け取り側アプリへ受信部品をどこまで配布するか</t>
  </si>
  <si>
    <t>通行証の取り消しが受け取り側に届かない残余時間（最大30分）を数秒に縮める仕組みを、どこまで適用できるかを決める</t>
  </si>
  <si>
    <t>requirements/hearing-checklist.md §5.6</t>
  </si>
  <si>
    <t>B-TENANT-ISO-1</t>
  </si>
  <si>
    <t>顧客ごとのレート制限・上限の既定値と、大口顧客や規制対象顧客を別領域へ分離する基準</t>
  </si>
  <si>
    <t>一部の顧客の急増が他の顧客に波及しないための上限値と、論理分離から物理分離へ移す判断基準を決める</t>
  </si>
  <si>
    <t>B-NHI-1</t>
  </si>
  <si>
    <t>顧客側の機械通信アカウントの責任者を顧客と自社のどちらが持つか。棚卸し責任の分界</t>
  </si>
  <si>
    <t>機械同士の通信に使うアカウントが誰の管理下にあるかを決める。責任者が空欄だと孤立検知が機能しない</t>
  </si>
  <si>
    <t>B-SESS-1</t>
  </si>
  <si>
    <t>管理系利用者の同時セッション数の上限をいくつにするか</t>
  </si>
  <si>
    <t>無制限のセッションは失効時の影響範囲と乗っ取りリスクを拡大するため、上限値を決める</t>
  </si>
  <si>
    <t>B-SESS-2</t>
  </si>
  <si>
    <t>利用者が自分のセッションと端末を確認・失効できる画面を今回提供するか</t>
  </si>
  <si>
    <t>不審な端末の即時失効を利用者自身で行えるようにするかを決める</t>
  </si>
  <si>
    <t>B-TESTDATA-1</t>
  </si>
  <si>
    <t>検証環境の個人情報について、マスキング方式と適用範囲をどうするか</t>
  </si>
  <si>
    <t>本番相当の個人情報を検証環境に置かないための方式（不可逆マスキングか合成データか）を決める</t>
  </si>
  <si>
    <t>B-IGA-REC-1</t>
  </si>
  <si>
    <t>権限の定期棚卸しの頻度と実施主体を、自社・顧客・監査のどこに置くか</t>
  </si>
  <si>
    <t>過剰な権限や孤立した権限を定期的に是正する枠組みの分担を決める</t>
  </si>
  <si>
    <t>B-AUTHZLOG-1</t>
  </si>
  <si>
    <t>監査人が求める認可証跡の粒度と保持期間</t>
  </si>
  <si>
    <t>「なぜ許可したか」をどこまで記録するかを決める。全件記録は量が律速になる</t>
  </si>
  <si>
    <t>B-ENROLL-1</t>
  </si>
  <si>
    <t>2台目以降の認証手段の登録に、どこまでの再確認を求めるか</t>
  </si>
  <si>
    <t>盗んだパスワードで攻撃者が自分の認証器を登録し正規利用者を締め出す手口への対策レベルを決める</t>
  </si>
  <si>
    <t>B-RECOV-1</t>
  </si>
  <si>
    <t>認証器のみ・メール非保有の利用者が締め出された場合の復旧方針</t>
  </si>
  <si>
    <t>メールによる追加確認を不採用としたため、メール経由のリセット経路が存在しない状況での復旧手段を決める</t>
  </si>
  <si>
    <t>B-CONSENT-1</t>
  </si>
  <si>
    <t>同意の記録・撤回・監査証跡（同意レシート）が必要か。対象となる顧客の範囲</t>
  </si>
  <si>
    <t>属性の受け渡し・越境・利用目的に対する同意をどこまで形式的に管理するかを決める</t>
  </si>
  <si>
    <t>B-RTBF-1</t>
  </si>
  <si>
    <t>消去要求の対象と、監査のため仮名化して残す対象の境界</t>
  </si>
  <si>
    <t>忘れられる権利と7年間の改ざん不能な監査証跡の衝突をどう線引きするかを決める</t>
  </si>
  <si>
    <t>B-AGENT-1</t>
  </si>
  <si>
    <t>自動エージェントによる代理実行のIDをどう扱うか</t>
  </si>
  <si>
    <t>人ではないが人の代理で動く主体を、どのIDとして発行し統制するかを決める</t>
  </si>
  <si>
    <t>B-FAPI-1</t>
  </si>
  <si>
    <t>金融グレードの仕様準拠を求める顧客が存在するか</t>
  </si>
  <si>
    <t>要求内容の事前登録・要求の署名・送信者拘束を必須化するかの判断材料</t>
  </si>
  <si>
    <t>B-IPSIE-1</t>
  </si>
  <si>
    <t>企業向け相互運用プロファイルへの準拠を求められるか</t>
  </si>
  <si>
    <t>業界標準の相互運用プロファイルにどこまで合わせるかの姿勢を決める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</si>
  <si>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</si>
  <si>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</si>
  <si>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方向性確定（条件付き）</t>
  </si>
  <si>
    <t>外部待ち</t>
  </si>
  <si>
    <t>セキュリティ</t>
  </si>
  <si>
    <t>技術領域</t>
  </si>
  <si>
    <t>種別</t>
  </si>
  <si>
    <t>状況（5区分）</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</si>
  <si>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</si>
  <si>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</si>
  <si>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</si>
  <si>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</si>
  <si>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</si>
  <si>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</si>
  <si>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</si>
  <si>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</si>
  <si>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</si>
  <si>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</si>
  <si>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</si>
  <si>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</si>
  <si>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</si>
  <si>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</si>
  <si>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</si>
  <si>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</si>
  <si>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</si>
  <si>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</si>
  <si>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</si>
  <si>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</si>
  <si>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</si>
  <si>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</si>
  <si>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</si>
  <si>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</si>
  <si>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</si>
  <si>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</si>
  <si>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</si>
  <si>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</si>
  <si>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</si>
  <si>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</si>
  <si>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</si>
  <si>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</si>
  <si>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</si>
  <si>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</si>
  <si>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</si>
  <si>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</si>
  <si>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</si>
  <si>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</si>
  <si>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</si>
  <si>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</si>
  <si>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</si>
  <si>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</si>
  <si>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</si>
  <si>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</si>
  <si>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</si>
  <si>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</si>
  <si>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</si>
  <si>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</si>
  <si>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</si>
  <si>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</si>
  <si>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</si>
  <si>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</si>
  <si>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</si>
  <si>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</si>
  <si>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</si>
  <si>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</si>
  <si>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</si>
  <si>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</si>
  <si>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</si>
  <si>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</si>
  <si>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</si>
  <si>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</si>
  <si>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</si>
  <si>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</si>
  <si>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</si>
  <si>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</si>
  <si>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</si>
  <si>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</si>
  <si>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</si>
  <si>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</si>
  <si>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</si>
  <si>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</si>
  <si>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</si>
  <si>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</si>
  <si>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</si>
  <si>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</si>
  <si>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</si>
  <si>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</si>
  <si>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</si>
  <si>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</si>
  <si>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</si>
  <si>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</si>
  <si>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</si>
  <si>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</si>
  <si>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</si>
  <si>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</si>
  <si>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</si>
  <si>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</si>
  <si>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</si>
  <si>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</si>
  <si>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</si>
  <si>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</si>
  <si>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</si>
  <si>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</si>
  <si>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</si>
  <si>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</si>
  <si>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</si>
  <si>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</si>
  <si>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</si>
  <si>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</si>
  <si>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</si>
  <si>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</si>
  <si>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</si>
  <si>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</si>
  <si>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</si>
  <si>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</si>
  <si>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</si>
  <si>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</si>
  <si>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</si>
  <si>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</si>
  <si>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</si>
  <si>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</si>
  <si>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</si>
  <si>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</si>
  <si>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</si>
  <si>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</si>
  <si>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</si>
  <si>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</si>
  <si>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</si>
  <si>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</si>
  <si>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</si>
  <si>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</si>
  <si>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</si>
  <si>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</si>
  <si>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</si>
  <si>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</si>
  <si>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</si>
  <si>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</si>
  <si>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</si>
  <si>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</si>
  <si>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</si>
  <si>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</si>
  <si>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</si>
  <si>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</si>
  <si>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</si>
  <si>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</si>
  <si>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</si>
  <si>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</si>
  <si>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</si>
  <si>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</si>
  <si>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</si>
  <si>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</si>
  <si>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</si>
  <si>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</si>
  <si>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</si>
  <si>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</si>
  <si>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</si>
  <si>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</si>
  <si>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</si>
  <si>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</si>
  <si>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</si>
  <si>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</si>
  <si>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</si>
  <si>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</si>
  <si>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</si>
  <si>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</si>
  <si>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</si>
  <si>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</si>
  <si>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</si>
  <si>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</si>
  <si>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</si>
  <si>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</si>
  <si>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</si>
  <si>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</si>
  <si>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</si>
  <si>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</si>
  <si>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</si>
  <si>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</si>
  <si>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</si>
  <si>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</si>
  <si>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</si>
  <si>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</si>
  <si>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</si>
  <si>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</si>
  <si>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</si>
  <si>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</si>
  <si>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</si>
  <si>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</si>
  <si>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</si>
  <si>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</si>
  <si>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</si>
  <si>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</si>
  <si>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</si>
  <si>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</si>
  <si>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</si>
  <si>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</si>
  <si>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</si>
  <si>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</si>
  <si>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</si>
  <si>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</si>
  <si>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</si>
  <si>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</si>
  <si>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</si>
  <si>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</si>
  <si>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</si>
  <si>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</si>
  <si>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</si>
  <si>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</si>
  <si>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</si>
  <si>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</si>
  <si>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</si>
  <si>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</si>
  <si>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</si>
  <si>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</si>
  <si>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</si>
  <si>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</si>
  <si>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</si>
  <si>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</si>
  <si>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</si>
  <si>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</si>
  <si>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</si>
  <si>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</si>
  <si>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</si>
  <si>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</si>
  <si>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</si>
  <si>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</si>
  <si>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</si>
  <si>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</si>
  <si>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</si>
  <si>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</si>
  <si>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</si>
  <si>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</si>
  <si>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</si>
  <si>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</si>
  <si>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</si>
  <si>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</si>
  <si>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</si>
  <si>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</si>
  <si>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</si>
  <si>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</si>
  <si>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</si>
  <si>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</si>
  <si>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</si>
  <si>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</si>
  <si>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</si>
  <si>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</si>
  <si>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</si>
  <si>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</si>
  <si>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</si>
  <si>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</si>
  <si>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</si>
  <si>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</si>
  <si>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</si>
  <si>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</si>
  <si>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</si>
  <si>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</si>
  <si>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</si>
  <si>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</si>
  <si>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</si>
  <si>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</si>
  <si>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</si>
  <si>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</si>
  <si>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</si>
  <si>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</si>
  <si>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</si>
  <si>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</si>
  <si>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</si>
  <si>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</si>
  <si>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</si>
  <si>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</si>
  <si>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</si>
  <si>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</si>
  <si>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</si>
  <si>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</si>
  <si>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</si>
  <si>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</si>
  <si>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</si>
  <si>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</si>
  <si>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</si>
  <si>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</si>
  <si>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</si>
  <si>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</si>
  <si>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</si>
  <si>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</si>
  <si>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</si>
  <si>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</si>
  <si>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</si>
  <si>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</si>
  <si>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</si>
  <si>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</si>
  <si>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</si>
  <si>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</si>
  <si>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</si>
  <si>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</si>
  <si>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</si>
  <si>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</si>
  <si>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</si>
  <si>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</si>
  <si>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</si>
  <si>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</si>
  <si>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</si>
  <si>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</si>
  <si>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</si>
  <si>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</si>
  <si>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</si>
  <si>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</si>
  <si>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</si>
  <si>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</si>
  <si>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</si>
  <si>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</si>
  <si>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</si>
  <si>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</si>
  <si>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</si>
  <si>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</si>
  <si>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</si>
  <si>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</si>
  <si>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</si>
  <si>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</si>
  <si>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</si>
  <si>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</si>
  <si>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</si>
  <si>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</si>
  <si>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</si>
  <si>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</si>
  <si>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</si>
  <si>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</si>
  <si>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</si>
  <si>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</si>
  <si>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</si>
  <si>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</si>
  <si>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</si>
  <si>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</si>
  <si>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</si>
  <si>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</si>
  <si>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</si>
  <si>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</si>
  <si>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</si>
  <si>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</si>
  <si>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</si>
  <si>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</si>
  <si>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</si>
  <si>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</si>
  <si>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</si>
  <si>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</si>
  <si>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</si>
  <si>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</si>
  <si>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</si>
  <si>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</si>
  <si>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</si>
  <si>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</si>
  <si>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</si>
  <si>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</si>
  <si>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</si>
  <si>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</si>
  <si>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</si>
  <si>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</si>
  <si>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</si>
  <si>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</si>
  <si>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</si>
  <si>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</si>
  <si>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</si>
  <si>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</si>
  <si>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</si>
  <si>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</si>
  <si>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</si>
  <si>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</si>
  <si>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</si>
  <si>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</si>
  <si>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</si>
  <si>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</si>
  <si>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</si>
  <si>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</si>
  <si>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</si>
  <si>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</si>
  <si>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</si>
  <si>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</si>
  <si>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</si>
  <si>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</si>
  <si>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</si>
  <si>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</si>
  <si>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</si>
  <si>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</si>
  <si>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</si>
  <si>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</si>
  <si>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</si>
  <si>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</si>
  <si>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</si>
  <si>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</si>
  <si>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</si>
  <si>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</si>
  <si>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</si>
  <si>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</si>
  <si>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</si>
  <si>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</si>
  <si>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</si>
  <si>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</si>
  <si>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</si>
  <si>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</si>
  <si>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</si>
  <si>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</si>
  <si>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</si>
  <si>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</si>
  <si>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</si>
  <si>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</si>
  <si>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</si>
  <si>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</si>
  <si>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</si>
  <si>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</si>
  <si>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</si>
  <si>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</si>
  <si>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</si>
  <si>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</si>
  <si>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</si>
  <si>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</si>
  <si>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</si>
  <si>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</si>
  <si>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</si>
  <si>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</si>
  <si>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</si>
  <si>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</si>
  <si>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</si>
  <si>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</si>
  <si>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</si>
  <si>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</si>
  <si>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</si>
  <si>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</si>
  <si>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</si>
  <si>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</si>
  <si>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</si>
  <si>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</si>
  <si>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</si>
  <si>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</si>
  <si>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</si>
  <si>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</si>
  <si>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</si>
  <si>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</si>
  <si>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</si>
  <si>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</si>
  <si>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</si>
  <si>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</si>
  <si>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</si>
  <si>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</si>
  <si>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</si>
  <si>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</si>
  <si>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</si>
  <si>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</si>
  <si>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</si>
  <si>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</si>
  <si>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</si>
  <si>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</si>
  <si>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</si>
  <si>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</si>
  <si>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</si>
  <si>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</si>
  <si>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</si>
  <si>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</si>
  <si>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</si>
  <si>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</si>
  <si>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</si>
  <si>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</si>
  <si>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</si>
  <si>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</si>
  <si>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</si>
  <si>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</si>
  <si>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</si>
  <si>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</si>
  <si>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</si>
  <si>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</si>
  <si>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</si>
  <si>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</si>
  <si>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</si>
  <si>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</si>
  <si>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</si>
  <si>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</si>
  <si>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</si>
  <si>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</si>
  <si>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</si>
  <si>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</si>
  <si>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</si>
  <si>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</si>
  <si>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</si>
  <si>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</si>
  <si>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</si>
  <si>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</si>
  <si>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</si>
  <si>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</si>
  <si>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</si>
  <si>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</si>
  <si>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</si>
  <si>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</si>
  <si>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</si>
  <si>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</si>
  <si>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</si>
  <si>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</si>
  <si>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</si>
  <si>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</si>
  <si>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</si>
  <si>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</si>
  <si>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</si>
  <si>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</si>
  <si>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</si>
  <si>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</si>
  <si>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</si>
  <si>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</si>
  <si>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</si>
  <si>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</si>
  <si>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</si>
  <si>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</si>
  <si>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</si>
  <si>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</si>
  <si>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</si>
  <si>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</si>
  <si>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</si>
  <si>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</si>
  <si>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</si>
  <si>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</si>
  <si>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</si>
  <si>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</si>
  <si>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</si>
  <si>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</si>
  <si>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</si>
  <si>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</si>
  <si>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</si>
  <si>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</si>
  <si>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</si>
  <si>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</si>
  <si>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</si>
  <si>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</si>
  <si>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</si>
  <si>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</si>
  <si>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</si>
  <si>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</si>
  <si>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</si>
  <si>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</si>
  <si>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</si>
  <si>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</si>
  <si>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</si>
  <si>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</si>
  <si>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</si>
  <si>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</si>
  <si>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</si>
  <si>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</si>
  <si>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</si>
  <si>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</si>
  <si>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</si>
  <si>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</si>
  <si>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</si>
  <si>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</si>
  <si>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</si>
  <si>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</si>
  <si>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</si>
  <si>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</si>
  <si>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</si>
  <si>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</si>
  <si>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</si>
  <si>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</si>
  <si>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</si>
  <si>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</si>
  <si>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</si>
  <si>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</si>
  <si>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</si>
  <si>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</si>
  <si>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</si>
  <si>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</si>
  <si>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</si>
  <si>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</si>
  <si>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</si>
  <si>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</si>
  <si>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</si>
  <si>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</si>
  <si>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</si>
  <si>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</si>
  <si>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</si>
  <si>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</si>
  <si>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</si>
  <si>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</si>
  <si>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</si>
  <si>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</si>
  <si>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</si>
  <si>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</si>
  <si>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</si>
  <si>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</si>
  <si>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</si>
  <si>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</si>
  <si>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</si>
  <si>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</si>
  <si>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</si>
  <si>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</si>
  <si>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</si>
  <si>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</si>
  <si>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</si>
  <si>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</si>
  <si>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</si>
  <si>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</si>
  <si>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</si>
  <si>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</si>
  <si>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</si>
  <si>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</si>
  <si>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</si>
  <si>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</si>
  <si>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</si>
  <si>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</si>
  <si>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</si>
  <si>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</si>
  <si>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</si>
  <si>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</si>
  <si>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</si>
  <si>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</si>
  <si>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</si>
  <si>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</si>
  <si>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</si>
  <si>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</si>
  <si>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</si>
  <si>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</si>
  <si>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</si>
  <si>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</si>
  <si>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</si>
  <si>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</si>
  <si>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</si>
  <si>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</si>
  <si>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</si>
  <si>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</si>
  <si>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</si>
  <si>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</si>
  <si>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</si>
  <si>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</si>
  <si>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</si>
  <si>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</si>
  <si>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</si>
  <si>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</si>
  <si>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</si>
  <si>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</si>
  <si>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</si>
  <si>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</si>
  <si>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</si>
  <si>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</si>
  <si>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</si>
  <si>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</si>
  <si>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</si>
  <si>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</si>
  <si>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</si>
  <si>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</si>
  <si>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</si>
  <si>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</si>
  <si>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</si>
  <si>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</si>
  <si>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</si>
  <si>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</si>
  <si>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</si>
  <si>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</si>
  <si>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</si>
  <si>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</si>
  <si>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</si>
  <si>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</si>
  <si>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</si>
  <si>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</si>
  <si>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</si>
  <si>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</si>
  <si>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</si>
  <si>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機能要件</t>
    <phoneticPr fontId="2"/>
  </si>
  <si>
    <t>非機能要件</t>
    <phoneticPr fontId="2"/>
  </si>
  <si>
    <t>設計タスク</t>
    <phoneticPr fontId="2"/>
  </si>
  <si>
    <t>総数</t>
    <phoneticPr fontId="2"/>
  </si>
  <si>
    <t>確定</t>
    <phoneticPr fontId="2"/>
  </si>
  <si>
    <t>方向性確定</t>
    <phoneticPr fontId="2"/>
  </si>
  <si>
    <t>検討中</t>
    <phoneticPr fontId="2"/>
  </si>
  <si>
    <t>外部待ち</t>
    <phoneticPr fontId="2"/>
  </si>
  <si>
    <t>要件の状況（5区分）</t>
  </si>
  <si>
    <t>種別</t>
    <phoneticPr fontId="2"/>
  </si>
  <si>
    <t>IDパターン</t>
    <phoneticPr fontId="2"/>
  </si>
  <si>
    <t>FR-AUTH-*</t>
    <phoneticPr fontId="2"/>
  </si>
  <si>
    <t>FR-FED-*</t>
    <phoneticPr fontId="2"/>
  </si>
  <si>
    <t>FR-MFA-*</t>
    <phoneticPr fontId="2"/>
  </si>
  <si>
    <t>FR-SSO-*</t>
    <phoneticPr fontId="2"/>
  </si>
  <si>
    <t>FR-AUTHZ-*</t>
    <phoneticPr fontId="2"/>
  </si>
  <si>
    <t>FR-USER-*</t>
    <phoneticPr fontId="2"/>
  </si>
  <si>
    <t>FR-ADMIN-*</t>
    <phoneticPr fontId="2"/>
  </si>
  <si>
    <t>FR-INT-*</t>
    <phoneticPr fontId="2"/>
  </si>
  <si>
    <t>NFR-AVL-*</t>
    <phoneticPr fontId="2"/>
  </si>
  <si>
    <t>NFR-PERF-*</t>
    <phoneticPr fontId="2"/>
  </si>
  <si>
    <t>NFR-SCL-*</t>
    <phoneticPr fontId="2"/>
  </si>
  <si>
    <t>NFR-SEC-*</t>
    <phoneticPr fontId="2"/>
  </si>
  <si>
    <t>NFR-DR-*</t>
    <phoneticPr fontId="2"/>
  </si>
  <si>
    <t>NFR-OPS-*</t>
    <phoneticPr fontId="2"/>
  </si>
  <si>
    <t>NFR-COMP-*</t>
    <phoneticPr fontId="2"/>
  </si>
  <si>
    <t>NFR-COST-*</t>
    <phoneticPr fontId="2"/>
  </si>
  <si>
    <t>NFR-MIG-*</t>
    <phoneticPr fontId="2"/>
  </si>
  <si>
    <t>A-*</t>
    <phoneticPr fontId="2"/>
  </si>
  <si>
    <t>B-*</t>
    <phoneticPr fontId="2"/>
  </si>
  <si>
    <t>C-*</t>
    <phoneticPr fontId="2"/>
  </si>
  <si>
    <t>D-*</t>
    <phoneticPr fontId="2"/>
  </si>
  <si>
    <t>E-*</t>
    <phoneticPr fontId="2"/>
  </si>
  <si>
    <t>F-*</t>
    <phoneticPr fontId="2"/>
  </si>
  <si>
    <t>G-*</t>
    <phoneticPr fontId="2"/>
  </si>
  <si>
    <t>DU-U2-01</t>
  </si>
  <si>
    <t>Realm/Organizations 構成</t>
  </si>
  <si>
    <t>Config</t>
  </si>
  <si>
    <t>broker/idp の2領域＋所属単位の定義（1顧客=1所属）</t>
  </si>
  <si>
    <t>両領域がコード管理で再現でき、所属の属性は表示名と判定方式のみ</t>
  </si>
  <si>
    <t>DU-U6-01</t>
  </si>
  <si>
    <t>—</t>
  </si>
  <si>
    <t>S</t>
  </si>
  <si>
    <t>🔒 確定</t>
  </si>
  <si>
    <t>v1.0（2026-08-10）</t>
  </si>
  <si>
    <t>DU-U2-02</t>
  </si>
  <si>
    <t>2層間フェデレーション</t>
  </si>
  <si>
    <t>接続枠・属性グループ・変換定義</t>
  </si>
  <si>
    <t>DU-U2-01, DU-U6-05</t>
  </si>
  <si>
    <t>M</t>
  </si>
  <si>
    <t>🟡 ゲート待ち</t>
  </si>
  <si>
    <t>DU-U2-03</t>
  </si>
  <si>
    <t>認証フロー5系統</t>
  </si>
  <si>
    <t>ログイン／所属判定／初回連携／連携後／フォームの各フロー</t>
  </si>
  <si>
    <t>3系統に独自機能を配置し、全経路で初回自動作成が発火する</t>
  </si>
  <si>
    <t>DU-U2-04</t>
  </si>
  <si>
    <t>独自機能（3JAR／4機能）</t>
  </si>
  <si>
    <t>SPI</t>
  </si>
  <si>
    <t>所属判定／再有効化／作成経路の記録／計測の各拡張</t>
  </si>
  <si>
    <t>製品の対象版で4機能が動作し、フロー配置で発火。単体テストで固定</t>
  </si>
  <si>
    <t>L</t>
  </si>
  <si>
    <t>DU-U2-05</t>
  </si>
  <si>
    <t>通行証の項目定義</t>
  </si>
  <si>
    <t>載せる項目の辞書（最小構成、個人情報非搭載）</t>
  </si>
  <si>
    <t>辞書どおりに搭載され、保護対象の属性が上書きされない</t>
  </si>
  <si>
    <t>DU-U2-01, DU-U5-01</t>
  </si>
  <si>
    <t>DU-U2-06</t>
  </si>
  <si>
    <t>利用者項目スキーマの宣言</t>
  </si>
  <si>
    <t>持つ項目の明示宣言（メールは任意）</t>
  </si>
  <si>
    <t>新規・初回自動作成・管理者作成の3経路で、メール非保有の利用者が完走</t>
  </si>
  <si>
    <t>DU-U2-07</t>
  </si>
  <si>
    <t>旧来方式のID提供元テンプレート</t>
  </si>
  <si>
    <t>接続定義の雛形（識別名・署名方式）</t>
  </si>
  <si>
    <t>業務システム等に対してID提供元として振る舞える。変換定義も確定</t>
  </si>
  <si>
    <t>DU-U2-08</t>
  </si>
  <si>
    <t>1000件超のスケール設定</t>
  </si>
  <si>
    <t>Config / IaC</t>
  </si>
  <si>
    <t>必須対策7点（キャッシュ・所属判定・接続予算ほか）</t>
  </si>
  <si>
    <t>実測ゲートの合格基準（基準値比+10%以内）を満たす</t>
  </si>
  <si>
    <t>DU-U6-02</t>
  </si>
  <si>
    <t>DU-U3-01</t>
  </si>
  <si>
    <t>3階層識別子＋ID対応表</t>
  </si>
  <si>
    <t>IaC</t>
  </si>
  <si>
    <t>権限系データベースのスキーマ</t>
  </si>
  <si>
    <t>ブランド識別子を一級キーとし、ブランド跨ぎの結合が構造的に不能。不変条件4点を制約で担保</t>
  </si>
  <si>
    <t>DU-U6-03</t>
  </si>
  <si>
    <t>DU-U3-02</t>
  </si>
  <si>
    <t>作成経路6値＋判別ロジック</t>
  </si>
  <si>
    <t>SPI / Config</t>
  </si>
  <si>
    <t>初回自動作成と自動同期の判別（判定1〜3、6ケース）</t>
  </si>
  <si>
    <t>自動同期フラグが最優先、除外条件と安全側拒否が単体テストで固定</t>
  </si>
  <si>
    <t>DU-U3-03</t>
  </si>
  <si>
    <t>利用者自動同期の受け口（自作）</t>
  </si>
  <si>
    <t>App</t>
  </si>
  <si>
    <t>受信用の関数（2方向）＋属性の正準化</t>
  </si>
  <si>
    <t>各社の検証ツールに合格、削除要求を停止処理へ写像、顧客の二重照合</t>
  </si>
  <si>
    <t>DU-U3-04</t>
  </si>
  <si>
    <t>統合コンテキストの射影</t>
  </si>
  <si>
    <t>App / IaC</t>
  </si>
  <si>
    <t>読み取り専用ストア＋3つの書込経路</t>
  </si>
  <si>
    <t>本人向けの文脈取得が1回の読み取りで完結し越境ゼロ、読取性能がゲート合格</t>
  </si>
  <si>
    <t>DU-U3-01, DU-U3-03</t>
  </si>
  <si>
    <t>DU-U3-05</t>
  </si>
  <si>
    <t>削除・停止の確実な伝播</t>
  </si>
  <si>
    <t>取りこぼし防止の中継関数＋中央の影ユーザ制御関数</t>
  </si>
  <si>
    <t>停止処理と送信記録を1トランザクションで書き、必達送信・冪等・数分で突合</t>
  </si>
  <si>
    <t>DU-U3-01, DU-U6-01, DU-U6-05</t>
  </si>
  <si>
    <t>DU-U3-06</t>
  </si>
  <si>
    <t>状態機械＋3段階削除</t>
  </si>
  <si>
    <t>Config / App</t>
  </si>
  <si>
    <t>4状態の遷移＋遮断・停止・物理削除</t>
  </si>
  <si>
    <t>停止日時を必ず記録し、それを起算とする。影ユーザは対象外</t>
  </si>
  <si>
    <t>DU-U3-07</t>
  </si>
  <si>
    <t>再有効化の統合</t>
  </si>
  <si>
    <t>同一トランザクションでの判定</t>
  </si>
  <si>
    <t>誤発火シナリオを単体テストで固定し、再有効化を監査記録</t>
  </si>
  <si>
    <t>DU-U2-04, DU-U3-02</t>
  </si>
  <si>
    <t>DU-U3-08</t>
  </si>
  <si>
    <t>90日休眠バッチ</t>
  </si>
  <si>
    <t>クラスタ内の定期ジョブ（関数実行は不採用）</t>
  </si>
  <si>
    <t>初回自動作成分のみ対象、影ユーザ除外、1000万規模で完走</t>
  </si>
  <si>
    <t>DU-U6-02, DU-U3-06</t>
  </si>
  <si>
    <t>DU-U4-01</t>
  </si>
  <si>
    <t>識別子先行＋所属判定のUX</t>
  </si>
  <si>
    <t>Config / Theme</t>
  </si>
  <si>
    <t>ログイン画面（接続先一覧非表示）＋判定失敗時の降格</t>
  </si>
  <si>
    <t>応答の同一化・書式ヒント・パスワード画面への降格が全応答で貫徹</t>
  </si>
  <si>
    <t>DU-U4-02</t>
  </si>
  <si>
    <t>ブランディング（統一テーマ1本）</t>
  </si>
  <si>
    <t>Theme</t>
  </si>
  <si>
    <t>中立テーマ（文言集約、直書き禁止）</t>
  </si>
  <si>
    <t>DU-U4-03</t>
  </si>
  <si>
    <t>追加確認のUX 4ケース</t>
  </si>
  <si>
    <t>Theme / Config</t>
  </si>
  <si>
    <t>パスキー／認証アプリの登録画面</t>
  </si>
  <si>
    <t>DU-U4-01, DU-U7-08</t>
  </si>
  <si>
    <t>DU-U4-04</t>
  </si>
  <si>
    <t>着地画面（許可サービス一覧）</t>
  </si>
  <si>
    <t>タイル表示の独立アプリ</t>
  </si>
  <si>
    <t>直接URLからのみ着地し、利用可能アプリ一覧APIで表示判定</t>
  </si>
  <si>
    <t>DU-U10-02</t>
  </si>
  <si>
    <t>DU-U4-05</t>
  </si>
  <si>
    <t>権限不足画面</t>
  </si>
  <si>
    <t>表示必須6項目・表示禁止5項目</t>
  </si>
  <si>
    <t>アプリ側からの誘導規約と実装義務が契約に反映される</t>
  </si>
  <si>
    <t>DU-U5-05</t>
  </si>
  <si>
    <t>DU-U4-06</t>
  </si>
  <si>
    <t>アクセシビリティ準拠</t>
  </si>
  <si>
    <t>Doc / Test</t>
  </si>
  <si>
    <t>準拠＋自動検査＋手動・当事者テスト</t>
  </si>
  <si>
    <t>★要件化またはレベル決定を着手前に行う（監査で要件不在と判明）。全10画面準拠</t>
  </si>
  <si>
    <t>DU-U4-01〜05</t>
  </si>
  <si>
    <t>🆕 新規（要件化が先行）</t>
  </si>
  <si>
    <t>DU-U4-07</t>
  </si>
  <si>
    <t>多言語・日本語ロケールの明示</t>
  </si>
  <si>
    <t>Config / Doc</t>
  </si>
  <si>
    <t>文言集約＋「今回は日本語のみ」の決定</t>
  </si>
  <si>
    <t>将来の多言語化の余地を確認し、決定を明文化</t>
  </si>
  <si>
    <t>🆕 新規（決定化が先行）</t>
  </si>
  <si>
    <t>DU-U4-08</t>
  </si>
  <si>
    <t>セルフサービスのパスワード再設定画面</t>
  </si>
  <si>
    <t>再設定画面</t>
  </si>
  <si>
    <t>自社受け皿収容の利用者が自己再設定を完走（本人確認方式の決定が前提）</t>
  </si>
  <si>
    <t>DU-U4-09</t>
  </si>
  <si>
    <t>App / Theme</t>
  </si>
  <si>
    <t>自分のセッション一覧＋自己失効</t>
  </si>
  <si>
    <t>利用者が自分の端末を失効でき、本基盤のセッションのみが対象</t>
  </si>
  <si>
    <t>v1.1（2026-08-12 再監査）</t>
  </si>
  <si>
    <t>DU-U4-10</t>
  </si>
  <si>
    <t>2台目・再登録時の再確認を必須化</t>
  </si>
  <si>
    <t>第1要素だけでの追加登録を拒否する</t>
  </si>
  <si>
    <t>DU-U5-01</t>
  </si>
  <si>
    <t>項目辞書＋有効時間の確定</t>
  </si>
  <si>
    <t>最小構成の項目＋通行証30分・引換券の更新方式</t>
  </si>
  <si>
    <t>個人情報非搭載の検証7項目が3箇所（レビュー・自動検査・四半期監査）で回る</t>
  </si>
  <si>
    <t>DU-U5-02</t>
  </si>
  <si>
    <t>通行証の引き換え（2方式）</t>
  </si>
  <si>
    <t>引き換え用の登録枠設定</t>
  </si>
  <si>
    <t>委譲となりすましの境界が権限範囲で表現され、監査記録が必須</t>
  </si>
  <si>
    <t>DU-U5-03</t>
  </si>
  <si>
    <t>失効・緊急停止・一括ログアウト</t>
  </si>
  <si>
    <t>一括無効化＋強制失効＋サーバ間ログアウト通知</t>
  </si>
  <si>
    <t>3粒度の強制ログアウトが成立し、取り消し漏れ時間30分以内、緊急手順と連動</t>
  </si>
  <si>
    <t>DU-U5-01, DU-U7-03</t>
  </si>
  <si>
    <t>DU-U5-04</t>
  </si>
  <si>
    <t>管理API の操作範囲＋機械認証</t>
  </si>
  <si>
    <t>操作範囲セット（対象×操作の2軸）</t>
  </si>
  <si>
    <t>読取・書込・停止などが機械認証で開放され、物理削除の範囲は定義しない</t>
  </si>
  <si>
    <t>DU-U5-01, DU-U10-02</t>
  </si>
  <si>
    <t>受け取り側実装ガイド</t>
  </si>
  <si>
    <t>Doc</t>
  </si>
  <si>
    <t>構成規約＋権限不足時の規約＋残余リスクの契約明示</t>
  </si>
  <si>
    <t>アプリ開発者の実装義務（画面誘導、画面だけの構成の限界）が契約とガイドに落ちる</t>
  </si>
  <si>
    <t>DU-U5-06</t>
  </si>
  <si>
    <t>自前のイベント送出＋配信ストリーム管理＋受信部品</t>
  </si>
  <si>
    <t>今回は暫定のつなぎ＋希望する受け取り側へ失効を配信し、高価値経路で数秒化</t>
  </si>
  <si>
    <t>DU-U3-05, DU-U5-03</t>
  </si>
  <si>
    <t>DU-U5-07</t>
  </si>
  <si>
    <t>プロトコル堅牢化</t>
  </si>
  <si>
    <t>検証7点／API層の再認証要求／同時セッション上限／引き換えの委譲制御</t>
  </si>
  <si>
    <t>DU-U5-01, DU-U2-03</t>
  </si>
  <si>
    <t>6アカウント＋越境8経路</t>
  </si>
  <si>
    <t>組織・アカウント構成＋アカウント跨ぎのイベント連携</t>
  </si>
  <si>
    <t>越境はイベント8経路と私設接続のみ。権限の相互信頼を作らない</t>
  </si>
  <si>
    <t>DU-U9I-01</t>
  </si>
  <si>
    <t>2クラスタ＋ノード群</t>
  </si>
  <si>
    <t>仲介側と自社受け皿側のクラスタ（2系統のノード群・サイジング）</t>
  </si>
  <si>
    <t>少数大型構成、接続予算の規約、規模検証用データセットと併走可能</t>
  </si>
  <si>
    <t>データベース2系統（認証系と権限系の分離）</t>
  </si>
  <si>
    <t>認証用と権限用を別鍵・別権限・別通信許可で分離</t>
  </si>
  <si>
    <t>DU-U6-01, DU-U7-01</t>
  </si>
  <si>
    <t>DU-U6-04</t>
  </si>
  <si>
    <t>入口3系統</t>
  </si>
  <si>
    <t>認証用／API用／画面配信用の各経路</t>
  </si>
  <si>
    <t>要求仕様に準拠し、API用は防御装置の経路外で成立。他組織へ要求仕様を発行</t>
  </si>
  <si>
    <t>DU-U6-05</t>
  </si>
  <si>
    <t>内部接続点＋私設経路</t>
  </si>
  <si>
    <t>管理用の内部限定の接続点＋2層間の裏側通信</t>
  </si>
  <si>
    <t>DU-U6-06</t>
  </si>
  <si>
    <t>管理APIの実行基盤</t>
  </si>
  <si>
    <t>関数実行＋API入口（通行証の一次検証）＋専用サブネット</t>
  </si>
  <si>
    <t>別の障害ドメインに分離し、起動遅延を許容する設計</t>
  </si>
  <si>
    <t>DU-U6-01, DU-U6-04</t>
  </si>
  <si>
    <t>DU-U6-07</t>
  </si>
  <si>
    <t>外部通信を持たない構成／許可ルールの要求</t>
  </si>
  <si>
    <t>IaC / Doc</t>
  </si>
  <si>
    <t>接続点群＋外部通信の許可ルール要求（他組織向け）</t>
  </si>
  <si>
    <t>顧客のID基盤1000件超の許可申請フローが成立。旧方式の撤去も反映</t>
  </si>
  <si>
    <t>DU-U6-08</t>
  </si>
  <si>
    <t>管理画面3層防御＋管理用ホスト名分離</t>
  </si>
  <si>
    <t>IaC / Config</t>
  </si>
  <si>
    <t>負荷分散装置での拒否＋通信許可の限定＋ホスト名分離</t>
  </si>
  <si>
    <t>一般利用者の経路では管理画面が拒否され、専用経路のみ到達可能</t>
  </si>
  <si>
    <t>DU-U6-09</t>
  </si>
  <si>
    <t>ネットワーク番号の割当計画の凍結</t>
  </si>
  <si>
    <t>Doc / IaC</t>
  </si>
  <si>
    <t>番号台帳（自社4系統＋他組織＋顧客）</t>
  </si>
  <si>
    <t>★構築後は変更不可のため構築前に凍結。重複がないことを確認済み</t>
  </si>
  <si>
    <t>DU-U6-10</t>
  </si>
  <si>
    <t>テナント隔離の契約化・公平性</t>
  </si>
  <si>
    <t>認証フローの顧客別レート制限＋所属情報の一貫強制＋領域分離の基準</t>
  </si>
  <si>
    <t>1顧客の急増が他を枯渇させない。分離への脱出条件を明文化</t>
  </si>
  <si>
    <t>DU-U6-02, DU-U6-04</t>
  </si>
  <si>
    <t>DU-U7-01</t>
  </si>
  <si>
    <t>暗号鍵の3階層と6アカウントへの写像</t>
  </si>
  <si>
    <t>鍵の命名と鍵ポリシー3ロール（管理・利用・監査）</t>
  </si>
  <si>
    <t>職務分離が成立し、利用は実行環境の権限のみ。削除・変更は即時通知</t>
  </si>
  <si>
    <t>DU-U7-02</t>
  </si>
  <si>
    <t>署名鍵の90日入れ替え</t>
  </si>
  <si>
    <t>90日周期＋旧鍵30日並走の定期ジョブ</t>
  </si>
  <si>
    <t>入れ替えを監視し、失敗時の手動手順と受け取り側の追随を確認</t>
  </si>
  <si>
    <t>DU-U2-01, DU-U7-01</t>
  </si>
  <si>
    <t>DU-U7-03</t>
  </si>
  <si>
    <t>不正検知エンジン</t>
  </si>
  <si>
    <t>イベント送出→判定エンジン（4シグナル）</t>
  </si>
  <si>
    <t>漏洩パスワード照合と総当たり検知が動作。当初は通知のみ</t>
  </si>
  <si>
    <t>DU-U6-01, DU-U2-04</t>
  </si>
  <si>
    <t>DU-U7-04</t>
  </si>
  <si>
    <t>ログの秘匿情報マスキング辞書</t>
  </si>
  <si>
    <t>App / Config</t>
  </si>
  <si>
    <t>集約役でのマスキング集中適用（14項目）</t>
  </si>
  <si>
    <t>全ソースがマスキング通過後に保存され、平文が残らない</t>
  </si>
  <si>
    <t>DU-U9O-02</t>
  </si>
  <si>
    <t>DU-U7-05</t>
  </si>
  <si>
    <t>実行環境の権限</t>
  </si>
  <si>
    <t>実行主体ごとの権限と信頼設定</t>
  </si>
  <si>
    <t>人間への鍵付与を禁止し、実行主体単位で最小権限</t>
  </si>
  <si>
    <t>DU-U6-02, DU-U7-01</t>
  </si>
  <si>
    <t>DU-U7-06</t>
  </si>
  <si>
    <t>特権管理＋緊急用アカウント</t>
  </si>
  <si>
    <t>権限管理サービス＋セッション管理＋緊急経路</t>
  </si>
  <si>
    <t>初期フェーズの実装10項目、役員承認、監査記録、訓練手順</t>
  </si>
  <si>
    <t>DU-U6-08, DU-U7-01</t>
  </si>
  <si>
    <t>DU-U7-07</t>
  </si>
  <si>
    <t>認証系と権限系の4軸分離</t>
  </si>
  <si>
    <t>データベース・鍵・権限・通信許可の4軸で分離</t>
  </si>
  <si>
    <t>橋渡しコンポーネントを最小権限とし、将来の2アカウント分割の条件を維持</t>
  </si>
  <si>
    <t>DU-U7-08</t>
  </si>
  <si>
    <t>パスワードポリシー／追加確認の要素</t>
  </si>
  <si>
    <t>12文字・履歴5世代・初回強制・パスキー・認証アプリ（メールは除外）</t>
  </si>
  <si>
    <t>決定を反映。顧客側ID基盤の利用者は対象外。両領域にポリシー適用</t>
  </si>
  <si>
    <t>DU-U7-09</t>
  </si>
  <si>
    <t>自動化攻撃・大量アクセス対策</t>
  </si>
  <si>
    <t>Doc / Config</t>
  </si>
  <si>
    <t>他組織への要求明細＋自社側の最低防御線</t>
  </si>
  <si>
    <t>他組織側が不成立でも最低限の防御が成立。次段階への移行条件も定義</t>
  </si>
  <si>
    <t>DU-U7-10</t>
  </si>
  <si>
    <t>非人間IDの台帳</t>
  </si>
  <si>
    <t>台帳＋命名規約＋孤立検知の定期ジョブ＋失効伝播</t>
  </si>
  <si>
    <t>責任者を必須とし、90日で孤立を検知。失効は既存の伝播機構を再利用</t>
  </si>
  <si>
    <t>DU-U3-01, DU-U7-05</t>
  </si>
  <si>
    <t>DU-U7-11</t>
  </si>
  <si>
    <t>App / Doc</t>
  </si>
  <si>
    <t>同意の記録＋撤回＋レシート</t>
  </si>
  <si>
    <t>越境・第三者提供が絡む顧客で記録と撤回ができる</t>
  </si>
  <si>
    <t>DU-U8-01</t>
  </si>
  <si>
    <t>内部目標値＋消費速度の警報</t>
  </si>
  <si>
    <t>4サービスの内部目標＋消費速度による多段警報</t>
  </si>
  <si>
    <t>記録ルールと警報を実装。性能目標（応答時間・処理能力）も反映</t>
  </si>
  <si>
    <t>DU-U9O-01</t>
  </si>
  <si>
    <t>DU-U8-02</t>
  </si>
  <si>
    <t>手動コールド復旧（およそ14日）</t>
  </si>
  <si>
    <t>予備地域のオンデマンド再構築</t>
  </si>
  <si>
    <t>2つの障害シナリオを区別。エッジの自動切替は撤回</t>
  </si>
  <si>
    <t>DU-U8-03</t>
  </si>
  <si>
    <t>データ保全3層</t>
  </si>
  <si>
    <t>継続複製＋時点復元＋変更不能な控え</t>
  </si>
  <si>
    <t>3層が並立し、控えは別地域へ複製される</t>
  </si>
  <si>
    <t>DU-U8-04</t>
  </si>
  <si>
    <t>復旧手順書＋訓練</t>
  </si>
  <si>
    <t>再構築・復元の手順書＋復旧訓練</t>
  </si>
  <si>
    <t>DU-U8-02, DU-U8-03</t>
  </si>
  <si>
    <t>DU-U8-05</t>
  </si>
  <si>
    <t>復元2経路</t>
  </si>
  <si>
    <t>コード再適用＋継続複製（一括書き出しは全廃）</t>
  </si>
  <si>
    <t>両経路が独立に成立し、設定投入ツール不採用と整合</t>
  </si>
  <si>
    <t>DU-U9I-01, DU-U8-03</t>
  </si>
  <si>
    <t>U9 運用・IaC</t>
  </si>
  <si>
    <t>コード管理2層＋管理単位の分離</t>
  </si>
  <si>
    <t>モジュール分割＋管理単位のマトリクス</t>
  </si>
  <si>
    <t>基盤層とテナント層が分離され、日次でずれを検知</t>
  </si>
  <si>
    <t>DU-U9I-02</t>
  </si>
  <si>
    <t>継続的な組み立てと配信</t>
  </si>
  <si>
    <t>自動化サービス＋コードからの同期＋イメージ置き場</t>
  </si>
  <si>
    <t>版数固定、供給網対応、秘密情報の直書きを自動検査で拒否</t>
  </si>
  <si>
    <t>U9 運用・監視</t>
  </si>
  <si>
    <t>計測基盤＋接続先件数の関数監視</t>
  </si>
  <si>
    <t>IaC / App</t>
  </si>
  <si>
    <t>収集役＋計装</t>
  </si>
  <si>
    <t>接続先追加の前後を比較でき、系列数の規約と抽出率も定義</t>
  </si>
  <si>
    <t>ログ3層＋監視製品連携</t>
  </si>
  <si>
    <t>即時参照90日／長期7年（変更不能）／相関</t>
  </si>
  <si>
    <t>全ソースがマスキング後に保存され、予備地域にも配備。週1で監査スキャン</t>
  </si>
  <si>
    <t>DU-U6-01, DU-U7-04</t>
  </si>
  <si>
    <t>DU-U9O-03</t>
  </si>
  <si>
    <t>手順書体系＋禁則集</t>
  </si>
  <si>
    <t>手順書35冊（必須13冊）＋禁則11項目</t>
  </si>
  <si>
    <t>各DU</t>
  </si>
  <si>
    <t>DU-U9O-04</t>
  </si>
  <si>
    <t>顧客追加パイプライン</t>
  </si>
  <si>
    <t>6ステップの自動化（自作API）</t>
  </si>
  <si>
    <t>接続情報の自動更新を実機確認し、証明書の入れ替え運用も確立</t>
  </si>
  <si>
    <t>DU-U2-01, DU-U9I-01</t>
  </si>
  <si>
    <t>DU-U9O-05</t>
  </si>
  <si>
    <t>常時監視用の自動アクセス</t>
  </si>
  <si>
    <t>外形監視＋認証実装漏れの検知</t>
  </si>
  <si>
    <t>自社の監査アカウントに集約し、アプリ台帳と連携</t>
  </si>
  <si>
    <t>DU-U9O-06</t>
  </si>
  <si>
    <t>決定ログ（サンプリング）＋3層の定期棚卸し</t>
  </si>
  <si>
    <t>拒否と高権限は全件記録。棚卸しの完了記録を残す</t>
  </si>
  <si>
    <t>DU-U10-02, DU-U9O-02</t>
  </si>
  <si>
    <t>DU-U9O-07</t>
  </si>
  <si>
    <t>非本番の個人情報マスキング</t>
  </si>
  <si>
    <t>IaC / CI</t>
  </si>
  <si>
    <t>マスキングまたは合成データ＋平文非着地の機械検査</t>
  </si>
  <si>
    <t>非本番に本番の個人情報が入らない。負荷試験データも合成</t>
  </si>
  <si>
    <t>DU-U10-01</t>
  </si>
  <si>
    <t>業務システム連携</t>
  </si>
  <si>
    <t>Config / Test</t>
  </si>
  <si>
    <t>接続定義＋自動同期から旧来方式への連携</t>
  </si>
  <si>
    <t>突合項目の一致、基盤起点の遷移を無効化、実機検証を実施</t>
  </si>
  <si>
    <t>DU-U2-07, DU-U3-03</t>
  </si>
  <si>
    <t>管理API v1</t>
  </si>
  <si>
    <t>管理API の関数実行＋仕様定義2本＋本人向けAPI</t>
  </si>
  <si>
    <t>DU-U6-06, DU-U3-01, DU-U5-04</t>
  </si>
  <si>
    <t>DU-U10-03</t>
  </si>
  <si>
    <t>出来事通知の配信</t>
  </si>
  <si>
    <t>署名＋待避キュー＋再送8回24時間＋保管14日</t>
  </si>
  <si>
    <t>配信7種、個人情報非搭載、冪等、リプレイ防止</t>
  </si>
  <si>
    <t>DU-U10-04</t>
  </si>
  <si>
    <t>移行4集団</t>
  </si>
  <si>
    <t>Doc / App</t>
  </si>
  <si>
    <t>パスワード方式の判定＋旧ID対応＋引き当て</t>
  </si>
  <si>
    <t>突合項目の選定、内部IDの保全、集団別の移行手順</t>
  </si>
  <si>
    <t>DU-U10-05</t>
  </si>
  <si>
    <t>データ主体の権利対応（手動）</t>
  </si>
  <si>
    <t>消去要求対応の手順書（仮名化＋7年保管、応答期限の決定）</t>
  </si>
  <si>
    <t>物理削除しない方針。応答日数を契約で確定</t>
  </si>
  <si>
    <t>DU-U10-06</t>
  </si>
  <si>
    <t>退職時の遮断連鎖</t>
  </si>
  <si>
    <t>遮断連鎖＋一括ログアウト＋残余時間の契約明示</t>
  </si>
  <si>
    <t>業務システム側の利用者を残置しつつ認証チェーンで遮断。残余30分を契約化</t>
  </si>
  <si>
    <t>DU-U10-07</t>
  </si>
  <si>
    <t>消去と監査保持の境界</t>
  </si>
  <si>
    <t>消去対象と仮名化保持の境界＋決定ログの仮名化</t>
  </si>
  <si>
    <t>都度判断ではなく境界を契約に明記</t>
  </si>
  <si>
    <t>DU数</t>
  </si>
  <si>
    <t>フェーズ</t>
  </si>
  <si>
    <t>フェーズ</t>
    <phoneticPr fontId="2"/>
  </si>
  <si>
    <t>残り（検討中＋外部待ち）</t>
    <phoneticPr fontId="2"/>
  </si>
  <si>
    <t>内容</t>
    <phoneticPr fontId="2"/>
  </si>
  <si>
    <t>DU-ID</t>
    <phoneticPr fontId="2"/>
  </si>
  <si>
    <t>単元グループ</t>
    <phoneticPr fontId="2"/>
  </si>
  <si>
    <t>単元名</t>
    <phoneticPr fontId="2"/>
  </si>
  <si>
    <t>成果物種別</t>
    <phoneticPr fontId="2"/>
  </si>
  <si>
    <t>主要成果物</t>
    <phoneticPr fontId="2"/>
  </si>
  <si>
    <t>完了定義（DoD）</t>
    <phoneticPr fontId="2"/>
  </si>
  <si>
    <t>依存DU</t>
    <phoneticPr fontId="2"/>
  </si>
  <si>
    <t>PoCゲート</t>
    <phoneticPr fontId="2"/>
  </si>
  <si>
    <t>工数(S/M/L)</t>
    <phoneticPr fontId="2"/>
  </si>
  <si>
    <t>人日（詳細設計＋構築）</t>
    <phoneticPr fontId="2"/>
  </si>
  <si>
    <t>②詳細設計</t>
  </si>
  <si>
    <t>②詳細設計</t>
    <phoneticPr fontId="2"/>
  </si>
  <si>
    <t>③構築</t>
  </si>
  <si>
    <t>③構築</t>
    <phoneticPr fontId="2"/>
  </si>
  <si>
    <t>区分</t>
    <phoneticPr fontId="2"/>
  </si>
  <si>
    <t>状態</t>
    <phoneticPr fontId="2"/>
  </si>
  <si>
    <t>追加時期</t>
    <phoneticPr fontId="2"/>
  </si>
  <si>
    <t>出典（決定）</t>
    <phoneticPr fontId="2"/>
  </si>
  <si>
    <t>🔴 Phase 1 必須</t>
  </si>
  <si>
    <t>00b（v1.0/1.1）</t>
  </si>
  <si>
    <t>仲介側から自社受け皿への認可コード／鍵情報／利用者情報の取得が私設経路で成立。【2026-08-12 監査で追記】ログアウト連鎖時の本人確認情報の受け渡しを明示（§2.2.5）</t>
  </si>
  <si>
    <t>DU-U2-09</t>
  </si>
  <si>
    <t>ブランド＝領域のマルチ領域モデリング</t>
  </si>
  <si>
    <t>ブランドごとに領域を分ける方式の設計</t>
  </si>
  <si>
    <t>★着手前の先行判断が必要。現行の単一領域・単一発行元の前提と正面衝突する</t>
  </si>
  <si>
    <t>🟡 将来・条件付</t>
  </si>
  <si>
    <t>🟡 将来（先行判断要）</t>
  </si>
  <si>
    <t>v1.2（2026-08-12 GAP監査）</t>
  </si>
  <si>
    <t>§3.8.0 / ADR-063</t>
  </si>
  <si>
    <t>DU-U2-10</t>
  </si>
  <si>
    <t>2層間のセッション整合</t>
  </si>
  <si>
    <t>ログアウト連鎖・有効時間・強度・入力補助値の整合（5つの課題）</t>
  </si>
  <si>
    <t>2層をまたいでセッションの状態と強度が矛盾なく伝わる</t>
  </si>
  <si>
    <t>§2.2.5 GAP-1〜5</t>
  </si>
  <si>
    <t>DU-U3-09</t>
  </si>
  <si>
    <t>再有効化の対称伝播</t>
  </si>
  <si>
    <t>自社受け皿側で復活したとき仲介側の影ユーザも有効化する</t>
  </si>
  <si>
    <t>停止と復活の双方向が同じ確実さで伝播する</t>
  </si>
  <si>
    <t>DU-U3-10</t>
  </si>
  <si>
    <t>初回の識別子通知の整合設計</t>
  </si>
  <si>
    <t>顧客側ID基盤経由の利用者の初回識別子をブランド側へ通知</t>
  </si>
  <si>
    <t>越境は書込時のみ・冪等・取りこぼしなし</t>
  </si>
  <si>
    <t>DU-U3-11</t>
  </si>
  <si>
    <t>属性の正準化ソース台帳</t>
  </si>
  <si>
    <t>顧客×属性ごとに正となる供給元を定義</t>
  </si>
  <si>
    <t>顧客写像・基盤付与・不要の3ケースが全属性で決まっている</t>
  </si>
  <si>
    <t>改ざん防止の隠しフィールドを変更しないことをレビュー必須項目に。【2026-08-12 監査で追記】外部連携利用者向けのテーマ上書きを明示</t>
  </si>
  <si>
    <t>4区分の利用者すべてでUXが完走し、代替手段への導線が成立。【2026-08-12 監査で追記】操作単位の再認証の専用文言を含める</t>
  </si>
  <si>
    <t>DU-U4-11</t>
  </si>
  <si>
    <t>認証器のみ・メール非保有の復旧</t>
  </si>
  <si>
    <t>2台目の事前登録推奨＋強度を下げない復旧経路</t>
  </si>
  <si>
    <t>永久的な締め出しが起きない</t>
  </si>
  <si>
    <t>DU-U5-08</t>
  </si>
  <si>
    <t>送信者拘束方式の運用サイジング準備</t>
  </si>
  <si>
    <t>使い捨て値の提供と再生防止キャッシュの容量設計</t>
  </si>
  <si>
    <t>1000万規模での容量と応答時間の見積りが出ている</t>
  </si>
  <si>
    <t>🟡 将来（次段階）</t>
  </si>
  <si>
    <t>両方に届く単一の権限や通信許可が存在しない。読み取り複製の余地も確保。【2026-08-12 監査で追記】接続プールの等値化を含める</t>
  </si>
  <si>
    <t>管理APIはインターネット非露出。通信許可を関数のみに限定し通信も暗号化。【2026-08-12 監査で追記】仲介側の影ユーザ制御も内部接続点経由であることを明示</t>
  </si>
  <si>
    <t>DU-U6-11</t>
  </si>
  <si>
    <t>内部接続点の通信暗号化基盤</t>
  </si>
  <si>
    <t>自社認証局・私設DNS・信頼設定＋通信制御</t>
  </si>
  <si>
    <t>管理APIへの経路が証明書で保護され、通信元も限定される</t>
  </si>
  <si>
    <t>ADR-062 / D-U6-11</t>
  </si>
  <si>
    <t>DU-U6-12</t>
  </si>
  <si>
    <t>メール送信基盤</t>
  </si>
  <si>
    <t>送信ドメイン認証3種＋接続点</t>
  </si>
  <si>
    <t>なりすまし対策が有効化され、通知メールが届く</t>
  </si>
  <si>
    <t>§A.4 A6a-1</t>
  </si>
  <si>
    <t>DU-U6-13</t>
  </si>
  <si>
    <t>名前解決の設計</t>
  </si>
  <si>
    <t>内外で解決結果を分ける構成＋共有・転送</t>
  </si>
  <si>
    <t>内部名は外部から引けず、必要な経路だけ解決できる</t>
  </si>
  <si>
    <t>DNS 3役割 / REQ-OUT-04</t>
  </si>
  <si>
    <t>DU-U7-12</t>
  </si>
  <si>
    <t>秘密情報の90日自動入れ替え</t>
  </si>
  <si>
    <t>2世代並走での無停止入れ替え</t>
  </si>
  <si>
    <t>期限超過がなくなり、入れ替え中もサービスが止まらない</t>
  </si>
  <si>
    <t>DU-U7-13</t>
  </si>
  <si>
    <t>供給網の検証点</t>
  </si>
  <si>
    <t>イメージ置き場と製品配布に脆弱性検査と署名検証を組み込む</t>
  </si>
  <si>
    <t>未検証のイメージがクラスタに到達する経路が構造的に消える</t>
  </si>
  <si>
    <t>D-U7-16 / ADR-046</t>
  </si>
  <si>
    <t>DU-U7-14</t>
  </si>
  <si>
    <t>漏えい報告の手順＋委託先監督</t>
  </si>
  <si>
    <t>報告7ステップ＋海外委託先の監督</t>
  </si>
  <si>
    <t>期限内の報告が回り、越境の扱いが契約で担保される</t>
  </si>
  <si>
    <t>D-U7-15 / 15b</t>
  </si>
  <si>
    <t>DU-U7-15</t>
  </si>
  <si>
    <t>管理API用クライアントの最小権限化</t>
  </si>
  <si>
    <t>権限を絞ったクライアント＋ブランド側の堅牢化</t>
  </si>
  <si>
    <t>橋渡しコンポーネントが乗っ取られても影響が限定される</t>
  </si>
  <si>
    <t>復旧目標を演習で実証。切り戻しは計画切替（喪失ゼロ）。【2026-08-12 監査で追記】論理破壊シナリオの訓練を下期に実施</t>
  </si>
  <si>
    <t>DU-U8-06</t>
  </si>
  <si>
    <t>地域内の可用性</t>
  </si>
  <si>
    <t>最小3台・同時停止許容・分散配置・自動増減・死活確認</t>
  </si>
  <si>
    <t>1拠点障害でサービスが継続する</t>
  </si>
  <si>
    <t>DU-U8-07</t>
  </si>
  <si>
    <t>データベースの地域内切替の調整</t>
  </si>
  <si>
    <t>切替時間の短縮と接続の早期再確立</t>
  </si>
  <si>
    <t>1分未満で自動切替が完了する</t>
  </si>
  <si>
    <t>DU-U8-08</t>
  </si>
  <si>
    <t>無停止デプロイ戦略</t>
  </si>
  <si>
    <t>製品更新・管理ソフト・独自機能の差し替え手順</t>
  </si>
  <si>
    <t>設定変更と修正版が無停止で当たる</t>
  </si>
  <si>
    <t>DU-U8-09</t>
  </si>
  <si>
    <t>セッション連続性と顧客への明示</t>
  </si>
  <si>
    <t>切替時は再認証となることの契約明記</t>
  </si>
  <si>
    <t>顧客との取り決めに残余の影響が書かれている</t>
  </si>
  <si>
    <t>DU-U8-10</t>
  </si>
  <si>
    <t>ブランド側の災害復旧対象化</t>
  </si>
  <si>
    <t>権限系データベースの時点復元と予備地域への保全</t>
  </si>
  <si>
    <t>ブランド側のデータも復旧対象に含まれる</t>
  </si>
  <si>
    <t>§8.2.2</t>
  </si>
  <si>
    <t>DU-U8-11</t>
  </si>
  <si>
    <t>削除伝播の災害復旧整合</t>
  </si>
  <si>
    <t>切替時に重複も欠落もなく1回だけ処理される</t>
  </si>
  <si>
    <t>切替をまたいでも停止処理が確実に1回伝播する</t>
  </si>
  <si>
    <t>DU-U3-05, DU-U8-02</t>
  </si>
  <si>
    <t>ADR-064</t>
  </si>
  <si>
    <t>DU-U8-12</t>
  </si>
  <si>
    <t>復旧方針の決定記録の改訂</t>
  </si>
  <si>
    <t>手動復旧への転換を決定記録に反映</t>
  </si>
  <si>
    <t>記録と設計書の記述が一致する</t>
  </si>
  <si>
    <t>§8.8</t>
  </si>
  <si>
    <t>DU-U9I-03</t>
  </si>
  <si>
    <t>管理API・糊付け関数の配信経路</t>
  </si>
  <si>
    <t>2アカウント向けの検証・本番パイプライン</t>
  </si>
  <si>
    <t>認証製品とは別系統で配信でき、障害範囲が分離される</t>
  </si>
  <si>
    <t>禁則が自動検査とレビューで機械強制される。【2026-08-12 監査で追記】社内ネットワーク経路との切替手順を含める</t>
  </si>
  <si>
    <t>DU-U9O-08</t>
  </si>
  <si>
    <t>管理API・影ユーザ制御・伝播関数の監視</t>
  </si>
  <si>
    <t>関数群の計測と警報</t>
  </si>
  <si>
    <t>糊付け部分の異常が検知できる</t>
  </si>
  <si>
    <t>§9.6.4</t>
  </si>
  <si>
    <t>DU-U9O-09</t>
  </si>
  <si>
    <t>管理操作ログの配置・保持の決定</t>
  </si>
  <si>
    <t>ブランド別か中央かの決定</t>
  </si>
  <si>
    <t>★決定が先行。配置と保持年数が確定している</t>
  </si>
  <si>
    <t>🔒 確定（決定先行）</t>
  </si>
  <si>
    <t>§9.3.2 / §9.3.3</t>
  </si>
  <si>
    <t>作成・変更・権限・射影の実体。利用者経路と機械経路で認可を差し替え。【2026-08-12 監査で追記】顧客開示用の監査ログ射影を含める</t>
  </si>
  <si>
    <t>DU-U10-08</t>
  </si>
  <si>
    <t>業務システム移行の並走4段階</t>
  </si>
  <si>
    <t>準備・試行・全社・パスワード無効化の手順書</t>
  </si>
  <si>
    <t>各段階の巻き戻し手段まで手順化されている</t>
  </si>
  <si>
    <t>DU-U10-09</t>
  </si>
  <si>
    <t>業務システム側の緊急用アカウント構成</t>
  </si>
  <si>
    <t>2〜3名分の緊急経路と統制</t>
  </si>
  <si>
    <t>本基盤の障害時も業務システムに入れる</t>
  </si>
  <si>
    <t>DU-U10-10</t>
  </si>
  <si>
    <t>業務システムから他アプリへの貫通</t>
  </si>
  <si>
    <t>機械認証での通行証取得と画面遷移の2フロー</t>
  </si>
  <si>
    <t>業務システムの先のAPIと画面に再ログインなしで到達できる</t>
  </si>
  <si>
    <t>§10.1.7</t>
  </si>
  <si>
    <t>DU-U10-11</t>
  </si>
  <si>
    <t>独自のパスワード方式変換部品</t>
  </si>
  <si>
    <t>出典: doc/basic-design/00b-design-unit-breakdown.md ＋ research/wbs-gap-audit-2026-08-12.md（GAP監査 2026-08-12）。Gitからの派生ビュー（読み取り専用）</t>
  </si>
  <si>
    <t>単元別 4工程内訳（④テストは単元別＋横断で別掲）</t>
  </si>
  <si>
    <t>単元</t>
  </si>
  <si>
    <t>人日（②+③）</t>
  </si>
  <si>
    <t>④テスト</t>
  </si>
  <si>
    <t>横断（負荷試験・災害復旧訓練・疑似攻撃検査）</t>
  </si>
  <si>
    <t>工程4分割の全体像</t>
  </si>
  <si>
    <t>工程</t>
  </si>
  <si>
    <t>人日</t>
  </si>
  <si>
    <t>出典・スコープ</t>
  </si>
  <si>
    <t>① 基本設計クローズ</t>
  </si>
  <si>
    <t>② 詳細設計</t>
  </si>
  <si>
    <t>③ 構築（実装＋単体）</t>
  </si>
  <si>
    <t>④ テスト</t>
  </si>
  <si>
    <t>②＋③＋④（これから作る工数）</t>
  </si>
  <si>
    <t>総計（①含む）</t>
  </si>
  <si>
    <t>重要な注記</t>
  </si>
  <si>
    <t>① GAP 28件の性質</t>
  </si>
  <si>
    <t>新規要件ではなく「既存決定の作業単位化漏れ」。すべて設計書またはADRに決定根拠がある。要件が増えたわけではない</t>
  </si>
  <si>
    <t>② 工数枠の比較不可</t>
  </si>
  <si>
    <t>本表の1,044人日は「詳細設計＋構築」。00a §6の325〜455人日は「構築＋テスト」で詳細設計を含まない。スコープが違うため単純比較・合算はできない</t>
  </si>
  <si>
    <t>③ 見積りの精度</t>
  </si>
  <si>
    <t>S/M/Lから人日への変換バンドは粗く上振れ傾向。ボトムアップ値をそのまま採るか、目標枠に合わせてバンドを縮小するか（例: 600人日台）は未決定でユーザー判断待ち</t>
  </si>
  <si>
    <t>④ 先行判断が必要 1</t>
  </si>
  <si>
    <t>「単一の領域」か「ブランドごとに領域を分ける」か。DU-U2-09 とエッジ側の発行元検証は、現行の単一領域・単一発行元の前提と正面衝突する。今回は1ブランドのため急がないが、方式だけ先に固定しないと将来の移行が発生する</t>
  </si>
  <si>
    <t>⑤ 先行判断が必要 2</t>
  </si>
  <si>
    <t>DU-U9O-09（管理操作ログをブランド別に置くか中央に置くか）も決定が先行する</t>
  </si>
  <si>
    <t>⑥ テストの扱い</t>
  </si>
  <si>
    <t>④テストは各DUに割らず、単元行と横断行で持つ。PoCゲート（①の244人日に含まれる87人日）と重複しないよう調整済み</t>
  </si>
  <si>
    <t>⑦ ①は別枠</t>
  </si>
  <si>
    <t>①基本設計244人日はDUに配分しない横断作業で、大半が進行中または完了。②〜④が新規に発生する工数</t>
  </si>
  <si>
    <t>GAP監査レポート §8 の per-DU 人日 合計1,044 × 40%。IaC・設定・文書系のDUは②と③がほぼ同一作業</t>
  </si>
  <si>
    <t>同 ×60%。独自機能・アプリ系のDUは③が厚め</t>
  </si>
  <si>
    <t>ADR（アーキテクチャ決定記録）一覧 — 全67本</t>
  </si>
  <si>
    <t>出典: doc/adr/00-index.md ＋ 各ADRファイル（commit 9511a58 時点）。Gitからの派生ビュー（読み取り専用）</t>
  </si>
  <si>
    <t>★ADR-061は索引（00-index.md）に未登録。ファイルは存在し内容も確定済みのため、本表では実ファイルから補って収録している（Git側の索引更新を推奨）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</si>
  <si>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</si>
  <si>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</si>
  <si>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</si>
  <si>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</si>
  <si>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</si>
  <si>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</si>
  <si>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</si>
  <si>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</si>
  <si>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</si>
  <si>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</si>
  <si>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</si>
  <si>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</si>
  <si>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</si>
  <si>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</si>
  <si>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</si>
  <si>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</si>
  <si>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</si>
  <si>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</si>
  <si>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</si>
  <si>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</si>
  <si>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</si>
  <si>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</si>
  <si>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</si>
  <si>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</si>
  <si>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</si>
  <si>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</si>
  <si>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</si>
  <si>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</si>
  <si>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</si>
  <si>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</si>
  <si>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</si>
  <si>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</si>
  <si>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</si>
  <si>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</si>
  <si>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</si>
  <si>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</si>
  <si>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</si>
  <si>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</si>
  <si>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</si>
  <si>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</si>
  <si>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</si>
  <si>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</si>
  <si>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</si>
  <si>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</si>
  <si>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</si>
  <si>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</si>
  <si>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</si>
  <si>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</si>
  <si>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</si>
  <si>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</si>
  <si>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</si>
  <si>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</si>
  <si>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</si>
  <si>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</si>
  <si>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</si>
  <si>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</si>
  <si>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</si>
  <si>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</si>
  <si>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</si>
  <si>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</si>
  <si>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</si>
  <si>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</si>
  <si>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</si>
  <si>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</si>
  <si>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</si>
  <si>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</si>
  <si>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</si>
  <si>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</si>
  <si>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</si>
  <si>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</si>
  <si>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</si>
  <si>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</si>
  <si>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</si>
  <si>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</si>
  <si>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</si>
  <si>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</si>
  <si>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</si>
  <si>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</si>
  <si>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</si>
  <si>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</si>
  <si>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</si>
  <si>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</si>
  <si>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</si>
  <si>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</si>
  <si>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</si>
  <si>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</si>
  <si>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</si>
  <si>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</si>
  <si>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</si>
  <si>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</si>
  <si>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</si>
  <si>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</si>
  <si>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</si>
  <si>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</si>
  <si>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</si>
  <si>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</si>
  <si>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</si>
  <si>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</si>
  <si>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</si>
  <si>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</si>
  <si>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</si>
  <si>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</si>
  <si>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</si>
  <si>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</si>
  <si>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</si>
  <si>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</si>
  <si>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</si>
  <si>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</si>
  <si>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</si>
  <si>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</si>
  <si>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</si>
  <si>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</si>
  <si>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</si>
  <si>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</si>
  <si>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</si>
  <si>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</si>
  <si>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</si>
  <si>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</si>
  <si>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</si>
  <si>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</si>
  <si>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</si>
  <si>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</si>
  <si>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</si>
  <si>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</si>
  <si>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</si>
  <si>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2026-06-24縮小: 認証APIのみ。その他はAPIプラットフォーム側</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</si>
  <si>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</si>
  <si>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</si>
  <si>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</si>
  <si>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</si>
  <si>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</si>
  <si>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</si>
  <si>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</si>
  <si>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</si>
  <si>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</si>
  <si>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</si>
  <si>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</si>
  <si>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</si>
  <si>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</si>
  <si>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</si>
  <si>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</si>
  <si>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</si>
  <si>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</si>
  <si>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</si>
  <si>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</si>
  <si>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</si>
  <si>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</si>
  <si>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</si>
  <si>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</si>
  <si>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</si>
  <si>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</si>
  <si>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</si>
  <si>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</si>
  <si>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</si>
  <si>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</si>
  <si>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</si>
  <si>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</si>
  <si>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</si>
  <si>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</si>
  <si>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</si>
  <si>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</si>
  <si>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</si>
  <si>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</si>
  <si>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</si>
  <si>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</si>
  <si>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</si>
  <si>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</si>
  <si>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</si>
  <si>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</si>
  <si>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</si>
  <si>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</si>
  <si>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</si>
  <si>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</si>
  <si>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</si>
  <si>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</si>
  <si>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</si>
  <si>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</si>
  <si>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</si>
  <si>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</si>
  <si>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</si>
  <si>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</si>
  <si>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</si>
  <si>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</si>
  <si>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</si>
  <si>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</si>
  <si>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</si>
  <si>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</si>
  <si>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</si>
  <si>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</si>
  <si>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ブランド分離のもとで、管理操作（書込・削除・権限変更）の監査ログをブランドごとに持つか中央の監査アカウントに集約するか。保持年数をどうするか</t>
  </si>
  <si>
    <t>ブランド分離下の管理操作監査ログの配置と保持</t>
  </si>
  <si>
    <t>B-AUDITLOG-BRAND-1</t>
  </si>
  <si>
    <t>09-operations-observability-design.md / adr/063</t>
  </si>
  <si>
    <t>検討3人日。包含=O-12（U6 §6.3.2）, U5 §5.8。【2026-08 決定を反映】実行形態＝関数実行（ADR-062）、ブランド側を主役とする入口構成（ADR-063）が確定。残論点＝アカウント跨ぎのイベント（削除伝播・初回識別子通知）のサービス間認可の再定義</t>
  </si>
  <si>
    <t>検討4人日。削除連鎖=L1 Soft Delete→SAML拒否でL2遮断・sys_user残置。依存=B-SN群（暫定で骨子可）。包含=U10 §10.4, D-U10-06, B-SN-9/10/18/19。【2026-08 決定を反映】削除の伝播は取りこぼし防止方式で必達（ADR-064、D-DEPROV-1）。再有効化も対称に扱う</t>
  </si>
  <si>
    <t>WBS ① 基本設計クローズ — 244人日</t>
  </si>
  <si>
    <t>出典: doc/basic-design/00a-remaining-tasks-and-effort.md §1〜§4（クラスタA〜Gのタスクと人日）＋ 進捗一覧の設計タスク59・検証ゲート11・顧客確認16行。Gitからの派生ビュー（読み取り専用）</t>
  </si>
  <si>
    <t>★律速は工数ではなく外部リードタイム（他組織の回答・顧客ヒアリング・製品ベンダーとのデータ処理契約）。人日を並列投入しても待ち時間は縮まらない。検証ゲート11件と顧客確認16件はクラスタA・Fの入力であり二重計上しないため人日は計上しない</t>
  </si>
  <si>
    <t>クラスタ</t>
  </si>
  <si>
    <t>タスク名</t>
  </si>
  <si>
    <t>主要成果物・内容</t>
  </si>
  <si>
    <t>依存・包含ID・補足</t>
  </si>
  <si>
    <t>状況</t>
  </si>
  <si>
    <t>調査</t>
  </si>
  <si>
    <t>検討</t>
  </si>
  <si>
    <t>検討8人日。2026-07-30 G-EDGE-DR受け（P-05/P-15転換）。①リージョン災害→大阪でROSA再構築+データリストア ②論理破壊（IdPデータ破壊・誤削除・ランサム）→PITR/イミュータブルスナップショットからその場リストア。データ保全=Aurora自動バックアップ+PITR+定期スナップショット（大阪クロスリージョンコピー）+イミュータブルスナップショット（AWS Backup Vault Lock Compliance mode or 別Acctコピーで削除権限分離）。大阪再構築Runbook+リストアRunbook（RB-DR改訂）+U6大阪常時コスト削除。エッジ自動切替（REQ-DR-01/02）撤回</t>
  </si>
  <si>
    <t>調査＋検討</t>
  </si>
  <si>
    <t>（検証ゲート）</t>
  </si>
  <si>
    <t>実測ゲート</t>
  </si>
  <si>
    <t>クラスタAのPoC実測に含む（人日は二重計上しない）</t>
  </si>
  <si>
    <t>（顧客確認）</t>
  </si>
  <si>
    <t>クラスタFの質問状パッケージに含む（人日は二重計上しない）</t>
  </si>
  <si>
    <t>クラスタ別 小計</t>
  </si>
  <si>
    <t>タスク数</t>
  </si>
  <si>
    <t>個票の積み上げ</t>
  </si>
  <si>
    <t>00a §1の小計</t>
  </si>
  <si>
    <t>差分</t>
  </si>
  <si>
    <t>小計</t>
  </si>
  <si>
    <t>人日の差分について</t>
  </si>
  <si>
    <t>Gの差分20</t>
  </si>
  <si>
    <t>✓ 説明可。G-2（手順書の残り23冊、20人日）は00aで「総計外・稼働開始後3ヶ月以内で可」と明記されているため、244人日には含まれない</t>
  </si>
  <si>
    <t>B・D・F の差分計6</t>
  </si>
  <si>
    <t>⚠ 出典側の不整合。B：個票の積上で24（§2の見出しも「検計24人日」）なのに§1の小計は22。D：積上で53に対し小計50。F：積上で14に対し小計13。いずれもExcel側の転記ミスではなく00aの§1と§2の間の齟齬。どちらを正とするかGit側での確認を推奨</t>
  </si>
  <si>
    <t>本シートの扱い</t>
  </si>
  <si>
    <t>工程別総額は00a §1の公式値である244人日を採用する（ダッシュボードも244）。個票の積上げは参考値として併記し、差分を隠さない</t>
  </si>
  <si>
    <t>テスト項目</t>
  </si>
  <si>
    <t>DU-U5-02/03/06 の完了、ゲート G-SSF</t>
  </si>
  <si>
    <t>DU-U3-04、DU-U10-02 の完了</t>
  </si>
  <si>
    <t>項目数</t>
  </si>
  <si>
    <t>WBS ②詳細設計 ＋ ③構築 — 1,044人日（DU 103件）</t>
  </si>
  <si>
    <t>00a §1-4（調査97＋検討147）。別シート「WBS(基本設計)」に明細86行。DUに配分しない横断作業</t>
  </si>
  <si>
    <t>WBS ④ テスト — 363人日（43項目・精緻化版）</t>
  </si>
  <si>
    <t>出典: doc/basic-design/research/wbs-gap-audit-2026-08-12.md §10「テスト WBS 精緻化」（2026-08-12 確定）。Gitからの派生ビュー（読み取り専用）</t>
  </si>
  <si>
    <t>スコープ＝フルスコープ（結合・E2E・実機統合・負荷・災害復旧・セキュリティ・運用・受入。単体テストは③構築に含む）。PoCゲートと重複する分もフル再計上（本番前に満額実施）。各人日はテスト設計＋データ・環境準備＋実行＋欠陥対応と再テスト＋報告を含む（±40%込み）。旧版200人日から上方修正</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</si>
  <si>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</si>
  <si>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</si>
  <si>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</si>
  <si>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</si>
  <si>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</si>
  <si>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</si>
  <si>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</si>
  <si>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</si>
  <si>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</si>
  <si>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</si>
  <si>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</si>
  <si>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</si>
  <si>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</si>
  <si>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</si>
  <si>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</si>
  <si>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</si>
  <si>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</si>
  <si>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</si>
  <si>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</si>
  <si>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</si>
  <si>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</si>
  <si>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</si>
  <si>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</si>
  <si>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</si>
  <si>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</si>
  <si>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</si>
  <si>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</si>
  <si>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</si>
  <si>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</si>
  <si>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</si>
  <si>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</si>
  <si>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</si>
  <si>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</si>
  <si>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</si>
  <si>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</si>
  <si>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</si>
  <si>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</si>
  <si>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</si>
  <si>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</si>
  <si>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</si>
  <si>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</si>
  <si>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</si>
  <si>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</si>
  <si>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</si>
  <si>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</si>
  <si>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</si>
  <si>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</si>
  <si>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</si>
  <si>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</si>
  <si>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</si>
  <si>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</si>
  <si>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</si>
  <si>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</si>
  <si>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</si>
  <si>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</si>
  <si>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</si>
  <si>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</si>
  <si>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</si>
  <si>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</si>
  <si>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</si>
  <si>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</si>
  <si>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</si>
  <si>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</si>
  <si>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</si>
  <si>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</si>
  <si>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</si>
  <si>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</si>
  <si>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</si>
  <si>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</si>
  <si>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</si>
  <si>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</si>
  <si>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</si>
  <si>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</si>
  <si>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</si>
  <si>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</si>
  <si>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</si>
  <si>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</si>
  <si>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</si>
  <si>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</si>
  <si>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</si>
  <si>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</si>
  <si>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</si>
  <si>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</si>
  <si>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</si>
  <si>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</si>
  <si>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</si>
  <si>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</si>
  <si>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</si>
  <si>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ゲート G-IdP-Scale、1000万件の合成データ、テスト環境の確保（環境費別）</t>
  </si>
  <si>
    <t>PT-02</t>
  </si>
  <si>
    <t>接続先スケール（1000／2000件：所属判定からフェデまでの応答時間が基準値比+10%以内、キャッシュ、再起動）</t>
  </si>
  <si>
    <t>横断 / U2 / DU-U2-08</t>
  </si>
  <si>
    <t>ゲート G-IdP-Scale、合成データセット、テスト環境</t>
  </si>
  <si>
    <t>PT-03</t>
  </si>
  <si>
    <t>自動同期・射影のスケール（500／1000顧客の識別子検索、一括5万件、読取の応答時間）</t>
  </si>
  <si>
    <t>U3 / DU-U3-03, DU-U3-04</t>
  </si>
  <si>
    <t>ゲート G-SCIM、同一データセットでの併走</t>
  </si>
  <si>
    <t>PT-04</t>
  </si>
  <si>
    <t>データベース負荷（接続プールの予算、書込側の負荷、接続の飽和）</t>
  </si>
  <si>
    <t>U6 / DU-U6-03, DU-U6-08</t>
  </si>
  <si>
    <t>テスト環境。PT-01と相乗り可</t>
  </si>
  <si>
    <t>PT-05</t>
  </si>
  <si>
    <t>独自機能の高負荷耐久（4機能・所属判定の高頻度）</t>
  </si>
  <si>
    <t>U2 / DU-U2-04</t>
  </si>
  <si>
    <t>ゲート G-SPI-Compat の通過後。PT-01環境に相乗り可</t>
  </si>
  <si>
    <t>PT-06</t>
  </si>
  <si>
    <t>バッチ性能（90日休眠バッチ1000万件・移行の一括投入）</t>
  </si>
  <si>
    <t>U3 / U10 / DU-U3-08, DU-U10-04</t>
  </si>
  <si>
    <t>テスト環境、合成データ</t>
  </si>
  <si>
    <t>E 災害復旧</t>
  </si>
  <si>
    <t>DR-01</t>
  </si>
  <si>
    <t>復旧訓練 上期（予備地域でのコールド再構築、目標約14日、成立条件5点）</t>
  </si>
  <si>
    <t>U8 / DU-U8-02, DU-U8-04</t>
  </si>
  <si>
    <t>予備地域の一時的な構築、他組織の参加、環境費別</t>
  </si>
  <si>
    <t>DR-02</t>
  </si>
  <si>
    <t>復旧訓練 下期（時点復元・論理破壊・変更不能な控え）</t>
  </si>
  <si>
    <t>U8 / DU-U8-03, DU-U8-04</t>
  </si>
  <si>
    <t>時点復元と変更不能な控えの環境</t>
  </si>
  <si>
    <t>DR-03</t>
  </si>
  <si>
    <t>地域内の可用性（データベース切替1分未満・ノード退避・同時停止許容・順次再起動）</t>
  </si>
  <si>
    <t>U8 / DU-U8-06, DU-U8-07, DU-U8-08</t>
  </si>
  <si>
    <t>テスト環境</t>
  </si>
  <si>
    <t>DR-04</t>
  </si>
  <si>
    <t>取りこぼし防止と射影の切替整合（切替時に重複も欠落もなく1回・未送信分の昇格）</t>
  </si>
  <si>
    <t>U8 / U3 / DU-U8-11</t>
  </si>
  <si>
    <t>DU-U8-11 の完了、切替可能な環境</t>
  </si>
  <si>
    <t>DR-05</t>
  </si>
  <si>
    <t>ブランド側の災害復旧（権限DB・ID対応表・射影の時点復元と予備地域）</t>
  </si>
  <si>
    <t>U8 / DU-U8-10</t>
  </si>
  <si>
    <t>DU-U8-10 の完了</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</si>
  <si>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</si>
  <si>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</si>
  <si>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</si>
  <si>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</si>
  <si>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</si>
  <si>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</si>
  <si>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</si>
  <si>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</si>
  <si>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</si>
  <si>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</si>
  <si>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</si>
  <si>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</si>
  <si>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</si>
  <si>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</si>
  <si>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</si>
  <si>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</si>
  <si>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</si>
  <si>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</si>
  <si>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</si>
  <si>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</si>
  <si>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</si>
  <si>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</si>
  <si>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</si>
  <si>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</si>
  <si>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</si>
  <si>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</si>
  <si>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</si>
  <si>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</si>
  <si>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</si>
  <si>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</si>
  <si>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</si>
  <si>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</si>
  <si>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</si>
  <si>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</si>
  <si>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</si>
  <si>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</si>
  <si>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</si>
  <si>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</si>
  <si>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</si>
  <si>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</si>
  <si>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</si>
  <si>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</si>
  <si>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</si>
  <si>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</si>
  <si>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</si>
  <si>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</si>
  <si>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</si>
  <si>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</si>
  <si>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</si>
  <si>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</si>
  <si>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</si>
  <si>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G-SPI-Compat（RHBK 26.4 × Custom SPI 4機能 + HRD Flow配置 + storeToken=false×id_token_hint + 属性ポリシー + Micrometer計装）</t>
    <phoneticPr fontId="2"/>
  </si>
  <si>
    <t>区分小計</t>
  </si>
  <si>
    <t>人日（積み上げ）</t>
  </si>
  <si>
    <t>§10の小計</t>
  </si>
  <si>
    <t>→</t>
  </si>
  <si>
    <t>小計（②＋③）</t>
  </si>
  <si>
    <t>★④テストは単元別に按分せず、別シート「WBS(テスト)」で43項目・363人日として管理する。§9の単元別④（合計200）は精緻化前の値のため本表では持たない</t>
  </si>
  <si>
    <t>別シート「WBS(テスト)」に明細43項目。フルスコープでPoCゲートともフル再計上（§10で200→363に上方修正）</t>
  </si>
  <si>
    <t>1 DU = 1チームが1〜数スプリントで着手・完了を判定できる作業単位。人日は詳細設計＋構築の合算（バンド S≒3-5／M≒8-12／L≒15-25、±40%バッファ込み）。②詳細設計＝人日×0.40／③構築＝人日×0.60。★④テスト363人日は別シート「WBS(テスト)」、①基本設計244人日は別シート「WBS(基本設計)」</t>
  </si>
  <si>
    <t>G-IdP-Scale実測PoC（1000/2000 IdP+Org投入・認証p99・Admin応答・キャッシュメモリ/ウォームアップ・Terraform plan分割閾値・パッチ回帰）</t>
    <phoneticPr fontId="2"/>
  </si>
  <si>
    <t>7点検証＋重要APIのチャレンジ＋管理系のセッション上限が成立</t>
    <phoneticPr fontId="2"/>
  </si>
  <si>
    <t>ID/PW認証（ローカルユーザー）</t>
    <phoneticPr fontId="2"/>
  </si>
  <si>
    <t>スマホアプリや画面だけで動くWebアプリから安全にログインさせる標準方式を採用するか</t>
    <phoneticPr fontId="2"/>
  </si>
  <si>
    <t>Authorization Code + PKCE（SPA/モバイル）</t>
    <phoneticPr fontId="2"/>
  </si>
  <si>
    <t>Authorization Code + client_secret（SSR）</t>
    <phoneticPr fontId="2"/>
  </si>
  <si>
    <t>人を介さないシステム同士の通信で、機械が自分の身元を証明する仕組みを用意するか</t>
    <phoneticPr fontId="2"/>
  </si>
  <si>
    <t>Client Credentials（M2M）</t>
    <phoneticPr fontId="2"/>
  </si>
  <si>
    <t>Token Exchange（RFC 8693）</t>
    <phoneticPr fontId="2"/>
  </si>
  <si>
    <t>更新メモ</t>
    <rPh sb="0" eb="2">
      <t>コウシn</t>
    </rPh>
    <phoneticPr fontId="2"/>
  </si>
  <si>
    <t>ローカルユーザーにIDとパスワードでのログインを認めるか。</t>
    <phoneticPr fontId="2"/>
  </si>
  <si>
    <t>OK</t>
    <phoneticPr fontId="2"/>
  </si>
  <si>
    <t>ヒアリングが必要（アプリチームに対して）</t>
    <phoneticPr fontId="2"/>
  </si>
  <si>
    <t>ヒアリングが必要（顧客に対して）</t>
    <phoneticPr fontId="2"/>
  </si>
  <si>
    <t>OKで確定</t>
    <phoneticPr fontId="2"/>
  </si>
  <si>
    <t>あるで確定</t>
    <phoneticPr fontId="2"/>
  </si>
  <si>
    <t>これで良い</t>
    <phoneticPr fontId="2"/>
  </si>
  <si>
    <t>OIDCで良い</t>
    <phoneticPr fontId="2"/>
  </si>
  <si>
    <t>.well-knownの話であれば必要</t>
    <phoneticPr fontId="2"/>
  </si>
  <si>
    <t>なしで確定</t>
    <phoneticPr fontId="2"/>
  </si>
  <si>
    <t>Webhookイベント通知（user.created等）</t>
    <phoneticPr fontId="2"/>
  </si>
  <si>
    <t>別途資料で説明してヒアリング</t>
    <phoneticPr fontId="2"/>
  </si>
  <si>
    <t>なるべくやりたいがどのようにするかは検討</t>
    <phoneticPr fontId="2"/>
  </si>
  <si>
    <t>方向性確定（条件付き）</t>
    <phoneticPr fontId="2"/>
  </si>
  <si>
    <t>顧客追加の作業を何営業日で完了させるか</t>
    <phoneticPr fontId="2"/>
  </si>
  <si>
    <t>GDPR / CCPA（海外展開時）</t>
    <phoneticPr fontId="2"/>
  </si>
  <si>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phoneticPr fontId="2"/>
  </si>
  <si>
    <t>レアケースだがヒアリングは必要</t>
    <phoneticPr fontId="2"/>
  </si>
  <si>
    <t>別途資料で説明してヒアリング（テストでやってみてどのくらいになるかになると思う）</t>
    <phoneticPr fontId="2"/>
  </si>
  <si>
    <t>(D)ECR Image Scan + Inspector｜Keycloak=ECR Scan対応</t>
    <phoneticPr fontId="2"/>
  </si>
  <si>
    <t>別途資料で説明してヒアリング(ROSAなのでEC2が立ってるが、これはどう扱うのかを相談する）</t>
    <phoneticPr fontId="2"/>
  </si>
  <si>
    <t>アプリにヒアリング</t>
    <phoneticPr fontId="2"/>
  </si>
  <si>
    <t>どこの暗号鍵なのかわかるようにする</t>
    <phoneticPr fontId="2"/>
  </si>
  <si>
    <t>AWSのリソースごとにROSAで詳細見積もり作成</t>
    <phoneticPr fontId="2"/>
  </si>
  <si>
    <t>Keycloakであれば不要？</t>
    <phoneticPr fontId="2"/>
  </si>
  <si>
    <t>確定でOK</t>
    <phoneticPr fontId="2"/>
  </si>
  <si>
    <t>ROSA</t>
  </si>
  <si>
    <t>2026-07-30確定（A-5-2回答）。顧客IdP保有テナント=顧客IdP / 非保有テナント=IdP-KC収容。従前γ「管理者層のみローカル」から転換。残: U2 Browser Flow / U3プロビ経路 / U4・U7 MFA（管理者=ローカル前提）要改訂（D-17）</t>
    <phoneticPr fontId="2"/>
  </si>
  <si>
    <t>そもそもIdPKeycloakの方どうするか</t>
    <phoneticPr fontId="2"/>
  </si>
  <si>
    <t>Keycloakのユーザの話であれば必要。アプリの話であればアプリで検討</t>
    <phoneticPr fontId="2"/>
  </si>
  <si>
    <t>別途資料で説明してヒアリング（MFAについては実装するということしか検討していないがこのように検討することが他にもあるかもしれない）</t>
    <phoneticPr fontId="2"/>
  </si>
  <si>
    <t>もう少し具体的にしてほしい</t>
    <phoneticPr fontId="2"/>
  </si>
  <si>
    <t>次のアクション</t>
  </si>
  <si>
    <t>社内ヒアリング（アプリチーム）</t>
  </si>
  <si>
    <t>顧客ヒアリング</t>
  </si>
  <si>
    <t>資料作成→ヒアリング</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</si>
  <si>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</si>
  <si>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</si>
  <si>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</si>
  <si>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</si>
  <si>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</si>
  <si>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</si>
  <si>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</si>
  <si>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</si>
  <si>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</si>
  <si>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</si>
  <si>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</si>
  <si>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</si>
  <si>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2"/>
  </si>
  <si>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2"/>
  </si>
  <si>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2"/>
  </si>
  <si>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</si>
  <si>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</si>
  <si>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</si>
  <si>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</si>
  <si>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</si>
  <si>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</si>
  <si>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</si>
  <si>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</si>
  <si>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</si>
  <si>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</si>
  <si>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</si>
  <si>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</si>
  <si>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</si>
  <si>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</si>
  <si>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</si>
  <si>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</si>
  <si>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</si>
  <si>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</si>
  <si>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</si>
  <si>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</si>
  <si>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</si>
  <si>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</si>
  <si>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</si>
  <si>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</si>
  <si>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</si>
  <si>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</si>
  <si>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</si>
  <si>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</si>
  <si>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</si>
  <si>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</si>
  <si>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</si>
  <si>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</si>
  <si>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</si>
  <si>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</si>
  <si>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</si>
  <si>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</si>
  <si>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</si>
  <si>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</si>
  <si>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</si>
  <si>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</si>
  <si>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</si>
  <si>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</si>
  <si>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</si>
  <si>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</si>
  <si>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</si>
  <si>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</si>
  <si>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</si>
  <si>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</si>
  <si>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</si>
  <si>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</si>
  <si>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</si>
  <si>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</si>
  <si>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</si>
  <si>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</si>
  <si>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https://aws.amazon.com/ec2/pricing/on-demand/</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</si>
  <si>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</si>
  <si>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</si>
  <si>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</si>
  <si>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</si>
  <si>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</si>
  <si>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</si>
  <si>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</si>
  <si>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</si>
  <si>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</si>
  <si>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</si>
  <si>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</si>
  <si>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</si>
  <si>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</si>
  <si>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</si>
  <si>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</si>
  <si>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</si>
  <si>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1台100GB×ノード数</t>
  </si>
  <si>
    <t>GB・月</t>
  </si>
  <si>
    <t>DB</t>
  </si>
  <si>
    <t>Aurora インスタンス（認証用・書込1＋読取2）</t>
  </si>
  <si>
    <t>D-U6-07。db.r7g.xlarge想定の3拠点構成</t>
  </si>
  <si>
    <t>3台×730時間</t>
  </si>
  <si>
    <t>https://aws.amazon.com/rds/aurora/pricing/</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</si>
  <si>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</si>
  <si>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</si>
  <si>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</si>
  <si>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</si>
  <si>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</si>
  <si>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</si>
  <si>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</si>
  <si>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</si>
  <si>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</si>
  <si>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</si>
  <si>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</si>
  <si>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</si>
  <si>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</si>
  <si>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</si>
  <si>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</si>
  <si>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</si>
  <si>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</si>
  <si>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</si>
  <si>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</si>
  <si>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</si>
  <si>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https://aws.amazon.com/elasticloadbalancing/pricing/</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</si>
  <si>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</si>
  <si>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</si>
  <si>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</si>
  <si>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</si>
  <si>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</si>
  <si>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</si>
  <si>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</si>
  <si>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</si>
  <si>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https://aws.amazon.com/cloudfront/pricing/</t>
  </si>
  <si>
    <t>不正アクセス遮断（WAF）</t>
  </si>
  <si>
    <t>D-U7-17。ただし入口側は他組織管理</t>
  </si>
  <si>
    <t>ルール数＋リクエスト数。自管理分のみ</t>
  </si>
  <si>
    <t>https://aws.amazon.com/waf/pricing/</t>
  </si>
  <si>
    <t>私設接続（PrivateLink）</t>
  </si>
  <si>
    <t>D-U6-06。2つの受け皿の間を単方向で接続</t>
  </si>
  <si>
    <t>エンドポイント×730時間＋転送量</t>
  </si>
  <si>
    <t>エンドポイント時間</t>
  </si>
  <si>
    <t>https://aws.amazon.com/privatelink/pricing/</t>
  </si>
  <si>
    <t>接続点群（VPCエンドポイント）</t>
  </si>
  <si>
    <t>D-U6-07の外部通信を持たない構成。各サービスへの私設経路</t>
  </si>
  <si>
    <t>20種×3拠点×730時間</t>
  </si>
  <si>
    <t>https://aws.amazon.com/vpc/pricing/</t>
  </si>
  <si>
    <t>名前解決（Route 53 私設ゾーン）</t>
  </si>
  <si>
    <t>DU-U6-13。内外で解決結果を分ける構成</t>
  </si>
  <si>
    <t>ゾーン数＋問い合わせ数</t>
  </si>
  <si>
    <t>100万クエリ</t>
  </si>
  <si>
    <t>https://aws.amazon.com/route53/pricing/</t>
  </si>
  <si>
    <t>データ転送（拠点間）</t>
  </si>
  <si>
    <t>3拠点分散のため拠点をまたぐ通信が発生</t>
  </si>
  <si>
    <t>クラスタ内・DB複製の拠点間転送量</t>
  </si>
  <si>
    <t>https://aws.amazon.com/ec2/pricing/on-demand/#Data_Transfer</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</si>
  <si>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</si>
  <si>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</si>
  <si>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</si>
  <si>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</si>
  <si>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</si>
  <si>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</si>
  <si>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</si>
  <si>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https://aws.amazon.com/lambda/pricing/</t>
  </si>
  <si>
    <t>関数実行（糊付け：影ユーザ制御・伝播・通知配信）</t>
  </si>
  <si>
    <t>DU-U3-05、DU-U10-03。非同期の連結処理</t>
  </si>
  <si>
    <t>イベント数に比例</t>
  </si>
  <si>
    <t>API入口（API Gateway）</t>
  </si>
  <si>
    <t>D-U6-06。通行証の一次検証と流量制限</t>
  </si>
  <si>
    <t>リクエスト数</t>
  </si>
  <si>
    <t>https://aws.amazon.com/api-gateway/pricing/</t>
  </si>
  <si>
    <t>イベントバス（EventBridge）</t>
  </si>
  <si>
    <t>D-U6-02のアカウント跨ぎ8経路。削除伝播と初回通知</t>
  </si>
  <si>
    <t>発行イベント数</t>
  </si>
  <si>
    <t>100万イベント</t>
  </si>
  <si>
    <t>https://aws.amazon.com/eventbridge/pricing/</t>
  </si>
  <si>
    <t>キー・バリューストア（DynamoDB）</t>
  </si>
  <si>
    <t>D-U7-04の不正検知の履歴、顧客開示用の監査ログ射影</t>
  </si>
  <si>
    <t>書込・読込・保管量</t>
  </si>
  <si>
    <t>https://aws.amazon.com/dynamodb/pricing/</t>
  </si>
  <si>
    <t>暗号鍵（KMS CMK）</t>
  </si>
  <si>
    <t>D-U7-01。3階層6アカウント写像で初期10種</t>
  </si>
  <si>
    <t>10鍵×月額＋API呼び出し数</t>
  </si>
  <si>
    <t>鍵・月</t>
  </si>
  <si>
    <t>https://aws.amazon.com/kms/pricing/</t>
  </si>
  <si>
    <t>秘密情報の保管（Secrets Manager）</t>
  </si>
  <si>
    <t>D-U7-01。90日自動入れ替え対象</t>
  </si>
  <si>
    <t>顧客別の接続用秘密情報＋内部用</t>
  </si>
  <si>
    <t>シークレット・月</t>
  </si>
  <si>
    <t>https://aws.amazon.com/secrets-manager/pricing/</t>
  </si>
  <si>
    <t>自社認証局（Private CA）</t>
  </si>
  <si>
    <t>DU-U6-11。内部接続点の通信暗号化</t>
  </si>
  <si>
    <t>認証局×月額＋証明書発行数</t>
  </si>
  <si>
    <t>CA・月</t>
  </si>
  <si>
    <t>https://aws.amazon.com/private-ca/pricing/</t>
  </si>
  <si>
    <t>変更不能な控え（AWS Backup Vault Lock）</t>
  </si>
  <si>
    <t>D-U8-14のL3。ランサム対策の最終防衛線</t>
  </si>
  <si>
    <t>保管量＋別地域複製</t>
  </si>
  <si>
    <t>https://aws.amazon.com/backup/pricing/</t>
  </si>
  <si>
    <t>運用</t>
  </si>
  <si>
    <t>ログ（即時参照90日）</t>
  </si>
  <si>
    <t>D-U9-05の3層構造のうちHot層</t>
  </si>
  <si>
    <t>取込量＋保管量</t>
  </si>
  <si>
    <t>https://aws.amazon.com/cloudwatch/pricing/</t>
  </si>
  <si>
    <t>ログ検索基盤（1年）</t>
  </si>
  <si>
    <t>D-U9-05のCold検索層</t>
  </si>
  <si>
    <t>インスタンス＋ストレージ</t>
  </si>
  <si>
    <t>https://aws.amazon.com/opensearch-service/pricing/</t>
  </si>
  <si>
    <t>長期保管（S3＋Glacier Deep Archive）</t>
  </si>
  <si>
    <t>D-U7-13。改ざん不能モードで7年</t>
  </si>
  <si>
    <t>累積保管量（7年分の逓増）</t>
  </si>
  <si>
    <t>https://aws.amazon.com/s3/pricing/</t>
  </si>
  <si>
    <t>メール送信（SES）</t>
  </si>
  <si>
    <t>DU-U6-12。通知・招待メール</t>
  </si>
  <si>
    <t>送信数</t>
  </si>
  <si>
    <t>1000通</t>
  </si>
  <si>
    <t>https://aws.amazon.com/ses/pricing/</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</si>
  <si>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</si>
  <si>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</si>
  <si>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</si>
  <si>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</si>
  <si>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</si>
  <si>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</si>
  <si>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</si>
  <si>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</si>
  <si>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</si>
  <si>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</si>
  <si>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</si>
  <si>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</si>
  <si>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</si>
  <si>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</si>
  <si>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</si>
  <si>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</si>
  <si>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</si>
  <si>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</si>
  <si>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</si>
  <si>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</si>
  <si>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</si>
  <si>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</si>
  <si>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</si>
  <si>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phoneticPr fontId="2"/>
  </si>
  <si>
    <t>出自（ID体系）</t>
  </si>
  <si>
    <t>アプリの本人確認方式。決定D-U7-10bによりPhase 1=合言葉方式（client_secret_post）+ Secrets Manager 90日自動ローテ + 2世代並走、電子署名方式（private_key_jwt）=Phase 2に一括昇格、証明書方式（mTLS）=Phase 3条件付き。切替判定はB-FAPI-1の回答</t>
    <phoneticPr fontId="2"/>
  </si>
  <si>
    <t>B-FAPI-1の回答を待つ。回答が「当面不要」ならPhase 3のまま据え置きで確定できる</t>
    <phoneticPr fontId="2"/>
  </si>
  <si>
    <t>同じ発行元の中で複数アプリを1回のログインで使える。U2 §2.1でBroker KC = 単一Realm broker + Organizationsと決定済み。Realm内のClient間SSOは製品標準で成立し、PoC Phase 1/7で実証済み</t>
    <phoneticPr fontId="2"/>
  </si>
  <si>
    <t>なし（確定）。要件表に基本設計の参照（U2 §2.1）を追記するのみ</t>
    <phoneticPr fontId="2"/>
  </si>
  <si>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phoneticPr fontId="2"/>
  </si>
  <si>
    <t>契約文言の確定（顧客合意）。設計側の追加作業はない</t>
    <phoneticPr fontId="2"/>
  </si>
  <si>
    <t>利用者の有効化・無効化。実体はU3のSoft Delete（enabled=false）とU10 §10.xの削除連鎖（L1側Soft Delete → SAML認証拒否でL2も遮断、sys_userは残置）で決定済み。※要件IDでの明示紐付けが設計書側に無い</t>
    <phoneticPr fontId="2"/>
  </si>
  <si>
    <t>要件表→基本設計の参照リンク（U3 Soft Delete / U10 削除連鎖）を追記する</t>
    <phoneticPr fontId="2"/>
  </si>
  <si>
    <t>お客様企業ごとの設定分離。U2 §2.1（単一Realm + Organizations）+ tenant_idクレーム（U2 §2.6）+ D-U6-14（隔離契約）で決定済み。方式はADR-017のL2（単一Pool/Realm + 複数IdP）</t>
    <phoneticPr fontId="2"/>
  </si>
  <si>
    <t>なし（確定）。要件表に参照を追記するのみ</t>
    <phoneticPr fontId="2"/>
  </si>
  <si>
    <t>接続情報の自動配布（OIDC Discovery）。決定D-U5-15（U5 §5.6.3b）で案内するパス形式を規約化済み。正はOIDC形式（issuerにパスを追記）。別形式（RFC 8414 = パス挿入）の提供有無は実機確認（00a A-11）</t>
    <phoneticPr fontId="2"/>
  </si>
  <si>
    <t>A-11の実機確認結果をD-U5-15に反映する</t>
    <phoneticPr fontId="2"/>
  </si>
  <si>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phoneticPr fontId="2"/>
  </si>
  <si>
    <t>なし（確定）</t>
    <phoneticPr fontId="2"/>
  </si>
  <si>
    <t>SAMLの接続情報。受信側（お客様IdPの情報取り込み・自動更新）はA-9の実機確認待ちで、機能が存在しない場合は運用代替（D-12）が必要。発行側（ServiceNow向け）はU10のCL-SN-01で決定済み。要件の重要度はShould</t>
    <phoneticPr fontId="2"/>
  </si>
  <si>
    <t>A-9（2人日）を実施し、結果をD-12に反映する</t>
    <phoneticPr fontId="2"/>
  </si>
  <si>
    <t>設定をコードで管理する（IaC）。決定D-U9-12（CI=GitHub Actions / CD=OpenShift GitOps / Registry=ECR / Secret=ESO）+ 禁則K-5（管理画面からの直接変更禁止）+ 禁則K-9（1つのTerraform管理単位に1000件規模を置かない）で確定</t>
    <phoneticPr fontId="2"/>
  </si>
  <si>
    <t>通行証の検証性能。U9 §9.2.1の注記で「検証はアプリ側で基盤に問い合わせずに完結するため、基盤の処理能力の律速ではない」と整理済み。基盤側の関連目標はJWKSの可用性99.99% / 応答100ms未満（D-U9-04）</t>
    <phoneticPr fontId="2"/>
  </si>
  <si>
    <t>なし（確定）。要件表の「&gt;1,000 req/s」は基盤負荷ではなくアプリ側の指標である旨を注記する</t>
    <phoneticPr fontId="2"/>
  </si>
  <si>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phoneticPr fontId="2"/>
  </si>
  <si>
    <t>なし（確定）。要件表の「1時間（Lambda内）」を上記の不変条件つき記述に差し替える</t>
    <phoneticPr fontId="2"/>
  </si>
  <si>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phoneticPr fontId="2"/>
  </si>
  <si>
    <t>U9で「データベース応答を独立した測定対象にするか」を判断し、D-U9-04の表に行を足すか要件を取り下げるかを決める</t>
    <phoneticPr fontId="2"/>
  </si>
  <si>
    <t>復旧までの目標時間。P-05（2026-07-30転換）で手動復旧・約14日（大阪でその都度作り直す）に確定。従前のピロットライト方式・1時間目標は廃止</t>
    <phoneticPr fontId="2"/>
  </si>
  <si>
    <t>切り替え方式。P-05 / P-15で手動（大阪は平時に設備を置かず被災時にその都度構築）に確定。他組織エッジの自動切替要求（REQ-DR-01/02）は撤回済み</t>
    <phoneticPr fontId="2"/>
  </si>
  <si>
    <t>管理画面への接続制限。決定D-U6-11（3層防御 + 管理用ホスト名の分離）+ 接続3系統の分離 + 禁則K-10（管理APIは内部経路のみ）+ D-U7-14（基盤運用者は踏み台・SSM経由 + 端末鍵必須）で確定</t>
    <phoneticPr fontId="2"/>
  </si>
  <si>
    <t>データを置く場所。P-15で東京（常用）+ 大阪（災害時のみ）に凍結。国外には置かない。ただし裏付けとなるhearing A-4（お客様拠点の地理分布）は未回答で、質問状Q46で確認中</t>
    <phoneticPr fontId="2"/>
  </si>
  <si>
    <t>Q46の回答を待つ。国外在住の利用者が含まれる場合は保管場所と本人請求対応の再評価が必要</t>
    <phoneticPr fontId="2"/>
  </si>
  <si>
    <t>E-3（FinOps）またはADR-056採用条件②の3年契約見積取得と合わせて再算定する。基本設計244人日には含まれない別枠</t>
    <phoneticPr fontId="2"/>
  </si>
  <si>
    <t>利用者1人あたりの費用。Keycloak / ROSAは利用者数に応じた従量課金が無く $0/MAU。費用は固定インフラ費（NFR-COST-002）に集約される</t>
    <phoneticPr fontId="2"/>
  </si>
  <si>
    <t>なし（確定）。要件表のCognito列はP-01確定により参考情報へ降格する</t>
    <phoneticPr fontId="2"/>
  </si>
  <si>
    <t>要件表から対象外として降格（削除ではなく凍結）。ADR-016は履歴として保持</t>
    <phoneticPr fontId="2"/>
  </si>
  <si>
    <t>基盤ソフトウェアの利用料。ADR-056で「RHBKの利用権はROSAに内包され追加サブスクリプション不要」と確定（Red Hat KB 7044244）。要件表の「$5,000〜30,000/年/ノード」は誤り</t>
    <phoneticPr fontId="2"/>
  </si>
  <si>
    <t>要件表を「追加費用なし（ROSA内包）」へ是正する。C-3（ADR反映残）に含める</t>
    <phoneticPr fontId="2"/>
  </si>
  <si>
    <t>P-02に合わせて想定規模を見直すか、要件自体をNFR-COST-002へ統合するかを決める。E-3で扱う</t>
    <phoneticPr fontId="2"/>
  </si>
  <si>
    <t>3年総保有コスト（50万利用者想定）。NFR-COST-008と同じ理由で前提が変わった</t>
    <phoneticPr fontId="2"/>
  </si>
  <si>
    <t>NFR-COST-008と同時に処理する</t>
    <phoneticPr fontId="2"/>
  </si>
  <si>
    <t>段階的な移行（並行稼働）。決定D-U10-04で4段階（M0稼働開始 → M1試行 → M2全社 → M3旧パスワード停止）に正規化済み</t>
    <phoneticPr fontId="2"/>
  </si>
  <si>
    <t>なし（確定）。詳細手順はD-16（4人日）で作成</t>
    <phoneticPr fontId="2"/>
  </si>
  <si>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phoneticPr fontId="2"/>
  </si>
  <si>
    <t>採用条件4点を個別に消化する。特に④はG-SRE-LogVis、質問状Q50と連動</t>
    <phoneticPr fontId="2"/>
  </si>
  <si>
    <t>暗号モジュール認定。不要で確定（C-201、2026-07-30）。2026-08-15に要件名をFIPS 140-3へ更新済み（140-2は2026-09-21に認定一覧から移行）</t>
    <phoneticPr fontId="2"/>
  </si>
  <si>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phoneticPr fontId="2"/>
  </si>
  <si>
    <t>残る判断はB-MIG-12（旧利用者番号を永続保持するか並走期のみか）。決裁 = 設計リード + 移行担当</t>
    <phoneticPr fontId="2"/>
  </si>
  <si>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phoneticPr fontId="2"/>
  </si>
  <si>
    <t>選択肢3案の工数差を出して比較する。決裁 = プロダクトオーナー + UX。②を選ぶ場合DU-U4系に工数追加が必要</t>
    <phoneticPr fontId="2"/>
  </si>
  <si>
    <t>利用者の検索・一覧。Admin REST API + idm-api #2で提供。PoC実証済み</t>
    <phoneticPr fontId="2"/>
  </si>
  <si>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phoneticPr fontId="2"/>
  </si>
  <si>
    <t>禁則K-1との矛盾を解消し、投入経路を3案から選ぶ。B-403（既存利用者の投入方式）の回答が入力。決裁 = 設計リード + 移行担当</t>
    <phoneticPr fontId="2"/>
  </si>
  <si>
    <t>管理者によるパスワード強制リセット。Admin API + idm-api #2で提供。初回パスワードの強制変更（D-U7-17）と、リセット依頼者の本人確認（B-IDM-6、質問状Q35）が連動</t>
    <phoneticPr fontId="2"/>
  </si>
  <si>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phoneticPr fontId="2"/>
  </si>
  <si>
    <t>D-6 / DU-U6-12を実施する。メール非保有者向けの代替（管理者による直接配布）をU4に起票。決裁 = 設計リード</t>
    <phoneticPr fontId="2"/>
  </si>
  <si>
    <t>お客様企業の追加・削除。追加はOrganizations単位で新規接続6ステップ（DU-U9O-04）。削除（サービス離脱）は段階的削除（30/90日猶予 + エクスポート + 物理削除完了証明書）の方針があるが、B-TENANT-EXIT-1が未回答</t>
    <phoneticPr fontId="2"/>
  </si>
  <si>
    <t>B-TENANT-EXIT-1の回答を待つ。決裁 = 事業側（契約条件）+ 設計リード</t>
    <phoneticPr fontId="2"/>
  </si>
  <si>
    <t>お客様IdPの追加・変更・削除。DU-U9O-04のパイプラインで自動化、目標は次営業日以内。ただし外部通信の許可申請が他組織依存（G-EGRESS）で、初期一括 + 追加は都度依頼（当日／翌日対応）の合意方向</t>
    <phoneticPr fontId="2"/>
  </si>
  <si>
    <t>G-EGRESSを要求仕様書（B-1）で正式合意する。決裁 = 他組織（外部）</t>
    <phoneticPr fontId="2"/>
  </si>
  <si>
    <t>アプリ登録の管理。設定はコードで管理（禁則K-5）で確定だが、アプリ台帳（App Registry）と権限台帳のスキーマ統合が未決（U10-OP-3/4、D-9に5点まとめて計上）</t>
    <phoneticPr fontId="2"/>
  </si>
  <si>
    <t>D-9（5人日）を実施する。決裁 = 設計リード（U10 × U9合同）</t>
    <phoneticPr fontId="2"/>
  </si>
  <si>
    <t>権限の定義管理。ADR-038（3層スコープ）+ 認可Cハイブリッド（2026-06-25確定）+ ADR-067（判断記録と定期棚卸し）で方式は決定済み。残るのは権限台帳のスキーマ（D-9）と棚卸しの頻度・実施主体（B-IGA-REC-1未回答）</t>
    <phoneticPr fontId="2"/>
  </si>
  <si>
    <t>D-9とB-IGA-REC-1を処理する。決裁 = 設計リード + 運用リード</t>
    <phoneticPr fontId="2"/>
  </si>
  <si>
    <t>管理用のAPI。idm-apiとしてADR-062（実行形態 = Lambda）+ ADR-063（ブランド側 #2が主役）で方式確定。API仕様の詳細化は詳細設計（00a §5）扱いで基本設計の対象外</t>
    <phoneticPr fontId="2"/>
  </si>
  <si>
    <t>内部経路とサービス間の認可（D-5、3人日）を先に確定する。決裁 = 設計リード</t>
    <phoneticPr fontId="2"/>
  </si>
  <si>
    <t>データベースの拡張性。C-1（U6サイジング是正、4人日）が未消化。少数大型Podへ寄せる設計判断と、接続数の予算規約（D-U6-08）の追加が残る。2026-07-30の50:50比率を入力に再計算が必要</t>
    <phoneticPr fontId="2"/>
  </si>
  <si>
    <t>C-1を実施する。A-1（規模実測）の結果が入れば確度が上がるが、A-1は後追い検証に格下げ済みのため仮定値で先に確定してよい。決裁 = 設計リード</t>
    <phoneticPr fontId="2"/>
  </si>
  <si>
    <t>暗号鍵の定期交換。決定D-U7-03で署名鍵は90日ごと交換・30日並走と確定しており、要件表の「年1回以上」より厳しい。KMSの鍵は自動交換</t>
    <phoneticPr fontId="2"/>
  </si>
  <si>
    <t>要件表の値をD-U7-03に合わせて是正する（年1回 → 90日）。C-3に含める</t>
    <phoneticPr fontId="2"/>
  </si>
  <si>
    <t>月額の固定インフラ費。要件表の約$987はECS + ADR-012前提の旧値。ADR-056の試算はROSA HCP単体で約$590/月（3年前払い、Aurora込み）だが、P-17で2クラスタ構成に凍結したため増分が約+$500/月。大阪はコールドDR化で常時費用ゼロ</t>
    <phoneticPr fontId="2"/>
  </si>
  <si>
    <t>P-17（2クラスタ）+ P-05（コールドDR）+ 50:50比率を反映して再算定する。E-3（FinOps、4人日）で扱う。決裁 = 設計リード + 事業側</t>
    <phoneticPr fontId="2"/>
  </si>
  <si>
    <t>災害対策の追加月額。要件表の$890は大阪ウォーム待機前提の旧値。P-05転換で平時の大阪費用はゼロになり、代わりにバックアップ保管費（クロスリージョンコピー + 変更不能スナップショット）が発生する</t>
    <phoneticPr fontId="2"/>
  </si>
  <si>
    <t>P-05に合わせて再算定する。E-3に含める。決裁 = 設計リード</t>
    <phoneticPr fontId="2"/>
  </si>
  <si>
    <t>運用の人件費。ADR-040 §G〜§Iで運用者10名体制（Phase 1 α = 平日日中 / Phase 1 β = 24時間365日）が決定済みだが、要件表の約$840/月はこれを反映していない</t>
    <phoneticPr fontId="2"/>
  </si>
  <si>
    <t>ADR-040の10名体制を金額換算して要件表を更新する。質問状Q48の回答（α/βのどちらで開始するか）が確定値の前提。決裁 = 事業側 + 運用リード</t>
    <phoneticPr fontId="2"/>
  </si>
  <si>
    <t>データの書き出し。要件表は「Realm Export」を可としているが禁則K-1で全用途禁止のため矛盾する。実際の書き出し経路はAdmin APIの単位取得（IdP / Organization / Client単位）に限られる</t>
    <phoneticPr fontId="2"/>
  </si>
  <si>
    <t>禁則K-1と整合する書き出し方式を定義する（サービス離脱時のエクスポート要件B-TENANT-EXIT-1と連動）。決裁 = 設計リード</t>
    <phoneticPr fontId="2"/>
  </si>
  <si>
    <t>利用者情報の受信機能（自作SCIM Facade）の規格適合と規模の実測ゲート。A-3（20人日）が未実施。権限確認の応答目標（/api/me/context p99 &lt; 300ms）の確定値もこのゲート待ちで暫定のまま</t>
    <phoneticPr fontId="2"/>
  </si>
  <si>
    <t>A-3を実施する。W1の技術ゲート群に含まれ、他ゲートと並走可。決裁 = 設計リード（実施判断は済み）</t>
    <phoneticPr fontId="2"/>
  </si>
  <si>
    <t>メールアドレスを持たない利用者が3つの登録経路すべてを完走できるかの確認ゲート（既知の製品不具合 #21265 / #33497の回避可否）。DU-U2-06に紐づくが未実施</t>
    <phoneticPr fontId="2"/>
  </si>
  <si>
    <t>Aクラスタの実機バンドルに載せて実施する。メール非保有が本基盤の正式前提のため、失敗時の設計影響が大きい。決裁 = 設計リード</t>
    <phoneticPr fontId="2"/>
  </si>
  <si>
    <t>1000社超の接続規模の実測ゲート。2026-07-30に「実測困難」として仮定値（1000/2000 IdP、フェデ:IdP-KC = 50:50）で設計継続と決定し、A-1（25人日）は後追い検証へ格下げ・非ブロッカー化</t>
    <phoneticPr fontId="2"/>
  </si>
  <si>
    <t>A-1はW1以降で実施。仮定値のまま詳細設計へ進んでよい。決裁 = 済（2026-07-30）</t>
    <phoneticPr fontId="2"/>
  </si>
  <si>
    <t>災害対策の方針。手動復旧・約14日・大阪はその都度構築に転換（2026-07-30）。2つの障害シナリオ（①地域災害 = 大阪で作り直し ②論理破壊 = 任意時点復元と変更不能スナップショットからその場復元）を区別</t>
    <phoneticPr fontId="2"/>
  </si>
  <si>
    <t>接続IdP数。1000超を条件付き成立とし、必須対策7点をU2の設計制約とする。実測はG-IdP-Scaleで後追い</t>
    <phoneticPr fontId="2"/>
  </si>
  <si>
    <t>必須対策7点が設計に落ちているかをU2で自己点検する。決裁 = 済（仮定値で継続）</t>
    <phoneticPr fontId="2"/>
  </si>
  <si>
    <t>アカウントとクラスタ構成。IdP-KCはBrokerと別AWSアカウント・ROSA HCP 2クラスタで凍結（2026-07-23）。ただし2026-08-06のE判断でパスワード保存の影響範囲を隔離するため「同一アカウントに業務アプリを同居させない（App Acct推奨）」へ緩和しており、P-17本文の『同AcctアプリからのユーザCRUD想定』と食い違う</t>
    <phoneticPr fontId="2"/>
  </si>
  <si>
    <t>P-17本文をE判断（ADR-063）に合わせて更新する。C-2（Baseline整合）に追加。決裁 = 設計リード</t>
    <phoneticPr fontId="2"/>
  </si>
  <si>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phoneticPr fontId="2"/>
  </si>
  <si>
    <t>回答は質問状ではなく営業・調達情報からの見込み判断でよい</t>
    <phoneticPr fontId="2"/>
  </si>
  <si>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phoneticPr fontId="2"/>
  </si>
  <si>
    <t>調達要件になる見込みが立った時点でADR-065と合わせて再評価</t>
    <phoneticPr fontId="2"/>
  </si>
  <si>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phoneticPr fontId="2"/>
  </si>
  <si>
    <t>方式はD-U9-20で決定済みのため、残るのは顧客への提供頻度の確認のみ</t>
    <phoneticPr fontId="2"/>
  </si>
  <si>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phoneticPr fontId="2"/>
  </si>
  <si>
    <t>B-401-2の回答を待って初期権限を確定する</t>
    <phoneticPr fontId="2"/>
  </si>
  <si>
    <t>1000/2000社規模の実測PoC（G-IdP-Scale、25人日）。2026-07-30に仮定値で設計継続と決定し後追い検証へ格下げ・非ブロッカー化。公式実測が存在せず本PoCが一次検証となる</t>
    <phoneticPr fontId="2"/>
  </si>
  <si>
    <t>E-2（負荷試験計画）を先に作ってから着手する。着手可（環境費のみ）</t>
    <phoneticPr fontId="2"/>
  </si>
  <si>
    <t>RHBK 26.4と自作部品4機能の互換確認（G-SPI-Compat、10人日）。実質残ブロッカーの1つ。※ID衝突注意 — hearingのA-2（3年後MAU）とは別物</t>
    <phoneticPr fontId="2"/>
  </si>
  <si>
    <t>RHBK環境を用意して着手する。ブロッカーのためW1冒頭で先行</t>
    <phoneticPr fontId="2"/>
  </si>
  <si>
    <t>自作SCIM Facadeの規格適合と規模実測（G-SCIM、20人日）。権限確認の応答目標の確定値もこれ待ち</t>
    <phoneticPr fontId="2"/>
  </si>
  <si>
    <t>着手可（依存なし）。W1で並走</t>
    <phoneticPr fontId="2"/>
  </si>
  <si>
    <t>LDAP経路の検証（G-LDAP）。2026-07-30にB-LDAP-1 = LDAP顧客なしで廃止。工数0。※ID衝突注意 — hearingのA-4（地理分布）とは別物</t>
    <phoneticPr fontId="2"/>
  </si>
  <si>
    <t>なし（廃止済み）。Excel上も対象外として凍結表示にする</t>
    <phoneticPr fontId="2"/>
  </si>
  <si>
    <t>SAML経由の自動登録の検証（B-SCIM-12、4人日）。名前識別子の扱いの差を確認する</t>
    <phoneticPr fontId="2"/>
  </si>
  <si>
    <t>着手可（依存なし）。D-11の入力になる</t>
    <phoneticPr fontId="2"/>
  </si>
  <si>
    <t>商用IdP実機との統合検証（B-SCIM-14、8人日）。Entra ID / Oktaの試用環境で属性・発行元・登録部品の発火・ログインヒント・認証手段表示の差を確認。Phase 1 β前必須</t>
    <phoneticPr fontId="2"/>
  </si>
  <si>
    <t>A-5の後に着手推奨。商用IdPの試用環境確保が前提（外部リードタイムあり）</t>
    <phoneticPr fontId="2"/>
  </si>
  <si>
    <t>大阪リージョンの在庫・上限確認（G-OSAKA、3人日）。機種在庫・vCPU上限・arm64対応。※ID衝突注意 — hearingのA-7（新規顧客追加頻度）とは別物</t>
    <phoneticPr fontId="2"/>
  </si>
  <si>
    <t>着手可（依存なし）。P-05コールドDR転換により緊急度は下がったが、被災時に確保できるかは要確認</t>
    <phoneticPr fontId="2"/>
  </si>
  <si>
    <t>パスワード変換処理の性能実測（2人日）。製品既定パラメータでの処理能力を測りサイジングを補正する</t>
    <phoneticPr fontId="2"/>
  </si>
  <si>
    <t>A-1の環境に相乗りして実施する</t>
    <phoneticPr fontId="2"/>
  </si>
  <si>
    <t>SAML接続情報の自動更新機能の実機確認（2人日）。文書と実装の乖離疑い（Discussion #27828未解決）。1000社超の証明書更新運用の前提</t>
    <phoneticPr fontId="2"/>
  </si>
  <si>
    <t>着手可（依存なし）。機能が無ければD-12で運用代替を設計する</t>
    <phoneticPr fontId="2"/>
  </si>
  <si>
    <t>自作部品の負荷試験（6人日）。①登録制御の抑制処理がDB書込・キャッシュ無効化・Pod資源に与える影響 ②イベント送出の流量が通行証発行の応答時間に与える遅延</t>
    <phoneticPr fontId="2"/>
  </si>
  <si>
    <t>A-1の環境に相乗りして実施する。D-U7-04aの妥当性検証を兼ねる</t>
    <phoneticPr fontId="2"/>
  </si>
  <si>
    <t>小粒の実機確認4点セット（2人日）。複数クラスタ版数 / ROSAの署名情報 / Red Hat文書の本文確認 / 別形式の接続情報配布の提供有無</t>
    <phoneticPr fontId="2"/>
  </si>
  <si>
    <t>着手可（依存なし）。結果はD-U5-15ほかへ反映</t>
    <phoneticPr fontId="2"/>
  </si>
  <si>
    <t>ServiceNow連携の実機検証（6人日）。SAML設定・パターン②統合フロー・突合キー・Webhook配信</t>
    <phoneticPr fontId="2"/>
  </si>
  <si>
    <t>着手可（パターン選択B-SN-3は暫定②でよい）</t>
    <phoneticPr fontId="2"/>
  </si>
  <si>
    <t>要求仕様書v1の発行と回答反映（12人日）。REQ-IN-01〜13 / REQ-OUT-01〜06 / REQ-DR-01〜05が全件未回答。他組織が管理するインターネット境界の設定要求</t>
    <phoneticPr fontId="2"/>
  </si>
  <si>
    <t>即発行可。壁時計の律速は先方回答であり、W0で最優先に投げる</t>
    <phoneticPr fontId="2"/>
  </si>
  <si>
    <t>配信網からエッジ負荷分散への到達方式と通信制御ルートの技術詰め（5人日）</t>
    <phoneticPr fontId="2"/>
  </si>
  <si>
    <t>B-1と同時に発行する</t>
    <phoneticPr fontId="2"/>
  </si>
  <si>
    <t>IPアドレス帯の台帳凍結（2人日）。構築後に変更できないため構築前必須</t>
    <phoneticPr fontId="2"/>
  </si>
  <si>
    <t>社内ネットワークチームに一覧を依頼する。W0で着手</t>
    <phoneticPr fontId="2"/>
  </si>
  <si>
    <t>3ゲート合意の交渉サポート資料（4人日）。ただしG-PCI-WAFは2026-07-30に廃止済みのため実質2ゲート（G-EGRESS / G-EDGE-DR）。G-EDGE-DRも転換済みで合意不要になった可能性がある</t>
    <phoneticPr fontId="2"/>
  </si>
  <si>
    <t>B-1の後。※廃止・転換済みゲートを含んでいるためタスク内容の見直しが必要</t>
    <phoneticPr fontId="2"/>
  </si>
  <si>
    <t>外形監視の送信元を防御装置の誤検知対象から除外する合意（1人日）</t>
    <phoneticPr fontId="2"/>
  </si>
  <si>
    <t>B-1の追補として発行する</t>
    <phoneticPr fontId="2"/>
  </si>
  <si>
    <t>サイジング是正（4人日）。Pod数の不整合是正・少数大型Podへの設計判断・接続数の予算規約追加。50:50比率を入力に再計算</t>
    <phoneticPr fontId="2"/>
  </si>
  <si>
    <t>即着手可。NFR-SCL-007 / NFR-COST-002の前提になるため優先度高</t>
    <phoneticPr fontId="2"/>
  </si>
  <si>
    <t>前提の整合3点（2人日）。§NFR-3のレンジ記述を1,000万に改訂 / §C-7改訂ステータスの矛盾突合 / P-09の精密化。※本調査でP-17と2026-08-06 E判断の食い違いも判明したため4点目として追加を推奨</t>
    <phoneticPr fontId="2"/>
  </si>
  <si>
    <t>即着手可</t>
    <phoneticPr fontId="2"/>
  </si>
  <si>
    <t>ADR反映残の一括処理（4人日）。ADR-051 / 053 / 059 / 019 / 048 / 038 / 023 §L.8ほか。※本調査でNFR-COST-006（RHBK内包）とNFR-COMP-011（鍵交換90日）の要件表誤りも判明したため対象に追加を推奨</t>
    <phoneticPr fontId="2"/>
  </si>
  <si>
    <t>即着手可。ADR-051はD-18と一体で実施すること</t>
    <phoneticPr fontId="2"/>
  </si>
  <si>
    <t>小粒登録4点（1人日）</t>
    <phoneticPr fontId="2"/>
  </si>
  <si>
    <t>宙に浮いた参照8件の解消（2人日）</t>
    <phoneticPr fontId="2"/>
  </si>
  <si>
    <t>research波及文書の修正（1人日）</t>
    <phoneticPr fontId="2"/>
  </si>
  <si>
    <t>カード決済規格スコープのPhase 1除外化（2人日）。削除ではなく無効化注記で降格</t>
    <phoneticPr fontId="2"/>
  </si>
  <si>
    <t>即着手可。※注記『pci-dss-* / hearing-checklistは別スレッド編集中のため触らない』は2026-07-30時点の制約。現在も有効か確認してから着手すること</t>
    <phoneticPr fontId="2"/>
  </si>
  <si>
    <t>LDAP経路の対象外化（1人日）。削除ではなく降格、provisioned_by=ldapは将来用に予約</t>
    <phoneticPr fontId="2"/>
  </si>
  <si>
    <t>IdP表示順の属性とセレクター表示順（2人日、U2×U4合同）</t>
    <phoneticPr fontId="2"/>
  </si>
  <si>
    <t>追加本人確認を要求する操作の一覧（3人日）。アプリとの契約の前倒し確定</t>
    <phoneticPr fontId="2"/>
  </si>
  <si>
    <t>即着手可（B-APP-STEPUP-1は暫定でよい）</t>
    <phoneticPr fontId="2"/>
  </si>
  <si>
    <t>ID対応表の補助データベースの物理配置（2人日）</t>
    <phoneticPr fontId="2"/>
  </si>
  <si>
    <t>SCIM Facadeの実行形態（3人日、U3×U6×U9三者）</t>
    <phoneticPr fontId="2"/>
  </si>
  <si>
    <t>A-3の実測が入力。※ADR-062でidm-apiはLambdaと確定済みのため、Facadeも同じ判断枠に載るか要確認</t>
    <phoneticPr fontId="2"/>
  </si>
  <si>
    <t>管理APIの内部ルートとサービス間の認可（3人日）</t>
    <phoneticPr fontId="2"/>
  </si>
  <si>
    <t>即着手可。FR-INT-006の前提</t>
    <phoneticPr fontId="2"/>
  </si>
  <si>
    <t>メール送信基盤の設計（3人日）。送信上限解除・送信元ドメイン認証・Realm単位の設定管理</t>
    <phoneticPr fontId="2"/>
  </si>
  <si>
    <t>即着手可。FR-USER-012の前提。※DU-U6-12（6人日）は同じ題材だが工程が違う（D-6 = 基本設計244枠 / DU-U6-12 = 詳細設計+構築1,044枠）ため二重計上ではない</t>
    <phoneticPr fontId="2"/>
  </si>
  <si>
    <t>不正検知データベースの大阪方式と緊急アクセスの大阪実体（3人日、U7×U8）</t>
    <phoneticPr fontId="2"/>
  </si>
  <si>
    <t>P-05コールドDR転換の影響を織り込んで実施する</t>
    <phoneticPr fontId="2"/>
  </si>
  <si>
    <t>利用者属性の値定義と拡張属性の受入枠（2人日）</t>
    <phoneticPr fontId="2"/>
  </si>
  <si>
    <t>即着手可。質問状Q22（お客様固有の追加項目）の回答が入力</t>
    <phoneticPr fontId="2"/>
  </si>
  <si>
    <t>管理API周辺5点（5人日）。権限台帳×アプリ台帳のスキーマ統合 / 監査の二重書き / 承認画面の共用 / 外形監視の範囲 / 目標値の境界</t>
    <phoneticPr fontId="2"/>
  </si>
  <si>
    <t>即着手可。FR-ADMIN-004 / FR-ADMIN-005の前提</t>
    <phoneticPr fontId="2"/>
  </si>
  <si>
    <t>LDAP経路の追加処理設計。2026-07-30に廃止。工数0</t>
    <phoneticPr fontId="2"/>
  </si>
  <si>
    <t>なし（廃止済み）</t>
    <phoneticPr fontId="2"/>
  </si>
  <si>
    <t>SAML IdPの設定ひな形（2人日）</t>
    <phoneticPr fontId="2"/>
  </si>
  <si>
    <t>A-5の結果待ち</t>
    <phoneticPr fontId="2"/>
  </si>
  <si>
    <t>IdP証明書の更新運用設計（3人日）</t>
    <phoneticPr fontId="2"/>
  </si>
  <si>
    <t>A-9の結果待ち</t>
    <phoneticPr fontId="2"/>
  </si>
  <si>
    <t>ログイン失敗ロックと危険度判定の整合（2人日）</t>
    <phoneticPr fontId="2"/>
  </si>
  <si>
    <t>防御装置のフォーム項目添付と振り分け画面の文言最終稿（1人日）</t>
    <phoneticPr fontId="2"/>
  </si>
  <si>
    <t>特権昇格APIの配置（2人日）</t>
    <phoneticPr fontId="2"/>
  </si>
  <si>
    <t>F-4（ADR-040別スレッド完了）待ち。※ADR-040は2026-07-23にPhase 1実装対象へ格上げ済みのため、前提が変わっていないか要確認</t>
    <phoneticPr fontId="2"/>
  </si>
  <si>
    <t>ServiceNowの移行・並走・削除連鎖の設計詰め（4人日）</t>
    <phoneticPr fontId="2"/>
  </si>
  <si>
    <t>即着手可（B-SN群は暫定で骨子作成可）</t>
    <phoneticPr fontId="2"/>
  </si>
  <si>
    <t>利用者モデルの改訂（5人日）。全顧客利用者をお客様IdP側またはIdP-KC収容へ寄せ、ローカルは基盤運用者のみに限定。U2/U3/U4/U7の『管理者=ローカル』前提を書き換える</t>
    <phoneticPr fontId="2"/>
  </si>
  <si>
    <t>即着手可。2026-07-30決定の反映漏れであり、放置するとU4/U7の記述が誤ったまま残る。優先度高</t>
    <phoneticPr fontId="2"/>
  </si>
  <si>
    <t>災害対策のコールド化とデータ保全の改訂（8人日）。ADR-051全面改訂 + 大阪常時コスト削除 + 復旧手順書改訂</t>
    <phoneticPr fontId="2"/>
  </si>
  <si>
    <t>開発・検証環境の設計（8人日）。6アカウント体系は本番前提で、検証環境がどの単元にも無い</t>
    <phoneticPr fontId="2"/>
  </si>
  <si>
    <t>即着手可。※質問状Q57の非本番データ方針（B-TESTDATA-1）と連動</t>
    <phoneticPr fontId="2"/>
  </si>
  <si>
    <t>負荷試験の一元計画書（4人日）</t>
    <phoneticPr fontId="2"/>
  </si>
  <si>
    <t>即着手可。A-1のクリティカルパス上流のためW0で着手</t>
    <phoneticPr fontId="2"/>
  </si>
  <si>
    <t>継続的なコスト管理（4人日）。タグ戦略・予算アラート・テナント別原価・3年見積回収</t>
    <phoneticPr fontId="2"/>
  </si>
  <si>
    <t>即着手可。NFR-COST-001/002/004/005/008/009の受け皿になる</t>
    <phoneticPr fontId="2"/>
  </si>
  <si>
    <t>本番設定の詰め漏れ反映（5人日）。要求の待ち行列上限・公開パス遮断表・クラスタ内通信の証明書自動更新ほか</t>
    <phoneticPr fontId="2"/>
  </si>
  <si>
    <t>更新運用の精密化（5人日）。無停止更新の可否判定の自動化・全停止を伴う変更のメンテ窓設計</t>
    <phoneticPr fontId="2"/>
  </si>
  <si>
    <t>即着手可（A-11と連動）</t>
    <phoneticPr fontId="2"/>
  </si>
  <si>
    <t>データベース接続の公式部品採否（3人日）</t>
    <phoneticPr fontId="2"/>
  </si>
  <si>
    <t>クラスタ監査ログの中央集約制約（3人日）</t>
    <phoneticPr fontId="2"/>
  </si>
  <si>
    <t>即着手可。※禁則K-12（監査記録の詳細度を上げない）と整合させること</t>
    <phoneticPr fontId="2"/>
  </si>
  <si>
    <t>総当たり攻撃対策の戦略選定と利用者存在の推測対策の明文化（1人日）</t>
    <phoneticPr fontId="2"/>
  </si>
  <si>
    <t>ヒアリング質問状のパッケージ化（2人日）。※2026-08-14〜16に顧客説明資料57項目と質問状67問を作成済みのため、本タスクは実質着手済み</t>
    <phoneticPr fontId="2"/>
  </si>
  <si>
    <t>作成済みの2資材を成果物として紐づけ、残工数を再評価する（当初2人日 → 実質消化済みの見込み）</t>
    <phoneticPr fontId="2"/>
  </si>
  <si>
    <t>ヒアリング回答の反映（8人日）。前提表の更新と影響単元の改訂</t>
    <phoneticPr fontId="2"/>
  </si>
  <si>
    <t>質問状の送付と回収が前提。W0で送付する</t>
    <phoneticPr fontId="2"/>
  </si>
  <si>
    <t>法務系の起票と追撃（2人日）。基盤ベンダーとのデータ取扱い契約・鍵管理者合意・報告雛形・契約テンプレ</t>
    <phoneticPr fontId="2"/>
  </si>
  <si>
    <t>最優先で起票する。実質残ブロッカーの1つ（保守要員の海外からの閲覧）。質問状Q50と連動</t>
    <phoneticPr fontId="2"/>
  </si>
  <si>
    <t>ADR-040 / 036の別スレッド完了後の統合（2人日）</t>
    <phoneticPr fontId="2"/>
  </si>
  <si>
    <t>別スレッドの完了を確認する。※ADR-040は2026-07-23にPhase 1実装対象へ格上げ済みのため『対象外の残存参照整理』というタスク説明自体が古い可能性がある</t>
    <phoneticPr fontId="2"/>
  </si>
  <si>
    <t>運用手順書Phase 1必須13冊の執筆（16人日）</t>
    <phoneticPr fontId="2"/>
  </si>
  <si>
    <t>即着手可。仕様は各単元で確定済み。W1で並行実施</t>
    <phoneticPr fontId="2"/>
  </si>
  <si>
    <t>残り22冊の手順書（参考20人日、総計外）。リリース後3か月以内</t>
    <phoneticPr fontId="2"/>
  </si>
  <si>
    <t>基本設計クローズの対象外。Excelでも総計外として区別する</t>
    <phoneticPr fontId="2"/>
  </si>
  <si>
    <t>呼び出し当番と通知経路の実体（2人日）。呼び出しサービスの契約・当番表</t>
    <phoneticPr fontId="2"/>
  </si>
  <si>
    <t>即着手可。※質問状Q48（24時間対応の開始時期）の回答で規模が変わる</t>
    <phoneticPr fontId="2"/>
  </si>
  <si>
    <t>構成図の清書（4人日）。mermaidからAWSアイコン版へ、旧EKS図の置換</t>
    <phoneticPr fontId="2"/>
  </si>
  <si>
    <t>設計書に記載なし。要調査。Git全文検索でヒット0件（doc/配下すべて）。名称から退職者遮断（deprovisioning）関連と推測されるが、Git側の該当タスクは00aのD系ではなくU9 D-U9-17（退職者遮断バッチ = クラスタ内CronJob、決定済み）およびDU-U3-05 / ADR-064（削除伝播outbox）</t>
    <phoneticPr fontId="2"/>
  </si>
  <si>
    <t>Excel側でIDの由来を確認する。既存のD-U9-17 / ADR-064と重複するなら統合し、別物ならGit側に起票する</t>
    <phoneticPr fontId="2"/>
  </si>
  <si>
    <t>設計書に記載なし。要調査。Git全文検索でヒット0件。名称から管理API（idm-api）関連と推測されるが、Git側の該当はADR-062（実行形態 = Lambda）/ ADR-063（ブランド側 #2主役）/ 00a D-5（内部ルート）/ D-9（周辺5点）</t>
    <phoneticPr fontId="2"/>
  </si>
  <si>
    <t>Excel側でIDの由来を確認する。上記いずれかと重複するなら統合する</t>
    <phoneticPr fontId="2"/>
  </si>
  <si>
    <t>設計書に記載なし。要調査。Git全文検索でヒット0件。名称からブランドユニット関連の前提（P-xx）と推測されるが、Baselineの前提表はP-01〜P-18でP-BRAND-1は存在しない。ADR-063（ブランドユニット）に対応する前提は未採番</t>
    <phoneticPr fontId="2"/>
  </si>
  <si>
    <t>Excel側でIDの由来を確認する。ADR-063の前提を正式にP-19としてBaselineに採番することを推奨</t>
    <phoneticPr fontId="2"/>
  </si>
  <si>
    <t>要件定義</t>
    <phoneticPr fontId="2"/>
  </si>
  <si>
    <t>認証方式</t>
    <phoneticPr fontId="2"/>
  </si>
  <si>
    <t>決定内容を設計文書へ反映し、状況を確定へ更新</t>
    <phoneticPr fontId="2"/>
  </si>
  <si>
    <t>確定（反映のみ）</t>
    <phoneticPr fontId="2"/>
  </si>
  <si>
    <t>FR-AUTH 認証フロー/Grant Type</t>
    <phoneticPr fontId="2"/>
  </si>
  <si>
    <t>FR-AUTH-001</t>
    <phoneticPr fontId="2"/>
  </si>
  <si>
    <t>要件表</t>
    <phoneticPr fontId="2"/>
  </si>
  <si>
    <t>requirements/functional-requirements.md §1.1</t>
    <phoneticPr fontId="2"/>
  </si>
  <si>
    <t>FR-AUTH-002</t>
    <phoneticPr fontId="2"/>
  </si>
  <si>
    <t>サーバー側で画面を組み立てるWebアプリのログイン方式をどうするか</t>
    <phoneticPr fontId="2"/>
  </si>
  <si>
    <t>FR-AUTH-003</t>
    <phoneticPr fontId="2"/>
  </si>
  <si>
    <t>できるので確定とする</t>
    <phoneticPr fontId="2"/>
  </si>
  <si>
    <t>本基盤の対象外として明記し、責任分界を文書化</t>
    <phoneticPr fontId="2"/>
  </si>
  <si>
    <t>スコープ外</t>
    <phoneticPr fontId="2"/>
  </si>
  <si>
    <t>FR-AUTH-004</t>
    <phoneticPr fontId="2"/>
  </si>
  <si>
    <t>スコープ外とする（本認証基盤ではなくアプリで実施）</t>
    <phoneticPr fontId="2"/>
  </si>
  <si>
    <t>あるシステム向けの通行証を別システム向けに引き換える仕組みが必要か</t>
    <phoneticPr fontId="2"/>
  </si>
  <si>
    <t>アプリチームへ確認事項を提示して回答を得る</t>
    <phoneticPr fontId="2"/>
  </si>
  <si>
    <t>社内ヒアリング（アプリチーム）</t>
    <phoneticPr fontId="2"/>
  </si>
  <si>
    <t>FR-AUTH-005</t>
    <phoneticPr fontId="2"/>
  </si>
  <si>
    <t>テレビやプリンタのように文字入力が難しい機器からログインする必要があるか</t>
    <phoneticPr fontId="2"/>
  </si>
  <si>
    <t>FR-AUTH-006</t>
    <phoneticPr fontId="2"/>
  </si>
  <si>
    <t>不要</t>
    <phoneticPr fontId="2"/>
  </si>
  <si>
    <t>mTLS Client Authentication（RFC 8705）</t>
    <phoneticPr fontId="2"/>
  </si>
  <si>
    <t>電子証明書を使ってアプリ自身の身元を証明させる必要があるか</t>
    <phoneticPr fontId="2"/>
  </si>
  <si>
    <t>FR-AUTH-007</t>
    <phoneticPr fontId="2"/>
  </si>
  <si>
    <t>ROPC（Password Grant）</t>
    <phoneticPr fontId="2"/>
  </si>
  <si>
    <t>IDとパスワードを直接アプリに預ける古い方式は使わない、という方針を確認する</t>
    <phoneticPr fontId="2"/>
  </si>
  <si>
    <t>FR-AUTH-008</t>
    <phoneticPr fontId="2"/>
  </si>
  <si>
    <t>パスワードポリシー（最小長・複雑性）</t>
    <phoneticPr fontId="2"/>
  </si>
  <si>
    <t>パスワードの最低文字数や、記号・数字を混ぜる条件をどう決めるか</t>
    <phoneticPr fontId="2"/>
  </si>
  <si>
    <t>FR-AUTH パスワード・ローカルユーザー管理</t>
    <phoneticPr fontId="2"/>
  </si>
  <si>
    <t>FR-AUTH-009</t>
    <phoneticPr fontId="2"/>
  </si>
  <si>
    <t>決まってるのでOK</t>
    <phoneticPr fontId="2"/>
  </si>
  <si>
    <t>requirements/functional-requirements.md §1.2</t>
    <phoneticPr fontId="2"/>
  </si>
  <si>
    <t>パスワード履歴（N個と一致禁止）</t>
    <phoneticPr fontId="2"/>
  </si>
  <si>
    <t>過去に使ったパスワードの再利用を禁止するか。禁止するなら何世代さかのぼるか</t>
    <phoneticPr fontId="2"/>
  </si>
  <si>
    <t>質問項目を確定し顧客へ提示して回答を得る</t>
    <phoneticPr fontId="2"/>
  </si>
  <si>
    <t>顧客ヒアリング</t>
    <phoneticPr fontId="2"/>
  </si>
  <si>
    <t>FR-AUTH-010</t>
    <phoneticPr fontId="2"/>
  </si>
  <si>
    <t>アカウントロック（連続失敗）</t>
    <phoneticPr fontId="2"/>
  </si>
  <si>
    <t>ログイン失敗が続いたときアカウントを一時的に止めるか。何回で止め、いつ解除するか</t>
    <phoneticPr fontId="2"/>
  </si>
  <si>
    <t>FR-AUTH-011</t>
    <phoneticPr fontId="2"/>
  </si>
  <si>
    <t>パスワード有効期限</t>
    <phoneticPr fontId="2"/>
  </si>
  <si>
    <t>パスワードに有効期限を設けて定期変更を求めるか。何日で切るか</t>
    <phoneticPr fontId="2"/>
  </si>
  <si>
    <t>FR-AUTH-012</t>
    <phoneticPr fontId="2"/>
  </si>
  <si>
    <t>セルフサービスパスワードリセット</t>
    <phoneticPr fontId="2"/>
  </si>
  <si>
    <t>利用者が自分でパスワードを再設定できるようにするか。その際の本人確認をどう行うか</t>
    <phoneticPr fontId="2"/>
  </si>
  <si>
    <t>FR-AUTH-013</t>
    <phoneticPr fontId="2"/>
  </si>
  <si>
    <t>初期パスワード強制変更</t>
    <phoneticPr fontId="2"/>
  </si>
  <si>
    <t>初回ログイン時にパスワードの変更を強制するか</t>
    <phoneticPr fontId="2"/>
  </si>
  <si>
    <t>FR-AUTH-014</t>
    <phoneticPr fontId="2"/>
  </si>
  <si>
    <t>管理機能・画面</t>
    <phoneticPr fontId="2"/>
  </si>
  <si>
    <t>管理コンソールUI</t>
    <phoneticPr fontId="2"/>
  </si>
  <si>
    <t>運用担当者が使う管理画面を、どこまで自前で作るか</t>
    <phoneticPr fontId="2"/>
  </si>
  <si>
    <t>FR-ADMIN 基盤設定管理</t>
    <phoneticPr fontId="2"/>
  </si>
  <si>
    <t>FR-ADMIN-001</t>
    <phoneticPr fontId="2"/>
  </si>
  <si>
    <t>requirements/functional-requirements.md §7.1</t>
    <phoneticPr fontId="2"/>
  </si>
  <si>
    <t>テナント追加・削除</t>
    <phoneticPr fontId="2"/>
  </si>
  <si>
    <t>顧客テナントの追加・削除を誰がどの手順で行うか</t>
    <phoneticPr fontId="2"/>
  </si>
  <si>
    <t>社内判断待ち</t>
    <phoneticPr fontId="2"/>
  </si>
  <si>
    <t>FR-ADMIN-002</t>
    <phoneticPr fontId="2"/>
  </si>
  <si>
    <t>役割分担で決定するが未定</t>
    <phoneticPr fontId="2"/>
  </si>
  <si>
    <t>IdP追加・削除・更新</t>
    <phoneticPr fontId="2"/>
  </si>
  <si>
    <t>顧客のID基盤の登録・変更・削除を誰がどの手順で行うか</t>
    <phoneticPr fontId="2"/>
  </si>
  <si>
    <t>FR-ADMIN-003</t>
    <phoneticPr fontId="2"/>
  </si>
  <si>
    <t>クライアント（App）管理</t>
    <phoneticPr fontId="2"/>
  </si>
  <si>
    <t>アプリの登録と設定変更を誰がどの手順で行うか</t>
    <phoneticPr fontId="2"/>
  </si>
  <si>
    <t>FR-ADMIN-004</t>
    <phoneticPr fontId="2"/>
  </si>
  <si>
    <t>ロール定義管理</t>
    <phoneticPr fontId="2"/>
  </si>
  <si>
    <t>どんな役割を用意するかの定義を、誰が管理するか</t>
    <phoneticPr fontId="2"/>
  </si>
  <si>
    <t>FR-ADMIN-005</t>
    <phoneticPr fontId="2"/>
  </si>
  <si>
    <t>パーミッション管理（細粒度）</t>
    <phoneticPr fontId="2"/>
  </si>
  <si>
    <t>取り得る選択肢を整理して提示し、顧客または社内で選択</t>
    <phoneticPr fontId="2"/>
  </si>
  <si>
    <t>選択肢提示</t>
    <phoneticPr fontId="2"/>
  </si>
  <si>
    <t>FR-ADMIN 権限委譲・カスタマイズ</t>
    <phoneticPr fontId="2"/>
  </si>
  <si>
    <t>FR-ADMIN-006</t>
    <phoneticPr fontId="2"/>
  </si>
  <si>
    <t>選択肢を提示する。新規列で選択肢を入れてほしい</t>
    <phoneticPr fontId="2"/>
  </si>
  <si>
    <t>requirements/functional-requirements.md §7.3</t>
    <phoneticPr fontId="2"/>
  </si>
  <si>
    <t>監査ログ閲覧</t>
    <phoneticPr fontId="2"/>
  </si>
  <si>
    <t>誰がいつ何をしたかの記録を、誰がどの画面で見られるようにするか</t>
    <phoneticPr fontId="2"/>
  </si>
  <si>
    <t>調査のうえ説明資料を作成し、それを用いて顧客ヒアリング</t>
    <phoneticPr fontId="2"/>
  </si>
  <si>
    <t>資料作成→ヒアリング</t>
    <phoneticPr fontId="2"/>
  </si>
  <si>
    <t>FR-ADMIN 監査・可視性</t>
    <phoneticPr fontId="2"/>
  </si>
  <si>
    <t>FR-ADMIN-007</t>
    <phoneticPr fontId="2"/>
  </si>
  <si>
    <t>requirements/functional-requirements.md §7.2</t>
    <phoneticPr fontId="2"/>
  </si>
  <si>
    <t>設定変更履歴</t>
    <phoneticPr fontId="2"/>
  </si>
  <si>
    <t>設定変更の履歴をどこまで残し、いつまで保存するか</t>
    <phoneticPr fontId="2"/>
  </si>
  <si>
    <t>FR-ADMIN-008</t>
    <phoneticPr fontId="2"/>
  </si>
  <si>
    <t>テナント別設定の分離</t>
    <phoneticPr fontId="2"/>
  </si>
  <si>
    <t>FR-ADMIN-009</t>
    <phoneticPr fontId="2"/>
  </si>
  <si>
    <t>Realm分離はしない。Organizationsで分離</t>
    <phoneticPr fontId="2"/>
  </si>
  <si>
    <t>管理者ロール（RBAC for Admin）</t>
    <phoneticPr fontId="2"/>
  </si>
  <si>
    <t>運用担当者側の役割分担（見るだけ／変更できる等）をどう分けるか</t>
    <phoneticPr fontId="2"/>
  </si>
  <si>
    <t>FR-ADMIN-010</t>
    <phoneticPr fontId="2"/>
  </si>
  <si>
    <t>テナント管理者の委譲（顧客の自社運用）</t>
    <phoneticPr fontId="2"/>
  </si>
  <si>
    <t>顧客自身に自社の利用者管理を任せるか。任せる範囲をどこまでにするか</t>
    <phoneticPr fontId="2"/>
  </si>
  <si>
    <t>FR-ADMIN-011</t>
    <phoneticPr fontId="2"/>
  </si>
  <si>
    <t>カスタマイズ可能なログインUI</t>
    <phoneticPr fontId="2"/>
  </si>
  <si>
    <t>ログイン画面を顧客ごとのロゴや配色に変えられるようにするか。どこまで変えられるか</t>
    <phoneticPr fontId="2"/>
  </si>
  <si>
    <t>FR-ADMIN-012</t>
    <phoneticPr fontId="2"/>
  </si>
  <si>
    <t>認可・権限</t>
    <phoneticPr fontId="2"/>
  </si>
  <si>
    <t>JWTクレームベース認可</t>
    <phoneticPr fontId="2"/>
  </si>
  <si>
    <t>通行証に含まれる情報をもとに各アプリが権限を判定する方式でよいか</t>
    <phoneticPr fontId="2"/>
  </si>
  <si>
    <t>FR-AUTHZ クレームベース基本認可</t>
    <phoneticPr fontId="2"/>
  </si>
  <si>
    <t>FR-AUTHZ-001</t>
    <phoneticPr fontId="2"/>
  </si>
  <si>
    <t>requirements/functional-requirements.md §5.1</t>
    <phoneticPr fontId="2"/>
  </si>
  <si>
    <t>tenant_idによるテナント分離</t>
    <phoneticPr fontId="2"/>
  </si>
  <si>
    <t>顧客ごとのデータが混ざらないよう、所属情報を通行証に必ず載せるか</t>
    <phoneticPr fontId="2"/>
  </si>
  <si>
    <t>FR-AUTHZ-002</t>
    <phoneticPr fontId="2"/>
  </si>
  <si>
    <t>rolesクレームによるロール認可</t>
    <phoneticPr fontId="2"/>
  </si>
  <si>
    <t>役割（ロール）の情報を通行証に載せて権限判定に使うか</t>
    <phoneticPr fontId="2"/>
  </si>
  <si>
    <t>FR-AUTHZ-003</t>
    <phoneticPr fontId="2"/>
  </si>
  <si>
    <t>ロール階層（継承）</t>
    <phoneticPr fontId="2"/>
  </si>
  <si>
    <t>役割に上下関係（上位が下位を兼ねる）を持たせるか</t>
    <phoneticPr fontId="2"/>
  </si>
  <si>
    <t>FR-AUTHZ-004</t>
    <phoneticPr fontId="2"/>
  </si>
  <si>
    <t>scopeベース認可（M2M）</t>
    <phoneticPr fontId="2"/>
  </si>
  <si>
    <t>システム同士の通信でも、呼び出せる機能の範囲を絞り込む仕組みを使うか</t>
    <phoneticPr fontId="2"/>
  </si>
  <si>
    <t>FR-AUTHZ-005</t>
    <phoneticPr fontId="2"/>
  </si>
  <si>
    <t>カスタムクレーム注入（任意属性）</t>
    <phoneticPr fontId="2"/>
  </si>
  <si>
    <t>顧客固有の項目を通行証に追加できるようにするか。追加を認める範囲をどこまでにするか</t>
    <phoneticPr fontId="2"/>
  </si>
  <si>
    <t>FR-AUTHZ-006</t>
    <phoneticPr fontId="2"/>
  </si>
  <si>
    <t>API Gateway認可統合（Lambda Authorizer）</t>
    <phoneticPr fontId="2"/>
  </si>
  <si>
    <t>AWSのAPI入口で通行証を検証する共通部品を用意するか</t>
    <phoneticPr fontId="2"/>
  </si>
  <si>
    <t>FR-AUTHZ-007</t>
    <phoneticPr fontId="2"/>
  </si>
  <si>
    <t>マルチイシュア対応（複数User Pool / Realm）</t>
    <phoneticPr fontId="2"/>
  </si>
  <si>
    <t>FR-AUTHZ-008</t>
    <phoneticPr fontId="2"/>
  </si>
  <si>
    <t>何言ってるか解説して</t>
    <phoneticPr fontId="2"/>
  </si>
  <si>
    <t>リソースレベル認可（UMA 2.0 / Fine-grained）</t>
    <phoneticPr fontId="2"/>
  </si>
  <si>
    <t>FR-AUTHZ 細粒度認可</t>
    <phoneticPr fontId="2"/>
  </si>
  <si>
    <t>FR-AUTHZ-009</t>
    <phoneticPr fontId="2"/>
  </si>
  <si>
    <t>あったとしてもアプリが判断するので対応しない</t>
    <phoneticPr fontId="2"/>
  </si>
  <si>
    <t>requirements/functional-requirements.md §5.2</t>
    <phoneticPr fontId="2"/>
  </si>
  <si>
    <t>動的属性ベース認可（ABAC）</t>
    <phoneticPr fontId="2"/>
  </si>
  <si>
    <t>FR-AUTHZ-010</t>
    <phoneticPr fontId="2"/>
  </si>
  <si>
    <t>外部ID連携</t>
    <phoneticPr fontId="2"/>
  </si>
  <si>
    <t>Auth0 OIDC IdP連携</t>
    <phoneticPr fontId="2"/>
  </si>
  <si>
    <t>既存の認証サービス（Auth0）と連携してログインさせるか</t>
    <phoneticPr fontId="2"/>
  </si>
  <si>
    <t>FR-FED IdP接続種別</t>
    <phoneticPr fontId="2"/>
  </si>
  <si>
    <t>FR-FED-001</t>
    <phoneticPr fontId="2"/>
  </si>
  <si>
    <t>requirements/functional-requirements.md §2.1</t>
    <phoneticPr fontId="2"/>
  </si>
  <si>
    <t>Entra ID（Azure AD）OIDC連携</t>
    <phoneticPr fontId="2"/>
  </si>
  <si>
    <t>顧客が使っているMicrosoftのID基盤と連携するか。最優先で確認したい項目</t>
    <phoneticPr fontId="2"/>
  </si>
  <si>
    <t>FR-FED-002</t>
    <phoneticPr fontId="2"/>
  </si>
  <si>
    <t>Okta OIDC連携</t>
    <phoneticPr fontId="2"/>
  </si>
  <si>
    <t>顧客が使っているOktaと連携するか</t>
    <phoneticPr fontId="2"/>
  </si>
  <si>
    <t>FR-FED-003</t>
    <phoneticPr fontId="2"/>
  </si>
  <si>
    <t>Google Workspace OIDC連携</t>
    <phoneticPr fontId="2"/>
  </si>
  <si>
    <t>Google Workspaceのアカウントでログインできるようにするか</t>
    <phoneticPr fontId="2"/>
  </si>
  <si>
    <t>FR-FED-004</t>
    <phoneticPr fontId="2"/>
  </si>
  <si>
    <t>SAML 2.0 IdPとして受け入れ（SPモード）</t>
    <phoneticPr fontId="2"/>
  </si>
  <si>
    <t>顧客側の旧来方式（SAML）のID基盤を受け入れる必要があるか</t>
    <phoneticPr fontId="2"/>
  </si>
  <si>
    <t>FR-FED-005</t>
    <phoneticPr fontId="2"/>
  </si>
  <si>
    <t>SAML 2.0 IdPとして発行（IdPモード）</t>
    <phoneticPr fontId="2"/>
  </si>
  <si>
    <t>自分たちが旧来方式（SAML）のID提供元として振る舞う必要があるか</t>
    <phoneticPr fontId="2"/>
  </si>
  <si>
    <t>FR-FED-006</t>
    <phoneticPr fontId="2"/>
  </si>
  <si>
    <t>LDAP / AD 直接連携</t>
    <phoneticPr fontId="2"/>
  </si>
  <si>
    <t>社内のディレクトリサーバー（LDAP/AD）と直接つなぐ必要があるか</t>
    <phoneticPr fontId="2"/>
  </si>
  <si>
    <t>FR-FED-007</t>
    <phoneticPr fontId="2"/>
  </si>
  <si>
    <t>不要で確定</t>
    <phoneticPr fontId="2"/>
  </si>
  <si>
    <t>JITプロビジョニング</t>
    <phoneticPr fontId="2"/>
  </si>
  <si>
    <t>FR-FED フェデレーションユーザー処理</t>
    <phoneticPr fontId="2"/>
  </si>
  <si>
    <t>FR-FED-008</t>
    <phoneticPr fontId="2"/>
  </si>
  <si>
    <t>JITとSCIM併用（意図が違ったら指摘して）</t>
    <phoneticPr fontId="2"/>
  </si>
  <si>
    <t>requirements/functional-requirements.md §2.2</t>
    <phoneticPr fontId="2"/>
  </si>
  <si>
    <t>属性マッピング / クレーム変換</t>
    <phoneticPr fontId="2"/>
  </si>
  <si>
    <t>FR-FED-009</t>
    <phoneticPr fontId="2"/>
  </si>
  <si>
    <t>統一JWTの形式の話であればようヒアリング</t>
    <phoneticPr fontId="2"/>
  </si>
  <si>
    <t>複数IdP並行運用（マルチテナント）</t>
    <phoneticPr fontId="2"/>
  </si>
  <si>
    <t>複数の顧客のID基盤を同時に並行運用する前提でよいか</t>
    <phoneticPr fontId="2"/>
  </si>
  <si>
    <t>FR-FED マルチテナント運用</t>
    <phoneticPr fontId="2"/>
  </si>
  <si>
    <t>FR-FED-010</t>
    <phoneticPr fontId="2"/>
  </si>
  <si>
    <t>requirements/functional-requirements.md §2.3</t>
    <phoneticPr fontId="2"/>
  </si>
  <si>
    <t>顧客追加時のオンボーディングフロー</t>
    <phoneticPr fontId="2"/>
  </si>
  <si>
    <t>新しい顧客を追加するときの申請から開通までの手順と、所要日数をどうするか</t>
    <phoneticPr fontId="2"/>
  </si>
  <si>
    <t>FR-FED-011</t>
    <phoneticPr fontId="2"/>
  </si>
  <si>
    <t>フェデレーション時のMFA重複回避</t>
    <phoneticPr fontId="2"/>
  </si>
  <si>
    <t>顧客側で追加認証を済ませた利用者に、こちらで二重に求めないための条件をどうするか</t>
    <phoneticPr fontId="2"/>
  </si>
  <si>
    <t>FR-FED-012</t>
    <phoneticPr fontId="2"/>
  </si>
  <si>
    <t>ログイン画面でIdP選択UX</t>
    <phoneticPr fontId="2"/>
  </si>
  <si>
    <t>ログイン画面で所属を利用者に選ばせるか、メールアドレスから自動判定するか</t>
    <phoneticPr fontId="2"/>
  </si>
  <si>
    <t>FR-FED-013</t>
    <phoneticPr fontId="2"/>
  </si>
  <si>
    <t>Custom Domainでのfederation</t>
    <phoneticPr fontId="2"/>
  </si>
  <si>
    <t>顧客ごとの独自ドメイン名でログイン画面を出す必要があるか</t>
    <phoneticPr fontId="2"/>
  </si>
  <si>
    <t>FR-FED-014</t>
    <phoneticPr fontId="2"/>
  </si>
  <si>
    <t>外部連携・API</t>
    <phoneticPr fontId="2"/>
  </si>
  <si>
    <t>OIDC 1.0 / OAuth 2.0 標準準拠</t>
    <phoneticPr fontId="2"/>
  </si>
  <si>
    <t>FR-INT プロトコル準拠</t>
    <phoneticPr fontId="2"/>
  </si>
  <si>
    <t>FR-INT-001</t>
    <phoneticPr fontId="2"/>
  </si>
  <si>
    <t>requirements/functional-requirements.md §8.1</t>
    <phoneticPr fontId="2"/>
  </si>
  <si>
    <t>OIDC Discovery（.well-known）</t>
    <phoneticPr fontId="2"/>
  </si>
  <si>
    <t>FR-INT-002</t>
    <phoneticPr fontId="2"/>
  </si>
  <si>
    <t>JWKS公開エンドポイント</t>
    <phoneticPr fontId="2"/>
  </si>
  <si>
    <t>FR-INT-003</t>
    <phoneticPr fontId="2"/>
  </si>
  <si>
    <t>JWKSのエンドポイントの話であれば公開は必要。（APIGWのネイティブが外出しなので）</t>
    <phoneticPr fontId="2"/>
  </si>
  <si>
    <t>SAML 2.0 メタデータ</t>
    <phoneticPr fontId="2"/>
  </si>
  <si>
    <t>FR-INT-004</t>
    <phoneticPr fontId="2"/>
  </si>
  <si>
    <t>IdPへの通信でSAMLは想定しているがアプリがわとブローカーの通信はOIDC</t>
    <phoneticPr fontId="2"/>
  </si>
  <si>
    <t>FR-INT API・IaC・Webhook</t>
    <phoneticPr fontId="2"/>
  </si>
  <si>
    <t>FR-INT-005</t>
    <phoneticPr fontId="2"/>
  </si>
  <si>
    <t>別途資料で説明してヒアリング。認証基盤からアプリに何か通知が必要か。必要な場合は作り込みが必要
非同期でとりにきてくれればいいけどというのがある</t>
    <phoneticPr fontId="2"/>
  </si>
  <si>
    <t>requirements/functional-requirements.md §8.3</t>
    <phoneticPr fontId="2"/>
  </si>
  <si>
    <t>管理REST API</t>
    <phoneticPr fontId="2"/>
  </si>
  <si>
    <t>FR-INT-006</t>
    <phoneticPr fontId="2"/>
  </si>
  <si>
    <t>記載通りの方法で確定だが、IdP側の専用アプリ（誰が作るか未定）でラップして公開</t>
    <phoneticPr fontId="2"/>
  </si>
  <si>
    <t>API Gateway / Lambda Authorizer統合</t>
    <phoneticPr fontId="2"/>
  </si>
  <si>
    <t>AWSのAPI入口との接続方法を標準化するか</t>
    <phoneticPr fontId="2"/>
  </si>
  <si>
    <t>FR-INT-007</t>
    <phoneticPr fontId="2"/>
  </si>
  <si>
    <t>記載通り確定</t>
    <phoneticPr fontId="2"/>
  </si>
  <si>
    <t>監査ログ外部出力（CloudWatch / S3 / Kinesis）</t>
    <phoneticPr fontId="2"/>
  </si>
  <si>
    <t>操作記録を外部にどの形式・どの頻度で出すか</t>
    <phoneticPr fontId="2"/>
  </si>
  <si>
    <t>FR-INT ログ・監視</t>
    <phoneticPr fontId="2"/>
  </si>
  <si>
    <t>FR-INT-008</t>
    <phoneticPr fontId="2"/>
  </si>
  <si>
    <t>必須で確定</t>
    <phoneticPr fontId="2"/>
  </si>
  <si>
    <t>requirements/functional-requirements.md §8.2</t>
    <phoneticPr fontId="2"/>
  </si>
  <si>
    <t>監査ログSIEM連携（Splunk / Datadog）</t>
    <phoneticPr fontId="2"/>
  </si>
  <si>
    <t>FR-INT-009</t>
    <phoneticPr fontId="2"/>
  </si>
  <si>
    <t>Terraform / IaC管理</t>
    <phoneticPr fontId="2"/>
  </si>
  <si>
    <t>FR-INT-010</t>
    <phoneticPr fontId="2"/>
  </si>
  <si>
    <t>追加確認（多要素）</t>
    <phoneticPr fontId="2"/>
  </si>
  <si>
    <t>TOTP（Google Authenticator等）</t>
    <phoneticPr fontId="2"/>
  </si>
  <si>
    <t>スマホの認証アプリによる追加確認を用意するか</t>
    <phoneticPr fontId="2"/>
  </si>
  <si>
    <t>FR-MFA MFA要素</t>
    <phoneticPr fontId="2"/>
  </si>
  <si>
    <t>FR-MFA-001</t>
    <phoneticPr fontId="2"/>
  </si>
  <si>
    <t>requirements/functional-requirements.md §3.1</t>
    <phoneticPr fontId="2"/>
  </si>
  <si>
    <t>WebAuthn / FIDO2（Passkeys）</t>
    <phoneticPr fontId="2"/>
  </si>
  <si>
    <t>指紋・顔認証やセキュリティキーを使ったパスワード不要のログインを用意するか</t>
    <phoneticPr fontId="2"/>
  </si>
  <si>
    <t>FR-MFA-002</t>
    <phoneticPr fontId="2"/>
  </si>
  <si>
    <t>SMS OTP</t>
    <phoneticPr fontId="2"/>
  </si>
  <si>
    <t>SMS（携帯メッセージ）による追加確認を用意するか。費用と安全性をどう見るか</t>
    <phoneticPr fontId="2"/>
  </si>
  <si>
    <t>FR-MFA-003</t>
    <phoneticPr fontId="2"/>
  </si>
  <si>
    <t>メールOTP</t>
    <phoneticPr fontId="2"/>
  </si>
  <si>
    <t>メールによる追加確認を用意するか</t>
    <phoneticPr fontId="2"/>
  </si>
  <si>
    <t>FR-MFA-004</t>
    <phoneticPr fontId="2"/>
  </si>
  <si>
    <t>バックアップコード</t>
    <phoneticPr fontId="2"/>
  </si>
  <si>
    <t>端末を失くしたとき用の予備コードを発行するか</t>
    <phoneticPr fontId="2"/>
  </si>
  <si>
    <t>FR-MFA-005</t>
    <phoneticPr fontId="2"/>
  </si>
  <si>
    <t>条件付きMFA（IP / リスクベース）</t>
    <phoneticPr fontId="2"/>
  </si>
  <si>
    <t>普段と違う場所や不審な状況のときだけ追加確認を求めるか。その判定基準をどうするか</t>
    <phoneticPr fontId="2"/>
  </si>
  <si>
    <t>FR-MFA MFA適用ポリシー</t>
    <phoneticPr fontId="2"/>
  </si>
  <si>
    <t>FR-MFA-006</t>
    <phoneticPr fontId="2"/>
  </si>
  <si>
    <t>requirements/functional-requirements.md §3.2</t>
    <phoneticPr fontId="2"/>
  </si>
  <si>
    <t>MFA強制 / 任意の切替（ロール単位）</t>
    <phoneticPr fontId="2"/>
  </si>
  <si>
    <t>追加確認を全員必須にするか、役割ごとに任意とするか</t>
    <phoneticPr fontId="2"/>
  </si>
  <si>
    <t>FR-MFA-007</t>
    <phoneticPr fontId="2"/>
  </si>
  <si>
    <t>端末記憶（Trusted Device）</t>
    <phoneticPr fontId="2"/>
  </si>
  <si>
    <t>一度確認した端末を記憶して次回以降の追加確認を省くか。記憶する期間をどうするか</t>
    <phoneticPr fontId="2"/>
  </si>
  <si>
    <t>FR-MFA-008</t>
    <phoneticPr fontId="2"/>
  </si>
  <si>
    <t>管理者のMFA強制</t>
    <phoneticPr fontId="2"/>
  </si>
  <si>
    <t>管理者権限を持つ人には追加確認を必須にするか</t>
    <phoneticPr fontId="2"/>
  </si>
  <si>
    <t>FR-MFA-009</t>
    <phoneticPr fontId="2"/>
  </si>
  <si>
    <t>SSO・セッション</t>
    <phoneticPr fontId="2"/>
  </si>
  <si>
    <t>同一IdP内の複数Client間SSO</t>
    <phoneticPr fontId="2"/>
  </si>
  <si>
    <t>一度ログインすれば複数のアプリを使い回せる状態にするか</t>
    <phoneticPr fontId="2"/>
  </si>
  <si>
    <t>FR-SSO SSO</t>
    <phoneticPr fontId="2"/>
  </si>
  <si>
    <t>FR-SSO-001</t>
    <phoneticPr fontId="2"/>
  </si>
  <si>
    <t>必要</t>
    <phoneticPr fontId="2"/>
  </si>
  <si>
    <t>requirements/functional-requirements.md §4.1</t>
    <phoneticPr fontId="2"/>
  </si>
  <si>
    <t>Auth0/Entra経由のクロスIdP SSO</t>
    <phoneticPr fontId="2"/>
  </si>
  <si>
    <t>顧客側のID基盤を経由した場合も同じく使い回せるようにするか</t>
    <phoneticPr fontId="2"/>
  </si>
  <si>
    <t>FR-SSO-002</t>
    <phoneticPr fontId="2"/>
  </si>
  <si>
    <t>ローカルログアウト（アプリCookie削除のみ）</t>
    <phoneticPr fontId="2"/>
  </si>
  <si>
    <t>ログアウト操作でアプリ内の状態だけを消す動作を用意するか</t>
    <phoneticPr fontId="2"/>
  </si>
  <si>
    <t>FR-SSO ログアウト</t>
    <phoneticPr fontId="2"/>
  </si>
  <si>
    <t>FR-SSO-003</t>
    <phoneticPr fontId="2"/>
  </si>
  <si>
    <t>requirements/functional-requirements.md §4.2</t>
    <phoneticPr fontId="2"/>
  </si>
  <si>
    <t>IdPセッション破棄（OIDC RP-Initiated Logout）</t>
    <phoneticPr fontId="2"/>
  </si>
  <si>
    <t>ログアウト時に認証基盤側のログイン状態も併せて消すか</t>
    <phoneticPr fontId="2"/>
  </si>
  <si>
    <t>FR-SSO-004</t>
    <phoneticPr fontId="2"/>
  </si>
  <si>
    <t>フェデレーションIdPセッション破棄（連動ログアウト）</t>
    <phoneticPr fontId="2"/>
  </si>
  <si>
    <t>ログアウト時に顧客側のID基盤のログイン状態まで消すか。どこまで連動させるか</t>
    <phoneticPr fontId="2"/>
  </si>
  <si>
    <t>FR-SSO-005</t>
    <phoneticPr fontId="2"/>
  </si>
  <si>
    <t>Front-Channel Logout</t>
    <phoneticPr fontId="2"/>
  </si>
  <si>
    <t>利用者のブラウザ経由で各アプリに一斉ログアウトを伝える方式を使うか</t>
    <phoneticPr fontId="2"/>
  </si>
  <si>
    <t>FR-SSO-006</t>
    <phoneticPr fontId="2"/>
  </si>
  <si>
    <t>Back-Channel Logout（RFC 8606）</t>
    <phoneticPr fontId="2"/>
  </si>
  <si>
    <t>サーバー同士の通信で各アプリに確実にログアウトを伝える方式を使うか</t>
    <phoneticPr fontId="2"/>
  </si>
  <si>
    <t>FR-SSO-007</t>
    <phoneticPr fontId="2"/>
  </si>
  <si>
    <t>セッションタイムアウト設定</t>
    <phoneticPr fontId="2"/>
  </si>
  <si>
    <t>無操作が続いたときに自動ログアウトするまでの時間をどうするか</t>
    <phoneticPr fontId="2"/>
  </si>
  <si>
    <t>FR-SSO セッション管理</t>
    <phoneticPr fontId="2"/>
  </si>
  <si>
    <t>FR-SSO-008</t>
    <phoneticPr fontId="2"/>
  </si>
  <si>
    <t>requirements/functional-requirements.md §4.3</t>
    <phoneticPr fontId="2"/>
  </si>
  <si>
    <t>アクセストークン強制無効化（Revocation）</t>
    <phoneticPr fontId="2"/>
  </si>
  <si>
    <t>発行済みの通行証を有効期限前に強制的に無効化できる必要があるか</t>
    <phoneticPr fontId="2"/>
  </si>
  <si>
    <t>FR-SSO-009</t>
    <phoneticPr fontId="2"/>
  </si>
  <si>
    <t>強制全セッション破棄（管理者操作）</t>
    <phoneticPr fontId="2"/>
  </si>
  <si>
    <t>管理者が特定の利用者のログイン状態を一括で切断できる機能を用意するか</t>
    <phoneticPr fontId="2"/>
  </si>
  <si>
    <t>FR-SSO-010</t>
    <phoneticPr fontId="2"/>
  </si>
  <si>
    <t>利用者管理・同期</t>
    <phoneticPr fontId="2"/>
  </si>
  <si>
    <t>ユーザー作成 / 更新 / 削除（CRUD）</t>
    <phoneticPr fontId="2"/>
  </si>
  <si>
    <t>利用者情報の登録・変更・削除を、誰がどの画面やAPIから行えるようにするか</t>
    <phoneticPr fontId="2"/>
  </si>
  <si>
    <t>FR-USER ユーザーCRUD</t>
    <phoneticPr fontId="2"/>
  </si>
  <si>
    <t>FR-USER-001</t>
    <phoneticPr fontId="2"/>
  </si>
  <si>
    <t>requirements/functional-requirements.md §6.1</t>
    <phoneticPr fontId="2"/>
  </si>
  <si>
    <t>カスタム属性（任意フィールド）</t>
    <phoneticPr fontId="2"/>
  </si>
  <si>
    <t>標準で用意される項目以外に、独自に持たせたい項目を何にするか</t>
    <phoneticPr fontId="2"/>
  </si>
  <si>
    <t>FR-USER 属性・ロール</t>
    <phoneticPr fontId="2"/>
  </si>
  <si>
    <t>FR-USER-002</t>
    <phoneticPr fontId="2"/>
  </si>
  <si>
    <t>requirements/functional-requirements.md §6.2</t>
    <phoneticPr fontId="2"/>
  </si>
  <si>
    <t>SCIM 2.0 プロビジョニング</t>
    <phoneticPr fontId="2"/>
  </si>
  <si>
    <t>FR-USER プロビジョニング</t>
    <phoneticPr fontId="2"/>
  </si>
  <si>
    <t>FR-USER-003</t>
    <phoneticPr fontId="2"/>
  </si>
  <si>
    <t>SCIMとJIT併用で決定</t>
    <phoneticPr fontId="2"/>
  </si>
  <si>
    <t>requirements/functional-requirements.md §6.4</t>
    <phoneticPr fontId="2"/>
  </si>
  <si>
    <t>セルフサービスプロフィール編集</t>
    <phoneticPr fontId="2"/>
  </si>
  <si>
    <t>利用者が自分のプロフィールを自分で編集できる範囲をどこまでにするか</t>
    <phoneticPr fontId="2"/>
  </si>
  <si>
    <t>FR-USER セルフサービス</t>
    <phoneticPr fontId="2"/>
  </si>
  <si>
    <t>FR-USER-004</t>
    <phoneticPr fontId="2"/>
  </si>
  <si>
    <t>requirements/functional-requirements.md §6.3</t>
    <phoneticPr fontId="2"/>
  </si>
  <si>
    <t>ユーザー検索・一覧</t>
    <phoneticPr fontId="2"/>
  </si>
  <si>
    <t>利用者の検索・一覧表示に必要な検索条件と表示項目をどうするか</t>
    <phoneticPr fontId="2"/>
  </si>
  <si>
    <t>FR-USER-005</t>
    <phoneticPr fontId="2"/>
  </si>
  <si>
    <t>ユーザー有効化 / 無効化（suspend）</t>
    <phoneticPr fontId="2"/>
  </si>
  <si>
    <t>FR-USER-006</t>
    <phoneticPr fontId="2"/>
  </si>
  <si>
    <t>無効化するはずなのでその復旧をすればいい認識</t>
    <phoneticPr fontId="2"/>
  </si>
  <si>
    <t>ユーザーグループ管理</t>
    <phoneticPr fontId="2"/>
  </si>
  <si>
    <t>利用者をグループにまとめて管理する必要があるか</t>
    <phoneticPr fontId="2"/>
  </si>
  <si>
    <t>FR-USER-007</t>
    <phoneticPr fontId="2"/>
  </si>
  <si>
    <t>ロール割り当て</t>
    <phoneticPr fontId="2"/>
  </si>
  <si>
    <t>誰がどの役割を割り当てられるようにするか</t>
    <phoneticPr fontId="2"/>
  </si>
  <si>
    <t>FR-USER-008</t>
    <phoneticPr fontId="2"/>
  </si>
  <si>
    <t>バルクインポート（CSV / JSON）</t>
    <phoneticPr fontId="2"/>
  </si>
  <si>
    <t>表形式ファイルによる一括登録を用意するか。1回あたりの上限件数をどうするか</t>
    <phoneticPr fontId="2"/>
  </si>
  <si>
    <t>FR-USER-009</t>
    <phoneticPr fontId="2"/>
  </si>
  <si>
    <t>ユーザーパスワード強制リセット</t>
    <phoneticPr fontId="2"/>
  </si>
  <si>
    <t>FR-USER-010</t>
    <phoneticPr fontId="2"/>
  </si>
  <si>
    <t>ユーザー削除時の関連データ削除（GDPR等）</t>
    <phoneticPr fontId="2"/>
  </si>
  <si>
    <t>退職・解約時に利用者情報と関連データをどこまで消すか。保存期間をどうするか</t>
    <phoneticPr fontId="2"/>
  </si>
  <si>
    <t>FR-USER-011</t>
    <phoneticPr fontId="2"/>
  </si>
  <si>
    <t>ユーザー作成時の招待メール</t>
    <phoneticPr fontId="2"/>
  </si>
  <si>
    <t>新規登録時に招待メールを送る運用にするか。文面と有効期限をどうするか</t>
    <phoneticPr fontId="2"/>
  </si>
  <si>
    <t>FR-USER-012</t>
    <phoneticPr fontId="2"/>
  </si>
  <si>
    <t>セキュリティ</t>
    <phoneticPr fontId="2"/>
  </si>
  <si>
    <t>通信暗号化</t>
    <phoneticPr fontId="2"/>
  </si>
  <si>
    <t>通信の暗号化をどの水準で必須にするか</t>
    <phoneticPr fontId="2"/>
  </si>
  <si>
    <t>NFR-SEC 暗号化・鍵管理</t>
    <phoneticPr fontId="2"/>
  </si>
  <si>
    <t>NFR-SEC-001</t>
    <phoneticPr fontId="2"/>
  </si>
  <si>
    <t>requirements/non-functional-requirements.md §4.1</t>
    <phoneticPr fontId="2"/>
  </si>
  <si>
    <t>データ暗号化（at-rest）</t>
    <phoneticPr fontId="2"/>
  </si>
  <si>
    <t>保存データの暗号化をどこまで必須にするか。暗号鍵を誰が持つか</t>
    <phoneticPr fontId="2"/>
  </si>
  <si>
    <t>NFR-SEC-002</t>
    <phoneticPr fontId="2"/>
  </si>
  <si>
    <t>トークン署名アルゴリズム</t>
    <phoneticPr fontId="2"/>
  </si>
  <si>
    <t>通行証の署名方式に何を使うか</t>
    <phoneticPr fontId="2"/>
  </si>
  <si>
    <t>NFR-SEC-003</t>
    <phoneticPr fontId="2"/>
  </si>
  <si>
    <t>Access Token TTL</t>
    <phoneticPr fontId="2"/>
  </si>
  <si>
    <t>通行証の有効時間を何分にするか</t>
    <phoneticPr fontId="2"/>
  </si>
  <si>
    <t>NFR-SEC トークン・セッション</t>
    <phoneticPr fontId="2"/>
  </si>
  <si>
    <t>NFR-SEC-004</t>
    <phoneticPr fontId="2"/>
  </si>
  <si>
    <t>requirements/non-functional-requirements.md §4.2</t>
    <phoneticPr fontId="2"/>
  </si>
  <si>
    <t>Refresh Token TTL</t>
    <phoneticPr fontId="2"/>
  </si>
  <si>
    <t>再ログインなしで使い続けられる期間を何日にするか</t>
    <phoneticPr fontId="2"/>
  </si>
  <si>
    <t>NFR-SEC-005</t>
    <phoneticPr fontId="2"/>
  </si>
  <si>
    <t>ID Token TTL</t>
    <phoneticPr fontId="2"/>
  </si>
  <si>
    <t>本人確認情報の有効時間を何分にするか</t>
    <phoneticPr fontId="2"/>
  </si>
  <si>
    <t>NFR-SEC-006</t>
    <phoneticPr fontId="2"/>
  </si>
  <si>
    <t>Refresh Token Rotation</t>
    <phoneticPr fontId="2"/>
  </si>
  <si>
    <t>使い回しを防ぐため、更新のたびに引換券を作り替える方式にするか</t>
    <phoneticPr fontId="2"/>
  </si>
  <si>
    <t>NFR-SEC-007</t>
    <phoneticPr fontId="2"/>
  </si>
  <si>
    <t>トークン失効（Revocation）</t>
    <phoneticPr fontId="2"/>
  </si>
  <si>
    <t>発行済みの通行証を有効期限前に取り消せる仕組みを用意するか</t>
    <phoneticPr fontId="2"/>
  </si>
  <si>
    <t>NFR-SEC-008</t>
    <phoneticPr fontId="2"/>
  </si>
  <si>
    <t>パスワード保管アルゴリズム</t>
    <phoneticPr fontId="2"/>
  </si>
  <si>
    <t>パスワードをどの方式で保管するか。強度の設定値をどうするか</t>
    <phoneticPr fontId="2"/>
  </si>
  <si>
    <t>NFR-SEC-009</t>
    <phoneticPr fontId="2"/>
  </si>
  <si>
    <t>ブルートフォース対策</t>
    <phoneticPr fontId="2"/>
  </si>
  <si>
    <t>パスワードの総当たり攻撃への対処方式をどれにするか</t>
    <phoneticPr fontId="2"/>
  </si>
  <si>
    <t>NFR-SEC 攻撃対策</t>
    <phoneticPr fontId="2"/>
  </si>
  <si>
    <t>NFR-SEC-010</t>
    <phoneticPr fontId="2"/>
  </si>
  <si>
    <t>requirements/non-functional-requirements.md §4.3</t>
    <phoneticPr fontId="2"/>
  </si>
  <si>
    <t>侵害クレデンシャル検出（HIBP相当）</t>
    <phoneticPr fontId="2"/>
  </si>
  <si>
    <t>世の中に漏れていると分かっているパスワードの使用を拒否するか</t>
    <phoneticPr fontId="2"/>
  </si>
  <si>
    <t>NFR-SEC-010-2</t>
    <phoneticPr fontId="2"/>
  </si>
  <si>
    <t>WAF適用</t>
    <phoneticPr fontId="2"/>
  </si>
  <si>
    <t>NFR-SEC ネットワーク・境界制御</t>
    <phoneticPr fontId="2"/>
  </si>
  <si>
    <t>NFR-SEC-011</t>
    <phoneticPr fontId="2"/>
  </si>
  <si>
    <t>ネットワーク監査アカウントで必須で確定</t>
    <phoneticPr fontId="2"/>
  </si>
  <si>
    <t>requirements/non-functional-requirements.md §4.4</t>
    <phoneticPr fontId="2"/>
  </si>
  <si>
    <t>DDoS対策</t>
    <phoneticPr fontId="2"/>
  </si>
  <si>
    <t>大量アクセス攻撃への備えをどこまで行うか。誰が担うか</t>
    <phoneticPr fontId="2"/>
  </si>
  <si>
    <t>NFR-SEC-012</t>
    <phoneticPr fontId="2"/>
  </si>
  <si>
    <t>ペネトレーションテスト</t>
    <phoneticPr fontId="2"/>
  </si>
  <si>
    <t>疑似攻撃による検査を行うか。頻度と実施者をどうするか</t>
    <phoneticPr fontId="2"/>
  </si>
  <si>
    <t>(TBD) 年N回｜製品非依存。実施体制・頻度を要ヒアリング</t>
    <phoneticPr fontId="2"/>
  </si>
  <si>
    <t>NFR-SEC-013</t>
    <phoneticPr fontId="2"/>
  </si>
  <si>
    <t>脆弱性スキャン</t>
    <phoneticPr fontId="2"/>
  </si>
  <si>
    <t>弱点の自動検査をどの頻度で行うか。何を合格とするか</t>
    <phoneticPr fontId="2"/>
  </si>
  <si>
    <t>NFR-SEC-014</t>
    <phoneticPr fontId="2"/>
  </si>
  <si>
    <t>シークレット管理</t>
    <phoneticPr fontId="2"/>
  </si>
  <si>
    <t>接続用の秘密情報をどこに保管し、誰が取り出せるようにするか</t>
    <phoneticPr fontId="2"/>
  </si>
  <si>
    <t>NFR-SEC-015</t>
    <phoneticPr fontId="2"/>
  </si>
  <si>
    <t>ネットワーク分離（Private Subnet）</t>
    <phoneticPr fontId="2"/>
  </si>
  <si>
    <t>サーバーを外部から直接触れない場所に置くか</t>
    <phoneticPr fontId="2"/>
  </si>
  <si>
    <t>NFR-SEC-016</t>
    <phoneticPr fontId="2"/>
  </si>
  <si>
    <t>管理画面アクセス制御</t>
    <phoneticPr fontId="2"/>
  </si>
  <si>
    <t>NFR-SEC-017</t>
    <phoneticPr fontId="2"/>
  </si>
  <si>
    <t>admin封鎖して踏み台から</t>
    <phoneticPr fontId="2"/>
  </si>
  <si>
    <t>JWKSエンドポイント保護</t>
    <phoneticPr fontId="2"/>
  </si>
  <si>
    <t>鍵情報の公開窓口をどこまで守るか</t>
    <phoneticPr fontId="2"/>
  </si>
  <si>
    <t>NFR-SEC-018</t>
    <phoneticPr fontId="2"/>
  </si>
  <si>
    <t>内部通信の認証（Lambda→Keycloak）</t>
    <phoneticPr fontId="2"/>
  </si>
  <si>
    <t>内部の部品同士の通信でも身元確認を必須にするか</t>
    <phoneticPr fontId="2"/>
  </si>
  <si>
    <t>NFR-SEC-019</t>
    <phoneticPr fontId="2"/>
  </si>
  <si>
    <t>セッション固定攻撃対策</t>
    <phoneticPr fontId="2"/>
  </si>
  <si>
    <t>なりすましを防ぐため、ログイン時に識別子を作り替えるか</t>
    <phoneticPr fontId="2"/>
  </si>
  <si>
    <t>NFR-SEC-020</t>
    <phoneticPr fontId="2"/>
  </si>
  <si>
    <t>コスト</t>
    <phoneticPr fontId="2"/>
  </si>
  <si>
    <t>初期構築費</t>
    <phoneticPr fontId="2"/>
  </si>
  <si>
    <t>NFR-COST コスト</t>
    <phoneticPr fontId="2"/>
  </si>
  <si>
    <t>NFR-COST-001</t>
    <phoneticPr fontId="2"/>
  </si>
  <si>
    <t>WBSの積み上げ工数がそれに当たる</t>
    <phoneticPr fontId="2"/>
  </si>
  <si>
    <t>requirements/non-functional-requirements.md §8</t>
    <phoneticPr fontId="2"/>
  </si>
  <si>
    <t>月額固定インフラ費</t>
    <phoneticPr fontId="2"/>
  </si>
  <si>
    <t>NFR-COST-002</t>
    <phoneticPr fontId="2"/>
  </si>
  <si>
    <t>MAUあたりコスト（連携）</t>
    <phoneticPr fontId="2"/>
  </si>
  <si>
    <t>利用者1人あたりの単価をいくらと見るか</t>
    <phoneticPr fontId="2"/>
  </si>
  <si>
    <t>NFR-COST-003</t>
    <phoneticPr fontId="2"/>
  </si>
  <si>
    <t>Cognito Plusティア追加課金</t>
    <phoneticPr fontId="2"/>
  </si>
  <si>
    <t>NFR-COST-003-PLUS</t>
    <phoneticPr fontId="2"/>
  </si>
  <si>
    <t>DR追加月額</t>
    <phoneticPr fontId="2"/>
  </si>
  <si>
    <t>NFR-COST-004</t>
    <phoneticPr fontId="2"/>
  </si>
  <si>
    <t>AWSリソースごとにROSAで詳細見積もりを作るときに一緒に作る</t>
    <phoneticPr fontId="2"/>
  </si>
  <si>
    <t>運用人件費</t>
    <phoneticPr fontId="2"/>
  </si>
  <si>
    <t>NFR-COST-005</t>
    <phoneticPr fontId="2"/>
  </si>
  <si>
    <t>別途計算？</t>
    <phoneticPr fontId="2"/>
  </si>
  <si>
    <t>RHBKサブスクリプション</t>
    <phoneticPr fontId="2"/>
  </si>
  <si>
    <t>NFR-COST-006</t>
    <phoneticPr fontId="2"/>
  </si>
  <si>
    <t>上記の固定インフラ費と合わせて計上。単価は未定</t>
    <phoneticPr fontId="2"/>
  </si>
  <si>
    <t>損益分岐MAU（連携のみ）</t>
    <phoneticPr fontId="2"/>
  </si>
  <si>
    <t>Keycloak OSS 175,000 MAU / RHBK採用時 〜600,000 MAU（ADR-006）</t>
    <phoneticPr fontId="2"/>
  </si>
  <si>
    <t>NFR-COST-007</t>
    <phoneticPr fontId="2"/>
  </si>
  <si>
    <t>計算するだけなのでこれで良いが細かく計算するのは別途シートで</t>
    <phoneticPr fontId="2"/>
  </si>
  <si>
    <t>損益分岐MAU（Plusティア利用時 $0.035/MAU）</t>
    <phoneticPr fontId="2"/>
  </si>
  <si>
    <t>〜75,000 MAU（ADR-006）。Plusティア採用で175,000→75,000に変動</t>
    <phoneticPr fontId="2"/>
  </si>
  <si>
    <t>NFR-COST-007-PLUS</t>
    <phoneticPr fontId="2"/>
  </si>
  <si>
    <t>3年TCO（10万MAU想定）</t>
    <phoneticPr fontId="2"/>
  </si>
  <si>
    <t>NFR-COST-008</t>
    <phoneticPr fontId="2"/>
  </si>
  <si>
    <t>3年TCO（50万MAU想定）</t>
    <phoneticPr fontId="2"/>
  </si>
  <si>
    <t>NFR-COST-009</t>
    <phoneticPr fontId="2"/>
  </si>
  <si>
    <t>移行</t>
    <phoneticPr fontId="2"/>
  </si>
  <si>
    <t>既存認証システムからのユーザー移行</t>
    <phoneticPr fontId="2"/>
  </si>
  <si>
    <t>今の認証システムから利用者情報をどう移すか。件数と期間をどう見るか</t>
    <phoneticPr fontId="2"/>
  </si>
  <si>
    <t>NFR-MIG 移行性</t>
    <phoneticPr fontId="2"/>
  </si>
  <si>
    <t>NFR-MIG-001</t>
    <phoneticPr fontId="2"/>
  </si>
  <si>
    <t>移行は対象外</t>
    <phoneticPr fontId="2"/>
  </si>
  <si>
    <t>requirements/non-functional-requirements.md §9</t>
    <phoneticPr fontId="2"/>
  </si>
  <si>
    <t>パスワード移行（ハッシュ持ち越し）</t>
    <phoneticPr fontId="2"/>
  </si>
  <si>
    <t>NFR-MIG-002</t>
    <phoneticPr fontId="2"/>
  </si>
  <si>
    <t>ベンダーロックイン回避</t>
    <phoneticPr fontId="2"/>
  </si>
  <si>
    <t>将来ほかの製品に乗り換えられる状態を、どこまで保つか</t>
    <phoneticPr fontId="2"/>
  </si>
  <si>
    <t>NFR-MIG-003</t>
    <phoneticPr fontId="2"/>
  </si>
  <si>
    <t>データエクスポート</t>
    <phoneticPr fontId="2"/>
  </si>
  <si>
    <t>NFR-MIG-004</t>
    <phoneticPr fontId="2"/>
  </si>
  <si>
    <t>確認して設計におとしたい</t>
    <phoneticPr fontId="2"/>
  </si>
  <si>
    <t>段階的移行（並行稼働）</t>
    <phoneticPr fontId="2"/>
  </si>
  <si>
    <t>NFR-MIG-005</t>
    <phoneticPr fontId="2"/>
  </si>
  <si>
    <t>新旧のシステムは並行稼働。テナント（顧客）ごとに順次移行・</t>
    <phoneticPr fontId="2"/>
  </si>
  <si>
    <t>可用性・災害復旧</t>
    <phoneticPr fontId="2"/>
  </si>
  <si>
    <t>サービス稼働率 SLA</t>
    <phoneticPr fontId="2"/>
  </si>
  <si>
    <t>何％の稼働率を顧客に約束するか。約束を下回ったときの扱いをどうするか。最重要の確認事項</t>
    <phoneticPr fontId="2"/>
  </si>
  <si>
    <t>NFR-AVL 可用性</t>
    <phoneticPr fontId="2"/>
  </si>
  <si>
    <t>NFR-AVL-001</t>
    <phoneticPr fontId="2"/>
  </si>
  <si>
    <t>requirements/non-functional-requirements.md §1</t>
    <phoneticPr fontId="2"/>
  </si>
  <si>
    <t>計画メンテナンス窓</t>
    <phoneticPr fontId="2"/>
  </si>
  <si>
    <t>計画的な停止作業をいつ・どのくらいの頻度で行うか。事前通知をいつ出すか</t>
    <phoneticPr fontId="2"/>
  </si>
  <si>
    <t>NFR-AVL-002</t>
    <phoneticPr fontId="2"/>
  </si>
  <si>
    <t>マルチAZ配置</t>
    <phoneticPr fontId="2"/>
  </si>
  <si>
    <t>障害に備えて設備を複数の場所に分けて置くか</t>
    <phoneticPr fontId="2"/>
  </si>
  <si>
    <t>NFR-AVL-003</t>
    <phoneticPr fontId="2"/>
  </si>
  <si>
    <t>自動復旧（コンテナ障害）</t>
    <phoneticPr fontId="2"/>
  </si>
  <si>
    <t>部品が落ちたときに自動で立ち上げ直す仕組みを入れるか</t>
    <phoneticPr fontId="2"/>
  </si>
  <si>
    <t>NFR-AVL-004</t>
    <phoneticPr fontId="2"/>
  </si>
  <si>
    <t>単一障害点の排除</t>
    <phoneticPr fontId="2"/>
  </si>
  <si>
    <t>1か所壊れると全部止まる箇所をなくす方針でよいか</t>
    <phoneticPr fontId="2"/>
  </si>
  <si>
    <t>NFR-AVL-005</t>
    <phoneticPr fontId="2"/>
  </si>
  <si>
    <t>デプロイ時のダウンタイム</t>
    <phoneticPr fontId="2"/>
  </si>
  <si>
    <t>更新作業中もサービスを止めない方式にするか</t>
    <phoneticPr fontId="2"/>
  </si>
  <si>
    <t>NFR-AVL-006</t>
    <phoneticPr fontId="2"/>
  </si>
  <si>
    <t>コンプライアンス・法令</t>
    <phoneticPr fontId="2"/>
  </si>
  <si>
    <t>個人情報保護法対応</t>
    <phoneticPr fontId="2"/>
  </si>
  <si>
    <t>日本の個人情報保護法への対応範囲をどこまでにするか</t>
    <phoneticPr fontId="2"/>
  </si>
  <si>
    <t>NFR-COMP 規制・法令対応</t>
    <phoneticPr fontId="2"/>
  </si>
  <si>
    <t>NFR-COMP-001</t>
    <phoneticPr fontId="2"/>
  </si>
  <si>
    <t>別途資料で説明してヒアリング(HCPが問題である。海外の越境</t>
    <phoneticPr fontId="2"/>
  </si>
  <si>
    <t>requirements/non-functional-requirements.md §7.1</t>
    <phoneticPr fontId="2"/>
  </si>
  <si>
    <t>NFR-COMP-002</t>
    <phoneticPr fontId="2"/>
  </si>
  <si>
    <t>不要の認識だが改めてヒアリング</t>
    <phoneticPr fontId="2"/>
  </si>
  <si>
    <t>SOC 2 Type II</t>
    <phoneticPr fontId="2"/>
  </si>
  <si>
    <t>第三者による内部統制の証明が必要か</t>
    <phoneticPr fontId="2"/>
  </si>
  <si>
    <t>NFR-COMP 業界認定・監査</t>
    <phoneticPr fontId="2"/>
  </si>
  <si>
    <t>NFR-COMP-003</t>
    <phoneticPr fontId="2"/>
  </si>
  <si>
    <t>requirements/non-functional-requirements.md §7.2</t>
    <phoneticPr fontId="2"/>
  </si>
  <si>
    <t>ISO 27001</t>
    <phoneticPr fontId="2"/>
  </si>
  <si>
    <t>NFR-COMP-004</t>
    <phoneticPr fontId="2"/>
  </si>
  <si>
    <t>不要と確認済み</t>
    <phoneticPr fontId="2"/>
  </si>
  <si>
    <t>PCI DSS（金融）</t>
    <phoneticPr fontId="2"/>
  </si>
  <si>
    <t>クレジットカード関連の規格対応が必要か</t>
    <phoneticPr fontId="2"/>
  </si>
  <si>
    <t>NFR-COMP-005</t>
    <phoneticPr fontId="2"/>
  </si>
  <si>
    <t>FIPS 140-3 認定</t>
    <phoneticPr fontId="2"/>
  </si>
  <si>
    <t>米国政府が認定した暗号方式（FIPS 140-3）が必要か。最重要の確認事項</t>
    <phoneticPr fontId="2"/>
  </si>
  <si>
    <t>NFR-COMP-006</t>
    <phoneticPr fontId="2"/>
  </si>
  <si>
    <t>ヒアリングが必要（顧客に対して）／前提P-03と同一論点（相互参照）</t>
    <phoneticPr fontId="2"/>
  </si>
  <si>
    <t>監査ログ保存期間（法令要件）</t>
    <phoneticPr fontId="2"/>
  </si>
  <si>
    <t>法令上、操作記録を何年保存する必要があるか</t>
    <phoneticPr fontId="2"/>
  </si>
  <si>
    <t>NFR-COMP-007</t>
    <phoneticPr fontId="2"/>
  </si>
  <si>
    <t>データ所在地（リージョン制限）</t>
    <phoneticPr fontId="2"/>
  </si>
  <si>
    <t>NFR-COMP-008</t>
    <phoneticPr fontId="2"/>
  </si>
  <si>
    <t>国内限定だが、HCPは別になるかも？</t>
    <phoneticPr fontId="2"/>
  </si>
  <si>
    <t>個人データ削除権（GDPR Right to Erasure）</t>
    <phoneticPr fontId="2"/>
  </si>
  <si>
    <t>利用者からの削除要求に、どの手順・何日以内で応じるか</t>
    <phoneticPr fontId="2"/>
  </si>
  <si>
    <t>NFR-COMP データガバナンス</t>
    <phoneticPr fontId="2"/>
  </si>
  <si>
    <t>NFR-COMP-009</t>
    <phoneticPr fontId="2"/>
  </si>
  <si>
    <t>requirements/non-functional-requirements.md §7.3</t>
    <phoneticPr fontId="2"/>
  </si>
  <si>
    <t>アクセス監査の追跡可能性</t>
    <phoneticPr fontId="2"/>
  </si>
  <si>
    <t>NFR-COMP-010</t>
    <phoneticPr fontId="2"/>
  </si>
  <si>
    <t>暗号鍵のローテーション</t>
    <phoneticPr fontId="2"/>
  </si>
  <si>
    <t>NFR-COMP-011</t>
    <phoneticPr fontId="2"/>
  </si>
  <si>
    <t>RTO（目標復旧時間）</t>
    <phoneticPr fontId="2"/>
  </si>
  <si>
    <t>NFR-DR 災害復旧</t>
    <phoneticPr fontId="2"/>
  </si>
  <si>
    <t>NFR-DR-001</t>
    <phoneticPr fontId="2"/>
  </si>
  <si>
    <t>1日/DR障害時は3日</t>
    <phoneticPr fontId="2"/>
  </si>
  <si>
    <t>requirements/non-functional-requirements.md §5</t>
    <phoneticPr fontId="2"/>
  </si>
  <si>
    <t>RPO（目標復旧地点）</t>
    <phoneticPr fontId="2"/>
  </si>
  <si>
    <t>NFR-DR-002</t>
    <phoneticPr fontId="2"/>
  </si>
  <si>
    <t>5分</t>
    <phoneticPr fontId="2"/>
  </si>
  <si>
    <t>フェイルオーバー方式</t>
    <phoneticPr fontId="2"/>
  </si>
  <si>
    <t>NFR-DR-003</t>
    <phoneticPr fontId="2"/>
  </si>
  <si>
    <t>手動</t>
    <phoneticPr fontId="2"/>
  </si>
  <si>
    <t>バックアップ保存期間</t>
    <phoneticPr fontId="2"/>
  </si>
  <si>
    <t>バックアップを何日分保持するか</t>
    <phoneticPr fontId="2"/>
  </si>
  <si>
    <t>NFR-DR-004</t>
    <phoneticPr fontId="2"/>
  </si>
  <si>
    <t>PITR（Point-in-Time Recovery）</t>
    <phoneticPr fontId="2"/>
  </si>
  <si>
    <t>任意の時点まで巻き戻せる仕組みを用意するか。遡れる範囲を何日にするか</t>
    <phoneticPr fontId="2"/>
  </si>
  <si>
    <t>NFR-DR-005</t>
    <phoneticPr fontId="2"/>
  </si>
  <si>
    <t>クロスリージョンバックアップ</t>
    <phoneticPr fontId="2"/>
  </si>
  <si>
    <t>バックアップを別の地域にも複製するか</t>
    <phoneticPr fontId="2"/>
  </si>
  <si>
    <t>NFR-DR-006</t>
    <phoneticPr fontId="2"/>
  </si>
  <si>
    <t>DR訓練</t>
    <phoneticPr fontId="2"/>
  </si>
  <si>
    <t>復旧手順の訓練をどの頻度で行うか。誰が参加するか</t>
    <phoneticPr fontId="2"/>
  </si>
  <si>
    <t>(TBD) 年N回｜製品非依存。基本設計にRB-DR-00〜05のRunbookあり</t>
    <phoneticPr fontId="2"/>
  </si>
  <si>
    <t>NFR-DR-007</t>
    <phoneticPr fontId="2"/>
  </si>
  <si>
    <t>DR切替時のセッション維持</t>
    <phoneticPr fontId="2"/>
  </si>
  <si>
    <t>切替時にログイン状態を維持するか、利用者に再ログインを求めるか</t>
    <phoneticPr fontId="2"/>
  </si>
  <si>
    <t>NFR-DR-008</t>
    <phoneticPr fontId="2"/>
  </si>
  <si>
    <t>運用・監視</t>
    <phoneticPr fontId="2"/>
  </si>
  <si>
    <t>監視・メトリクス</t>
    <phoneticPr fontId="2"/>
  </si>
  <si>
    <t>何を監視項目とし、どの値を異常とみなすか</t>
    <phoneticPr fontId="2"/>
  </si>
  <si>
    <t>NFR-OPS 監視・ロギング</t>
    <phoneticPr fontId="2"/>
  </si>
  <si>
    <t>NFR-OPS-001</t>
    <phoneticPr fontId="2"/>
  </si>
  <si>
    <t>requirements/non-functional-requirements.md §6.1</t>
    <phoneticPr fontId="2"/>
  </si>
  <si>
    <t>アラート通知</t>
    <phoneticPr fontId="2"/>
  </si>
  <si>
    <t>誰にどの経路で通知するか。夜間・休日の対応をどうするか</t>
    <phoneticPr fontId="2"/>
  </si>
  <si>
    <t>NFR-OPS-002</t>
    <phoneticPr fontId="2"/>
  </si>
  <si>
    <t>ログ保存期間</t>
    <phoneticPr fontId="2"/>
  </si>
  <si>
    <t>各種ログを何日保存するか</t>
    <phoneticPr fontId="2"/>
  </si>
  <si>
    <t>(TBD) Nヶ月/N年｜★重要：NFR-COMP-007と連動。基本設計はログ3層+SIEM</t>
    <phoneticPr fontId="2"/>
  </si>
  <si>
    <t>NFR-OPS-003</t>
    <phoneticPr fontId="2"/>
  </si>
  <si>
    <t>ログ検索性</t>
    <phoneticPr fontId="2"/>
  </si>
  <si>
    <t>障害時にログをどれだけ速く探せる状態にしておくか</t>
    <phoneticPr fontId="2"/>
  </si>
  <si>
    <t>NFR-OPS-004</t>
    <phoneticPr fontId="2"/>
  </si>
  <si>
    <t>バージョンアップ方針</t>
    <phoneticPr fontId="2"/>
  </si>
  <si>
    <t>製品の更新をどの頻度・どの手順で当てるか</t>
    <phoneticPr fontId="2"/>
  </si>
  <si>
    <t>NFR-OPS デプロイ・パッチ</t>
    <phoneticPr fontId="2"/>
  </si>
  <si>
    <t>NFR-OPS-005</t>
    <phoneticPr fontId="2"/>
  </si>
  <si>
    <t>requirements/non-functional-requirements.md §6.2</t>
    <phoneticPr fontId="2"/>
  </si>
  <si>
    <t>パッチ適用（CVE対応）</t>
    <phoneticPr fontId="2"/>
  </si>
  <si>
    <t>脆弱性が公表されたとき、何日以内に対処するか</t>
    <phoneticPr fontId="2"/>
  </si>
  <si>
    <t>NFR-OPS-006</t>
    <phoneticPr fontId="2"/>
  </si>
  <si>
    <t>設定変更プロセス</t>
    <phoneticPr fontId="2"/>
  </si>
  <si>
    <t>設定変更の申請・承認・適用の流れを誰がどう回すか</t>
    <phoneticPr fontId="2"/>
  </si>
  <si>
    <t>(D)IaC（Terraform）+レビュー｜Keycloak=Realmは別管理。基本設計でIaC 2層・keycloak-config-cli不採用が決定</t>
    <phoneticPr fontId="2"/>
  </si>
  <si>
    <t>NFR-OPS-007</t>
    <phoneticPr fontId="2"/>
  </si>
  <si>
    <t>インシデント対応体制</t>
    <phoneticPr fontId="2"/>
  </si>
  <si>
    <t>障害時の連絡体制と役割分担をどう組むか</t>
    <phoneticPr fontId="2"/>
  </si>
  <si>
    <t>NFR-OPS 体制・運用SLA</t>
    <phoneticPr fontId="2"/>
  </si>
  <si>
    <t>NFR-OPS-008</t>
    <phoneticPr fontId="2"/>
  </si>
  <si>
    <t>requirements/non-functional-requirements.md §6.3</t>
    <phoneticPr fontId="2"/>
  </si>
  <si>
    <t>運用工数（人月）</t>
    <phoneticPr fontId="2"/>
  </si>
  <si>
    <t>運用に何人月かかる前提とするか。誰が担当するか</t>
    <phoneticPr fontId="2"/>
  </si>
  <si>
    <t>NFR-OPS-009</t>
    <phoneticPr fontId="2"/>
  </si>
  <si>
    <t>デプロイ自動化（CI/CD）</t>
    <phoneticPr fontId="2"/>
  </si>
  <si>
    <t>更新作業の自動化をどこまで行うか</t>
    <phoneticPr fontId="2"/>
  </si>
  <si>
    <t>(D)必須｜基本設計でGitHub Actions/GitOps/ECR構成が決定</t>
    <phoneticPr fontId="2"/>
  </si>
  <si>
    <t>NFR-OPS-010</t>
    <phoneticPr fontId="2"/>
  </si>
  <si>
    <t>テナント追加の運用SLA</t>
    <phoneticPr fontId="2"/>
  </si>
  <si>
    <t>NFR-OPS-011</t>
    <phoneticPr fontId="2"/>
  </si>
  <si>
    <t>性能・拡張性</t>
    <phoneticPr fontId="2"/>
  </si>
  <si>
    <t>認証応答時間（P50/P95/P99）</t>
    <phoneticPr fontId="2"/>
  </si>
  <si>
    <t>ログインが何秒以内に返れば合格とするか</t>
    <phoneticPr fontId="2"/>
  </si>
  <si>
    <t>NFR-PERF 応答時間/レイテンシ</t>
    <phoneticPr fontId="2"/>
  </si>
  <si>
    <t>NFR-PERF-001</t>
    <phoneticPr fontId="2"/>
  </si>
  <si>
    <t>requirements/non-functional-requirements.md §2.1</t>
    <phoneticPr fontId="2"/>
  </si>
  <si>
    <t>同時認証リクエスト処理能力</t>
    <phoneticPr fontId="2"/>
  </si>
  <si>
    <t>ログインが集中したとき、同時に何件まで耐える必要があるか</t>
    <phoneticPr fontId="2"/>
  </si>
  <si>
    <t>NFR-PERF スループット/スケール耐性</t>
    <phoneticPr fontId="2"/>
  </si>
  <si>
    <t>NFR-PERF-002</t>
    <phoneticPr fontId="2"/>
  </si>
  <si>
    <t>requirements/non-functional-requirements.md §2.2</t>
    <phoneticPr fontId="2"/>
  </si>
  <si>
    <t>Lambda Authorizer応答時間</t>
    <phoneticPr fontId="2"/>
  </si>
  <si>
    <t>権限チェック部分の応答時間の目標をどこに置くか</t>
    <phoneticPr fontId="2"/>
  </si>
  <si>
    <t>NFR-PERF-003</t>
    <phoneticPr fontId="2"/>
  </si>
  <si>
    <t>JWT検証スループット</t>
    <phoneticPr fontId="2"/>
  </si>
  <si>
    <t>NFR-PERF-004</t>
    <phoneticPr fontId="2"/>
  </si>
  <si>
    <t>結局レスポンスの性能なので意味ないと思う</t>
    <phoneticPr fontId="2"/>
  </si>
  <si>
    <t>JWKSキャッシュTTL</t>
    <phoneticPr fontId="2"/>
  </si>
  <si>
    <t>NFR-PERF-005</t>
    <phoneticPr fontId="2"/>
  </si>
  <si>
    <t>API Gatewayスロットリング</t>
    <phoneticPr fontId="2"/>
  </si>
  <si>
    <t>入口で1秒あたりの受付上限をいくつにするか</t>
    <phoneticPr fontId="2"/>
  </si>
  <si>
    <t>NFR-PERF-006</t>
    <phoneticPr fontId="2"/>
  </si>
  <si>
    <t>認証ピーク時間帯への耐性</t>
    <phoneticPr fontId="2"/>
  </si>
  <si>
    <t>始業時など混み合う時間帯の想定と、その山をどう吸収するか</t>
    <phoneticPr fontId="2"/>
  </si>
  <si>
    <t>NFR-PERF-007</t>
    <phoneticPr fontId="2"/>
  </si>
  <si>
    <t>DB応答時間（Keycloakのみ）</t>
    <phoneticPr fontId="2"/>
  </si>
  <si>
    <t>NFR-PERF-008</t>
    <phoneticPr fontId="2"/>
  </si>
  <si>
    <t>MAUスケール上限</t>
    <phoneticPr fontId="2"/>
  </si>
  <si>
    <t>利用者数の上限をいくらと想定して設計するか。最重要の確認事項</t>
    <phoneticPr fontId="2"/>
  </si>
  <si>
    <t>NFR-SCL 拡張性</t>
    <phoneticPr fontId="2"/>
  </si>
  <si>
    <t>NFR-SCL-001</t>
    <phoneticPr fontId="2"/>
  </si>
  <si>
    <t>requirements/non-functional-requirements.md §3</t>
    <phoneticPr fontId="2"/>
  </si>
  <si>
    <t>ピーク時同時セッション数</t>
    <phoneticPr fontId="2"/>
  </si>
  <si>
    <t>同時にログイン状態になる人数を、最大いくらと見込むか</t>
    <phoneticPr fontId="2"/>
  </si>
  <si>
    <t>NFR-SCL-002</t>
    <phoneticPr fontId="2"/>
  </si>
  <si>
    <t>顧客テナント数（IdP数）スケール</t>
    <phoneticPr fontId="2"/>
  </si>
  <si>
    <t>顧客の数（接続するID基盤の数）を最大いくらと見込むか</t>
    <phoneticPr fontId="2"/>
  </si>
  <si>
    <t>NFR-SCL-003</t>
    <phoneticPr fontId="2"/>
  </si>
  <si>
    <t>IdP追加リードタイム</t>
    <phoneticPr fontId="2"/>
  </si>
  <si>
    <t>新しい顧客の接続を、依頼から何日で開通させるか</t>
    <phoneticPr fontId="2"/>
  </si>
  <si>
    <t>NFR-SCL-004</t>
    <phoneticPr fontId="2"/>
  </si>
  <si>
    <t>自動スケーリング</t>
    <phoneticPr fontId="2"/>
  </si>
  <si>
    <t>混雑に応じて設備を自動で増減させるか。増やす・減らす判定基準をどうするか</t>
    <phoneticPr fontId="2"/>
  </si>
  <si>
    <t>NFR-SCL-005</t>
    <phoneticPr fontId="2"/>
  </si>
  <si>
    <t>マルチリージョン対応</t>
    <phoneticPr fontId="2"/>
  </si>
  <si>
    <t>複数の地域で同時に稼働させる必要があるか</t>
    <phoneticPr fontId="2"/>
  </si>
  <si>
    <t>NFR-SCL-006</t>
    <phoneticPr fontId="2"/>
  </si>
  <si>
    <t>データベーススケール（Keycloak）</t>
    <phoneticPr fontId="2"/>
  </si>
  <si>
    <t>NFR-SCL-007</t>
    <phoneticPr fontId="2"/>
  </si>
  <si>
    <t>見積もるしかない</t>
    <phoneticPr fontId="2"/>
  </si>
  <si>
    <t>顧客確認</t>
    <phoneticPr fontId="2"/>
  </si>
  <si>
    <t>金融グレードの仕様準拠を求める顧客が存在するか</t>
    <phoneticPr fontId="2"/>
  </si>
  <si>
    <t>新興ID</t>
    <phoneticPr fontId="2"/>
  </si>
  <si>
    <t>B-FAPI-1</t>
    <phoneticPr fontId="2"/>
  </si>
  <si>
    <t>hearing</t>
    <phoneticPr fontId="2"/>
  </si>
  <si>
    <t>requirements/hearing-checklist.md §5.6</t>
    <phoneticPr fontId="2"/>
  </si>
  <si>
    <t>自動エージェントによる代理実行のIDをどう扱うか</t>
    <phoneticPr fontId="2"/>
  </si>
  <si>
    <t>姿勢のみで今回は実装なし。関連=D-U5-12（委譲制御）/ ADR-066（非人間ID台帳の種別拡張で受ける）</t>
    <phoneticPr fontId="2"/>
  </si>
  <si>
    <t>B-AGENT-1</t>
    <phoneticPr fontId="2"/>
  </si>
  <si>
    <t>別途資料で説明してヒアリング（そもそもそのようなものを想定するのかしないのか。選択肢が欲しい）</t>
    <phoneticPr fontId="2"/>
  </si>
  <si>
    <t>顧客側ID基盤の署名鍵の入れ替え通知体制</t>
    <phoneticPr fontId="2"/>
  </si>
  <si>
    <t>顧客側で署名鍵を入れ替える際に事前通知をもらえるか。通知がない場合の接続断をどう防ぐか</t>
    <phoneticPr fontId="2"/>
  </si>
  <si>
    <t>2026-07-23 追加（署名鍵悪用検知の一環として正式化）。接続情報の自動更新機能が実機に存在するかは調査タスク A-9 で確認予定。自動更新が使えない場合、顧客からの事前通知が唯一の防御手段になる</t>
    <phoneticPr fontId="2"/>
  </si>
  <si>
    <t>顧客ごとの通知体制を確認し、自動更新の実機確認結果と合わせて運用を確定</t>
    <phoneticPr fontId="2"/>
  </si>
  <si>
    <t>B-GD 署名鍵悪用検知</t>
    <phoneticPr fontId="2"/>
  </si>
  <si>
    <t>B-GD-1</t>
    <phoneticPr fontId="2"/>
  </si>
  <si>
    <t>2026-07-23 追加</t>
    <phoneticPr fontId="2"/>
  </si>
  <si>
    <t>requirements/hearing-checklist.md §5.6 / §5.3</t>
    <phoneticPr fontId="2"/>
  </si>
  <si>
    <t>顧客ごとに専用の暗号鍵を用意する必要があるか</t>
    <phoneticPr fontId="2"/>
  </si>
  <si>
    <t>暗号鍵を顧客ごとに分けるか、共通鍵で運用するか。分ける場合の費用と運用負荷をどう見るか</t>
    <phoneticPr fontId="2"/>
  </si>
  <si>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phoneticPr fontId="2"/>
  </si>
  <si>
    <t>顧客の要求水準を確認し、鍵の階層設計を確定</t>
    <phoneticPr fontId="2"/>
  </si>
  <si>
    <t>B-KMS 鍵管理</t>
    <phoneticPr fontId="2"/>
  </si>
  <si>
    <t>B-KMS-3</t>
    <phoneticPr fontId="2"/>
  </si>
  <si>
    <t>顧客側の機械通信アカウントの責任者を顧客と自社のどちらが持つか。棚卸し責任の分界</t>
    <phoneticPr fontId="2"/>
  </si>
  <si>
    <t>関連=D-U7-20 / ADR-066。台帳では責任者を必須項目とし空欄は自動検査で拒否する設計のため、分界の合意が前提</t>
    <phoneticPr fontId="2"/>
  </si>
  <si>
    <t>非人間ID</t>
    <phoneticPr fontId="2"/>
  </si>
  <si>
    <t>B-NHI-1</t>
    <phoneticPr fontId="2"/>
  </si>
  <si>
    <t>機械通信というのはAPIからAPIの呼び出しなどか。それであればアプリで管理の認識</t>
    <phoneticPr fontId="2"/>
  </si>
  <si>
    <t>法令</t>
    <phoneticPr fontId="2"/>
  </si>
  <si>
    <t>お客様拠点の地理分布</t>
    <phoneticPr fontId="2"/>
  </si>
  <si>
    <t>利用者・拠点が国内のみか国外を含むか</t>
    <phoneticPr fontId="2"/>
  </si>
  <si>
    <t>お客様拠点の地理分布。hearingでは未回答。設計はP-15（東京常用・大阪災害時のみ、国外に置かない）で凍結。※ID衝突注意 — 設計タスクのA-4（G-LDAP、2026-07-30廃止）とは別物</t>
    <phoneticPr fontId="2"/>
  </si>
  <si>
    <t>質問状Q46で回収する。国外在住の利用者を含む場合は保管場所と本人請求対応を再評価</t>
    <phoneticPr fontId="2"/>
  </si>
  <si>
    <t>A-4</t>
    <phoneticPr fontId="2"/>
  </si>
  <si>
    <t>2026-08-16 TSV同期で追加</t>
    <phoneticPr fontId="2"/>
  </si>
  <si>
    <t>hearing-checklist.md §5.6</t>
    <phoneticPr fontId="2"/>
  </si>
  <si>
    <t>運用</t>
    <phoneticPr fontId="2"/>
  </si>
  <si>
    <t>新規のお客様企業を追加する頻度</t>
    <phoneticPr fontId="2"/>
  </si>
  <si>
    <t>何社／月のペースで新規接続が発生するか</t>
    <phoneticPr fontId="2"/>
  </si>
  <si>
    <t>新規のお客様企業を追加する頻度。hearingでは未回答。NFR-SCL-004（次営業日以内）が暫定値。※ID衝突注意 — 設計タスクのA-7（G-OSAKA）とは別物</t>
    <phoneticPr fontId="2"/>
  </si>
  <si>
    <t>質問状Q07で回収する。頻度が高い場合はDU-U9O-04（新規接続作業の自動化）の優先度を上げる</t>
    <phoneticPr fontId="2"/>
  </si>
  <si>
    <t>A-7</t>
    <phoneticPr fontId="2"/>
  </si>
  <si>
    <t>3年後の想定利用者数</t>
    <phoneticPr fontId="2"/>
  </si>
  <si>
    <t>3年後に何人まで増える見込みか</t>
    <phoneticPr fontId="2"/>
  </si>
  <si>
    <t>3年後の想定利用者数。hearingでは未回答。設計はP-02（1,000万人上限）で凍結して進行しておりブロックはしていない。※ID衝突注意 — 設計タスクのA-2（G-SPI-Compat）とは別物</t>
    <phoneticPr fontId="2"/>
  </si>
  <si>
    <t>質問状Q02で回収する。回答が上限を超える場合のみP-02を再評価</t>
    <phoneticPr fontId="2"/>
  </si>
  <si>
    <t>規模</t>
    <phoneticPr fontId="2"/>
  </si>
  <si>
    <t>A-2</t>
    <phoneticPr fontId="2"/>
  </si>
  <si>
    <t>令和8年改正 個人情報保護法 58条の2（受託者の適用特例）の該当性</t>
    <phoneticPr fontId="2"/>
  </si>
  <si>
    <t>本基盤が委託先の特例に該当するか。該当すれば開示等請求への対応義務が大半免除される</t>
    <phoneticPr fontId="2"/>
  </si>
  <si>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phoneticPr fontId="2"/>
  </si>
  <si>
    <t>法務と連携して該当性を判断。規則公布後の再評価も選択肢</t>
    <phoneticPr fontId="2"/>
  </si>
  <si>
    <t>B-APPI 法令特例</t>
    <phoneticPr fontId="2"/>
  </si>
  <si>
    <t>B-APPI-R8-1</t>
    <phoneticPr fontId="2"/>
  </si>
  <si>
    <t>2026-08-15 追加（一覧未登録の是正）</t>
    <phoneticPr fontId="2"/>
  </si>
  <si>
    <t>ブランド分離下の管理操作監査ログの配置と保持</t>
    <phoneticPr fontId="2"/>
  </si>
  <si>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phoneticPr fontId="2"/>
  </si>
  <si>
    <t>管理操作ログ</t>
    <phoneticPr fontId="2"/>
  </si>
  <si>
    <t>B-AUDITLOG-BRAND-1</t>
    <phoneticPr fontId="2"/>
  </si>
  <si>
    <t>一旦1ブランドごとで良い</t>
    <phoneticPr fontId="2"/>
  </si>
  <si>
    <t>09-operations-observability-design.md / adr/063</t>
    <phoneticPr fontId="2"/>
  </si>
  <si>
    <t>監査人が求める認可証跡の粒度と保持期間</t>
    <phoneticPr fontId="2"/>
  </si>
  <si>
    <t>認可ログ</t>
    <phoneticPr fontId="2"/>
  </si>
  <si>
    <t>B-AUTHZLOG-1</t>
    <phoneticPr fontId="2"/>
  </si>
  <si>
    <t>もう少し詳しく、わかりやすく書いてほしい。どこに記録する何なのかわからない</t>
    <phoneticPr fontId="2"/>
  </si>
  <si>
    <t>顧客側ID基盤が失効イベントを送信できるか。受け取り側アプリへ受信部品をどこまで配布するか</t>
    <phoneticPr fontId="2"/>
  </si>
  <si>
    <t>最優先。回答により第3段階（顧客側からの失効受信）の要否と、第1段階の適用対象アプリの範囲が決まる。関連=D-U5-09 / ADR-065 / ゲート G-SSF。【統合】旧・契約前ゲート G-SSF を本行に統合。ゲートとしての管理も本行で行う</t>
    <phoneticPr fontId="2"/>
  </si>
  <si>
    <t>継続アクセス評価</t>
    <phoneticPr fontId="2"/>
  </si>
  <si>
    <t>B-CAEP-1</t>
    <phoneticPr fontId="2"/>
  </si>
  <si>
    <t>JITの話？であれば資料を作ってヒアリング／旧ゲート G-SSF 統合済</t>
    <phoneticPr fontId="2"/>
  </si>
  <si>
    <t>同意の記録・撤回・監査証跡（同意レシート）が必要か。対象となる顧客の範囲</t>
    <phoneticPr fontId="2"/>
  </si>
  <si>
    <t>関連=D-U7-21。既定案=自社が主体のサービスのため同意画面はオフ運用可としつつ、越境や第三者提供が絡む顧客には必須</t>
    <phoneticPr fontId="2"/>
  </si>
  <si>
    <t>同意管理</t>
    <phoneticPr fontId="2"/>
  </si>
  <si>
    <t>B-CONSENT-1</t>
    <phoneticPr fontId="2"/>
  </si>
  <si>
    <t>これはアプリで考えることなのか、認証基盤なのかわからない</t>
    <phoneticPr fontId="2"/>
  </si>
  <si>
    <t>保守要員の所在地域の地理制限を契約で保証できるか</t>
    <phoneticPr fontId="2"/>
  </si>
  <si>
    <t>海外の保守要員がデータに触れる可能性について、所在地域を契約で限定できるか。できない場合の代替措置をどう構成するか</t>
    <phoneticPr fontId="2"/>
  </si>
  <si>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phoneticPr fontId="2"/>
  </si>
  <si>
    <t>契約書類を取り寄せて所在と越境の根拠を確認し、地理制限の可否を法務と判断</t>
    <phoneticPr fontId="2"/>
  </si>
  <si>
    <t>B-DPA 委託先監督</t>
    <phoneticPr fontId="2"/>
  </si>
  <si>
    <t>B-DPA-2</t>
    <phoneticPr fontId="2"/>
  </si>
  <si>
    <t>2026-08-14 追加</t>
    <phoneticPr fontId="2"/>
  </si>
  <si>
    <t>2台目以降の認証手段の登録に、どこまでの再確認を求めるか</t>
    <phoneticPr fontId="2"/>
  </si>
  <si>
    <t>関連=D-U4-10。既定案=既存の認証手段または予備コードによる再認証を必須とし、第1要素だけでの追加登録を禁止</t>
    <phoneticPr fontId="2"/>
  </si>
  <si>
    <t>登録手続き</t>
    <phoneticPr fontId="2"/>
  </si>
  <si>
    <t>B-ENROLL-1</t>
    <phoneticPr fontId="2"/>
  </si>
  <si>
    <t>権限の定期棚卸しの頻度と実施主体を、自社・顧客・監査のどこに置くか</t>
    <phoneticPr fontId="2"/>
  </si>
  <si>
    <t>関連=D-U9-20 / ADR-067。既定案=基盤運用者は四半期、顧客テナント管理者は半期、アプリ権限は年次、非人間IDは四半期</t>
    <phoneticPr fontId="2"/>
  </si>
  <si>
    <t>アクセス再認証</t>
    <phoneticPr fontId="2"/>
  </si>
  <si>
    <t>B-IGA-REC-1</t>
    <phoneticPr fontId="2"/>
  </si>
  <si>
    <t>企業向け相互運用プロファイルへの準拠を求められるか</t>
    <phoneticPr fontId="2"/>
  </si>
  <si>
    <t>B-IPSIE-1</t>
    <phoneticPr fontId="2"/>
  </si>
  <si>
    <t>アプリ側のログに秘匿情報のマスキングが実施されているか</t>
    <phoneticPr fontId="2"/>
  </si>
  <si>
    <t>各アプリのログに通行証や認証情報が平文で残っていないか。残る場合の是正をどう進めるか</t>
    <phoneticPr fontId="2"/>
  </si>
  <si>
    <t>2026-07-23 追加。本基盤側は収集段でのマスキングと保存後スキャンの2段構えを設計済みだが、アプリ側のログは各アプリの責任範囲。アプリ側で平文が残ると、基盤側の対策が実質的に無効化される</t>
    <phoneticPr fontId="2"/>
  </si>
  <si>
    <t>アプリチームへ実施状況を確認し、未実施なら実装ガイドに必須項目として追加</t>
    <phoneticPr fontId="2"/>
  </si>
  <si>
    <t>B-LOG ログ</t>
    <phoneticPr fontId="2"/>
  </si>
  <si>
    <t>B-LOG-1</t>
    <phoneticPr fontId="2"/>
  </si>
  <si>
    <t>認証器のみ・メール非保有の利用者が締め出された場合の復旧方針</t>
    <phoneticPr fontId="2"/>
  </si>
  <si>
    <t>関連=D-U4-11。既定案=2台目の事前登録を強く推奨、復旧時に確認の強度を下げない、永久的な締め出しを避ける管理者経路を用意</t>
    <phoneticPr fontId="2"/>
  </si>
  <si>
    <t>復旧手段</t>
    <phoneticPr fontId="2"/>
  </si>
  <si>
    <t>B-RECOV-1</t>
    <phoneticPr fontId="2"/>
  </si>
  <si>
    <t>別途資料で説明してヒアリング（そもそもメールによる追加認証で良いのかは一応ヒアリングしないといけない）</t>
    <phoneticPr fontId="2"/>
  </si>
  <si>
    <t>消去要求の対象と、監査のため仮名化して残す対象の境界</t>
    <phoneticPr fontId="2"/>
  </si>
  <si>
    <t>忘れられる権利と7年間の改ざん不能な監査証跡の衝突をどう線引きするかを決める</t>
    <phoneticPr fontId="2"/>
  </si>
  <si>
    <t>関連=D-U10-13b。既定案=個人データ本体は消去し、監査ログ内の主体識別子は仮名化して保持</t>
    <phoneticPr fontId="2"/>
  </si>
  <si>
    <t>消去と保持</t>
    <phoneticPr fontId="2"/>
  </si>
  <si>
    <t>B-RTBF-1</t>
    <phoneticPr fontId="2"/>
  </si>
  <si>
    <t>管理系利用者の同時セッション数の上限をいくつにするか</t>
    <phoneticPr fontId="2"/>
  </si>
  <si>
    <t>無制限のセッションは失効時の影響範囲と乗っ取りリスクを拡大するため、上限値を決める</t>
    <phoneticPr fontId="2"/>
  </si>
  <si>
    <t>関連=D-U5-11。一般利用者は無制限のままとし、上限は管理系のみに適用する方針</t>
    <phoneticPr fontId="2"/>
  </si>
  <si>
    <t>セッション管理</t>
    <phoneticPr fontId="2"/>
  </si>
  <si>
    <t>B-SESS-1</t>
    <phoneticPr fontId="2"/>
  </si>
  <si>
    <t>利用者が自分のセッションと端末を確認・失効できる画面を今回提供するか</t>
    <phoneticPr fontId="2"/>
  </si>
  <si>
    <t>不審な端末の即時失効を利用者自身で行えるようにするかを決める</t>
    <phoneticPr fontId="2"/>
  </si>
  <si>
    <t>関連=D-U4-09。顧客側ID基盤を使う利用者については本基盤のセッションのみが対象</t>
    <phoneticPr fontId="2"/>
  </si>
  <si>
    <t>B-SESS-2</t>
    <phoneticPr fontId="2"/>
  </si>
  <si>
    <t>顧客ごとのレート制限・上限の既定値と、大口顧客や規制対象顧客を別領域へ分離する基準</t>
    <phoneticPr fontId="2"/>
  </si>
  <si>
    <t>テナント隔離</t>
    <phoneticPr fontId="2"/>
  </si>
  <si>
    <t>B-TENANT-ISO-1</t>
    <phoneticPr fontId="2"/>
  </si>
  <si>
    <t>原則論理分離で論理分離できないものはその時に検討。物理分離もできると言うことがわかればいい</t>
    <phoneticPr fontId="2"/>
  </si>
  <si>
    <t>検証環境の個人情報について、マスキング方式と適用範囲をどうするか</t>
    <phoneticPr fontId="2"/>
  </si>
  <si>
    <t>本番相当の個人情報を検証環境に置かないための方式（不可逆マスキングか合成データか）を決める</t>
    <phoneticPr fontId="2"/>
  </si>
  <si>
    <t>関連=D-U9-19。1000万規模の実データの非本番露出は法令上の重大な責任</t>
    <phoneticPr fontId="2"/>
  </si>
  <si>
    <t>テストデータ</t>
    <phoneticPr fontId="2"/>
  </si>
  <si>
    <t>B-TESTDATA-1</t>
    <phoneticPr fontId="2"/>
  </si>
  <si>
    <t>基本設計</t>
    <phoneticPr fontId="2"/>
  </si>
  <si>
    <t>前提</t>
    <phoneticPr fontId="2"/>
  </si>
  <si>
    <t>無効化の影ユーザへの確実な伝播</t>
    <phoneticPr fontId="2"/>
  </si>
  <si>
    <t>利用者の無効化（削除）を仲介側の影ユーザへどう確実に伝播させるか。再有効化も同じ確実さで対称に扱うか</t>
    <phoneticPr fontId="2"/>
  </si>
  <si>
    <t>削除・停止の伝播</t>
    <phoneticPr fontId="2"/>
  </si>
  <si>
    <t>D-DEPROV-1</t>
    <phoneticPr fontId="2"/>
  </si>
  <si>
    <t>本Excel仮採番</t>
    <phoneticPr fontId="2"/>
  </si>
  <si>
    <t>adr/064-deprovisioning-propagation-outbox.md</t>
    <phoneticPr fontId="2"/>
  </si>
  <si>
    <t>管理APIの実行形態と到達方式</t>
    <phoneticPr fontId="2"/>
  </si>
  <si>
    <t>管理コントロールプレーン（利用者管理API）をクラスタ常駐にするか関数実行にするか。認証製品の管理APIへの到達方式をどうするか</t>
    <phoneticPr fontId="2"/>
  </si>
  <si>
    <t>管理コントロールプレーン</t>
    <phoneticPr fontId="2"/>
  </si>
  <si>
    <t>D-IDMAPI-1</t>
    <phoneticPr fontId="2"/>
  </si>
  <si>
    <t>adr/062-idm-api-execution-form-lambda.md</t>
    <phoneticPr fontId="2"/>
  </si>
  <si>
    <t>基盤・ネットワーク</t>
    <phoneticPr fontId="2"/>
  </si>
  <si>
    <t>Keycloak / ROSA HCP + RHBK Operator（RHBKサブスクはROSA内包・追加費用なし）</t>
    <phoneticPr fontId="2"/>
  </si>
  <si>
    <t>どの製品を使い、どの基盤の上に認証システムを作るか</t>
    <phoneticPr fontId="2"/>
  </si>
  <si>
    <t>プラットフォーム</t>
    <phoneticPr fontId="2"/>
  </si>
  <si>
    <t>P-01</t>
    <phoneticPr fontId="2"/>
  </si>
  <si>
    <t>前提P</t>
    <phoneticPr fontId="2"/>
  </si>
  <si>
    <t>ROSA想定</t>
    <phoneticPr fontId="2"/>
  </si>
  <si>
    <t>basic-design/01-architecture-baseline.md §1.1</t>
    <phoneticPr fontId="2"/>
  </si>
  <si>
    <t>10M MAU上限で設計</t>
    <phoneticPr fontId="2"/>
  </si>
  <si>
    <t>MAU規模</t>
    <phoneticPr fontId="2"/>
  </si>
  <si>
    <t>P-02</t>
    <phoneticPr fontId="2"/>
  </si>
  <si>
    <t>100〜500万ユーザー</t>
    <phoneticPr fontId="2"/>
  </si>
  <si>
    <t>米国政府が認定した暗号方式（FIPS 140-3）が必要か</t>
    <phoneticPr fontId="2"/>
  </si>
  <si>
    <t>FIPS 140-2</t>
    <phoneticPr fontId="2"/>
  </si>
  <si>
    <t>P-03</t>
    <phoneticPr fontId="2"/>
  </si>
  <si>
    <t>必須ではないと思っている／要件NFR-COMP-006と同一論点（相互参照）。顧客確認が未了</t>
    <phoneticPr fontId="2"/>
  </si>
  <si>
    <t>basic-design/01-architecture-baseline.md §1.1/§1.4a</t>
    <phoneticPr fontId="2"/>
  </si>
  <si>
    <t>99.9%（暫定）</t>
    <phoneticPr fontId="2"/>
  </si>
  <si>
    <t>顧客に約束する稼働率を何％にするか</t>
    <phoneticPr fontId="2"/>
  </si>
  <si>
    <t>NFR-AVL-001推奨デフォルト。ROSA HCP自体は99.95%。顧客合意待ち。影響=U6/U8/U9</t>
    <phoneticPr fontId="2"/>
  </si>
  <si>
    <t>SLA</t>
    <phoneticPr fontId="2"/>
  </si>
  <si>
    <t>P-04</t>
    <phoneticPr fontId="2"/>
  </si>
  <si>
    <t>Tier 3+: 手動DR / RTO≈14日（大阪でオンデマンド再構築）/ RPOはAurora自動バックアップ+PITR依存</t>
    <phoneticPr fontId="2"/>
  </si>
  <si>
    <t>DR方式</t>
    <phoneticPr fontId="2"/>
  </si>
  <si>
    <t>P-05</t>
    <phoneticPr fontId="2"/>
  </si>
  <si>
    <t>RTOとかが変わってるので見直しが必要</t>
    <phoneticPr fontId="2"/>
  </si>
  <si>
    <t>L2 単一Realm + Organizations + tenant_idクレーム</t>
    <phoneticPr fontId="2"/>
  </si>
  <si>
    <t>顧客ごとのデータをどう分けて、互いに混ざらないようにするか</t>
    <phoneticPr fontId="2"/>
  </si>
  <si>
    <t>ADR-017（2026-07-23更新）。影響=U2/U3</t>
    <phoneticPr fontId="2"/>
  </si>
  <si>
    <t>テナント分離</t>
    <phoneticPr fontId="2"/>
  </si>
  <si>
    <t>P-06</t>
    <phoneticPr fontId="2"/>
  </si>
  <si>
    <t>確定で良い</t>
    <phoneticPr fontId="2"/>
  </si>
  <si>
    <t>P-1〜P-4全カテゴリ受入。テナント管理者含め全顧客ユーザーはフェデレーション。Brokerローカルは基盤運用者/Break-Glassのみ</t>
    <phoneticPr fontId="2"/>
  </si>
  <si>
    <t>どの種類の利用者を受け入れるか。誰を顧客側の仕組みでログインさせ、誰を自社で直接持つか</t>
    <phoneticPr fontId="2"/>
  </si>
  <si>
    <t>ユーザーカテゴリ</t>
    <phoneticPr fontId="2"/>
  </si>
  <si>
    <t>P-07</t>
    <phoneticPr fontId="2"/>
  </si>
  <si>
    <t>3階層（sub UUID / &lt;tenant&gt;-&lt;userid&gt; / IdP sub）、email補助</t>
    <phoneticPr fontId="2"/>
  </si>
  <si>
    <t>利用者を一意に見分けるための番号の付け方をどうするか</t>
    <phoneticPr fontId="2"/>
  </si>
  <si>
    <t>ADR-018/054/055。影響=U2/U3/U5</t>
    <phoneticPr fontId="2"/>
  </si>
  <si>
    <t>回答を追跡し受領後に反映</t>
    <phoneticPr fontId="2"/>
  </si>
  <si>
    <t>識別子</t>
    <phoneticPr fontId="2"/>
  </si>
  <si>
    <t>P-08</t>
    <phoneticPr fontId="2"/>
  </si>
  <si>
    <t>顧客確認中</t>
    <phoneticPr fontId="2"/>
  </si>
  <si>
    <t>AT 30分 / RT 30日+Rotation / 絶対24h / アイドル1h / ES256</t>
    <phoneticPr fontId="2"/>
  </si>
  <si>
    <t>通行証の有効時間と、再ログインが必要になるまでの期間をどうするか</t>
    <phoneticPr fontId="2"/>
  </si>
  <si>
    <t>§NFR-4.2、ADR-045。影響=U5</t>
    <phoneticPr fontId="2"/>
  </si>
  <si>
    <t>トークン</t>
    <phoneticPr fontId="2"/>
  </si>
  <si>
    <t>P-09</t>
    <phoneticPr fontId="2"/>
  </si>
  <si>
    <t>Stage 1最小、PII非搭載</t>
    <phoneticPr fontId="2"/>
  </si>
  <si>
    <t>通行証に何の情報を載せるか。個人情報は載せない方針でよいか</t>
    <phoneticPr fontId="2"/>
  </si>
  <si>
    <t>ADR-030。影響=U5</t>
    <phoneticPr fontId="2"/>
  </si>
  <si>
    <t>JWTクレーム</t>
    <phoneticPr fontId="2"/>
  </si>
  <si>
    <t>P-10</t>
    <phoneticPr fontId="2"/>
  </si>
  <si>
    <t>L1完全信頼デフォルト、L3は規制業種オプション</t>
    <phoneticPr fontId="2"/>
  </si>
  <si>
    <t>顧客側のID基盤が行った本人確認の結果を、どこまで信用するか</t>
    <phoneticPr fontId="2"/>
  </si>
  <si>
    <t>§FR-4.2。影響=U4/U5</t>
    <phoneticPr fontId="2"/>
  </si>
  <si>
    <t>SSO信頼レベル</t>
    <phoneticPr fontId="2"/>
  </si>
  <si>
    <t>P-11</t>
    <phoneticPr fontId="2"/>
  </si>
  <si>
    <t>JIT + SCIM受信併用、Custom Authenticator SPI案B、3系統Flow配置</t>
    <phoneticPr fontId="2"/>
  </si>
  <si>
    <t>利用者情報を作る経路をどう用意するか（初回ログイン時の自動作成、顧客からの自動同期など）</t>
    <phoneticPr fontId="2"/>
  </si>
  <si>
    <t>PoC V1〜V3''検証済。LDAP User Federation経路は対象外（2026-07-30、LDAP顧客なし）。影響=U2/U3</t>
    <phoneticPr fontId="2"/>
  </si>
  <si>
    <t>プロビジョニング</t>
    <phoneticPr fontId="2"/>
  </si>
  <si>
    <t>P-12</t>
    <phoneticPr fontId="2"/>
  </si>
  <si>
    <t>パターン②（L1 SCIM + L2 SAML JIT）</t>
    <phoneticPr fontId="2"/>
  </si>
  <si>
    <t>既存の業務システム（ServiceNow）との接続方式をどうするか</t>
    <phoneticPr fontId="2"/>
  </si>
  <si>
    <t>ADR-023 §L。影響=U10</t>
    <phoneticPr fontId="2"/>
  </si>
  <si>
    <t>ServiceNow</t>
    <phoneticPr fontId="2"/>
  </si>
  <si>
    <t>P-13</t>
    <phoneticPr fontId="2"/>
  </si>
  <si>
    <t>新規=OIDC / 既存SP=SAML</t>
    <phoneticPr fontId="2"/>
  </si>
  <si>
    <t>新しいアプリと既存アプリで、それぞれどの接続方式を標準とするか</t>
    <phoneticPr fontId="2"/>
  </si>
  <si>
    <t>saml-vs-oidc §16。影響=U5/U10</t>
    <phoneticPr fontId="2"/>
  </si>
  <si>
    <t>アプリ標準プロトコル</t>
    <phoneticPr fontId="2"/>
  </si>
  <si>
    <t>P-14</t>
    <phoneticPr fontId="2"/>
  </si>
  <si>
    <t>東京 ap-northeast-1（常用）+ 大阪 ap-northeast-3（DR時オンデマンド再構築、平時はROSA事前プロビジョニングなし）</t>
    <phoneticPr fontId="2"/>
  </si>
  <si>
    <t>どの地域に設備を置くか。予備の地域を平時から動かしておくか</t>
    <phoneticPr fontId="2"/>
  </si>
  <si>
    <t>2026-07-30 DR転換。Auroraバックアップ/スナップショットは平時から保全。P-05連動。影響=U6/U8</t>
    <phoneticPr fontId="2"/>
  </si>
  <si>
    <t>リージョン</t>
    <phoneticPr fontId="2"/>
  </si>
  <si>
    <t>P-15</t>
    <phoneticPr fontId="2"/>
  </si>
  <si>
    <t>1000超想定 — 条件付き成立。必須対策7点をU2設計制約とする</t>
    <phoneticPr fontId="2"/>
  </si>
  <si>
    <t>顧客のID基盤を何件まで繋ぐ想定にするか。その規模で本当に動くか</t>
    <phoneticPr fontId="2"/>
  </si>
  <si>
    <t>接続IdP数</t>
    <phoneticPr fontId="2"/>
  </si>
  <si>
    <t>P-16</t>
    <phoneticPr fontId="2"/>
  </si>
  <si>
    <t>検証必要</t>
    <phoneticPr fontId="2"/>
  </si>
  <si>
    <t>IdP-KCはBrokerと別AWSアカウント、ROSA HCP×2クラスタ</t>
    <phoneticPr fontId="2"/>
  </si>
  <si>
    <t>アカウント/クラスタ</t>
    <phoneticPr fontId="2"/>
  </si>
  <si>
    <t>P-17</t>
    <phoneticPr fontId="2"/>
  </si>
  <si>
    <t>basic-design/01-architecture-baseline.md §1.1/§1.2</t>
    <phoneticPr fontId="2"/>
  </si>
  <si>
    <t>他組織管理の監査Acct（In: CF+WAF+ALB or NLB+NWFW / Out: NWFWドメインフィルタ）</t>
    <phoneticPr fontId="2"/>
  </si>
  <si>
    <t>インターネットとの出入口を誰が管理するか。相手組織に何を要求として出すか</t>
    <phoneticPr fontId="2"/>
  </si>
  <si>
    <t>ADR-039 v3。当該設定は要求仕様として起こす。影響=U6/U7/U9</t>
    <phoneticPr fontId="2"/>
  </si>
  <si>
    <t>インターネット境界</t>
    <phoneticPr fontId="2"/>
  </si>
  <si>
    <t>P-18</t>
    <phoneticPr fontId="2"/>
  </si>
  <si>
    <t>ブランドユニット・アーキテクチャ（共有の仲介＋ブランド別のバックエンド）</t>
    <phoneticPr fontId="2"/>
  </si>
  <si>
    <t>将来のブランド拡張に備えてブランドをどの単位で隔離するか（現行の単一領域＋顧客所属のままか、ブランドごとに領域を分けるか）。権限系とID対応表をブランド側に置くか。物理分離をいつ判断するか</t>
    <phoneticPr fontId="2"/>
  </si>
  <si>
    <t>ブランド隔離の単位</t>
    <phoneticPr fontId="2"/>
  </si>
  <si>
    <t>P-BRAND-1</t>
    <phoneticPr fontId="2"/>
  </si>
  <si>
    <t>adr/063-brand-unit-architecture.md</t>
    <phoneticPr fontId="2"/>
  </si>
  <si>
    <t>検証ゲート</t>
    <phoneticPr fontId="2"/>
  </si>
  <si>
    <t>データ処理契約・越境（APPI 28条）</t>
    <phoneticPr fontId="2"/>
  </si>
  <si>
    <t>2026-07-30軟化: クラウド利用のAPPI同意は取得方針。残はRed Hat SRE越境閲覧の確認中1点（U7 §7.7.4）。ROSA再検討リスクは大幅低下</t>
    <phoneticPr fontId="2"/>
  </si>
  <si>
    <t>G-DPA</t>
    <phoneticPr fontId="2"/>
  </si>
  <si>
    <t>ゲートG</t>
    <phoneticPr fontId="2"/>
  </si>
  <si>
    <t>ROSA利用で進んでるがこれがひっくり返るとまた検討が必要。合わせてヒアリング</t>
    <phoneticPr fontId="2"/>
  </si>
  <si>
    <t>basic-design/01-architecture-baseline.md §1.5/§1.4a</t>
    <phoneticPr fontId="2"/>
  </si>
  <si>
    <t>エッジ層のDR切替合意</t>
    <phoneticPr fontId="2"/>
  </si>
  <si>
    <t>2026-07-30転換: 手動DR / RTO≈14日で大阪オンデマンド再構築 → RTO 1h・エッジ自動切替合意は不要。論点は「大阪再構築Runbook」へ（U8要改訂）</t>
    <phoneticPr fontId="2"/>
  </si>
  <si>
    <t>G-EDGE-DR</t>
    <phoneticPr fontId="2"/>
  </si>
  <si>
    <t>手動で良い</t>
    <phoneticPr fontId="2"/>
  </si>
  <si>
    <t>Egress許可ドメインの追加運用方式</t>
    <phoneticPr fontId="2"/>
  </si>
  <si>
    <t>外部への通信許可を追加するとき、誰にどう依頼し、何日で通るかを合意する</t>
    <phoneticPr fontId="2"/>
  </si>
  <si>
    <t>2026-07-30合意方向: 初期は一括、追加分は都度依頼（先方は依頼次第 当日〜翌日対応）→ 方式①+§NFR-3リードタイム（次営業日以内）は成立。U6 §6.7.3 D-U6-13、U9 §9.7.1</t>
    <phoneticPr fontId="2"/>
  </si>
  <si>
    <t>U6/U9</t>
    <phoneticPr fontId="2"/>
  </si>
  <si>
    <t>G-EGRESS</t>
    <phoneticPr fontId="2"/>
  </si>
  <si>
    <t>1000/2000 IdP実測PoC P-1〜P-7</t>
    <phoneticPr fontId="2"/>
  </si>
  <si>
    <t>G-IdP-Scale</t>
    <phoneticPr fontId="2"/>
  </si>
  <si>
    <t>検証必要被っているか</t>
    <phoneticPr fontId="2"/>
  </si>
  <si>
    <t>basic-design/01-architecture-baseline.md §1.5</t>
    <phoneticPr fontId="2"/>
  </si>
  <si>
    <t>PCI DSS向けWAF要件</t>
    <phoneticPr fontId="2"/>
  </si>
  <si>
    <t>クレジットカード規格向けの防御要件を確認するか（不要と決着済み）</t>
    <phoneticPr fontId="2"/>
  </si>
  <si>
    <t>2026-07-30廃止（PCI DSS対応不要）。B-MFA-PCI-1も不要。U7のPCIスコープを「Phase 1対象外」化（削除でなく降格、将来再開可）</t>
    <phoneticPr fontId="2"/>
  </si>
  <si>
    <t>（対象外化）</t>
    <phoneticPr fontId="2"/>
  </si>
  <si>
    <t>G-PCI-WAF</t>
    <phoneticPr fontId="2"/>
  </si>
  <si>
    <t>SCIM FacadeのSCIM 2.0準拠検証（Entra/Okta SCIM Validator + D1/D2 E2E + Soft Delete写像 + deprovisioned_atセット確認）</t>
    <phoneticPr fontId="2"/>
  </si>
  <si>
    <t>顧客のID基盤からの利用者自動同期が、各社の仕様どおり動き、大量件数でも耐えるか確かめる</t>
    <phoneticPr fontId="2"/>
  </si>
  <si>
    <t>G-SCIM</t>
    <phoneticPr fontId="2"/>
  </si>
  <si>
    <t>User Profileでemailを任意化した際のKeycloak既知不具合を回避し、email非保有ユーザーが登録/ログイン/更新を完走できるか実機検証</t>
    <phoneticPr fontId="2"/>
  </si>
  <si>
    <t>メールアドレスを持たない利用者でも、登録からログインまで完走できるか実機で確かめる</t>
    <phoneticPr fontId="2"/>
  </si>
  <si>
    <t>G-UProfile-Email</t>
    <phoneticPr fontId="2"/>
  </si>
  <si>
    <t>独自に作り込む4つの機能が、採用する製品の正式版でも問題なく動くか実機で確かめる</t>
    <phoneticPr fontId="2"/>
  </si>
  <si>
    <t>A. PoC・技術ゲート実測</t>
    <phoneticPr fontId="2"/>
  </si>
  <si>
    <t>00aタスク</t>
    <phoneticPr fontId="2"/>
  </si>
  <si>
    <t>旧ゲート G-SPI-Compat 統合済</t>
    <phoneticPr fontId="2"/>
  </si>
  <si>
    <t>basic-design/00a-remaining-tasks-and-effort.md §2 A/§3.1</t>
    <phoneticPr fontId="2"/>
  </si>
  <si>
    <t>ITDR DynamoDB大阪方式 + Break-Glass大阪実体（U7×U8）</t>
    <phoneticPr fontId="2"/>
  </si>
  <si>
    <t>不正検知の記録と緊急時アクセスを、予備の地域でどう用意するかを決める</t>
    <phoneticPr fontId="2"/>
  </si>
  <si>
    <t>D. 未確定設計の合同確定</t>
    <phoneticPr fontId="2"/>
  </si>
  <si>
    <t>D-7</t>
    <phoneticPr fontId="2"/>
  </si>
  <si>
    <t>basic-design/00a-remaining-tasks-and-effort.md §2 D</t>
    <phoneticPr fontId="2"/>
  </si>
  <si>
    <t>IdP証明書ローテーション運用設計（SP側SAML鍵ローテ含む）</t>
    <phoneticPr fontId="2"/>
  </si>
  <si>
    <t>接続に使う証明書を、どの手順で入れ替え運用するかを決める</t>
    <phoneticPr fontId="2"/>
  </si>
  <si>
    <t>D-12</t>
    <phoneticPr fontId="2"/>
  </si>
  <si>
    <t>ロックアウト×Brokerリスクスコア整合</t>
    <phoneticPr fontId="2"/>
  </si>
  <si>
    <t>アカウント停止の判定と不審な動きの検知の判定が、互いに矛盾しないよう整合させる</t>
    <phoneticPr fontId="2"/>
  </si>
  <si>
    <t>D-13</t>
    <phoneticPr fontId="2"/>
  </si>
  <si>
    <t>ATPフォームフィールド添付 + HRD文言最終稿</t>
    <phoneticPr fontId="2"/>
  </si>
  <si>
    <t>入力画面の項目と、所属を判定する画面の文言を確定させる</t>
    <phoneticPr fontId="2"/>
  </si>
  <si>
    <t>D-14</t>
    <phoneticPr fontId="2"/>
  </si>
  <si>
    <t>brute force戦略選定 + アカウント列挙対策の明文化</t>
    <phoneticPr fontId="2"/>
  </si>
  <si>
    <t>総当たり攻撃への対策方式を選び、アカウントの有無を推測されない工夫を文書化する</t>
    <phoneticPr fontId="2"/>
  </si>
  <si>
    <t>E. 新規検討領域</t>
    <phoneticPr fontId="2"/>
  </si>
  <si>
    <t>E-8</t>
    <phoneticPr fontId="2"/>
  </si>
  <si>
    <t>basic-design/00a-remaining-tasks-and-effort.md §2 E</t>
    <phoneticPr fontId="2"/>
  </si>
  <si>
    <t>ADR-040/036別スレッド完了後の統合（OOS残存参照整理）</t>
    <phoneticPr fontId="2"/>
  </si>
  <si>
    <t>別で進めている特権管理・監査の検討結果を、本体の文書に統合する</t>
    <phoneticPr fontId="2"/>
  </si>
  <si>
    <t>F. ヒアリング・契約・法務</t>
    <phoneticPr fontId="2"/>
  </si>
  <si>
    <t>F-4</t>
    <phoneticPr fontId="2"/>
  </si>
  <si>
    <t>basic-design/00a-remaining-tasks-and-effort.md §2 F</t>
    <phoneticPr fontId="2"/>
  </si>
  <si>
    <t>FinOps/継続コスト管理（タグ戦略・予算アラート・テナント別原価・3y見積回収）</t>
    <phoneticPr fontId="2"/>
  </si>
  <si>
    <t>費用の見える化と予算超過の検知、顧客ごとの原価計算をどう行うかを決める</t>
    <phoneticPr fontId="2"/>
  </si>
  <si>
    <t>E-3</t>
    <phoneticPr fontId="2"/>
  </si>
  <si>
    <t>顧客のID基盤を1000〜2000件つないだ状態で、ログイン速度・管理画面の反応・メモリ消費が実用に耐えるかを実際に測る</t>
    <phoneticPr fontId="2"/>
  </si>
  <si>
    <t>A-1</t>
    <phoneticPr fontId="2"/>
  </si>
  <si>
    <t>basic-design/00a-remaining-tasks-and-effort.md §2 A</t>
    <phoneticPr fontId="2"/>
  </si>
  <si>
    <t>G-SCIM（自作SCIM Facadeプロトタイプ実装 + Entra/Okta Validator + D1/D2 E2E + Soft Delete写像 + 500/1000テナントp99 + バルク5万件）</t>
    <phoneticPr fontId="2"/>
  </si>
  <si>
    <t>利用者情報の自動同期の受け口を試作し、各社の検証ツールで仕様どおりか、大量件数でも遅くならないかを確かめる</t>
    <phoneticPr fontId="2"/>
  </si>
  <si>
    <t>A-3</t>
    <phoneticPr fontId="2"/>
  </si>
  <si>
    <t>G-LDAP（B-SCIM-13）</t>
    <phoneticPr fontId="2"/>
  </si>
  <si>
    <t>社内ディレクトリとの直接連携を検証するか（不要と決着し中止）</t>
    <phoneticPr fontId="2"/>
  </si>
  <si>
    <t>旧ゲート G-LDAP 統合済</t>
    <phoneticPr fontId="2"/>
  </si>
  <si>
    <t>B-SCIM-12: SAML経由JITのSPI検証（NameID handling差）</t>
    <phoneticPr fontId="2"/>
  </si>
  <si>
    <t>旧来方式のID基盤を経由した場合も、初回ログイン時の利用者自動作成が正しく動くか確かめる</t>
    <phoneticPr fontId="2"/>
  </si>
  <si>
    <t>A-5</t>
    <phoneticPr fontId="2"/>
  </si>
  <si>
    <t>B-SCIM-14: 実IdP統合検証（Entra ID / Okta trialでClaims・iss・SPI発火・login_hint・amr差）</t>
    <phoneticPr fontId="2"/>
  </si>
  <si>
    <t>Microsoft・Oktaの実環境につないで、受け取る情報や動きの違いを洗い出す</t>
    <phoneticPr fontId="2"/>
  </si>
  <si>
    <t>A-6</t>
    <phoneticPr fontId="2"/>
  </si>
  <si>
    <t>G-OSAKA: 大阪c7g/c7i在庫・vCPUクォータ・arm64 Machine Pool / RHBK Operator arm64対応</t>
    <phoneticPr fontId="2"/>
  </si>
  <si>
    <t>予備の地域で必要な機材が実際に確保できるか、上限に引っかからないかを確認する</t>
    <phoneticPr fontId="2"/>
  </si>
  <si>
    <t>旧ゲート G-OSAKA 統合済</t>
    <phoneticPr fontId="2"/>
  </si>
  <si>
    <t>Argon2idスループット実測（KCデフォルト m=7MiB/t=5 でのreq/s実測 → サイジング補正）</t>
    <phoneticPr fontId="2"/>
  </si>
  <si>
    <t>パスワード検証の処理がどれだけの速さで回るかを測り、設備の大きさを補正する</t>
    <phoneticPr fontId="2"/>
  </si>
  <si>
    <t>A-8</t>
    <phoneticPr fontId="2"/>
  </si>
  <si>
    <t>SAMLメタデータ自動更新の実機確認（metadata descriptor URL + Refresh periodが実機に存在・動作するか）</t>
    <phoneticPr fontId="2"/>
  </si>
  <si>
    <t>接続情報の自動更新機能が実機に本当にあるか確かめる。無ければ手作業での代替手順を決める</t>
    <phoneticPr fontId="2"/>
  </si>
  <si>
    <t>A-9</t>
    <phoneticPr fontId="2"/>
  </si>
  <si>
    <t>SPI debounce負荷試験（100 RPS × 24h × 10万ユーザのAurora IOPS / Infinispan invalidate / Podリソース）</t>
    <phoneticPr fontId="2"/>
  </si>
  <si>
    <t>独自機能に高い負荷をかけ続けたとき、データベースや各部品が耐えられるか測る</t>
    <phoneticPr fontId="2"/>
  </si>
  <si>
    <t>A-10</t>
    <phoneticPr fontId="2"/>
  </si>
  <si>
    <t>小粒実機確認バンドル（multi-cluster v2版数 / ROSA SA issuer JWKS / Red Hat docs 403分のEUS・Operatorチャネル・監査ログ制約の本文確認）</t>
    <phoneticPr fontId="2"/>
  </si>
  <si>
    <t>製品の版数・鍵情報の窓口・ログの制約など、細かい確認事項をまとめて一度に確かめる</t>
    <phoneticPr fontId="2"/>
  </si>
  <si>
    <t>A-11</t>
    <phoneticPr fontId="2"/>
  </si>
  <si>
    <t>ServiceNow SP連携の実機検証（SAML Client CL-SN-01実機 + L1 SCIM→L2 SAML JIT統合フロー + Matching Field突合 + Webhook配信）</t>
    <phoneticPr fontId="2"/>
  </si>
  <si>
    <t>既存の業務システムとの接続を実機で通し、利用者の突合や通知が正しく動くか確かめる</t>
    <phoneticPr fontId="2"/>
  </si>
  <si>
    <t>A-12</t>
    <phoneticPr fontId="2"/>
  </si>
  <si>
    <t>basic-design/00a-remaining-tasks-and-effort.md §2 A/横串</t>
    <phoneticPr fontId="2"/>
  </si>
  <si>
    <t>要求仕様書v1の発行〜回答反映（既存B部記述を要求仕様書として体裁化・発行、先方QA対応、回答の各単元反映）</t>
    <phoneticPr fontId="2"/>
  </si>
  <si>
    <t>インターネットの出入口を管理する相手組織に、こちらの要求を文書で出して回答をもらう</t>
    <phoneticPr fontId="2"/>
  </si>
  <si>
    <t>B. 他組織・エッジ連携確定</t>
    <phoneticPr fontId="2"/>
  </si>
  <si>
    <t>B-1</t>
    <phoneticPr fontId="2"/>
  </si>
  <si>
    <t>basic-design/00a-remaining-tasks-and-effort.md §2 B</t>
    <phoneticPr fontId="2"/>
  </si>
  <si>
    <t>CloudFront→エッジLB到達方式 + NFWルート設計の技術詰め</t>
    <phoneticPr fontId="2"/>
  </si>
  <si>
    <t>外部からの通信を、相手組織の防御装置を通してどう届けるかを技術的に詰める</t>
    <phoneticPr fontId="2"/>
  </si>
  <si>
    <t>B-2</t>
    <phoneticPr fontId="2"/>
  </si>
  <si>
    <t>CIDR台帳の凍結（社内NW・他組織・顧客CIDRの入手と衝突確認）</t>
    <phoneticPr fontId="2"/>
  </si>
  <si>
    <t>使用するネットワークの番号を関係先から集め、重複がないか確認して確定させる（構築後は変更できない）</t>
    <phoneticPr fontId="2"/>
  </si>
  <si>
    <t>B-3</t>
    <phoneticPr fontId="2"/>
  </si>
  <si>
    <t>3ゲート合意の交渉サポート資料（SLA選択肢・未合意時の要件改訂影響を先方向けに整理）</t>
    <phoneticPr fontId="2"/>
  </si>
  <si>
    <t>稼働率・復旧目標・通信許可の3点について、選択肢と決まらない場合の影響を相手向けに整理する</t>
    <phoneticPr fontId="2"/>
  </si>
  <si>
    <t>B-4</t>
    <phoneticPr fontId="2"/>
  </si>
  <si>
    <t>Canary Bot除外合意（Canary送信元のWAF誤検知除外をREQ追補へ）</t>
    <phoneticPr fontId="2"/>
  </si>
  <si>
    <t>常時監視用の自動アクセスが誤って遮断されないよう、相手組織に除外を依頼する</t>
    <phoneticPr fontId="2"/>
  </si>
  <si>
    <t>B-5</t>
    <phoneticPr fontId="2"/>
  </si>
  <si>
    <t>U6サイジング是正（Podモデル+接続予算）</t>
    <phoneticPr fontId="2"/>
  </si>
  <si>
    <t>設備の台数と接続数の見積りに食い違いがあるので、方式を決め直して計算をやり直す</t>
    <phoneticPr fontId="2"/>
  </si>
  <si>
    <t>C. 設計是正・文書整合</t>
    <phoneticPr fontId="2"/>
  </si>
  <si>
    <t>C-1</t>
    <phoneticPr fontId="2"/>
  </si>
  <si>
    <t>basic-design/00a-remaining-tasks-and-effort.md §2 C</t>
    <phoneticPr fontId="2"/>
  </si>
  <si>
    <t>全般・プロジェクト進行</t>
    <phoneticPr fontId="2"/>
  </si>
  <si>
    <t>Baseline整合3点（NFR-3 10M改訂 / §C-7改訂ステータスの01・00-index矛盾突合 / P-09「RT 30日」精密化）</t>
    <phoneticPr fontId="2"/>
  </si>
  <si>
    <t>想定人数などの記載が文書間で食い違っているので揃える</t>
    <phoneticPr fontId="2"/>
  </si>
  <si>
    <t>C-2</t>
    <phoneticPr fontId="2"/>
  </si>
  <si>
    <t>ADR反映残の一括処理（ADR-051の12項目 / 053 / 059 / 019 / 048 / 038 / 023 §L.8 + research波及文書修正）</t>
    <phoneticPr fontId="2"/>
  </si>
  <si>
    <t>各設計書で決まった内容を、決定記録の文書側にも反映する</t>
    <phoneticPr fontId="2"/>
  </si>
  <si>
    <t>C-3</t>
    <phoneticPr fontId="2"/>
  </si>
  <si>
    <t>小粒登録4点（legacy_spiのD3-04行追加 / REQ-IN-12のU6登録 / REQ-OUT-06起票 / Pod・Service CIDRずらし承認）</t>
    <phoneticPr fontId="2"/>
  </si>
  <si>
    <t>登録漏れになっている項目を各文書に追記する</t>
    <phoneticPr fontId="2"/>
  </si>
  <si>
    <t>C-4</t>
    <phoneticPr fontId="2"/>
  </si>
  <si>
    <t>宙に浮いた参照8件の解消（idp_priority→D-1 / AAL操作一覧→D-2 / canaryスコープ→D-10 / L4特権JIT API→D-15 / drawio→G-4 / 00計画書のSorry旧記述 / §C-7 / ADR-040・036トリガー追跡→F-4）</t>
    <phoneticPr fontId="2"/>
  </si>
  <si>
    <t>「別の場所で決める」と書いたまま行き先が決まっていない8件について、担当を確定させる</t>
    <phoneticPr fontId="2"/>
  </si>
  <si>
    <t>C-5</t>
    <phoneticPr fontId="2"/>
  </si>
  <si>
    <t>research波及文書修正（rosa-detailed-analysis §4/§7、rhbk-support-and-pricing §4.5）</t>
    <phoneticPr fontId="2"/>
  </si>
  <si>
    <t>調査メモの記述を最新の決定内容に合わせて直す</t>
    <phoneticPr fontId="2"/>
  </si>
  <si>
    <t>C-6</t>
    <phoneticPr fontId="2"/>
  </si>
  <si>
    <t>PCI DSSスコープのPhase 1除外化</t>
    <phoneticPr fontId="2"/>
  </si>
  <si>
    <t>クレジットカード規格の記載を「今回は対象外」に格下げする（将来再開できる形で残す）</t>
    <phoneticPr fontId="2"/>
  </si>
  <si>
    <t>C-7</t>
    <phoneticPr fontId="2"/>
  </si>
  <si>
    <t>LDAP経路の対象外化（U2/U3のLDAP記述、ADR-025 §H、D3-04 ldap経路に「Phase 1対象外」注記）</t>
    <phoneticPr fontId="2"/>
  </si>
  <si>
    <t>社内ディレクトリ連携の記載を「今回は対象外」に格下げする</t>
    <phoneticPr fontId="2"/>
  </si>
  <si>
    <t>C-8</t>
    <phoneticPr fontId="2"/>
  </si>
  <si>
    <t>idp_priority属性 + Orgセレクター表示順（U2×U4合同）</t>
    <phoneticPr fontId="2"/>
  </si>
  <si>
    <t>ログイン画面で所属の選択肢をどの順番で並べるかを決める</t>
    <phoneticPr fontId="2"/>
  </si>
  <si>
    <t>D-1</t>
    <phoneticPr fontId="2"/>
  </si>
  <si>
    <t>AAL2/AAL3要求操作一覧（RP契約の前倒し確定）</t>
    <phoneticPr fontId="2"/>
  </si>
  <si>
    <t>どの操作のときに追加の本人確認を求めるか、その一覧を決める</t>
    <phoneticPr fontId="2"/>
  </si>
  <si>
    <t>D-2</t>
    <phoneticPr fontId="2"/>
  </si>
  <si>
    <t>idmap補助DB物理配置</t>
    <phoneticPr fontId="2"/>
  </si>
  <si>
    <t>利用者の番号を対応づける台帳を、どこに置くかを決める</t>
    <phoneticPr fontId="2"/>
  </si>
  <si>
    <t>D-3</t>
    <phoneticPr fontId="2"/>
  </si>
  <si>
    <t>SCIM Facade実行形態（U3×U6×U9三者）</t>
    <phoneticPr fontId="2"/>
  </si>
  <si>
    <t>利用者情報の自動同期の受け口を、どういう形で動かすかを決める</t>
    <phoneticPr fontId="2"/>
  </si>
  <si>
    <t>D-4</t>
    <phoneticPr fontId="2"/>
  </si>
  <si>
    <t>idm-api内部ルート + サービス間認可</t>
    <phoneticPr fontId="2"/>
  </si>
  <si>
    <t>管理用APIの内部の通り道と、部品同士の権限の与え方を決める</t>
    <phoneticPr fontId="2"/>
  </si>
  <si>
    <t>D-5</t>
    <phoneticPr fontId="2"/>
  </si>
  <si>
    <t>SES/メール送信設計（サンドボックス解除・SPF/DKIM・realm単位SMTP as-code）</t>
    <phoneticPr fontId="2"/>
  </si>
  <si>
    <t>通知メールをどこから送るか、なりすまし対策をどう設定するかを決める</t>
    <phoneticPr fontId="2"/>
  </si>
  <si>
    <t>D-6</t>
    <phoneticPr fontId="2"/>
  </si>
  <si>
    <t>D3-17 portal値 + ext_拡張属性受入枠 + app 90日バッチオプトイン</t>
    <phoneticPr fontId="2"/>
  </si>
  <si>
    <t>追加で受け入れる利用者項目の枠と、その扱い方を決める</t>
    <phoneticPr fontId="2"/>
  </si>
  <si>
    <t>D-8</t>
    <phoneticPr fontId="2"/>
  </si>
  <si>
    <t>idm-api周辺5点（エンタイトルメント×App Registryスキーマ統合 / 監査二重書き / 承認UI共用 / canaryスコープ / SLO境界）</t>
    <phoneticPr fontId="2"/>
  </si>
  <si>
    <t>権限一覧・記録の二重化・承認画面の共用など、管理API周辺の5点を決める</t>
    <phoneticPr fontId="2"/>
  </si>
  <si>
    <t>D-9</t>
    <phoneticPr fontId="2"/>
  </si>
  <si>
    <t>LDAP経路の追加Flow設計</t>
    <phoneticPr fontId="2"/>
  </si>
  <si>
    <t>社内ディレクトリ向けの追加設計（不要と決着し中止）</t>
    <phoneticPr fontId="2"/>
  </si>
  <si>
    <t>D-10</t>
    <phoneticPr fontId="2"/>
  </si>
  <si>
    <t>SAML IdPテンプレート（Mapper定義）</t>
    <phoneticPr fontId="2"/>
  </si>
  <si>
    <t>旧来方式のID基盤をつなぐときの標準設定の雛形を作る</t>
    <phoneticPr fontId="2"/>
  </si>
  <si>
    <t>D-11</t>
    <phoneticPr fontId="2"/>
  </si>
  <si>
    <t>L3昇格API配置</t>
    <phoneticPr fontId="2"/>
  </si>
  <si>
    <t>特別に強い権限へ一時的に上げる仕組みを、どこに置くかを決める</t>
    <phoneticPr fontId="2"/>
  </si>
  <si>
    <t>D-15</t>
    <phoneticPr fontId="2"/>
  </si>
  <si>
    <t>ServiceNow移行・並走・削除連鎖の設計詰め（並走4Phase M0〜M3詳細手順 + 削除連鎖 + SN Break Glass実体 + SN-onlyユーザ移行/PW移行判定）</t>
    <phoneticPr fontId="2"/>
  </si>
  <si>
    <t>既存業務システムからの移行手順と、退職時に双方から消える連動の作り方を決める</t>
    <phoneticPr fontId="2"/>
  </si>
  <si>
    <t>D-16</t>
    <phoneticPr fontId="2"/>
  </si>
  <si>
    <t>basic-design/00a-remaining-tasks-and-effort.md §2 D/横串</t>
    <phoneticPr fontId="2"/>
  </si>
  <si>
    <t>アイデンティティモデル改訂（全顧客ユーザーをフェデ化。ローカル管理者=Broker/IdP-KC両KCの基盤運用者P-1のみ・踏み台/SSMクローズド接続）</t>
    <phoneticPr fontId="2"/>
  </si>
  <si>
    <t>顧客の管理者も含め全員を顧客側の仕組みでログインさせる方針に合わせ、関連する設計文書を書き換える</t>
    <phoneticPr fontId="2"/>
  </si>
  <si>
    <t>D-17</t>
    <phoneticPr fontId="2"/>
  </si>
  <si>
    <t>DRコールド化 + データ保全改訂（パイロットライト→手動コールドDR、RTO≈14日。2障害シナリオを区別）</t>
    <phoneticPr fontId="2"/>
  </si>
  <si>
    <t>D-18</t>
    <phoneticPr fontId="2"/>
  </si>
  <si>
    <t>dev/stg環境設計（Acct構成・ROSAクラスタ数/共用方針・テストデータ・コスト）</t>
    <phoneticPr fontId="2"/>
  </si>
  <si>
    <t>開発用・検証用の環境をどう用意するかを決める（現状は本番前提の設計しかない）</t>
    <phoneticPr fontId="2"/>
  </si>
  <si>
    <t>E-1</t>
    <phoneticPr fontId="2"/>
  </si>
  <si>
    <t>負荷試験一元計画書（keycloak-benchmark/Gatling・dataset投入・合格基準・「Pod増で1Pod性能低下」公式警告の織込み）</t>
    <phoneticPr fontId="2"/>
  </si>
  <si>
    <t>性能試験のやり方と合格基準を1冊にまとめる。以降の実測作業すべての前提になる</t>
    <phoneticPr fontId="2"/>
  </si>
  <si>
    <t>E-2</t>
    <phoneticPr fontId="2"/>
  </si>
  <si>
    <t>basic-design/00a-remaining-tasks-and-effort.md §2 E/§4</t>
    <phoneticPr fontId="2"/>
  </si>
  <si>
    <t>KC本番設定の詰め漏れ反映（http-max-queued-requests / 公開パス遮断表 / JGroups mTLS 30日自動ローテ / jdbc-ping / persistent-user-sessions前提確認）</t>
    <phoneticPr fontId="2"/>
  </si>
  <si>
    <t>高負荷時の受付制限や、管理用の入口を外部から遮断する設定など、本番運用向けの細部を決める</t>
    <phoneticPr fontId="2"/>
  </si>
  <si>
    <t>E-4</t>
    <phoneticPr fontId="2"/>
  </si>
  <si>
    <t>アップグレード運用の精密化（update-compatibility checkのCI組込み / DB・cache系変更=recreate全停止のメンテ窓設計 / RHBK EUS・チャネル確認）</t>
    <phoneticPr fontId="2"/>
  </si>
  <si>
    <t>製品更新のとき無停止でできるかを機械的に判定する方法と、止める場合の作業時間帯を決める</t>
    <phoneticPr fontId="2"/>
  </si>
  <si>
    <t>E-5</t>
    <phoneticPr fontId="2"/>
  </si>
  <si>
    <t>Aurora接続の公式部品採否（AWS Advanced JDBC Wrapper failoverプラグイン採否 / migration-strategy選定 / WAL・バックアップ暗号化範囲確認）</t>
    <phoneticPr fontId="2"/>
  </si>
  <si>
    <t>データベース接続に公式の部品を使うか、切替時の動きをどうするかを決める</t>
    <phoneticPr fontId="2"/>
  </si>
  <si>
    <t>E-6</t>
    <phoneticPr fontId="2"/>
  </si>
  <si>
    <t>ROSA監査ログの中央集約制約（CloudWatch別Acct直接転送非サポートの本文確認 + 4.17.2+ OAuthログ肥大）</t>
    <phoneticPr fontId="2"/>
  </si>
  <si>
    <t>基盤側のログを監査用の場所に集められるか制約を確認し、集約方針と整合させる</t>
    <phoneticPr fontId="2"/>
  </si>
  <si>
    <t>E-7</t>
    <phoneticPr fontId="2"/>
  </si>
  <si>
    <t>ヒアリング質問状のパッケージ化（127項目を優先度圧縮）</t>
    <phoneticPr fontId="2"/>
  </si>
  <si>
    <t>顧客に聞くべき127項目を優先度で絞り、質問状として送れる形にまとめる（未回答123件）</t>
    <phoneticPr fontId="2"/>
  </si>
  <si>
    <t>F-1</t>
    <phoneticPr fontId="2"/>
  </si>
  <si>
    <t>basic-design/00a-remaining-tasks-and-effort.md §2 F/§0</t>
    <phoneticPr fontId="2"/>
  </si>
  <si>
    <t>ヒアリング回答反映（P表更新→影響単元改訂）</t>
    <phoneticPr fontId="2"/>
  </si>
  <si>
    <t>顧客の回答を受けて前提表を更新し、影響する設計文書を直す</t>
    <phoneticPr fontId="2"/>
  </si>
  <si>
    <t>F-2</t>
    <phoneticPr fontId="2"/>
  </si>
  <si>
    <t>法務系の起票と追撃（Red Hat DPA / Key Custodian Agreement / PPC報告雛形 / 契約テンプレ）</t>
    <phoneticPr fontId="2"/>
  </si>
  <si>
    <t>契約・法令面の文書を起こして相手を追いかける（海外の保守要員による閲覧の扱いが最後の1点）</t>
    <phoneticPr fontId="2"/>
  </si>
  <si>
    <t>F-3</t>
    <phoneticPr fontId="2"/>
  </si>
  <si>
    <t>basic-design/00a-remaining-tasks-and-effort.md §2 F/§3.1</t>
    <phoneticPr fontId="2"/>
  </si>
  <si>
    <t>Runbook Phase 1必須13冊の執筆（TEN-01/03、SEC-01〜06、DR-00〜05）</t>
    <phoneticPr fontId="2"/>
  </si>
  <si>
    <t>運用担当者が障害時や作業時に見る手順書を、まず必須の13冊書く</t>
    <phoneticPr fontId="2"/>
  </si>
  <si>
    <t>G. 運用実体化</t>
    <phoneticPr fontId="2"/>
  </si>
  <si>
    <t>G-1</t>
    <phoneticPr fontId="2"/>
  </si>
  <si>
    <t>basic-design/00a-remaining-tasks-and-effort.md §2 G</t>
    <phoneticPr fontId="2"/>
  </si>
  <si>
    <t>（参考・総計外）Runbook残り23冊 — リリース後3ヶ月以内</t>
    <phoneticPr fontId="2"/>
  </si>
  <si>
    <t>残りの手順書23冊を書く（稼働開始後3ヶ月以内でよい）</t>
    <phoneticPr fontId="2"/>
  </si>
  <si>
    <t>G-2</t>
    <phoneticPr fontId="2"/>
  </si>
  <si>
    <t>オンコール/アラートRouting実体（PagerDuty契約・ローテーション）</t>
    <phoneticPr fontId="2"/>
  </si>
  <si>
    <t>夜間・休日の呼び出し当番と、通知の飛ばし方を実際に組む</t>
    <phoneticPr fontId="2"/>
  </si>
  <si>
    <t>G-3</t>
    <phoneticPr fontId="2"/>
  </si>
  <si>
    <t>drawio清書（mermaid → AWSアイコン版、旧EKS図置換）</t>
    <phoneticPr fontId="2"/>
  </si>
  <si>
    <t>手書き相当の構成図を、正式な図に描き直す</t>
    <phoneticPr fontId="2"/>
  </si>
  <si>
    <t>G-4</t>
    <phoneticPr fontId="2"/>
  </si>
  <si>
    <t>認証基盤 要件定義・基本設計 進捗サマリー</t>
    <phoneticPr fontId="2"/>
  </si>
  <si>
    <t>出典: github.com/suepie/aws-atuh-poc（doc/requirements + doc/basic-design + doc/adr）/ commit 9511a58 / 明細は「進捗一覧」「設計決定一覧」参照</t>
    <phoneticPr fontId="2"/>
  </si>
  <si>
    <t>本表はGitからの派生ビュー（読み取り専用）。SSOTはGit側。</t>
    <phoneticPr fontId="2"/>
  </si>
  <si>
    <t>① 種別別の進捗（状況は5区分）</t>
    <phoneticPr fontId="2"/>
  </si>
  <si>
    <t>合計</t>
    <phoneticPr fontId="2"/>
  </si>
  <si>
    <t>② 系統別 内訳</t>
    <phoneticPr fontId="2"/>
  </si>
  <si>
    <t>大項目</t>
    <phoneticPr fontId="2"/>
  </si>
  <si>
    <t>系統</t>
    <phoneticPr fontId="2"/>
  </si>
  <si>
    <t>FR-AUTH 認証フロー/Grant Type・PW管理</t>
    <phoneticPr fontId="2"/>
  </si>
  <si>
    <t>FR-FED フェデレーション</t>
    <phoneticPr fontId="2"/>
  </si>
  <si>
    <t>FR-MFA 多要素認証</t>
    <phoneticPr fontId="2"/>
  </si>
  <si>
    <t>FR-SSO SSO・ログアウト・セッション</t>
    <phoneticPr fontId="2"/>
  </si>
  <si>
    <t>FR-AUTHZ 認可</t>
    <phoneticPr fontId="2"/>
  </si>
  <si>
    <t>FR-USER ユーザー管理</t>
    <phoneticPr fontId="2"/>
  </si>
  <si>
    <t>FR-ADMIN 管理機能</t>
    <phoneticPr fontId="2"/>
  </si>
  <si>
    <t>FR-INT 連携・標準準拠</t>
    <phoneticPr fontId="2"/>
  </si>
  <si>
    <t>NFR-PERF 性能</t>
    <phoneticPr fontId="2"/>
  </si>
  <si>
    <t>NFR-SCL スケーラビリティ</t>
    <phoneticPr fontId="2"/>
  </si>
  <si>
    <t>NFR-SEC セキュリティ</t>
    <phoneticPr fontId="2"/>
  </si>
  <si>
    <t>NFR-OPS 運用・監視</t>
    <phoneticPr fontId="2"/>
  </si>
  <si>
    <t>NFR-COMP コンプライアンス</t>
    <phoneticPr fontId="2"/>
  </si>
  <si>
    <t>NFR-MIG 移行</t>
    <phoneticPr fontId="2"/>
  </si>
  <si>
    <t>A. PoC・技術ゲート実測（調査87人日）</t>
    <phoneticPr fontId="2"/>
  </si>
  <si>
    <t>B. 他組織・エッジ連携確定（検討22人日）</t>
    <phoneticPr fontId="2"/>
  </si>
  <si>
    <t>C. 設計是正・文書整合（検討17人日）</t>
    <phoneticPr fontId="2"/>
  </si>
  <si>
    <t>D. 未確定設計の合同確定（検討50人日）</t>
    <phoneticPr fontId="2"/>
  </si>
  <si>
    <t>E. 新規検討領域（調査10+検討23人日）</t>
    <phoneticPr fontId="2"/>
  </si>
  <si>
    <t>F. ヒアリング・契約・法務（検討13人日）</t>
    <phoneticPr fontId="2"/>
  </si>
  <si>
    <t>G. 運用実体化（検討22人日）</t>
    <phoneticPr fontId="2"/>
  </si>
  <si>
    <t>③ 重点論点（2026-07-30 意思決定後）</t>
    <phoneticPr fontId="2"/>
  </si>
  <si>
    <t>ID</t>
    <phoneticPr fontId="2"/>
  </si>
  <si>
    <t>論点</t>
    <phoneticPr fontId="2"/>
  </si>
  <si>
    <t>A-2 / G-SPI-Compat</t>
    <phoneticPr fontId="2"/>
  </si>
  <si>
    <t>RHBK 26.4 × upstream Custom SPI 互換検証（HRD / Re-Activation）</t>
    <phoneticPr fontId="2"/>
  </si>
  <si>
    <t>未着手（検証実施は確定）</t>
    <phoneticPr fontId="2"/>
  </si>
  <si>
    <t>実質残ブロッカー①</t>
    <phoneticPr fontId="2"/>
  </si>
  <si>
    <t>F-3 / G-DPA</t>
    <phoneticPr fontId="2"/>
  </si>
  <si>
    <t>Red Hat SRE の越境閲覧確認（APPI 28条）。クラウド利用の同意は取得方針</t>
    <phoneticPr fontId="2"/>
  </si>
  <si>
    <t>確認中</t>
    <phoneticPr fontId="2"/>
  </si>
  <si>
    <t>実質残ブロッカー②</t>
    <phoneticPr fontId="2"/>
  </si>
  <si>
    <t>ヒアリング質問状のパッケージ化。全127項目中 未回答123（顧客回答ゼロ）</t>
    <phoneticPr fontId="2"/>
  </si>
  <si>
    <t>未着手</t>
    <phoneticPr fontId="2"/>
  </si>
  <si>
    <t>W0 最優先（外部依頼）</t>
    <phoneticPr fontId="2"/>
  </si>
  <si>
    <t>要求仕様書v1の発行。REQ-IN/OUT/DR 全件未回答</t>
    <phoneticPr fontId="2"/>
  </si>
  <si>
    <t>法務起票（Red Hat DPA 最優先）</t>
    <phoneticPr fontId="2"/>
  </si>
  <si>
    <t>E-2 → A-1 → C-1/D系</t>
    <phoneticPr fontId="2"/>
  </si>
  <si>
    <t>負荷試験計画 → G-IdP-Scale実測(25人日) → キャッシュ・Pod・接続予算の最終値</t>
    <phoneticPr fontId="2"/>
  </si>
  <si>
    <t>内部クリティカルパス</t>
    <phoneticPr fontId="2"/>
  </si>
  <si>
    <t>アイデンティティモデル改訂（全顧客ユーザーのフェデ化、P-07転換）</t>
    <phoneticPr fontId="2"/>
  </si>
  <si>
    <t>決定を受けた改訂タスク</t>
    <phoneticPr fontId="2"/>
  </si>
  <si>
    <t>DRコールド化＋データ保全改訂（RTO≈14日、P-05/P-15転換）</t>
    <phoneticPr fontId="2"/>
  </si>
  <si>
    <t>A-4 / D-10 / G-LDAP</t>
    <phoneticPr fontId="2"/>
  </si>
  <si>
    <t>LDAP 経路（LDAP顧客なし）</t>
    <phoneticPr fontId="2"/>
  </si>
  <si>
    <t>対象外化で決着</t>
    <phoneticPr fontId="2"/>
  </si>
  <si>
    <t>スコープ除外</t>
    <phoneticPr fontId="2"/>
  </si>
  <si>
    <t>C-7 / G-PCI-WAF</t>
    <phoneticPr fontId="2"/>
  </si>
  <si>
    <t>PCI DSS（対応不要）。削除でなく降格・将来再開可</t>
    <phoneticPr fontId="2"/>
  </si>
  <si>
    <t>④ 要件→設計 対応状況（漏れ探し）</t>
    <phoneticPr fontId="2"/>
  </si>
  <si>
    <t>件数</t>
    <phoneticPr fontId="2"/>
  </si>
  <si>
    <t>割合</t>
    <phoneticPr fontId="2"/>
  </si>
  <si>
    <t>意味</t>
    <phoneticPr fontId="2"/>
  </si>
  <si>
    <t>対応状況</t>
    <phoneticPr fontId="2"/>
  </si>
  <si>
    <t>対応する設計決定が特定できた</t>
    <phoneticPr fontId="2"/>
  </si>
  <si>
    <t>一部は決まっているが残りは未確定・他単元待ち</t>
    <phoneticPr fontId="2"/>
  </si>
  <si>
    <t>取込済の設計書に対応する決定が見当たらない（★要確認）</t>
    <phoneticPr fontId="2"/>
  </si>
  <si>
    <t>意図的にスコープ外と決着済</t>
    <phoneticPr fontId="2"/>
  </si>
  <si>
    <t>該当設計書（U4/U6〜U10）未読込のため判定不能</t>
    <phoneticPr fontId="2"/>
  </si>
  <si>
    <t>単元未取込</t>
    <phoneticPr fontId="2"/>
  </si>
  <si>
    <t>⑤ 設計→要件 逆マッピング（根拠確認）</t>
    <phoneticPr fontId="2"/>
  </si>
  <si>
    <t>意味・対応</t>
    <phoneticPr fontId="2"/>
  </si>
  <si>
    <t>根拠が辩できる。確認不要</t>
    <phoneticPr fontId="2"/>
  </si>
  <si>
    <t>要件から参照あり</t>
    <phoneticPr fontId="2"/>
  </si>
  <si>
    <t>★要件にないのに機能・工数・運用負荷が発生。要件化か削除かの判断が必要</t>
    <phoneticPr fontId="2"/>
  </si>
  <si>
    <t>スコープ増</t>
    <phoneticPr fontId="2"/>
  </si>
  <si>
    <t>★契約・実装ガイドに落とすべき制約の抜け。要件文の追記が必要</t>
    <phoneticPr fontId="2"/>
  </si>
  <si>
    <t>要件側の書き漏れ</t>
    <phoneticPr fontId="2"/>
  </si>
  <si>
    <t>前方マッピングの紐付け漏れ。本表作成時に発見し修正済み</t>
    <phoneticPr fontId="2"/>
  </si>
  <si>
    <t>参照漏れ</t>
    <phoneticPr fontId="2"/>
  </si>
  <si>
    <t>要件から降りてこない実装判断。確認不要</t>
    <phoneticPr fontId="2"/>
  </si>
  <si>
    <t>内部技術判断</t>
    <phoneticPr fontId="2"/>
  </si>
  <si>
    <t>方針転換で無効。確認不要</t>
    <phoneticPr fontId="2"/>
  </si>
  <si>
    <t>廃止済み</t>
    <phoneticPr fontId="2"/>
  </si>
  <si>
    <t>⑥ 再監査の取込記録（設計側フル監査の結果）</t>
    <phoneticPr fontId="2"/>
  </si>
  <si>
    <t>設計書9冊を全文（打ち切りなし）で突合し直した結果を反映。当初本表は1ファイル40,000文字の制限で末尾が欠けていたが、打ち切り部が隔していた項目はなかったことを確認済み</t>
    <phoneticPr fontId="2"/>
  </si>
  <si>
    <t>4件のみ（初回パスワード強制変更・パスワード履歴・メールによる追加確認・応答目標値）。いずれもコミット 389e87c で設計側に反映済み</t>
    <phoneticPr fontId="2"/>
  </si>
  <si>
    <t>真の漏れ</t>
    <phoneticPr fontId="2"/>
  </si>
  <si>
    <t>8件を再分類（設計側に既に決定あり、または意図的先送り）。以前の「未対応」判定は設計書の読み取り範囲不足による誤判定が主因</t>
    <phoneticPr fontId="2"/>
  </si>
  <si>
    <t>判定見直し</t>
    <phoneticPr fontId="2"/>
  </si>
  <si>
    <t>費用5件は提案書側、第三者監査・情報開示系3件は別枠組み側、運用工数2件は残タスク棚卸し側で決定済み。技術設計9冊には載せない方針</t>
    <phoneticPr fontId="2"/>
  </si>
  <si>
    <t>設計書外</t>
    <phoneticPr fontId="2"/>
  </si>
  <si>
    <t>セキュリティ設計書冒頭の「改訂待ち」注記（カード決済規格の除外・管理者のローカル認証前提）は、残タスク側の改訂2件が未実施のため残存しているもので、網羅性の穴ではない</t>
    <phoneticPr fontId="2"/>
  </si>
  <si>
    <t>文書同期待ち</t>
    <phoneticPr fontId="2"/>
  </si>
  <si>
    <t>認証基盤 要件定義・基本設計 ダッシュボード</t>
    <phoneticPr fontId="2"/>
  </si>
  <si>
    <t>Git（github.com/suepie/aws-atuh-poc, commit 9511a58）からの派生ビュー。判断・更新はGit側で行い、本ファイルは俯瞰専用の読み取りスナップショットです。</t>
    <phoneticPr fontId="2"/>
  </si>
  <si>
    <t>①決まったこと</t>
    <phoneticPr fontId="2"/>
  </si>
  <si>
    <t>②これから社内で決めること</t>
    <phoneticPr fontId="2"/>
  </si>
  <si>
    <t>③外部に依存すること</t>
    <phoneticPr fontId="2"/>
  </si>
  <si>
    <t>件</t>
    <phoneticPr fontId="2"/>
  </si>
  <si>
    <t>自社だけで判断・検証できる。今すぐ着手可能</t>
    <phoneticPr fontId="2"/>
  </si>
  <si>
    <t>顧客・他組織・法務の回答が要る。待ち＝遅れではない</t>
    <phoneticPr fontId="2"/>
  </si>
  <si>
    <t>詰め切りに必要な残数（②＋③）</t>
    <phoneticPr fontId="2"/>
  </si>
  <si>
    <t>詳細設計に着手する前提の3ゲート</t>
    <phoneticPr fontId="2"/>
  </si>
  <si>
    <t>ゲート</t>
    <phoneticPr fontId="2"/>
  </si>
  <si>
    <t>残</t>
    <phoneticPr fontId="2"/>
  </si>
  <si>
    <t>信号</t>
    <phoneticPr fontId="2"/>
  </si>
  <si>
    <t>① 技術検証（自社実測）</t>
    <phoneticPr fontId="2"/>
  </si>
  <si>
    <t>自社で実施する実機検証。他者を待たずに着手できる</t>
    <phoneticPr fontId="2"/>
  </si>
  <si>
    <t>② 他組織の要求仕様回答</t>
    <phoneticPr fontId="2"/>
  </si>
  <si>
    <t>インターネット出入口を管理する他組織への要求と回答</t>
    <phoneticPr fontId="2"/>
  </si>
  <si>
    <t>③ 顧客ヒアリング回答</t>
    <phoneticPr fontId="2"/>
  </si>
  <si>
    <t>顧客への質問状。全127項目中の未回答が主因</t>
    <phoneticPr fontId="2"/>
  </si>
  <si>
    <t>技術領域別の内訳</t>
    <phoneticPr fontId="2"/>
  </si>
  <si>
    <t>フェーズ別の残り</t>
    <phoneticPr fontId="2"/>
  </si>
  <si>
    <t>技術領域</t>
    <phoneticPr fontId="2"/>
  </si>
  <si>
    <t>機能要件91＋非機能要件88＋顧客確認16。残りは主に顧客ヒアリング回答待ち</t>
    <phoneticPr fontId="2"/>
  </si>
  <si>
    <t>前提21＋検証ゲート11＋設計タスク59。基本設計を閉じるまでの残作業</t>
    <phoneticPr fontId="2"/>
  </si>
  <si>
    <t>規模と目標値が顧客回答待ちのため。設計は上限10Mで凍結し先行している</t>
    <phoneticPr fontId="2"/>
  </si>
  <si>
    <t>稼働率と復旧目標が顧客合意待ち。設計側は手動復旧14日で確定済み</t>
    <phoneticPr fontId="2"/>
  </si>
  <si>
    <t>対象法令と認証取得の要否が顧客回答待ち。多くは提案書側・別枠組み側で扱う</t>
    <phoneticPr fontId="2"/>
  </si>
  <si>
    <t>体制・工数の合意と手順書の執筆が残るため。方式は決定済み</t>
    <phoneticPr fontId="2"/>
  </si>
  <si>
    <t>費用は提案書側の文書で扱う方針のため、技術設計側には決定を置いていない</t>
    <phoneticPr fontId="2"/>
  </si>
  <si>
    <t>現行システムの実態（利用者数・パスワード方式）が顧客回答待ち</t>
    <phoneticPr fontId="2"/>
  </si>
  <si>
    <t>質問状の発行と回答反映が主。外部リードタイムが律速</t>
    <phoneticPr fontId="2"/>
  </si>
  <si>
    <t>工程別の工数（3つのWBSシートの合計）</t>
    <phoneticPr fontId="2"/>
  </si>
  <si>
    <t>工程</t>
    <phoneticPr fontId="2"/>
  </si>
  <si>
    <t>人日</t>
    <phoneticPr fontId="2"/>
  </si>
  <si>
    <t>明細シート</t>
    <phoneticPr fontId="2"/>
  </si>
  <si>
    <t>スコープ</t>
    <phoneticPr fontId="2"/>
  </si>
  <si>
    <t>① 基本設計クローズ</t>
    <phoneticPr fontId="2"/>
  </si>
  <si>
    <t>WBS(基本設計)</t>
    <phoneticPr fontId="2"/>
  </si>
  <si>
    <t>設計を閉じるための調査・検討。DUに配分しない横断作業で大半が進行中</t>
    <phoneticPr fontId="2"/>
  </si>
  <si>
    <t>② 詳細設計</t>
    <phoneticPr fontId="2"/>
  </si>
  <si>
    <t>WBS(詳細設計_製造)</t>
    <phoneticPr fontId="2"/>
  </si>
  <si>
    <t>DU単位。1,044×40%。コード管理・設定・文書系は③とほぼ同一作業</t>
    <phoneticPr fontId="2"/>
  </si>
  <si>
    <t>③ 構築（実装＋単体）</t>
    <phoneticPr fontId="2"/>
  </si>
  <si>
    <t>DU単位。1,044×60%。独自機能・アプリ系は③が厚め</t>
    <phoneticPr fontId="2"/>
  </si>
  <si>
    <t>④ テスト</t>
    <phoneticPr fontId="2"/>
  </si>
  <si>
    <t>WBS(テスト)</t>
    <phoneticPr fontId="2"/>
  </si>
  <si>
    <t>結合・E2E・実機統合・負荷・災害復旧・セキュリティ・運用・受入のフルスコープ。PoCゲートと重複する分もフル再計上（旧200から上方修正）</t>
    <phoneticPr fontId="2"/>
  </si>
  <si>
    <t>②＋③＋④（これから作る工数）</t>
    <phoneticPr fontId="2"/>
  </si>
  <si>
    <t>—</t>
    <phoneticPr fontId="2"/>
  </si>
  <si>
    <t>総計（①含む）</t>
    <phoneticPr fontId="2"/>
  </si>
  <si>
    <t>★注意: 00a §6 の「構築＋テスト 325〜455人日」は詳細設計を含まない別スコープの見積り。上記の1,651人日とは別系統のため、二重に足さないこと（比較する場合はどちらか一方に寄せる）</t>
    <phoneticPr fontId="2"/>
  </si>
  <si>
    <t>要Git照合</t>
  </si>
  <si>
    <t>⚠ Git=方向性確定（条件付き） / メモ=対象外</t>
    <phoneticPr fontId="2"/>
  </si>
  <si>
    <t>⚠ Git=方向性確定（条件付き） / メモ=検討中</t>
    <phoneticPr fontId="2"/>
  </si>
  <si>
    <t>⚠ Git=確定 / メモ=検討中</t>
    <phoneticPr fontId="2"/>
  </si>
  <si>
    <t>⚠ Git=外部待ち / メモ=検討中</t>
    <phoneticPr fontId="2"/>
  </si>
  <si>
    <t>⚠ Git=確定 / メモ=対象外</t>
    <phoneticPr fontId="2"/>
  </si>
  <si>
    <t>⚠ Git=対象外 / メモ=検討中</t>
    <phoneticPr fontId="2"/>
  </si>
  <si>
    <t>⚠ Git=確定 / メモ=外部待ち</t>
    <phoneticPr fontId="2"/>
  </si>
  <si>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</si>
  <si>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</si>
  <si>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</si>
  <si>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</si>
  <si>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</si>
  <si>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</si>
  <si>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</si>
  <si>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</si>
  <si>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</si>
  <si>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</si>
  <si>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</si>
  <si>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</si>
  <si>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</si>
  <si>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</si>
  <si>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</si>
  <si>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</si>
  <si>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</si>
  <si>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</si>
  <si>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</si>
  <si>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</si>
  <si>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</si>
  <si>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</si>
  <si>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</si>
  <si>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</si>
  <si>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</si>
  <si>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</si>
  <si>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</si>
  <si>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</si>
  <si>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</si>
  <si>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</si>
  <si>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</si>
  <si>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</si>
  <si>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</si>
  <si>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</si>
  <si>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</si>
  <si>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</si>
  <si>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</si>
  <si>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</si>
  <si>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</si>
  <si>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</si>
  <si>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</si>
  <si>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</si>
  <si>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</si>
  <si>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</si>
  <si>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</si>
  <si>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</si>
  <si>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</si>
  <si>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</si>
  <si>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</si>
  <si>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</si>
  <si>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</si>
  <si>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</si>
  <si>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</si>
  <si>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</si>
  <si>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</si>
  <si>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</si>
  <si>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</si>
  <si>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</si>
  <si>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</si>
  <si>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</si>
  <si>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</si>
  <si>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</si>
  <si>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</si>
  <si>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</si>
  <si>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</si>
  <si>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</si>
  <si>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</si>
  <si>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</si>
  <si>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</si>
  <si>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</si>
  <si>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</si>
  <si>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</si>
  <si>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</si>
  <si>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</si>
  <si>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</si>
  <si>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</si>
  <si>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</si>
  <si>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</si>
  <si>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</si>
  <si>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</si>
  <si>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</si>
  <si>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</si>
  <si>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</si>
  <si>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</si>
  <si>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</si>
  <si>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</si>
  <si>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</si>
  <si>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</si>
  <si>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</si>
  <si>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</si>
  <si>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</si>
  <si>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</si>
  <si>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</si>
  <si>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</si>
  <si>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</si>
  <si>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</si>
  <si>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</si>
  <si>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</si>
  <si>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</si>
  <si>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</si>
  <si>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</si>
  <si>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</si>
  <si>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</si>
  <si>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</si>
  <si>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</si>
  <si>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</si>
  <si>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</si>
  <si>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</si>
  <si>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</si>
  <si>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</si>
  <si>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</si>
  <si>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</si>
  <si>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</si>
  <si>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</si>
  <si>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</si>
  <si>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</si>
  <si>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</si>
  <si>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</si>
  <si>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</si>
  <si>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</si>
  <si>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</si>
  <si>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</si>
  <si>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</si>
  <si>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</si>
  <si>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</si>
  <si>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</si>
  <si>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</si>
  <si>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</si>
  <si>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</si>
  <si>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</si>
  <si>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</si>
  <si>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</si>
  <si>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</si>
  <si>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</si>
  <si>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</si>
  <si>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</si>
  <si>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</si>
  <si>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</si>
  <si>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</si>
  <si>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</si>
  <si>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</si>
  <si>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</si>
  <si>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</si>
  <si>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</si>
  <si>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</si>
  <si>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</si>
  <si>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</si>
  <si>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</si>
  <si>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</si>
  <si>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</si>
  <si>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</si>
  <si>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</si>
  <si>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</si>
  <si>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phoneticPr fontId="2"/>
  </si>
  <si>
    <t>Should｜Keycloak対応</t>
    <phoneticPr fontId="2"/>
  </si>
  <si>
    <t>現行システムのハッシュ方式の確認</t>
    <phoneticPr fontId="2"/>
  </si>
  <si>
    <t>旧システムがパスワードをどの方式で保存しているか</t>
    <phoneticPr fontId="2"/>
  </si>
  <si>
    <t>アプリチームに現行のハッシュ方式を調査依頼する。結果でDU-U10-11の要否と追加費用の有無が確定する</t>
    <phoneticPr fontId="2"/>
  </si>
  <si>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phoneticPr fontId="2"/>
  </si>
  <si>
    <t>移行方式</t>
    <phoneticPr fontId="2"/>
  </si>
  <si>
    <t>B-MIG-1</t>
    <phoneticPr fontId="2"/>
  </si>
  <si>
    <t>doc/basic-design/research（commit 9670918）</t>
    <phoneticPr fontId="2"/>
  </si>
  <si>
    <t>移行時のパスワード再設定の要否</t>
    <phoneticPr fontId="2"/>
  </si>
  <si>
    <t>利用者にパスワードを再設定させずに移行できるか</t>
    <phoneticPr fontId="2"/>
  </si>
  <si>
    <t>質問状Q68（③章・最優先）で確認する。B-MIG-1（現行ハッシュ方式）の回答と併せてDU-U10-11の要否を確定する</t>
    <phoneticPr fontId="2"/>
  </si>
  <si>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phoneticPr fontId="2"/>
  </si>
  <si>
    <t>B-MIG-10</t>
    <phoneticPr fontId="2"/>
  </si>
  <si>
    <t>🟡 条件付で計上（2026-08-17 再確認）</t>
  </si>
  <si>
    <t>§10.4.2 / commit 9670918</t>
  </si>
  <si>
    <t>旧方式を維持する場合のみ追加。旧ハッシュがPBKDF2-SHA256／SHA512／Argon2idなら不要、bcrypt等の場合のみ必要</t>
  </si>
  <si>
    <t>旧方式の利用者が再設定なしで移行できる。※管理API（idm-api）経由での投入が前提。SCIM経由ではパスワードを運べない</t>
  </si>
  <si>
    <t>顧客ヒアリング→アプリ確認</t>
  </si>
  <si>
    <t>Must｜Keycloak=Realm Login Page。PoC検証済</t>
    <phoneticPr fontId="2"/>
  </si>
  <si>
    <t>Must｜Keycloak Public Client対応。PoC Phase 1,4,5,6,7で検証済</t>
    <phoneticPr fontId="2"/>
  </si>
  <si>
    <t>Must｜Keycloak Confidential Client対応。PoC未検証のため承認要</t>
    <phoneticPr fontId="2"/>
  </si>
  <si>
    <t>Must｜Keycloak=Service Account。PoC未検証</t>
    <phoneticPr fontId="2"/>
  </si>
  <si>
    <t>TBD｜Keycloakネイティブ。★Keycloak必須要因。ヒアリング優先度2</t>
    <phoneticPr fontId="2"/>
  </si>
  <si>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phoneticPr fontId="2"/>
  </si>
  <si>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phoneticPr fontId="2"/>
  </si>
  <si>
    <t>なし（対象外）。将来対象アプリが出た場合のみU5に起票する</t>
    <phoneticPr fontId="2"/>
  </si>
  <si>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phoneticPr fontId="2"/>
  </si>
  <si>
    <t>Won't｜不採用で決定。Keycloak対応だが非推奨</t>
    <phoneticPr fontId="2"/>
  </si>
  <si>
    <t>Must｜Keycloak Realm Policy</t>
    <phoneticPr fontId="2"/>
  </si>
  <si>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phoneticPr fontId="2"/>
  </si>
  <si>
    <t>PoC Phase 7検証済</t>
    <phoneticPr fontId="2"/>
  </si>
  <si>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phoneticPr fontId="2"/>
  </si>
  <si>
    <t>Should｜Keycloak設定可。PoC未検証</t>
    <phoneticPr fontId="2"/>
  </si>
  <si>
    <t>Must｜Keycloak Forgot Password対応。PoC未検証</t>
    <phoneticPr fontId="2"/>
  </si>
  <si>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phoneticPr fontId="2"/>
  </si>
  <si>
    <t>Should｜Keycloak Required Action対応。PoC未検証</t>
    <phoneticPr fontId="2"/>
  </si>
  <si>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phoneticPr fontId="2"/>
  </si>
  <si>
    <t>優先度—｜Keycloak対応。PoC Phase 2,7検証済</t>
    <phoneticPr fontId="2"/>
  </si>
  <si>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phoneticPr fontId="2"/>
  </si>
  <si>
    <t>Must｜Keycloak対応だがPoCはAuth0で代替。★ヒアリング最優先(優先度1)：実接続検証が未了</t>
    <phoneticPr fontId="2"/>
  </si>
  <si>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phoneticPr fontId="2"/>
  </si>
  <si>
    <t>Should｜Keycloak対応。未検証・要ヒアリング</t>
    <phoneticPr fontId="2"/>
  </si>
  <si>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phoneticPr fontId="2"/>
  </si>
  <si>
    <t>Could｜Keycloak対応。未検証・要ヒアリング</t>
    <phoneticPr fontId="2"/>
  </si>
  <si>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phoneticPr fontId="2"/>
  </si>
  <si>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phoneticPr fontId="2"/>
  </si>
  <si>
    <t>TBD｜Keycloak対応。★Keycloak必須要因。ヒアリング優先度2</t>
    <phoneticPr fontId="2"/>
  </si>
  <si>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phoneticPr fontId="2"/>
  </si>
  <si>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phoneticPr fontId="2"/>
  </si>
  <si>
    <t>要件表を「不要」で確定させ、C-8（LDAP経路の対象外化、1人日）を実施する</t>
    <phoneticPr fontId="2"/>
  </si>
  <si>
    <t>初回ログイン時に利用者を自動で作る方式（JIT）は採用で決定済み。SCIM同期と併用する前提で、自動で作る項目と、既存利用者と重複したときの突合キー・初期権限をどうするか</t>
    <phoneticPr fontId="2"/>
  </si>
  <si>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phoneticPr fontId="2"/>
  </si>
  <si>
    <t>△ Git是正要：Git=確定だが初期権限がB-401-2で未決のため、Excel側は方向性確定（条件付き）に変更（2026-08-16 ユーザー指示）。Git側も追従が必要</t>
    <phoneticPr fontId="2"/>
  </si>
  <si>
    <t>顧客のID基盤から受け取る項目を、自分たちの項目にどう対応づけるか。アプリへ渡す通行証（JWT）の項目名をどこまで統一するかを含む</t>
    <phoneticPr fontId="2"/>
  </si>
  <si>
    <t>Must｜Keycloak=IdP Mapper。PoC Phase 8検証済</t>
    <phoneticPr fontId="2"/>
  </si>
  <si>
    <t>顧客ヒアリング→アプリ確認</t>
    <phoneticPr fontId="2"/>
  </si>
  <si>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phoneticPr fontId="2"/>
  </si>
  <si>
    <t>Must｜Keycloak=Realmに複数登録。PoC Phase 4,5検証済</t>
    <phoneticPr fontId="2"/>
  </si>
  <si>
    <t>Must｜Keycloak設計可（手動/IaC）。PoCは概念設計のみ</t>
    <phoneticPr fontId="2"/>
  </si>
  <si>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phoneticPr fontId="2"/>
  </si>
  <si>
    <t>Must｜Keycloak=Conditional OTP。PoC Phase 7（Keycloakのみ）。MFA責務は外部IdP側に寄せる方針(ADR-009)</t>
    <phoneticPr fontId="2"/>
  </si>
  <si>
    <t>Should｜Keycloak=ボタン自動表示。PoC Phase 7検証済</t>
    <phoneticPr fontId="2"/>
  </si>
  <si>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phoneticPr fontId="2"/>
  </si>
  <si>
    <t>Should｜Keycloak=Hostname設定。PoC未検証</t>
    <phoneticPr fontId="2"/>
  </si>
  <si>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phoneticPr fontId="2"/>
  </si>
  <si>
    <t>Must｜Keycloak対応。PoC Phase 1,7検証済</t>
    <phoneticPr fontId="2"/>
  </si>
  <si>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phoneticPr fontId="2"/>
  </si>
  <si>
    <t>Should｜Keycloak対応。PoC未検証。ヒアリング優先度5</t>
    <phoneticPr fontId="2"/>
  </si>
  <si>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phoneticPr fontId="2"/>
  </si>
  <si>
    <t>Could｜Keycloak=プラグイン。未検証</t>
    <phoneticPr fontId="2"/>
  </si>
  <si>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phoneticPr fontId="2"/>
  </si>
  <si>
    <t>Could｜Keycloak対応。未検証</t>
    <phoneticPr fontId="2"/>
  </si>
  <si>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phoneticPr fontId="2"/>
  </si>
  <si>
    <t>Should｜Keycloak対応。未検証</t>
    <phoneticPr fontId="2"/>
  </si>
  <si>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phoneticPr fontId="2"/>
  </si>
  <si>
    <t>PoC Phase 7（Keycloak）</t>
    <phoneticPr fontId="2"/>
  </si>
  <si>
    <t>Must｜Keycloak=Flow単位制御可。PoC Phase 7検証済</t>
    <phoneticPr fontId="2"/>
  </si>
  <si>
    <t>Could｜Keycloak=設定要。未検証</t>
    <phoneticPr fontId="2"/>
  </si>
  <si>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phoneticPr fontId="2"/>
  </si>
  <si>
    <t>Must｜Keycloak対応。PoC未検証</t>
    <phoneticPr fontId="2"/>
  </si>
  <si>
    <t>Must｜Keycloak対応。PoC Phase 2,7検証済</t>
    <phoneticPr fontId="2"/>
  </si>
  <si>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phoneticPr fontId="2"/>
  </si>
  <si>
    <t>Must｜Keycloak対応。PoC検証済</t>
    <phoneticPr fontId="2"/>
  </si>
  <si>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phoneticPr fontId="2"/>
  </si>
  <si>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phoneticPr fontId="2"/>
  </si>
  <si>
    <t>Should｜Keycloak=対応。PoC Phase 2,5検証済</t>
    <phoneticPr fontId="2"/>
  </si>
  <si>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phoneticPr fontId="2"/>
  </si>
  <si>
    <t>Should｜Keycloak対応。PoC未検証</t>
    <phoneticPr fontId="2"/>
  </si>
  <si>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phoneticPr fontId="2"/>
  </si>
  <si>
    <t>Should｜Keycloakネイティブ。★Keycloak必須要因。PoC Phase 7（Keycloak）</t>
    <phoneticPr fontId="2"/>
  </si>
  <si>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phoneticPr fontId="2"/>
  </si>
  <si>
    <t>Must｜Keycloak対応。PoCはデフォルトのみ</t>
    <phoneticPr fontId="2"/>
  </si>
  <si>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phoneticPr fontId="2"/>
  </si>
  <si>
    <t>Should｜Keycloak=Token Revocation。未検証</t>
    <phoneticPr fontId="2"/>
  </si>
  <si>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phoneticPr fontId="2"/>
  </si>
  <si>
    <t>Must｜Keycloak=Admin Console。PoC未検証</t>
    <phoneticPr fontId="2"/>
  </si>
  <si>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phoneticPr fontId="2"/>
  </si>
  <si>
    <t>Must｜Keycloak対応。PoC Phase 3,8,9検証済</t>
    <phoneticPr fontId="2"/>
  </si>
  <si>
    <t>Must｜Keycloak=Protocol Mapper。PoC Phase 8/9検証済</t>
    <phoneticPr fontId="2"/>
  </si>
  <si>
    <t>Must｜Keycloak=Protocol Mapper（Realm Role）。PoC Phase 8/9検証済</t>
    <phoneticPr fontId="2"/>
  </si>
  <si>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phoneticPr fontId="2"/>
  </si>
  <si>
    <t>Should｜Keycloak=Composite Role。PoC Phase 8（アプリ側）</t>
    <phoneticPr fontId="2"/>
  </si>
  <si>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phoneticPr fontId="2"/>
  </si>
  <si>
    <t>Must｜Keycloak=Client Scope。PoC未検証</t>
    <phoneticPr fontId="2"/>
  </si>
  <si>
    <t>Must｜Keycloak=Protocol Mapper（宣言的）。PoC Phase 8/9検証済</t>
    <phoneticPr fontId="2"/>
  </si>
  <si>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phoneticPr fontId="2"/>
  </si>
  <si>
    <t>Must｜Keycloak対応。PoC Phase 3 / VPC版Phase 9検証済</t>
    <phoneticPr fontId="2"/>
  </si>
  <si>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phoneticPr fontId="2"/>
  </si>
  <si>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phoneticPr fontId="2"/>
  </si>
  <si>
    <t>なし（決着済み）。要件表の「4イシュア」記述をPhase 1の単一発行元に合わせて是正する</t>
    <phoneticPr fontId="2"/>
  </si>
  <si>
    <t>「この書類はこの人だけ」といった個別データ単位の細かい権限は、基盤では扱わず各アプリの判断に委ねる方針。決めるのは、その線引きをアプリ側とどう合意するか</t>
    <phoneticPr fontId="2"/>
  </si>
  <si>
    <t>Could｜Keycloak=Authorization Services。★Keycloak必須要因。ヒアリング優先度4</t>
    <phoneticPr fontId="2"/>
  </si>
  <si>
    <t>部署や職位などの属性を組み合わせてその場で権限を決める仕組みも、基盤では扱わずアプリの判断に委ねる方針。決めるのは、その線引きをアプリ側とどう合意するか</t>
    <phoneticPr fontId="2"/>
  </si>
  <si>
    <t>Could｜Keycloak=Policy Enforcer。ヒアリング優先度4</t>
    <phoneticPr fontId="2"/>
  </si>
  <si>
    <t>Must｜Keycloak=User Attributes（無制限）。PoC Phase 8検証済</t>
    <phoneticPr fontId="2"/>
  </si>
  <si>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phoneticPr fontId="2"/>
  </si>
  <si>
    <t>顧客のID基盤から利用者情報を自動同期する標準方式（SCIM）は採用で決定済み。初回ログイン時の自動作成（JIT）と併用する前提で、どちらを主とし、両者が食い違ったときどちらを優先するか</t>
    <phoneticPr fontId="2"/>
  </si>
  <si>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phoneticPr fontId="2"/>
  </si>
  <si>
    <t>どちらを主とし競合時にどちらを優先するかの規約をU3で定める。A-3の実測結果を待って応答目標を確定する</t>
    <phoneticPr fontId="2"/>
  </si>
  <si>
    <t>利用者を削除せず一時停止できる状態を用意するか。停止は無効化フラグで行い、復旧は同じフラグを戻すだけとする想定</t>
    <phoneticPr fontId="2"/>
  </si>
  <si>
    <t>Should｜Keycloak Realm Groups。PoCは概念のみ</t>
    <phoneticPr fontId="2"/>
  </si>
  <si>
    <t>Must｜Keycloak=Realm Role Assignment。PoC Phase 8検証済</t>
    <phoneticPr fontId="2"/>
  </si>
  <si>
    <t>管理者が利用者のパスワードを強制的にリセットできるようにするか。機能の提供は確定済み（Admin API + idm-api #2）。未決なのは、リセットを依頼してきた人が本人であることをどう確かめるかの手順</t>
    <phoneticPr fontId="2"/>
  </si>
  <si>
    <t>質問状Q35で本人確認の手順を確認し、運用手順書へ反映する。機能側の追加作業はない</t>
    <phoneticPr fontId="2"/>
  </si>
  <si>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phoneticPr fontId="2"/>
  </si>
  <si>
    <t>△ Git是正要：Git=確定だが本人確認手順が未決（B-IDM-6／Q35）。確定でフィルタすると漏れるためExcel側は方向性確定（条件付き）に変更（2026-08-16 ユーザー指示）</t>
    <phoneticPr fontId="2"/>
  </si>
  <si>
    <t>Should｜Keycloak=Cascade Delete。PoC未検証。【2026-08 決定を反映】削除の伝播は取りこぼし防止方式で必達（ADR-064、D-DEPROV-1）。再有効化も対称に扱う</t>
    <phoneticPr fontId="2"/>
  </si>
  <si>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phoneticPr fontId="2"/>
  </si>
  <si>
    <t>Must｜Keycloak=Admin Console。PoC Phase 6検証済</t>
    <phoneticPr fontId="2"/>
  </si>
  <si>
    <t>管理画面の操作権限をどこまで分ける必要があるか。選択肢はヒアリング項目・選択肢の列（J列）を参照</t>
    <phoneticPr fontId="2"/>
  </si>
  <si>
    <t>Could｜Keycloak=Authorization Services。未検証</t>
    <phoneticPr fontId="2"/>
  </si>
  <si>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phoneticPr fontId="2"/>
  </si>
  <si>
    <t>Must｜Keycloak=Event Listener。PoCは設定要</t>
    <phoneticPr fontId="2"/>
  </si>
  <si>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phoneticPr fontId="2"/>
  </si>
  <si>
    <t>Should｜Keycloak=Admin Events。PoC未検証</t>
    <phoneticPr fontId="2"/>
  </si>
  <si>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phoneticPr fontId="2"/>
  </si>
  <si>
    <t>顧客ごとの設定が互いに見えない・触れない状態をどう担保するか。Realm は分けず Organizations で分離すると決定済み。残るのは、この論理分離で足りない場合の扱い</t>
    <phoneticPr fontId="2"/>
  </si>
  <si>
    <t>Must｜Keycloak=Realm Admin Roles。PoCはデフォルト</t>
    <phoneticPr fontId="2"/>
  </si>
  <si>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phoneticPr fontId="2"/>
  </si>
  <si>
    <t>Should｜Keycloak=Realm-level Admin。未検証</t>
    <phoneticPr fontId="2"/>
  </si>
  <si>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phoneticPr fontId="2"/>
  </si>
  <si>
    <t>基本設計はブランディングA方針</t>
    <phoneticPr fontId="2"/>
  </si>
  <si>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phoneticPr fontId="2"/>
  </si>
  <si>
    <t>業界標準の認証仕様は OIDC に準拠すると決定済み。SAML は顧客のID基盤との接続にのみ使い、アプリとの間では使わない</t>
    <phoneticPr fontId="2"/>
  </si>
  <si>
    <t>アプリが接続設定を自動取得する窓口（.well-known の OIDC Discovery）は公開で決定済み。残るのは、別形式（RFC 8414）も併せて出すかどうか</t>
    <phoneticPr fontId="2"/>
  </si>
  <si>
    <t>通行証を検証するための鍵情報の窓口（JWKS）は公開必須で決定済み。AWS の API 入口の標準検証機能がインターネット側から取りに来るため、接続元を絞れない点をどう扱うか</t>
    <phoneticPr fontId="2"/>
  </si>
  <si>
    <t>旧来方式（SAML）の接続情報が要るのは顧客のID基盤との接続だけで、アプリと基盤の間は OIDC。残るのは、顧客IdPの接続情報を自動で取り込み更新する機能が製品にあるか（無ければ運用で代替）</t>
    <phoneticPr fontId="2"/>
  </si>
  <si>
    <t>利用者が作られた等の出来事をアプリへ自動で通知する必要があるか。通知するなら作り込みが必要なため、アプリ側が必要なときに取りに来る方式（非同期の取得）で代替できないかも併せて判断する</t>
    <phoneticPr fontId="2"/>
  </si>
  <si>
    <t>ヒアリング優先度6。基本設計はWebhook(HMAC+DLQ)方針</t>
    <phoneticPr fontId="2"/>
  </si>
  <si>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phoneticPr fontId="2"/>
  </si>
  <si>
    <t>外部から設定や利用者を操作する API をどこまで公開するか。方式は決定済みで、顧客ID基盤側に置く専用アプリでラップして公開する。そのアプリを誰が作るかが未定</t>
    <phoneticPr fontId="2"/>
  </si>
  <si>
    <t>Must｜Keycloak対応。PoC Phase 3検証済</t>
    <phoneticPr fontId="2"/>
  </si>
  <si>
    <t>PoCはデフォルト</t>
    <phoneticPr fontId="2"/>
  </si>
  <si>
    <t>操作記録をセキュリティ監視製品（SIEM）へ送る必要があるか。送付先は設けない方針で決定済み</t>
    <phoneticPr fontId="2"/>
  </si>
  <si>
    <t>Could｜Keycloak=ログ転送設計要。未検証</t>
    <phoneticPr fontId="2"/>
  </si>
  <si>
    <t>設定を手作業ではなくコードで管理する方針は採用。決めるのは、どの範囲までをコード管理の対象にするか</t>
    <phoneticPr fontId="2"/>
  </si>
  <si>
    <t>(D)P95&lt;1s, P99&lt;2s｜Keycloak=ECSスペック次第（PoC:数百ms観測）</t>
    <phoneticPr fontId="2"/>
  </si>
  <si>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phoneticPr fontId="2"/>
  </si>
  <si>
    <t>(TBD) N req/s｜Keycloak=ECS Auto Scaling設計。★MAUから逆算</t>
    <phoneticPr fontId="2"/>
  </si>
  <si>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phoneticPr fontId="2"/>
  </si>
  <si>
    <t>(D)キャッシュHIT&lt;10ms / MISS&lt;100ms｜PoC Phase 3計測 15-60ms。Keycloak同Lambdaで同性能</t>
    <phoneticPr fontId="2"/>
  </si>
  <si>
    <t>通行証の検証はアプリ側だけで完結し基盤に問い合わせないため、基盤の処理能力の目標にはならない。基盤側で決めるのは鍵情報の公開窓口（JWKS）の応答目標のみ</t>
    <phoneticPr fontId="2"/>
  </si>
  <si>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phoneticPr fontId="2"/>
  </si>
  <si>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phoneticPr fontId="2"/>
  </si>
  <si>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phoneticPr fontId="2"/>
  </si>
  <si>
    <t>(D)始業時N倍想定｜Keycloak=ECS事前スケールアウト設計</t>
    <phoneticPr fontId="2"/>
  </si>
  <si>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phoneticPr fontId="2"/>
  </si>
  <si>
    <t>データベースの応答時間を独立した目標として置くか、通行証発行の応答時間の中に含めてしまうか</t>
    <phoneticPr fontId="2"/>
  </si>
  <si>
    <t>(TBD) 1年後/3年後｜★最重要：コスト損益分岐175,000 MAU(ADR-006)の判断材料。Keycloak=HA設計次第</t>
    <phoneticPr fontId="2"/>
  </si>
  <si>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phoneticPr fontId="2"/>
  </si>
  <si>
    <t>(TBD)｜Keycloak=Sticky Session不要だがECS Task数に依存</t>
    <phoneticPr fontId="2"/>
  </si>
  <si>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phoneticPr fontId="2"/>
  </si>
  <si>
    <t>(TBD) N顧客/年｜Keycloak複数IdP対応。基本設計側は1000+ IdPを条件付き成立（必須対策7点）と評価</t>
    <phoneticPr fontId="2"/>
  </si>
  <si>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phoneticPr fontId="2"/>
  </si>
  <si>
    <t>(D)&lt;1営業日｜Keycloak Console/IaC対応。基本設計にIdPオンボーディング6ステップあり</t>
    <phoneticPr fontId="2"/>
  </si>
  <si>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phoneticPr fontId="2"/>
  </si>
  <si>
    <t>(D)必須（負荷に応じて）｜Keycloak=ECS Auto Scaling設計要</t>
    <phoneticPr fontId="2"/>
  </si>
  <si>
    <t>マルチリージョン対応は必須で確定（更新メモ 2026-08-16）。ただし「必須」の意味の確認が必要 — 前提P-15は東京を常用、大阪は災害時のみと定めており、複数地域での同時稼働（アクティブ／アクティブ）は想定していない。災害時に大阪を使う構成を指すのであればP-15・P-05と整合するが、同時稼働を指す場合は前提そのものの見直しになる</t>
    <phoneticPr fontId="2"/>
  </si>
  <si>
    <t>「同時稼働」か「災害時のみ大阪を使う」かを確認して記述を確定する。後者ならP-15・P-05の記述を参照する形に書き換える</t>
    <phoneticPr fontId="2"/>
  </si>
  <si>
    <t>⚠ 解釈の確認要：メモは「必須で確定」だが、同時稼働を指すのか災害時利用を指すのかで前提P-15との整合が変わる</t>
    <phoneticPr fontId="2"/>
  </si>
  <si>
    <t>データベースの拡張余地をどこまで確保するか。実規模での実測が難しいため、見積もり値で置く</t>
    <phoneticPr fontId="2"/>
  </si>
  <si>
    <t>(TBD) 99.9%/99.95%/99.99%｜Keycloak=自前HA設計</t>
    <phoneticPr fontId="2"/>
  </si>
  <si>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phoneticPr fontId="2"/>
  </si>
  <si>
    <t>(TBD) 月N時間｜Keycloak=Realm設定変更時の制約あり</t>
    <phoneticPr fontId="2"/>
  </si>
  <si>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phoneticPr fontId="2"/>
  </si>
  <si>
    <t>(D)必須｜Keycloak=ECS Multi-AZ+Aurora Multi-AZ設計要</t>
    <phoneticPr fontId="2"/>
  </si>
  <si>
    <t>(D)必須｜Keycloak=ECS Service Auto Heal。PoC検証済</t>
    <phoneticPr fontId="2"/>
  </si>
  <si>
    <t>(D)必須｜Keycloak=RDS/ALB冗長化要</t>
    <phoneticPr fontId="2"/>
  </si>
  <si>
    <t>(D)ゼロダウン（Blue/Green）｜Keycloak=Rolling Update設計</t>
    <phoneticPr fontId="2"/>
  </si>
  <si>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phoneticPr fontId="2"/>
  </si>
  <si>
    <t>質問状で許容できる復旧時間を確認する。回答を受けて前提P-05とADR-051を改訂し、大阪側の構成（常時待機かその都度構築か）を決める</t>
    <phoneticPr fontId="2"/>
  </si>
  <si>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phoneticPr fontId="2"/>
  </si>
  <si>
    <t>⚠ 要ヒアリング：希望値（1日／3日）は暫定。現行設計値14日と未達（Git 2026-08-16連絡）</t>
    <phoneticPr fontId="2"/>
  </si>
  <si>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phoneticPr fontId="2"/>
  </si>
  <si>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phoneticPr fontId="2"/>
  </si>
  <si>
    <t>DR 3択（下記の選択肢）で顧客に確認する。※「RPO 5分」を単独の約束として提示しないこと。場面によって守れない</t>
    <phoneticPr fontId="2"/>
  </si>
  <si>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phoneticPr fontId="2"/>
  </si>
  <si>
    <t>⚠ 要ヒアリング：東京内は5分達成済み／大阪退避時は最短1時間間隔で不成立。単独での5分約束は不可（Git 2026-08-16連絡）</t>
    <phoneticPr fontId="2"/>
  </si>
  <si>
    <t>予備側への切替を自動で行うか、人の判断で行うか。手動でGit側と一致しており確定。ただしDR方式の3択（P-05）の結論次第では見直しになる</t>
    <phoneticPr fontId="2"/>
  </si>
  <si>
    <t>なし（確定）。P-05のDR 3択で②③が選ばれた場合のみ再検討する</t>
    <phoneticPr fontId="2"/>
  </si>
  <si>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phoneticPr fontId="2"/>
  </si>
  <si>
    <t>△ 条件付き：Gitと一致で確定。ただしP-05のDR 3択の結論次第で変わりうる</t>
    <phoneticPr fontId="2"/>
  </si>
  <si>
    <t>(D)30日｜Keycloak=RDS Automated Backup</t>
    <phoneticPr fontId="2"/>
  </si>
  <si>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phoneticPr fontId="2"/>
  </si>
  <si>
    <t>(D)5分粒度/35日｜Keycloak対応（Keycloak=Aurora PITR）</t>
    <phoneticPr fontId="2"/>
  </si>
  <si>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phoneticPr fontId="2"/>
  </si>
  <si>
    <t>(D)必須｜Keycloak=Aurora Cross-Region Replica。基本設計でRealm Export全廃→復元2経路に変更</t>
    <phoneticPr fontId="2"/>
  </si>
  <si>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phoneticPr fontId="2"/>
  </si>
  <si>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phoneticPr fontId="2"/>
  </si>
  <si>
    <t>(D)可能ならベスト｜Keycloak=別検証</t>
    <phoneticPr fontId="2"/>
  </si>
  <si>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phoneticPr fontId="2"/>
  </si>
  <si>
    <t>(D)TLS 1.2+｜Keycloak=ACM+ALB設定要</t>
    <phoneticPr fontId="2"/>
  </si>
  <si>
    <t>(D)AES-256（KMS）｜Keycloak=RDS storage_encrypted=true。基本設計はKMS 3階層6Acct写像</t>
    <phoneticPr fontId="2"/>
  </si>
  <si>
    <t>(D)RS256｜Keycloak対応（KeycloakはES256も可）。基本設計でJWT署名=Realm Key 90日に確定</t>
    <phoneticPr fontId="2"/>
  </si>
  <si>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phoneticPr fontId="2"/>
  </si>
  <si>
    <t>(D)15〜60分｜Keycloak設定可。基本設計でAT 30分に最終決定（U5）</t>
    <phoneticPr fontId="2"/>
  </si>
  <si>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phoneticPr fontId="2"/>
  </si>
  <si>
    <t>(D)30日｜Keycloak設定可。基本設計U5でTTL最終決定済</t>
    <phoneticPr fontId="2"/>
  </si>
  <si>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phoneticPr fontId="2"/>
  </si>
  <si>
    <t>(D)15分｜Keycloak設定可。基本設計U5でTTL最終決定済</t>
    <phoneticPr fontId="2"/>
  </si>
  <si>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phoneticPr fontId="2"/>
  </si>
  <si>
    <t>(D)有効化｜Keycloak=デフォルトON</t>
    <phoneticPr fontId="2"/>
  </si>
  <si>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phoneticPr fontId="2"/>
  </si>
  <si>
    <t>(D)対応必須｜Keycloak=Token Revocation。基本設計でRevocation/ITDR L4連携方針</t>
    <phoneticPr fontId="2"/>
  </si>
  <si>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phoneticPr fontId="2"/>
  </si>
  <si>
    <t>(D)PBKDF2/bcrypt/Argon2｜Keycloak=PBKDF2-SHA512（デフォルト）</t>
    <phoneticPr fontId="2"/>
  </si>
  <si>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phoneticPr fontId="2"/>
  </si>
  <si>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phoneticPr fontId="2"/>
  </si>
  <si>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phoneticPr fontId="2"/>
  </si>
  <si>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phoneticPr fontId="2"/>
  </si>
  <si>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phoneticPr fontId="2"/>
  </si>
  <si>
    <t>不正アクセスを入口で遮る仕組み（WAF）を適用するか。適用は必須で決定済み。設定はネットワーク監査アカウント側が管理する</t>
    <phoneticPr fontId="2"/>
  </si>
  <si>
    <t>(D)AWS WAF（CloudFront）｜Keycloak=ADR-013で計画</t>
    <phoneticPr fontId="2"/>
  </si>
  <si>
    <t>(D)Shield Standard｜Keycloak AWS標準で対応</t>
    <phoneticPr fontId="2"/>
  </si>
  <si>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phoneticPr fontId="2"/>
  </si>
  <si>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phoneticPr fontId="2"/>
  </si>
  <si>
    <t>(D)AWS Secrets Manager｜Keycloak対応</t>
    <phoneticPr fontId="2"/>
  </si>
  <si>
    <t>(D)必須｜Keycloak=Option B移行済</t>
    <phoneticPr fontId="2"/>
  </si>
  <si>
    <t>管理画面に誰がどこからアクセスできるようにするか。方針は、管理者向けの入口をインターネットから遮断し、踏み台サーバー経由に限定する</t>
    <phoneticPr fontId="2"/>
  </si>
  <si>
    <t>(D)公開+WAFレート制限｜Keycloak=ADR-012で対応</t>
    <phoneticPr fontId="2"/>
  </si>
  <si>
    <t>(D)VPC内完結｜Keycloak=Internal ALB（ADR-012）</t>
    <phoneticPr fontId="2"/>
  </si>
  <si>
    <t>(D)必須｜Keycloak対応</t>
    <phoneticPr fontId="2"/>
  </si>
  <si>
    <t>【なぜ聞くか】識別子の作り替えは製品の標準動作で対応できる範囲が決まっており、必要性の有無で追加実装が変わるため
【資料に載せる内容】なりすまし防止のため識別子を作り替える仕組みと、製品の標準動作
【質問】この対策が必要ですか
【選択肢】
① 必要（製品の標準機能で対応）
② 不要
【補足】応答の均一化とアカウントの存在を返さない対策は既に決定済みです</t>
    <phoneticPr fontId="2"/>
  </si>
  <si>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phoneticPr fontId="2"/>
  </si>
  <si>
    <t>海外展開に伴う規制対応が必要か。現時点は不要の認識だが、顧客に改めて確認する</t>
    <phoneticPr fontId="2"/>
  </si>
  <si>
    <t>(TBD)｜Keycloak対応。基本設計はDSAR Phase 1手動対応</t>
    <phoneticPr fontId="2"/>
  </si>
  <si>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phoneticPr fontId="2"/>
  </si>
  <si>
    <t>(TBD)｜Keycloak=自前運用責任</t>
    <phoneticPr fontId="2"/>
  </si>
  <si>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phoneticPr fontId="2"/>
  </si>
  <si>
    <t>情報セキュリティの認証（ISMS等）の取得が必要か。不要と確認済み</t>
    <phoneticPr fontId="2"/>
  </si>
  <si>
    <t>情報セキュリティの認証（ISO 27001／ISMS）の取得は不要と確認済み（更新メモ 2026-08-16）。基盤側で認証取得の対応工数・費用は見込まない</t>
    <phoneticPr fontId="2"/>
  </si>
  <si>
    <t>なし（確定）。要件表を「不要」で確定させる</t>
    <phoneticPr fontId="2"/>
  </si>
  <si>
    <t>(TBD)｜Keycloak=自前。基本設計でPCIギャップ3点を特定済</t>
    <phoneticPr fontId="2"/>
  </si>
  <si>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phoneticPr fontId="2"/>
  </si>
  <si>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phoneticPr fontId="2"/>
  </si>
  <si>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phoneticPr fontId="2"/>
  </si>
  <si>
    <t>(TBD) 業種次第（〜10年）｜Keycloak S3ライフサイクルで対応。NFR-OPS-003と連動</t>
    <phoneticPr fontId="2"/>
  </si>
  <si>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phoneticPr fontId="2"/>
  </si>
  <si>
    <t>データを日本国内に限定する必要があるか。国内限定が前提だが、ROSA HCP の管理部分は Red Hat 側にあるため、これが国内限定の対象に含まれるかが別論点として残る</t>
    <phoneticPr fontId="2"/>
  </si>
  <si>
    <t>(TBD)｜Keycloak=Cascade Delete。基本設計は3段階削除。【2026-08 決定を反映】削除の伝播は取りこぼし防止方式で必達（ADR-064、D-DEPROV-1）。再有効化も対称に扱う</t>
    <phoneticPr fontId="2"/>
  </si>
  <si>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phoneticPr fontId="2"/>
  </si>
  <si>
    <t>誰がいつ何を見たかを後から追える状態をどこまで作るか。Keycloak の出来事を AWS 側へ運ぶ作り込みが要り、運び方によっては費用が大きく膨らむため、記録する範囲をどこまで絞るかを併せて決める</t>
    <phoneticPr fontId="2"/>
  </si>
  <si>
    <t>(D)全認証イベント記録｜Keycloak=Event Listener</t>
    <phoneticPr fontId="2"/>
  </si>
  <si>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phoneticPr fontId="2"/>
  </si>
  <si>
    <t>暗号鍵をどの頻度で入れ替えるか。対象は ①通行証の署名鍵 ②保存データの暗号鍵（KMS） の2種類あり、それぞれ別に決める</t>
    <phoneticPr fontId="2"/>
  </si>
  <si>
    <t>(D)CloudWatch Metrics+Dashboard｜Keycloak対応。基本設計はOTel+IdP数関数監視・SLO/Burn Rate</t>
    <phoneticPr fontId="2"/>
  </si>
  <si>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phoneticPr fontId="2"/>
  </si>
  <si>
    <t>(D)CloudWatch Alarm+SNS｜Keycloak対応</t>
    <phoneticPr fontId="2"/>
  </si>
  <si>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phoneticPr fontId="2"/>
  </si>
  <si>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phoneticPr fontId="2"/>
  </si>
  <si>
    <t>(D)CloudWatch Insights / S3+Athena｜Keycloak=Event Listener自前</t>
    <phoneticPr fontId="2"/>
  </si>
  <si>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phoneticPr fontId="2"/>
  </si>
  <si>
    <t>(TBD) Nヶ月毎/LTSのみ｜★重要：Keycloak運用負荷に直結。Keycloak=手動（Docker image更新）</t>
    <phoneticPr fontId="2"/>
  </si>
  <si>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phoneticPr fontId="2"/>
  </si>
  <si>
    <t>(D)緊急N日以内、定例N週間以内｜Keycloak=手動（CVE監視+Image更新）</t>
    <phoneticPr fontId="2"/>
  </si>
  <si>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phoneticPr fontId="2"/>
  </si>
  <si>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phoneticPr fontId="2"/>
  </si>
  <si>
    <t>(TBD) 24/7 or 営業時間のみ｜★RHBK採用判断(ADR-015)の決め手。Keycloak=自前 or RHBK Premium</t>
    <phoneticPr fontId="2"/>
  </si>
  <si>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phoneticPr fontId="2"/>
  </si>
  <si>
    <t>(D)Keycloak:21時間/月（ADR-006）</t>
    <phoneticPr fontId="2"/>
  </si>
  <si>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phoneticPr fontId="2"/>
  </si>
  <si>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phoneticPr fontId="2"/>
  </si>
  <si>
    <t>(TBD) N営業日以内｜Keycloak対応可。SLA値の確定が必要</t>
    <phoneticPr fontId="2"/>
  </si>
  <si>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phoneticPr fontId="2"/>
  </si>
  <si>
    <t>初期構築費をいくらと見るか。金額は WBS の積み上げ工数を根拠とする（基本設計の工数枠とは別枠）</t>
    <phoneticPr fontId="2"/>
  </si>
  <si>
    <t>初期構築費。P-01でROSA HCP + RHBK Operatorが確定し、Stage AのTerraform全面書き換え（6〜8週、ADR-056採用条件③）が加わったため前提が変わっている</t>
    <phoneticPr fontId="2"/>
  </si>
  <si>
    <t>毎月の設備費をいくらまでとするか。AWS のリソースごとに ROSA 前提で詳細見積もりを作って積み上げる</t>
    <phoneticPr fontId="2"/>
  </si>
  <si>
    <t>上位プランを使う場合の追加費用をどう見るか。Keycloak 採用（前提P-01）により、Cognito の上位プランを前提とした本項は不要になる可能性が高い</t>
    <phoneticPr fontId="2"/>
  </si>
  <si>
    <t>上位プランを使う場合の追加費用。P-01でKeycloak／ROSA採用が確定したため、Cognitoの上位プランを前提とした本項は対象外。削除ではなく凍結扱いとし、ADR-016は履歴として保持する</t>
    <phoneticPr fontId="2"/>
  </si>
  <si>
    <t>災害対策のために毎月いくら追加でかけるか。設備費（NFR-COST-002）の詳細見積もりを作るときに一緒に算出する</t>
    <phoneticPr fontId="2"/>
  </si>
  <si>
    <t>運用担当の人件費をいくらと見込むか。ADR-040 の運用者10名体制を金額に換算して置く</t>
    <phoneticPr fontId="2"/>
  </si>
  <si>
    <t>製品サポート契約の費用をどう扱うか。固定の設備費に合算して計上する方針で、単価が未定</t>
    <phoneticPr fontId="2"/>
  </si>
  <si>
    <t>何人以上の規模なら自前で構築するほうが有利になるか。概算はこの行で持ち、細かい計算はコスト見積もりシートで行う</t>
    <phoneticPr fontId="2"/>
  </si>
  <si>
    <t>上位プランと比べた場合に有利になる規模の境目をどこに置くか。細かい計算はコスト見積もりシートで行う</t>
    <phoneticPr fontId="2"/>
  </si>
  <si>
    <t>10万人規模で3年間の総額をいくらと見るか。Keycloak 採用により Cognito 比較を前提とした本項は不要になる可能性が高い</t>
    <phoneticPr fontId="2"/>
  </si>
  <si>
    <t>3年総保有コスト（10万利用者想定）。P-02で1,000万利用者上限に凍結したため想定規模の前提が変わった</t>
    <phoneticPr fontId="2"/>
  </si>
  <si>
    <t>50万人規模で3年間の総額をいくらと見るか。Keycloak 採用により Cognito 比較を前提とした本項は不要になる可能性が高い</t>
    <phoneticPr fontId="2"/>
  </si>
  <si>
    <t>(TBD)｜Keycloak=Realm Import/SPI。基本設計は移行4集団を定義</t>
    <phoneticPr fontId="2"/>
  </si>
  <si>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phoneticPr fontId="2"/>
  </si>
  <si>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phoneticPr fontId="2"/>
  </si>
  <si>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phoneticPr fontId="2"/>
  </si>
  <si>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phoneticPr fontId="2"/>
  </si>
  <si>
    <t>2026-08-17 Git訂正を反映（前回の「引き継ぎ不可」は誤り）</t>
    <phoneticPr fontId="2"/>
  </si>
  <si>
    <t>(D)OIDC標準準拠｜Keycloak=OSS・移行可能</t>
    <phoneticPr fontId="2"/>
  </si>
  <si>
    <t>自分たちのデータをいつでも取り出せる手段を用意するか。Realm 全体の書き出しは禁止（禁則K-1）のため、単位を区切った取り出し方式を定義する必要がある</t>
    <phoneticPr fontId="2"/>
  </si>
  <si>
    <t>新旧を並行稼働させて少しずつ移す方針で決定済み。顧客テナント単位で順次移していく。決めるのは並行期間の長さ</t>
    <phoneticPr fontId="2"/>
  </si>
  <si>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phoneticPr fontId="2"/>
  </si>
  <si>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phoneticPr fontId="2"/>
  </si>
  <si>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phoneticPr fontId="2"/>
  </si>
  <si>
    <t>メールによる追加確認を採用しないため、メール経由でのリセット経路が存在しない。この状態で本人が復旧する手段を何にするか。あわせて、そもそもメールによる追加確認で良いのかも顧客に確認する</t>
    <phoneticPr fontId="2"/>
  </si>
  <si>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phoneticPr fontId="2"/>
  </si>
  <si>
    <t>通行証を取り消しても、受け取り側のアプリに届くまで最大30分は使えてしまう。この残り時間を数秒に縮める仕組み（セッション状態の即時通知）を、どのアプリまで適用するか</t>
    <phoneticPr fontId="2"/>
  </si>
  <si>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phoneticPr fontId="2"/>
  </si>
  <si>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phoneticPr fontId="2"/>
  </si>
  <si>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phoneticPr fontId="2"/>
  </si>
  <si>
    <t>過剰な権限や、使われないまま残った権限を定期的に洗い直す枠組みを、誰が・どの頻度で回すか。対象は基盤側の利用者（Keycloak上）に限り、アプリ内部の権限はアプリ側で実施する想定</t>
    <phoneticPr fontId="2"/>
  </si>
  <si>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phoneticPr fontId="2"/>
  </si>
  <si>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phoneticPr fontId="2"/>
  </si>
  <si>
    <t>管理操作（書き込み・削除・権限変更）の記録を、ブランドごとに持つか中央の監査アカウントへ集約するか。当面は1ブランドのためブランド単位で持つ想定。保持年数を併せて決める</t>
    <phoneticPr fontId="2"/>
  </si>
  <si>
    <t>【なぜ聞くか】監査ログの持ち方と保持年数が、保管費用と法令対応の両方に影響するため
-</t>
    <phoneticPr fontId="2"/>
  </si>
  <si>
    <t>本Excel発（Git起票中）</t>
    <phoneticPr fontId="2"/>
  </si>
  <si>
    <t>△ Git未登録：ExcelにのみあるID。メモの「一旦1ブランドごとで良い」をGit側にhearing項目として起票中（2026-08-16連絡）</t>
    <phoneticPr fontId="2"/>
  </si>
  <si>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phoneticPr fontId="2"/>
  </si>
  <si>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phoneticPr fontId="2"/>
  </si>
  <si>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phoneticPr fontId="2"/>
  </si>
  <si>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phoneticPr fontId="2"/>
  </si>
  <si>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phoneticPr fontId="2"/>
  </si>
  <si>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phoneticPr fontId="2"/>
  </si>
  <si>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phoneticPr fontId="2"/>
  </si>
  <si>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phoneticPr fontId="2"/>
  </si>
  <si>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phoneticPr fontId="2"/>
  </si>
  <si>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phoneticPr fontId="2"/>
  </si>
  <si>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phoneticPr fontId="2"/>
  </si>
  <si>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phoneticPr fontId="2"/>
  </si>
  <si>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phoneticPr fontId="2"/>
  </si>
  <si>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phoneticPr fontId="2"/>
  </si>
  <si>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phoneticPr fontId="2"/>
  </si>
  <si>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phoneticPr fontId="2"/>
  </si>
  <si>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phoneticPr fontId="2"/>
  </si>
  <si>
    <t>現行のパスワード保存方式の確認。DU-U10-11（自作の変換処理、8人日）を作る必要があるかを決める鍵となる項目。PBKDF2-SHA256／PBKDF2-SHA512／Argon2id なら変換不要、bcrypt 等なら変換部品が必要（2026-08-17 Git連絡、commit 9670918）</t>
    <phoneticPr fontId="2"/>
  </si>
  <si>
    <t>2026-08-17 Git連絡で追加</t>
    <phoneticPr fontId="2"/>
  </si>
  <si>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phoneticPr fontId="2"/>
  </si>
  <si>
    <t>2026-08-17 Git訂正で不要を撤回・優先度🔴</t>
    <phoneticPr fontId="2"/>
  </si>
  <si>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phoneticPr fontId="2"/>
  </si>
  <si>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phoneticPr fontId="2"/>
  </si>
  <si>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phoneticPr fontId="2"/>
  </si>
  <si>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phoneticPr fontId="2"/>
  </si>
  <si>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phoneticPr fontId="2"/>
  </si>
  <si>
    <t>設備をいくつのAWSアカウントに分けるか。業務アプリを同じアカウントに置かない方針は決定済み。残るのは、顧客ID基盤側のKeycloakをどう配置するか</t>
    <phoneticPr fontId="2"/>
  </si>
  <si>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phoneticPr fontId="2"/>
  </si>
  <si>
    <t>何人規模の利用を想定して設備の大きさを決めるか。初回リリース時は100〜500万人、最終的には1,000万人規模を見込む。設備の上限設計は1,000万人で行い、初期の実配備は100〜500万人相当に絞る</t>
    <phoneticPr fontId="2"/>
  </si>
  <si>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phoneticPr fontId="2"/>
  </si>
  <si>
    <t>初期設備の台数と初年度コストを100〜500万規模で再算定する。E-3（FinOps）で扱う。天井1,000万の設計値は変更しない</t>
    <phoneticPr fontId="2"/>
  </si>
  <si>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phoneticPr fontId="2"/>
  </si>
  <si>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phoneticPr fontId="2"/>
  </si>
  <si>
    <t>NFR-DR-001/002/003の回答を待って方式を確定する。確定後にADR-051を改訂し、D-18（DR改訂8人日）とコスト見積もり（大阪の常時費用）を作り直す</t>
    <phoneticPr fontId="2"/>
  </si>
  <si>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phoneticPr fontId="2"/>
  </si>
  <si>
    <t>⚠ 要ヒアリング：現行方式（手動・約14日）は設計想定の復旧目標と不整合。顧客回答で方式を再選定するまで確定扱いにしない</t>
    <phoneticPr fontId="2"/>
  </si>
  <si>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phoneticPr fontId="2"/>
  </si>
  <si>
    <t>顧客のID基盤を1000件つないでも実際に耐えられるかを、動かして測る。実測が難しいため仮定値で設計を進め、後から検証する</t>
    <phoneticPr fontId="2"/>
  </si>
  <si>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phoneticPr fontId="2"/>
  </si>
  <si>
    <t>NFR-DR-001/002/003の顧客回答を待ってから、要求仕様書（B-1）に数値を載せて関係組織と合意する</t>
    <phoneticPr fontId="2"/>
  </si>
  <si>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phoneticPr fontId="2"/>
  </si>
  <si>
    <t>海外の保守要員がデータを閲覧しうる点について、法令上の扱いを整理し合意する。ROSA を使う前提での論点のため、製品選定が覆ると再検討が必要</t>
    <phoneticPr fontId="2"/>
  </si>
  <si>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phoneticPr fontId="2"/>
  </si>
  <si>
    <t>災害対策をコールド化する方向で、ADR-051の全面改訂・大阪の常時費用の削除・復旧手順書の改訂を行う</t>
    <phoneticPr fontId="2"/>
  </si>
  <si>
    <t>着手前にNFR-DR-001/002/003とP-05の顧客回答を待つ。回答次第でコールド化そのものが覆るため、先行着手すると手戻りになる</t>
    <phoneticPr fontId="2"/>
  </si>
  <si>
    <t>⚠ 要ヒアリング：タスクの前提（コールド化）自体が顧客回答で覆る可能性。8人日の着手判断を保留</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</si>
</sst>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
    <numFmt numFmtId="180" formatCode="0.0"/>
    <numFmt numFmtId="181" formatCode="#,##0.0"/>
    <numFmt numFmtId="186" formatCode="#,##0.0000"/>
    <numFmt numFmtId="187" formatCode="#,##0.###"/>
    <numFmt numFmtId="188" formatCode="\¥#,##0"/>
    <numFmt numFmtId="189" formatCode="\¥#,##0.00"/>
  </numFmts>
  <fonts count="62">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0B6B2F"/>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sz val="8"/>
      <color rgb="FF808080"/>
      <name val="游ゴシック"/>
      <family val="2"/>
      <charset val="128"/>
      <scheme val="minor"/>
    </font>
    <font>
      <b/>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b/>
      <sz val="9"/>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808080"/>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
      <sz val="9"/>
      <color theme="1"/>
      <name val="Consolas"/>
      <family val="2"/>
    </font>
    <font>
      <sz val="8"/>
      <color theme="1"/>
      <name val="Consolas"/>
      <family val="2"/>
    </font>
    <font>
      <sz val="8"/>
      <color theme="1"/>
      <name val="MS Mincho"/>
      <family val="2"/>
      <charset val="128"/>
    </font>
    <font>
      <b/>
      <sz val="9"/>
      <color rgb="FF0000FF"/>
      <name val="游ゴシック"/>
      <family val="2"/>
      <charset val="128"/>
      <scheme val="minor"/>
    </font>
    <font>
      <b/>
      <sz val="14"/>
      <color theme="1"/>
      <name val="Meiryo UI"/>
      <family val="2"/>
      <charset val="128"/>
    </font>
  </fonts>
  <fills count="8">
    <fill>
      <patternFill patternType="none"/>
    </fill>
    <fill>
      <patternFill patternType="gray125"/>
    </fill>
    <fill>
      <patternFill patternType="solid">
        <fgColor rgb="FF1F3864"/>
        <bgColor indexed="64"/>
      </patternFill>
    </fill>
    <fill>
      <patternFill patternType="solid">
        <fgColor rgb="FFFFC7CE"/>
        <bgColor indexed="64"/>
      </patternFill>
    </fill>
    <fill>
      <patternFill patternType="solid">
        <fgColor rgb="FFFFF2CC"/>
        <bgColor indexed="64"/>
      </patternFill>
    </fill>
    <fill>
      <patternFill patternType="solid">
        <fgColor rgb="FF375623"/>
        <bgColor indexed="64"/>
      </patternFill>
    </fill>
    <fill>
      <patternFill patternType="solid">
        <fgColor rgb="FF7030A0"/>
        <bgColor indexed="64"/>
      </patternFill>
    </fill>
    <fill>
      <patternFill patternType="solid">
        <fgColor rgb="FFFFF9E6"/>
        <bgColor indexed="64"/>
      </patternFill>
    </fill>
  </fills>
  <borders count="17">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rgb="FFD9D9D9"/>
      </left>
      <right/>
      <top/>
      <bottom/>
      <diagonal/>
    </border>
  </borders>
  <cellStyleXfs count="1">
    <xf numFmtId="0" fontId="0" fillId="0" borderId="0">
      <alignment vertical="center"/>
    </xf>
  </cellStyleXfs>
  <cellXfs count="258">
    <xf numFmtId="0" fontId="0" fillId="0" borderId="0" xfId="0">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1" fillId="0" borderId="0" xfId="0" applyFont="1">
      <alignment vertical="center"/>
    </xf>
    <xf numFmtId="0" fontId="3" fillId="0" borderId="3" xfId="0" applyFont="1" applyBorder="1" applyAlignment="1">
      <alignment vertical="top"/>
    </xf>
    <xf numFmtId="0" fontId="3" fillId="0" borderId="4" xfId="0" applyFont="1" applyBorder="1" applyAlignment="1">
      <alignment vertical="top"/>
    </xf>
    <xf numFmtId="0" fontId="3" fillId="0" borderId="7" xfId="0" applyFont="1" applyBorder="1" applyAlignment="1">
      <alignment vertical="top"/>
    </xf>
    <xf numFmtId="0" fontId="3" fillId="0" borderId="8" xfId="0" applyFont="1" applyBorder="1" applyAlignment="1">
      <alignment vertical="top"/>
    </xf>
    <xf numFmtId="0" fontId="6" fillId="2" borderId="10" xfId="0" applyFont="1" applyFill="1" applyBorder="1" applyAlignment="1">
      <alignment horizontal="center" vertical="top"/>
    </xf>
    <xf numFmtId="0" fontId="6" fillId="2" borderId="11" xfId="0" applyFont="1" applyFill="1" applyBorder="1" applyAlignment="1">
      <alignment horizontal="center" vertical="top"/>
    </xf>
    <xf numFmtId="0" fontId="6" fillId="2" borderId="12" xfId="0" applyFont="1" applyFill="1" applyBorder="1" applyAlignment="1">
      <alignment horizontal="center" vertical="top"/>
    </xf>
    <xf numFmtId="0" fontId="3" fillId="0" borderId="4" xfId="0" applyFont="1" applyBorder="1" applyAlignment="1">
      <alignment horizontal="center" vertical="top"/>
    </xf>
    <xf numFmtId="0" fontId="3" fillId="0" borderId="8" xfId="0" applyFont="1" applyBorder="1" applyAlignment="1">
      <alignment horizontal="center" vertical="top"/>
    </xf>
    <xf numFmtId="0" fontId="8" fillId="0" borderId="5" xfId="0" applyFont="1" applyBorder="1" applyAlignment="1">
      <alignment vertical="top"/>
    </xf>
    <xf numFmtId="0" fontId="8" fillId="0" borderId="9" xfId="0" applyFont="1" applyBorder="1" applyAlignment="1">
      <alignment vertical="top"/>
    </xf>
    <xf numFmtId="0" fontId="13" fillId="0" borderId="0" xfId="0" applyFont="1">
      <alignment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6" fillId="2" borderId="10" xfId="0" applyFont="1" applyFill="1" applyBorder="1" applyAlignment="1">
      <alignment horizontal="center" vertical="center"/>
    </xf>
    <xf numFmtId="0" fontId="6" fillId="2" borderId="11" xfId="0" applyFont="1" applyFill="1" applyBorder="1" applyAlignment="1">
      <alignment horizontal="center" vertical="center"/>
    </xf>
    <xf numFmtId="0" fontId="6" fillId="2" borderId="12" xfId="0" applyFont="1" applyFill="1" applyBorder="1" applyAlignment="1">
      <alignment horizontal="center" vertical="center"/>
    </xf>
    <xf numFmtId="0" fontId="3" fillId="0" borderId="3" xfId="0" applyFont="1" applyBorder="1">
      <alignment vertical="center"/>
    </xf>
    <xf numFmtId="0" fontId="3" fillId="0" borderId="4" xfId="0" applyFont="1" applyBorder="1">
      <alignment vertical="center"/>
    </xf>
    <xf numFmtId="0" fontId="4" fillId="0" borderId="7" xfId="0" applyFont="1" applyBorder="1">
      <alignment vertical="center"/>
    </xf>
    <xf numFmtId="0" fontId="4" fillId="0" borderId="8" xfId="0" applyFont="1" applyBorder="1">
      <alignment vertical="center"/>
    </xf>
    <xf numFmtId="0" fontId="3" fillId="0" borderId="7" xfId="0" applyFont="1" applyBorder="1">
      <alignment vertical="center"/>
    </xf>
    <xf numFmtId="0" fontId="3" fillId="0" borderId="8" xfId="0" applyFont="1" applyBorder="1">
      <alignment vertical="center"/>
    </xf>
    <xf numFmtId="0" fontId="3" fillId="0" borderId="5" xfId="0" applyFont="1" applyBorder="1">
      <alignment vertical="center"/>
    </xf>
    <xf numFmtId="0" fontId="3" fillId="0" borderId="9" xfId="0" applyFont="1" applyBorder="1">
      <alignment vertical="center"/>
    </xf>
    <xf numFmtId="0" fontId="3" fillId="0" borderId="4" xfId="0" applyFont="1" applyBorder="1" applyAlignment="1">
      <alignment horizontal="center" vertical="center"/>
    </xf>
    <xf numFmtId="0" fontId="4" fillId="0" borderId="8" xfId="0" applyFont="1" applyBorder="1" applyAlignment="1">
      <alignment horizontal="center" vertical="center"/>
    </xf>
    <xf numFmtId="0" fontId="14" fillId="0" borderId="0" xfId="0" applyFont="1">
      <alignment vertical="center"/>
    </xf>
    <xf numFmtId="0" fontId="15" fillId="0" borderId="0" xfId="0" applyFont="1">
      <alignment vertical="center"/>
    </xf>
    <xf numFmtId="0" fontId="17" fillId="0" borderId="0" xfId="0" applyFont="1">
      <alignment vertical="center"/>
    </xf>
    <xf numFmtId="0" fontId="18" fillId="0" borderId="0" xfId="0" applyFont="1">
      <alignment vertical="center"/>
    </xf>
    <xf numFmtId="0" fontId="19" fillId="2" borderId="10" xfId="0" applyFont="1" applyFill="1" applyBorder="1" applyAlignment="1">
      <alignment horizontal="center" vertical="center"/>
    </xf>
    <xf numFmtId="0" fontId="19" fillId="2" borderId="11" xfId="0" applyFont="1" applyFill="1" applyBorder="1" applyAlignment="1">
      <alignment horizontal="center" vertical="center"/>
    </xf>
    <xf numFmtId="0" fontId="19" fillId="2" borderId="12" xfId="0" applyFont="1" applyFill="1" applyBorder="1" applyAlignment="1">
      <alignment horizontal="center" vertical="center"/>
    </xf>
    <xf numFmtId="0" fontId="20" fillId="0" borderId="4" xfId="0" applyFont="1" applyBorder="1" applyAlignment="1">
      <alignment vertical="top"/>
    </xf>
    <xf numFmtId="0" fontId="20" fillId="0" borderId="4" xfId="0" applyFont="1" applyBorder="1" applyAlignment="1">
      <alignment horizontal="left" vertical="top"/>
    </xf>
    <xf numFmtId="0" fontId="20" fillId="0" borderId="4" xfId="0" applyFont="1" applyBorder="1" applyAlignment="1">
      <alignment horizontal="center" vertical="top"/>
    </xf>
    <xf numFmtId="0" fontId="21" fillId="0" borderId="5" xfId="0" applyFont="1" applyBorder="1" applyAlignment="1">
      <alignment vertical="top"/>
    </xf>
    <xf numFmtId="0" fontId="20" fillId="0" borderId="8" xfId="0" applyFont="1" applyBorder="1" applyAlignment="1">
      <alignment vertical="top"/>
    </xf>
    <xf numFmtId="0" fontId="20" fillId="0" borderId="8" xfId="0" applyFont="1" applyBorder="1" applyAlignment="1">
      <alignment horizontal="left" vertical="top"/>
    </xf>
    <xf numFmtId="0" fontId="20" fillId="0" borderId="8" xfId="0" applyFont="1" applyBorder="1" applyAlignment="1">
      <alignment horizontal="center" vertical="top"/>
    </xf>
    <xf numFmtId="0" fontId="21" fillId="0" borderId="9" xfId="0" applyFont="1" applyBorder="1" applyAlignment="1">
      <alignment vertical="top"/>
    </xf>
    <xf numFmtId="0" fontId="26" fillId="0" borderId="0" xfId="0" applyFont="1">
      <alignment vertical="center"/>
    </xf>
    <xf numFmtId="0" fontId="11" fillId="0" borderId="0" xfId="0" applyFont="1">
      <alignment vertical="center"/>
    </xf>
    <xf numFmtId="0" fontId="4" fillId="0" borderId="3" xfId="0" applyFont="1" applyBorder="1" applyAlignment="1">
      <alignment vertical="top"/>
    </xf>
    <xf numFmtId="0" fontId="4" fillId="0" borderId="7" xfId="0" applyFont="1" applyBorder="1" applyAlignment="1">
      <alignment vertical="top"/>
    </xf>
    <xf numFmtId="0" fontId="3" fillId="0" borderId="4" xfId="0" applyFont="1" applyBorder="1" applyAlignment="1">
      <alignment vertical="top" wrapText="1"/>
    </xf>
    <xf numFmtId="0" fontId="3" fillId="0" borderId="8" xfId="0" applyFont="1" applyBorder="1" applyAlignment="1">
      <alignment vertical="top" wrapText="1"/>
    </xf>
    <xf numFmtId="0" fontId="27" fillId="0" borderId="0" xfId="0" applyFont="1">
      <alignment vertical="center"/>
    </xf>
    <xf numFmtId="0" fontId="10" fillId="0" borderId="0" xfId="0" applyFont="1">
      <alignment vertical="center"/>
    </xf>
    <xf numFmtId="0" fontId="9" fillId="0" borderId="0" xfId="0" applyFont="1">
      <alignment vertical="center"/>
    </xf>
    <xf numFmtId="0" fontId="4" fillId="0" borderId="0" xfId="0" applyFont="1" applyFill="1" applyBorder="1">
      <alignment vertical="center"/>
    </xf>
    <xf numFmtId="0" fontId="4" fillId="0" borderId="0" xfId="0" applyFont="1" applyAlignment="1">
      <alignment vertical="top"/>
    </xf>
    <xf numFmtId="0" fontId="3" fillId="0" borderId="0" xfId="0" applyFont="1" applyAlignment="1">
      <alignment vertical="top" wrapText="1"/>
    </xf>
    <xf numFmtId="0" fontId="28" fillId="2" borderId="10" xfId="0" applyFont="1" applyFill="1" applyBorder="1" applyAlignment="1">
      <alignment horizontal="center" vertical="center"/>
    </xf>
    <xf numFmtId="0" fontId="28" fillId="2" borderId="11" xfId="0" applyFont="1" applyFill="1" applyBorder="1" applyAlignment="1">
      <alignment horizontal="center" vertical="center"/>
    </xf>
    <xf numFmtId="0" fontId="28" fillId="2" borderId="12" xfId="0" applyFont="1" applyFill="1" applyBorder="1" applyAlignment="1">
      <alignment horizontal="center" vertical="center"/>
    </xf>
    <xf numFmtId="0" fontId="24" fillId="0" borderId="0" xfId="0" applyFont="1">
      <alignment vertical="center"/>
    </xf>
    <xf numFmtId="0" fontId="32" fillId="0" borderId="0" xfId="0" applyFont="1">
      <alignment vertical="center"/>
    </xf>
    <xf numFmtId="0" fontId="33" fillId="0" borderId="0" xfId="0" applyFont="1">
      <alignment vertical="center"/>
    </xf>
    <xf numFmtId="0" fontId="34" fillId="0" borderId="0" xfId="0" applyFont="1">
      <alignment vertical="center"/>
    </xf>
    <xf numFmtId="0" fontId="33" fillId="0" borderId="3" xfId="0" applyFont="1" applyBorder="1" applyAlignment="1">
      <alignment vertical="top"/>
    </xf>
    <xf numFmtId="0" fontId="33" fillId="0" borderId="4" xfId="0" applyFont="1" applyBorder="1" applyAlignment="1">
      <alignment vertical="top"/>
    </xf>
    <xf numFmtId="0" fontId="33" fillId="0" borderId="4" xfId="0" applyFont="1" applyBorder="1" applyAlignment="1">
      <alignment vertical="top" wrapText="1"/>
    </xf>
    <xf numFmtId="0" fontId="33" fillId="0" borderId="4" xfId="0" applyFont="1" applyBorder="1" applyAlignment="1">
      <alignment horizontal="center" vertical="top"/>
    </xf>
    <xf numFmtId="0" fontId="33" fillId="0" borderId="7" xfId="0" applyFont="1" applyBorder="1" applyAlignment="1">
      <alignment vertical="top"/>
    </xf>
    <xf numFmtId="0" fontId="33" fillId="0" borderId="8" xfId="0" applyFont="1" applyBorder="1" applyAlignment="1">
      <alignment vertical="top"/>
    </xf>
    <xf numFmtId="0" fontId="33" fillId="0" borderId="8" xfId="0" applyFont="1" applyBorder="1" applyAlignment="1">
      <alignment vertical="top" wrapText="1"/>
    </xf>
    <xf numFmtId="0" fontId="33" fillId="0" borderId="8" xfId="0" applyFont="1" applyBorder="1" applyAlignment="1">
      <alignment horizontal="center" vertical="top"/>
    </xf>
    <xf numFmtId="0" fontId="32" fillId="0" borderId="3" xfId="0" applyFont="1" applyBorder="1" applyAlignment="1">
      <alignment vertical="top"/>
    </xf>
    <xf numFmtId="0" fontId="32" fillId="0" borderId="7" xfId="0" applyFont="1" applyBorder="1" applyAlignment="1">
      <alignment vertical="top"/>
    </xf>
    <xf numFmtId="0" fontId="36" fillId="0" borderId="0" xfId="0" applyFont="1">
      <alignment vertical="center"/>
    </xf>
    <xf numFmtId="0" fontId="33" fillId="0" borderId="5" xfId="0" applyFont="1" applyBorder="1" applyAlignment="1">
      <alignment vertical="top"/>
    </xf>
    <xf numFmtId="0" fontId="33" fillId="0" borderId="9" xfId="0" applyFont="1" applyBorder="1" applyAlignment="1">
      <alignment vertical="top"/>
    </xf>
    <xf numFmtId="0" fontId="28" fillId="2" borderId="11" xfId="0" applyFont="1" applyFill="1" applyBorder="1" applyAlignment="1">
      <alignment horizontal="center" vertical="top"/>
    </xf>
    <xf numFmtId="0" fontId="35" fillId="0" borderId="0" xfId="0" applyFont="1">
      <alignment vertical="center"/>
    </xf>
    <xf numFmtId="0" fontId="19" fillId="2" borderId="10" xfId="0" applyFont="1" applyFill="1" applyBorder="1" applyAlignment="1">
      <alignment horizontal="center" vertical="top"/>
    </xf>
    <xf numFmtId="0" fontId="19" fillId="2" borderId="11" xfId="0" applyFont="1" applyFill="1" applyBorder="1" applyAlignment="1">
      <alignment horizontal="center" vertical="top"/>
    </xf>
    <xf numFmtId="0" fontId="19" fillId="2" borderId="12" xfId="0" applyFont="1" applyFill="1" applyBorder="1" applyAlignment="1">
      <alignment horizontal="center" vertical="top"/>
    </xf>
    <xf numFmtId="0" fontId="29" fillId="0" borderId="0" xfId="0" applyFont="1">
      <alignment vertical="center"/>
    </xf>
    <xf numFmtId="0" fontId="20" fillId="0" borderId="3" xfId="0" applyFont="1" applyBorder="1">
      <alignment vertical="center"/>
    </xf>
    <xf numFmtId="0" fontId="20" fillId="0" borderId="4" xfId="0" applyFont="1" applyBorder="1" applyAlignment="1">
      <alignment horizontal="center" vertical="center"/>
    </xf>
    <xf numFmtId="0" fontId="16" fillId="0" borderId="7" xfId="0" applyFont="1" applyBorder="1">
      <alignment vertical="center"/>
    </xf>
    <xf numFmtId="0" fontId="16" fillId="0" borderId="8" xfId="0" applyFont="1" applyBorder="1" applyAlignment="1">
      <alignment horizontal="center" vertical="center"/>
    </xf>
    <xf numFmtId="0" fontId="20" fillId="0" borderId="4" xfId="0" applyFont="1" applyBorder="1">
      <alignment vertical="center"/>
    </xf>
    <xf numFmtId="1" fontId="20" fillId="0" borderId="4" xfId="0" applyNumberFormat="1" applyFont="1" applyBorder="1" applyAlignment="1">
      <alignment horizontal="center" vertical="center"/>
    </xf>
    <xf numFmtId="0" fontId="20" fillId="0" borderId="7" xfId="0" applyFont="1" applyBorder="1">
      <alignment vertical="center"/>
    </xf>
    <xf numFmtId="0" fontId="20" fillId="0" borderId="8" xfId="0" applyFont="1" applyBorder="1">
      <alignment vertical="center"/>
    </xf>
    <xf numFmtId="1" fontId="20" fillId="0" borderId="8" xfId="0" applyNumberFormat="1" applyFont="1" applyBorder="1" applyAlignment="1">
      <alignment horizontal="center" vertical="center"/>
    </xf>
    <xf numFmtId="0" fontId="20" fillId="0" borderId="5" xfId="0" applyFont="1" applyBorder="1">
      <alignment vertical="center"/>
    </xf>
    <xf numFmtId="0" fontId="20" fillId="0" borderId="9" xfId="0" applyFont="1" applyBorder="1">
      <alignment vertical="center"/>
    </xf>
    <xf numFmtId="0" fontId="29" fillId="0" borderId="0" xfId="0" applyFont="1" applyFill="1" applyBorder="1">
      <alignment vertical="center"/>
    </xf>
    <xf numFmtId="176" fontId="20" fillId="0" borderId="4" xfId="0" applyNumberFormat="1" applyFont="1" applyBorder="1" applyAlignment="1">
      <alignment horizontal="center" vertical="center"/>
    </xf>
    <xf numFmtId="0" fontId="30" fillId="0" borderId="5" xfId="0" applyFont="1" applyBorder="1">
      <alignment vertical="center"/>
    </xf>
    <xf numFmtId="0" fontId="23" fillId="0" borderId="5" xfId="0" applyFont="1" applyBorder="1">
      <alignment vertical="center"/>
    </xf>
    <xf numFmtId="176" fontId="16" fillId="0" borderId="8" xfId="0" applyNumberFormat="1" applyFont="1" applyBorder="1" applyAlignment="1">
      <alignment horizontal="center" vertical="center"/>
    </xf>
    <xf numFmtId="0" fontId="37" fillId="0" borderId="5" xfId="0" applyFont="1" applyBorder="1">
      <alignment vertical="center"/>
    </xf>
    <xf numFmtId="0" fontId="29" fillId="0" borderId="0" xfId="0" applyFont="1" applyFill="1" applyBorder="1" applyAlignment="1">
      <alignment vertical="top"/>
    </xf>
    <xf numFmtId="0" fontId="15" fillId="0" borderId="0" xfId="0" applyFont="1" applyAlignment="1">
      <alignment vertical="top"/>
    </xf>
    <xf numFmtId="0" fontId="16" fillId="0" borderId="0" xfId="0" applyFont="1" applyAlignment="1">
      <alignment vertical="top"/>
    </xf>
    <xf numFmtId="0" fontId="20" fillId="0" borderId="0" xfId="0" applyFont="1" applyAlignment="1">
      <alignment vertical="top" wrapText="1"/>
    </xf>
    <xf numFmtId="0" fontId="22" fillId="0" borderId="0" xfId="0" applyFont="1" applyAlignment="1">
      <alignment vertical="top" wrapText="1"/>
    </xf>
    <xf numFmtId="0" fontId="16" fillId="0" borderId="0" xfId="0" applyFont="1" applyFill="1" applyBorder="1" applyAlignment="1">
      <alignment vertical="top"/>
    </xf>
    <xf numFmtId="0" fontId="23" fillId="0" borderId="0" xfId="0" applyFont="1" applyAlignment="1">
      <alignment vertical="top" wrapText="1"/>
    </xf>
    <xf numFmtId="0" fontId="6" fillId="2" borderId="10" xfId="0" applyFont="1" applyFill="1" applyBorder="1" applyAlignment="1">
      <alignment horizontal="center" vertical="top" wrapText="1"/>
    </xf>
    <xf numFmtId="0" fontId="6" fillId="2" borderId="11" xfId="0" applyFont="1" applyFill="1" applyBorder="1" applyAlignment="1">
      <alignment horizontal="center" vertical="top" wrapText="1"/>
    </xf>
    <xf numFmtId="0" fontId="6" fillId="2" borderId="12" xfId="0" applyFont="1" applyFill="1" applyBorder="1" applyAlignment="1">
      <alignment horizontal="center" vertical="top" wrapText="1"/>
    </xf>
    <xf numFmtId="0" fontId="4" fillId="0" borderId="3" xfId="0" applyFont="1" applyBorder="1" applyAlignment="1">
      <alignment vertical="top" wrapText="1"/>
    </xf>
    <xf numFmtId="0" fontId="4" fillId="0" borderId="7" xfId="0" applyFont="1" applyBorder="1" applyAlignment="1">
      <alignment vertical="top" wrapText="1"/>
    </xf>
    <xf numFmtId="0" fontId="20" fillId="0" borderId="6" xfId="0" applyFont="1" applyBorder="1">
      <alignment vertical="center"/>
    </xf>
    <xf numFmtId="176" fontId="15" fillId="0" borderId="0" xfId="0" applyNumberFormat="1" applyFont="1">
      <alignment vertical="center"/>
    </xf>
    <xf numFmtId="0" fontId="20" fillId="0" borderId="0" xfId="0" applyFont="1">
      <alignment vertical="center"/>
    </xf>
    <xf numFmtId="0" fontId="40" fillId="0" borderId="0" xfId="0" applyFont="1">
      <alignment vertical="center"/>
    </xf>
    <xf numFmtId="0" fontId="41"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3" fillId="0" borderId="8" xfId="0" applyFont="1" applyBorder="1" applyAlignment="1">
      <alignment horizontal="center" vertical="center"/>
    </xf>
    <xf numFmtId="0" fontId="49" fillId="0" borderId="5" xfId="0" applyFont="1" applyBorder="1">
      <alignment vertical="center"/>
    </xf>
    <xf numFmtId="0" fontId="50" fillId="0" borderId="3" xfId="0" applyFont="1" applyBorder="1" applyAlignment="1">
      <alignment vertical="top"/>
    </xf>
    <xf numFmtId="0" fontId="50" fillId="0" borderId="7" xfId="0" applyFont="1" applyBorder="1" applyAlignment="1">
      <alignment vertical="top"/>
    </xf>
    <xf numFmtId="0" fontId="50" fillId="0" borderId="0" xfId="0" applyFont="1">
      <alignment vertical="center"/>
    </xf>
    <xf numFmtId="0" fontId="25" fillId="0" borderId="4" xfId="0" applyFont="1" applyBorder="1" applyAlignment="1">
      <alignment horizontal="left" vertical="top"/>
    </xf>
    <xf numFmtId="0" fontId="25" fillId="0" borderId="8" xfId="0" applyFont="1" applyBorder="1" applyAlignment="1">
      <alignment horizontal="left" vertical="top"/>
    </xf>
    <xf numFmtId="0" fontId="25" fillId="0" borderId="0" xfId="0" applyFont="1" applyAlignment="1">
      <alignment horizontal="left" vertical="center"/>
    </xf>
    <xf numFmtId="0" fontId="21" fillId="0" borderId="0" xfId="0" applyFont="1">
      <alignment vertical="center"/>
    </xf>
    <xf numFmtId="0" fontId="28" fillId="2" borderId="13" xfId="0" applyFont="1" applyFill="1" applyBorder="1" applyAlignment="1">
      <alignment horizontal="center" vertical="top"/>
    </xf>
    <xf numFmtId="0" fontId="17" fillId="0" borderId="4" xfId="0" applyFont="1" applyBorder="1" applyAlignment="1">
      <alignment vertical="top"/>
    </xf>
    <xf numFmtId="0" fontId="17" fillId="0" borderId="8" xfId="0" applyFont="1" applyBorder="1" applyAlignment="1">
      <alignment vertical="top"/>
    </xf>
    <xf numFmtId="0" fontId="21" fillId="0" borderId="4" xfId="0" applyFont="1" applyBorder="1" applyAlignment="1">
      <alignment vertical="top"/>
    </xf>
    <xf numFmtId="0" fontId="21" fillId="0" borderId="8" xfId="0" applyFont="1" applyBorder="1" applyAlignment="1">
      <alignment vertical="top"/>
    </xf>
    <xf numFmtId="176" fontId="20" fillId="0" borderId="5" xfId="0" applyNumberFormat="1" applyFont="1" applyBorder="1" applyAlignment="1">
      <alignment horizontal="center" vertical="center"/>
    </xf>
    <xf numFmtId="176" fontId="16" fillId="0" borderId="9" xfId="0" applyNumberFormat="1" applyFont="1" applyBorder="1" applyAlignment="1">
      <alignment horizontal="center" vertical="center"/>
    </xf>
    <xf numFmtId="0" fontId="39" fillId="0" borderId="0" xfId="0" applyFont="1" applyAlignment="1">
      <alignment horizontal="center" vertical="center"/>
    </xf>
    <xf numFmtId="0" fontId="28" fillId="2" borderId="0" xfId="0" applyFont="1" applyFill="1" applyAlignment="1">
      <alignment horizontal="center" vertical="center"/>
    </xf>
    <xf numFmtId="0" fontId="20" fillId="0" borderId="0" xfId="0" applyFont="1" applyAlignment="1">
      <alignment horizontal="center" vertical="center"/>
    </xf>
    <xf numFmtId="0" fontId="16" fillId="0" borderId="0" xfId="0" applyFont="1" applyAlignment="1">
      <alignment horizontal="center" vertical="center"/>
    </xf>
    <xf numFmtId="176" fontId="16" fillId="0" borderId="0" xfId="0" applyNumberFormat="1" applyFont="1" applyAlignment="1">
      <alignment horizontal="center" vertical="center"/>
    </xf>
    <xf numFmtId="1" fontId="28" fillId="2" borderId="4" xfId="0" applyNumberFormat="1" applyFont="1" applyFill="1" applyBorder="1" applyAlignment="1">
      <alignment horizontal="center" vertical="center"/>
    </xf>
    <xf numFmtId="0" fontId="28" fillId="2" borderId="4" xfId="0" applyFont="1" applyFill="1" applyBorder="1" applyAlignment="1">
      <alignment horizontal="center" vertical="center"/>
    </xf>
    <xf numFmtId="1" fontId="28" fillId="2" borderId="5" xfId="0" applyNumberFormat="1" applyFont="1" applyFill="1" applyBorder="1" applyAlignment="1">
      <alignment horizontal="center" vertical="center"/>
    </xf>
    <xf numFmtId="1" fontId="20" fillId="0" borderId="5" xfId="0" applyNumberFormat="1" applyFont="1" applyBorder="1" applyAlignment="1">
      <alignment horizontal="center" vertical="center"/>
    </xf>
    <xf numFmtId="1" fontId="20" fillId="0" borderId="9" xfId="0" applyNumberFormat="1" applyFont="1" applyBorder="1" applyAlignment="1">
      <alignment horizontal="center" vertical="center"/>
    </xf>
    <xf numFmtId="1" fontId="20" fillId="0" borderId="0" xfId="0" applyNumberFormat="1" applyFont="1" applyAlignment="1">
      <alignment horizontal="center" vertical="center"/>
    </xf>
    <xf numFmtId="0" fontId="12" fillId="0" borderId="4" xfId="0" applyFont="1" applyBorder="1" applyAlignment="1">
      <alignment vertical="top"/>
    </xf>
    <xf numFmtId="0" fontId="12" fillId="0" borderId="8" xfId="0" applyFont="1" applyBorder="1" applyAlignment="1">
      <alignment vertical="top"/>
    </xf>
    <xf numFmtId="0" fontId="12" fillId="0" borderId="5" xfId="0" applyFont="1" applyBorder="1" applyAlignment="1">
      <alignment vertical="top"/>
    </xf>
    <xf numFmtId="0" fontId="12" fillId="0" borderId="9" xfId="0" applyFont="1" applyBorder="1" applyAlignment="1">
      <alignment vertical="top"/>
    </xf>
    <xf numFmtId="0" fontId="52" fillId="2" borderId="0" xfId="0" applyFont="1" applyFill="1" applyBorder="1" applyAlignment="1">
      <alignment horizontal="center" vertical="top"/>
    </xf>
    <xf numFmtId="0" fontId="3" fillId="0" borderId="5" xfId="0" applyFont="1" applyBorder="1" applyAlignment="1">
      <alignment horizontal="center" vertical="center"/>
    </xf>
    <xf numFmtId="0" fontId="4" fillId="0" borderId="9" xfId="0" applyFont="1" applyBorder="1" applyAlignment="1">
      <alignment horizontal="center" vertical="center"/>
    </xf>
    <xf numFmtId="0" fontId="4" fillId="0" borderId="4" xfId="0" applyFont="1" applyBorder="1" applyAlignment="1">
      <alignment horizontal="center" vertical="center"/>
    </xf>
    <xf numFmtId="0" fontId="3" fillId="0" borderId="1" xfId="0" applyFont="1" applyBorder="1" applyAlignment="1">
      <alignment horizontal="center" vertical="center"/>
    </xf>
    <xf numFmtId="0" fontId="49" fillId="0" borderId="2" xfId="0" applyFont="1" applyBorder="1">
      <alignment vertical="center"/>
    </xf>
    <xf numFmtId="0" fontId="4" fillId="0" borderId="4" xfId="0" applyFont="1" applyFill="1" applyBorder="1" applyAlignment="1">
      <alignment horizontal="center" vertical="top"/>
    </xf>
    <xf numFmtId="0" fontId="27" fillId="0" borderId="4" xfId="0" applyFont="1" applyBorder="1" applyAlignment="1">
      <alignment horizontal="center" vertical="top"/>
    </xf>
    <xf numFmtId="0" fontId="9" fillId="0" borderId="4" xfId="0" applyFont="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180" fontId="3" fillId="0" borderId="4" xfId="0" applyNumberFormat="1" applyFont="1" applyBorder="1" applyAlignment="1">
      <alignment horizontal="center" vertical="top"/>
    </xf>
    <xf numFmtId="180" fontId="3" fillId="0" borderId="8" xfId="0" applyNumberFormat="1" applyFont="1" applyBorder="1" applyAlignment="1">
      <alignment horizontal="center" vertical="top"/>
    </xf>
    <xf numFmtId="1" fontId="4" fillId="0" borderId="4" xfId="0" applyNumberFormat="1" applyFont="1" applyBorder="1" applyAlignment="1">
      <alignment horizontal="center" vertical="top"/>
    </xf>
    <xf numFmtId="1" fontId="4" fillId="0" borderId="8" xfId="0" applyNumberFormat="1" applyFont="1" applyBorder="1" applyAlignment="1">
      <alignment horizontal="center" vertical="top"/>
    </xf>
    <xf numFmtId="0" fontId="53" fillId="0" borderId="0" xfId="0" applyFont="1">
      <alignment vertical="center"/>
    </xf>
    <xf numFmtId="0" fontId="4" fillId="0" borderId="3" xfId="0" applyFont="1" applyBorder="1">
      <alignment vertical="center"/>
    </xf>
    <xf numFmtId="0" fontId="4" fillId="0" borderId="5" xfId="0" applyFont="1" applyBorder="1">
      <alignment vertical="center"/>
    </xf>
    <xf numFmtId="0" fontId="3" fillId="0" borderId="10" xfId="0" applyFont="1" applyBorder="1">
      <alignment vertical="center"/>
    </xf>
    <xf numFmtId="0" fontId="3" fillId="0" borderId="11" xfId="0" applyFont="1" applyBorder="1">
      <alignment vertical="center"/>
    </xf>
    <xf numFmtId="0" fontId="3" fillId="0" borderId="12" xfId="0" applyFont="1" applyBorder="1">
      <alignment vertical="center"/>
    </xf>
    <xf numFmtId="0" fontId="4" fillId="0" borderId="9" xfId="0" applyFont="1" applyBorder="1">
      <alignment vertical="center"/>
    </xf>
    <xf numFmtId="0" fontId="55" fillId="0" borderId="5" xfId="0" applyFont="1" applyBorder="1" applyAlignment="1">
      <alignment vertical="top"/>
    </xf>
    <xf numFmtId="0" fontId="55" fillId="0" borderId="9" xfId="0" applyFont="1" applyBorder="1" applyAlignment="1">
      <alignment vertical="top"/>
    </xf>
    <xf numFmtId="49" fontId="54" fillId="0" borderId="4" xfId="0" applyNumberFormat="1" applyFont="1" applyBorder="1" applyAlignment="1">
      <alignment horizontal="center" vertical="top"/>
    </xf>
    <xf numFmtId="49" fontId="54" fillId="0" borderId="8" xfId="0" applyNumberFormat="1" applyFont="1" applyBorder="1" applyAlignment="1">
      <alignment horizontal="center" vertical="top"/>
    </xf>
    <xf numFmtId="0" fontId="6" fillId="5" borderId="10" xfId="0" applyFont="1" applyFill="1" applyBorder="1" applyAlignment="1">
      <alignment horizontal="center" vertical="top"/>
    </xf>
    <xf numFmtId="0" fontId="6" fillId="5" borderId="11" xfId="0" applyFont="1" applyFill="1" applyBorder="1" applyAlignment="1">
      <alignment horizontal="center" vertical="top"/>
    </xf>
    <xf numFmtId="0" fontId="6" fillId="5" borderId="12" xfId="0" applyFont="1" applyFill="1" applyBorder="1" applyAlignment="1">
      <alignment horizontal="center" vertical="top"/>
    </xf>
    <xf numFmtId="0" fontId="4" fillId="0" borderId="4" xfId="0" applyFont="1" applyBorder="1" applyAlignment="1">
      <alignment vertical="top"/>
    </xf>
    <xf numFmtId="0" fontId="4" fillId="0" borderId="8" xfId="0" applyFont="1" applyBorder="1" applyAlignment="1">
      <alignment vertical="top"/>
    </xf>
    <xf numFmtId="0" fontId="55" fillId="0" borderId="4" xfId="0" applyFont="1" applyBorder="1" applyAlignment="1">
      <alignment vertical="top"/>
    </xf>
    <xf numFmtId="0" fontId="55" fillId="0" borderId="8" xfId="0" applyFont="1" applyBorder="1" applyAlignment="1">
      <alignment vertical="top"/>
    </xf>
    <xf numFmtId="0" fontId="4" fillId="0" borderId="5" xfId="0" applyFont="1" applyBorder="1" applyAlignment="1">
      <alignment horizontal="center" vertical="center"/>
    </xf>
    <xf numFmtId="0" fontId="6" fillId="5" borderId="10" xfId="0" applyFont="1" applyFill="1" applyBorder="1" applyAlignment="1">
      <alignment horizontal="center" vertical="center"/>
    </xf>
    <xf numFmtId="0" fontId="6" fillId="5" borderId="11" xfId="0" applyFont="1" applyFill="1" applyBorder="1" applyAlignment="1">
      <alignment horizontal="center" vertical="center"/>
    </xf>
    <xf numFmtId="0" fontId="6" fillId="5" borderId="12" xfId="0" applyFont="1" applyFill="1" applyBorder="1" applyAlignment="1">
      <alignment horizontal="center" vertical="center"/>
    </xf>
    <xf numFmtId="0" fontId="53" fillId="0" borderId="0" xfId="0" applyFont="1" applyFill="1" applyBorder="1">
      <alignment vertical="center"/>
    </xf>
    <xf numFmtId="0" fontId="6" fillId="6" borderId="10" xfId="0" applyFont="1" applyFill="1" applyBorder="1" applyAlignment="1">
      <alignment horizontal="center" vertical="top"/>
    </xf>
    <xf numFmtId="0" fontId="6" fillId="6" borderId="11" xfId="0" applyFont="1" applyFill="1" applyBorder="1" applyAlignment="1">
      <alignment horizontal="center" vertical="top"/>
    </xf>
    <xf numFmtId="0" fontId="6" fillId="6" borderId="12" xfId="0" applyFont="1" applyFill="1" applyBorder="1" applyAlignment="1">
      <alignment horizontal="center" vertical="top"/>
    </xf>
    <xf numFmtId="0" fontId="3" fillId="0" borderId="5" xfId="0" applyFont="1" applyBorder="1" applyAlignment="1">
      <alignment horizontal="center" vertical="top"/>
    </xf>
    <xf numFmtId="0" fontId="3" fillId="0" borderId="9" xfId="0" applyFont="1" applyBorder="1" applyAlignment="1">
      <alignment horizontal="center" vertical="top"/>
    </xf>
    <xf numFmtId="0" fontId="6" fillId="6" borderId="10" xfId="0" applyFont="1" applyFill="1" applyBorder="1" applyAlignment="1">
      <alignment horizontal="center" vertical="center"/>
    </xf>
    <xf numFmtId="0" fontId="6" fillId="6" borderId="11" xfId="0" applyFont="1" applyFill="1" applyBorder="1" applyAlignment="1">
      <alignment horizontal="center" vertical="center"/>
    </xf>
    <xf numFmtId="0" fontId="6" fillId="6" borderId="12" xfId="0" applyFont="1" applyFill="1" applyBorder="1" applyAlignment="1">
      <alignment horizontal="center" vertical="center"/>
    </xf>
    <xf numFmtId="0" fontId="56" fillId="2" borderId="16" xfId="0" applyFont="1" applyFill="1" applyBorder="1" applyAlignment="1">
      <alignment horizontal="center" vertical="center"/>
    </xf>
    <xf numFmtId="181" fontId="3" fillId="0" borderId="4" xfId="0" applyNumberFormat="1" applyFont="1" applyBorder="1" applyAlignment="1">
      <alignment horizontal="center" vertical="center"/>
    </xf>
    <xf numFmtId="181" fontId="4" fillId="0" borderId="4" xfId="0" applyNumberFormat="1" applyFont="1" applyBorder="1" applyAlignment="1">
      <alignment horizontal="center" vertical="center"/>
    </xf>
    <xf numFmtId="0" fontId="4" fillId="0" borderId="4" xfId="0" applyFont="1" applyBorder="1">
      <alignment vertical="center"/>
    </xf>
    <xf numFmtId="181" fontId="4" fillId="0" borderId="8" xfId="0" applyNumberFormat="1" applyFont="1" applyBorder="1" applyAlignment="1">
      <alignment horizontal="center" vertical="center"/>
    </xf>
    <xf numFmtId="0" fontId="55" fillId="0" borderId="4" xfId="0" applyFont="1" applyBorder="1" applyAlignment="1">
      <alignment horizontal="center" vertical="top"/>
    </xf>
    <xf numFmtId="0" fontId="55" fillId="0" borderId="8" xfId="0" applyFont="1" applyBorder="1" applyAlignment="1">
      <alignment horizontal="center" vertical="top"/>
    </xf>
    <xf numFmtId="0" fontId="33" fillId="0" borderId="0" xfId="0" applyFont="1" applyAlignment="1">
      <alignment horizontal="left" vertical="center"/>
    </xf>
    <xf numFmtId="0" fontId="33" fillId="0" borderId="0" xfId="0" applyFont="1" applyAlignment="1">
      <alignment vertical="center"/>
    </xf>
    <xf numFmtId="0" fontId="20" fillId="7" borderId="4" xfId="0" applyFont="1" applyFill="1" applyBorder="1" applyAlignment="1">
      <alignment vertical="top"/>
    </xf>
    <xf numFmtId="0" fontId="20" fillId="7" borderId="8" xfId="0" applyFont="1" applyFill="1" applyBorder="1" applyAlignment="1">
      <alignment vertical="top"/>
    </xf>
    <xf numFmtId="0" fontId="37" fillId="0" borderId="4" xfId="0" applyFont="1" applyBorder="1" applyAlignment="1">
      <alignment vertical="top"/>
    </xf>
    <xf numFmtId="0" fontId="37" fillId="0" borderId="8" xfId="0" applyFont="1" applyBorder="1" applyAlignment="1">
      <alignment vertical="top"/>
    </xf>
    <xf numFmtId="0" fontId="3" fillId="0" borderId="4" xfId="0" applyFont="1" applyBorder="1" applyAlignment="1">
      <alignment horizontal="center" vertical="top" wrapText="1"/>
    </xf>
    <xf numFmtId="0" fontId="3" fillId="0" borderId="8" xfId="0" applyFont="1" applyBorder="1" applyAlignment="1">
      <alignment horizontal="center" vertical="top" wrapText="1"/>
    </xf>
    <xf numFmtId="0" fontId="58" fillId="0" borderId="5" xfId="0" applyFont="1" applyBorder="1" applyAlignment="1">
      <alignment vertical="top" wrapText="1"/>
    </xf>
    <xf numFmtId="0" fontId="58" fillId="0" borderId="9" xfId="0" applyFont="1" applyBorder="1" applyAlignment="1">
      <alignment vertical="top" wrapText="1"/>
    </xf>
    <xf numFmtId="0" fontId="4" fillId="0" borderId="9" xfId="0" applyFont="1" applyBorder="1" applyAlignment="1">
      <alignment vertical="top"/>
    </xf>
    <xf numFmtId="187" fontId="3" fillId="0" borderId="4" xfId="0" applyNumberFormat="1" applyFont="1" applyBorder="1" applyAlignment="1">
      <alignment horizontal="right" vertical="top"/>
    </xf>
    <xf numFmtId="0" fontId="4" fillId="0" borderId="8" xfId="0" applyFont="1" applyBorder="1" applyAlignment="1">
      <alignment horizontal="right" vertical="top"/>
    </xf>
    <xf numFmtId="186" fontId="60" fillId="0" borderId="4" xfId="0" applyNumberFormat="1" applyFont="1" applyBorder="1" applyAlignment="1">
      <alignment horizontal="right" vertical="top"/>
    </xf>
    <xf numFmtId="4" fontId="3" fillId="0" borderId="4" xfId="0" applyNumberFormat="1" applyFont="1" applyBorder="1" applyAlignment="1">
      <alignment horizontal="right" vertical="top"/>
    </xf>
    <xf numFmtId="4" fontId="4" fillId="0" borderId="8" xfId="0" applyNumberFormat="1" applyFont="1" applyBorder="1" applyAlignment="1">
      <alignment horizontal="right" vertical="top"/>
    </xf>
    <xf numFmtId="0" fontId="4" fillId="0" borderId="3" xfId="0" applyFont="1" applyBorder="1" applyAlignment="1">
      <alignment horizontal="center" vertical="top"/>
    </xf>
    <xf numFmtId="0" fontId="3" fillId="0" borderId="4" xfId="0" applyFont="1" applyBorder="1" applyAlignment="1">
      <alignment horizontal="right" vertical="center"/>
    </xf>
    <xf numFmtId="4" fontId="3" fillId="0" borderId="4" xfId="0" applyNumberFormat="1" applyFont="1" applyBorder="1" applyAlignment="1">
      <alignment horizontal="right" vertical="center"/>
    </xf>
    <xf numFmtId="4" fontId="3" fillId="0" borderId="5" xfId="0" applyNumberFormat="1" applyFont="1" applyBorder="1" applyAlignment="1">
      <alignment horizontal="right" vertical="center"/>
    </xf>
    <xf numFmtId="0" fontId="4" fillId="0" borderId="8" xfId="0" applyFont="1" applyBorder="1" applyAlignment="1">
      <alignment horizontal="right" vertical="center"/>
    </xf>
    <xf numFmtId="4" fontId="4" fillId="0" borderId="8" xfId="0" applyNumberFormat="1" applyFont="1" applyBorder="1" applyAlignment="1">
      <alignment horizontal="right" vertical="center"/>
    </xf>
    <xf numFmtId="4" fontId="4" fillId="0" borderId="9" xfId="0" applyNumberFormat="1" applyFont="1" applyBorder="1" applyAlignment="1">
      <alignment horizontal="right" vertical="center"/>
    </xf>
    <xf numFmtId="188" fontId="3" fillId="0" borderId="4" xfId="0" applyNumberFormat="1" applyFont="1" applyBorder="1" applyAlignment="1">
      <alignment horizontal="right" vertical="center"/>
    </xf>
    <xf numFmtId="3" fontId="3" fillId="0" borderId="4" xfId="0" applyNumberFormat="1" applyFont="1" applyBorder="1" applyAlignment="1">
      <alignment horizontal="right" vertical="center"/>
    </xf>
    <xf numFmtId="189" fontId="3" fillId="0" borderId="4" xfId="0" applyNumberFormat="1" applyFont="1" applyBorder="1" applyAlignment="1">
      <alignment horizontal="right" vertical="center"/>
    </xf>
    <xf numFmtId="3" fontId="3" fillId="0" borderId="8" xfId="0" applyNumberFormat="1" applyFont="1" applyBorder="1" applyAlignment="1">
      <alignment horizontal="right" vertical="center"/>
    </xf>
    <xf numFmtId="0" fontId="60" fillId="0" borderId="4" xfId="0" applyFont="1" applyBorder="1">
      <alignment vertical="center"/>
    </xf>
    <xf numFmtId="0" fontId="60" fillId="0" borderId="8" xfId="0" applyFont="1" applyBorder="1">
      <alignment vertical="center"/>
    </xf>
    <xf numFmtId="0" fontId="51" fillId="0" borderId="4" xfId="0" applyFont="1" applyBorder="1">
      <alignment vertical="center"/>
    </xf>
    <xf numFmtId="0" fontId="51" fillId="0" borderId="8" xfId="0" applyFont="1" applyBorder="1">
      <alignment vertical="center"/>
    </xf>
    <xf numFmtId="0" fontId="16" fillId="0" borderId="4" xfId="0" applyFont="1" applyBorder="1" applyAlignment="1">
      <alignment horizontal="center" vertical="top"/>
    </xf>
    <xf numFmtId="0" fontId="16" fillId="0" borderId="8" xfId="0" applyFont="1" applyBorder="1" applyAlignment="1">
      <alignment horizontal="center" vertical="top"/>
    </xf>
    <xf numFmtId="0" fontId="20" fillId="0" borderId="14" xfId="0" applyFont="1" applyBorder="1" applyAlignment="1">
      <alignment horizontal="center" vertical="top"/>
    </xf>
    <xf numFmtId="0" fontId="20" fillId="0" borderId="15" xfId="0" applyFont="1" applyBorder="1" applyAlignment="1">
      <alignment horizontal="center" vertical="top"/>
    </xf>
    <xf numFmtId="0" fontId="24" fillId="0" borderId="4" xfId="0" applyFont="1" applyBorder="1" applyAlignment="1">
      <alignment horizontal="center" vertical="top"/>
    </xf>
    <xf numFmtId="0" fontId="31" fillId="0" borderId="4" xfId="0" applyFont="1" applyFill="1" applyBorder="1" applyAlignment="1">
      <alignment horizontal="left" vertical="top" wrapText="1"/>
    </xf>
    <xf numFmtId="0" fontId="31" fillId="0" borderId="8" xfId="0" applyFont="1" applyFill="1" applyBorder="1" applyAlignment="1">
      <alignment horizontal="left" vertical="top" wrapText="1"/>
    </xf>
    <xf numFmtId="0" fontId="20" fillId="7" borderId="4" xfId="0" applyFont="1" applyFill="1" applyBorder="1" applyAlignment="1">
      <alignment vertical="top" wrapText="1"/>
    </xf>
    <xf numFmtId="0" fontId="38" fillId="0" borderId="4" xfId="0" applyFont="1" applyBorder="1" applyAlignment="1">
      <alignment horizontal="left" vertical="top"/>
    </xf>
    <xf numFmtId="0" fontId="38" fillId="0" borderId="8" xfId="0" applyFont="1" applyBorder="1" applyAlignment="1">
      <alignment horizontal="left" vertical="top"/>
    </xf>
    <xf numFmtId="0" fontId="61" fillId="0" borderId="0" xfId="0" applyFont="1">
      <alignment vertical="center"/>
    </xf>
    <xf numFmtId="0" fontId="57" fillId="0" borderId="0" xfId="0" applyFont="1">
      <alignment vertical="center"/>
    </xf>
    <xf numFmtId="0" fontId="57" fillId="0" borderId="0" xfId="0" applyFont="1" applyAlignment="1">
      <alignment horizontal="left" vertical="center"/>
    </xf>
    <xf numFmtId="0" fontId="16" fillId="0" borderId="0" xfId="0" applyFont="1" applyAlignment="1">
      <alignment horizontal="left" vertical="center"/>
    </xf>
    <xf numFmtId="0" fontId="38" fillId="3" borderId="4" xfId="0" applyFont="1" applyFill="1" applyBorder="1" applyAlignment="1">
      <alignment horizontal="left" vertical="top"/>
    </xf>
    <xf numFmtId="0" fontId="4" fillId="4" borderId="7" xfId="0" applyFont="1" applyFill="1" applyBorder="1" applyAlignment="1">
      <alignment vertical="top"/>
    </xf>
  </cellXfs>
  <cellStyles count="1">
    <cellStyle name="標準" xfId="0" builtinId="0"/>
  </cellStyles>
  <dxfs count="80">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ont>
        <b/>
        <i val="0"/>
        <color rgb="FF2E5C8A"/>
      </font>
      <fill>
        <patternFill patternType="solid">
          <fgColor indexed="64"/>
          <bgColor rgb="FFDEEAF6"/>
        </patternFill>
      </fill>
    </dxf>
    <dxf>
      <font>
        <b/>
        <i val="0"/>
        <color rgb="FF1F4E79"/>
      </font>
      <fill>
        <patternFill patternType="solid">
          <fgColor indexed="64"/>
          <bgColor rgb="FFDDEBF7"/>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ill>
        <patternFill patternType="solid">
          <fgColor indexed="64"/>
          <bgColor rgb="FFFFC7CE"/>
        </patternFill>
      </fill>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C7CE"/>
        </patternFill>
      </fill>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C6" sqref="C6"/>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8" t="s">
        <v>2823</v>
      </c>
    </row>
    <row r="2" spans="1:4">
      <c r="A2" s="49" t="s">
        <v>2824</v>
      </c>
    </row>
    <row r="4" spans="1:4" ht="24" customHeight="1">
      <c r="A4" s="110" t="s">
        <v>2825</v>
      </c>
      <c r="B4" s="111" t="s">
        <v>2826</v>
      </c>
      <c r="C4" s="111" t="s">
        <v>2827</v>
      </c>
      <c r="D4" s="112" t="s">
        <v>2828</v>
      </c>
    </row>
    <row r="5" spans="1:4" ht="300" customHeight="1">
      <c r="A5" s="113" t="s">
        <v>2820</v>
      </c>
      <c r="B5" s="217">
        <v>57</v>
      </c>
      <c r="C5" s="52" t="s">
        <v>2829</v>
      </c>
      <c r="D5" s="219" t="s">
        <v>2833</v>
      </c>
    </row>
    <row r="6" spans="1:4" ht="300" customHeight="1">
      <c r="A6" s="113" t="s">
        <v>2819</v>
      </c>
      <c r="B6" s="217">
        <v>45</v>
      </c>
      <c r="C6" s="52" t="s">
        <v>2830</v>
      </c>
      <c r="D6" s="219" t="s">
        <v>2835</v>
      </c>
    </row>
    <row r="7" spans="1:4" ht="300" customHeight="1">
      <c r="A7" s="114" t="s">
        <v>2831</v>
      </c>
      <c r="B7" s="218">
        <v>130</v>
      </c>
      <c r="C7" s="53" t="s">
        <v>2832</v>
      </c>
      <c r="D7" s="220" t="s">
        <v>2834</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0"/>
  <sheetViews>
    <sheetView workbookViewId="0">
      <pane ySplit="24" topLeftCell="A65" activePane="bottomLeft" state="frozen"/>
      <selection pane="bottomLeft" activeCell="H58" sqref="H58"/>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8" t="s">
        <v>2836</v>
      </c>
    </row>
    <row r="2" spans="1:6">
      <c r="A2" s="3" t="s">
        <v>2837</v>
      </c>
    </row>
    <row r="3" spans="1:6">
      <c r="A3" s="54" t="s">
        <v>2838</v>
      </c>
    </row>
    <row r="5" spans="1:6">
      <c r="A5" s="4" t="s">
        <v>2839</v>
      </c>
    </row>
    <row r="6" spans="1:6">
      <c r="A6" s="20" t="s">
        <v>2840</v>
      </c>
      <c r="B6" s="21" t="s">
        <v>2841</v>
      </c>
      <c r="C6" s="21" t="s">
        <v>2842</v>
      </c>
      <c r="D6" s="22" t="s">
        <v>2843</v>
      </c>
    </row>
    <row r="7" spans="1:6">
      <c r="A7" s="23" t="s">
        <v>2844</v>
      </c>
      <c r="B7" s="238" t="s">
        <v>2845</v>
      </c>
      <c r="C7" s="24" t="s">
        <v>1808</v>
      </c>
      <c r="D7" s="29" t="s">
        <v>2846</v>
      </c>
    </row>
    <row r="8" spans="1:6">
      <c r="A8" s="23" t="s">
        <v>2847</v>
      </c>
      <c r="B8" s="238">
        <v>730</v>
      </c>
      <c r="C8" s="24" t="s">
        <v>2848</v>
      </c>
      <c r="D8" s="29" t="s">
        <v>2849</v>
      </c>
    </row>
    <row r="9" spans="1:6">
      <c r="A9" s="23" t="s">
        <v>2850</v>
      </c>
      <c r="B9" s="238">
        <v>150</v>
      </c>
      <c r="C9" s="24" t="s">
        <v>2851</v>
      </c>
      <c r="D9" s="29" t="s">
        <v>2852</v>
      </c>
    </row>
    <row r="10" spans="1:6">
      <c r="A10" s="23" t="s">
        <v>2853</v>
      </c>
      <c r="B10" s="238">
        <v>1000000</v>
      </c>
      <c r="C10" s="24" t="s">
        <v>2854</v>
      </c>
      <c r="D10" s="29" t="s">
        <v>2855</v>
      </c>
    </row>
    <row r="11" spans="1:6">
      <c r="A11" s="23" t="s">
        <v>2856</v>
      </c>
      <c r="B11" s="238">
        <v>5000000</v>
      </c>
      <c r="C11" s="24" t="s">
        <v>2854</v>
      </c>
      <c r="D11" s="29" t="s">
        <v>2857</v>
      </c>
    </row>
    <row r="12" spans="1:6">
      <c r="A12" s="27" t="s">
        <v>2858</v>
      </c>
      <c r="B12" s="239">
        <v>10000000</v>
      </c>
      <c r="C12" s="28" t="s">
        <v>2854</v>
      </c>
      <c r="D12" s="30" t="s">
        <v>2859</v>
      </c>
    </row>
    <row r="14" spans="1:6">
      <c r="A14" s="4" t="s">
        <v>2860</v>
      </c>
    </row>
    <row r="15" spans="1:6">
      <c r="A15" s="192" t="s">
        <v>1</v>
      </c>
      <c r="B15" s="193" t="s">
        <v>2840</v>
      </c>
      <c r="C15" s="193" t="s">
        <v>2861</v>
      </c>
      <c r="D15" s="193" t="s">
        <v>2842</v>
      </c>
      <c r="E15" s="193" t="s">
        <v>9</v>
      </c>
      <c r="F15" s="194" t="s">
        <v>408</v>
      </c>
    </row>
    <row r="16" spans="1:6">
      <c r="A16" s="23" t="s">
        <v>2811</v>
      </c>
      <c r="B16" s="24" t="s">
        <v>2862</v>
      </c>
      <c r="C16" s="240">
        <v>0.25</v>
      </c>
      <c r="D16" s="24" t="s">
        <v>2863</v>
      </c>
      <c r="E16" s="24" t="s">
        <v>2864</v>
      </c>
      <c r="F16" s="29" t="s">
        <v>2865</v>
      </c>
    </row>
    <row r="17" spans="1:13">
      <c r="A17" s="23" t="s">
        <v>2811</v>
      </c>
      <c r="B17" s="24" t="s">
        <v>2866</v>
      </c>
      <c r="C17" s="240">
        <v>0.17100000000000001</v>
      </c>
      <c r="D17" s="24" t="s">
        <v>2867</v>
      </c>
      <c r="E17" s="24" t="s">
        <v>2864</v>
      </c>
      <c r="F17" s="29" t="s">
        <v>2865</v>
      </c>
    </row>
    <row r="18" spans="1:13">
      <c r="A18" s="23" t="s">
        <v>2811</v>
      </c>
      <c r="B18" s="24" t="s">
        <v>2868</v>
      </c>
      <c r="C18" s="240">
        <v>1500</v>
      </c>
      <c r="D18" s="24" t="s">
        <v>2869</v>
      </c>
      <c r="E18" s="24" t="s">
        <v>2864</v>
      </c>
      <c r="F18" s="29" t="s">
        <v>2865</v>
      </c>
    </row>
    <row r="19" spans="1:13">
      <c r="A19" s="23" t="s">
        <v>2811</v>
      </c>
      <c r="B19" s="24" t="s">
        <v>2870</v>
      </c>
      <c r="C19" s="240">
        <v>1000</v>
      </c>
      <c r="D19" s="24" t="s">
        <v>2869</v>
      </c>
      <c r="E19" s="24" t="s">
        <v>2864</v>
      </c>
      <c r="F19" s="29" t="s">
        <v>2865</v>
      </c>
    </row>
    <row r="20" spans="1:13">
      <c r="A20" s="27" t="s">
        <v>2811</v>
      </c>
      <c r="B20" s="28" t="s">
        <v>2871</v>
      </c>
      <c r="C20" s="241">
        <v>667</v>
      </c>
      <c r="D20" s="28" t="s">
        <v>2869</v>
      </c>
      <c r="E20" s="28" t="s">
        <v>2864</v>
      </c>
      <c r="F20" s="30" t="s">
        <v>2865</v>
      </c>
    </row>
    <row r="21" spans="1:13">
      <c r="A21" s="125" t="s">
        <v>2872</v>
      </c>
    </row>
    <row r="23" spans="1:13">
      <c r="A23" s="4" t="s">
        <v>2873</v>
      </c>
    </row>
    <row r="24" spans="1:13" ht="30" customHeight="1">
      <c r="A24" s="9" t="s">
        <v>1</v>
      </c>
      <c r="B24" s="10" t="s">
        <v>2874</v>
      </c>
      <c r="C24" s="10" t="s">
        <v>2875</v>
      </c>
      <c r="D24" s="10" t="s">
        <v>2876</v>
      </c>
      <c r="E24" s="10" t="s">
        <v>2877</v>
      </c>
      <c r="F24" s="10" t="s">
        <v>2878</v>
      </c>
      <c r="G24" s="10" t="s">
        <v>2879</v>
      </c>
      <c r="H24" s="10" t="s">
        <v>2842</v>
      </c>
      <c r="I24" s="10" t="s">
        <v>2880</v>
      </c>
      <c r="J24" s="10" t="s">
        <v>2881</v>
      </c>
      <c r="K24" s="10" t="s">
        <v>2882</v>
      </c>
      <c r="L24" s="10" t="s">
        <v>2883</v>
      </c>
      <c r="M24" s="11" t="s">
        <v>2884</v>
      </c>
    </row>
    <row r="25" spans="1:13">
      <c r="A25" s="227" t="s">
        <v>2885</v>
      </c>
      <c r="B25" s="6" t="s">
        <v>2886</v>
      </c>
      <c r="C25" s="189" t="s">
        <v>2887</v>
      </c>
      <c r="D25" s="189" t="s">
        <v>2888</v>
      </c>
      <c r="E25" s="222">
        <v>2190</v>
      </c>
      <c r="F25" s="222">
        <v>4380</v>
      </c>
      <c r="G25" s="222">
        <v>6570</v>
      </c>
      <c r="H25" s="12" t="s">
        <v>2889</v>
      </c>
      <c r="I25" s="224"/>
      <c r="J25" s="225">
        <f>IFERROR($E25*$I25,0)</f>
        <v>0</v>
      </c>
      <c r="K25" s="225">
        <f>IFERROR($F25*$I25,0)</f>
        <v>0</v>
      </c>
      <c r="L25" s="225">
        <f>IFERROR($G25*$I25,0)</f>
        <v>0</v>
      </c>
      <c r="M25" s="14" t="s">
        <v>2890</v>
      </c>
    </row>
    <row r="26" spans="1:13">
      <c r="A26" s="227" t="s">
        <v>2885</v>
      </c>
      <c r="B26" s="6" t="s">
        <v>2891</v>
      </c>
      <c r="C26" s="189" t="s">
        <v>2892</v>
      </c>
      <c r="D26" s="189" t="s">
        <v>2893</v>
      </c>
      <c r="E26" s="222">
        <v>2190</v>
      </c>
      <c r="F26" s="222">
        <v>6570</v>
      </c>
      <c r="G26" s="222">
        <v>13140</v>
      </c>
      <c r="H26" s="12" t="s">
        <v>2889</v>
      </c>
      <c r="I26" s="224"/>
      <c r="J26" s="225">
        <f>IFERROR($E26*$I26,0)</f>
        <v>0</v>
      </c>
      <c r="K26" s="225">
        <f>IFERROR($F26*$I26,0)</f>
        <v>0</v>
      </c>
      <c r="L26" s="225">
        <f>IFERROR($G26*$I26,0)</f>
        <v>0</v>
      </c>
      <c r="M26" s="14" t="s">
        <v>2890</v>
      </c>
    </row>
    <row r="27" spans="1:13">
      <c r="A27" s="227" t="s">
        <v>2885</v>
      </c>
      <c r="B27" s="6" t="s">
        <v>2894</v>
      </c>
      <c r="C27" s="189" t="s">
        <v>2895</v>
      </c>
      <c r="D27" s="189" t="s">
        <v>2896</v>
      </c>
      <c r="E27" s="222">
        <v>4380</v>
      </c>
      <c r="F27" s="222">
        <v>4380</v>
      </c>
      <c r="G27" s="222">
        <v>4380</v>
      </c>
      <c r="H27" s="12" t="s">
        <v>2889</v>
      </c>
      <c r="I27" s="224"/>
      <c r="J27" s="225">
        <f>IFERROR($E27*$I27,0)</f>
        <v>0</v>
      </c>
      <c r="K27" s="225">
        <f>IFERROR($F27*$I27,0)</f>
        <v>0</v>
      </c>
      <c r="L27" s="225">
        <f>IFERROR($G27*$I27,0)</f>
        <v>0</v>
      </c>
      <c r="M27" s="14" t="s">
        <v>2890</v>
      </c>
    </row>
    <row r="28" spans="1:13">
      <c r="A28" s="227" t="s">
        <v>2885</v>
      </c>
      <c r="B28" s="6" t="s">
        <v>2897</v>
      </c>
      <c r="C28" s="189" t="s">
        <v>2898</v>
      </c>
      <c r="D28" s="189" t="s">
        <v>2899</v>
      </c>
      <c r="E28" s="222">
        <v>1460</v>
      </c>
      <c r="F28" s="222">
        <v>1460</v>
      </c>
      <c r="G28" s="222">
        <v>1460</v>
      </c>
      <c r="H28" s="12" t="s">
        <v>2900</v>
      </c>
      <c r="I28" s="224">
        <v>0.25</v>
      </c>
      <c r="J28" s="225">
        <f>IFERROR($E28*$I28,0)</f>
        <v>365</v>
      </c>
      <c r="K28" s="225">
        <f>IFERROR($F28*$I28,0)</f>
        <v>365</v>
      </c>
      <c r="L28" s="225">
        <f>IFERROR($G28*$I28,0)</f>
        <v>365</v>
      </c>
      <c r="M28" s="14" t="s">
        <v>2864</v>
      </c>
    </row>
    <row r="29" spans="1:13">
      <c r="A29" s="227" t="s">
        <v>2885</v>
      </c>
      <c r="B29" s="6" t="s">
        <v>2901</v>
      </c>
      <c r="C29" s="189" t="s">
        <v>2902</v>
      </c>
      <c r="D29" s="189" t="s">
        <v>2903</v>
      </c>
      <c r="E29" s="222">
        <v>1642</v>
      </c>
      <c r="F29" s="222">
        <v>3103</v>
      </c>
      <c r="G29" s="222">
        <v>5658</v>
      </c>
      <c r="H29" s="12" t="s">
        <v>2904</v>
      </c>
      <c r="I29" s="224">
        <v>0.17100000000000001</v>
      </c>
      <c r="J29" s="225">
        <f>IFERROR($E29*$I29,0)</f>
        <v>280.78200000000004</v>
      </c>
      <c r="K29" s="225">
        <f>IFERROR($F29*$I29,0)</f>
        <v>530.61300000000006</v>
      </c>
      <c r="L29" s="225">
        <f>IFERROR($G29*$I29,0)</f>
        <v>967.51800000000003</v>
      </c>
      <c r="M29" s="14" t="s">
        <v>2864</v>
      </c>
    </row>
    <row r="30" spans="1:13">
      <c r="A30" s="227" t="s">
        <v>2885</v>
      </c>
      <c r="B30" s="6" t="s">
        <v>2905</v>
      </c>
      <c r="C30" s="189" t="s">
        <v>2906</v>
      </c>
      <c r="D30" s="189" t="s">
        <v>2907</v>
      </c>
      <c r="E30" s="222">
        <v>900</v>
      </c>
      <c r="F30" s="222">
        <v>1900</v>
      </c>
      <c r="G30" s="222">
        <v>3150</v>
      </c>
      <c r="H30" s="12" t="s">
        <v>2908</v>
      </c>
      <c r="I30" s="224"/>
      <c r="J30" s="225">
        <f>IFERROR($E30*$I30,0)</f>
        <v>0</v>
      </c>
      <c r="K30" s="225">
        <f>IFERROR($F30*$I30,0)</f>
        <v>0</v>
      </c>
      <c r="L30" s="225">
        <f>IFERROR($G30*$I30,0)</f>
        <v>0</v>
      </c>
      <c r="M30" s="14" t="s">
        <v>2890</v>
      </c>
    </row>
    <row r="31" spans="1:13">
      <c r="A31" s="227" t="s">
        <v>2909</v>
      </c>
      <c r="B31" s="6" t="s">
        <v>2910</v>
      </c>
      <c r="C31" s="189" t="s">
        <v>2911</v>
      </c>
      <c r="D31" s="189" t="s">
        <v>2912</v>
      </c>
      <c r="E31" s="222">
        <v>2190</v>
      </c>
      <c r="F31" s="222">
        <v>2190</v>
      </c>
      <c r="G31" s="222">
        <v>2190</v>
      </c>
      <c r="H31" s="12" t="s">
        <v>2889</v>
      </c>
      <c r="I31" s="224"/>
      <c r="J31" s="225">
        <f>IFERROR($E31*$I31,0)</f>
        <v>0</v>
      </c>
      <c r="K31" s="225">
        <f>IFERROR($F31*$I31,0)</f>
        <v>0</v>
      </c>
      <c r="L31" s="225">
        <f>IFERROR($G31*$I31,0)</f>
        <v>0</v>
      </c>
      <c r="M31" s="14" t="s">
        <v>2913</v>
      </c>
    </row>
    <row r="32" spans="1:13">
      <c r="A32" s="227" t="s">
        <v>2909</v>
      </c>
      <c r="B32" s="6" t="s">
        <v>2914</v>
      </c>
      <c r="C32" s="189" t="s">
        <v>2915</v>
      </c>
      <c r="D32" s="189" t="s">
        <v>2912</v>
      </c>
      <c r="E32" s="222">
        <v>2190</v>
      </c>
      <c r="F32" s="222">
        <v>2190</v>
      </c>
      <c r="G32" s="222">
        <v>2190</v>
      </c>
      <c r="H32" s="12" t="s">
        <v>2889</v>
      </c>
      <c r="I32" s="224"/>
      <c r="J32" s="225">
        <f>IFERROR($E32*$I32,0)</f>
        <v>0</v>
      </c>
      <c r="K32" s="225">
        <f>IFERROR($F32*$I32,0)</f>
        <v>0</v>
      </c>
      <c r="L32" s="225">
        <f>IFERROR($G32*$I32,0)</f>
        <v>0</v>
      </c>
      <c r="M32" s="14" t="s">
        <v>2913</v>
      </c>
    </row>
    <row r="33" spans="1:13">
      <c r="A33" s="227" t="s">
        <v>2909</v>
      </c>
      <c r="B33" s="6" t="s">
        <v>2916</v>
      </c>
      <c r="C33" s="189" t="s">
        <v>2917</v>
      </c>
      <c r="D33" s="189" t="s">
        <v>2918</v>
      </c>
      <c r="E33" s="222">
        <v>200</v>
      </c>
      <c r="F33" s="222">
        <v>1000</v>
      </c>
      <c r="G33" s="222">
        <v>2000</v>
      </c>
      <c r="H33" s="12" t="s">
        <v>2908</v>
      </c>
      <c r="I33" s="224"/>
      <c r="J33" s="225">
        <f>IFERROR($E33*$I33,0)</f>
        <v>0</v>
      </c>
      <c r="K33" s="225">
        <f>IFERROR($F33*$I33,0)</f>
        <v>0</v>
      </c>
      <c r="L33" s="225">
        <f>IFERROR($G33*$I33,0)</f>
        <v>0</v>
      </c>
      <c r="M33" s="14" t="s">
        <v>2913</v>
      </c>
    </row>
    <row r="34" spans="1:13">
      <c r="A34" s="227" t="s">
        <v>2909</v>
      </c>
      <c r="B34" s="6" t="s">
        <v>2919</v>
      </c>
      <c r="C34" s="189" t="s">
        <v>2920</v>
      </c>
      <c r="D34" s="189" t="s">
        <v>2921</v>
      </c>
      <c r="E34" s="222">
        <v>50000000</v>
      </c>
      <c r="F34" s="222">
        <v>250000000</v>
      </c>
      <c r="G34" s="222">
        <v>500000000</v>
      </c>
      <c r="H34" s="12" t="s">
        <v>2922</v>
      </c>
      <c r="I34" s="224"/>
      <c r="J34" s="225">
        <f>IFERROR($E34*$I34,0)</f>
        <v>0</v>
      </c>
      <c r="K34" s="225">
        <f>IFERROR($F34*$I34,0)</f>
        <v>0</v>
      </c>
      <c r="L34" s="225">
        <f>IFERROR($G34*$I34,0)</f>
        <v>0</v>
      </c>
      <c r="M34" s="14" t="s">
        <v>2913</v>
      </c>
    </row>
    <row r="35" spans="1:13">
      <c r="A35" s="227" t="s">
        <v>2909</v>
      </c>
      <c r="B35" s="6" t="s">
        <v>2923</v>
      </c>
      <c r="C35" s="189" t="s">
        <v>2924</v>
      </c>
      <c r="D35" s="189" t="s">
        <v>2925</v>
      </c>
      <c r="E35" s="222">
        <v>400</v>
      </c>
      <c r="F35" s="222">
        <v>2000</v>
      </c>
      <c r="G35" s="222">
        <v>4000</v>
      </c>
      <c r="H35" s="12" t="s">
        <v>2908</v>
      </c>
      <c r="I35" s="224"/>
      <c r="J35" s="225">
        <f>IFERROR($E35*$I35,0)</f>
        <v>0</v>
      </c>
      <c r="K35" s="225">
        <f>IFERROR($F35*$I35,0)</f>
        <v>0</v>
      </c>
      <c r="L35" s="225">
        <f>IFERROR($G35*$I35,0)</f>
        <v>0</v>
      </c>
      <c r="M35" s="14" t="s">
        <v>2913</v>
      </c>
    </row>
    <row r="36" spans="1:13">
      <c r="A36" s="227" t="s">
        <v>2909</v>
      </c>
      <c r="B36" s="6" t="s">
        <v>2926</v>
      </c>
      <c r="C36" s="189" t="s">
        <v>2927</v>
      </c>
      <c r="D36" s="189" t="s">
        <v>2928</v>
      </c>
      <c r="E36" s="222">
        <v>200</v>
      </c>
      <c r="F36" s="222">
        <v>1000</v>
      </c>
      <c r="G36" s="222">
        <v>2000</v>
      </c>
      <c r="H36" s="12" t="s">
        <v>2908</v>
      </c>
      <c r="I36" s="224"/>
      <c r="J36" s="225">
        <f>IFERROR($E36*$I36,0)</f>
        <v>0</v>
      </c>
      <c r="K36" s="225">
        <f>IFERROR($F36*$I36,0)</f>
        <v>0</v>
      </c>
      <c r="L36" s="225">
        <f>IFERROR($G36*$I36,0)</f>
        <v>0</v>
      </c>
      <c r="M36" s="14" t="s">
        <v>2913</v>
      </c>
    </row>
    <row r="37" spans="1:13">
      <c r="A37" s="227" t="s">
        <v>2929</v>
      </c>
      <c r="B37" s="6" t="s">
        <v>2930</v>
      </c>
      <c r="C37" s="189" t="s">
        <v>2931</v>
      </c>
      <c r="D37" s="189" t="s">
        <v>2932</v>
      </c>
      <c r="E37" s="222">
        <v>1460</v>
      </c>
      <c r="F37" s="222">
        <v>1460</v>
      </c>
      <c r="G37" s="222">
        <v>1460</v>
      </c>
      <c r="H37" s="12" t="s">
        <v>2933</v>
      </c>
      <c r="I37" s="224"/>
      <c r="J37" s="225">
        <f>IFERROR($E37*$I37,0)</f>
        <v>0</v>
      </c>
      <c r="K37" s="225">
        <f>IFERROR($F37*$I37,0)</f>
        <v>0</v>
      </c>
      <c r="L37" s="225">
        <f>IFERROR($G37*$I37,0)</f>
        <v>0</v>
      </c>
      <c r="M37" s="14" t="s">
        <v>2934</v>
      </c>
    </row>
    <row r="38" spans="1:13">
      <c r="A38" s="227" t="s">
        <v>2929</v>
      </c>
      <c r="B38" s="6" t="s">
        <v>2935</v>
      </c>
      <c r="C38" s="189" t="s">
        <v>2936</v>
      </c>
      <c r="D38" s="189" t="s">
        <v>2937</v>
      </c>
      <c r="E38" s="222">
        <v>730</v>
      </c>
      <c r="F38" s="222">
        <v>730</v>
      </c>
      <c r="G38" s="222">
        <v>730</v>
      </c>
      <c r="H38" s="12" t="s">
        <v>2938</v>
      </c>
      <c r="I38" s="224"/>
      <c r="J38" s="225">
        <f>IFERROR($E38*$I38,0)</f>
        <v>0</v>
      </c>
      <c r="K38" s="225">
        <f>IFERROR($F38*$I38,0)</f>
        <v>0</v>
      </c>
      <c r="L38" s="225">
        <f>IFERROR($G38*$I38,0)</f>
        <v>0</v>
      </c>
      <c r="M38" s="14" t="s">
        <v>2934</v>
      </c>
    </row>
    <row r="39" spans="1:13">
      <c r="A39" s="227" t="s">
        <v>2929</v>
      </c>
      <c r="B39" s="6" t="s">
        <v>2939</v>
      </c>
      <c r="C39" s="189" t="s">
        <v>2940</v>
      </c>
      <c r="D39" s="189" t="s">
        <v>2941</v>
      </c>
      <c r="E39" s="222">
        <v>500</v>
      </c>
      <c r="F39" s="222">
        <v>2500</v>
      </c>
      <c r="G39" s="222">
        <v>5000</v>
      </c>
      <c r="H39" s="12" t="s">
        <v>2942</v>
      </c>
      <c r="I39" s="224"/>
      <c r="J39" s="225">
        <f>IFERROR($E39*$I39,0)</f>
        <v>0</v>
      </c>
      <c r="K39" s="225">
        <f>IFERROR($F39*$I39,0)</f>
        <v>0</v>
      </c>
      <c r="L39" s="225">
        <f>IFERROR($G39*$I39,0)</f>
        <v>0</v>
      </c>
      <c r="M39" s="14" t="s">
        <v>2943</v>
      </c>
    </row>
    <row r="40" spans="1:13">
      <c r="A40" s="227" t="s">
        <v>2929</v>
      </c>
      <c r="B40" s="6" t="s">
        <v>2944</v>
      </c>
      <c r="C40" s="189" t="s">
        <v>2945</v>
      </c>
      <c r="D40" s="189" t="s">
        <v>2946</v>
      </c>
      <c r="E40" s="222">
        <v>10</v>
      </c>
      <c r="F40" s="222">
        <v>50</v>
      </c>
      <c r="G40" s="222">
        <v>100</v>
      </c>
      <c r="H40" s="12" t="s">
        <v>2922</v>
      </c>
      <c r="I40" s="224"/>
      <c r="J40" s="225">
        <f>IFERROR($E40*$I40,0)</f>
        <v>0</v>
      </c>
      <c r="K40" s="225">
        <f>IFERROR($F40*$I40,0)</f>
        <v>0</v>
      </c>
      <c r="L40" s="225">
        <f>IFERROR($G40*$I40,0)</f>
        <v>0</v>
      </c>
      <c r="M40" s="14" t="s">
        <v>2947</v>
      </c>
    </row>
    <row r="41" spans="1:13">
      <c r="A41" s="227" t="s">
        <v>2929</v>
      </c>
      <c r="B41" s="6" t="s">
        <v>2948</v>
      </c>
      <c r="C41" s="189" t="s">
        <v>2949</v>
      </c>
      <c r="D41" s="189" t="s">
        <v>2950</v>
      </c>
      <c r="E41" s="222">
        <v>1460</v>
      </c>
      <c r="F41" s="222">
        <v>1460</v>
      </c>
      <c r="G41" s="222">
        <v>1460</v>
      </c>
      <c r="H41" s="12" t="s">
        <v>2951</v>
      </c>
      <c r="I41" s="224"/>
      <c r="J41" s="225">
        <f>IFERROR($E41*$I41,0)</f>
        <v>0</v>
      </c>
      <c r="K41" s="225">
        <f>IFERROR($F41*$I41,0)</f>
        <v>0</v>
      </c>
      <c r="L41" s="225">
        <f>IFERROR($G41*$I41,0)</f>
        <v>0</v>
      </c>
      <c r="M41" s="14" t="s">
        <v>2952</v>
      </c>
    </row>
    <row r="42" spans="1:13">
      <c r="A42" s="227" t="s">
        <v>2929</v>
      </c>
      <c r="B42" s="6" t="s">
        <v>2953</v>
      </c>
      <c r="C42" s="189" t="s">
        <v>2954</v>
      </c>
      <c r="D42" s="189" t="s">
        <v>2955</v>
      </c>
      <c r="E42" s="222">
        <v>43800</v>
      </c>
      <c r="F42" s="222">
        <v>43800</v>
      </c>
      <c r="G42" s="222">
        <v>43800</v>
      </c>
      <c r="H42" s="12" t="s">
        <v>2951</v>
      </c>
      <c r="I42" s="224"/>
      <c r="J42" s="225">
        <f>IFERROR($E42*$I42,0)</f>
        <v>0</v>
      </c>
      <c r="K42" s="225">
        <f>IFERROR($F42*$I42,0)</f>
        <v>0</v>
      </c>
      <c r="L42" s="225">
        <f>IFERROR($G42*$I42,0)</f>
        <v>0</v>
      </c>
      <c r="M42" s="14" t="s">
        <v>2956</v>
      </c>
    </row>
    <row r="43" spans="1:13">
      <c r="A43" s="227" t="s">
        <v>2929</v>
      </c>
      <c r="B43" s="6" t="s">
        <v>2957</v>
      </c>
      <c r="C43" s="189" t="s">
        <v>2958</v>
      </c>
      <c r="D43" s="189" t="s">
        <v>2959</v>
      </c>
      <c r="E43" s="222">
        <v>10</v>
      </c>
      <c r="F43" s="222">
        <v>50</v>
      </c>
      <c r="G43" s="222">
        <v>100</v>
      </c>
      <c r="H43" s="12" t="s">
        <v>2960</v>
      </c>
      <c r="I43" s="224"/>
      <c r="J43" s="225">
        <f>IFERROR($E43*$I43,0)</f>
        <v>0</v>
      </c>
      <c r="K43" s="225">
        <f>IFERROR($F43*$I43,0)</f>
        <v>0</v>
      </c>
      <c r="L43" s="225">
        <f>IFERROR($G43*$I43,0)</f>
        <v>0</v>
      </c>
      <c r="M43" s="14" t="s">
        <v>2961</v>
      </c>
    </row>
    <row r="44" spans="1:13">
      <c r="A44" s="227" t="s">
        <v>2929</v>
      </c>
      <c r="B44" s="6" t="s">
        <v>2962</v>
      </c>
      <c r="C44" s="189" t="s">
        <v>2963</v>
      </c>
      <c r="D44" s="189" t="s">
        <v>2964</v>
      </c>
      <c r="E44" s="222">
        <v>1000</v>
      </c>
      <c r="F44" s="222">
        <v>5000</v>
      </c>
      <c r="G44" s="222">
        <v>10000</v>
      </c>
      <c r="H44" s="12" t="s">
        <v>2942</v>
      </c>
      <c r="I44" s="224"/>
      <c r="J44" s="225">
        <f>IFERROR($E44*$I44,0)</f>
        <v>0</v>
      </c>
      <c r="K44" s="225">
        <f>IFERROR($F44*$I44,0)</f>
        <v>0</v>
      </c>
      <c r="L44" s="225">
        <f>IFERROR($G44*$I44,0)</f>
        <v>0</v>
      </c>
      <c r="M44" s="14" t="s">
        <v>2965</v>
      </c>
    </row>
    <row r="45" spans="1:13">
      <c r="A45" s="227" t="s">
        <v>2929</v>
      </c>
      <c r="B45" s="6" t="s">
        <v>2966</v>
      </c>
      <c r="C45" s="189" t="s">
        <v>2967</v>
      </c>
      <c r="D45" s="189" t="s">
        <v>2968</v>
      </c>
      <c r="E45" s="222">
        <v>100</v>
      </c>
      <c r="F45" s="222">
        <v>500</v>
      </c>
      <c r="G45" s="222">
        <v>1000</v>
      </c>
      <c r="H45" s="12" t="s">
        <v>2942</v>
      </c>
      <c r="I45" s="224"/>
      <c r="J45" s="225">
        <f>IFERROR($E45*$I45,0)</f>
        <v>0</v>
      </c>
      <c r="K45" s="225">
        <f>IFERROR($F45*$I45,0)</f>
        <v>0</v>
      </c>
      <c r="L45" s="225">
        <f>IFERROR($G45*$I45,0)</f>
        <v>0</v>
      </c>
      <c r="M45" s="14" t="s">
        <v>2965</v>
      </c>
    </row>
    <row r="46" spans="1:13">
      <c r="A46" s="227" t="s">
        <v>2969</v>
      </c>
      <c r="B46" s="6" t="s">
        <v>2970</v>
      </c>
      <c r="C46" s="189" t="s">
        <v>2971</v>
      </c>
      <c r="D46" s="189" t="s">
        <v>2972</v>
      </c>
      <c r="E46" s="222">
        <v>5</v>
      </c>
      <c r="F46" s="222">
        <v>25</v>
      </c>
      <c r="G46" s="222">
        <v>50</v>
      </c>
      <c r="H46" s="12" t="s">
        <v>2922</v>
      </c>
      <c r="I46" s="224"/>
      <c r="J46" s="225">
        <f>IFERROR($E46*$I46,0)</f>
        <v>0</v>
      </c>
      <c r="K46" s="225">
        <f>IFERROR($F46*$I46,0)</f>
        <v>0</v>
      </c>
      <c r="L46" s="225">
        <f>IFERROR($G46*$I46,0)</f>
        <v>0</v>
      </c>
      <c r="M46" s="14" t="s">
        <v>2973</v>
      </c>
    </row>
    <row r="47" spans="1:13">
      <c r="A47" s="227" t="s">
        <v>2969</v>
      </c>
      <c r="B47" s="6" t="s">
        <v>2974</v>
      </c>
      <c r="C47" s="189" t="s">
        <v>2975</v>
      </c>
      <c r="D47" s="189" t="s">
        <v>2976</v>
      </c>
      <c r="E47" s="222">
        <v>10</v>
      </c>
      <c r="F47" s="222">
        <v>50</v>
      </c>
      <c r="G47" s="222">
        <v>100</v>
      </c>
      <c r="H47" s="12" t="s">
        <v>2922</v>
      </c>
      <c r="I47" s="224"/>
      <c r="J47" s="225">
        <f>IFERROR($E47*$I47,0)</f>
        <v>0</v>
      </c>
      <c r="K47" s="225">
        <f>IFERROR($F47*$I47,0)</f>
        <v>0</v>
      </c>
      <c r="L47" s="225">
        <f>IFERROR($G47*$I47,0)</f>
        <v>0</v>
      </c>
      <c r="M47" s="14" t="s">
        <v>2973</v>
      </c>
    </row>
    <row r="48" spans="1:13">
      <c r="A48" s="227" t="s">
        <v>2969</v>
      </c>
      <c r="B48" s="6" t="s">
        <v>2977</v>
      </c>
      <c r="C48" s="189" t="s">
        <v>2978</v>
      </c>
      <c r="D48" s="189" t="s">
        <v>2979</v>
      </c>
      <c r="E48" s="222">
        <v>5</v>
      </c>
      <c r="F48" s="222">
        <v>25</v>
      </c>
      <c r="G48" s="222">
        <v>50</v>
      </c>
      <c r="H48" s="12" t="s">
        <v>2922</v>
      </c>
      <c r="I48" s="224"/>
      <c r="J48" s="225">
        <f>IFERROR($E48*$I48,0)</f>
        <v>0</v>
      </c>
      <c r="K48" s="225">
        <f>IFERROR($F48*$I48,0)</f>
        <v>0</v>
      </c>
      <c r="L48" s="225">
        <f>IFERROR($G48*$I48,0)</f>
        <v>0</v>
      </c>
      <c r="M48" s="14" t="s">
        <v>2980</v>
      </c>
    </row>
    <row r="49" spans="1:14">
      <c r="A49" s="227" t="s">
        <v>2969</v>
      </c>
      <c r="B49" s="6" t="s">
        <v>2981</v>
      </c>
      <c r="C49" s="189" t="s">
        <v>2982</v>
      </c>
      <c r="D49" s="189" t="s">
        <v>2983</v>
      </c>
      <c r="E49" s="222">
        <v>10</v>
      </c>
      <c r="F49" s="222">
        <v>50</v>
      </c>
      <c r="G49" s="222">
        <v>100</v>
      </c>
      <c r="H49" s="12" t="s">
        <v>2984</v>
      </c>
      <c r="I49" s="224"/>
      <c r="J49" s="225">
        <f>IFERROR($E49*$I49,0)</f>
        <v>0</v>
      </c>
      <c r="K49" s="225">
        <f>IFERROR($F49*$I49,0)</f>
        <v>0</v>
      </c>
      <c r="L49" s="225">
        <f>IFERROR($G49*$I49,0)</f>
        <v>0</v>
      </c>
      <c r="M49" s="14" t="s">
        <v>2985</v>
      </c>
    </row>
    <row r="50" spans="1:14">
      <c r="A50" s="227" t="s">
        <v>2969</v>
      </c>
      <c r="B50" s="6" t="s">
        <v>2986</v>
      </c>
      <c r="C50" s="189" t="s">
        <v>2987</v>
      </c>
      <c r="D50" s="189" t="s">
        <v>2988</v>
      </c>
      <c r="E50" s="222">
        <v>50</v>
      </c>
      <c r="F50" s="222">
        <v>250</v>
      </c>
      <c r="G50" s="222">
        <v>500</v>
      </c>
      <c r="H50" s="12" t="s">
        <v>2922</v>
      </c>
      <c r="I50" s="224"/>
      <c r="J50" s="225">
        <f>IFERROR($E50*$I50,0)</f>
        <v>0</v>
      </c>
      <c r="K50" s="225">
        <f>IFERROR($F50*$I50,0)</f>
        <v>0</v>
      </c>
      <c r="L50" s="225">
        <f>IFERROR($G50*$I50,0)</f>
        <v>0</v>
      </c>
      <c r="M50" s="14" t="s">
        <v>2989</v>
      </c>
    </row>
    <row r="51" spans="1:14">
      <c r="A51" s="227" t="s">
        <v>1114</v>
      </c>
      <c r="B51" s="6" t="s">
        <v>2990</v>
      </c>
      <c r="C51" s="189" t="s">
        <v>2991</v>
      </c>
      <c r="D51" s="189" t="s">
        <v>2992</v>
      </c>
      <c r="E51" s="222">
        <v>10</v>
      </c>
      <c r="F51" s="222">
        <v>10</v>
      </c>
      <c r="G51" s="222">
        <v>10</v>
      </c>
      <c r="H51" s="12" t="s">
        <v>2993</v>
      </c>
      <c r="I51" s="224"/>
      <c r="J51" s="225">
        <f>IFERROR($E51*$I51,0)</f>
        <v>0</v>
      </c>
      <c r="K51" s="225">
        <f>IFERROR($F51*$I51,0)</f>
        <v>0</v>
      </c>
      <c r="L51" s="225">
        <f>IFERROR($G51*$I51,0)</f>
        <v>0</v>
      </c>
      <c r="M51" s="14" t="s">
        <v>2994</v>
      </c>
    </row>
    <row r="52" spans="1:14">
      <c r="A52" s="227" t="s">
        <v>1114</v>
      </c>
      <c r="B52" s="6" t="s">
        <v>2995</v>
      </c>
      <c r="C52" s="189" t="s">
        <v>2996</v>
      </c>
      <c r="D52" s="189" t="s">
        <v>2997</v>
      </c>
      <c r="E52" s="222">
        <v>100</v>
      </c>
      <c r="F52" s="222">
        <v>500</v>
      </c>
      <c r="G52" s="222">
        <v>1000</v>
      </c>
      <c r="H52" s="12" t="s">
        <v>2998</v>
      </c>
      <c r="I52" s="224"/>
      <c r="J52" s="225">
        <f>IFERROR($E52*$I52,0)</f>
        <v>0</v>
      </c>
      <c r="K52" s="225">
        <f>IFERROR($F52*$I52,0)</f>
        <v>0</v>
      </c>
      <c r="L52" s="225">
        <f>IFERROR($G52*$I52,0)</f>
        <v>0</v>
      </c>
      <c r="M52" s="14" t="s">
        <v>2999</v>
      </c>
    </row>
    <row r="53" spans="1:14">
      <c r="A53" s="227" t="s">
        <v>1114</v>
      </c>
      <c r="B53" s="6" t="s">
        <v>3000</v>
      </c>
      <c r="C53" s="189" t="s">
        <v>3001</v>
      </c>
      <c r="D53" s="189" t="s">
        <v>3002</v>
      </c>
      <c r="E53" s="222">
        <v>1</v>
      </c>
      <c r="F53" s="222">
        <v>1</v>
      </c>
      <c r="G53" s="222">
        <v>1</v>
      </c>
      <c r="H53" s="12" t="s">
        <v>3003</v>
      </c>
      <c r="I53" s="224"/>
      <c r="J53" s="225">
        <f>IFERROR($E53*$I53,0)</f>
        <v>0</v>
      </c>
      <c r="K53" s="225">
        <f>IFERROR($F53*$I53,0)</f>
        <v>0</v>
      </c>
      <c r="L53" s="225">
        <f>IFERROR($G53*$I53,0)</f>
        <v>0</v>
      </c>
      <c r="M53" s="14" t="s">
        <v>3004</v>
      </c>
    </row>
    <row r="54" spans="1:14">
      <c r="A54" s="227" t="s">
        <v>1114</v>
      </c>
      <c r="B54" s="6" t="s">
        <v>3005</v>
      </c>
      <c r="C54" s="189" t="s">
        <v>3006</v>
      </c>
      <c r="D54" s="189" t="s">
        <v>3007</v>
      </c>
      <c r="E54" s="222">
        <v>400</v>
      </c>
      <c r="F54" s="222">
        <v>2000</v>
      </c>
      <c r="G54" s="222">
        <v>4000</v>
      </c>
      <c r="H54" s="12" t="s">
        <v>2908</v>
      </c>
      <c r="I54" s="224"/>
      <c r="J54" s="225">
        <f>IFERROR($E54*$I54,0)</f>
        <v>0</v>
      </c>
      <c r="K54" s="225">
        <f>IFERROR($F54*$I54,0)</f>
        <v>0</v>
      </c>
      <c r="L54" s="225">
        <f>IFERROR($G54*$I54,0)</f>
        <v>0</v>
      </c>
      <c r="M54" s="14" t="s">
        <v>3008</v>
      </c>
    </row>
    <row r="55" spans="1:14">
      <c r="A55" s="227" t="s">
        <v>3009</v>
      </c>
      <c r="B55" s="6" t="s">
        <v>3010</v>
      </c>
      <c r="C55" s="189" t="s">
        <v>3011</v>
      </c>
      <c r="D55" s="189" t="s">
        <v>3012</v>
      </c>
      <c r="E55" s="222">
        <v>500</v>
      </c>
      <c r="F55" s="222">
        <v>2500</v>
      </c>
      <c r="G55" s="222">
        <v>5000</v>
      </c>
      <c r="H55" s="12" t="s">
        <v>2942</v>
      </c>
      <c r="I55" s="224"/>
      <c r="J55" s="225">
        <f>IFERROR($E55*$I55,0)</f>
        <v>0</v>
      </c>
      <c r="K55" s="225">
        <f>IFERROR($F55*$I55,0)</f>
        <v>0</v>
      </c>
      <c r="L55" s="225">
        <f>IFERROR($G55*$I55,0)</f>
        <v>0</v>
      </c>
      <c r="M55" s="14" t="s">
        <v>3013</v>
      </c>
    </row>
    <row r="56" spans="1:14">
      <c r="A56" s="227" t="s">
        <v>3009</v>
      </c>
      <c r="B56" s="6" t="s">
        <v>3014</v>
      </c>
      <c r="C56" s="189" t="s">
        <v>3015</v>
      </c>
      <c r="D56" s="189" t="s">
        <v>3016</v>
      </c>
      <c r="E56" s="222">
        <v>730</v>
      </c>
      <c r="F56" s="222">
        <v>1460</v>
      </c>
      <c r="G56" s="222">
        <v>2190</v>
      </c>
      <c r="H56" s="12" t="s">
        <v>2889</v>
      </c>
      <c r="I56" s="224"/>
      <c r="J56" s="225">
        <f>IFERROR($E56*$I56,0)</f>
        <v>0</v>
      </c>
      <c r="K56" s="225">
        <f>IFERROR($F56*$I56,0)</f>
        <v>0</v>
      </c>
      <c r="L56" s="225">
        <f>IFERROR($G56*$I56,0)</f>
        <v>0</v>
      </c>
      <c r="M56" s="14" t="s">
        <v>3017</v>
      </c>
    </row>
    <row r="57" spans="1:14">
      <c r="A57" s="227" t="s">
        <v>3009</v>
      </c>
      <c r="B57" s="6" t="s">
        <v>3018</v>
      </c>
      <c r="C57" s="189" t="s">
        <v>3019</v>
      </c>
      <c r="D57" s="189" t="s">
        <v>3020</v>
      </c>
      <c r="E57" s="222">
        <v>1000</v>
      </c>
      <c r="F57" s="222">
        <v>5000</v>
      </c>
      <c r="G57" s="222">
        <v>10000</v>
      </c>
      <c r="H57" s="12" t="s">
        <v>2908</v>
      </c>
      <c r="I57" s="224"/>
      <c r="J57" s="225">
        <f>IFERROR($E57*$I57,0)</f>
        <v>0</v>
      </c>
      <c r="K57" s="225">
        <f>IFERROR($F57*$I57,0)</f>
        <v>0</v>
      </c>
      <c r="L57" s="225">
        <f>IFERROR($G57*$I57,0)</f>
        <v>0</v>
      </c>
      <c r="M57" s="14" t="s">
        <v>3021</v>
      </c>
    </row>
    <row r="58" spans="1:14">
      <c r="A58" s="227" t="s">
        <v>3009</v>
      </c>
      <c r="B58" s="6" t="s">
        <v>3022</v>
      </c>
      <c r="C58" s="189" t="s">
        <v>3023</v>
      </c>
      <c r="D58" s="189" t="s">
        <v>3024</v>
      </c>
      <c r="E58" s="222">
        <v>0.1</v>
      </c>
      <c r="F58" s="222">
        <v>0.5</v>
      </c>
      <c r="G58" s="222">
        <v>1</v>
      </c>
      <c r="H58" s="12" t="s">
        <v>3025</v>
      </c>
      <c r="I58" s="224"/>
      <c r="J58" s="225">
        <f>IFERROR($E58*$I58,0)</f>
        <v>0</v>
      </c>
      <c r="K58" s="225">
        <f>IFERROR($F58*$I58,0)</f>
        <v>0</v>
      </c>
      <c r="L58" s="225">
        <f>IFERROR($G58*$I58,0)</f>
        <v>0</v>
      </c>
      <c r="M58" s="14" t="s">
        <v>3026</v>
      </c>
    </row>
    <row r="59" spans="1:14">
      <c r="A59" s="227" t="s">
        <v>3009</v>
      </c>
      <c r="B59" s="6" t="s">
        <v>3027</v>
      </c>
      <c r="C59" s="189" t="s">
        <v>3028</v>
      </c>
      <c r="D59" s="189" t="s">
        <v>3029</v>
      </c>
      <c r="E59" s="222">
        <v>8760</v>
      </c>
      <c r="F59" s="222">
        <v>8760</v>
      </c>
      <c r="G59" s="222">
        <v>8760</v>
      </c>
      <c r="H59" s="12" t="s">
        <v>3030</v>
      </c>
      <c r="I59" s="224"/>
      <c r="J59" s="225">
        <f>IFERROR($E59*$I59,0)</f>
        <v>0</v>
      </c>
      <c r="K59" s="225">
        <f>IFERROR($F59*$I59,0)</f>
        <v>0</v>
      </c>
      <c r="L59" s="225">
        <f>IFERROR($G59*$I59,0)</f>
        <v>0</v>
      </c>
      <c r="M59" s="14" t="s">
        <v>3013</v>
      </c>
    </row>
    <row r="60" spans="1:14">
      <c r="A60" s="51" t="s">
        <v>3031</v>
      </c>
      <c r="B60" s="188"/>
      <c r="C60" s="188"/>
      <c r="D60" s="188"/>
      <c r="E60" s="223"/>
      <c r="F60" s="223"/>
      <c r="G60" s="223"/>
      <c r="H60" s="223"/>
      <c r="I60" s="223"/>
      <c r="J60" s="226">
        <f>SUM(J25:J59)</f>
        <v>645.78200000000004</v>
      </c>
      <c r="K60" s="226">
        <f>SUM(K25:K59)</f>
        <v>895.61300000000006</v>
      </c>
      <c r="L60" s="226">
        <f>SUM(L25:L59)</f>
        <v>1332.518</v>
      </c>
      <c r="M60" s="221"/>
      <c r="N60" t="str">
        <f>IF(COUNTBLANK($I$25:$I$59)&gt;0,"⚠ 単価未入力 "&amp;COUNTBLANK($I$25:$I$59)&amp;"件（青字セル）","✓ 全単価が入力済み")</f>
        <v>⚠ 単価未入力 33件（青字セル）</v>
      </c>
    </row>
    <row r="62" spans="1:14">
      <c r="A62" s="4" t="s">
        <v>3032</v>
      </c>
    </row>
    <row r="63" spans="1:14">
      <c r="A63" s="20" t="s">
        <v>1</v>
      </c>
      <c r="B63" s="21" t="s">
        <v>2579</v>
      </c>
      <c r="C63" s="21" t="s">
        <v>2881</v>
      </c>
      <c r="D63" s="21" t="s">
        <v>2882</v>
      </c>
      <c r="E63" s="22" t="s">
        <v>2883</v>
      </c>
    </row>
    <row r="64" spans="1:14">
      <c r="A64" s="23" t="s">
        <v>2885</v>
      </c>
      <c r="B64" s="228">
        <f>COUNTIF($A$25:$A$59,$A64)</f>
        <v>6</v>
      </c>
      <c r="C64" s="229">
        <f>SUMIF($A$25:$A$59,$A64,$J$25:$J$59)</f>
        <v>645.78200000000004</v>
      </c>
      <c r="D64" s="229">
        <f>SUMIF($A$25:$A$59,$A64,$K$25:$K$59)</f>
        <v>895.61300000000006</v>
      </c>
      <c r="E64" s="230">
        <f>SUMIF($A$25:$A$59,$A64,$L$25:$L$59)</f>
        <v>1332.518</v>
      </c>
    </row>
    <row r="65" spans="1:6">
      <c r="A65" s="23" t="s">
        <v>2909</v>
      </c>
      <c r="B65" s="228">
        <f>COUNTIF($A$25:$A$59,$A65)</f>
        <v>6</v>
      </c>
      <c r="C65" s="229">
        <f>SUMIF($A$25:$A$59,$A65,$J$25:$J$59)</f>
        <v>0</v>
      </c>
      <c r="D65" s="229">
        <f>SUMIF($A$25:$A$59,$A65,$K$25:$K$59)</f>
        <v>0</v>
      </c>
      <c r="E65" s="230">
        <f>SUMIF($A$25:$A$59,$A65,$L$25:$L$59)</f>
        <v>0</v>
      </c>
    </row>
    <row r="66" spans="1:6">
      <c r="A66" s="23" t="s">
        <v>2929</v>
      </c>
      <c r="B66" s="228">
        <f>COUNTIF($A$25:$A$59,$A66)</f>
        <v>9</v>
      </c>
      <c r="C66" s="229">
        <f>SUMIF($A$25:$A$59,$A66,$J$25:$J$59)</f>
        <v>0</v>
      </c>
      <c r="D66" s="229">
        <f>SUMIF($A$25:$A$59,$A66,$K$25:$K$59)</f>
        <v>0</v>
      </c>
      <c r="E66" s="230">
        <f>SUMIF($A$25:$A$59,$A66,$L$25:$L$59)</f>
        <v>0</v>
      </c>
    </row>
    <row r="67" spans="1:6">
      <c r="A67" s="23" t="s">
        <v>2969</v>
      </c>
      <c r="B67" s="228">
        <f>COUNTIF($A$25:$A$59,$A67)</f>
        <v>5</v>
      </c>
      <c r="C67" s="229">
        <f>SUMIF($A$25:$A$59,$A67,$J$25:$J$59)</f>
        <v>0</v>
      </c>
      <c r="D67" s="229">
        <f>SUMIF($A$25:$A$59,$A67,$K$25:$K$59)</f>
        <v>0</v>
      </c>
      <c r="E67" s="230">
        <f>SUMIF($A$25:$A$59,$A67,$L$25:$L$59)</f>
        <v>0</v>
      </c>
    </row>
    <row r="68" spans="1:6">
      <c r="A68" s="23" t="s">
        <v>1114</v>
      </c>
      <c r="B68" s="228">
        <f>COUNTIF($A$25:$A$59,$A68)</f>
        <v>4</v>
      </c>
      <c r="C68" s="229">
        <f>SUMIF($A$25:$A$59,$A68,$J$25:$J$59)</f>
        <v>0</v>
      </c>
      <c r="D68" s="229">
        <f>SUMIF($A$25:$A$59,$A68,$K$25:$K$59)</f>
        <v>0</v>
      </c>
      <c r="E68" s="230">
        <f>SUMIF($A$25:$A$59,$A68,$L$25:$L$59)</f>
        <v>0</v>
      </c>
    </row>
    <row r="69" spans="1:6">
      <c r="A69" s="23" t="s">
        <v>3009</v>
      </c>
      <c r="B69" s="228">
        <f>COUNTIF($A$25:$A$59,$A69)</f>
        <v>5</v>
      </c>
      <c r="C69" s="229">
        <f>SUMIF($A$25:$A$59,$A69,$J$25:$J$59)</f>
        <v>0</v>
      </c>
      <c r="D69" s="229">
        <f>SUMIF($A$25:$A$59,$A69,$K$25:$K$59)</f>
        <v>0</v>
      </c>
      <c r="E69" s="230">
        <f>SUMIF($A$25:$A$59,$A69,$L$25:$L$59)</f>
        <v>0</v>
      </c>
    </row>
    <row r="70" spans="1:6">
      <c r="A70" s="25" t="s">
        <v>4</v>
      </c>
      <c r="B70" s="231">
        <f>SUM(B64:B69)</f>
        <v>35</v>
      </c>
      <c r="C70" s="232">
        <f>SUM(C64:C69)</f>
        <v>645.78200000000004</v>
      </c>
      <c r="D70" s="232">
        <f>SUM(D64:D69)</f>
        <v>895.61300000000006</v>
      </c>
      <c r="E70" s="233">
        <f>SUM(E64:E69)</f>
        <v>1332.518</v>
      </c>
      <c r="F70" s="4" t="str">
        <f>IF(B70=COUNTA($B$25:$B$59),"✓ 明細行数と一致","⚠ 不一致")</f>
        <v>✓ 明細行数と一致</v>
      </c>
    </row>
    <row r="72" spans="1:6">
      <c r="A72" s="4" t="s">
        <v>3033</v>
      </c>
    </row>
    <row r="73" spans="1:6">
      <c r="A73" s="20" t="s">
        <v>2840</v>
      </c>
      <c r="B73" s="21" t="s">
        <v>3034</v>
      </c>
      <c r="C73" s="21" t="s">
        <v>3035</v>
      </c>
      <c r="D73" s="21" t="s">
        <v>3036</v>
      </c>
      <c r="E73" s="22" t="s">
        <v>2843</v>
      </c>
    </row>
    <row r="74" spans="1:6">
      <c r="A74" s="23" t="s">
        <v>3037</v>
      </c>
      <c r="B74" s="229">
        <f>J60</f>
        <v>645.78200000000004</v>
      </c>
      <c r="C74" s="229">
        <f>K60</f>
        <v>895.61300000000006</v>
      </c>
      <c r="D74" s="229">
        <f>L60</f>
        <v>1332.518</v>
      </c>
      <c r="E74" s="29" t="s">
        <v>3038</v>
      </c>
    </row>
    <row r="75" spans="1:6">
      <c r="A75" s="23" t="s">
        <v>3039</v>
      </c>
      <c r="B75" s="234">
        <f>B74*$B$9</f>
        <v>96867.3</v>
      </c>
      <c r="C75" s="234">
        <f>C74*$B$9</f>
        <v>134341.95000000001</v>
      </c>
      <c r="D75" s="234">
        <f>D74*$B$9</f>
        <v>199877.7</v>
      </c>
      <c r="E75" s="29" t="s">
        <v>3040</v>
      </c>
    </row>
    <row r="76" spans="1:6">
      <c r="A76" s="23" t="s">
        <v>3041</v>
      </c>
      <c r="B76" s="235">
        <f>B74*12</f>
        <v>7749.384</v>
      </c>
      <c r="C76" s="235">
        <f>C74*12</f>
        <v>10747.356</v>
      </c>
      <c r="D76" s="235">
        <f>D74*12</f>
        <v>15990.216</v>
      </c>
      <c r="E76" s="29" t="s">
        <v>3042</v>
      </c>
    </row>
    <row r="77" spans="1:6">
      <c r="A77" s="23" t="s">
        <v>3043</v>
      </c>
      <c r="B77" s="235">
        <f>B76*3</f>
        <v>23248.152000000002</v>
      </c>
      <c r="C77" s="235">
        <f>C76*3</f>
        <v>32242.067999999999</v>
      </c>
      <c r="D77" s="235">
        <f>D76*3</f>
        <v>47970.648000000001</v>
      </c>
      <c r="E77" s="29" t="s">
        <v>3044</v>
      </c>
    </row>
    <row r="78" spans="1:6">
      <c r="A78" s="23" t="s">
        <v>3045</v>
      </c>
      <c r="B78" s="234">
        <f>B77*$B$9</f>
        <v>3487222.8000000003</v>
      </c>
      <c r="C78" s="234">
        <f>C77*$B$9</f>
        <v>4836310.2</v>
      </c>
      <c r="D78" s="234">
        <f>D77*$B$9</f>
        <v>7195597.2000000002</v>
      </c>
      <c r="E78" s="29"/>
    </row>
    <row r="79" spans="1:6">
      <c r="A79" s="23" t="s">
        <v>3046</v>
      </c>
      <c r="B79" s="236">
        <f>IFERROR(B75/$B$10,0)</f>
        <v>9.6867300000000003E-2</v>
      </c>
      <c r="C79" s="236">
        <f>IFERROR(C75/$B$11,0)</f>
        <v>2.6868390000000002E-2</v>
      </c>
      <c r="D79" s="236">
        <f>IFERROR(D75/$B$12,0)</f>
        <v>1.9987770000000002E-2</v>
      </c>
      <c r="E79" s="29" t="s">
        <v>3047</v>
      </c>
    </row>
    <row r="80" spans="1:6">
      <c r="A80" s="27" t="s">
        <v>3048</v>
      </c>
      <c r="B80" s="237">
        <v>2032</v>
      </c>
      <c r="C80" s="237">
        <v>2032</v>
      </c>
      <c r="D80" s="237">
        <v>2032</v>
      </c>
      <c r="E80" s="30" t="s">
        <v>3049</v>
      </c>
    </row>
  </sheetData>
  <autoFilter ref="A24:M59" xr:uid="{B411B8B0-C590-3C46-80D6-CB350769A192}"/>
  <phoneticPr fontId="2"/>
  <conditionalFormatting sqref="A25:M59">
    <cfRule type="expression" dxfId="79"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45"/>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8" t="s">
        <v>4448</v>
      </c>
    </row>
    <row r="2" spans="1:13">
      <c r="A2" s="49" t="s">
        <v>4449</v>
      </c>
    </row>
    <row r="4" spans="1:13" ht="23">
      <c r="A4" s="119" t="s">
        <v>4450</v>
      </c>
      <c r="E4" s="120" t="s">
        <v>4451</v>
      </c>
      <c r="I4" s="121" t="s">
        <v>4452</v>
      </c>
    </row>
    <row r="5" spans="1:13" ht="61">
      <c r="A5" s="122">
        <f>COUNTIF(進捗一覧!$H$4:$H$295,"確定")+COUNTIF(進捗一覧!$H$4:$H$295,"方向性確定（条件付き）")</f>
        <v>79</v>
      </c>
      <c r="B5" t="s">
        <v>4453</v>
      </c>
      <c r="E5" s="123">
        <f>COUNTIF(進捗一覧!$H$4:$H$295,"検討中")</f>
        <v>72</v>
      </c>
      <c r="F5" t="s">
        <v>4453</v>
      </c>
      <c r="I5" s="124">
        <f>COUNTIF(進捗一覧!$H$4:$H$295,"外部待ち")</f>
        <v>125</v>
      </c>
      <c r="J5" t="s">
        <v>4453</v>
      </c>
    </row>
    <row r="6" spans="1:13">
      <c r="A6" s="125" t="str">
        <f>"うち完全に確定 "&amp;COUNTIF(進捗一覧!$H$4:$H$295,"確定")&amp;"件／推奨値ありで承認待ち "&amp;COUNTIF(進捗一覧!$H$4:$H$295,"方向性確定（条件付き）")&amp;"件"</f>
        <v>うち完全に確定 63件／推奨値ありで承認待ち 16件</v>
      </c>
      <c r="E6" s="125" t="s">
        <v>4454</v>
      </c>
      <c r="I6" s="125" t="s">
        <v>4455</v>
      </c>
    </row>
    <row r="8" spans="1:13">
      <c r="A8" s="4" t="s">
        <v>4456</v>
      </c>
      <c r="E8" s="4" t="s">
        <v>4457</v>
      </c>
    </row>
    <row r="9" spans="1:13" ht="47">
      <c r="A9" s="126">
        <f>COUNTIF(進捗一覧!$H$4:$H$295,"検討中")+COUNTIF(進捗一覧!$H$4:$H$295,"外部待ち")</f>
        <v>197</v>
      </c>
      <c r="B9" s="125" t="str">
        <f>"件（要件定義 "&amp;COUNTIFS(進捗一覧!$A$4:$A$295,"要件定義",進捗一覧!$H$4:$H$295,"検討中")+COUNTIFS(進捗一覧!$A$4:$A$295,"要件定義",進捗一覧!$H$4:$H$295,"外部待ち")&amp;" ＋ 基本設計 "&amp;COUNTIFS(進捗一覧!$A$4:$A$295,"基本設計",進捗一覧!$H$4:$H$295,"検討中")+COUNTIFS(進捗一覧!$A$4:$A$295,"基本設計",進捗一覧!$H$4:$H$295,"外部待ち")&amp;"）／ 全"&amp;COUNTA(進捗一覧!$L$4:$L$295)&amp;"件中"</f>
        <v>件（要件定義 125 ＋ 基本設計 72）／ 全292件中</v>
      </c>
      <c r="E9" s="17" t="s">
        <v>4458</v>
      </c>
      <c r="F9" s="18" t="s">
        <v>4459</v>
      </c>
      <c r="G9" s="18" t="s">
        <v>4460</v>
      </c>
      <c r="H9" s="19" t="s">
        <v>2157</v>
      </c>
    </row>
    <row r="10" spans="1:13">
      <c r="E10" s="23" t="s">
        <v>4461</v>
      </c>
      <c r="F10" s="31">
        <f>COUNTIFS(進捗一覧!$B$4:$B$295,"検証ゲート",進捗一覧!$H$4:$H$295,"検討中")</f>
        <v>2</v>
      </c>
      <c r="G10" s="31" t="str">
        <f>IF(F10=0,"● 充足",IF(F10&lt;=5,"▲ あと少し","× 未充足"))</f>
        <v>▲ あと少し</v>
      </c>
      <c r="H10" s="29" t="s">
        <v>4462</v>
      </c>
    </row>
    <row r="11" spans="1:13">
      <c r="E11" s="23" t="s">
        <v>4463</v>
      </c>
      <c r="F11" s="31">
        <f>COUNTIFS(進捗一覧!$B$4:$B$295,"設計タスク",進捗一覧!$H$4:$H$295,"外部待ち")</f>
        <v>5</v>
      </c>
      <c r="G11" s="31" t="str">
        <f>IF(F11=0,"● 充足",IF(F11&lt;=5,"▲ あと少し","× 未充足"))</f>
        <v>▲ あと少し</v>
      </c>
      <c r="H11" s="29" t="s">
        <v>4464</v>
      </c>
    </row>
    <row r="12" spans="1:13">
      <c r="E12" s="27" t="s">
        <v>4465</v>
      </c>
      <c r="F12" s="127">
        <f>COUNTIFS(進捗一覧!$B$4:$B$295,"顧客確認",進捗一覧!$H$4:$H$295,"外部待ち")+COUNTIFS(進捗一覧!$B$4:$B$295,"機能要件",進捗一覧!$H$4:$H$295,"外部待ち")+COUNTIFS(進捗一覧!$B$4:$B$295,"非機能要件",進捗一覧!$H$4:$H$295,"外部待ち")</f>
        <v>109</v>
      </c>
      <c r="G12" s="127" t="str">
        <f>IF(F12=0,"● 充足",IF(F12&lt;=5,"▲ あと少し","× 未充足"))</f>
        <v>× 未充足</v>
      </c>
      <c r="H12" s="30" t="s">
        <v>4466</v>
      </c>
    </row>
    <row r="14" spans="1:13">
      <c r="A14" s="4" t="s">
        <v>4467</v>
      </c>
      <c r="J14" s="4" t="s">
        <v>4468</v>
      </c>
    </row>
    <row r="15" spans="1:13">
      <c r="A15" s="20" t="s">
        <v>4469</v>
      </c>
      <c r="B15" s="21" t="s">
        <v>1770</v>
      </c>
      <c r="C15" s="21" t="s">
        <v>1771</v>
      </c>
      <c r="D15" s="22" t="s">
        <v>1772</v>
      </c>
      <c r="J15" s="20" t="s">
        <v>2155</v>
      </c>
      <c r="K15" s="21" t="s">
        <v>1770</v>
      </c>
      <c r="L15" s="21" t="s">
        <v>2156</v>
      </c>
      <c r="M15" s="22" t="s">
        <v>2157</v>
      </c>
    </row>
    <row r="16" spans="1:13">
      <c r="A16" s="23" t="s">
        <v>3257</v>
      </c>
      <c r="B16" s="31">
        <f>COUNTIF(進捗一覧!$C$4:$C$295,$A16)</f>
        <v>16</v>
      </c>
      <c r="C16" s="31">
        <f>COUNTIFS(進捗一覧!$C$4:$C$295,$A16,進捗一覧!$H$4:$H$295,"確定")</f>
        <v>5</v>
      </c>
      <c r="D16" s="159">
        <f>COUNTIFS(進捗一覧!$C$4:$C$295,$A16,進捗一覧!$H$4:$H$295,"方向性確定（条件付き）")</f>
        <v>1</v>
      </c>
      <c r="E16">
        <f>COUNTIFS(進捗一覧!$C$4:$C$295,$A16,進捗一覧!$H$4:$H$295,"検討中")</f>
        <v>2</v>
      </c>
      <c r="F16">
        <f>COUNTIFS(進捗一覧!$C$4:$C$295,$A16,進捗一覧!$H$4:$H$295,"外部待ち")</f>
        <v>6</v>
      </c>
      <c r="G16">
        <f>COUNTIFS(進捗一覧!$C$4:$C$295,$A16,進捗一覧!$H$4:$H$295,"対象外")</f>
        <v>2</v>
      </c>
      <c r="J16" s="23" t="s">
        <v>3256</v>
      </c>
      <c r="K16" s="31">
        <f>COUNTIF(進捗一覧!$A$4:$A$295,$J16)</f>
        <v>205</v>
      </c>
      <c r="L16" s="31">
        <f>COUNTIFS(進捗一覧!$A$4:$A$295,$J16,進捗一覧!$H$4:$H$295,"検討中")+COUNTIFS(進捗一覧!$A$4:$A$295,$J16,進捗一覧!$H$4:$H$295,"外部待ち")</f>
        <v>125</v>
      </c>
      <c r="M16" s="29" t="s">
        <v>4470</v>
      </c>
    </row>
    <row r="17" spans="1:14">
      <c r="A17" s="23" t="s">
        <v>3391</v>
      </c>
      <c r="B17" s="31">
        <f>COUNTIF(進捗一覧!$C$4:$C$295,$A17)</f>
        <v>21</v>
      </c>
      <c r="C17" s="31">
        <f>COUNTIFS(進捗一覧!$C$4:$C$295,$A17,進捗一覧!$H$4:$H$295,"確定")</f>
        <v>3</v>
      </c>
      <c r="D17" s="159">
        <f>COUNTIFS(進捗一覧!$C$4:$C$295,$A17,進捗一覧!$H$4:$H$295,"方向性確定（条件付き）")</f>
        <v>1</v>
      </c>
      <c r="E17">
        <f>COUNTIFS(進捗一覧!$C$4:$C$295,$A17,進捗一覧!$H$4:$H$295,"検討中")</f>
        <v>5</v>
      </c>
      <c r="F17">
        <f>COUNTIFS(進捗一覧!$C$4:$C$295,$A17,進捗一覧!$H$4:$H$295,"外部待ち")</f>
        <v>10</v>
      </c>
      <c r="G17">
        <f>COUNTIFS(進捗一覧!$C$4:$C$295,$A17,進捗一覧!$H$4:$H$295,"対象外")</f>
        <v>2</v>
      </c>
      <c r="J17" s="23" t="s">
        <v>4019</v>
      </c>
      <c r="K17" s="31">
        <f>COUNTIF(進捗一覧!$A$4:$A$295,$J17)</f>
        <v>87</v>
      </c>
      <c r="L17" s="31">
        <f>COUNTIFS(進捗一覧!$A$4:$A$295,$J17,進捗一覧!$H$4:$H$295,"検討中")+COUNTIFS(進捗一覧!$A$4:$A$295,$J17,進捗一覧!$H$4:$H$295,"外部待ち")</f>
        <v>72</v>
      </c>
      <c r="M17" s="29" t="s">
        <v>4471</v>
      </c>
    </row>
    <row r="18" spans="1:14">
      <c r="A18" s="23" t="s">
        <v>3475</v>
      </c>
      <c r="B18" s="31">
        <f>COUNTIF(進捗一覧!$C$4:$C$295,$A18)</f>
        <v>12</v>
      </c>
      <c r="C18" s="31">
        <f>COUNTIFS(進捗一覧!$C$4:$C$295,$A18,進捗一覧!$H$4:$H$295,"確定")</f>
        <v>3</v>
      </c>
      <c r="D18" s="159">
        <f>COUNTIFS(進捗一覧!$C$4:$C$295,$A18,進捗一覧!$H$4:$H$295,"方向性確定（条件付き）")</f>
        <v>0</v>
      </c>
      <c r="E18">
        <f>COUNTIFS(進捗一覧!$C$4:$C$295,$A18,進捗一覧!$H$4:$H$295,"検討中")</f>
        <v>1</v>
      </c>
      <c r="F18">
        <f>COUNTIFS(進捗一覧!$C$4:$C$295,$A18,進捗一覧!$H$4:$H$295,"外部待ち")</f>
        <v>8</v>
      </c>
      <c r="G18">
        <f>COUNTIFS(進捗一覧!$C$4:$C$295,$A18,進捗一覧!$H$4:$H$295,"対象外")</f>
        <v>0</v>
      </c>
      <c r="J18" s="25" t="s">
        <v>4360</v>
      </c>
      <c r="K18" s="32">
        <f>SUM(K16:K17)</f>
        <v>292</v>
      </c>
      <c r="L18" s="32">
        <f>SUM(L16:L17)</f>
        <v>197</v>
      </c>
      <c r="M18" s="179"/>
      <c r="N18" s="49" t="str">
        <f>IF(K18=COUNTA(進捗一覧!$L$4:$L$295),"✓ 明細行数と一致","⚠ 不一致")</f>
        <v>✓ 明細行数と一致</v>
      </c>
    </row>
    <row r="19" spans="1:14">
      <c r="A19" s="23" t="s">
        <v>3507</v>
      </c>
      <c r="B19" s="31">
        <f>COUNTIF(進捗一覧!$C$4:$C$295,$A19)</f>
        <v>15</v>
      </c>
      <c r="C19" s="31">
        <f>COUNTIFS(進捗一覧!$C$4:$C$295,$A19,進捗一覧!$H$4:$H$295,"確定")</f>
        <v>1</v>
      </c>
      <c r="D19" s="31">
        <f>COUNTIFS(進捗一覧!$C$4:$C$295,$A19,進捗一覧!$H$4:$H$295,"方向性確定（条件付き）")</f>
        <v>0</v>
      </c>
      <c r="E19" s="162">
        <f>COUNTIFS(進捗一覧!$C$4:$C$295,$A19,進捗一覧!$H$4:$H$295,"検討中")</f>
        <v>0</v>
      </c>
      <c r="F19" s="162">
        <f>COUNTIFS(進捗一覧!$C$4:$C$295,$A19,進捗一覧!$H$4:$H$295,"外部待ち")</f>
        <v>14</v>
      </c>
      <c r="G19" s="162">
        <f>COUNTIFS(進捗一覧!$C$4:$C$295,$A19,進捗一覧!$H$4:$H$295,"対象外")</f>
        <v>0</v>
      </c>
      <c r="H19" s="163"/>
    </row>
    <row r="20" spans="1:14">
      <c r="A20" s="23" t="s">
        <v>3357</v>
      </c>
      <c r="B20" s="31">
        <f>COUNTIF(進捗一覧!$C$4:$C$295,$A20)</f>
        <v>15</v>
      </c>
      <c r="C20" s="31">
        <f>COUNTIFS(進捗一覧!$C$4:$C$295,$A20,進捗一覧!$H$4:$H$295,"確定")</f>
        <v>4</v>
      </c>
      <c r="D20" s="31">
        <f>COUNTIFS(進捗一覧!$C$4:$C$295,$A20,進捗一覧!$H$4:$H$295,"方向性確定（条件付き）")</f>
        <v>1</v>
      </c>
      <c r="E20" s="31">
        <f>COUNTIFS(進捗一覧!$C$4:$C$295,$A20,進捗一覧!$H$4:$H$295,"検討中")</f>
        <v>1</v>
      </c>
      <c r="F20" s="31">
        <f>COUNTIFS(進捗一覧!$C$4:$C$295,$A20,進捗一覧!$H$4:$H$295,"外部待ち")</f>
        <v>4</v>
      </c>
      <c r="G20" s="31">
        <f>COUNTIFS(進捗一覧!$C$4:$C$295,$A20,進捗一覧!$H$4:$H$295,"対象外")</f>
        <v>5</v>
      </c>
      <c r="H20" s="128"/>
    </row>
    <row r="21" spans="1:14">
      <c r="A21" s="23" t="s">
        <v>3545</v>
      </c>
      <c r="B21" s="31">
        <f>COUNTIF(進捗一覧!$C$4:$C$295,$A21)</f>
        <v>23</v>
      </c>
      <c r="C21" s="31">
        <f>COUNTIFS(進捗一覧!$C$4:$C$295,$A21,進捗一覧!$H$4:$H$295,"確定")</f>
        <v>7</v>
      </c>
      <c r="D21" s="31">
        <f>COUNTIFS(進捗一覧!$C$4:$C$295,$A21,進捗一覧!$H$4:$H$295,"方向性確定（条件付き）")</f>
        <v>2</v>
      </c>
      <c r="E21" s="31">
        <f>COUNTIFS(進捗一覧!$C$4:$C$295,$A21,進捗一覧!$H$4:$H$295,"検討中")</f>
        <v>11</v>
      </c>
      <c r="F21" s="31">
        <f>COUNTIFS(進捗一覧!$C$4:$C$295,$A21,進捗一覧!$H$4:$H$295,"外部待ち")</f>
        <v>3</v>
      </c>
      <c r="G21" s="31">
        <f>COUNTIFS(進捗一覧!$C$4:$C$295,$A21,進捗一覧!$H$4:$H$295,"対象外")</f>
        <v>0</v>
      </c>
      <c r="H21" s="128"/>
    </row>
    <row r="22" spans="1:14">
      <c r="A22" s="23" t="s">
        <v>3308</v>
      </c>
      <c r="B22" s="31">
        <f>COUNTIF(進捗一覧!$C$4:$C$295,$A22)</f>
        <v>14</v>
      </c>
      <c r="C22" s="31">
        <f>COUNTIFS(進捗一覧!$C$4:$C$295,$A22,進捗一覧!$H$4:$H$295,"確定")</f>
        <v>3</v>
      </c>
      <c r="D22" s="31">
        <f>COUNTIFS(進捗一覧!$C$4:$C$295,$A22,進捗一覧!$H$4:$H$295,"方向性確定（条件付き）")</f>
        <v>3</v>
      </c>
      <c r="E22" s="31">
        <f>COUNTIFS(進捗一覧!$C$4:$C$295,$A22,進捗一覧!$H$4:$H$295,"検討中")</f>
        <v>2</v>
      </c>
      <c r="F22" s="31">
        <f>COUNTIFS(進捗一覧!$C$4:$C$295,$A22,進捗一覧!$H$4:$H$295,"外部待ち")</f>
        <v>6</v>
      </c>
      <c r="G22" s="31">
        <f>COUNTIFS(進捗一覧!$C$4:$C$295,$A22,進捗一覧!$H$4:$H$295,"対象外")</f>
        <v>0</v>
      </c>
      <c r="H22" s="128"/>
    </row>
    <row r="23" spans="1:14">
      <c r="A23" s="23" t="s">
        <v>3441</v>
      </c>
      <c r="B23" s="31">
        <f>COUNTIF(進捗一覧!$C$4:$C$295,$A23)</f>
        <v>18</v>
      </c>
      <c r="C23" s="31">
        <f>COUNTIFS(進捗一覧!$C$4:$C$295,$A23,進捗一覧!$H$4:$H$295,"確定")</f>
        <v>8</v>
      </c>
      <c r="D23" s="31">
        <f>COUNTIFS(進捗一覧!$C$4:$C$295,$A23,進捗一覧!$H$4:$H$295,"方向性確定（条件付き）")</f>
        <v>1</v>
      </c>
      <c r="E23" s="31">
        <f>COUNTIFS(進捗一覧!$C$4:$C$295,$A23,進捗一覧!$H$4:$H$295,"検討中")</f>
        <v>7</v>
      </c>
      <c r="F23" s="31">
        <f>COUNTIFS(進捗一覧!$C$4:$C$295,$A23,進捗一覧!$H$4:$H$295,"外部待ち")</f>
        <v>2</v>
      </c>
      <c r="G23" s="31">
        <f>COUNTIFS(進捗一覧!$C$4:$C$295,$A23,進捗一覧!$H$4:$H$295,"対象外")</f>
        <v>0</v>
      </c>
      <c r="H23" s="128"/>
    </row>
    <row r="24" spans="1:14">
      <c r="A24" s="23" t="s">
        <v>4032</v>
      </c>
      <c r="B24" s="31">
        <f>COUNTIF(進捗一覧!$C$4:$C$295,$A24)</f>
        <v>11</v>
      </c>
      <c r="C24" s="31">
        <f>COUNTIFS(進捗一覧!$C$4:$C$295,$A24,進捗一覧!$H$4:$H$295,"確定")</f>
        <v>0</v>
      </c>
      <c r="D24" s="31">
        <f>COUNTIFS(進捗一覧!$C$4:$C$295,$A24,進捗一覧!$H$4:$H$295,"方向性確定（条件付き）")</f>
        <v>2</v>
      </c>
      <c r="E24" s="31">
        <f>COUNTIFS(進捗一覧!$C$4:$C$295,$A24,進捗一覧!$H$4:$H$295,"検討中")</f>
        <v>5</v>
      </c>
      <c r="F24" s="31">
        <f>COUNTIFS(進捗一覧!$C$4:$C$295,$A24,進捗一覧!$H$4:$H$295,"外部待ち")</f>
        <v>4</v>
      </c>
      <c r="G24" s="31">
        <f>COUNTIFS(進捗一覧!$C$4:$C$295,$A24,進捗一覧!$H$4:$H$295,"対象外")</f>
        <v>0</v>
      </c>
      <c r="H24" s="128"/>
    </row>
    <row r="25" spans="1:14">
      <c r="A25" s="23" t="s">
        <v>3842</v>
      </c>
      <c r="B25" s="31">
        <f>COUNTIF(進捗一覧!$C$4:$C$295,$A25)</f>
        <v>25</v>
      </c>
      <c r="C25" s="31">
        <f>COUNTIFS(進捗一覧!$C$4:$C$295,$A25,進捗一覧!$H$4:$H$295,"確定")</f>
        <v>5</v>
      </c>
      <c r="D25" s="31">
        <f>COUNTIFS(進捗一覧!$C$4:$C$295,$A25,進捗一覧!$H$4:$H$295,"方向性確定（条件付き）")</f>
        <v>2</v>
      </c>
      <c r="E25" s="31">
        <f>COUNTIFS(進捗一覧!$C$4:$C$295,$A25,進捗一覧!$H$4:$H$295,"検討中")</f>
        <v>8</v>
      </c>
      <c r="F25" s="31">
        <f>COUNTIFS(進捗一覧!$C$4:$C$295,$A25,進捗一覧!$H$4:$H$295,"外部待ち")</f>
        <v>9</v>
      </c>
      <c r="G25" s="31">
        <f>COUNTIFS(進捗一覧!$C$4:$C$295,$A25,進捗一覧!$H$4:$H$295,"対象外")</f>
        <v>1</v>
      </c>
      <c r="H25" s="128" t="s">
        <v>4472</v>
      </c>
    </row>
    <row r="26" spans="1:14">
      <c r="A26" s="23" t="s">
        <v>3713</v>
      </c>
      <c r="B26" s="31">
        <f>COUNTIF(進捗一覧!$C$4:$C$295,$A26)</f>
        <v>20</v>
      </c>
      <c r="C26" s="31">
        <f>COUNTIFS(進捗一覧!$C$4:$C$295,$A26,進捗一覧!$H$4:$H$295,"確定")</f>
        <v>6</v>
      </c>
      <c r="D26" s="31">
        <f>COUNTIFS(進捗一覧!$C$4:$C$295,$A26,進捗一覧!$H$4:$H$295,"方向性確定（条件付き）")</f>
        <v>0</v>
      </c>
      <c r="E26" s="31">
        <f>COUNTIFS(進捗一覧!$C$4:$C$295,$A26,進捗一覧!$H$4:$H$295,"検討中")</f>
        <v>2</v>
      </c>
      <c r="F26" s="31">
        <f>COUNTIFS(進捗一覧!$C$4:$C$295,$A26,進捗一覧!$H$4:$H$295,"外部待ち")</f>
        <v>12</v>
      </c>
      <c r="G26" s="31">
        <f>COUNTIFS(進捗一覧!$C$4:$C$295,$A26,進捗一覧!$H$4:$H$295,"対象外")</f>
        <v>0</v>
      </c>
      <c r="H26" s="128" t="s">
        <v>4473</v>
      </c>
    </row>
    <row r="27" spans="1:14">
      <c r="A27" s="23" t="s">
        <v>3589</v>
      </c>
      <c r="B27" s="31">
        <f>COUNTIF(進捗一覧!$C$4:$C$295,$A27)</f>
        <v>31</v>
      </c>
      <c r="C27" s="31">
        <f>COUNTIFS(進捗一覧!$C$4:$C$295,$A27,進捗一覧!$H$4:$H$295,"確定")</f>
        <v>9</v>
      </c>
      <c r="D27" s="31">
        <f>COUNTIFS(進捗一覧!$C$4:$C$295,$A27,進捗一覧!$H$4:$H$295,"方向性確定（条件付き）")</f>
        <v>0</v>
      </c>
      <c r="E27" s="31">
        <f>COUNTIFS(進捗一覧!$C$4:$C$295,$A27,進捗一覧!$H$4:$H$295,"検討中")</f>
        <v>5</v>
      </c>
      <c r="F27" s="31">
        <f>COUNTIFS(進捗一覧!$C$4:$C$295,$A27,進捗一覧!$H$4:$H$295,"外部待ち")</f>
        <v>16</v>
      </c>
      <c r="G27" s="31">
        <f>COUNTIFS(進捗一覧!$C$4:$C$295,$A27,進捗一覧!$H$4:$H$295,"対象外")</f>
        <v>1</v>
      </c>
      <c r="H27" s="128"/>
    </row>
    <row r="28" spans="1:14">
      <c r="A28" s="23" t="s">
        <v>3734</v>
      </c>
      <c r="B28" s="31">
        <f>COUNTIF(進捗一覧!$C$4:$C$295,$A28)</f>
        <v>21</v>
      </c>
      <c r="C28" s="31">
        <f>COUNTIFS(進捗一覧!$C$4:$C$295,$A28,進捗一覧!$H$4:$H$295,"確定")</f>
        <v>3</v>
      </c>
      <c r="D28" s="31">
        <f>COUNTIFS(進捗一覧!$C$4:$C$295,$A28,進捗一覧!$H$4:$H$295,"方向性確定（条件付き）")</f>
        <v>1</v>
      </c>
      <c r="E28" s="31">
        <f>COUNTIFS(進捗一覧!$C$4:$C$295,$A28,進捗一覧!$H$4:$H$295,"検討中")</f>
        <v>1</v>
      </c>
      <c r="F28" s="31">
        <f>COUNTIFS(進捗一覧!$C$4:$C$295,$A28,進捗一覧!$H$4:$H$295,"外部待ち")</f>
        <v>14</v>
      </c>
      <c r="G28" s="31">
        <f>COUNTIFS(進捗一覧!$C$4:$C$295,$A28,進捗一覧!$H$4:$H$295,"対象外")</f>
        <v>2</v>
      </c>
      <c r="H28" s="128" t="s">
        <v>4474</v>
      </c>
    </row>
    <row r="29" spans="1:14">
      <c r="A29" s="23" t="s">
        <v>3800</v>
      </c>
      <c r="B29" s="31">
        <f>COUNTIF(進捗一覧!$C$4:$C$295,$A29)</f>
        <v>23</v>
      </c>
      <c r="C29" s="31">
        <f>COUNTIFS(進捗一覧!$C$4:$C$295,$A29,進捗一覧!$H$4:$H$295,"確定")</f>
        <v>0</v>
      </c>
      <c r="D29" s="31">
        <f>COUNTIFS(進捗一覧!$C$4:$C$295,$A29,進捗一覧!$H$4:$H$295,"方向性確定（条件付き）")</f>
        <v>1</v>
      </c>
      <c r="E29" s="31">
        <f>COUNTIFS(進捗一覧!$C$4:$C$295,$A29,進捗一覧!$H$4:$H$295,"検討中")</f>
        <v>7</v>
      </c>
      <c r="F29" s="31">
        <f>COUNTIFS(進捗一覧!$C$4:$C$295,$A29,進捗一覧!$H$4:$H$295,"外部待ち")</f>
        <v>14</v>
      </c>
      <c r="G29" s="31">
        <f>COUNTIFS(進捗一覧!$C$4:$C$295,$A29,進捗一覧!$H$4:$H$295,"対象外")</f>
        <v>1</v>
      </c>
      <c r="H29" s="128" t="s">
        <v>4475</v>
      </c>
    </row>
    <row r="30" spans="1:14">
      <c r="A30" s="23" t="s">
        <v>3662</v>
      </c>
      <c r="B30" s="31">
        <f>COUNTIF(進捗一覧!$C$4:$C$295,$A30)</f>
        <v>12</v>
      </c>
      <c r="C30" s="31">
        <f>COUNTIFS(進捗一覧!$C$4:$C$295,$A30,進捗一覧!$H$4:$H$295,"確定")</f>
        <v>4</v>
      </c>
      <c r="D30" s="31">
        <f>COUNTIFS(進捗一覧!$C$4:$C$295,$A30,進捗一覧!$H$4:$H$295,"方向性確定（条件付き）")</f>
        <v>0</v>
      </c>
      <c r="E30" s="31">
        <f>COUNTIFS(進捗一覧!$C$4:$C$295,$A30,進捗一覧!$H$4:$H$295,"検討中")</f>
        <v>7</v>
      </c>
      <c r="F30" s="31">
        <f>COUNTIFS(進捗一覧!$C$4:$C$295,$A30,進捗一覧!$H$4:$H$295,"外部待ち")</f>
        <v>0</v>
      </c>
      <c r="G30" s="31">
        <f>COUNTIFS(進捗一覧!$C$4:$C$295,$A30,進捗一覧!$H$4:$H$295,"対象外")</f>
        <v>1</v>
      </c>
      <c r="H30" s="128" t="s">
        <v>4476</v>
      </c>
    </row>
    <row r="31" spans="1:14">
      <c r="A31" s="23" t="s">
        <v>3695</v>
      </c>
      <c r="B31" s="31">
        <f>COUNTIF(進捗一覧!$C$4:$C$295,$A31)</f>
        <v>7</v>
      </c>
      <c r="C31" s="31">
        <f>COUNTIFS(進捗一覧!$C$4:$C$295,$A31,進捗一覧!$H$4:$H$295,"確定")</f>
        <v>2</v>
      </c>
      <c r="D31" s="31">
        <f>COUNTIFS(進捗一覧!$C$4:$C$295,$A31,進捗一覧!$H$4:$H$295,"方向性確定（条件付き）")</f>
        <v>1</v>
      </c>
      <c r="E31" s="31">
        <f>COUNTIFS(進捗一覧!$C$4:$C$295,$A31,進捗一覧!$H$4:$H$295,"検討中")</f>
        <v>1</v>
      </c>
      <c r="F31" s="31">
        <f>COUNTIFS(進捗一覧!$C$4:$C$295,$A31,進捗一覧!$H$4:$H$295,"外部待ち")</f>
        <v>2</v>
      </c>
      <c r="G31" s="31">
        <f>COUNTIFS(進捗一覧!$C$4:$C$295,$A31,進捗一覧!$H$4:$H$295,"対象外")</f>
        <v>1</v>
      </c>
      <c r="H31" s="128" t="s">
        <v>4477</v>
      </c>
    </row>
    <row r="32" spans="1:14">
      <c r="A32" s="23" t="s">
        <v>4248</v>
      </c>
      <c r="B32" s="31">
        <f>COUNTIF(進捗一覧!$C$4:$C$295,$A32)</f>
        <v>8</v>
      </c>
      <c r="C32" s="31">
        <f>COUNTIFS(進捗一覧!$C$4:$C$295,$A32,進捗一覧!$H$4:$H$295,"確定")</f>
        <v>0</v>
      </c>
      <c r="D32" s="31">
        <f>COUNTIFS(進捗一覧!$C$4:$C$295,$A32,進捗一覧!$H$4:$H$295,"方向性確定（条件付き）")</f>
        <v>0</v>
      </c>
      <c r="E32" s="31">
        <f>COUNTIFS(進捗一覧!$C$4:$C$295,$A32,進捗一覧!$H$4:$H$295,"検討中")</f>
        <v>7</v>
      </c>
      <c r="F32" s="31">
        <f>COUNTIFS(進捗一覧!$C$4:$C$295,$A32,進捗一覧!$H$4:$H$295,"外部待ち")</f>
        <v>1</v>
      </c>
      <c r="G32" s="31">
        <f>COUNTIFS(進捗一覧!$C$4:$C$295,$A32,進捗一覧!$H$4:$H$295,"対象外")</f>
        <v>0</v>
      </c>
      <c r="H32" s="128" t="s">
        <v>4478</v>
      </c>
    </row>
    <row r="33" spans="1:8">
      <c r="A33" s="25" t="s">
        <v>4360</v>
      </c>
      <c r="B33" s="32">
        <f>SUM(B16:B32)</f>
        <v>292</v>
      </c>
      <c r="C33" s="32">
        <f>SUM(C16:C32)</f>
        <v>63</v>
      </c>
      <c r="D33" s="32">
        <f>SUM(D16:D32)</f>
        <v>16</v>
      </c>
      <c r="E33" s="32">
        <f>SUM(E16:E32)</f>
        <v>72</v>
      </c>
      <c r="F33" s="32">
        <f>SUM(F16:F32)</f>
        <v>125</v>
      </c>
      <c r="G33" s="32">
        <f>SUM(G16:G32)</f>
        <v>16</v>
      </c>
      <c r="H33" s="30"/>
    </row>
    <row r="36" spans="1:8">
      <c r="A36" s="4" t="s">
        <v>4479</v>
      </c>
    </row>
    <row r="37" spans="1:8">
      <c r="A37" s="20" t="s">
        <v>4480</v>
      </c>
      <c r="B37" s="21" t="s">
        <v>4481</v>
      </c>
      <c r="C37" s="21" t="s">
        <v>4482</v>
      </c>
      <c r="D37" s="21" t="s">
        <v>4414</v>
      </c>
      <c r="E37" s="22" t="s">
        <v>4483</v>
      </c>
    </row>
    <row r="38" spans="1:8">
      <c r="A38" s="23" t="s">
        <v>4484</v>
      </c>
      <c r="B38" s="205">
        <v>244</v>
      </c>
      <c r="C38" s="24" t="s">
        <v>4485</v>
      </c>
      <c r="D38" s="31">
        <f>COUNTA('WBS(基本設計)'!$B$6:$B$91)</f>
        <v>86</v>
      </c>
      <c r="E38" s="29" t="s">
        <v>4486</v>
      </c>
    </row>
    <row r="39" spans="1:8">
      <c r="A39" s="23" t="s">
        <v>4487</v>
      </c>
      <c r="B39" s="205">
        <f>'WBS(詳細設計_製造)'!$U$17</f>
        <v>417.60000000000008</v>
      </c>
      <c r="C39" s="24" t="s">
        <v>4488</v>
      </c>
      <c r="D39" s="31">
        <f>COUNTA('WBS(詳細設計_製造)'!$A$6:$A$108)</f>
        <v>103</v>
      </c>
      <c r="E39" s="29" t="s">
        <v>4489</v>
      </c>
    </row>
    <row r="40" spans="1:8">
      <c r="A40" s="23" t="s">
        <v>4490</v>
      </c>
      <c r="B40" s="205">
        <f>'WBS(詳細設計_製造)'!$V$17</f>
        <v>626.4</v>
      </c>
      <c r="C40" s="24" t="s">
        <v>4488</v>
      </c>
      <c r="D40" s="31">
        <f>D39</f>
        <v>103</v>
      </c>
      <c r="E40" s="29" t="s">
        <v>4491</v>
      </c>
    </row>
    <row r="41" spans="1:8">
      <c r="A41" s="23" t="s">
        <v>4492</v>
      </c>
      <c r="B41" s="205">
        <f>'WBS(テスト)'!$C$60</f>
        <v>363</v>
      </c>
      <c r="C41" s="24" t="s">
        <v>4493</v>
      </c>
      <c r="D41" s="31">
        <f>COUNTA('WBS(テスト)'!$B$6:$B$48)</f>
        <v>43</v>
      </c>
      <c r="E41" s="29" t="s">
        <v>4494</v>
      </c>
    </row>
    <row r="42" spans="1:8">
      <c r="A42" s="174" t="s">
        <v>4495</v>
      </c>
      <c r="B42" s="206">
        <f>B39+B40+B41</f>
        <v>1407</v>
      </c>
      <c r="C42" s="207" t="s">
        <v>4496</v>
      </c>
      <c r="D42" s="161">
        <v>0</v>
      </c>
      <c r="E42" s="175"/>
    </row>
    <row r="43" spans="1:8">
      <c r="A43" s="25" t="s">
        <v>4497</v>
      </c>
      <c r="B43" s="208">
        <f>B38+B42</f>
        <v>1651</v>
      </c>
      <c r="C43" s="26" t="s">
        <v>4496</v>
      </c>
      <c r="D43" s="32">
        <v>0</v>
      </c>
      <c r="E43" s="179"/>
      <c r="F43" s="49" t="str">
        <f>IF(AND(ROUND(B42,0)=1407,ROUND(B43,0)=1651),"✓ 工程4分割と一致","⚠ 不一致")</f>
        <v>✓ 工程4分割と一致</v>
      </c>
    </row>
    <row r="45" spans="1:8">
      <c r="A45" s="54" t="s">
        <v>4498</v>
      </c>
    </row>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H80"/>
  <sheetViews>
    <sheetView topLeftCell="A61" zoomScale="132" workbookViewId="0">
      <selection activeCell="B31" sqref="B31"/>
    </sheetView>
  </sheetViews>
  <sheetFormatPr baseColWidth="10" defaultRowHeight="18"/>
  <cols>
    <col min="1" max="1" width="38.5703125" style="34" customWidth="1"/>
    <col min="2" max="2" width="24.28515625" style="34" customWidth="1"/>
    <col min="3" max="3" width="74.28515625" style="34" customWidth="1"/>
    <col min="4" max="4" width="24.28515625" style="34" customWidth="1"/>
    <col min="5" max="5" width="10.7109375" style="34"/>
    <col min="6" max="7" width="11.42578125" style="34" customWidth="1"/>
    <col min="8" max="16384" width="10.7109375" style="34"/>
  </cols>
  <sheetData>
    <row r="1" spans="1:8" ht="22">
      <c r="A1" s="33" t="s">
        <v>4356</v>
      </c>
    </row>
    <row r="2" spans="1:8">
      <c r="A2" s="35" t="s">
        <v>4357</v>
      </c>
    </row>
    <row r="3" spans="1:8">
      <c r="A3" s="36" t="s">
        <v>4358</v>
      </c>
    </row>
    <row r="5" spans="1:8">
      <c r="A5" s="85" t="s">
        <v>4359</v>
      </c>
    </row>
    <row r="6" spans="1:8">
      <c r="A6" s="60" t="s">
        <v>1776</v>
      </c>
      <c r="B6" s="61" t="s">
        <v>1770</v>
      </c>
      <c r="C6" s="61" t="s">
        <v>1771</v>
      </c>
      <c r="D6" s="61" t="s">
        <v>1772</v>
      </c>
      <c r="E6" s="61" t="s">
        <v>1773</v>
      </c>
      <c r="F6" s="62" t="s">
        <v>1774</v>
      </c>
      <c r="G6" s="144" t="s">
        <v>674</v>
      </c>
    </row>
    <row r="7" spans="1:8">
      <c r="A7" s="86" t="s">
        <v>1767</v>
      </c>
      <c r="B7" s="87">
        <f>COUNTIF(進捗一覧!$B$4:$B$295,$A7)</f>
        <v>91</v>
      </c>
      <c r="C7" s="87">
        <f>COUNTIFS(進捗一覧!$B$4:$B$295,$A7,進捗一覧!$H$4:$H$295,"確定")</f>
        <v>29</v>
      </c>
      <c r="D7" s="87">
        <f>COUNTIFS(進捗一覧!$B$4:$B$295,$A7,進捗一覧!$H$4:$H$295,"方向性確定（条件付き）")</f>
        <v>8</v>
      </c>
      <c r="E7" s="87">
        <f>COUNTIFS(進捗一覧!$B$4:$B$295,$A7,進捗一覧!$H$4:$H$295,"検討中")</f>
        <v>5</v>
      </c>
      <c r="F7" s="141">
        <f>COUNTIFS(進捗一覧!$B$4:$B$295,$A7,進捗一覧!$H$4:$H$295,"外部待ち")</f>
        <v>43</v>
      </c>
      <c r="G7" s="145">
        <f>COUNTIFS(進捗一覧!$B$4:$B$295,$A7,進捗一覧!$H$4:$H$295,"対象外")</f>
        <v>6</v>
      </c>
    </row>
    <row r="8" spans="1:8">
      <c r="A8" s="86" t="s">
        <v>1768</v>
      </c>
      <c r="B8" s="87">
        <f>COUNTIF(進捗一覧!$B$4:$B$295,$A8)</f>
        <v>88</v>
      </c>
      <c r="C8" s="87">
        <f>COUNTIFS(進捗一覧!$B$4:$B$295,$A8,進捗一覧!$H$4:$H$295,"確定")</f>
        <v>26</v>
      </c>
      <c r="D8" s="87">
        <f>COUNTIFS(進捗一覧!$B$4:$B$295,$A8,進捗一覧!$H$4:$H$295,"方向性確定（条件付き）")</f>
        <v>2</v>
      </c>
      <c r="E8" s="87">
        <f>COUNTIFS(進捗一覧!$B$4:$B$295,$A8,進捗一覧!$H$4:$H$295,"検討中")</f>
        <v>9</v>
      </c>
      <c r="F8" s="141">
        <f>COUNTIFS(進捗一覧!$B$4:$B$295,$A8,進捗一覧!$H$4:$H$295,"外部待ち")</f>
        <v>48</v>
      </c>
      <c r="G8" s="145">
        <f>COUNTIFS(進捗一覧!$B$4:$B$295,$A8,進捗一覧!$H$4:$H$295,"対象外")</f>
        <v>3</v>
      </c>
    </row>
    <row r="9" spans="1:8">
      <c r="A9" s="86" t="s">
        <v>4020</v>
      </c>
      <c r="B9" s="87">
        <f>COUNTIF(進捗一覧!$B$4:$B$295,$A9)</f>
        <v>21</v>
      </c>
      <c r="C9" s="87">
        <f>COUNTIFS(進捗一覧!$B$4:$B$295,$A9,進捗一覧!$H$4:$H$295,"確定")</f>
        <v>7</v>
      </c>
      <c r="D9" s="87">
        <f>COUNTIFS(進捗一覧!$B$4:$B$295,$A9,進捗一覧!$H$4:$H$295,"方向性確定（条件付き）")</f>
        <v>3</v>
      </c>
      <c r="E9" s="87">
        <f>COUNTIFS(進捗一覧!$B$4:$B$295,$A9,進捗一覧!$H$4:$H$295,"検討中")</f>
        <v>3</v>
      </c>
      <c r="F9" s="141">
        <f>COUNTIFS(進捗一覧!$B$4:$B$295,$A9,進捗一覧!$H$4:$H$295,"外部待ち")</f>
        <v>8</v>
      </c>
      <c r="G9" s="145">
        <f>COUNTIFS(進捗一覧!$B$4:$B$295,$A9,進捗一覧!$H$4:$H$295,"対象外")</f>
        <v>0</v>
      </c>
    </row>
    <row r="10" spans="1:8">
      <c r="A10" s="86" t="s">
        <v>4129</v>
      </c>
      <c r="B10" s="87">
        <f>COUNTIF(進捗一覧!$B$4:$B$295,$A10)</f>
        <v>7</v>
      </c>
      <c r="C10" s="87">
        <f>COUNTIFS(進捗一覧!$B$4:$B$295,$A10,進捗一覧!$H$4:$H$295,"確定")</f>
        <v>0</v>
      </c>
      <c r="D10" s="87">
        <f>COUNTIFS(進捗一覧!$B$4:$B$295,$A10,進捗一覧!$H$4:$H$295,"方向性確定（条件付き）")</f>
        <v>1</v>
      </c>
      <c r="E10" s="87">
        <f>COUNTIFS(進捗一覧!$B$4:$B$295,$A10,進捗一覧!$H$4:$H$295,"検討中")</f>
        <v>2</v>
      </c>
      <c r="F10" s="141">
        <f>COUNTIFS(進捗一覧!$B$4:$B$295,$A10,進捗一覧!$H$4:$H$295,"外部待ち")</f>
        <v>3</v>
      </c>
      <c r="G10" s="145">
        <f>COUNTIFS(進捗一覧!$B$4:$B$295,$A10,進捗一覧!$H$4:$H$295,"対象外")</f>
        <v>1</v>
      </c>
    </row>
    <row r="11" spans="1:8">
      <c r="A11" s="86" t="s">
        <v>1769</v>
      </c>
      <c r="B11" s="87">
        <f>COUNTIF(進捗一覧!$B$4:$B$295,$A11)</f>
        <v>59</v>
      </c>
      <c r="C11" s="87">
        <f>COUNTIFS(進捗一覧!$B$4:$B$295,$A11,進捗一覧!$H$4:$H$295,"確定")</f>
        <v>0</v>
      </c>
      <c r="D11" s="87">
        <f>COUNTIFS(進捗一覧!$B$4:$B$295,$A11,進捗一覧!$H$4:$H$295,"方向性確定（条件付き）")</f>
        <v>0</v>
      </c>
      <c r="E11" s="87">
        <f>COUNTIFS(進捗一覧!$B$4:$B$295,$A11,進捗一覧!$H$4:$H$295,"検討中")</f>
        <v>51</v>
      </c>
      <c r="F11" s="141">
        <f>COUNTIFS(進捗一覧!$B$4:$B$295,$A11,進捗一覧!$H$4:$H$295,"外部待ち")</f>
        <v>5</v>
      </c>
      <c r="G11" s="145">
        <f>COUNTIFS(進捗一覧!$B$4:$B$295,$A11,進捗一覧!$H$4:$H$295,"対象外")</f>
        <v>3</v>
      </c>
    </row>
    <row r="12" spans="1:8">
      <c r="A12" s="115" t="s">
        <v>3892</v>
      </c>
      <c r="B12" s="89">
        <f>COUNTIF(進捗一覧!$B$4:$B$295,$A12)</f>
        <v>26</v>
      </c>
      <c r="C12" s="89">
        <f>COUNTIFS(進捗一覧!$B$4:$B$295,$A12,進捗一覧!$H$4:$H$295,"確定")</f>
        <v>1</v>
      </c>
      <c r="D12" s="89">
        <f>COUNTIFS(進捗一覧!$B$4:$B$295,$A12,進捗一覧!$H$4:$H$295,"方向性確定（条件付き）")</f>
        <v>2</v>
      </c>
      <c r="E12" s="89">
        <f>COUNTIFS(進捗一覧!$B$4:$B$295,$A12,進捗一覧!$H$4:$H$295,"検討中")</f>
        <v>2</v>
      </c>
      <c r="F12" s="142">
        <f>COUNTIFS(進捗一覧!$B$4:$B$295,$A12,進捗一覧!$H$4:$H$295,"外部待ち")</f>
        <v>18</v>
      </c>
      <c r="G12" s="143">
        <f>COUNTIFS(進捗一覧!$B$4:$B$295,$A12,進捗一覧!$H$4:$H$295,"対象外")</f>
        <v>3</v>
      </c>
    </row>
    <row r="13" spans="1:8">
      <c r="A13" s="88" t="s">
        <v>4360</v>
      </c>
      <c r="B13" s="146">
        <f>SUM(B7:B12)</f>
        <v>292</v>
      </c>
      <c r="C13" s="146">
        <f>SUM(C7:C12)</f>
        <v>63</v>
      </c>
      <c r="D13" s="146">
        <f>SUM(D7:D12)</f>
        <v>16</v>
      </c>
      <c r="E13" s="146">
        <f>SUM(E7:E12)</f>
        <v>72</v>
      </c>
      <c r="F13" s="147">
        <f>SUM(F7:F12)</f>
        <v>125</v>
      </c>
      <c r="G13" s="146">
        <f>SUM(G7:G12)</f>
        <v>16</v>
      </c>
      <c r="H13" s="63" t="str">
        <f>IF(B13=COUNTA(進捗一覧!$L$4:$L$295),"✓ 明細行数と一致","⚠ 不一致")</f>
        <v>✓ 明細行数と一致</v>
      </c>
    </row>
    <row r="15" spans="1:8">
      <c r="A15" s="85" t="s">
        <v>4361</v>
      </c>
      <c r="B15" s="61" t="s">
        <v>4362</v>
      </c>
      <c r="C15" s="61" t="s">
        <v>1777</v>
      </c>
      <c r="D15" s="61" t="s">
        <v>1770</v>
      </c>
      <c r="E15" s="61" t="s">
        <v>1771</v>
      </c>
      <c r="F15" s="61" t="s">
        <v>1772</v>
      </c>
      <c r="G15" s="61" t="s">
        <v>1773</v>
      </c>
      <c r="H15" s="62" t="s">
        <v>1774</v>
      </c>
    </row>
    <row r="16" spans="1:8">
      <c r="A16" s="60" t="s">
        <v>4363</v>
      </c>
      <c r="B16" s="149" t="s">
        <v>1776</v>
      </c>
      <c r="C16" s="149" t="s">
        <v>1777</v>
      </c>
      <c r="D16" s="148" t="s">
        <v>1770</v>
      </c>
      <c r="E16" s="148" t="s">
        <v>1771</v>
      </c>
      <c r="F16" s="148" t="s">
        <v>1772</v>
      </c>
      <c r="G16" s="148" t="s">
        <v>1773</v>
      </c>
      <c r="H16" s="150" t="s">
        <v>1774</v>
      </c>
    </row>
    <row r="17" spans="1:8">
      <c r="A17" s="86" t="s">
        <v>4364</v>
      </c>
      <c r="B17" s="90" t="s">
        <v>1767</v>
      </c>
      <c r="C17" s="90" t="s">
        <v>1778</v>
      </c>
      <c r="D17" s="91">
        <f>COUNTIFS(進捗一覧!$B$4:$B$295,$B17,進捗一覧!$L$4:$L$295,$C17)</f>
        <v>14</v>
      </c>
      <c r="E17" s="91">
        <f>COUNTIFS(進捗一覧!$B$4:$B$295,$B17,進捗一覧!$L$4:$L$295,$C17,進捗一覧!$H$4:$H$295,"確定")</f>
        <v>5</v>
      </c>
      <c r="F17" s="91">
        <f>COUNTIFS(進捗一覧!$B$4:$B$295,$B17,進捗一覧!$L$4:$L$295,$C17,進捗一覧!$H$4:$H$295,"方向性確定（条件付き）")</f>
        <v>1</v>
      </c>
      <c r="G17" s="91">
        <f>COUNTIFS(進捗一覧!$B$4:$B$295,$B17,進捗一覧!$L$4:$L$295,$C17,進捗一覧!$H$4:$H$295,"検討中")</f>
        <v>0</v>
      </c>
      <c r="H17" s="151">
        <f>COUNTIFS(進捗一覧!$B$4:$B$295,$B17,進捗一覧!$L$4:$L$295,$C17,進捗一覧!$H$4:$H$295,"外部待ち")</f>
        <v>6</v>
      </c>
    </row>
    <row r="18" spans="1:8">
      <c r="A18" s="86" t="s">
        <v>4365</v>
      </c>
      <c r="B18" s="90" t="s">
        <v>1767</v>
      </c>
      <c r="C18" s="90" t="s">
        <v>1779</v>
      </c>
      <c r="D18" s="91">
        <f>COUNTIFS(進捗一覧!$B$4:$B$295,$B18,進捗一覧!$L$4:$L$295,$C18)</f>
        <v>14</v>
      </c>
      <c r="E18" s="91">
        <f>COUNTIFS(進捗一覧!$B$4:$B$295,$B18,進捗一覧!$L$4:$L$295,$C18,進捗一覧!$H$4:$H$295,"確定")</f>
        <v>3</v>
      </c>
      <c r="F18" s="91">
        <f>COUNTIFS(進捗一覧!$B$4:$B$295,$B18,進捗一覧!$L$4:$L$295,$C18,進捗一覧!$H$4:$H$295,"方向性確定（条件付き）")</f>
        <v>1</v>
      </c>
      <c r="G18" s="91">
        <f>COUNTIFS(進捗一覧!$B$4:$B$295,$B18,進捗一覧!$L$4:$L$295,$C18,進捗一覧!$H$4:$H$295,"検討中")</f>
        <v>0</v>
      </c>
      <c r="H18" s="151">
        <f>COUNTIFS(進捗一覧!$B$4:$B$295,$B18,進捗一覧!$L$4:$L$295,$C18,進捗一覧!$H$4:$H$295,"外部待ち")</f>
        <v>10</v>
      </c>
    </row>
    <row r="19" spans="1:8">
      <c r="A19" s="86" t="s">
        <v>4366</v>
      </c>
      <c r="B19" s="90" t="s">
        <v>1767</v>
      </c>
      <c r="C19" s="90" t="s">
        <v>1780</v>
      </c>
      <c r="D19" s="91">
        <f>COUNTIFS(進捗一覧!$B$4:$B$295,$B19,進捗一覧!$L$4:$L$295,$C19)</f>
        <v>9</v>
      </c>
      <c r="E19" s="91">
        <f>COUNTIFS(進捗一覧!$B$4:$B$295,$B19,進捗一覧!$L$4:$L$295,$C19,進捗一覧!$H$4:$H$295,"確定")</f>
        <v>3</v>
      </c>
      <c r="F19" s="91">
        <f>COUNTIFS(進捗一覧!$B$4:$B$295,$B19,進捗一覧!$L$4:$L$295,$C19,進捗一覧!$H$4:$H$295,"方向性確定（条件付き）")</f>
        <v>0</v>
      </c>
      <c r="G19" s="91">
        <f>COUNTIFS(進捗一覧!$B$4:$B$295,$B19,進捗一覧!$L$4:$L$295,$C19,進捗一覧!$H$4:$H$295,"検討中")</f>
        <v>0</v>
      </c>
      <c r="H19" s="151">
        <f>COUNTIFS(進捗一覧!$B$4:$B$295,$B19,進捗一覧!$L$4:$L$295,$C19,進捗一覧!$H$4:$H$295,"外部待ち")</f>
        <v>6</v>
      </c>
    </row>
    <row r="20" spans="1:8">
      <c r="A20" s="86" t="s">
        <v>4367</v>
      </c>
      <c r="B20" s="90" t="s">
        <v>1767</v>
      </c>
      <c r="C20" s="90" t="s">
        <v>1781</v>
      </c>
      <c r="D20" s="91">
        <f>COUNTIFS(進捗一覧!$B$4:$B$295,$B20,進捗一覧!$L$4:$L$295,$C20)</f>
        <v>10</v>
      </c>
      <c r="E20" s="91">
        <f>COUNTIFS(進捗一覧!$B$4:$B$295,$B20,進捗一覧!$L$4:$L$295,$C20,進捗一覧!$H$4:$H$295,"確定")</f>
        <v>1</v>
      </c>
      <c r="F20" s="91">
        <f>COUNTIFS(進捗一覧!$B$4:$B$295,$B20,進捗一覧!$L$4:$L$295,$C20,進捗一覧!$H$4:$H$295,"方向性確定（条件付き）")</f>
        <v>0</v>
      </c>
      <c r="G20" s="91">
        <f>COUNTIFS(進捗一覧!$B$4:$B$295,$B20,進捗一覧!$L$4:$L$295,$C20,進捗一覧!$H$4:$H$295,"検討中")</f>
        <v>0</v>
      </c>
      <c r="H20" s="151">
        <f>COUNTIFS(進捗一覧!$B$4:$B$295,$B20,進捗一覧!$L$4:$L$295,$C20,進捗一覧!$H$4:$H$295,"外部待ち")</f>
        <v>9</v>
      </c>
    </row>
    <row r="21" spans="1:8">
      <c r="A21" s="86" t="s">
        <v>4368</v>
      </c>
      <c r="B21" s="90" t="s">
        <v>1767</v>
      </c>
      <c r="C21" s="90" t="s">
        <v>1782</v>
      </c>
      <c r="D21" s="91">
        <f>COUNTIFS(進捗一覧!$B$4:$B$295,$B21,進捗一覧!$L$4:$L$295,$C21)</f>
        <v>10</v>
      </c>
      <c r="E21" s="91">
        <f>COUNTIFS(進捗一覧!$B$4:$B$295,$B21,進捗一覧!$L$4:$L$295,$C21,進捗一覧!$H$4:$H$295,"確定")</f>
        <v>3</v>
      </c>
      <c r="F21" s="91">
        <f>COUNTIFS(進捗一覧!$B$4:$B$295,$B21,進捗一覧!$L$4:$L$295,$C21,進捗一覧!$H$4:$H$295,"方向性確定（条件付き）")</f>
        <v>0</v>
      </c>
      <c r="G21" s="91">
        <f>COUNTIFS(進捗一覧!$B$4:$B$295,$B21,進捗一覧!$L$4:$L$295,$C21,進捗一覧!$H$4:$H$295,"検討中")</f>
        <v>0</v>
      </c>
      <c r="H21" s="151">
        <f>COUNTIFS(進捗一覧!$B$4:$B$295,$B21,進捗一覧!$L$4:$L$295,$C21,進捗一覧!$H$4:$H$295,"外部待ち")</f>
        <v>3</v>
      </c>
    </row>
    <row r="22" spans="1:8">
      <c r="A22" s="86" t="s">
        <v>4369</v>
      </c>
      <c r="B22" s="90" t="s">
        <v>1767</v>
      </c>
      <c r="C22" s="90" t="s">
        <v>1783</v>
      </c>
      <c r="D22" s="91">
        <f>COUNTIFS(進捗一覧!$B$4:$B$295,$B22,進捗一覧!$L$4:$L$295,$C22)</f>
        <v>12</v>
      </c>
      <c r="E22" s="91">
        <f>COUNTIFS(進捗一覧!$B$4:$B$295,$B22,進捗一覧!$L$4:$L$295,$C22,進捗一覧!$H$4:$H$295,"確定")</f>
        <v>5</v>
      </c>
      <c r="F22" s="91">
        <f>COUNTIFS(進捗一覧!$B$4:$B$295,$B22,進捗一覧!$L$4:$L$295,$C22,進捗一覧!$H$4:$H$295,"方向性確定（条件付き）")</f>
        <v>2</v>
      </c>
      <c r="G22" s="91">
        <f>COUNTIFS(進捗一覧!$B$4:$B$295,$B22,進捗一覧!$L$4:$L$295,$C22,進捗一覧!$H$4:$H$295,"検討中")</f>
        <v>3</v>
      </c>
      <c r="H22" s="151">
        <f>COUNTIFS(進捗一覧!$B$4:$B$295,$B22,進捗一覧!$L$4:$L$295,$C22,進捗一覧!$H$4:$H$295,"外部待ち")</f>
        <v>2</v>
      </c>
    </row>
    <row r="23" spans="1:8">
      <c r="A23" s="86" t="s">
        <v>4370</v>
      </c>
      <c r="B23" s="90" t="s">
        <v>1767</v>
      </c>
      <c r="C23" s="90" t="s">
        <v>1784</v>
      </c>
      <c r="D23" s="91">
        <f>COUNTIFS(進捗一覧!$B$4:$B$295,$B23,進捗一覧!$L$4:$L$295,$C23)</f>
        <v>12</v>
      </c>
      <c r="E23" s="91">
        <f>COUNTIFS(進捗一覧!$B$4:$B$295,$B23,進捗一覧!$L$4:$L$295,$C23,進捗一覧!$H$4:$H$295,"確定")</f>
        <v>2</v>
      </c>
      <c r="F23" s="91">
        <f>COUNTIFS(進捗一覧!$B$4:$B$295,$B23,進捗一覧!$L$4:$L$295,$C23,進捗一覧!$H$4:$H$295,"方向性確定（条件付き）")</f>
        <v>3</v>
      </c>
      <c r="G23" s="91">
        <f>COUNTIFS(進捗一覧!$B$4:$B$295,$B23,進捗一覧!$L$4:$L$295,$C23,進捗一覧!$H$4:$H$295,"検討中")</f>
        <v>1</v>
      </c>
      <c r="H23" s="151">
        <f>COUNTIFS(進捗一覧!$B$4:$B$295,$B23,進捗一覧!$L$4:$L$295,$C23,進捗一覧!$H$4:$H$295,"外部待ち")</f>
        <v>6</v>
      </c>
    </row>
    <row r="24" spans="1:8">
      <c r="A24" s="86" t="s">
        <v>4371</v>
      </c>
      <c r="B24" s="90" t="s">
        <v>1767</v>
      </c>
      <c r="C24" s="90" t="s">
        <v>1785</v>
      </c>
      <c r="D24" s="91">
        <f>COUNTIFS(進捗一覧!$B$4:$B$295,$B24,進捗一覧!$L$4:$L$295,$C24)</f>
        <v>10</v>
      </c>
      <c r="E24" s="91">
        <f>COUNTIFS(進捗一覧!$B$4:$B$295,$B24,進捗一覧!$L$4:$L$295,$C24,進捗一覧!$H$4:$H$295,"確定")</f>
        <v>7</v>
      </c>
      <c r="F24" s="91">
        <f>COUNTIFS(進捗一覧!$B$4:$B$295,$B24,進捗一覧!$L$4:$L$295,$C24,進捗一覧!$H$4:$H$295,"方向性確定（条件付き）")</f>
        <v>1</v>
      </c>
      <c r="G24" s="91">
        <f>COUNTIFS(進捗一覧!$B$4:$B$295,$B24,進捗一覧!$L$4:$L$295,$C24,進捗一覧!$H$4:$H$295,"検討中")</f>
        <v>1</v>
      </c>
      <c r="H24" s="151">
        <f>COUNTIFS(進捗一覧!$B$4:$B$295,$B24,進捗一覧!$L$4:$L$295,$C24,進捗一覧!$H$4:$H$295,"外部待ち")</f>
        <v>1</v>
      </c>
    </row>
    <row r="25" spans="1:8">
      <c r="A25" s="86" t="s">
        <v>3716</v>
      </c>
      <c r="B25" s="90" t="s">
        <v>1768</v>
      </c>
      <c r="C25" s="90" t="s">
        <v>1786</v>
      </c>
      <c r="D25" s="91">
        <f>COUNTIFS(進捗一覧!$B$4:$B$295,$B25,進捗一覧!$L$4:$L$295,$C25)</f>
        <v>6</v>
      </c>
      <c r="E25" s="91">
        <f>COUNTIFS(進捗一覧!$B$4:$B$295,$B25,進捗一覧!$L$4:$L$295,$C25,進捗一覧!$H$4:$H$295,"確定")</f>
        <v>4</v>
      </c>
      <c r="F25" s="91">
        <f>COUNTIFS(進捗一覧!$B$4:$B$295,$B25,進捗一覧!$L$4:$L$295,$C25,進捗一覧!$H$4:$H$295,"方向性確定（条件付き）")</f>
        <v>0</v>
      </c>
      <c r="G25" s="91">
        <f>COUNTIFS(進捗一覧!$B$4:$B$295,$B25,進捗一覧!$L$4:$L$295,$C25,進捗一覧!$H$4:$H$295,"検討中")</f>
        <v>0</v>
      </c>
      <c r="H25" s="151">
        <f>COUNTIFS(進捗一覧!$B$4:$B$295,$B25,進捗一覧!$L$4:$L$295,$C25,進捗一覧!$H$4:$H$295,"外部待ち")</f>
        <v>2</v>
      </c>
    </row>
    <row r="26" spans="1:8">
      <c r="A26" s="86" t="s">
        <v>4372</v>
      </c>
      <c r="B26" s="90" t="s">
        <v>1768</v>
      </c>
      <c r="C26" s="90" t="s">
        <v>1787</v>
      </c>
      <c r="D26" s="91">
        <f>COUNTIFS(進捗一覧!$B$4:$B$295,$B26,進捗一覧!$L$4:$L$295,$C26)</f>
        <v>8</v>
      </c>
      <c r="E26" s="91">
        <f>COUNTIFS(進捗一覧!$B$4:$B$295,$B26,進捗一覧!$L$4:$L$295,$C26,進捗一覧!$H$4:$H$295,"確定")</f>
        <v>2</v>
      </c>
      <c r="F26" s="91">
        <f>COUNTIFS(進捗一覧!$B$4:$B$295,$B26,進捗一覧!$L$4:$L$295,$C26,進捗一覧!$H$4:$H$295,"方向性確定（条件付き）")</f>
        <v>0</v>
      </c>
      <c r="G26" s="91">
        <f>COUNTIFS(進捗一覧!$B$4:$B$295,$B26,進捗一覧!$L$4:$L$295,$C26,進捗一覧!$H$4:$H$295,"検討中")</f>
        <v>1</v>
      </c>
      <c r="H26" s="151">
        <f>COUNTIFS(進捗一覧!$B$4:$B$295,$B26,進捗一覧!$L$4:$L$295,$C26,進捗一覧!$H$4:$H$295,"外部待ち")</f>
        <v>4</v>
      </c>
    </row>
    <row r="27" spans="1:8">
      <c r="A27" s="86" t="s">
        <v>4373</v>
      </c>
      <c r="B27" s="90" t="s">
        <v>1768</v>
      </c>
      <c r="C27" s="90" t="s">
        <v>1788</v>
      </c>
      <c r="D27" s="91">
        <f>COUNTIFS(進捗一覧!$B$4:$B$295,$B27,進捗一覧!$L$4:$L$295,$C27)</f>
        <v>7</v>
      </c>
      <c r="E27" s="91">
        <f>COUNTIFS(進捗一覧!$B$4:$B$295,$B27,進捗一覧!$L$4:$L$295,$C27,進捗一覧!$H$4:$H$295,"確定")</f>
        <v>2</v>
      </c>
      <c r="F27" s="91">
        <f>COUNTIFS(進捗一覧!$B$4:$B$295,$B27,進捗一覧!$L$4:$L$295,$C27,進捗一覧!$H$4:$H$295,"方向性確定（条件付き）")</f>
        <v>0</v>
      </c>
      <c r="G27" s="91">
        <f>COUNTIFS(進捗一覧!$B$4:$B$295,$B27,進捗一覧!$L$4:$L$295,$C27,進捗一覧!$H$4:$H$295,"検討中")</f>
        <v>1</v>
      </c>
      <c r="H27" s="151">
        <f>COUNTIFS(進捗一覧!$B$4:$B$295,$B27,進捗一覧!$L$4:$L$295,$C27,進捗一覧!$H$4:$H$295,"外部待ち")</f>
        <v>4</v>
      </c>
    </row>
    <row r="28" spans="1:8">
      <c r="A28" s="86" t="s">
        <v>4374</v>
      </c>
      <c r="B28" s="90" t="s">
        <v>1768</v>
      </c>
      <c r="C28" s="90" t="s">
        <v>1789</v>
      </c>
      <c r="D28" s="91">
        <f>COUNTIFS(進捗一覧!$B$4:$B$295,$B28,進捗一覧!$L$4:$L$295,$C28)</f>
        <v>21</v>
      </c>
      <c r="E28" s="91">
        <f>COUNTIFS(進捗一覧!$B$4:$B$295,$B28,進捗一覧!$L$4:$L$295,$C28,進捗一覧!$H$4:$H$295,"確定")</f>
        <v>9</v>
      </c>
      <c r="F28" s="91">
        <f>COUNTIFS(進捗一覧!$B$4:$B$295,$B28,進捗一覧!$L$4:$L$295,$C28,進捗一覧!$H$4:$H$295,"方向性確定（条件付き）")</f>
        <v>0</v>
      </c>
      <c r="G28" s="91">
        <f>COUNTIFS(進捗一覧!$B$4:$B$295,$B28,進捗一覧!$L$4:$L$295,$C28,進捗一覧!$H$4:$H$295,"検討中")</f>
        <v>0</v>
      </c>
      <c r="H28" s="151">
        <f>COUNTIFS(進捗一覧!$B$4:$B$295,$B28,進捗一覧!$L$4:$L$295,$C28,進捗一覧!$H$4:$H$295,"外部待ち")</f>
        <v>12</v>
      </c>
    </row>
    <row r="29" spans="1:8">
      <c r="A29" s="86" t="s">
        <v>3774</v>
      </c>
      <c r="B29" s="90" t="s">
        <v>1768</v>
      </c>
      <c r="C29" s="90" t="s">
        <v>1790</v>
      </c>
      <c r="D29" s="91">
        <f>COUNTIFS(進捗一覧!$B$4:$B$295,$B29,進捗一覧!$L$4:$L$295,$C29)</f>
        <v>8</v>
      </c>
      <c r="E29" s="91">
        <f>COUNTIFS(進捗一覧!$B$4:$B$295,$B29,進捗一覧!$L$4:$L$295,$C29,進捗一覧!$H$4:$H$295,"確定")</f>
        <v>1</v>
      </c>
      <c r="F29" s="91">
        <f>COUNTIFS(進捗一覧!$B$4:$B$295,$B29,進捗一覧!$L$4:$L$295,$C29,進捗一覧!$H$4:$H$295,"方向性確定（条件付き）")</f>
        <v>0</v>
      </c>
      <c r="G29" s="91">
        <f>COUNTIFS(進捗一覧!$B$4:$B$295,$B29,進捗一覧!$L$4:$L$295,$C29,進捗一覧!$H$4:$H$295,"検討中")</f>
        <v>0</v>
      </c>
      <c r="H29" s="151">
        <f>COUNTIFS(進捗一覧!$B$4:$B$295,$B29,進捗一覧!$L$4:$L$295,$C29,進捗一覧!$H$4:$H$295,"外部待ち")</f>
        <v>7</v>
      </c>
    </row>
    <row r="30" spans="1:8">
      <c r="A30" s="86" t="s">
        <v>4375</v>
      </c>
      <c r="B30" s="90" t="s">
        <v>1768</v>
      </c>
      <c r="C30" s="90" t="s">
        <v>1791</v>
      </c>
      <c r="D30" s="91">
        <f>COUNTIFS(進捗一覧!$B$4:$B$295,$B30,進捗一覧!$L$4:$L$295,$C30)</f>
        <v>11</v>
      </c>
      <c r="E30" s="91">
        <f>COUNTIFS(進捗一覧!$B$4:$B$295,$B30,進捗一覧!$L$4:$L$295,$C30,進捗一覧!$H$4:$H$295,"確定")</f>
        <v>0</v>
      </c>
      <c r="F30" s="91">
        <f>COUNTIFS(進捗一覧!$B$4:$B$295,$B30,進捗一覧!$L$4:$L$295,$C30,進捗一覧!$H$4:$H$295,"方向性確定（条件付き）")</f>
        <v>0</v>
      </c>
      <c r="G30" s="91">
        <f>COUNTIFS(進捗一覧!$B$4:$B$295,$B30,進捗一覧!$L$4:$L$295,$C30,進捗一覧!$H$4:$H$295,"検討中")</f>
        <v>0</v>
      </c>
      <c r="H30" s="151">
        <f>COUNTIFS(進捗一覧!$B$4:$B$295,$B30,進捗一覧!$L$4:$L$295,$C30,進捗一覧!$H$4:$H$295,"外部待ち")</f>
        <v>11</v>
      </c>
    </row>
    <row r="31" spans="1:8">
      <c r="A31" s="86" t="s">
        <v>4376</v>
      </c>
      <c r="B31" s="90" t="s">
        <v>1768</v>
      </c>
      <c r="C31" s="90" t="s">
        <v>1792</v>
      </c>
      <c r="D31" s="91">
        <f>COUNTIFS(進捗一覧!$B$4:$B$295,$B31,進捗一覧!$L$4:$L$295,$C31)</f>
        <v>11</v>
      </c>
      <c r="E31" s="91">
        <f>COUNTIFS(進捗一覧!$B$4:$B$295,$B31,進捗一覧!$L$4:$L$295,$C31,進捗一覧!$H$4:$H$295,"確定")</f>
        <v>2</v>
      </c>
      <c r="F31" s="91">
        <f>COUNTIFS(進捗一覧!$B$4:$B$295,$B31,進捗一覧!$L$4:$L$295,$C31,進捗一覧!$H$4:$H$295,"方向性確定（条件付き）")</f>
        <v>1</v>
      </c>
      <c r="G31" s="91">
        <f>COUNTIFS(進捗一覧!$B$4:$B$295,$B31,進捗一覧!$L$4:$L$295,$C31,進捗一覧!$H$4:$H$295,"検討中")</f>
        <v>0</v>
      </c>
      <c r="H31" s="151">
        <f>COUNTIFS(進捗一覧!$B$4:$B$295,$B31,進捗一覧!$L$4:$L$295,$C31,進捗一覧!$H$4:$H$295,"外部待ち")</f>
        <v>8</v>
      </c>
    </row>
    <row r="32" spans="1:8">
      <c r="A32" s="86" t="s">
        <v>3664</v>
      </c>
      <c r="B32" s="90" t="s">
        <v>1768</v>
      </c>
      <c r="C32" s="90" t="s">
        <v>1793</v>
      </c>
      <c r="D32" s="91">
        <f>COUNTIFS(進捗一覧!$B$4:$B$295,$B32,進捗一覧!$L$4:$L$295,$C32)</f>
        <v>11</v>
      </c>
      <c r="E32" s="91">
        <f>COUNTIFS(進捗一覧!$B$4:$B$295,$B32,進捗一覧!$L$4:$L$295,$C32,進捗一覧!$H$4:$H$295,"確定")</f>
        <v>4</v>
      </c>
      <c r="F32" s="91">
        <f>COUNTIFS(進捗一覧!$B$4:$B$295,$B32,進捗一覧!$L$4:$L$295,$C32,進捗一覧!$H$4:$H$295,"方向性確定（条件付き）")</f>
        <v>0</v>
      </c>
      <c r="G32" s="91">
        <f>COUNTIFS(進捗一覧!$B$4:$B$295,$B32,進捗一覧!$L$4:$L$295,$C32,進捗一覧!$H$4:$H$295,"検討中")</f>
        <v>6</v>
      </c>
      <c r="H32" s="151">
        <f>COUNTIFS(進捗一覧!$B$4:$B$295,$B32,進捗一覧!$L$4:$L$295,$C32,進捗一覧!$H$4:$H$295,"外部待ち")</f>
        <v>0</v>
      </c>
    </row>
    <row r="33" spans="1:8">
      <c r="A33" s="86" t="s">
        <v>4377</v>
      </c>
      <c r="B33" s="90" t="s">
        <v>1768</v>
      </c>
      <c r="C33" s="90" t="s">
        <v>1794</v>
      </c>
      <c r="D33" s="91">
        <f>COUNTIFS(進捗一覧!$B$4:$B$295,$B33,進捗一覧!$L$4:$L$295,$C33)</f>
        <v>5</v>
      </c>
      <c r="E33" s="91">
        <f>COUNTIFS(進捗一覧!$B$4:$B$295,$B33,進捗一覧!$L$4:$L$295,$C33,進捗一覧!$H$4:$H$295,"確定")</f>
        <v>2</v>
      </c>
      <c r="F33" s="91">
        <f>COUNTIFS(進捗一覧!$B$4:$B$295,$B33,進捗一覧!$L$4:$L$295,$C33,進捗一覧!$H$4:$H$295,"方向性確定（条件付き）")</f>
        <v>1</v>
      </c>
      <c r="G33" s="91">
        <f>COUNTIFS(進捗一覧!$B$4:$B$295,$B33,進捗一覧!$L$4:$L$295,$C33,進捗一覧!$H$4:$H$295,"検討中")</f>
        <v>1</v>
      </c>
      <c r="H33" s="151">
        <f>COUNTIFS(進捗一覧!$B$4:$B$295,$B33,進捗一覧!$L$4:$L$295,$C33,進捗一覧!$H$4:$H$295,"外部待ち")</f>
        <v>0</v>
      </c>
    </row>
    <row r="34" spans="1:8">
      <c r="A34" s="86" t="s">
        <v>4378</v>
      </c>
      <c r="B34" s="90" t="s">
        <v>1769</v>
      </c>
      <c r="C34" s="90" t="s">
        <v>1795</v>
      </c>
      <c r="D34" s="91">
        <f>COUNTIFS(進捗一覧!$B$4:$B$295,$B34,進捗一覧!$L$4:$L$295,$C34)</f>
        <v>12</v>
      </c>
      <c r="E34" s="91">
        <f>COUNTIFS(進捗一覧!$B$4:$B$295,$B34,進捗一覧!$L$4:$L$295,$C34,進捗一覧!$H$4:$H$295,"確定")</f>
        <v>0</v>
      </c>
      <c r="F34" s="91">
        <f>COUNTIFS(進捗一覧!$B$4:$B$295,$B34,進捗一覧!$L$4:$L$295,$C34,進捗一覧!$H$4:$H$295,"方向性確定（条件付き）")</f>
        <v>0</v>
      </c>
      <c r="G34" s="91">
        <f>COUNTIFS(進捗一覧!$B$4:$B$295,$B34,進捗一覧!$L$4:$L$295,$C34,進捗一覧!$H$4:$H$295,"検討中")</f>
        <v>11</v>
      </c>
      <c r="H34" s="151">
        <f>COUNTIFS(進捗一覧!$B$4:$B$295,$B34,進捗一覧!$L$4:$L$295,$C34,進捗一覧!$H$4:$H$295,"外部待ち")</f>
        <v>0</v>
      </c>
    </row>
    <row r="35" spans="1:8">
      <c r="A35" s="86" t="s">
        <v>4379</v>
      </c>
      <c r="B35" s="90" t="s">
        <v>1769</v>
      </c>
      <c r="C35" s="90" t="s">
        <v>1796</v>
      </c>
      <c r="D35" s="91">
        <f>COUNTIFS(進捗一覧!$B$4:$B$295,$B35,進捗一覧!$L$4:$L$295,$C35)</f>
        <v>5</v>
      </c>
      <c r="E35" s="91">
        <f>COUNTIFS(進捗一覧!$B$4:$B$295,$B35,進捗一覧!$L$4:$L$295,$C35,進捗一覧!$H$4:$H$295,"確定")</f>
        <v>0</v>
      </c>
      <c r="F35" s="91">
        <f>COUNTIFS(進捗一覧!$B$4:$B$295,$B35,進捗一覧!$L$4:$L$295,$C35,進捗一覧!$H$4:$H$295,"方向性確定（条件付き）")</f>
        <v>0</v>
      </c>
      <c r="G35" s="91">
        <f>COUNTIFS(進捗一覧!$B$4:$B$295,$B35,進捗一覧!$L$4:$L$295,$C35,進捗一覧!$H$4:$H$295,"検討中")</f>
        <v>3</v>
      </c>
      <c r="H35" s="151">
        <f>COUNTIFS(進捗一覧!$B$4:$B$295,$B35,進捗一覧!$L$4:$L$295,$C35,進捗一覧!$H$4:$H$295,"外部待ち")</f>
        <v>2</v>
      </c>
    </row>
    <row r="36" spans="1:8">
      <c r="A36" s="86" t="s">
        <v>4380</v>
      </c>
      <c r="B36" s="90" t="s">
        <v>1769</v>
      </c>
      <c r="C36" s="90" t="s">
        <v>1797</v>
      </c>
      <c r="D36" s="91">
        <f>COUNTIFS(進捗一覧!$B$4:$B$295,$B36,進捗一覧!$L$4:$L$295,$C36)</f>
        <v>8</v>
      </c>
      <c r="E36" s="91">
        <f>COUNTIFS(進捗一覧!$B$4:$B$295,$B36,進捗一覧!$L$4:$L$295,$C36,進捗一覧!$H$4:$H$295,"確定")</f>
        <v>0</v>
      </c>
      <c r="F36" s="91">
        <f>COUNTIFS(進捗一覧!$B$4:$B$295,$B36,進捗一覧!$L$4:$L$295,$C36,進捗一覧!$H$4:$H$295,"方向性確定（条件付き）")</f>
        <v>0</v>
      </c>
      <c r="G36" s="91">
        <f>COUNTIFS(進捗一覧!$B$4:$B$295,$B36,進捗一覧!$L$4:$L$295,$C36,進捗一覧!$H$4:$H$295,"検討中")</f>
        <v>8</v>
      </c>
      <c r="H36" s="151">
        <f>COUNTIFS(進捗一覧!$B$4:$B$295,$B36,進捗一覧!$L$4:$L$295,$C36,進捗一覧!$H$4:$H$295,"外部待ち")</f>
        <v>0</v>
      </c>
    </row>
    <row r="37" spans="1:8">
      <c r="A37" s="86" t="s">
        <v>4381</v>
      </c>
      <c r="B37" s="90" t="s">
        <v>1769</v>
      </c>
      <c r="C37" s="90" t="s">
        <v>1798</v>
      </c>
      <c r="D37" s="91">
        <f>COUNTIFS(進捗一覧!$B$4:$B$295,$B37,進捗一覧!$L$4:$L$295,$C37)</f>
        <v>18</v>
      </c>
      <c r="E37" s="91">
        <f>COUNTIFS(進捗一覧!$B$4:$B$295,$B37,進捗一覧!$L$4:$L$295,$C37,進捗一覧!$H$4:$H$295,"確定")</f>
        <v>0</v>
      </c>
      <c r="F37" s="91">
        <f>COUNTIFS(進捗一覧!$B$4:$B$295,$B37,進捗一覧!$L$4:$L$295,$C37,進捗一覧!$H$4:$H$295,"方向性確定（条件付き）")</f>
        <v>0</v>
      </c>
      <c r="G37" s="91">
        <f>COUNTIFS(進捗一覧!$B$4:$B$295,$B37,進捗一覧!$L$4:$L$295,$C37,進捗一覧!$H$4:$H$295,"検討中")</f>
        <v>17</v>
      </c>
      <c r="H37" s="151">
        <f>COUNTIFS(進捗一覧!$B$4:$B$295,$B37,進捗一覧!$L$4:$L$295,$C37,進捗一覧!$H$4:$H$295,"外部待ち")</f>
        <v>0</v>
      </c>
    </row>
    <row r="38" spans="1:8">
      <c r="A38" s="86" t="s">
        <v>4382</v>
      </c>
      <c r="B38" s="90" t="s">
        <v>1769</v>
      </c>
      <c r="C38" s="90" t="s">
        <v>1799</v>
      </c>
      <c r="D38" s="91">
        <f>COUNTIFS(進捗一覧!$B$4:$B$295,$B38,進捗一覧!$L$4:$L$295,$C38)</f>
        <v>8</v>
      </c>
      <c r="E38" s="91">
        <f>COUNTIFS(進捗一覧!$B$4:$B$295,$B38,進捗一覧!$L$4:$L$295,$C38,進捗一覧!$H$4:$H$295,"確定")</f>
        <v>0</v>
      </c>
      <c r="F38" s="91">
        <f>COUNTIFS(進捗一覧!$B$4:$B$295,$B38,進捗一覧!$L$4:$L$295,$C38,進捗一覧!$H$4:$H$295,"方向性確定（条件付き）")</f>
        <v>0</v>
      </c>
      <c r="G38" s="91">
        <f>COUNTIFS(進捗一覧!$B$4:$B$295,$B38,進捗一覧!$L$4:$L$295,$C38,進捗一覧!$H$4:$H$295,"検討中")</f>
        <v>8</v>
      </c>
      <c r="H38" s="151">
        <f>COUNTIFS(進捗一覧!$B$4:$B$295,$B38,進捗一覧!$L$4:$L$295,$C38,進捗一覧!$H$4:$H$295,"外部待ち")</f>
        <v>0</v>
      </c>
    </row>
    <row r="39" spans="1:8">
      <c r="A39" s="86" t="s">
        <v>4383</v>
      </c>
      <c r="B39" s="93" t="s">
        <v>1769</v>
      </c>
      <c r="C39" s="93" t="s">
        <v>1800</v>
      </c>
      <c r="D39" s="94">
        <f>COUNTIFS(進捗一覧!$B$4:$B$295,$B39,進捗一覧!$L$4:$L$295,$C39)</f>
        <v>4</v>
      </c>
      <c r="E39" s="94">
        <f>COUNTIFS(進捗一覧!$B$4:$B$295,$B39,進捗一覧!$L$4:$L$295,$C39,進捗一覧!$H$4:$H$295,"確定")</f>
        <v>0</v>
      </c>
      <c r="F39" s="94">
        <f>COUNTIFS(進捗一覧!$B$4:$B$295,$B39,進捗一覧!$L$4:$L$295,$C39,進捗一覧!$H$4:$H$295,"方向性確定（条件付き）")</f>
        <v>0</v>
      </c>
      <c r="G39" s="94">
        <f>COUNTIFS(進捗一覧!$B$4:$B$295,$B39,進捗一覧!$L$4:$L$295,$C39,進捗一覧!$H$4:$H$295,"検討中")</f>
        <v>1</v>
      </c>
      <c r="H39" s="152">
        <f>COUNTIFS(進捗一覧!$B$4:$B$295,$B39,進捗一覧!$L$4:$L$295,$C39,進捗一覧!$H$4:$H$295,"外部待ち")</f>
        <v>3</v>
      </c>
    </row>
    <row r="40" spans="1:8">
      <c r="A40" s="92" t="s">
        <v>4384</v>
      </c>
      <c r="B40" s="117" t="s">
        <v>1769</v>
      </c>
      <c r="C40" s="117" t="s">
        <v>1801</v>
      </c>
      <c r="D40" s="153">
        <f>COUNTIFS(進捗一覧!$B$4:$B$295,$B40,進捗一覧!$L$4:$L$295,$C40)</f>
        <v>4</v>
      </c>
      <c r="E40" s="153">
        <f>COUNTIFS(進捗一覧!$B$4:$B$295,$B40,進捗一覧!$L$4:$L$295,$C40,進捗一覧!$H$4:$H$295,"確定")</f>
        <v>0</v>
      </c>
      <c r="F40" s="153">
        <f>COUNTIFS(進捗一覧!$B$4:$B$295,$B40,進捗一覧!$L$4:$L$295,$C40,進捗一覧!$H$4:$H$295,"方向性確定（条件付き）")</f>
        <v>0</v>
      </c>
      <c r="G40" s="153">
        <f>COUNTIFS(進捗一覧!$B$4:$B$295,$B40,進捗一覧!$L$4:$L$295,$C40,進捗一覧!$H$4:$H$295,"検討中")</f>
        <v>3</v>
      </c>
      <c r="H40" s="153">
        <f>COUNTIFS(進捗一覧!$B$4:$B$295,$B40,進捗一覧!$L$4:$L$295,$C40,進捗一覧!$H$4:$H$295,"外部待ち")</f>
        <v>0</v>
      </c>
    </row>
    <row r="42" spans="1:8">
      <c r="A42" s="85" t="s">
        <v>4385</v>
      </c>
      <c r="B42" s="61" t="s">
        <v>4386</v>
      </c>
      <c r="C42" s="61" t="s">
        <v>4387</v>
      </c>
      <c r="D42" s="62" t="s">
        <v>2173</v>
      </c>
    </row>
    <row r="43" spans="1:8">
      <c r="A43" s="60" t="s">
        <v>2172</v>
      </c>
      <c r="B43" s="90" t="s">
        <v>4388</v>
      </c>
      <c r="C43" s="90" t="s">
        <v>4389</v>
      </c>
      <c r="D43" s="95" t="s">
        <v>4390</v>
      </c>
    </row>
    <row r="44" spans="1:8">
      <c r="A44" s="86" t="s">
        <v>4391</v>
      </c>
      <c r="B44" s="90" t="s">
        <v>4392</v>
      </c>
      <c r="C44" s="90" t="s">
        <v>4393</v>
      </c>
      <c r="D44" s="95" t="s">
        <v>4394</v>
      </c>
    </row>
    <row r="45" spans="1:8">
      <c r="A45" s="86" t="s">
        <v>4395</v>
      </c>
      <c r="B45" s="90" t="s">
        <v>4333</v>
      </c>
      <c r="C45" s="90" t="s">
        <v>4396</v>
      </c>
      <c r="D45" s="95" t="s">
        <v>4397</v>
      </c>
    </row>
    <row r="46" spans="1:8">
      <c r="A46" s="86" t="s">
        <v>4398</v>
      </c>
      <c r="B46" s="90" t="s">
        <v>4229</v>
      </c>
      <c r="C46" s="90" t="s">
        <v>4399</v>
      </c>
      <c r="D46" s="95" t="s">
        <v>4397</v>
      </c>
    </row>
    <row r="47" spans="1:8">
      <c r="A47" s="86" t="s">
        <v>4398</v>
      </c>
      <c r="B47" s="90" t="s">
        <v>4340</v>
      </c>
      <c r="C47" s="90" t="s">
        <v>4400</v>
      </c>
      <c r="D47" s="95" t="s">
        <v>4394</v>
      </c>
    </row>
    <row r="48" spans="1:8">
      <c r="A48" s="86" t="s">
        <v>4398</v>
      </c>
      <c r="B48" s="90" t="s">
        <v>4401</v>
      </c>
      <c r="C48" s="90" t="s">
        <v>4402</v>
      </c>
      <c r="D48" s="95" t="s">
        <v>4397</v>
      </c>
    </row>
    <row r="49" spans="1:5">
      <c r="A49" s="86" t="s">
        <v>4403</v>
      </c>
      <c r="B49" s="90" t="s">
        <v>4309</v>
      </c>
      <c r="C49" s="90" t="s">
        <v>4404</v>
      </c>
      <c r="D49" s="95" t="s">
        <v>4397</v>
      </c>
    </row>
    <row r="50" spans="1:5">
      <c r="A50" s="86" t="s">
        <v>4405</v>
      </c>
      <c r="B50" s="90" t="s">
        <v>4311</v>
      </c>
      <c r="C50" s="90" t="s">
        <v>4406</v>
      </c>
      <c r="D50" s="95" t="s">
        <v>4397</v>
      </c>
    </row>
    <row r="51" spans="1:5">
      <c r="A51" s="86" t="s">
        <v>4405</v>
      </c>
      <c r="B51" s="90" t="s">
        <v>4407</v>
      </c>
      <c r="C51" s="90" t="s">
        <v>4408</v>
      </c>
      <c r="D51" s="95" t="s">
        <v>4409</v>
      </c>
    </row>
    <row r="52" spans="1:5">
      <c r="A52" s="86" t="s">
        <v>4410</v>
      </c>
      <c r="B52" s="93" t="s">
        <v>4411</v>
      </c>
      <c r="C52" s="93" t="s">
        <v>4412</v>
      </c>
      <c r="D52" s="96" t="s">
        <v>4409</v>
      </c>
    </row>
    <row r="53" spans="1:5">
      <c r="A53" s="92" t="s">
        <v>4410</v>
      </c>
    </row>
    <row r="55" spans="1:5">
      <c r="A55" s="97" t="s">
        <v>4413</v>
      </c>
      <c r="B55" s="61" t="s">
        <v>4414</v>
      </c>
      <c r="C55" s="61" t="s">
        <v>4415</v>
      </c>
      <c r="D55" s="62" t="s">
        <v>4416</v>
      </c>
    </row>
    <row r="56" spans="1:5">
      <c r="A56" s="60" t="s">
        <v>4417</v>
      </c>
      <c r="B56" s="87"/>
      <c r="C56" s="98"/>
      <c r="D56" s="95" t="s">
        <v>4418</v>
      </c>
    </row>
    <row r="57" spans="1:5">
      <c r="A57" s="86" t="s">
        <v>667</v>
      </c>
      <c r="B57" s="87">
        <f>COUNTIF(要件→設計!$G$5:$G$183,$A57)</f>
        <v>114</v>
      </c>
      <c r="C57" s="98">
        <f>IFERROR(B57/$B$62,"-")</f>
        <v>0.63687150837988826</v>
      </c>
      <c r="D57" s="95" t="s">
        <v>4419</v>
      </c>
    </row>
    <row r="58" spans="1:5">
      <c r="A58" s="86" t="s">
        <v>659</v>
      </c>
      <c r="B58" s="87">
        <f>COUNTIF(要件→設計!$G$5:$G$183,$A58)</f>
        <v>47</v>
      </c>
      <c r="C58" s="98">
        <f>IFERROR(B58/$B$62,"-")</f>
        <v>0.26256983240223464</v>
      </c>
      <c r="D58" s="99" t="s">
        <v>4420</v>
      </c>
    </row>
    <row r="59" spans="1:5">
      <c r="A59" s="86" t="s">
        <v>662</v>
      </c>
      <c r="B59" s="87">
        <f>COUNTIF(要件→設計!$G$5:$G$183,$A59)</f>
        <v>1</v>
      </c>
      <c r="C59" s="98">
        <f>IFERROR(B59/$B$62,"-")</f>
        <v>5.5865921787709499E-3</v>
      </c>
      <c r="D59" s="95" t="s">
        <v>4421</v>
      </c>
    </row>
    <row r="60" spans="1:5">
      <c r="A60" s="86" t="s">
        <v>674</v>
      </c>
      <c r="B60" s="87">
        <f>COUNTIF(要件→設計!$G$5:$G$183,$A60)</f>
        <v>17</v>
      </c>
      <c r="C60" s="98">
        <f>IFERROR(B60/$B$62,"-")</f>
        <v>9.4972067039106142E-2</v>
      </c>
      <c r="D60" s="100" t="s">
        <v>4422</v>
      </c>
    </row>
    <row r="61" spans="1:5">
      <c r="A61" s="86" t="s">
        <v>4423</v>
      </c>
      <c r="B61" s="89">
        <f>COUNTIF(要件→設計!$G$5:$G$183,$A61)</f>
        <v>0</v>
      </c>
      <c r="C61" s="101">
        <f>IFERROR(B61/$B$62,"-")</f>
        <v>0</v>
      </c>
      <c r="D61" s="96"/>
      <c r="E61" s="63"/>
    </row>
    <row r="62" spans="1:5">
      <c r="A62" s="88" t="s">
        <v>4360</v>
      </c>
      <c r="B62" s="34">
        <f>SUM(B57:B61)</f>
        <v>179</v>
      </c>
      <c r="C62" s="116">
        <f>IFERROR(B62/B62,"-")</f>
        <v>1</v>
      </c>
      <c r="E62" s="34" t="str">
        <f>IF(B62=COUNTA(要件→設計!$A$5:$A$183),"✓ マッピング行数と一致","⚠ 不一致")</f>
        <v>✓ マッピング行数と一致</v>
      </c>
    </row>
    <row r="65" spans="1:5">
      <c r="A65" s="85" t="s">
        <v>4424</v>
      </c>
      <c r="B65" s="61" t="s">
        <v>4414</v>
      </c>
      <c r="C65" s="61" t="s">
        <v>4415</v>
      </c>
      <c r="D65" s="62" t="s">
        <v>4425</v>
      </c>
    </row>
    <row r="66" spans="1:5">
      <c r="A66" s="60" t="s">
        <v>2172</v>
      </c>
      <c r="B66" s="87"/>
      <c r="C66" s="98"/>
      <c r="D66" s="95" t="s">
        <v>4426</v>
      </c>
    </row>
    <row r="67" spans="1:5">
      <c r="A67" s="86" t="s">
        <v>4427</v>
      </c>
      <c r="B67" s="87">
        <f>COUNTA(設計決定一覧!$A$5:$A$189)-COUNTA(設計→要件!$A$6:$A$55)</f>
        <v>135</v>
      </c>
      <c r="C67" s="98">
        <f>IFERROR(B67/$B$73,"-")</f>
        <v>0.72972972972972971</v>
      </c>
      <c r="D67" s="99" t="s">
        <v>4428</v>
      </c>
    </row>
    <row r="68" spans="1:5">
      <c r="A68" s="86" t="s">
        <v>4429</v>
      </c>
      <c r="B68" s="87">
        <f>COUNTIF(設計→要件!$D$6:$D$55,$A68)</f>
        <v>11</v>
      </c>
      <c r="C68" s="98">
        <f>IFERROR(B68/$B$73,"-")</f>
        <v>5.9459459459459463E-2</v>
      </c>
      <c r="D68" s="100" t="s">
        <v>4430</v>
      </c>
    </row>
    <row r="69" spans="1:5">
      <c r="A69" s="86" t="s">
        <v>4431</v>
      </c>
      <c r="B69" s="87">
        <f>COUNTIF(設計→要件!$D$6:$D$55,$A69)</f>
        <v>14</v>
      </c>
      <c r="C69" s="98">
        <f>IFERROR(B69/$B$73,"-")</f>
        <v>7.567567567567568E-2</v>
      </c>
      <c r="D69" s="102" t="s">
        <v>4432</v>
      </c>
    </row>
    <row r="70" spans="1:5">
      <c r="A70" s="86" t="s">
        <v>4433</v>
      </c>
      <c r="B70" s="87">
        <f>COUNTIF(設計→要件!$D$6:$D$55,$A70)</f>
        <v>1</v>
      </c>
      <c r="C70" s="98">
        <f>IFERROR(B70/$B$73,"-")</f>
        <v>5.4054054054054057E-3</v>
      </c>
      <c r="D70" s="95" t="s">
        <v>4434</v>
      </c>
    </row>
    <row r="71" spans="1:5">
      <c r="A71" s="86" t="s">
        <v>4435</v>
      </c>
      <c r="B71" s="87">
        <f>COUNTIF(設計→要件!$D$6:$D$55,$A71)</f>
        <v>23</v>
      </c>
      <c r="C71" s="98">
        <f>IFERROR(B71/$B$73,"-")</f>
        <v>0.12432432432432433</v>
      </c>
      <c r="D71" s="95" t="s">
        <v>4436</v>
      </c>
    </row>
    <row r="72" spans="1:5">
      <c r="A72" s="86" t="s">
        <v>4437</v>
      </c>
      <c r="B72" s="89">
        <f>COUNTIF(設計→要件!$D$6:$D$55,$A72)</f>
        <v>1</v>
      </c>
      <c r="C72" s="101">
        <f>IFERROR(B72/$B$73,"-")</f>
        <v>5.4054054054054057E-3</v>
      </c>
      <c r="D72" s="96"/>
      <c r="E72" s="63"/>
    </row>
    <row r="73" spans="1:5">
      <c r="A73" s="88" t="s">
        <v>4360</v>
      </c>
      <c r="B73" s="34">
        <f>SUM(B67:B72)</f>
        <v>185</v>
      </c>
      <c r="C73" s="116">
        <f>IFERROR(B73/$B$73,"-")</f>
        <v>1</v>
      </c>
      <c r="E73" s="34" t="str">
        <f>IF(B73=COUNTA(設計決定一覧!$A$5:$A$189),"✓ 設計決定の総数と一致","⚠ 不一致")</f>
        <v>✓ 設計決定の総数と一致</v>
      </c>
    </row>
    <row r="74" spans="1:5">
      <c r="B74" s="104"/>
    </row>
    <row r="75" spans="1:5" ht="75">
      <c r="A75" s="103" t="s">
        <v>4438</v>
      </c>
      <c r="B75" s="106" t="s">
        <v>4439</v>
      </c>
    </row>
    <row r="76" spans="1:5" ht="60">
      <c r="A76" s="105" t="s">
        <v>4020</v>
      </c>
      <c r="B76" s="107" t="s">
        <v>4440</v>
      </c>
    </row>
    <row r="77" spans="1:5" ht="60">
      <c r="A77" s="105" t="s">
        <v>4441</v>
      </c>
      <c r="B77" s="106" t="s">
        <v>4442</v>
      </c>
    </row>
    <row r="78" spans="1:5" ht="60">
      <c r="A78" s="108" t="s">
        <v>4443</v>
      </c>
      <c r="B78" s="106" t="s">
        <v>4444</v>
      </c>
    </row>
    <row r="79" spans="1:5" ht="75">
      <c r="A79" s="108" t="s">
        <v>4445</v>
      </c>
      <c r="B79" s="109" t="s">
        <v>4446</v>
      </c>
    </row>
    <row r="80" spans="1:5">
      <c r="A80" s="108" t="s">
        <v>4447</v>
      </c>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P295"/>
  <sheetViews>
    <sheetView tabSelected="1" zoomScale="113" workbookViewId="0">
      <pane ySplit="3" topLeftCell="A4" activePane="bottomLeft" state="frozen"/>
      <selection activeCell="D1" sqref="D1"/>
      <selection pane="bottomLeft" activeCell="D14" sqref="D14"/>
    </sheetView>
  </sheetViews>
  <sheetFormatPr baseColWidth="10" defaultRowHeight="15"/>
  <cols>
    <col min="1" max="1" width="13.5703125" style="65" customWidth="1"/>
    <col min="2" max="2" width="14.28515625" style="65" customWidth="1"/>
    <col min="3" max="3" width="21.42578125" style="65" customWidth="1"/>
    <col min="4" max="4" width="40" style="65" customWidth="1"/>
    <col min="5" max="5" width="57.140625" style="65" customWidth="1"/>
    <col min="6" max="6" width="68.5703125" style="211" customWidth="1"/>
    <col min="7" max="7" width="42.85546875" style="65" customWidth="1"/>
    <col min="8" max="8" width="20" style="65" customWidth="1"/>
    <col min="9" max="9" width="25.7109375" style="65" customWidth="1"/>
    <col min="10" max="10" width="61.42578125" style="65" customWidth="1"/>
    <col min="11" max="11" width="27.140625" style="65" customWidth="1"/>
    <col min="12" max="12" width="15" style="65" customWidth="1"/>
    <col min="13" max="13" width="18.5703125" style="65" customWidth="1"/>
    <col min="14" max="14" width="48.5703125" style="212" customWidth="1"/>
    <col min="15" max="15" width="31.42578125" style="65" customWidth="1"/>
    <col min="16" max="16" width="25" style="65" customWidth="1"/>
    <col min="17" max="16384" width="10.7109375" style="65"/>
  </cols>
  <sheetData>
    <row r="1" spans="1:16">
      <c r="A1" s="64" t="s">
        <v>0</v>
      </c>
      <c r="C1" s="64"/>
    </row>
    <row r="3" spans="1:16" ht="26" customHeight="1">
      <c r="A3" s="136" t="s">
        <v>2154</v>
      </c>
      <c r="B3" s="80" t="s">
        <v>1116</v>
      </c>
      <c r="C3" s="80" t="s">
        <v>1115</v>
      </c>
      <c r="D3" s="80" t="s">
        <v>7</v>
      </c>
      <c r="E3" s="80" t="s">
        <v>410</v>
      </c>
      <c r="F3" s="80" t="s">
        <v>8</v>
      </c>
      <c r="G3" s="80" t="s">
        <v>2817</v>
      </c>
      <c r="H3" s="80" t="s">
        <v>1117</v>
      </c>
      <c r="I3" s="80" t="s">
        <v>2821</v>
      </c>
      <c r="J3" s="80" t="s">
        <v>2822</v>
      </c>
      <c r="K3" s="80" t="s">
        <v>5</v>
      </c>
      <c r="L3" s="80" t="s">
        <v>6</v>
      </c>
      <c r="M3" s="38" t="s">
        <v>3051</v>
      </c>
      <c r="N3" s="80" t="s">
        <v>2784</v>
      </c>
      <c r="O3" s="80" t="s">
        <v>9</v>
      </c>
      <c r="P3" s="80" t="s">
        <v>4499</v>
      </c>
    </row>
    <row r="4" spans="1:16">
      <c r="A4" s="244" t="s">
        <v>3256</v>
      </c>
      <c r="B4" s="42" t="s">
        <v>1767</v>
      </c>
      <c r="C4" s="41" t="s">
        <v>3257</v>
      </c>
      <c r="D4" s="41" t="s">
        <v>2777</v>
      </c>
      <c r="E4" s="41" t="s">
        <v>2785</v>
      </c>
      <c r="F4" s="41" t="s">
        <v>4679</v>
      </c>
      <c r="G4" s="215" t="s">
        <v>3258</v>
      </c>
      <c r="H4" s="42" t="s">
        <v>1771</v>
      </c>
      <c r="I4" s="246" t="s">
        <v>3259</v>
      </c>
      <c r="J4" s="247" t="s">
        <v>3050</v>
      </c>
      <c r="K4" s="137" t="s">
        <v>3260</v>
      </c>
      <c r="L4" s="40" t="s">
        <v>3261</v>
      </c>
      <c r="M4" s="242" t="s">
        <v>3262</v>
      </c>
      <c r="N4" s="213" t="s">
        <v>2786</v>
      </c>
      <c r="O4" s="139" t="s">
        <v>3263</v>
      </c>
      <c r="P4" s="250"/>
    </row>
    <row r="5" spans="1:16">
      <c r="A5" s="244" t="s">
        <v>3256</v>
      </c>
      <c r="B5" s="42" t="s">
        <v>1767</v>
      </c>
      <c r="C5" s="41" t="s">
        <v>3257</v>
      </c>
      <c r="D5" s="41" t="s">
        <v>2779</v>
      </c>
      <c r="E5" s="41" t="s">
        <v>2778</v>
      </c>
      <c r="F5" s="41" t="s">
        <v>4680</v>
      </c>
      <c r="G5" s="215" t="s">
        <v>3258</v>
      </c>
      <c r="H5" s="42" t="s">
        <v>1771</v>
      </c>
      <c r="I5" s="246" t="s">
        <v>3259</v>
      </c>
      <c r="J5" s="247" t="s">
        <v>3050</v>
      </c>
      <c r="K5" s="137" t="s">
        <v>3260</v>
      </c>
      <c r="L5" s="40" t="s">
        <v>3264</v>
      </c>
      <c r="M5" s="242" t="s">
        <v>3262</v>
      </c>
      <c r="N5" s="213" t="s">
        <v>2786</v>
      </c>
      <c r="O5" s="139" t="s">
        <v>3263</v>
      </c>
      <c r="P5" s="250"/>
    </row>
    <row r="6" spans="1:16">
      <c r="A6" s="244" t="s">
        <v>3256</v>
      </c>
      <c r="B6" s="42" t="s">
        <v>1767</v>
      </c>
      <c r="C6" s="41" t="s">
        <v>3257</v>
      </c>
      <c r="D6" s="41" t="s">
        <v>2780</v>
      </c>
      <c r="E6" s="41" t="s">
        <v>3265</v>
      </c>
      <c r="F6" s="41" t="s">
        <v>4681</v>
      </c>
      <c r="G6" s="215" t="s">
        <v>3258</v>
      </c>
      <c r="H6" s="42" t="s">
        <v>1771</v>
      </c>
      <c r="I6" s="246" t="s">
        <v>3259</v>
      </c>
      <c r="J6" s="247" t="s">
        <v>3050</v>
      </c>
      <c r="K6" s="137" t="s">
        <v>3260</v>
      </c>
      <c r="L6" s="40" t="s">
        <v>3266</v>
      </c>
      <c r="M6" s="242" t="s">
        <v>3262</v>
      </c>
      <c r="N6" s="213" t="s">
        <v>3267</v>
      </c>
      <c r="O6" s="139" t="s">
        <v>3263</v>
      </c>
      <c r="P6" s="250"/>
    </row>
    <row r="7" spans="1:16">
      <c r="A7" s="244" t="s">
        <v>3256</v>
      </c>
      <c r="B7" s="42" t="s">
        <v>1767</v>
      </c>
      <c r="C7" s="41" t="s">
        <v>3257</v>
      </c>
      <c r="D7" s="41" t="s">
        <v>2782</v>
      </c>
      <c r="E7" s="41" t="s">
        <v>2781</v>
      </c>
      <c r="F7" s="41" t="s">
        <v>4682</v>
      </c>
      <c r="G7" s="215" t="s">
        <v>3268</v>
      </c>
      <c r="H7" s="42" t="s">
        <v>674</v>
      </c>
      <c r="I7" s="246" t="s">
        <v>3269</v>
      </c>
      <c r="J7" s="247" t="s">
        <v>3050</v>
      </c>
      <c r="K7" s="137" t="s">
        <v>3260</v>
      </c>
      <c r="L7" s="40" t="s">
        <v>3270</v>
      </c>
      <c r="M7" s="242" t="s">
        <v>3262</v>
      </c>
      <c r="N7" s="213" t="s">
        <v>3271</v>
      </c>
      <c r="O7" s="139" t="s">
        <v>3263</v>
      </c>
      <c r="P7" s="250"/>
    </row>
    <row r="8" spans="1:16" ht="112" customHeight="1">
      <c r="A8" s="244" t="s">
        <v>3256</v>
      </c>
      <c r="B8" s="42" t="s">
        <v>1767</v>
      </c>
      <c r="C8" s="41" t="s">
        <v>3257</v>
      </c>
      <c r="D8" s="41" t="s">
        <v>2783</v>
      </c>
      <c r="E8" s="41" t="s">
        <v>3272</v>
      </c>
      <c r="F8" s="41" t="s">
        <v>4683</v>
      </c>
      <c r="G8" s="215" t="s">
        <v>3273</v>
      </c>
      <c r="H8" s="42" t="s">
        <v>1774</v>
      </c>
      <c r="I8" s="246" t="s">
        <v>3274</v>
      </c>
      <c r="J8" s="247" t="s">
        <v>4684</v>
      </c>
      <c r="K8" s="137" t="s">
        <v>3260</v>
      </c>
      <c r="L8" s="40" t="s">
        <v>3275</v>
      </c>
      <c r="M8" s="242" t="s">
        <v>3262</v>
      </c>
      <c r="N8" s="213" t="s">
        <v>2787</v>
      </c>
      <c r="O8" s="139" t="s">
        <v>3263</v>
      </c>
      <c r="P8" s="250"/>
    </row>
    <row r="9" spans="1:16" ht="135">
      <c r="A9" s="244" t="s">
        <v>3256</v>
      </c>
      <c r="B9" s="42" t="s">
        <v>1767</v>
      </c>
      <c r="C9" s="41" t="s">
        <v>3257</v>
      </c>
      <c r="D9" s="41" t="s">
        <v>409</v>
      </c>
      <c r="E9" s="41" t="s">
        <v>3276</v>
      </c>
      <c r="F9" s="41" t="s">
        <v>4685</v>
      </c>
      <c r="G9" s="215" t="s">
        <v>4686</v>
      </c>
      <c r="H9" s="42" t="s">
        <v>674</v>
      </c>
      <c r="I9" s="246" t="s">
        <v>3269</v>
      </c>
      <c r="J9" s="247" t="s">
        <v>4687</v>
      </c>
      <c r="K9" s="137" t="s">
        <v>3260</v>
      </c>
      <c r="L9" s="40" t="s">
        <v>3277</v>
      </c>
      <c r="M9" s="242" t="s">
        <v>3262</v>
      </c>
      <c r="N9" s="213" t="s">
        <v>3278</v>
      </c>
      <c r="O9" s="139" t="s">
        <v>3263</v>
      </c>
      <c r="P9" s="250"/>
    </row>
    <row r="10" spans="1:16">
      <c r="A10" s="244" t="s">
        <v>3256</v>
      </c>
      <c r="B10" s="42" t="s">
        <v>1767</v>
      </c>
      <c r="C10" s="41" t="s">
        <v>3257</v>
      </c>
      <c r="D10" s="41" t="s">
        <v>3279</v>
      </c>
      <c r="E10" s="41" t="s">
        <v>3280</v>
      </c>
      <c r="F10" s="41" t="s">
        <v>3052</v>
      </c>
      <c r="G10" s="215" t="s">
        <v>3053</v>
      </c>
      <c r="H10" s="42" t="s">
        <v>2798</v>
      </c>
      <c r="I10" s="246" t="s">
        <v>3294</v>
      </c>
      <c r="J10" s="247" t="s">
        <v>3050</v>
      </c>
      <c r="K10" s="137" t="s">
        <v>3260</v>
      </c>
      <c r="L10" s="40" t="s">
        <v>3281</v>
      </c>
      <c r="M10" s="242" t="s">
        <v>3262</v>
      </c>
      <c r="N10" s="213" t="s">
        <v>3278</v>
      </c>
      <c r="O10" s="139" t="s">
        <v>3263</v>
      </c>
      <c r="P10" s="250" t="s">
        <v>4500</v>
      </c>
    </row>
    <row r="11" spans="1:16">
      <c r="A11" s="244" t="s">
        <v>3256</v>
      </c>
      <c r="B11" s="42" t="s">
        <v>1767</v>
      </c>
      <c r="C11" s="41" t="s">
        <v>3257</v>
      </c>
      <c r="D11" s="41" t="s">
        <v>3282</v>
      </c>
      <c r="E11" s="41" t="s">
        <v>3283</v>
      </c>
      <c r="F11" s="41" t="s">
        <v>4688</v>
      </c>
      <c r="G11" s="215" t="s">
        <v>3258</v>
      </c>
      <c r="H11" s="42" t="s">
        <v>1771</v>
      </c>
      <c r="I11" s="246" t="s">
        <v>3259</v>
      </c>
      <c r="J11" s="247" t="s">
        <v>3050</v>
      </c>
      <c r="K11" s="137" t="s">
        <v>3260</v>
      </c>
      <c r="L11" s="40" t="s">
        <v>3284</v>
      </c>
      <c r="M11" s="242" t="s">
        <v>3262</v>
      </c>
      <c r="N11" s="213" t="s">
        <v>2786</v>
      </c>
      <c r="O11" s="139" t="s">
        <v>3263</v>
      </c>
      <c r="P11" s="250"/>
    </row>
    <row r="12" spans="1:16">
      <c r="A12" s="244" t="s">
        <v>3256</v>
      </c>
      <c r="B12" s="42" t="s">
        <v>1767</v>
      </c>
      <c r="C12" s="41" t="s">
        <v>3257</v>
      </c>
      <c r="D12" s="41" t="s">
        <v>3285</v>
      </c>
      <c r="E12" s="41" t="s">
        <v>3286</v>
      </c>
      <c r="F12" s="41" t="s">
        <v>4689</v>
      </c>
      <c r="G12" s="215" t="s">
        <v>3258</v>
      </c>
      <c r="H12" s="42" t="s">
        <v>1771</v>
      </c>
      <c r="I12" s="246" t="s">
        <v>3259</v>
      </c>
      <c r="J12" s="247" t="s">
        <v>3050</v>
      </c>
      <c r="K12" s="137" t="s">
        <v>3287</v>
      </c>
      <c r="L12" s="40" t="s">
        <v>3288</v>
      </c>
      <c r="M12" s="242" t="s">
        <v>3262</v>
      </c>
      <c r="N12" s="213" t="s">
        <v>3289</v>
      </c>
      <c r="O12" s="139" t="s">
        <v>3290</v>
      </c>
      <c r="P12" s="250"/>
    </row>
    <row r="13" spans="1:16" ht="112" customHeight="1">
      <c r="A13" s="244" t="s">
        <v>3256</v>
      </c>
      <c r="B13" s="42" t="s">
        <v>1767</v>
      </c>
      <c r="C13" s="41" t="s">
        <v>3257</v>
      </c>
      <c r="D13" s="41" t="s">
        <v>3291</v>
      </c>
      <c r="E13" s="41" t="s">
        <v>3292</v>
      </c>
      <c r="F13" s="41" t="s">
        <v>4661</v>
      </c>
      <c r="G13" s="215" t="s">
        <v>3293</v>
      </c>
      <c r="H13" s="42" t="s">
        <v>1774</v>
      </c>
      <c r="I13" s="246" t="s">
        <v>3294</v>
      </c>
      <c r="J13" s="247" t="s">
        <v>4690</v>
      </c>
      <c r="K13" s="137" t="s">
        <v>3287</v>
      </c>
      <c r="L13" s="40" t="s">
        <v>3295</v>
      </c>
      <c r="M13" s="242" t="s">
        <v>3262</v>
      </c>
      <c r="N13" s="213" t="s">
        <v>2788</v>
      </c>
      <c r="O13" s="139" t="s">
        <v>3290</v>
      </c>
      <c r="P13" s="250"/>
    </row>
    <row r="14" spans="1:16" ht="140" customHeight="1">
      <c r="A14" s="244" t="s">
        <v>3256</v>
      </c>
      <c r="B14" s="42" t="s">
        <v>1767</v>
      </c>
      <c r="C14" s="41" t="s">
        <v>3257</v>
      </c>
      <c r="D14" s="41" t="s">
        <v>3296</v>
      </c>
      <c r="E14" s="41" t="s">
        <v>3297</v>
      </c>
      <c r="F14" s="41" t="s">
        <v>4691</v>
      </c>
      <c r="G14" s="215" t="s">
        <v>3293</v>
      </c>
      <c r="H14" s="42" t="s">
        <v>1774</v>
      </c>
      <c r="I14" s="246" t="s">
        <v>3294</v>
      </c>
      <c r="J14" s="247" t="s">
        <v>4692</v>
      </c>
      <c r="K14" s="137" t="s">
        <v>3287</v>
      </c>
      <c r="L14" s="40" t="s">
        <v>3298</v>
      </c>
      <c r="M14" s="242" t="s">
        <v>3262</v>
      </c>
      <c r="N14" s="213" t="s">
        <v>2788</v>
      </c>
      <c r="O14" s="139" t="s">
        <v>3290</v>
      </c>
      <c r="P14" s="250"/>
    </row>
    <row r="15" spans="1:16" ht="98" customHeight="1">
      <c r="A15" s="244" t="s">
        <v>3256</v>
      </c>
      <c r="B15" s="42" t="s">
        <v>1767</v>
      </c>
      <c r="C15" s="41" t="s">
        <v>3257</v>
      </c>
      <c r="D15" s="41" t="s">
        <v>3299</v>
      </c>
      <c r="E15" s="41" t="s">
        <v>3300</v>
      </c>
      <c r="F15" s="41" t="s">
        <v>4693</v>
      </c>
      <c r="G15" s="215" t="s">
        <v>3293</v>
      </c>
      <c r="H15" s="42" t="s">
        <v>1774</v>
      </c>
      <c r="I15" s="246" t="s">
        <v>3294</v>
      </c>
      <c r="J15" s="247" t="s">
        <v>4660</v>
      </c>
      <c r="K15" s="137" t="s">
        <v>3287</v>
      </c>
      <c r="L15" s="40" t="s">
        <v>3301</v>
      </c>
      <c r="M15" s="242" t="s">
        <v>3262</v>
      </c>
      <c r="N15" s="213" t="s">
        <v>2788</v>
      </c>
      <c r="O15" s="139" t="s">
        <v>3290</v>
      </c>
      <c r="P15" s="250"/>
    </row>
    <row r="16" spans="1:16" ht="112" customHeight="1">
      <c r="A16" s="244" t="s">
        <v>3256</v>
      </c>
      <c r="B16" s="42" t="s">
        <v>1767</v>
      </c>
      <c r="C16" s="41" t="s">
        <v>3257</v>
      </c>
      <c r="D16" s="41" t="s">
        <v>3302</v>
      </c>
      <c r="E16" s="41" t="s">
        <v>3303</v>
      </c>
      <c r="F16" s="41" t="s">
        <v>4694</v>
      </c>
      <c r="G16" s="215" t="s">
        <v>3293</v>
      </c>
      <c r="H16" s="42" t="s">
        <v>1774</v>
      </c>
      <c r="I16" s="246" t="s">
        <v>3294</v>
      </c>
      <c r="J16" s="247" t="s">
        <v>4695</v>
      </c>
      <c r="K16" s="137" t="s">
        <v>3287</v>
      </c>
      <c r="L16" s="40" t="s">
        <v>3304</v>
      </c>
      <c r="M16" s="242" t="s">
        <v>3262</v>
      </c>
      <c r="N16" s="213" t="s">
        <v>2788</v>
      </c>
      <c r="O16" s="139" t="s">
        <v>3290</v>
      </c>
      <c r="P16" s="250"/>
    </row>
    <row r="17" spans="1:16" ht="84" customHeight="1">
      <c r="A17" s="244" t="s">
        <v>3256</v>
      </c>
      <c r="B17" s="42" t="s">
        <v>1767</v>
      </c>
      <c r="C17" s="41" t="s">
        <v>3257</v>
      </c>
      <c r="D17" s="41" t="s">
        <v>3305</v>
      </c>
      <c r="E17" s="41" t="s">
        <v>3306</v>
      </c>
      <c r="F17" s="41" t="s">
        <v>4696</v>
      </c>
      <c r="G17" s="215" t="s">
        <v>3293</v>
      </c>
      <c r="H17" s="42" t="s">
        <v>1774</v>
      </c>
      <c r="I17" s="246" t="s">
        <v>3294</v>
      </c>
      <c r="J17" s="247" t="s">
        <v>4697</v>
      </c>
      <c r="K17" s="137" t="s">
        <v>3287</v>
      </c>
      <c r="L17" s="40" t="s">
        <v>3307</v>
      </c>
      <c r="M17" s="242" t="s">
        <v>3262</v>
      </c>
      <c r="N17" s="213" t="s">
        <v>2788</v>
      </c>
      <c r="O17" s="139" t="s">
        <v>3290</v>
      </c>
      <c r="P17" s="250"/>
    </row>
    <row r="18" spans="1:16" ht="120">
      <c r="A18" s="244" t="s">
        <v>3256</v>
      </c>
      <c r="B18" s="42" t="s">
        <v>1767</v>
      </c>
      <c r="C18" s="41" t="s">
        <v>3391</v>
      </c>
      <c r="D18" s="41" t="s">
        <v>3392</v>
      </c>
      <c r="E18" s="41" t="s">
        <v>3393</v>
      </c>
      <c r="F18" s="41" t="s">
        <v>4698</v>
      </c>
      <c r="G18" s="215" t="s">
        <v>3293</v>
      </c>
      <c r="H18" s="42" t="s">
        <v>1774</v>
      </c>
      <c r="I18" s="246" t="s">
        <v>3294</v>
      </c>
      <c r="J18" s="247" t="s">
        <v>4699</v>
      </c>
      <c r="K18" s="137" t="s">
        <v>3394</v>
      </c>
      <c r="L18" s="40" t="s">
        <v>3395</v>
      </c>
      <c r="M18" s="242" t="s">
        <v>3262</v>
      </c>
      <c r="N18" s="213" t="s">
        <v>2788</v>
      </c>
      <c r="O18" s="139" t="s">
        <v>3396</v>
      </c>
      <c r="P18" s="250"/>
    </row>
    <row r="19" spans="1:16" ht="84" customHeight="1">
      <c r="A19" s="244" t="s">
        <v>3256</v>
      </c>
      <c r="B19" s="42" t="s">
        <v>1767</v>
      </c>
      <c r="C19" s="41" t="s">
        <v>3391</v>
      </c>
      <c r="D19" s="41" t="s">
        <v>3397</v>
      </c>
      <c r="E19" s="41" t="s">
        <v>3398</v>
      </c>
      <c r="F19" s="41" t="s">
        <v>4700</v>
      </c>
      <c r="G19" s="215" t="s">
        <v>3293</v>
      </c>
      <c r="H19" s="42" t="s">
        <v>1774</v>
      </c>
      <c r="I19" s="246" t="s">
        <v>3294</v>
      </c>
      <c r="J19" s="247" t="s">
        <v>4701</v>
      </c>
      <c r="K19" s="137" t="s">
        <v>3394</v>
      </c>
      <c r="L19" s="40" t="s">
        <v>3399</v>
      </c>
      <c r="M19" s="242" t="s">
        <v>3262</v>
      </c>
      <c r="N19" s="213" t="s">
        <v>2788</v>
      </c>
      <c r="O19" s="139" t="s">
        <v>3396</v>
      </c>
      <c r="P19" s="250"/>
    </row>
    <row r="20" spans="1:16" ht="98" customHeight="1">
      <c r="A20" s="244" t="s">
        <v>3256</v>
      </c>
      <c r="B20" s="42" t="s">
        <v>1767</v>
      </c>
      <c r="C20" s="41" t="s">
        <v>3391</v>
      </c>
      <c r="D20" s="41" t="s">
        <v>3400</v>
      </c>
      <c r="E20" s="41" t="s">
        <v>3401</v>
      </c>
      <c r="F20" s="41" t="s">
        <v>4702</v>
      </c>
      <c r="G20" s="215" t="s">
        <v>3293</v>
      </c>
      <c r="H20" s="42" t="s">
        <v>1774</v>
      </c>
      <c r="I20" s="246" t="s">
        <v>3294</v>
      </c>
      <c r="J20" s="247" t="s">
        <v>4703</v>
      </c>
      <c r="K20" s="137" t="s">
        <v>3394</v>
      </c>
      <c r="L20" s="40" t="s">
        <v>3402</v>
      </c>
      <c r="M20" s="242" t="s">
        <v>3262</v>
      </c>
      <c r="N20" s="213" t="s">
        <v>2788</v>
      </c>
      <c r="O20" s="139" t="s">
        <v>3396</v>
      </c>
      <c r="P20" s="250"/>
    </row>
    <row r="21" spans="1:16" ht="98" customHeight="1">
      <c r="A21" s="244" t="s">
        <v>3256</v>
      </c>
      <c r="B21" s="42" t="s">
        <v>1767</v>
      </c>
      <c r="C21" s="41" t="s">
        <v>3391</v>
      </c>
      <c r="D21" s="41" t="s">
        <v>3403</v>
      </c>
      <c r="E21" s="41" t="s">
        <v>3404</v>
      </c>
      <c r="F21" s="41" t="s">
        <v>4704</v>
      </c>
      <c r="G21" s="215" t="s">
        <v>3293</v>
      </c>
      <c r="H21" s="42" t="s">
        <v>1774</v>
      </c>
      <c r="I21" s="246" t="s">
        <v>3294</v>
      </c>
      <c r="J21" s="247" t="s">
        <v>4705</v>
      </c>
      <c r="K21" s="137" t="s">
        <v>3394</v>
      </c>
      <c r="L21" s="40" t="s">
        <v>3405</v>
      </c>
      <c r="M21" s="242" t="s">
        <v>3262</v>
      </c>
      <c r="N21" s="213" t="s">
        <v>2788</v>
      </c>
      <c r="O21" s="139" t="s">
        <v>3396</v>
      </c>
      <c r="P21" s="250"/>
    </row>
    <row r="22" spans="1:16" ht="84" customHeight="1">
      <c r="A22" s="244" t="s">
        <v>3256</v>
      </c>
      <c r="B22" s="42" t="s">
        <v>1767</v>
      </c>
      <c r="C22" s="41" t="s">
        <v>3391</v>
      </c>
      <c r="D22" s="41" t="s">
        <v>3406</v>
      </c>
      <c r="E22" s="41" t="s">
        <v>3407</v>
      </c>
      <c r="F22" s="41" t="s">
        <v>4702</v>
      </c>
      <c r="G22" s="215" t="s">
        <v>3273</v>
      </c>
      <c r="H22" s="42" t="s">
        <v>1774</v>
      </c>
      <c r="I22" s="246" t="s">
        <v>2819</v>
      </c>
      <c r="J22" s="247" t="s">
        <v>4706</v>
      </c>
      <c r="K22" s="137" t="s">
        <v>3394</v>
      </c>
      <c r="L22" s="40" t="s">
        <v>3408</v>
      </c>
      <c r="M22" s="242" t="s">
        <v>3262</v>
      </c>
      <c r="N22" s="213" t="s">
        <v>2806</v>
      </c>
      <c r="O22" s="139" t="s">
        <v>3396</v>
      </c>
      <c r="P22" s="250"/>
    </row>
    <row r="23" spans="1:16" ht="112" customHeight="1">
      <c r="A23" s="244" t="s">
        <v>3256</v>
      </c>
      <c r="B23" s="42" t="s">
        <v>1767</v>
      </c>
      <c r="C23" s="41" t="s">
        <v>3391</v>
      </c>
      <c r="D23" s="41" t="s">
        <v>3409</v>
      </c>
      <c r="E23" s="41" t="s">
        <v>3410</v>
      </c>
      <c r="F23" s="41" t="s">
        <v>4707</v>
      </c>
      <c r="G23" s="215" t="s">
        <v>3273</v>
      </c>
      <c r="H23" s="42" t="s">
        <v>1774</v>
      </c>
      <c r="I23" s="246" t="s">
        <v>3274</v>
      </c>
      <c r="J23" s="247" t="s">
        <v>4708</v>
      </c>
      <c r="K23" s="137" t="s">
        <v>3394</v>
      </c>
      <c r="L23" s="40" t="s">
        <v>3411</v>
      </c>
      <c r="M23" s="242" t="s">
        <v>3262</v>
      </c>
      <c r="N23" s="213" t="s">
        <v>2806</v>
      </c>
      <c r="O23" s="139" t="s">
        <v>3396</v>
      </c>
      <c r="P23" s="250"/>
    </row>
    <row r="24" spans="1:16" ht="98" customHeight="1">
      <c r="A24" s="244" t="s">
        <v>3256</v>
      </c>
      <c r="B24" s="42" t="s">
        <v>1767</v>
      </c>
      <c r="C24" s="41" t="s">
        <v>3391</v>
      </c>
      <c r="D24" s="41" t="s">
        <v>3412</v>
      </c>
      <c r="E24" s="41" t="s">
        <v>3413</v>
      </c>
      <c r="F24" s="41" t="s">
        <v>4709</v>
      </c>
      <c r="G24" s="215" t="s">
        <v>4710</v>
      </c>
      <c r="H24" s="42" t="s">
        <v>1771</v>
      </c>
      <c r="I24" s="246" t="s">
        <v>3259</v>
      </c>
      <c r="J24" s="247" t="s">
        <v>3050</v>
      </c>
      <c r="K24" s="137" t="s">
        <v>3394</v>
      </c>
      <c r="L24" s="40" t="s">
        <v>3414</v>
      </c>
      <c r="M24" s="242" t="s">
        <v>3262</v>
      </c>
      <c r="N24" s="213" t="s">
        <v>3415</v>
      </c>
      <c r="O24" s="139" t="s">
        <v>3396</v>
      </c>
      <c r="P24" s="250"/>
    </row>
    <row r="25" spans="1:16" ht="135">
      <c r="A25" s="244" t="s">
        <v>3256</v>
      </c>
      <c r="B25" s="42" t="s">
        <v>1767</v>
      </c>
      <c r="C25" s="41" t="s">
        <v>3391</v>
      </c>
      <c r="D25" s="41" t="s">
        <v>3416</v>
      </c>
      <c r="E25" s="41" t="s">
        <v>4711</v>
      </c>
      <c r="F25" s="41" t="s">
        <v>3143</v>
      </c>
      <c r="G25" s="215" t="s">
        <v>3144</v>
      </c>
      <c r="H25" s="42" t="s">
        <v>2798</v>
      </c>
      <c r="I25" s="246" t="s">
        <v>3294</v>
      </c>
      <c r="J25" s="247" t="s">
        <v>4712</v>
      </c>
      <c r="K25" s="137" t="s">
        <v>3417</v>
      </c>
      <c r="L25" s="40" t="s">
        <v>3418</v>
      </c>
      <c r="M25" s="242" t="s">
        <v>3262</v>
      </c>
      <c r="N25" s="213" t="s">
        <v>3419</v>
      </c>
      <c r="O25" s="139" t="s">
        <v>3420</v>
      </c>
      <c r="P25" s="250" t="s">
        <v>4713</v>
      </c>
    </row>
    <row r="26" spans="1:16" ht="105">
      <c r="A26" s="244" t="s">
        <v>3256</v>
      </c>
      <c r="B26" s="42" t="s">
        <v>1767</v>
      </c>
      <c r="C26" s="41" t="s">
        <v>3391</v>
      </c>
      <c r="D26" s="41" t="s">
        <v>3421</v>
      </c>
      <c r="E26" s="41" t="s">
        <v>4714</v>
      </c>
      <c r="F26" s="41" t="s">
        <v>4715</v>
      </c>
      <c r="G26" s="215" t="s">
        <v>3293</v>
      </c>
      <c r="H26" s="42" t="s">
        <v>1774</v>
      </c>
      <c r="I26" s="246" t="s">
        <v>4716</v>
      </c>
      <c r="J26" s="247" t="s">
        <v>4717</v>
      </c>
      <c r="K26" s="137" t="s">
        <v>3417</v>
      </c>
      <c r="L26" s="40" t="s">
        <v>3422</v>
      </c>
      <c r="M26" s="242" t="s">
        <v>3262</v>
      </c>
      <c r="N26" s="213" t="s">
        <v>3423</v>
      </c>
      <c r="O26" s="139" t="s">
        <v>3420</v>
      </c>
      <c r="P26" s="250"/>
    </row>
    <row r="27" spans="1:16" ht="98" customHeight="1">
      <c r="A27" s="244" t="s">
        <v>3256</v>
      </c>
      <c r="B27" s="42" t="s">
        <v>1767</v>
      </c>
      <c r="C27" s="41" t="s">
        <v>3391</v>
      </c>
      <c r="D27" s="41" t="s">
        <v>3424</v>
      </c>
      <c r="E27" s="41" t="s">
        <v>3425</v>
      </c>
      <c r="F27" s="41" t="s">
        <v>4718</v>
      </c>
      <c r="G27" s="215" t="s">
        <v>3258</v>
      </c>
      <c r="H27" s="42" t="s">
        <v>1771</v>
      </c>
      <c r="I27" s="246" t="s">
        <v>3259</v>
      </c>
      <c r="J27" s="247" t="s">
        <v>3050</v>
      </c>
      <c r="K27" s="137" t="s">
        <v>3426</v>
      </c>
      <c r="L27" s="40" t="s">
        <v>3427</v>
      </c>
      <c r="M27" s="242" t="s">
        <v>3262</v>
      </c>
      <c r="N27" s="213" t="s">
        <v>2789</v>
      </c>
      <c r="O27" s="139" t="s">
        <v>3428</v>
      </c>
      <c r="P27" s="250"/>
    </row>
    <row r="28" spans="1:16" ht="120">
      <c r="A28" s="244" t="s">
        <v>3256</v>
      </c>
      <c r="B28" s="42" t="s">
        <v>1767</v>
      </c>
      <c r="C28" s="41" t="s">
        <v>3391</v>
      </c>
      <c r="D28" s="41" t="s">
        <v>3429</v>
      </c>
      <c r="E28" s="41" t="s">
        <v>3430</v>
      </c>
      <c r="F28" s="41" t="s">
        <v>4719</v>
      </c>
      <c r="G28" s="215" t="s">
        <v>3293</v>
      </c>
      <c r="H28" s="42" t="s">
        <v>1774</v>
      </c>
      <c r="I28" s="246" t="s">
        <v>3294</v>
      </c>
      <c r="J28" s="247" t="s">
        <v>4720</v>
      </c>
      <c r="K28" s="137" t="s">
        <v>3426</v>
      </c>
      <c r="L28" s="40" t="s">
        <v>3431</v>
      </c>
      <c r="M28" s="242" t="s">
        <v>3262</v>
      </c>
      <c r="N28" s="213" t="s">
        <v>2788</v>
      </c>
      <c r="O28" s="139" t="s">
        <v>3428</v>
      </c>
      <c r="P28" s="250"/>
    </row>
    <row r="29" spans="1:16" ht="98" customHeight="1">
      <c r="A29" s="244" t="s">
        <v>3256</v>
      </c>
      <c r="B29" s="42" t="s">
        <v>1767</v>
      </c>
      <c r="C29" s="41" t="s">
        <v>3391</v>
      </c>
      <c r="D29" s="41" t="s">
        <v>3432</v>
      </c>
      <c r="E29" s="41" t="s">
        <v>3433</v>
      </c>
      <c r="F29" s="41" t="s">
        <v>4721</v>
      </c>
      <c r="G29" s="215" t="s">
        <v>3258</v>
      </c>
      <c r="H29" s="42" t="s">
        <v>1771</v>
      </c>
      <c r="I29" s="246" t="s">
        <v>3259</v>
      </c>
      <c r="J29" s="247" t="s">
        <v>3050</v>
      </c>
      <c r="K29" s="137" t="s">
        <v>3417</v>
      </c>
      <c r="L29" s="40" t="s">
        <v>3434</v>
      </c>
      <c r="M29" s="242" t="s">
        <v>3262</v>
      </c>
      <c r="N29" s="213" t="s">
        <v>2789</v>
      </c>
      <c r="O29" s="139" t="s">
        <v>3420</v>
      </c>
      <c r="P29" s="250"/>
    </row>
    <row r="30" spans="1:16" ht="105">
      <c r="A30" s="244" t="s">
        <v>3256</v>
      </c>
      <c r="B30" s="42" t="s">
        <v>1767</v>
      </c>
      <c r="C30" s="41" t="s">
        <v>3391</v>
      </c>
      <c r="D30" s="41" t="s">
        <v>3435</v>
      </c>
      <c r="E30" s="41" t="s">
        <v>3436</v>
      </c>
      <c r="F30" s="41" t="s">
        <v>4722</v>
      </c>
      <c r="G30" s="215" t="s">
        <v>3293</v>
      </c>
      <c r="H30" s="42" t="s">
        <v>1774</v>
      </c>
      <c r="I30" s="246" t="s">
        <v>4716</v>
      </c>
      <c r="J30" s="247" t="s">
        <v>4723</v>
      </c>
      <c r="K30" s="137" t="s">
        <v>3426</v>
      </c>
      <c r="L30" s="40" t="s">
        <v>3437</v>
      </c>
      <c r="M30" s="242" t="s">
        <v>3262</v>
      </c>
      <c r="N30" s="213" t="s">
        <v>2788</v>
      </c>
      <c r="O30" s="139" t="s">
        <v>3428</v>
      </c>
      <c r="P30" s="250"/>
    </row>
    <row r="31" spans="1:16" ht="98" customHeight="1">
      <c r="A31" s="244" t="s">
        <v>3256</v>
      </c>
      <c r="B31" s="42" t="s">
        <v>1767</v>
      </c>
      <c r="C31" s="41" t="s">
        <v>3391</v>
      </c>
      <c r="D31" s="41" t="s">
        <v>3438</v>
      </c>
      <c r="E31" s="41" t="s">
        <v>3439</v>
      </c>
      <c r="F31" s="41" t="s">
        <v>4724</v>
      </c>
      <c r="G31" s="215" t="s">
        <v>3293</v>
      </c>
      <c r="H31" s="42" t="s">
        <v>1774</v>
      </c>
      <c r="I31" s="246" t="s">
        <v>3294</v>
      </c>
      <c r="J31" s="247" t="s">
        <v>4725</v>
      </c>
      <c r="K31" s="137" t="s">
        <v>3394</v>
      </c>
      <c r="L31" s="40" t="s">
        <v>3440</v>
      </c>
      <c r="M31" s="242" t="s">
        <v>3262</v>
      </c>
      <c r="N31" s="213" t="s">
        <v>2788</v>
      </c>
      <c r="O31" s="139" t="s">
        <v>3396</v>
      </c>
      <c r="P31" s="250"/>
    </row>
    <row r="32" spans="1:16" ht="84" customHeight="1">
      <c r="A32" s="244" t="s">
        <v>3256</v>
      </c>
      <c r="B32" s="42" t="s">
        <v>1767</v>
      </c>
      <c r="C32" s="41" t="s">
        <v>3475</v>
      </c>
      <c r="D32" s="41" t="s">
        <v>3476</v>
      </c>
      <c r="E32" s="41" t="s">
        <v>3477</v>
      </c>
      <c r="F32" s="41" t="s">
        <v>4726</v>
      </c>
      <c r="G32" s="215" t="s">
        <v>3293</v>
      </c>
      <c r="H32" s="42" t="s">
        <v>1774</v>
      </c>
      <c r="I32" s="246" t="s">
        <v>3294</v>
      </c>
      <c r="J32" s="247" t="s">
        <v>4727</v>
      </c>
      <c r="K32" s="137" t="s">
        <v>3478</v>
      </c>
      <c r="L32" s="40" t="s">
        <v>3479</v>
      </c>
      <c r="M32" s="242" t="s">
        <v>3262</v>
      </c>
      <c r="N32" s="213" t="s">
        <v>2788</v>
      </c>
      <c r="O32" s="139" t="s">
        <v>3480</v>
      </c>
      <c r="P32" s="250"/>
    </row>
    <row r="33" spans="1:16" ht="84" customHeight="1">
      <c r="A33" s="244" t="s">
        <v>3256</v>
      </c>
      <c r="B33" s="42" t="s">
        <v>1767</v>
      </c>
      <c r="C33" s="41" t="s">
        <v>3475</v>
      </c>
      <c r="D33" s="41" t="s">
        <v>3481</v>
      </c>
      <c r="E33" s="41" t="s">
        <v>3482</v>
      </c>
      <c r="F33" s="41" t="s">
        <v>4728</v>
      </c>
      <c r="G33" s="215" t="s">
        <v>3293</v>
      </c>
      <c r="H33" s="42" t="s">
        <v>1774</v>
      </c>
      <c r="I33" s="246" t="s">
        <v>3294</v>
      </c>
      <c r="J33" s="247" t="s">
        <v>4729</v>
      </c>
      <c r="K33" s="137" t="s">
        <v>3478</v>
      </c>
      <c r="L33" s="40" t="s">
        <v>3483</v>
      </c>
      <c r="M33" s="242" t="s">
        <v>3262</v>
      </c>
      <c r="N33" s="213" t="s">
        <v>2788</v>
      </c>
      <c r="O33" s="139" t="s">
        <v>3480</v>
      </c>
      <c r="P33" s="250"/>
    </row>
    <row r="34" spans="1:16" ht="84" customHeight="1">
      <c r="A34" s="244" t="s">
        <v>3256</v>
      </c>
      <c r="B34" s="42" t="s">
        <v>1767</v>
      </c>
      <c r="C34" s="41" t="s">
        <v>3475</v>
      </c>
      <c r="D34" s="41" t="s">
        <v>3484</v>
      </c>
      <c r="E34" s="41" t="s">
        <v>3485</v>
      </c>
      <c r="F34" s="41" t="s">
        <v>4730</v>
      </c>
      <c r="G34" s="215" t="s">
        <v>3293</v>
      </c>
      <c r="H34" s="42" t="s">
        <v>1774</v>
      </c>
      <c r="I34" s="246" t="s">
        <v>3294</v>
      </c>
      <c r="J34" s="247" t="s">
        <v>4731</v>
      </c>
      <c r="K34" s="137" t="s">
        <v>3478</v>
      </c>
      <c r="L34" s="40" t="s">
        <v>3486</v>
      </c>
      <c r="M34" s="242" t="s">
        <v>3262</v>
      </c>
      <c r="N34" s="213" t="s">
        <v>2788</v>
      </c>
      <c r="O34" s="139" t="s">
        <v>3480</v>
      </c>
      <c r="P34" s="250"/>
    </row>
    <row r="35" spans="1:16" ht="84" customHeight="1">
      <c r="A35" s="244" t="s">
        <v>3256</v>
      </c>
      <c r="B35" s="42" t="s">
        <v>1767</v>
      </c>
      <c r="C35" s="41" t="s">
        <v>3475</v>
      </c>
      <c r="D35" s="41" t="s">
        <v>3487</v>
      </c>
      <c r="E35" s="41" t="s">
        <v>3488</v>
      </c>
      <c r="F35" s="41" t="s">
        <v>4732</v>
      </c>
      <c r="G35" s="215" t="s">
        <v>3293</v>
      </c>
      <c r="H35" s="42" t="s">
        <v>1774</v>
      </c>
      <c r="I35" s="246" t="s">
        <v>3294</v>
      </c>
      <c r="J35" s="247" t="s">
        <v>4733</v>
      </c>
      <c r="K35" s="137" t="s">
        <v>3478</v>
      </c>
      <c r="L35" s="40" t="s">
        <v>3489</v>
      </c>
      <c r="M35" s="242" t="s">
        <v>3262</v>
      </c>
      <c r="N35" s="213" t="s">
        <v>2788</v>
      </c>
      <c r="O35" s="139" t="s">
        <v>3480</v>
      </c>
      <c r="P35" s="250"/>
    </row>
    <row r="36" spans="1:16" ht="84" customHeight="1">
      <c r="A36" s="244" t="s">
        <v>3256</v>
      </c>
      <c r="B36" s="42" t="s">
        <v>1767</v>
      </c>
      <c r="C36" s="41" t="s">
        <v>3475</v>
      </c>
      <c r="D36" s="41" t="s">
        <v>3490</v>
      </c>
      <c r="E36" s="41" t="s">
        <v>3491</v>
      </c>
      <c r="F36" s="41" t="s">
        <v>4734</v>
      </c>
      <c r="G36" s="215" t="s">
        <v>3293</v>
      </c>
      <c r="H36" s="42" t="s">
        <v>1774</v>
      </c>
      <c r="I36" s="246" t="s">
        <v>3294</v>
      </c>
      <c r="J36" s="247" t="s">
        <v>4735</v>
      </c>
      <c r="K36" s="137" t="s">
        <v>3478</v>
      </c>
      <c r="L36" s="40" t="s">
        <v>3492</v>
      </c>
      <c r="M36" s="242" t="s">
        <v>3262</v>
      </c>
      <c r="N36" s="213" t="s">
        <v>2788</v>
      </c>
      <c r="O36" s="139" t="s">
        <v>3480</v>
      </c>
      <c r="P36" s="250"/>
    </row>
    <row r="37" spans="1:16" ht="70" customHeight="1">
      <c r="A37" s="244" t="s">
        <v>3256</v>
      </c>
      <c r="B37" s="42" t="s">
        <v>1767</v>
      </c>
      <c r="C37" s="41" t="s">
        <v>3475</v>
      </c>
      <c r="D37" s="41" t="s">
        <v>3493</v>
      </c>
      <c r="E37" s="41" t="s">
        <v>3494</v>
      </c>
      <c r="F37" s="41" t="s">
        <v>4736</v>
      </c>
      <c r="G37" s="215" t="s">
        <v>3258</v>
      </c>
      <c r="H37" s="42" t="s">
        <v>1771</v>
      </c>
      <c r="I37" s="246" t="s">
        <v>3259</v>
      </c>
      <c r="J37" s="247" t="s">
        <v>3050</v>
      </c>
      <c r="K37" s="137" t="s">
        <v>3495</v>
      </c>
      <c r="L37" s="40" t="s">
        <v>3496</v>
      </c>
      <c r="M37" s="242" t="s">
        <v>3262</v>
      </c>
      <c r="N37" s="213" t="s">
        <v>3415</v>
      </c>
      <c r="O37" s="139" t="s">
        <v>3497</v>
      </c>
      <c r="P37" s="250"/>
    </row>
    <row r="38" spans="1:16">
      <c r="A38" s="244" t="s">
        <v>3256</v>
      </c>
      <c r="B38" s="42" t="s">
        <v>1767</v>
      </c>
      <c r="C38" s="41" t="s">
        <v>3475</v>
      </c>
      <c r="D38" s="41" t="s">
        <v>3498</v>
      </c>
      <c r="E38" s="41" t="s">
        <v>3499</v>
      </c>
      <c r="F38" s="41" t="s">
        <v>4737</v>
      </c>
      <c r="G38" s="215" t="s">
        <v>3258</v>
      </c>
      <c r="H38" s="42" t="s">
        <v>1771</v>
      </c>
      <c r="I38" s="246" t="s">
        <v>3259</v>
      </c>
      <c r="J38" s="247" t="s">
        <v>3050</v>
      </c>
      <c r="K38" s="137" t="s">
        <v>3495</v>
      </c>
      <c r="L38" s="40" t="s">
        <v>3500</v>
      </c>
      <c r="M38" s="242" t="s">
        <v>3262</v>
      </c>
      <c r="N38" s="213" t="s">
        <v>3415</v>
      </c>
      <c r="O38" s="139" t="s">
        <v>3497</v>
      </c>
      <c r="P38" s="250"/>
    </row>
    <row r="39" spans="1:16" ht="105">
      <c r="A39" s="244" t="s">
        <v>3256</v>
      </c>
      <c r="B39" s="42" t="s">
        <v>1767</v>
      </c>
      <c r="C39" s="41" t="s">
        <v>3475</v>
      </c>
      <c r="D39" s="41" t="s">
        <v>3501</v>
      </c>
      <c r="E39" s="41" t="s">
        <v>3502</v>
      </c>
      <c r="F39" s="41" t="s">
        <v>4738</v>
      </c>
      <c r="G39" s="215" t="s">
        <v>3293</v>
      </c>
      <c r="H39" s="42" t="s">
        <v>1774</v>
      </c>
      <c r="I39" s="246" t="s">
        <v>3294</v>
      </c>
      <c r="J39" s="247" t="s">
        <v>4739</v>
      </c>
      <c r="K39" s="137" t="s">
        <v>3495</v>
      </c>
      <c r="L39" s="40" t="s">
        <v>3503</v>
      </c>
      <c r="M39" s="242" t="s">
        <v>3262</v>
      </c>
      <c r="N39" s="213" t="s">
        <v>2788</v>
      </c>
      <c r="O39" s="139" t="s">
        <v>3497</v>
      </c>
      <c r="P39" s="250"/>
    </row>
    <row r="40" spans="1:16" ht="98" customHeight="1">
      <c r="A40" s="244" t="s">
        <v>3256</v>
      </c>
      <c r="B40" s="42" t="s">
        <v>1767</v>
      </c>
      <c r="C40" s="41" t="s">
        <v>3475</v>
      </c>
      <c r="D40" s="41" t="s">
        <v>3504</v>
      </c>
      <c r="E40" s="41" t="s">
        <v>3505</v>
      </c>
      <c r="F40" s="41" t="s">
        <v>4740</v>
      </c>
      <c r="G40" s="215" t="s">
        <v>3258</v>
      </c>
      <c r="H40" s="42" t="s">
        <v>1771</v>
      </c>
      <c r="I40" s="246" t="s">
        <v>3259</v>
      </c>
      <c r="J40" s="247" t="s">
        <v>3050</v>
      </c>
      <c r="K40" s="137" t="s">
        <v>3495</v>
      </c>
      <c r="L40" s="40" t="s">
        <v>3506</v>
      </c>
      <c r="M40" s="242" t="s">
        <v>3262</v>
      </c>
      <c r="N40" s="213" t="s">
        <v>3415</v>
      </c>
      <c r="O40" s="139" t="s">
        <v>3497</v>
      </c>
      <c r="P40" s="250"/>
    </row>
    <row r="41" spans="1:16">
      <c r="A41" s="244" t="s">
        <v>3256</v>
      </c>
      <c r="B41" s="42" t="s">
        <v>1767</v>
      </c>
      <c r="C41" s="41" t="s">
        <v>3507</v>
      </c>
      <c r="D41" s="41" t="s">
        <v>3508</v>
      </c>
      <c r="E41" s="41" t="s">
        <v>3509</v>
      </c>
      <c r="F41" s="41" t="s">
        <v>3054</v>
      </c>
      <c r="G41" s="215" t="s">
        <v>3055</v>
      </c>
      <c r="H41" s="42" t="s">
        <v>1771</v>
      </c>
      <c r="I41" s="246" t="s">
        <v>3259</v>
      </c>
      <c r="J41" s="247" t="s">
        <v>3050</v>
      </c>
      <c r="K41" s="137" t="s">
        <v>3510</v>
      </c>
      <c r="L41" s="40" t="s">
        <v>3511</v>
      </c>
      <c r="M41" s="242" t="s">
        <v>3262</v>
      </c>
      <c r="N41" s="213" t="s">
        <v>3512</v>
      </c>
      <c r="O41" s="139" t="s">
        <v>3513</v>
      </c>
      <c r="P41" s="250"/>
    </row>
    <row r="42" spans="1:16" ht="98" customHeight="1">
      <c r="A42" s="244" t="s">
        <v>3256</v>
      </c>
      <c r="B42" s="42" t="s">
        <v>1767</v>
      </c>
      <c r="C42" s="41" t="s">
        <v>3507</v>
      </c>
      <c r="D42" s="41" t="s">
        <v>3514</v>
      </c>
      <c r="E42" s="41" t="s">
        <v>3515</v>
      </c>
      <c r="F42" s="41" t="s">
        <v>4741</v>
      </c>
      <c r="G42" s="215" t="s">
        <v>3293</v>
      </c>
      <c r="H42" s="42" t="s">
        <v>1774</v>
      </c>
      <c r="I42" s="246" t="s">
        <v>4716</v>
      </c>
      <c r="J42" s="247" t="s">
        <v>4742</v>
      </c>
      <c r="K42" s="137" t="s">
        <v>3510</v>
      </c>
      <c r="L42" s="40" t="s">
        <v>3516</v>
      </c>
      <c r="M42" s="242" t="s">
        <v>3262</v>
      </c>
      <c r="N42" s="213" t="s">
        <v>2788</v>
      </c>
      <c r="O42" s="139" t="s">
        <v>3513</v>
      </c>
      <c r="P42" s="250"/>
    </row>
    <row r="43" spans="1:16" ht="112" customHeight="1">
      <c r="A43" s="244" t="s">
        <v>3256</v>
      </c>
      <c r="B43" s="42" t="s">
        <v>1767</v>
      </c>
      <c r="C43" s="41" t="s">
        <v>3507</v>
      </c>
      <c r="D43" s="41" t="s">
        <v>3517</v>
      </c>
      <c r="E43" s="41" t="s">
        <v>3518</v>
      </c>
      <c r="F43" s="41" t="s">
        <v>4743</v>
      </c>
      <c r="G43" s="215" t="s">
        <v>3293</v>
      </c>
      <c r="H43" s="42" t="s">
        <v>1774</v>
      </c>
      <c r="I43" s="246" t="s">
        <v>4716</v>
      </c>
      <c r="J43" s="247" t="s">
        <v>4744</v>
      </c>
      <c r="K43" s="137" t="s">
        <v>3519</v>
      </c>
      <c r="L43" s="40" t="s">
        <v>3520</v>
      </c>
      <c r="M43" s="242" t="s">
        <v>3262</v>
      </c>
      <c r="N43" s="213" t="s">
        <v>2788</v>
      </c>
      <c r="O43" s="139" t="s">
        <v>3521</v>
      </c>
      <c r="P43" s="250"/>
    </row>
    <row r="44" spans="1:16" ht="105">
      <c r="A44" s="244" t="s">
        <v>3256</v>
      </c>
      <c r="B44" s="42" t="s">
        <v>1767</v>
      </c>
      <c r="C44" s="41" t="s">
        <v>3507</v>
      </c>
      <c r="D44" s="41" t="s">
        <v>3522</v>
      </c>
      <c r="E44" s="41" t="s">
        <v>3523</v>
      </c>
      <c r="F44" s="41" t="s">
        <v>4743</v>
      </c>
      <c r="G44" s="215" t="s">
        <v>3293</v>
      </c>
      <c r="H44" s="42" t="s">
        <v>1774</v>
      </c>
      <c r="I44" s="246" t="s">
        <v>3274</v>
      </c>
      <c r="J44" s="247" t="s">
        <v>4745</v>
      </c>
      <c r="K44" s="137" t="s">
        <v>3519</v>
      </c>
      <c r="L44" s="40" t="s">
        <v>3524</v>
      </c>
      <c r="M44" s="242" t="s">
        <v>3262</v>
      </c>
      <c r="N44" s="213" t="s">
        <v>2788</v>
      </c>
      <c r="O44" s="139" t="s">
        <v>3521</v>
      </c>
      <c r="P44" s="250"/>
    </row>
    <row r="45" spans="1:16" ht="70" customHeight="1">
      <c r="A45" s="244" t="s">
        <v>3256</v>
      </c>
      <c r="B45" s="42" t="s">
        <v>1767</v>
      </c>
      <c r="C45" s="41" t="s">
        <v>3507</v>
      </c>
      <c r="D45" s="41" t="s">
        <v>3525</v>
      </c>
      <c r="E45" s="41" t="s">
        <v>3526</v>
      </c>
      <c r="F45" s="41" t="s">
        <v>4746</v>
      </c>
      <c r="G45" s="215" t="s">
        <v>3293</v>
      </c>
      <c r="H45" s="42" t="s">
        <v>1774</v>
      </c>
      <c r="I45" s="246" t="s">
        <v>3294</v>
      </c>
      <c r="J45" s="247" t="s">
        <v>4747</v>
      </c>
      <c r="K45" s="137" t="s">
        <v>3519</v>
      </c>
      <c r="L45" s="40" t="s">
        <v>3527</v>
      </c>
      <c r="M45" s="242" t="s">
        <v>3262</v>
      </c>
      <c r="N45" s="213" t="s">
        <v>2788</v>
      </c>
      <c r="O45" s="139" t="s">
        <v>3521</v>
      </c>
      <c r="P45" s="250"/>
    </row>
    <row r="46" spans="1:16" ht="70" customHeight="1">
      <c r="A46" s="244" t="s">
        <v>3256</v>
      </c>
      <c r="B46" s="42" t="s">
        <v>1767</v>
      </c>
      <c r="C46" s="41" t="s">
        <v>3507</v>
      </c>
      <c r="D46" s="41" t="s">
        <v>3528</v>
      </c>
      <c r="E46" s="41" t="s">
        <v>3529</v>
      </c>
      <c r="F46" s="41" t="s">
        <v>4748</v>
      </c>
      <c r="G46" s="215" t="s">
        <v>3337</v>
      </c>
      <c r="H46" s="42" t="s">
        <v>1774</v>
      </c>
      <c r="I46" s="246" t="s">
        <v>2818</v>
      </c>
      <c r="J46" s="247" t="s">
        <v>4749</v>
      </c>
      <c r="K46" s="137" t="s">
        <v>3519</v>
      </c>
      <c r="L46" s="40" t="s">
        <v>3530</v>
      </c>
      <c r="M46" s="242" t="s">
        <v>3262</v>
      </c>
      <c r="N46" s="213" t="s">
        <v>2796</v>
      </c>
      <c r="O46" s="139" t="s">
        <v>3521</v>
      </c>
      <c r="P46" s="250"/>
    </row>
    <row r="47" spans="1:16" ht="84" customHeight="1">
      <c r="A47" s="244" t="s">
        <v>3256</v>
      </c>
      <c r="B47" s="42" t="s">
        <v>1767</v>
      </c>
      <c r="C47" s="41" t="s">
        <v>3507</v>
      </c>
      <c r="D47" s="41" t="s">
        <v>3531</v>
      </c>
      <c r="E47" s="41" t="s">
        <v>3532</v>
      </c>
      <c r="F47" s="41" t="s">
        <v>4750</v>
      </c>
      <c r="G47" s="215" t="s">
        <v>3337</v>
      </c>
      <c r="H47" s="42" t="s">
        <v>1774</v>
      </c>
      <c r="I47" s="246" t="s">
        <v>2818</v>
      </c>
      <c r="J47" s="247" t="s">
        <v>4751</v>
      </c>
      <c r="K47" s="137" t="s">
        <v>3519</v>
      </c>
      <c r="L47" s="40" t="s">
        <v>3533</v>
      </c>
      <c r="M47" s="242" t="s">
        <v>3262</v>
      </c>
      <c r="N47" s="213" t="s">
        <v>2796</v>
      </c>
      <c r="O47" s="139" t="s">
        <v>3521</v>
      </c>
      <c r="P47" s="250"/>
    </row>
    <row r="48" spans="1:16" ht="84" customHeight="1">
      <c r="A48" s="244" t="s">
        <v>3256</v>
      </c>
      <c r="B48" s="42" t="s">
        <v>1767</v>
      </c>
      <c r="C48" s="41" t="s">
        <v>3507</v>
      </c>
      <c r="D48" s="41" t="s">
        <v>3534</v>
      </c>
      <c r="E48" s="41" t="s">
        <v>3535</v>
      </c>
      <c r="F48" s="41" t="s">
        <v>4752</v>
      </c>
      <c r="G48" s="215" t="s">
        <v>3337</v>
      </c>
      <c r="H48" s="42" t="s">
        <v>1774</v>
      </c>
      <c r="I48" s="246" t="s">
        <v>4678</v>
      </c>
      <c r="J48" s="247" t="s">
        <v>4753</v>
      </c>
      <c r="K48" s="137" t="s">
        <v>3536</v>
      </c>
      <c r="L48" s="40" t="s">
        <v>3537</v>
      </c>
      <c r="M48" s="242" t="s">
        <v>3262</v>
      </c>
      <c r="N48" s="213" t="s">
        <v>2796</v>
      </c>
      <c r="O48" s="139" t="s">
        <v>3538</v>
      </c>
      <c r="P48" s="250"/>
    </row>
    <row r="49" spans="1:16" ht="98" customHeight="1">
      <c r="A49" s="244" t="s">
        <v>3256</v>
      </c>
      <c r="B49" s="42" t="s">
        <v>1767</v>
      </c>
      <c r="C49" s="41" t="s">
        <v>3507</v>
      </c>
      <c r="D49" s="41" t="s">
        <v>3539</v>
      </c>
      <c r="E49" s="41" t="s">
        <v>3540</v>
      </c>
      <c r="F49" s="41" t="s">
        <v>4754</v>
      </c>
      <c r="G49" s="215" t="s">
        <v>3337</v>
      </c>
      <c r="H49" s="42" t="s">
        <v>1774</v>
      </c>
      <c r="I49" s="246" t="s">
        <v>2818</v>
      </c>
      <c r="J49" s="247" t="s">
        <v>4755</v>
      </c>
      <c r="K49" s="137" t="s">
        <v>3536</v>
      </c>
      <c r="L49" s="40" t="s">
        <v>3541</v>
      </c>
      <c r="M49" s="242" t="s">
        <v>3262</v>
      </c>
      <c r="N49" s="213" t="s">
        <v>2796</v>
      </c>
      <c r="O49" s="139" t="s">
        <v>3538</v>
      </c>
      <c r="P49" s="250"/>
    </row>
    <row r="50" spans="1:16" ht="112" customHeight="1">
      <c r="A50" s="244" t="s">
        <v>3256</v>
      </c>
      <c r="B50" s="42" t="s">
        <v>1767</v>
      </c>
      <c r="C50" s="41" t="s">
        <v>3507</v>
      </c>
      <c r="D50" s="41" t="s">
        <v>3542</v>
      </c>
      <c r="E50" s="41" t="s">
        <v>3543</v>
      </c>
      <c r="F50" s="41" t="s">
        <v>4756</v>
      </c>
      <c r="G50" s="215" t="s">
        <v>3337</v>
      </c>
      <c r="H50" s="42" t="s">
        <v>1774</v>
      </c>
      <c r="I50" s="246" t="s">
        <v>4678</v>
      </c>
      <c r="J50" s="247" t="s">
        <v>4757</v>
      </c>
      <c r="K50" s="137" t="s">
        <v>3536</v>
      </c>
      <c r="L50" s="40" t="s">
        <v>3544</v>
      </c>
      <c r="M50" s="242" t="s">
        <v>3262</v>
      </c>
      <c r="N50" s="213" t="s">
        <v>2796</v>
      </c>
      <c r="O50" s="139" t="s">
        <v>3538</v>
      </c>
      <c r="P50" s="250"/>
    </row>
    <row r="51" spans="1:16" ht="126" customHeight="1">
      <c r="A51" s="244" t="s">
        <v>3256</v>
      </c>
      <c r="B51" s="42" t="s">
        <v>1767</v>
      </c>
      <c r="C51" s="41" t="s">
        <v>3357</v>
      </c>
      <c r="D51" s="41" t="s">
        <v>3358</v>
      </c>
      <c r="E51" s="41" t="s">
        <v>3359</v>
      </c>
      <c r="F51" s="41" t="s">
        <v>4758</v>
      </c>
      <c r="G51" s="215" t="s">
        <v>3258</v>
      </c>
      <c r="H51" s="42" t="s">
        <v>1771</v>
      </c>
      <c r="I51" s="246" t="s">
        <v>3259</v>
      </c>
      <c r="J51" s="247" t="s">
        <v>3050</v>
      </c>
      <c r="K51" s="137" t="s">
        <v>3360</v>
      </c>
      <c r="L51" s="40" t="s">
        <v>3361</v>
      </c>
      <c r="M51" s="242" t="s">
        <v>3262</v>
      </c>
      <c r="N51" s="213" t="s">
        <v>1771</v>
      </c>
      <c r="O51" s="139" t="s">
        <v>3362</v>
      </c>
      <c r="P51" s="250"/>
    </row>
    <row r="52" spans="1:16" ht="98" customHeight="1">
      <c r="A52" s="244" t="s">
        <v>3256</v>
      </c>
      <c r="B52" s="42" t="s">
        <v>1767</v>
      </c>
      <c r="C52" s="41" t="s">
        <v>3357</v>
      </c>
      <c r="D52" s="41" t="s">
        <v>3363</v>
      </c>
      <c r="E52" s="41" t="s">
        <v>3364</v>
      </c>
      <c r="F52" s="41" t="s">
        <v>4759</v>
      </c>
      <c r="G52" s="215" t="s">
        <v>3258</v>
      </c>
      <c r="H52" s="42" t="s">
        <v>1771</v>
      </c>
      <c r="I52" s="246" t="s">
        <v>3259</v>
      </c>
      <c r="J52" s="247" t="s">
        <v>3050</v>
      </c>
      <c r="K52" s="137" t="s">
        <v>3360</v>
      </c>
      <c r="L52" s="40" t="s">
        <v>3365</v>
      </c>
      <c r="M52" s="242" t="s">
        <v>3262</v>
      </c>
      <c r="N52" s="213" t="s">
        <v>1771</v>
      </c>
      <c r="O52" s="139" t="s">
        <v>3362</v>
      </c>
      <c r="P52" s="250"/>
    </row>
    <row r="53" spans="1:16" ht="98" customHeight="1">
      <c r="A53" s="244" t="s">
        <v>3256</v>
      </c>
      <c r="B53" s="42" t="s">
        <v>1767</v>
      </c>
      <c r="C53" s="41" t="s">
        <v>3357</v>
      </c>
      <c r="D53" s="41" t="s">
        <v>3366</v>
      </c>
      <c r="E53" s="41" t="s">
        <v>3367</v>
      </c>
      <c r="F53" s="41" t="s">
        <v>4760</v>
      </c>
      <c r="G53" s="215" t="s">
        <v>3337</v>
      </c>
      <c r="H53" s="42" t="s">
        <v>1774</v>
      </c>
      <c r="I53" s="246" t="s">
        <v>2818</v>
      </c>
      <c r="J53" s="247" t="s">
        <v>4761</v>
      </c>
      <c r="K53" s="137" t="s">
        <v>3360</v>
      </c>
      <c r="L53" s="40" t="s">
        <v>3368</v>
      </c>
      <c r="M53" s="242" t="s">
        <v>3262</v>
      </c>
      <c r="N53" s="213" t="s">
        <v>2796</v>
      </c>
      <c r="O53" s="139" t="s">
        <v>3362</v>
      </c>
      <c r="P53" s="250"/>
    </row>
    <row r="54" spans="1:16" ht="98" customHeight="1">
      <c r="A54" s="244" t="s">
        <v>3256</v>
      </c>
      <c r="B54" s="42" t="s">
        <v>1767</v>
      </c>
      <c r="C54" s="41" t="s">
        <v>3357</v>
      </c>
      <c r="D54" s="41" t="s">
        <v>3369</v>
      </c>
      <c r="E54" s="41" t="s">
        <v>3370</v>
      </c>
      <c r="F54" s="41" t="s">
        <v>4762</v>
      </c>
      <c r="G54" s="215" t="s">
        <v>3337</v>
      </c>
      <c r="H54" s="42" t="s">
        <v>1774</v>
      </c>
      <c r="I54" s="246" t="s">
        <v>2818</v>
      </c>
      <c r="J54" s="247" t="s">
        <v>4763</v>
      </c>
      <c r="K54" s="137" t="s">
        <v>3360</v>
      </c>
      <c r="L54" s="40" t="s">
        <v>3371</v>
      </c>
      <c r="M54" s="242" t="s">
        <v>3262</v>
      </c>
      <c r="N54" s="213" t="s">
        <v>2796</v>
      </c>
      <c r="O54" s="139" t="s">
        <v>3362</v>
      </c>
      <c r="P54" s="250"/>
    </row>
    <row r="55" spans="1:16" ht="126" customHeight="1">
      <c r="A55" s="244" t="s">
        <v>3256</v>
      </c>
      <c r="B55" s="42" t="s">
        <v>1767</v>
      </c>
      <c r="C55" s="41" t="s">
        <v>3357</v>
      </c>
      <c r="D55" s="41" t="s">
        <v>3372</v>
      </c>
      <c r="E55" s="41" t="s">
        <v>3373</v>
      </c>
      <c r="F55" s="41" t="s">
        <v>4764</v>
      </c>
      <c r="G55" s="215" t="s">
        <v>3268</v>
      </c>
      <c r="H55" s="42" t="s">
        <v>674</v>
      </c>
      <c r="I55" s="246" t="s">
        <v>3269</v>
      </c>
      <c r="J55" s="247" t="s">
        <v>3050</v>
      </c>
      <c r="K55" s="137" t="s">
        <v>3360</v>
      </c>
      <c r="L55" s="40" t="s">
        <v>3374</v>
      </c>
      <c r="M55" s="242" t="s">
        <v>3262</v>
      </c>
      <c r="N55" s="213" t="s">
        <v>3271</v>
      </c>
      <c r="O55" s="139" t="s">
        <v>3362</v>
      </c>
      <c r="P55" s="250"/>
    </row>
    <row r="56" spans="1:16" ht="112" customHeight="1">
      <c r="A56" s="244" t="s">
        <v>3256</v>
      </c>
      <c r="B56" s="42" t="s">
        <v>1767</v>
      </c>
      <c r="C56" s="41" t="s">
        <v>3357</v>
      </c>
      <c r="D56" s="41" t="s">
        <v>3375</v>
      </c>
      <c r="E56" s="41" t="s">
        <v>3376</v>
      </c>
      <c r="F56" s="41" t="s">
        <v>4765</v>
      </c>
      <c r="G56" s="215" t="s">
        <v>3337</v>
      </c>
      <c r="H56" s="42" t="s">
        <v>1774</v>
      </c>
      <c r="I56" s="246" t="s">
        <v>2818</v>
      </c>
      <c r="J56" s="247" t="s">
        <v>4766</v>
      </c>
      <c r="K56" s="137" t="s">
        <v>3360</v>
      </c>
      <c r="L56" s="40" t="s">
        <v>3377</v>
      </c>
      <c r="M56" s="242" t="s">
        <v>3262</v>
      </c>
      <c r="N56" s="213" t="s">
        <v>2796</v>
      </c>
      <c r="O56" s="139" t="s">
        <v>3362</v>
      </c>
      <c r="P56" s="250"/>
    </row>
    <row r="57" spans="1:16">
      <c r="A57" s="244" t="s">
        <v>3256</v>
      </c>
      <c r="B57" s="42" t="s">
        <v>1767</v>
      </c>
      <c r="C57" s="41" t="s">
        <v>3357</v>
      </c>
      <c r="D57" s="41" t="s">
        <v>3378</v>
      </c>
      <c r="E57" s="41" t="s">
        <v>3379</v>
      </c>
      <c r="F57" s="41" t="s">
        <v>4767</v>
      </c>
      <c r="G57" s="215" t="s">
        <v>3268</v>
      </c>
      <c r="H57" s="42" t="s">
        <v>674</v>
      </c>
      <c r="I57" s="246" t="s">
        <v>3269</v>
      </c>
      <c r="J57" s="247" t="s">
        <v>3050</v>
      </c>
      <c r="K57" s="137" t="s">
        <v>3360</v>
      </c>
      <c r="L57" s="40" t="s">
        <v>3380</v>
      </c>
      <c r="M57" s="242" t="s">
        <v>3262</v>
      </c>
      <c r="N57" s="213" t="s">
        <v>3271</v>
      </c>
      <c r="O57" s="139" t="s">
        <v>3362</v>
      </c>
      <c r="P57" s="250"/>
    </row>
    <row r="58" spans="1:16">
      <c r="A58" s="244" t="s">
        <v>3256</v>
      </c>
      <c r="B58" s="42" t="s">
        <v>1767</v>
      </c>
      <c r="C58" s="41" t="s">
        <v>3357</v>
      </c>
      <c r="D58" s="41" t="s">
        <v>3381</v>
      </c>
      <c r="E58" s="41" t="s">
        <v>4768</v>
      </c>
      <c r="F58" s="41" t="s">
        <v>4769</v>
      </c>
      <c r="G58" s="215" t="s">
        <v>4770</v>
      </c>
      <c r="H58" s="42" t="s">
        <v>1771</v>
      </c>
      <c r="I58" s="246" t="s">
        <v>3259</v>
      </c>
      <c r="J58" s="247" t="s">
        <v>3050</v>
      </c>
      <c r="K58" s="137" t="s">
        <v>3360</v>
      </c>
      <c r="L58" s="40" t="s">
        <v>3382</v>
      </c>
      <c r="M58" s="242" t="s">
        <v>3262</v>
      </c>
      <c r="N58" s="249" t="s">
        <v>3383</v>
      </c>
      <c r="O58" s="139" t="s">
        <v>3362</v>
      </c>
      <c r="P58" s="250"/>
    </row>
    <row r="59" spans="1:16" ht="98" customHeight="1">
      <c r="A59" s="244" t="s">
        <v>3256</v>
      </c>
      <c r="B59" s="42" t="s">
        <v>1767</v>
      </c>
      <c r="C59" s="41" t="s">
        <v>3357</v>
      </c>
      <c r="D59" s="41" t="s">
        <v>3384</v>
      </c>
      <c r="E59" s="41" t="s">
        <v>4771</v>
      </c>
      <c r="F59" s="41" t="s">
        <v>4772</v>
      </c>
      <c r="G59" s="215" t="s">
        <v>3268</v>
      </c>
      <c r="H59" s="42" t="s">
        <v>674</v>
      </c>
      <c r="I59" s="246" t="s">
        <v>3269</v>
      </c>
      <c r="J59" s="247" t="s">
        <v>3050</v>
      </c>
      <c r="K59" s="137" t="s">
        <v>3385</v>
      </c>
      <c r="L59" s="40" t="s">
        <v>3386</v>
      </c>
      <c r="M59" s="242" t="s">
        <v>3262</v>
      </c>
      <c r="N59" s="213" t="s">
        <v>3387</v>
      </c>
      <c r="O59" s="139" t="s">
        <v>3388</v>
      </c>
      <c r="P59" s="250"/>
    </row>
    <row r="60" spans="1:16" ht="98" customHeight="1">
      <c r="A60" s="244" t="s">
        <v>3256</v>
      </c>
      <c r="B60" s="42" t="s">
        <v>1767</v>
      </c>
      <c r="C60" s="41" t="s">
        <v>3357</v>
      </c>
      <c r="D60" s="41" t="s">
        <v>3389</v>
      </c>
      <c r="E60" s="41" t="s">
        <v>4773</v>
      </c>
      <c r="F60" s="41" t="s">
        <v>4774</v>
      </c>
      <c r="G60" s="215" t="s">
        <v>3268</v>
      </c>
      <c r="H60" s="42" t="s">
        <v>674</v>
      </c>
      <c r="I60" s="246" t="s">
        <v>3269</v>
      </c>
      <c r="J60" s="247" t="s">
        <v>3050</v>
      </c>
      <c r="K60" s="137" t="s">
        <v>3385</v>
      </c>
      <c r="L60" s="40" t="s">
        <v>3390</v>
      </c>
      <c r="M60" s="242" t="s">
        <v>3262</v>
      </c>
      <c r="N60" s="213" t="s">
        <v>3387</v>
      </c>
      <c r="O60" s="139" t="s">
        <v>3388</v>
      </c>
      <c r="P60" s="250"/>
    </row>
    <row r="61" spans="1:16">
      <c r="A61" s="244" t="s">
        <v>3256</v>
      </c>
      <c r="B61" s="42" t="s">
        <v>1767</v>
      </c>
      <c r="C61" s="41" t="s">
        <v>3545</v>
      </c>
      <c r="D61" s="41" t="s">
        <v>3546</v>
      </c>
      <c r="E61" s="41" t="s">
        <v>3547</v>
      </c>
      <c r="F61" s="41" t="s">
        <v>3094</v>
      </c>
      <c r="G61" s="215" t="s">
        <v>3095</v>
      </c>
      <c r="H61" s="42" t="s">
        <v>2798</v>
      </c>
      <c r="I61" s="246" t="s">
        <v>3316</v>
      </c>
      <c r="J61" s="247" t="s">
        <v>3050</v>
      </c>
      <c r="K61" s="137" t="s">
        <v>3548</v>
      </c>
      <c r="L61" s="40" t="s">
        <v>3549</v>
      </c>
      <c r="M61" s="242" t="s">
        <v>3262</v>
      </c>
      <c r="N61" s="213" t="s">
        <v>3318</v>
      </c>
      <c r="O61" s="139" t="s">
        <v>3550</v>
      </c>
      <c r="P61" s="250" t="s">
        <v>4501</v>
      </c>
    </row>
    <row r="62" spans="1:16" ht="98" customHeight="1">
      <c r="A62" s="244" t="s">
        <v>3256</v>
      </c>
      <c r="B62" s="42" t="s">
        <v>1767</v>
      </c>
      <c r="C62" s="41" t="s">
        <v>3545</v>
      </c>
      <c r="D62" s="41" t="s">
        <v>3551</v>
      </c>
      <c r="E62" s="41" t="s">
        <v>3552</v>
      </c>
      <c r="F62" s="41" t="s">
        <v>4775</v>
      </c>
      <c r="G62" s="215" t="s">
        <v>3337</v>
      </c>
      <c r="H62" s="42" t="s">
        <v>1774</v>
      </c>
      <c r="I62" s="246" t="s">
        <v>2818</v>
      </c>
      <c r="J62" s="247" t="s">
        <v>4776</v>
      </c>
      <c r="K62" s="137" t="s">
        <v>3553</v>
      </c>
      <c r="L62" s="40" t="s">
        <v>3554</v>
      </c>
      <c r="M62" s="242" t="s">
        <v>3262</v>
      </c>
      <c r="N62" s="213" t="s">
        <v>2796</v>
      </c>
      <c r="O62" s="139" t="s">
        <v>3555</v>
      </c>
      <c r="P62" s="250"/>
    </row>
    <row r="63" spans="1:16">
      <c r="A63" s="244" t="s">
        <v>3256</v>
      </c>
      <c r="B63" s="42" t="s">
        <v>1767</v>
      </c>
      <c r="C63" s="41" t="s">
        <v>3545</v>
      </c>
      <c r="D63" s="41" t="s">
        <v>3556</v>
      </c>
      <c r="E63" s="41" t="s">
        <v>4777</v>
      </c>
      <c r="F63" s="41" t="s">
        <v>4778</v>
      </c>
      <c r="G63" s="215" t="s">
        <v>4779</v>
      </c>
      <c r="H63" s="42" t="s">
        <v>1771</v>
      </c>
      <c r="I63" s="246" t="s">
        <v>3259</v>
      </c>
      <c r="J63" s="247" t="s">
        <v>3050</v>
      </c>
      <c r="K63" s="137" t="s">
        <v>3557</v>
      </c>
      <c r="L63" s="40" t="s">
        <v>3558</v>
      </c>
      <c r="M63" s="242" t="s">
        <v>3262</v>
      </c>
      <c r="N63" s="213" t="s">
        <v>3559</v>
      </c>
      <c r="O63" s="139" t="s">
        <v>3560</v>
      </c>
      <c r="P63" s="250"/>
    </row>
    <row r="64" spans="1:16">
      <c r="A64" s="244" t="s">
        <v>3256</v>
      </c>
      <c r="B64" s="42" t="s">
        <v>1767</v>
      </c>
      <c r="C64" s="41" t="s">
        <v>3545</v>
      </c>
      <c r="D64" s="41" t="s">
        <v>3561</v>
      </c>
      <c r="E64" s="41" t="s">
        <v>3562</v>
      </c>
      <c r="F64" s="41" t="s">
        <v>3096</v>
      </c>
      <c r="G64" s="215" t="s">
        <v>3097</v>
      </c>
      <c r="H64" s="42" t="s">
        <v>1773</v>
      </c>
      <c r="I64" s="246" t="s">
        <v>3316</v>
      </c>
      <c r="J64" s="247" t="s">
        <v>3050</v>
      </c>
      <c r="K64" s="137" t="s">
        <v>3563</v>
      </c>
      <c r="L64" s="40" t="s">
        <v>3564</v>
      </c>
      <c r="M64" s="242" t="s">
        <v>3262</v>
      </c>
      <c r="N64" s="213" t="s">
        <v>3318</v>
      </c>
      <c r="O64" s="139" t="s">
        <v>3565</v>
      </c>
      <c r="P64" s="250"/>
    </row>
    <row r="65" spans="1:16">
      <c r="A65" s="244" t="s">
        <v>3256</v>
      </c>
      <c r="B65" s="42" t="s">
        <v>1767</v>
      </c>
      <c r="C65" s="41" t="s">
        <v>3545</v>
      </c>
      <c r="D65" s="41" t="s">
        <v>3566</v>
      </c>
      <c r="E65" s="41" t="s">
        <v>3567</v>
      </c>
      <c r="F65" s="41" t="s">
        <v>3098</v>
      </c>
      <c r="G65" s="215" t="s">
        <v>3065</v>
      </c>
      <c r="H65" s="42" t="s">
        <v>1771</v>
      </c>
      <c r="I65" s="246" t="s">
        <v>3259</v>
      </c>
      <c r="J65" s="247" t="s">
        <v>3050</v>
      </c>
      <c r="K65" s="137" t="s">
        <v>3548</v>
      </c>
      <c r="L65" s="40" t="s">
        <v>3568</v>
      </c>
      <c r="M65" s="242" t="s">
        <v>3262</v>
      </c>
      <c r="N65" s="213" t="s">
        <v>3318</v>
      </c>
      <c r="O65" s="139" t="s">
        <v>3550</v>
      </c>
      <c r="P65" s="250" t="s">
        <v>4502</v>
      </c>
    </row>
    <row r="66" spans="1:16">
      <c r="A66" s="244" t="s">
        <v>3256</v>
      </c>
      <c r="B66" s="42" t="s">
        <v>1767</v>
      </c>
      <c r="C66" s="41" t="s">
        <v>3545</v>
      </c>
      <c r="D66" s="41" t="s">
        <v>3569</v>
      </c>
      <c r="E66" s="41" t="s">
        <v>4780</v>
      </c>
      <c r="F66" s="41" t="s">
        <v>3058</v>
      </c>
      <c r="G66" s="215" t="s">
        <v>3059</v>
      </c>
      <c r="H66" s="42" t="s">
        <v>1771</v>
      </c>
      <c r="I66" s="246" t="s">
        <v>3259</v>
      </c>
      <c r="J66" s="247" t="s">
        <v>3050</v>
      </c>
      <c r="K66" s="137" t="s">
        <v>3548</v>
      </c>
      <c r="L66" s="40" t="s">
        <v>3570</v>
      </c>
      <c r="M66" s="242" t="s">
        <v>3262</v>
      </c>
      <c r="N66" s="213" t="s">
        <v>3571</v>
      </c>
      <c r="O66" s="139" t="s">
        <v>3550</v>
      </c>
      <c r="P66" s="250"/>
    </row>
    <row r="67" spans="1:16">
      <c r="A67" s="244" t="s">
        <v>3256</v>
      </c>
      <c r="B67" s="42" t="s">
        <v>1767</v>
      </c>
      <c r="C67" s="41" t="s">
        <v>3545</v>
      </c>
      <c r="D67" s="41" t="s">
        <v>3572</v>
      </c>
      <c r="E67" s="41" t="s">
        <v>3573</v>
      </c>
      <c r="F67" s="41" t="s">
        <v>4781</v>
      </c>
      <c r="G67" s="215" t="s">
        <v>3258</v>
      </c>
      <c r="H67" s="42" t="s">
        <v>1771</v>
      </c>
      <c r="I67" s="246" t="s">
        <v>3259</v>
      </c>
      <c r="J67" s="247" t="s">
        <v>3050</v>
      </c>
      <c r="K67" s="137" t="s">
        <v>3553</v>
      </c>
      <c r="L67" s="40" t="s">
        <v>3574</v>
      </c>
      <c r="M67" s="242" t="s">
        <v>3262</v>
      </c>
      <c r="N67" s="213" t="s">
        <v>2790</v>
      </c>
      <c r="O67" s="139" t="s">
        <v>3555</v>
      </c>
      <c r="P67" s="250"/>
    </row>
    <row r="68" spans="1:16">
      <c r="A68" s="244" t="s">
        <v>3256</v>
      </c>
      <c r="B68" s="42" t="s">
        <v>1767</v>
      </c>
      <c r="C68" s="41" t="s">
        <v>3545</v>
      </c>
      <c r="D68" s="41" t="s">
        <v>3575</v>
      </c>
      <c r="E68" s="41" t="s">
        <v>3576</v>
      </c>
      <c r="F68" s="41" t="s">
        <v>4782</v>
      </c>
      <c r="G68" s="215" t="s">
        <v>3258</v>
      </c>
      <c r="H68" s="42" t="s">
        <v>1771</v>
      </c>
      <c r="I68" s="246" t="s">
        <v>3259</v>
      </c>
      <c r="J68" s="247" t="s">
        <v>3050</v>
      </c>
      <c r="K68" s="137" t="s">
        <v>3553</v>
      </c>
      <c r="L68" s="40" t="s">
        <v>3577</v>
      </c>
      <c r="M68" s="242" t="s">
        <v>3262</v>
      </c>
      <c r="N68" s="213" t="s">
        <v>2790</v>
      </c>
      <c r="O68" s="139" t="s">
        <v>3555</v>
      </c>
      <c r="P68" s="250"/>
    </row>
    <row r="69" spans="1:16">
      <c r="A69" s="244" t="s">
        <v>3256</v>
      </c>
      <c r="B69" s="42" t="s">
        <v>1767</v>
      </c>
      <c r="C69" s="41" t="s">
        <v>3545</v>
      </c>
      <c r="D69" s="41" t="s">
        <v>3578</v>
      </c>
      <c r="E69" s="41" t="s">
        <v>3579</v>
      </c>
      <c r="F69" s="41" t="s">
        <v>3099</v>
      </c>
      <c r="G69" s="215" t="s">
        <v>3100</v>
      </c>
      <c r="H69" s="42" t="s">
        <v>1773</v>
      </c>
      <c r="I69" s="246" t="s">
        <v>3316</v>
      </c>
      <c r="J69" s="247" t="s">
        <v>3050</v>
      </c>
      <c r="K69" s="137" t="s">
        <v>3557</v>
      </c>
      <c r="L69" s="40" t="s">
        <v>3580</v>
      </c>
      <c r="M69" s="242" t="s">
        <v>3262</v>
      </c>
      <c r="N69" s="213" t="s">
        <v>3318</v>
      </c>
      <c r="O69" s="139" t="s">
        <v>3560</v>
      </c>
      <c r="P69" s="250"/>
    </row>
    <row r="70" spans="1:16" ht="98" customHeight="1">
      <c r="A70" s="244" t="s">
        <v>3256</v>
      </c>
      <c r="B70" s="42" t="s">
        <v>1767</v>
      </c>
      <c r="C70" s="41" t="s">
        <v>3545</v>
      </c>
      <c r="D70" s="41" t="s">
        <v>3581</v>
      </c>
      <c r="E70" s="41" t="s">
        <v>4783</v>
      </c>
      <c r="F70" s="41" t="s">
        <v>3101</v>
      </c>
      <c r="G70" s="215" t="s">
        <v>4784</v>
      </c>
      <c r="H70" s="42" t="s">
        <v>2798</v>
      </c>
      <c r="I70" s="246" t="s">
        <v>3294</v>
      </c>
      <c r="J70" s="247" t="s">
        <v>4785</v>
      </c>
      <c r="K70" s="137" t="s">
        <v>3557</v>
      </c>
      <c r="L70" s="40" t="s">
        <v>3582</v>
      </c>
      <c r="M70" s="242" t="s">
        <v>3262</v>
      </c>
      <c r="N70" s="213" t="s">
        <v>3318</v>
      </c>
      <c r="O70" s="139" t="s">
        <v>3560</v>
      </c>
      <c r="P70" s="250" t="s">
        <v>4786</v>
      </c>
    </row>
    <row r="71" spans="1:16" ht="150">
      <c r="A71" s="244" t="s">
        <v>3256</v>
      </c>
      <c r="B71" s="42" t="s">
        <v>1767</v>
      </c>
      <c r="C71" s="41" t="s">
        <v>3545</v>
      </c>
      <c r="D71" s="41" t="s">
        <v>3583</v>
      </c>
      <c r="E71" s="41" t="s">
        <v>3584</v>
      </c>
      <c r="F71" s="41" t="s">
        <v>4787</v>
      </c>
      <c r="G71" s="215" t="s">
        <v>3337</v>
      </c>
      <c r="H71" s="42" t="s">
        <v>1774</v>
      </c>
      <c r="I71" s="246" t="s">
        <v>2818</v>
      </c>
      <c r="J71" s="247" t="s">
        <v>4788</v>
      </c>
      <c r="K71" s="137" t="s">
        <v>3548</v>
      </c>
      <c r="L71" s="40" t="s">
        <v>3585</v>
      </c>
      <c r="M71" s="242" t="s">
        <v>3262</v>
      </c>
      <c r="N71" s="213" t="s">
        <v>2796</v>
      </c>
      <c r="O71" s="139" t="s">
        <v>3550</v>
      </c>
      <c r="P71" s="250"/>
    </row>
    <row r="72" spans="1:16">
      <c r="A72" s="244" t="s">
        <v>3256</v>
      </c>
      <c r="B72" s="42" t="s">
        <v>1767</v>
      </c>
      <c r="C72" s="41" t="s">
        <v>3545</v>
      </c>
      <c r="D72" s="41" t="s">
        <v>3586</v>
      </c>
      <c r="E72" s="41" t="s">
        <v>3587</v>
      </c>
      <c r="F72" s="41" t="s">
        <v>3102</v>
      </c>
      <c r="G72" s="215" t="s">
        <v>3103</v>
      </c>
      <c r="H72" s="42" t="s">
        <v>1773</v>
      </c>
      <c r="I72" s="246" t="s">
        <v>3316</v>
      </c>
      <c r="J72" s="247" t="s">
        <v>3050</v>
      </c>
      <c r="K72" s="137" t="s">
        <v>3563</v>
      </c>
      <c r="L72" s="40" t="s">
        <v>3588</v>
      </c>
      <c r="M72" s="242" t="s">
        <v>3262</v>
      </c>
      <c r="N72" s="213" t="s">
        <v>3318</v>
      </c>
      <c r="O72" s="139" t="s">
        <v>3565</v>
      </c>
      <c r="P72" s="250"/>
    </row>
    <row r="73" spans="1:16">
      <c r="A73" s="244" t="s">
        <v>3256</v>
      </c>
      <c r="B73" s="42" t="s">
        <v>1767</v>
      </c>
      <c r="C73" s="41" t="s">
        <v>3308</v>
      </c>
      <c r="D73" s="41" t="s">
        <v>3309</v>
      </c>
      <c r="E73" s="41" t="s">
        <v>3310</v>
      </c>
      <c r="F73" s="41" t="s">
        <v>4789</v>
      </c>
      <c r="G73" s="215" t="s">
        <v>3258</v>
      </c>
      <c r="H73" s="42" t="s">
        <v>1771</v>
      </c>
      <c r="I73" s="246" t="s">
        <v>3259</v>
      </c>
      <c r="J73" s="247" t="s">
        <v>3050</v>
      </c>
      <c r="K73" s="137" t="s">
        <v>3311</v>
      </c>
      <c r="L73" s="40" t="s">
        <v>3312</v>
      </c>
      <c r="M73" s="242" t="s">
        <v>3262</v>
      </c>
      <c r="N73" s="213" t="s">
        <v>2791</v>
      </c>
      <c r="O73" s="139" t="s">
        <v>3313</v>
      </c>
      <c r="P73" s="250"/>
    </row>
    <row r="74" spans="1:16">
      <c r="A74" s="244" t="s">
        <v>3256</v>
      </c>
      <c r="B74" s="42" t="s">
        <v>1767</v>
      </c>
      <c r="C74" s="41" t="s">
        <v>3308</v>
      </c>
      <c r="D74" s="41" t="s">
        <v>3314</v>
      </c>
      <c r="E74" s="41" t="s">
        <v>3315</v>
      </c>
      <c r="F74" s="41" t="s">
        <v>3104</v>
      </c>
      <c r="G74" s="215" t="s">
        <v>3105</v>
      </c>
      <c r="H74" s="42" t="s">
        <v>2798</v>
      </c>
      <c r="I74" s="246" t="s">
        <v>3316</v>
      </c>
      <c r="J74" s="247" t="s">
        <v>3050</v>
      </c>
      <c r="K74" s="137" t="s">
        <v>3311</v>
      </c>
      <c r="L74" s="40" t="s">
        <v>3317</v>
      </c>
      <c r="M74" s="242" t="s">
        <v>3262</v>
      </c>
      <c r="N74" s="213" t="s">
        <v>3318</v>
      </c>
      <c r="O74" s="139" t="s">
        <v>3313</v>
      </c>
      <c r="P74" s="250" t="s">
        <v>4501</v>
      </c>
    </row>
    <row r="75" spans="1:16">
      <c r="A75" s="244" t="s">
        <v>3256</v>
      </c>
      <c r="B75" s="42" t="s">
        <v>1767</v>
      </c>
      <c r="C75" s="41" t="s">
        <v>3308</v>
      </c>
      <c r="D75" s="41" t="s">
        <v>3319</v>
      </c>
      <c r="E75" s="41" t="s">
        <v>3320</v>
      </c>
      <c r="F75" s="41" t="s">
        <v>3106</v>
      </c>
      <c r="G75" s="215" t="s">
        <v>3107</v>
      </c>
      <c r="H75" s="42" t="s">
        <v>2798</v>
      </c>
      <c r="I75" s="246" t="s">
        <v>3316</v>
      </c>
      <c r="J75" s="247" t="s">
        <v>3050</v>
      </c>
      <c r="K75" s="137" t="s">
        <v>3311</v>
      </c>
      <c r="L75" s="40" t="s">
        <v>3321</v>
      </c>
      <c r="M75" s="242" t="s">
        <v>3262</v>
      </c>
      <c r="N75" s="213" t="s">
        <v>3318</v>
      </c>
      <c r="O75" s="139" t="s">
        <v>3313</v>
      </c>
      <c r="P75" s="250" t="s">
        <v>4501</v>
      </c>
    </row>
    <row r="76" spans="1:16">
      <c r="A76" s="244" t="s">
        <v>3256</v>
      </c>
      <c r="B76" s="42" t="s">
        <v>1767</v>
      </c>
      <c r="C76" s="41" t="s">
        <v>3308</v>
      </c>
      <c r="D76" s="41" t="s">
        <v>3322</v>
      </c>
      <c r="E76" s="41" t="s">
        <v>3323</v>
      </c>
      <c r="F76" s="41" t="s">
        <v>3108</v>
      </c>
      <c r="G76" s="215" t="s">
        <v>3109</v>
      </c>
      <c r="H76" s="42" t="s">
        <v>1773</v>
      </c>
      <c r="I76" s="246" t="s">
        <v>3316</v>
      </c>
      <c r="J76" s="247" t="s">
        <v>3050</v>
      </c>
      <c r="K76" s="137" t="s">
        <v>3311</v>
      </c>
      <c r="L76" s="40" t="s">
        <v>3324</v>
      </c>
      <c r="M76" s="242" t="s">
        <v>3262</v>
      </c>
      <c r="N76" s="213" t="s">
        <v>3318</v>
      </c>
      <c r="O76" s="139" t="s">
        <v>3313</v>
      </c>
      <c r="P76" s="250"/>
    </row>
    <row r="77" spans="1:16">
      <c r="A77" s="244" t="s">
        <v>3256</v>
      </c>
      <c r="B77" s="42" t="s">
        <v>1767</v>
      </c>
      <c r="C77" s="41" t="s">
        <v>3308</v>
      </c>
      <c r="D77" s="41" t="s">
        <v>3325</v>
      </c>
      <c r="E77" s="41" t="s">
        <v>3326</v>
      </c>
      <c r="F77" s="41" t="s">
        <v>3110</v>
      </c>
      <c r="G77" s="215" t="s">
        <v>3111</v>
      </c>
      <c r="H77" s="42" t="s">
        <v>2798</v>
      </c>
      <c r="I77" s="246" t="s">
        <v>3316</v>
      </c>
      <c r="J77" s="247" t="s">
        <v>3050</v>
      </c>
      <c r="K77" s="137" t="s">
        <v>3311</v>
      </c>
      <c r="L77" s="40" t="s">
        <v>3327</v>
      </c>
      <c r="M77" s="242" t="s">
        <v>3262</v>
      </c>
      <c r="N77" s="213" t="s">
        <v>3318</v>
      </c>
      <c r="O77" s="139" t="s">
        <v>3313</v>
      </c>
      <c r="P77" s="250" t="s">
        <v>4501</v>
      </c>
    </row>
    <row r="78" spans="1:16" ht="120">
      <c r="A78" s="244" t="s">
        <v>3256</v>
      </c>
      <c r="B78" s="42" t="s">
        <v>1767</v>
      </c>
      <c r="C78" s="41" t="s">
        <v>3308</v>
      </c>
      <c r="D78" s="41" t="s">
        <v>3328</v>
      </c>
      <c r="E78" s="41" t="s">
        <v>4790</v>
      </c>
      <c r="F78" s="41" t="s">
        <v>4791</v>
      </c>
      <c r="G78" s="215" t="s">
        <v>3329</v>
      </c>
      <c r="H78" s="42" t="s">
        <v>1774</v>
      </c>
      <c r="I78" s="246" t="s">
        <v>3330</v>
      </c>
      <c r="J78" s="247" t="s">
        <v>4792</v>
      </c>
      <c r="K78" s="137" t="s">
        <v>3331</v>
      </c>
      <c r="L78" s="40" t="s">
        <v>3332</v>
      </c>
      <c r="M78" s="242" t="s">
        <v>3262</v>
      </c>
      <c r="N78" s="213" t="s">
        <v>3333</v>
      </c>
      <c r="O78" s="139" t="s">
        <v>3334</v>
      </c>
      <c r="P78" s="250" t="s">
        <v>4503</v>
      </c>
    </row>
    <row r="79" spans="1:16" ht="112" customHeight="1">
      <c r="A79" s="244" t="s">
        <v>3256</v>
      </c>
      <c r="B79" s="42" t="s">
        <v>1767</v>
      </c>
      <c r="C79" s="41" t="s">
        <v>3308</v>
      </c>
      <c r="D79" s="41" t="s">
        <v>3335</v>
      </c>
      <c r="E79" s="41" t="s">
        <v>3336</v>
      </c>
      <c r="F79" s="41" t="s">
        <v>4793</v>
      </c>
      <c r="G79" s="215" t="s">
        <v>3337</v>
      </c>
      <c r="H79" s="42" t="s">
        <v>1774</v>
      </c>
      <c r="I79" s="246" t="s">
        <v>3338</v>
      </c>
      <c r="J79" s="247" t="s">
        <v>4794</v>
      </c>
      <c r="K79" s="137" t="s">
        <v>3339</v>
      </c>
      <c r="L79" s="40" t="s">
        <v>3340</v>
      </c>
      <c r="M79" s="242" t="s">
        <v>3262</v>
      </c>
      <c r="N79" s="213" t="s">
        <v>2796</v>
      </c>
      <c r="O79" s="139" t="s">
        <v>3341</v>
      </c>
      <c r="P79" s="250"/>
    </row>
    <row r="80" spans="1:16" ht="105">
      <c r="A80" s="244" t="s">
        <v>3256</v>
      </c>
      <c r="B80" s="42" t="s">
        <v>1767</v>
      </c>
      <c r="C80" s="41" t="s">
        <v>3308</v>
      </c>
      <c r="D80" s="41" t="s">
        <v>3342</v>
      </c>
      <c r="E80" s="41" t="s">
        <v>3343</v>
      </c>
      <c r="F80" s="41" t="s">
        <v>4795</v>
      </c>
      <c r="G80" s="215" t="s">
        <v>3337</v>
      </c>
      <c r="H80" s="42" t="s">
        <v>1774</v>
      </c>
      <c r="I80" s="246" t="s">
        <v>3338</v>
      </c>
      <c r="J80" s="247" t="s">
        <v>4796</v>
      </c>
      <c r="K80" s="137" t="s">
        <v>3339</v>
      </c>
      <c r="L80" s="40" t="s">
        <v>3344</v>
      </c>
      <c r="M80" s="242" t="s">
        <v>3262</v>
      </c>
      <c r="N80" s="213" t="s">
        <v>2796</v>
      </c>
      <c r="O80" s="139" t="s">
        <v>3341</v>
      </c>
      <c r="P80" s="250"/>
    </row>
    <row r="81" spans="1:16">
      <c r="A81" s="244" t="s">
        <v>3256</v>
      </c>
      <c r="B81" s="42" t="s">
        <v>1767</v>
      </c>
      <c r="C81" s="41" t="s">
        <v>3308</v>
      </c>
      <c r="D81" s="41" t="s">
        <v>3345</v>
      </c>
      <c r="E81" s="41" t="s">
        <v>4797</v>
      </c>
      <c r="F81" s="41" t="s">
        <v>3060</v>
      </c>
      <c r="G81" s="215" t="s">
        <v>3061</v>
      </c>
      <c r="H81" s="42" t="s">
        <v>1771</v>
      </c>
      <c r="I81" s="246" t="s">
        <v>3259</v>
      </c>
      <c r="J81" s="247" t="s">
        <v>3050</v>
      </c>
      <c r="K81" s="137" t="s">
        <v>3311</v>
      </c>
      <c r="L81" s="40" t="s">
        <v>3346</v>
      </c>
      <c r="M81" s="242" t="s">
        <v>3262</v>
      </c>
      <c r="N81" s="213" t="s">
        <v>3347</v>
      </c>
      <c r="O81" s="139" t="s">
        <v>3313</v>
      </c>
      <c r="P81" s="250"/>
    </row>
    <row r="82" spans="1:16" ht="120">
      <c r="A82" s="244" t="s">
        <v>3256</v>
      </c>
      <c r="B82" s="42" t="s">
        <v>1767</v>
      </c>
      <c r="C82" s="41" t="s">
        <v>3308</v>
      </c>
      <c r="D82" s="41" t="s">
        <v>3348</v>
      </c>
      <c r="E82" s="41" t="s">
        <v>3349</v>
      </c>
      <c r="F82" s="41" t="s">
        <v>4798</v>
      </c>
      <c r="G82" s="215" t="s">
        <v>3337</v>
      </c>
      <c r="H82" s="42" t="s">
        <v>1774</v>
      </c>
      <c r="I82" s="246" t="s">
        <v>3338</v>
      </c>
      <c r="J82" s="247" t="s">
        <v>4799</v>
      </c>
      <c r="K82" s="137" t="s">
        <v>3331</v>
      </c>
      <c r="L82" s="40" t="s">
        <v>3350</v>
      </c>
      <c r="M82" s="242" t="s">
        <v>3262</v>
      </c>
      <c r="N82" s="213" t="s">
        <v>2796</v>
      </c>
      <c r="O82" s="139" t="s">
        <v>3334</v>
      </c>
      <c r="P82" s="250"/>
    </row>
    <row r="83" spans="1:16" ht="120">
      <c r="A83" s="244" t="s">
        <v>3256</v>
      </c>
      <c r="B83" s="42" t="s">
        <v>1767</v>
      </c>
      <c r="C83" s="41" t="s">
        <v>3308</v>
      </c>
      <c r="D83" s="41" t="s">
        <v>3351</v>
      </c>
      <c r="E83" s="41" t="s">
        <v>3352</v>
      </c>
      <c r="F83" s="41" t="s">
        <v>4800</v>
      </c>
      <c r="G83" s="215" t="s">
        <v>3337</v>
      </c>
      <c r="H83" s="42" t="s">
        <v>1774</v>
      </c>
      <c r="I83" s="246" t="s">
        <v>3338</v>
      </c>
      <c r="J83" s="247" t="s">
        <v>4801</v>
      </c>
      <c r="K83" s="137" t="s">
        <v>3331</v>
      </c>
      <c r="L83" s="40" t="s">
        <v>3353</v>
      </c>
      <c r="M83" s="242" t="s">
        <v>3262</v>
      </c>
      <c r="N83" s="213" t="s">
        <v>2796</v>
      </c>
      <c r="O83" s="139" t="s">
        <v>3334</v>
      </c>
      <c r="P83" s="250"/>
    </row>
    <row r="84" spans="1:16" ht="135">
      <c r="A84" s="244" t="s">
        <v>3256</v>
      </c>
      <c r="B84" s="42" t="s">
        <v>1767</v>
      </c>
      <c r="C84" s="41" t="s">
        <v>3308</v>
      </c>
      <c r="D84" s="41" t="s">
        <v>3354</v>
      </c>
      <c r="E84" s="41" t="s">
        <v>3355</v>
      </c>
      <c r="F84" s="41" t="s">
        <v>4802</v>
      </c>
      <c r="G84" s="215" t="s">
        <v>3337</v>
      </c>
      <c r="H84" s="42" t="s">
        <v>1774</v>
      </c>
      <c r="I84" s="246" t="s">
        <v>3338</v>
      </c>
      <c r="J84" s="247" t="s">
        <v>4803</v>
      </c>
      <c r="K84" s="137" t="s">
        <v>3331</v>
      </c>
      <c r="L84" s="40" t="s">
        <v>3356</v>
      </c>
      <c r="M84" s="242" t="s">
        <v>3262</v>
      </c>
      <c r="N84" s="213" t="s">
        <v>2796</v>
      </c>
      <c r="O84" s="139" t="s">
        <v>3334</v>
      </c>
      <c r="P84" s="250"/>
    </row>
    <row r="85" spans="1:16">
      <c r="A85" s="244" t="s">
        <v>3256</v>
      </c>
      <c r="B85" s="42" t="s">
        <v>1767</v>
      </c>
      <c r="C85" s="41" t="s">
        <v>3441</v>
      </c>
      <c r="D85" s="41" t="s">
        <v>3442</v>
      </c>
      <c r="E85" s="41" t="s">
        <v>4804</v>
      </c>
      <c r="F85" s="41" t="s">
        <v>4743</v>
      </c>
      <c r="G85" s="215" t="s">
        <v>3258</v>
      </c>
      <c r="H85" s="42" t="s">
        <v>1771</v>
      </c>
      <c r="I85" s="246" t="s">
        <v>3259</v>
      </c>
      <c r="J85" s="247" t="s">
        <v>3050</v>
      </c>
      <c r="K85" s="137" t="s">
        <v>3443</v>
      </c>
      <c r="L85" s="40" t="s">
        <v>3444</v>
      </c>
      <c r="M85" s="242" t="s">
        <v>3262</v>
      </c>
      <c r="N85" s="213" t="s">
        <v>2792</v>
      </c>
      <c r="O85" s="139" t="s">
        <v>3445</v>
      </c>
      <c r="P85" s="250"/>
    </row>
    <row r="86" spans="1:16" ht="98" customHeight="1">
      <c r="A86" s="244" t="s">
        <v>3256</v>
      </c>
      <c r="B86" s="42" t="s">
        <v>1767</v>
      </c>
      <c r="C86" s="41" t="s">
        <v>3441</v>
      </c>
      <c r="D86" s="41" t="s">
        <v>3446</v>
      </c>
      <c r="E86" s="41" t="s">
        <v>4805</v>
      </c>
      <c r="F86" s="41" t="s">
        <v>3062</v>
      </c>
      <c r="G86" s="215" t="s">
        <v>3063</v>
      </c>
      <c r="H86" s="42" t="s">
        <v>1771</v>
      </c>
      <c r="I86" s="246" t="s">
        <v>3259</v>
      </c>
      <c r="J86" s="247" t="s">
        <v>3050</v>
      </c>
      <c r="K86" s="137" t="s">
        <v>3443</v>
      </c>
      <c r="L86" s="40" t="s">
        <v>3447</v>
      </c>
      <c r="M86" s="242" t="s">
        <v>3262</v>
      </c>
      <c r="N86" s="213" t="s">
        <v>2793</v>
      </c>
      <c r="O86" s="139" t="s">
        <v>3445</v>
      </c>
      <c r="P86" s="250"/>
    </row>
    <row r="87" spans="1:16" ht="126" customHeight="1">
      <c r="A87" s="244" t="s">
        <v>3256</v>
      </c>
      <c r="B87" s="42" t="s">
        <v>1767</v>
      </c>
      <c r="C87" s="41" t="s">
        <v>3441</v>
      </c>
      <c r="D87" s="41" t="s">
        <v>3448</v>
      </c>
      <c r="E87" s="41" t="s">
        <v>4806</v>
      </c>
      <c r="F87" s="41" t="s">
        <v>3064</v>
      </c>
      <c r="G87" s="215" t="s">
        <v>3065</v>
      </c>
      <c r="H87" s="42" t="s">
        <v>1771</v>
      </c>
      <c r="I87" s="246" t="s">
        <v>3259</v>
      </c>
      <c r="J87" s="247" t="s">
        <v>3050</v>
      </c>
      <c r="K87" s="137" t="s">
        <v>3443</v>
      </c>
      <c r="L87" s="40" t="s">
        <v>3449</v>
      </c>
      <c r="M87" s="242" t="s">
        <v>3262</v>
      </c>
      <c r="N87" s="213" t="s">
        <v>3450</v>
      </c>
      <c r="O87" s="139" t="s">
        <v>3445</v>
      </c>
      <c r="P87" s="250"/>
    </row>
    <row r="88" spans="1:16" ht="98" customHeight="1">
      <c r="A88" s="244" t="s">
        <v>3256</v>
      </c>
      <c r="B88" s="42" t="s">
        <v>1767</v>
      </c>
      <c r="C88" s="41" t="s">
        <v>3441</v>
      </c>
      <c r="D88" s="41" t="s">
        <v>3451</v>
      </c>
      <c r="E88" s="41" t="s">
        <v>4807</v>
      </c>
      <c r="F88" s="41" t="s">
        <v>3066</v>
      </c>
      <c r="G88" s="215" t="s">
        <v>3067</v>
      </c>
      <c r="H88" s="42" t="s">
        <v>1773</v>
      </c>
      <c r="I88" s="246" t="s">
        <v>1769</v>
      </c>
      <c r="J88" s="247" t="s">
        <v>3050</v>
      </c>
      <c r="K88" s="137" t="s">
        <v>3443</v>
      </c>
      <c r="L88" s="40" t="s">
        <v>3452</v>
      </c>
      <c r="M88" s="242" t="s">
        <v>3262</v>
      </c>
      <c r="N88" s="213" t="s">
        <v>3453</v>
      </c>
      <c r="O88" s="139" t="s">
        <v>3445</v>
      </c>
      <c r="P88" s="250"/>
    </row>
    <row r="89" spans="1:16" ht="135">
      <c r="A89" s="244" t="s">
        <v>3256</v>
      </c>
      <c r="B89" s="42" t="s">
        <v>1767</v>
      </c>
      <c r="C89" s="41" t="s">
        <v>3441</v>
      </c>
      <c r="D89" s="41" t="s">
        <v>2795</v>
      </c>
      <c r="E89" s="41" t="s">
        <v>4808</v>
      </c>
      <c r="F89" s="41" t="s">
        <v>4809</v>
      </c>
      <c r="G89" s="215" t="s">
        <v>3337</v>
      </c>
      <c r="H89" s="42" t="s">
        <v>1774</v>
      </c>
      <c r="I89" s="246" t="s">
        <v>3274</v>
      </c>
      <c r="J89" s="247" t="s">
        <v>4810</v>
      </c>
      <c r="K89" s="137" t="s">
        <v>3454</v>
      </c>
      <c r="L89" s="40" t="s">
        <v>3455</v>
      </c>
      <c r="M89" s="242" t="s">
        <v>3262</v>
      </c>
      <c r="N89" s="249" t="s">
        <v>3456</v>
      </c>
      <c r="O89" s="139" t="s">
        <v>3457</v>
      </c>
      <c r="P89" s="250"/>
    </row>
    <row r="90" spans="1:16" ht="98" customHeight="1">
      <c r="A90" s="244" t="s">
        <v>3256</v>
      </c>
      <c r="B90" s="42" t="s">
        <v>1767</v>
      </c>
      <c r="C90" s="41" t="s">
        <v>3441</v>
      </c>
      <c r="D90" s="41" t="s">
        <v>3458</v>
      </c>
      <c r="E90" s="41" t="s">
        <v>4811</v>
      </c>
      <c r="F90" s="41" t="s">
        <v>3112</v>
      </c>
      <c r="G90" s="215" t="s">
        <v>3113</v>
      </c>
      <c r="H90" s="42" t="s">
        <v>2798</v>
      </c>
      <c r="I90" s="246" t="s">
        <v>3316</v>
      </c>
      <c r="J90" s="247" t="s">
        <v>3050</v>
      </c>
      <c r="K90" s="137" t="s">
        <v>3454</v>
      </c>
      <c r="L90" s="40" t="s">
        <v>3459</v>
      </c>
      <c r="M90" s="242" t="s">
        <v>3262</v>
      </c>
      <c r="N90" s="213" t="s">
        <v>3460</v>
      </c>
      <c r="O90" s="139" t="s">
        <v>3457</v>
      </c>
      <c r="P90" s="250" t="s">
        <v>4501</v>
      </c>
    </row>
    <row r="91" spans="1:16" ht="98" customHeight="1">
      <c r="A91" s="244" t="s">
        <v>3256</v>
      </c>
      <c r="B91" s="42" t="s">
        <v>1767</v>
      </c>
      <c r="C91" s="41" t="s">
        <v>3441</v>
      </c>
      <c r="D91" s="41" t="s">
        <v>3461</v>
      </c>
      <c r="E91" s="41" t="s">
        <v>3462</v>
      </c>
      <c r="F91" s="41" t="s">
        <v>4812</v>
      </c>
      <c r="G91" s="215" t="s">
        <v>3258</v>
      </c>
      <c r="H91" s="42" t="s">
        <v>1771</v>
      </c>
      <c r="I91" s="246" t="s">
        <v>3259</v>
      </c>
      <c r="J91" s="247" t="s">
        <v>3050</v>
      </c>
      <c r="K91" s="137" t="s">
        <v>3443</v>
      </c>
      <c r="L91" s="40" t="s">
        <v>3463</v>
      </c>
      <c r="M91" s="242" t="s">
        <v>3262</v>
      </c>
      <c r="N91" s="213" t="s">
        <v>3464</v>
      </c>
      <c r="O91" s="139" t="s">
        <v>3445</v>
      </c>
      <c r="P91" s="250"/>
    </row>
    <row r="92" spans="1:16" ht="112" customHeight="1">
      <c r="A92" s="244" t="s">
        <v>3256</v>
      </c>
      <c r="B92" s="42" t="s">
        <v>1767</v>
      </c>
      <c r="C92" s="41" t="s">
        <v>3441</v>
      </c>
      <c r="D92" s="41" t="s">
        <v>3465</v>
      </c>
      <c r="E92" s="41" t="s">
        <v>3466</v>
      </c>
      <c r="F92" s="41" t="s">
        <v>4813</v>
      </c>
      <c r="G92" s="215" t="s">
        <v>3258</v>
      </c>
      <c r="H92" s="42" t="s">
        <v>1771</v>
      </c>
      <c r="I92" s="246" t="s">
        <v>3259</v>
      </c>
      <c r="J92" s="247" t="s">
        <v>3050</v>
      </c>
      <c r="K92" s="137" t="s">
        <v>3467</v>
      </c>
      <c r="L92" s="40" t="s">
        <v>3468</v>
      </c>
      <c r="M92" s="242" t="s">
        <v>3262</v>
      </c>
      <c r="N92" s="213" t="s">
        <v>3469</v>
      </c>
      <c r="O92" s="139" t="s">
        <v>3470</v>
      </c>
      <c r="P92" s="250"/>
    </row>
    <row r="93" spans="1:16">
      <c r="A93" s="244" t="s">
        <v>3256</v>
      </c>
      <c r="B93" s="42" t="s">
        <v>1767</v>
      </c>
      <c r="C93" s="41" t="s">
        <v>3441</v>
      </c>
      <c r="D93" s="41" t="s">
        <v>3471</v>
      </c>
      <c r="E93" s="41" t="s">
        <v>4814</v>
      </c>
      <c r="F93" s="41" t="s">
        <v>4815</v>
      </c>
      <c r="G93" s="215" t="s">
        <v>3258</v>
      </c>
      <c r="H93" s="42" t="s">
        <v>1771</v>
      </c>
      <c r="I93" s="246" t="s">
        <v>3259</v>
      </c>
      <c r="J93" s="247" t="s">
        <v>3050</v>
      </c>
      <c r="K93" s="137" t="s">
        <v>3467</v>
      </c>
      <c r="L93" s="40" t="s">
        <v>3472</v>
      </c>
      <c r="M93" s="242" t="s">
        <v>3262</v>
      </c>
      <c r="N93" s="213" t="s">
        <v>2794</v>
      </c>
      <c r="O93" s="139" t="s">
        <v>3470</v>
      </c>
      <c r="P93" s="250"/>
    </row>
    <row r="94" spans="1:16">
      <c r="A94" s="244" t="s">
        <v>3256</v>
      </c>
      <c r="B94" s="42" t="s">
        <v>1767</v>
      </c>
      <c r="C94" s="41" t="s">
        <v>3441</v>
      </c>
      <c r="D94" s="41" t="s">
        <v>3473</v>
      </c>
      <c r="E94" s="41" t="s">
        <v>4816</v>
      </c>
      <c r="F94" s="41" t="s">
        <v>3068</v>
      </c>
      <c r="G94" s="215" t="s">
        <v>3065</v>
      </c>
      <c r="H94" s="42" t="s">
        <v>1771</v>
      </c>
      <c r="I94" s="246" t="s">
        <v>3259</v>
      </c>
      <c r="J94" s="247" t="s">
        <v>3050</v>
      </c>
      <c r="K94" s="137" t="s">
        <v>3454</v>
      </c>
      <c r="L94" s="40" t="s">
        <v>3474</v>
      </c>
      <c r="M94" s="242" t="s">
        <v>3262</v>
      </c>
      <c r="N94" s="213" t="s">
        <v>2797</v>
      </c>
      <c r="O94" s="139" t="s">
        <v>3457</v>
      </c>
      <c r="P94" s="250" t="s">
        <v>4502</v>
      </c>
    </row>
    <row r="95" spans="1:16" ht="120">
      <c r="A95" s="244" t="s">
        <v>3256</v>
      </c>
      <c r="B95" s="42" t="s">
        <v>1768</v>
      </c>
      <c r="C95" s="41" t="s">
        <v>3842</v>
      </c>
      <c r="D95" s="41" t="s">
        <v>3843</v>
      </c>
      <c r="E95" s="41" t="s">
        <v>3844</v>
      </c>
      <c r="F95" s="41" t="s">
        <v>4817</v>
      </c>
      <c r="G95" s="215" t="s">
        <v>3337</v>
      </c>
      <c r="H95" s="42" t="s">
        <v>1774</v>
      </c>
      <c r="I95" s="246" t="s">
        <v>4678</v>
      </c>
      <c r="J95" s="247" t="s">
        <v>4818</v>
      </c>
      <c r="K95" s="137" t="s">
        <v>3845</v>
      </c>
      <c r="L95" s="40" t="s">
        <v>3846</v>
      </c>
      <c r="M95" s="242" t="s">
        <v>3262</v>
      </c>
      <c r="N95" s="213" t="s">
        <v>2803</v>
      </c>
      <c r="O95" s="139" t="s">
        <v>3847</v>
      </c>
      <c r="P95" s="250"/>
    </row>
    <row r="96" spans="1:16" ht="120">
      <c r="A96" s="244" t="s">
        <v>3256</v>
      </c>
      <c r="B96" s="42" t="s">
        <v>1768</v>
      </c>
      <c r="C96" s="41" t="s">
        <v>3842</v>
      </c>
      <c r="D96" s="41" t="s">
        <v>3848</v>
      </c>
      <c r="E96" s="41" t="s">
        <v>3849</v>
      </c>
      <c r="F96" s="41" t="s">
        <v>4819</v>
      </c>
      <c r="G96" s="215" t="s">
        <v>3337</v>
      </c>
      <c r="H96" s="42" t="s">
        <v>1774</v>
      </c>
      <c r="I96" s="246" t="s">
        <v>2818</v>
      </c>
      <c r="J96" s="247" t="s">
        <v>4820</v>
      </c>
      <c r="K96" s="137" t="s">
        <v>3850</v>
      </c>
      <c r="L96" s="40" t="s">
        <v>3851</v>
      </c>
      <c r="M96" s="242" t="s">
        <v>3262</v>
      </c>
      <c r="N96" s="213" t="s">
        <v>2796</v>
      </c>
      <c r="O96" s="139" t="s">
        <v>3852</v>
      </c>
      <c r="P96" s="250"/>
    </row>
    <row r="97" spans="1:16">
      <c r="A97" s="244" t="s">
        <v>3256</v>
      </c>
      <c r="B97" s="42" t="s">
        <v>1768</v>
      </c>
      <c r="C97" s="41" t="s">
        <v>3842</v>
      </c>
      <c r="D97" s="41" t="s">
        <v>3853</v>
      </c>
      <c r="E97" s="41" t="s">
        <v>3854</v>
      </c>
      <c r="F97" s="41" t="s">
        <v>4821</v>
      </c>
      <c r="G97" s="215" t="s">
        <v>3268</v>
      </c>
      <c r="H97" s="42" t="s">
        <v>674</v>
      </c>
      <c r="I97" s="246" t="s">
        <v>3269</v>
      </c>
      <c r="J97" s="247" t="s">
        <v>3050</v>
      </c>
      <c r="K97" s="137" t="s">
        <v>3845</v>
      </c>
      <c r="L97" s="40" t="s">
        <v>3855</v>
      </c>
      <c r="M97" s="242" t="s">
        <v>3262</v>
      </c>
      <c r="N97" s="213" t="s">
        <v>3271</v>
      </c>
      <c r="O97" s="139" t="s">
        <v>3847</v>
      </c>
      <c r="P97" s="250"/>
    </row>
    <row r="98" spans="1:16" ht="112" customHeight="1">
      <c r="A98" s="244" t="s">
        <v>3256</v>
      </c>
      <c r="B98" s="42" t="s">
        <v>1768</v>
      </c>
      <c r="C98" s="41" t="s">
        <v>3842</v>
      </c>
      <c r="D98" s="41" t="s">
        <v>3856</v>
      </c>
      <c r="E98" s="41" t="s">
        <v>4822</v>
      </c>
      <c r="F98" s="41" t="s">
        <v>3069</v>
      </c>
      <c r="G98" s="215" t="s">
        <v>3070</v>
      </c>
      <c r="H98" s="42" t="s">
        <v>1771</v>
      </c>
      <c r="I98" s="246" t="s">
        <v>3259</v>
      </c>
      <c r="J98" s="247" t="s">
        <v>3050</v>
      </c>
      <c r="K98" s="137" t="s">
        <v>3845</v>
      </c>
      <c r="L98" s="40" t="s">
        <v>3857</v>
      </c>
      <c r="M98" s="242" t="s">
        <v>3262</v>
      </c>
      <c r="N98" s="213" t="s">
        <v>3858</v>
      </c>
      <c r="O98" s="139" t="s">
        <v>3847</v>
      </c>
      <c r="P98" s="250"/>
    </row>
    <row r="99" spans="1:16">
      <c r="A99" s="244" t="s">
        <v>3256</v>
      </c>
      <c r="B99" s="42" t="s">
        <v>1768</v>
      </c>
      <c r="C99" s="41" t="s">
        <v>3842</v>
      </c>
      <c r="D99" s="41" t="s">
        <v>3859</v>
      </c>
      <c r="E99" s="41" t="s">
        <v>4823</v>
      </c>
      <c r="F99" s="41" t="s">
        <v>3071</v>
      </c>
      <c r="G99" s="215" t="s">
        <v>3072</v>
      </c>
      <c r="H99" s="42" t="s">
        <v>1771</v>
      </c>
      <c r="I99" s="246" t="s">
        <v>3259</v>
      </c>
      <c r="J99" s="247" t="s">
        <v>3050</v>
      </c>
      <c r="K99" s="137" t="s">
        <v>3845</v>
      </c>
      <c r="L99" s="40" t="s">
        <v>3860</v>
      </c>
      <c r="M99" s="242" t="s">
        <v>3262</v>
      </c>
      <c r="N99" s="213" t="s">
        <v>3858</v>
      </c>
      <c r="O99" s="139" t="s">
        <v>3847</v>
      </c>
      <c r="P99" s="250"/>
    </row>
    <row r="100" spans="1:16" ht="135">
      <c r="A100" s="244" t="s">
        <v>3256</v>
      </c>
      <c r="B100" s="42" t="s">
        <v>1768</v>
      </c>
      <c r="C100" s="41" t="s">
        <v>3842</v>
      </c>
      <c r="D100" s="41" t="s">
        <v>3861</v>
      </c>
      <c r="E100" s="41" t="s">
        <v>3862</v>
      </c>
      <c r="F100" s="41" t="s">
        <v>4824</v>
      </c>
      <c r="G100" s="215" t="s">
        <v>3337</v>
      </c>
      <c r="H100" s="42" t="s">
        <v>1774</v>
      </c>
      <c r="I100" s="246" t="s">
        <v>3338</v>
      </c>
      <c r="J100" s="247" t="s">
        <v>4825</v>
      </c>
      <c r="K100" s="137" t="s">
        <v>3850</v>
      </c>
      <c r="L100" s="40" t="s">
        <v>3863</v>
      </c>
      <c r="M100" s="242" t="s">
        <v>3262</v>
      </c>
      <c r="N100" s="213" t="s">
        <v>2796</v>
      </c>
      <c r="O100" s="139" t="s">
        <v>3852</v>
      </c>
      <c r="P100" s="250"/>
    </row>
    <row r="101" spans="1:16" ht="135">
      <c r="A101" s="244" t="s">
        <v>3256</v>
      </c>
      <c r="B101" s="42" t="s">
        <v>1768</v>
      </c>
      <c r="C101" s="41" t="s">
        <v>3842</v>
      </c>
      <c r="D101" s="41" t="s">
        <v>3864</v>
      </c>
      <c r="E101" s="41" t="s">
        <v>3865</v>
      </c>
      <c r="F101" s="41" t="s">
        <v>4826</v>
      </c>
      <c r="G101" s="215" t="s">
        <v>3337</v>
      </c>
      <c r="H101" s="42" t="s">
        <v>1774</v>
      </c>
      <c r="I101" s="246" t="s">
        <v>2818</v>
      </c>
      <c r="J101" s="247" t="s">
        <v>4827</v>
      </c>
      <c r="K101" s="137" t="s">
        <v>3850</v>
      </c>
      <c r="L101" s="40" t="s">
        <v>3866</v>
      </c>
      <c r="M101" s="242" t="s">
        <v>3262</v>
      </c>
      <c r="N101" s="213" t="s">
        <v>2796</v>
      </c>
      <c r="O101" s="139" t="s">
        <v>3852</v>
      </c>
      <c r="P101" s="250"/>
    </row>
    <row r="102" spans="1:16">
      <c r="A102" s="244" t="s">
        <v>3256</v>
      </c>
      <c r="B102" s="42" t="s">
        <v>1768</v>
      </c>
      <c r="C102" s="41" t="s">
        <v>3842</v>
      </c>
      <c r="D102" s="41" t="s">
        <v>3867</v>
      </c>
      <c r="E102" s="41" t="s">
        <v>4828</v>
      </c>
      <c r="F102" s="41" t="s">
        <v>3073</v>
      </c>
      <c r="G102" s="215" t="s">
        <v>3074</v>
      </c>
      <c r="H102" s="42" t="s">
        <v>1773</v>
      </c>
      <c r="I102" s="246" t="s">
        <v>3316</v>
      </c>
      <c r="J102" s="247" t="s">
        <v>3050</v>
      </c>
      <c r="K102" s="137" t="s">
        <v>3845</v>
      </c>
      <c r="L102" s="40" t="s">
        <v>3868</v>
      </c>
      <c r="M102" s="242" t="s">
        <v>3262</v>
      </c>
      <c r="N102" s="213" t="s">
        <v>3858</v>
      </c>
      <c r="O102" s="139" t="s">
        <v>3847</v>
      </c>
      <c r="P102" s="250"/>
    </row>
    <row r="103" spans="1:16" ht="105">
      <c r="A103" s="244" t="s">
        <v>3256</v>
      </c>
      <c r="B103" s="42" t="s">
        <v>1768</v>
      </c>
      <c r="C103" s="41" t="s">
        <v>3842</v>
      </c>
      <c r="D103" s="41" t="s">
        <v>3869</v>
      </c>
      <c r="E103" s="41" t="s">
        <v>3870</v>
      </c>
      <c r="F103" s="41" t="s">
        <v>4829</v>
      </c>
      <c r="G103" s="215" t="s">
        <v>3293</v>
      </c>
      <c r="H103" s="42" t="s">
        <v>1774</v>
      </c>
      <c r="I103" s="246" t="s">
        <v>3294</v>
      </c>
      <c r="J103" s="247" t="s">
        <v>4830</v>
      </c>
      <c r="K103" s="137" t="s">
        <v>3871</v>
      </c>
      <c r="L103" s="40" t="s">
        <v>3872</v>
      </c>
      <c r="M103" s="242" t="s">
        <v>3262</v>
      </c>
      <c r="N103" s="213" t="s">
        <v>2788</v>
      </c>
      <c r="O103" s="139" t="s">
        <v>3873</v>
      </c>
      <c r="P103" s="250"/>
    </row>
    <row r="104" spans="1:16" ht="120">
      <c r="A104" s="244" t="s">
        <v>3256</v>
      </c>
      <c r="B104" s="42" t="s">
        <v>1768</v>
      </c>
      <c r="C104" s="41" t="s">
        <v>3842</v>
      </c>
      <c r="D104" s="41" t="s">
        <v>3874</v>
      </c>
      <c r="E104" s="41" t="s">
        <v>3875</v>
      </c>
      <c r="F104" s="41" t="s">
        <v>4831</v>
      </c>
      <c r="G104" s="215" t="s">
        <v>3337</v>
      </c>
      <c r="H104" s="42" t="s">
        <v>1774</v>
      </c>
      <c r="I104" s="246" t="s">
        <v>3338</v>
      </c>
      <c r="J104" s="247" t="s">
        <v>4832</v>
      </c>
      <c r="K104" s="137" t="s">
        <v>3871</v>
      </c>
      <c r="L104" s="40" t="s">
        <v>3876</v>
      </c>
      <c r="M104" s="242" t="s">
        <v>3262</v>
      </c>
      <c r="N104" s="213" t="s">
        <v>2796</v>
      </c>
      <c r="O104" s="139" t="s">
        <v>3873</v>
      </c>
      <c r="P104" s="250"/>
    </row>
    <row r="105" spans="1:16" ht="112" customHeight="1">
      <c r="A105" s="244" t="s">
        <v>3256</v>
      </c>
      <c r="B105" s="42" t="s">
        <v>1768</v>
      </c>
      <c r="C105" s="41" t="s">
        <v>3842</v>
      </c>
      <c r="D105" s="41" t="s">
        <v>3877</v>
      </c>
      <c r="E105" s="41" t="s">
        <v>3878</v>
      </c>
      <c r="F105" s="41" t="s">
        <v>4833</v>
      </c>
      <c r="G105" s="215" t="s">
        <v>3337</v>
      </c>
      <c r="H105" s="42" t="s">
        <v>1774</v>
      </c>
      <c r="I105" s="246" t="s">
        <v>3338</v>
      </c>
      <c r="J105" s="247" t="s">
        <v>4834</v>
      </c>
      <c r="K105" s="137" t="s">
        <v>3871</v>
      </c>
      <c r="L105" s="40" t="s">
        <v>3879</v>
      </c>
      <c r="M105" s="242" t="s">
        <v>3262</v>
      </c>
      <c r="N105" s="213" t="s">
        <v>2796</v>
      </c>
      <c r="O105" s="139" t="s">
        <v>3873</v>
      </c>
      <c r="P105" s="250"/>
    </row>
    <row r="106" spans="1:16" ht="112" customHeight="1">
      <c r="A106" s="244" t="s">
        <v>3256</v>
      </c>
      <c r="B106" s="42" t="s">
        <v>1768</v>
      </c>
      <c r="C106" s="41" t="s">
        <v>3842</v>
      </c>
      <c r="D106" s="41" t="s">
        <v>3880</v>
      </c>
      <c r="E106" s="41" t="s">
        <v>3881</v>
      </c>
      <c r="F106" s="41" t="s">
        <v>4835</v>
      </c>
      <c r="G106" s="215" t="s">
        <v>3293</v>
      </c>
      <c r="H106" s="42" t="s">
        <v>1774</v>
      </c>
      <c r="I106" s="246" t="s">
        <v>3294</v>
      </c>
      <c r="J106" s="247" t="s">
        <v>4836</v>
      </c>
      <c r="K106" s="137" t="s">
        <v>3871</v>
      </c>
      <c r="L106" s="40" t="s">
        <v>3882</v>
      </c>
      <c r="M106" s="242" t="s">
        <v>3262</v>
      </c>
      <c r="N106" s="213" t="s">
        <v>2788</v>
      </c>
      <c r="O106" s="139" t="s">
        <v>3873</v>
      </c>
      <c r="P106" s="250"/>
    </row>
    <row r="107" spans="1:16">
      <c r="A107" s="244" t="s">
        <v>3256</v>
      </c>
      <c r="B107" s="42" t="s">
        <v>1768</v>
      </c>
      <c r="C107" s="41" t="s">
        <v>3842</v>
      </c>
      <c r="D107" s="41" t="s">
        <v>3883</v>
      </c>
      <c r="E107" s="41" t="s">
        <v>3884</v>
      </c>
      <c r="F107" s="41" t="s">
        <v>4837</v>
      </c>
      <c r="G107" s="215" t="s">
        <v>3258</v>
      </c>
      <c r="H107" s="42" t="s">
        <v>1771</v>
      </c>
      <c r="I107" s="246" t="s">
        <v>3259</v>
      </c>
      <c r="J107" s="247" t="s">
        <v>3050</v>
      </c>
      <c r="K107" s="137" t="s">
        <v>3871</v>
      </c>
      <c r="L107" s="40" t="s">
        <v>3885</v>
      </c>
      <c r="M107" s="242" t="s">
        <v>3262</v>
      </c>
      <c r="N107" s="213" t="s">
        <v>3469</v>
      </c>
      <c r="O107" s="139" t="s">
        <v>3873</v>
      </c>
      <c r="P107" s="250"/>
    </row>
    <row r="108" spans="1:16">
      <c r="A108" s="244" t="s">
        <v>3256</v>
      </c>
      <c r="B108" s="42" t="s">
        <v>1768</v>
      </c>
      <c r="C108" s="41" t="s">
        <v>3842</v>
      </c>
      <c r="D108" s="41" t="s">
        <v>3886</v>
      </c>
      <c r="E108" s="41" t="s">
        <v>3887</v>
      </c>
      <c r="F108" s="41" t="s">
        <v>4838</v>
      </c>
      <c r="G108" s="215" t="s">
        <v>4839</v>
      </c>
      <c r="H108" s="42" t="s">
        <v>1771</v>
      </c>
      <c r="I108" s="246" t="s">
        <v>3259</v>
      </c>
      <c r="J108" s="247" t="s">
        <v>3050</v>
      </c>
      <c r="K108" s="137" t="s">
        <v>3871</v>
      </c>
      <c r="L108" s="40" t="s">
        <v>3888</v>
      </c>
      <c r="M108" s="242" t="s">
        <v>3262</v>
      </c>
      <c r="N108" s="213" t="s">
        <v>3469</v>
      </c>
      <c r="O108" s="139" t="s">
        <v>3873</v>
      </c>
      <c r="P108" s="250" t="s">
        <v>4840</v>
      </c>
    </row>
    <row r="109" spans="1:16">
      <c r="A109" s="244" t="s">
        <v>3256</v>
      </c>
      <c r="B109" s="42" t="s">
        <v>1768</v>
      </c>
      <c r="C109" s="41" t="s">
        <v>3842</v>
      </c>
      <c r="D109" s="41" t="s">
        <v>3889</v>
      </c>
      <c r="E109" s="41" t="s">
        <v>4841</v>
      </c>
      <c r="F109" s="41" t="s">
        <v>3114</v>
      </c>
      <c r="G109" s="215" t="s">
        <v>3115</v>
      </c>
      <c r="H109" s="42" t="s">
        <v>1773</v>
      </c>
      <c r="I109" s="246" t="s">
        <v>3316</v>
      </c>
      <c r="J109" s="247" t="s">
        <v>3050</v>
      </c>
      <c r="K109" s="137" t="s">
        <v>3871</v>
      </c>
      <c r="L109" s="40" t="s">
        <v>3890</v>
      </c>
      <c r="M109" s="242" t="s">
        <v>3262</v>
      </c>
      <c r="N109" s="213" t="s">
        <v>3891</v>
      </c>
      <c r="O109" s="139" t="s">
        <v>3873</v>
      </c>
      <c r="P109" s="250"/>
    </row>
    <row r="110" spans="1:16" ht="98" customHeight="1">
      <c r="A110" s="244" t="s">
        <v>3256</v>
      </c>
      <c r="B110" s="42" t="s">
        <v>1768</v>
      </c>
      <c r="C110" s="41" t="s">
        <v>3713</v>
      </c>
      <c r="D110" s="41" t="s">
        <v>3714</v>
      </c>
      <c r="E110" s="41" t="s">
        <v>3715</v>
      </c>
      <c r="F110" s="41" t="s">
        <v>4842</v>
      </c>
      <c r="G110" s="215" t="s">
        <v>3293</v>
      </c>
      <c r="H110" s="42" t="s">
        <v>1774</v>
      </c>
      <c r="I110" s="246" t="s">
        <v>3294</v>
      </c>
      <c r="J110" s="247" t="s">
        <v>4843</v>
      </c>
      <c r="K110" s="137" t="s">
        <v>3716</v>
      </c>
      <c r="L110" s="40" t="s">
        <v>3717</v>
      </c>
      <c r="M110" s="242" t="s">
        <v>3262</v>
      </c>
      <c r="N110" s="213" t="s">
        <v>2788</v>
      </c>
      <c r="O110" s="139" t="s">
        <v>3718</v>
      </c>
      <c r="P110" s="250"/>
    </row>
    <row r="111" spans="1:16" ht="112" customHeight="1">
      <c r="A111" s="244" t="s">
        <v>3256</v>
      </c>
      <c r="B111" s="42" t="s">
        <v>1768</v>
      </c>
      <c r="C111" s="41" t="s">
        <v>3713</v>
      </c>
      <c r="D111" s="41" t="s">
        <v>3719</v>
      </c>
      <c r="E111" s="41" t="s">
        <v>3720</v>
      </c>
      <c r="F111" s="41" t="s">
        <v>4844</v>
      </c>
      <c r="G111" s="215" t="s">
        <v>3293</v>
      </c>
      <c r="H111" s="42" t="s">
        <v>1774</v>
      </c>
      <c r="I111" s="246" t="s">
        <v>4716</v>
      </c>
      <c r="J111" s="247" t="s">
        <v>4845</v>
      </c>
      <c r="K111" s="137" t="s">
        <v>3716</v>
      </c>
      <c r="L111" s="40" t="s">
        <v>3721</v>
      </c>
      <c r="M111" s="242" t="s">
        <v>3262</v>
      </c>
      <c r="N111" s="213" t="s">
        <v>2788</v>
      </c>
      <c r="O111" s="139" t="s">
        <v>3718</v>
      </c>
      <c r="P111" s="250"/>
    </row>
    <row r="112" spans="1:16">
      <c r="A112" s="244" t="s">
        <v>3256</v>
      </c>
      <c r="B112" s="42" t="s">
        <v>1768</v>
      </c>
      <c r="C112" s="41" t="s">
        <v>3713</v>
      </c>
      <c r="D112" s="41" t="s">
        <v>3722</v>
      </c>
      <c r="E112" s="41" t="s">
        <v>3723</v>
      </c>
      <c r="F112" s="41" t="s">
        <v>4846</v>
      </c>
      <c r="G112" s="215" t="s">
        <v>3258</v>
      </c>
      <c r="H112" s="42" t="s">
        <v>1771</v>
      </c>
      <c r="I112" s="246" t="s">
        <v>3259</v>
      </c>
      <c r="J112" s="247" t="s">
        <v>3050</v>
      </c>
      <c r="K112" s="137" t="s">
        <v>3716</v>
      </c>
      <c r="L112" s="40" t="s">
        <v>3724</v>
      </c>
      <c r="M112" s="242" t="s">
        <v>3262</v>
      </c>
      <c r="N112" s="213" t="s">
        <v>3469</v>
      </c>
      <c r="O112" s="139" t="s">
        <v>3718</v>
      </c>
      <c r="P112" s="250"/>
    </row>
    <row r="113" spans="1:16" ht="112" customHeight="1">
      <c r="A113" s="244" t="s">
        <v>3256</v>
      </c>
      <c r="B113" s="42" t="s">
        <v>1768</v>
      </c>
      <c r="C113" s="41" t="s">
        <v>3713</v>
      </c>
      <c r="D113" s="41" t="s">
        <v>3725</v>
      </c>
      <c r="E113" s="41" t="s">
        <v>3726</v>
      </c>
      <c r="F113" s="41" t="s">
        <v>4847</v>
      </c>
      <c r="G113" s="215" t="s">
        <v>3258</v>
      </c>
      <c r="H113" s="42" t="s">
        <v>1771</v>
      </c>
      <c r="I113" s="246" t="s">
        <v>3259</v>
      </c>
      <c r="J113" s="247" t="s">
        <v>3050</v>
      </c>
      <c r="K113" s="137" t="s">
        <v>3716</v>
      </c>
      <c r="L113" s="40" t="s">
        <v>3727</v>
      </c>
      <c r="M113" s="242" t="s">
        <v>3262</v>
      </c>
      <c r="N113" s="213" t="s">
        <v>3469</v>
      </c>
      <c r="O113" s="139" t="s">
        <v>3718</v>
      </c>
      <c r="P113" s="250"/>
    </row>
    <row r="114" spans="1:16" ht="98" customHeight="1">
      <c r="A114" s="244" t="s">
        <v>3256</v>
      </c>
      <c r="B114" s="42" t="s">
        <v>1768</v>
      </c>
      <c r="C114" s="41" t="s">
        <v>3713</v>
      </c>
      <c r="D114" s="41" t="s">
        <v>3728</v>
      </c>
      <c r="E114" s="41" t="s">
        <v>3729</v>
      </c>
      <c r="F114" s="41" t="s">
        <v>4848</v>
      </c>
      <c r="G114" s="215" t="s">
        <v>3258</v>
      </c>
      <c r="H114" s="42" t="s">
        <v>1771</v>
      </c>
      <c r="I114" s="246" t="s">
        <v>3259</v>
      </c>
      <c r="J114" s="247" t="s">
        <v>3050</v>
      </c>
      <c r="K114" s="137" t="s">
        <v>3716</v>
      </c>
      <c r="L114" s="40" t="s">
        <v>3730</v>
      </c>
      <c r="M114" s="242" t="s">
        <v>3262</v>
      </c>
      <c r="N114" s="213" t="s">
        <v>3469</v>
      </c>
      <c r="O114" s="139" t="s">
        <v>3718</v>
      </c>
      <c r="P114" s="250"/>
    </row>
    <row r="115" spans="1:16" ht="126" customHeight="1">
      <c r="A115" s="244" t="s">
        <v>3256</v>
      </c>
      <c r="B115" s="42" t="s">
        <v>1768</v>
      </c>
      <c r="C115" s="41" t="s">
        <v>3713</v>
      </c>
      <c r="D115" s="41" t="s">
        <v>3731</v>
      </c>
      <c r="E115" s="41" t="s">
        <v>3732</v>
      </c>
      <c r="F115" s="41" t="s">
        <v>4849</v>
      </c>
      <c r="G115" s="215" t="s">
        <v>3258</v>
      </c>
      <c r="H115" s="42" t="s">
        <v>1771</v>
      </c>
      <c r="I115" s="246" t="s">
        <v>3259</v>
      </c>
      <c r="J115" s="247" t="s">
        <v>3050</v>
      </c>
      <c r="K115" s="137" t="s">
        <v>3716</v>
      </c>
      <c r="L115" s="40" t="s">
        <v>3733</v>
      </c>
      <c r="M115" s="242" t="s">
        <v>3262</v>
      </c>
      <c r="N115" s="213" t="s">
        <v>3469</v>
      </c>
      <c r="O115" s="139" t="s">
        <v>3718</v>
      </c>
      <c r="P115" s="250"/>
    </row>
    <row r="116" spans="1:16" ht="98" customHeight="1">
      <c r="A116" s="244" t="s">
        <v>3256</v>
      </c>
      <c r="B116" s="42" t="s">
        <v>1768</v>
      </c>
      <c r="C116" s="41" t="s">
        <v>3713</v>
      </c>
      <c r="D116" s="41" t="s">
        <v>3773</v>
      </c>
      <c r="E116" s="41" t="s">
        <v>4850</v>
      </c>
      <c r="F116" s="41" t="s">
        <v>3075</v>
      </c>
      <c r="G116" s="215" t="s">
        <v>4851</v>
      </c>
      <c r="H116" s="42" t="s">
        <v>1774</v>
      </c>
      <c r="I116" s="246" t="s">
        <v>3294</v>
      </c>
      <c r="J116" s="247" t="s">
        <v>4852</v>
      </c>
      <c r="K116" s="137" t="s">
        <v>3774</v>
      </c>
      <c r="L116" s="40" t="s">
        <v>3775</v>
      </c>
      <c r="M116" s="242" t="s">
        <v>3262</v>
      </c>
      <c r="N116" s="213" t="s">
        <v>3776</v>
      </c>
      <c r="O116" s="139" t="s">
        <v>3777</v>
      </c>
      <c r="P116" s="256" t="s">
        <v>4853</v>
      </c>
    </row>
    <row r="117" spans="1:16" ht="180">
      <c r="A117" s="244" t="s">
        <v>3256</v>
      </c>
      <c r="B117" s="42" t="s">
        <v>1768</v>
      </c>
      <c r="C117" s="41" t="s">
        <v>3713</v>
      </c>
      <c r="D117" s="41" t="s">
        <v>3778</v>
      </c>
      <c r="E117" s="41" t="s">
        <v>4854</v>
      </c>
      <c r="F117" s="41" t="s">
        <v>4855</v>
      </c>
      <c r="G117" s="215" t="s">
        <v>4856</v>
      </c>
      <c r="H117" s="42" t="s">
        <v>1774</v>
      </c>
      <c r="I117" s="246" t="s">
        <v>3294</v>
      </c>
      <c r="J117" s="247" t="s">
        <v>4857</v>
      </c>
      <c r="K117" s="137" t="s">
        <v>3774</v>
      </c>
      <c r="L117" s="40" t="s">
        <v>3779</v>
      </c>
      <c r="M117" s="242" t="s">
        <v>3262</v>
      </c>
      <c r="N117" s="213" t="s">
        <v>3780</v>
      </c>
      <c r="O117" s="139" t="s">
        <v>3777</v>
      </c>
      <c r="P117" s="256" t="s">
        <v>4858</v>
      </c>
    </row>
    <row r="118" spans="1:16" ht="90">
      <c r="A118" s="244" t="s">
        <v>3256</v>
      </c>
      <c r="B118" s="42" t="s">
        <v>1768</v>
      </c>
      <c r="C118" s="41" t="s">
        <v>3713</v>
      </c>
      <c r="D118" s="41" t="s">
        <v>3781</v>
      </c>
      <c r="E118" s="41" t="s">
        <v>4859</v>
      </c>
      <c r="F118" s="41" t="s">
        <v>3076</v>
      </c>
      <c r="G118" s="215" t="s">
        <v>4860</v>
      </c>
      <c r="H118" s="42" t="s">
        <v>1771</v>
      </c>
      <c r="I118" s="246" t="s">
        <v>3259</v>
      </c>
      <c r="J118" s="247" t="s">
        <v>4861</v>
      </c>
      <c r="K118" s="137" t="s">
        <v>3774</v>
      </c>
      <c r="L118" s="40" t="s">
        <v>3782</v>
      </c>
      <c r="M118" s="242" t="s">
        <v>3262</v>
      </c>
      <c r="N118" s="213" t="s">
        <v>3783</v>
      </c>
      <c r="O118" s="139" t="s">
        <v>3777</v>
      </c>
      <c r="P118" s="250" t="s">
        <v>4862</v>
      </c>
    </row>
    <row r="119" spans="1:16" ht="105">
      <c r="A119" s="244" t="s">
        <v>3256</v>
      </c>
      <c r="B119" s="42" t="s">
        <v>1768</v>
      </c>
      <c r="C119" s="41" t="s">
        <v>3713</v>
      </c>
      <c r="D119" s="41" t="s">
        <v>3784</v>
      </c>
      <c r="E119" s="41" t="s">
        <v>3785</v>
      </c>
      <c r="F119" s="41" t="s">
        <v>4863</v>
      </c>
      <c r="G119" s="215" t="s">
        <v>3293</v>
      </c>
      <c r="H119" s="42" t="s">
        <v>1774</v>
      </c>
      <c r="I119" s="246" t="s">
        <v>3294</v>
      </c>
      <c r="J119" s="247" t="s">
        <v>4864</v>
      </c>
      <c r="K119" s="137" t="s">
        <v>3774</v>
      </c>
      <c r="L119" s="40" t="s">
        <v>3786</v>
      </c>
      <c r="M119" s="242" t="s">
        <v>3262</v>
      </c>
      <c r="N119" s="213" t="s">
        <v>2788</v>
      </c>
      <c r="O119" s="139" t="s">
        <v>3777</v>
      </c>
      <c r="P119" s="250"/>
    </row>
    <row r="120" spans="1:16" ht="140" customHeight="1">
      <c r="A120" s="244" t="s">
        <v>3256</v>
      </c>
      <c r="B120" s="42" t="s">
        <v>1768</v>
      </c>
      <c r="C120" s="41" t="s">
        <v>3713</v>
      </c>
      <c r="D120" s="41" t="s">
        <v>3787</v>
      </c>
      <c r="E120" s="41" t="s">
        <v>3788</v>
      </c>
      <c r="F120" s="41" t="s">
        <v>4865</v>
      </c>
      <c r="G120" s="215" t="s">
        <v>3293</v>
      </c>
      <c r="H120" s="42" t="s">
        <v>1774</v>
      </c>
      <c r="I120" s="246" t="s">
        <v>3294</v>
      </c>
      <c r="J120" s="247" t="s">
        <v>4866</v>
      </c>
      <c r="K120" s="137" t="s">
        <v>3774</v>
      </c>
      <c r="L120" s="40" t="s">
        <v>3789</v>
      </c>
      <c r="M120" s="242" t="s">
        <v>3262</v>
      </c>
      <c r="N120" s="213" t="s">
        <v>2788</v>
      </c>
      <c r="O120" s="139" t="s">
        <v>3777</v>
      </c>
      <c r="P120" s="250"/>
    </row>
    <row r="121" spans="1:16" ht="126" customHeight="1">
      <c r="A121" s="244" t="s">
        <v>3256</v>
      </c>
      <c r="B121" s="42" t="s">
        <v>1768</v>
      </c>
      <c r="C121" s="41" t="s">
        <v>3713</v>
      </c>
      <c r="D121" s="41" t="s">
        <v>3790</v>
      </c>
      <c r="E121" s="41" t="s">
        <v>3791</v>
      </c>
      <c r="F121" s="41" t="s">
        <v>4867</v>
      </c>
      <c r="G121" s="215" t="s">
        <v>3293</v>
      </c>
      <c r="H121" s="42" t="s">
        <v>1774</v>
      </c>
      <c r="I121" s="246" t="s">
        <v>3294</v>
      </c>
      <c r="J121" s="247" t="s">
        <v>4868</v>
      </c>
      <c r="K121" s="137" t="s">
        <v>3774</v>
      </c>
      <c r="L121" s="40" t="s">
        <v>3792</v>
      </c>
      <c r="M121" s="242" t="s">
        <v>3262</v>
      </c>
      <c r="N121" s="213" t="s">
        <v>2788</v>
      </c>
      <c r="O121" s="139" t="s">
        <v>3777</v>
      </c>
      <c r="P121" s="250"/>
    </row>
    <row r="122" spans="1:16" ht="150">
      <c r="A122" s="244" t="s">
        <v>3256</v>
      </c>
      <c r="B122" s="42" t="s">
        <v>1768</v>
      </c>
      <c r="C122" s="41" t="s">
        <v>3713</v>
      </c>
      <c r="D122" s="41" t="s">
        <v>3793</v>
      </c>
      <c r="E122" s="41" t="s">
        <v>3794</v>
      </c>
      <c r="F122" s="41" t="s">
        <v>3795</v>
      </c>
      <c r="G122" s="215" t="s">
        <v>3293</v>
      </c>
      <c r="H122" s="42" t="s">
        <v>1774</v>
      </c>
      <c r="I122" s="246" t="s">
        <v>4716</v>
      </c>
      <c r="J122" s="247" t="s">
        <v>4869</v>
      </c>
      <c r="K122" s="137" t="s">
        <v>3774</v>
      </c>
      <c r="L122" s="40" t="s">
        <v>3796</v>
      </c>
      <c r="M122" s="242" t="s">
        <v>3262</v>
      </c>
      <c r="N122" s="213" t="s">
        <v>2788</v>
      </c>
      <c r="O122" s="139" t="s">
        <v>3777</v>
      </c>
      <c r="P122" s="250"/>
    </row>
    <row r="123" spans="1:16" ht="90">
      <c r="A123" s="244" t="s">
        <v>3256</v>
      </c>
      <c r="B123" s="42" t="s">
        <v>1768</v>
      </c>
      <c r="C123" s="41" t="s">
        <v>3713</v>
      </c>
      <c r="D123" s="41" t="s">
        <v>3797</v>
      </c>
      <c r="E123" s="41" t="s">
        <v>3798</v>
      </c>
      <c r="F123" s="41" t="s">
        <v>4870</v>
      </c>
      <c r="G123" s="215" t="s">
        <v>3293</v>
      </c>
      <c r="H123" s="42" t="s">
        <v>1774</v>
      </c>
      <c r="I123" s="246" t="s">
        <v>4716</v>
      </c>
      <c r="J123" s="247" t="s">
        <v>4871</v>
      </c>
      <c r="K123" s="137" t="s">
        <v>3774</v>
      </c>
      <c r="L123" s="40" t="s">
        <v>3799</v>
      </c>
      <c r="M123" s="242" t="s">
        <v>3262</v>
      </c>
      <c r="N123" s="213" t="s">
        <v>2788</v>
      </c>
      <c r="O123" s="139" t="s">
        <v>3777</v>
      </c>
      <c r="P123" s="250"/>
    </row>
    <row r="124" spans="1:16">
      <c r="A124" s="244" t="s">
        <v>3256</v>
      </c>
      <c r="B124" s="42" t="s">
        <v>1768</v>
      </c>
      <c r="C124" s="41" t="s">
        <v>3589</v>
      </c>
      <c r="D124" s="41" t="s">
        <v>3590</v>
      </c>
      <c r="E124" s="41" t="s">
        <v>3591</v>
      </c>
      <c r="F124" s="41" t="s">
        <v>4872</v>
      </c>
      <c r="G124" s="215" t="s">
        <v>3258</v>
      </c>
      <c r="H124" s="42" t="s">
        <v>1771</v>
      </c>
      <c r="I124" s="246" t="s">
        <v>3259</v>
      </c>
      <c r="J124" s="247" t="s">
        <v>3050</v>
      </c>
      <c r="K124" s="137" t="s">
        <v>3592</v>
      </c>
      <c r="L124" s="40" t="s">
        <v>3593</v>
      </c>
      <c r="M124" s="242" t="s">
        <v>3262</v>
      </c>
      <c r="N124" s="213" t="s">
        <v>3469</v>
      </c>
      <c r="O124" s="139" t="s">
        <v>3594</v>
      </c>
      <c r="P124" s="250"/>
    </row>
    <row r="125" spans="1:16">
      <c r="A125" s="244" t="s">
        <v>3256</v>
      </c>
      <c r="B125" s="42" t="s">
        <v>1768</v>
      </c>
      <c r="C125" s="41" t="s">
        <v>3589</v>
      </c>
      <c r="D125" s="41" t="s">
        <v>3595</v>
      </c>
      <c r="E125" s="41" t="s">
        <v>3596</v>
      </c>
      <c r="F125" s="41" t="s">
        <v>4873</v>
      </c>
      <c r="G125" s="215" t="s">
        <v>3258</v>
      </c>
      <c r="H125" s="42" t="s">
        <v>1771</v>
      </c>
      <c r="I125" s="246" t="s">
        <v>3259</v>
      </c>
      <c r="J125" s="247" t="s">
        <v>3050</v>
      </c>
      <c r="K125" s="137" t="s">
        <v>3592</v>
      </c>
      <c r="L125" s="40" t="s">
        <v>3597</v>
      </c>
      <c r="M125" s="242" t="s">
        <v>3262</v>
      </c>
      <c r="N125" s="213" t="s">
        <v>3469</v>
      </c>
      <c r="O125" s="139" t="s">
        <v>3594</v>
      </c>
      <c r="P125" s="250"/>
    </row>
    <row r="126" spans="1:16" ht="105">
      <c r="A126" s="244" t="s">
        <v>3256</v>
      </c>
      <c r="B126" s="42" t="s">
        <v>1768</v>
      </c>
      <c r="C126" s="41" t="s">
        <v>3589</v>
      </c>
      <c r="D126" s="41" t="s">
        <v>3598</v>
      </c>
      <c r="E126" s="41" t="s">
        <v>3599</v>
      </c>
      <c r="F126" s="41" t="s">
        <v>4874</v>
      </c>
      <c r="G126" s="215" t="s">
        <v>3337</v>
      </c>
      <c r="H126" s="42" t="s">
        <v>1774</v>
      </c>
      <c r="I126" s="246" t="s">
        <v>3338</v>
      </c>
      <c r="J126" s="247" t="s">
        <v>4875</v>
      </c>
      <c r="K126" s="137" t="s">
        <v>3592</v>
      </c>
      <c r="L126" s="40" t="s">
        <v>3600</v>
      </c>
      <c r="M126" s="242" t="s">
        <v>3262</v>
      </c>
      <c r="N126" s="213" t="s">
        <v>2796</v>
      </c>
      <c r="O126" s="139" t="s">
        <v>3594</v>
      </c>
      <c r="P126" s="250"/>
    </row>
    <row r="127" spans="1:16" ht="135">
      <c r="A127" s="244" t="s">
        <v>3256</v>
      </c>
      <c r="B127" s="42" t="s">
        <v>1768</v>
      </c>
      <c r="C127" s="41" t="s">
        <v>3589</v>
      </c>
      <c r="D127" s="41" t="s">
        <v>3601</v>
      </c>
      <c r="E127" s="41" t="s">
        <v>3602</v>
      </c>
      <c r="F127" s="41" t="s">
        <v>4876</v>
      </c>
      <c r="G127" s="215" t="s">
        <v>3337</v>
      </c>
      <c r="H127" s="42" t="s">
        <v>1774</v>
      </c>
      <c r="I127" s="246" t="s">
        <v>3338</v>
      </c>
      <c r="J127" s="247" t="s">
        <v>4877</v>
      </c>
      <c r="K127" s="137" t="s">
        <v>3603</v>
      </c>
      <c r="L127" s="40" t="s">
        <v>3604</v>
      </c>
      <c r="M127" s="242" t="s">
        <v>3262</v>
      </c>
      <c r="N127" s="213" t="s">
        <v>2796</v>
      </c>
      <c r="O127" s="139" t="s">
        <v>3605</v>
      </c>
      <c r="P127" s="250"/>
    </row>
    <row r="128" spans="1:16" ht="150">
      <c r="A128" s="244" t="s">
        <v>3256</v>
      </c>
      <c r="B128" s="42" t="s">
        <v>1768</v>
      </c>
      <c r="C128" s="41" t="s">
        <v>3589</v>
      </c>
      <c r="D128" s="41" t="s">
        <v>3606</v>
      </c>
      <c r="E128" s="41" t="s">
        <v>3607</v>
      </c>
      <c r="F128" s="41" t="s">
        <v>4878</v>
      </c>
      <c r="G128" s="215" t="s">
        <v>3337</v>
      </c>
      <c r="H128" s="42" t="s">
        <v>1774</v>
      </c>
      <c r="I128" s="246" t="s">
        <v>3338</v>
      </c>
      <c r="J128" s="247" t="s">
        <v>4879</v>
      </c>
      <c r="K128" s="137" t="s">
        <v>3603</v>
      </c>
      <c r="L128" s="40" t="s">
        <v>3608</v>
      </c>
      <c r="M128" s="242" t="s">
        <v>3262</v>
      </c>
      <c r="N128" s="213" t="s">
        <v>2796</v>
      </c>
      <c r="O128" s="139" t="s">
        <v>3605</v>
      </c>
      <c r="P128" s="250"/>
    </row>
    <row r="129" spans="1:16" ht="84" customHeight="1">
      <c r="A129" s="244" t="s">
        <v>3256</v>
      </c>
      <c r="B129" s="42" t="s">
        <v>1768</v>
      </c>
      <c r="C129" s="41" t="s">
        <v>3589</v>
      </c>
      <c r="D129" s="41" t="s">
        <v>3609</v>
      </c>
      <c r="E129" s="41" t="s">
        <v>3610</v>
      </c>
      <c r="F129" s="41" t="s">
        <v>4880</v>
      </c>
      <c r="G129" s="215" t="s">
        <v>3337</v>
      </c>
      <c r="H129" s="42" t="s">
        <v>1774</v>
      </c>
      <c r="I129" s="246" t="s">
        <v>3338</v>
      </c>
      <c r="J129" s="247" t="s">
        <v>4881</v>
      </c>
      <c r="K129" s="137" t="s">
        <v>3603</v>
      </c>
      <c r="L129" s="40" t="s">
        <v>3611</v>
      </c>
      <c r="M129" s="242" t="s">
        <v>3262</v>
      </c>
      <c r="N129" s="213" t="s">
        <v>2796</v>
      </c>
      <c r="O129" s="139" t="s">
        <v>3605</v>
      </c>
      <c r="P129" s="250"/>
    </row>
    <row r="130" spans="1:16" ht="98" customHeight="1">
      <c r="A130" s="244" t="s">
        <v>3256</v>
      </c>
      <c r="B130" s="42" t="s">
        <v>1768</v>
      </c>
      <c r="C130" s="41" t="s">
        <v>3589</v>
      </c>
      <c r="D130" s="41" t="s">
        <v>3612</v>
      </c>
      <c r="E130" s="41" t="s">
        <v>3613</v>
      </c>
      <c r="F130" s="41" t="s">
        <v>4882</v>
      </c>
      <c r="G130" s="215" t="s">
        <v>3337</v>
      </c>
      <c r="H130" s="42" t="s">
        <v>1774</v>
      </c>
      <c r="I130" s="246" t="s">
        <v>3338</v>
      </c>
      <c r="J130" s="247" t="s">
        <v>4883</v>
      </c>
      <c r="K130" s="137" t="s">
        <v>3603</v>
      </c>
      <c r="L130" s="40" t="s">
        <v>3614</v>
      </c>
      <c r="M130" s="242" t="s">
        <v>3262</v>
      </c>
      <c r="N130" s="213" t="s">
        <v>2796</v>
      </c>
      <c r="O130" s="139" t="s">
        <v>3605</v>
      </c>
      <c r="P130" s="250"/>
    </row>
    <row r="131" spans="1:16" ht="84" customHeight="1">
      <c r="A131" s="244" t="s">
        <v>3256</v>
      </c>
      <c r="B131" s="42" t="s">
        <v>1768</v>
      </c>
      <c r="C131" s="41" t="s">
        <v>3589</v>
      </c>
      <c r="D131" s="41" t="s">
        <v>3615</v>
      </c>
      <c r="E131" s="41" t="s">
        <v>3616</v>
      </c>
      <c r="F131" s="41" t="s">
        <v>4884</v>
      </c>
      <c r="G131" s="215" t="s">
        <v>3337</v>
      </c>
      <c r="H131" s="42" t="s">
        <v>1774</v>
      </c>
      <c r="I131" s="246" t="s">
        <v>3338</v>
      </c>
      <c r="J131" s="247" t="s">
        <v>4885</v>
      </c>
      <c r="K131" s="137" t="s">
        <v>3603</v>
      </c>
      <c r="L131" s="40" t="s">
        <v>3617</v>
      </c>
      <c r="M131" s="242" t="s">
        <v>3262</v>
      </c>
      <c r="N131" s="213" t="s">
        <v>2796</v>
      </c>
      <c r="O131" s="139" t="s">
        <v>3605</v>
      </c>
      <c r="P131" s="250"/>
    </row>
    <row r="132" spans="1:16" ht="126" customHeight="1">
      <c r="A132" s="244" t="s">
        <v>3256</v>
      </c>
      <c r="B132" s="42" t="s">
        <v>1768</v>
      </c>
      <c r="C132" s="41" t="s">
        <v>3589</v>
      </c>
      <c r="D132" s="41" t="s">
        <v>3618</v>
      </c>
      <c r="E132" s="41" t="s">
        <v>3619</v>
      </c>
      <c r="F132" s="41" t="s">
        <v>4886</v>
      </c>
      <c r="G132" s="215" t="s">
        <v>3337</v>
      </c>
      <c r="H132" s="42" t="s">
        <v>1774</v>
      </c>
      <c r="I132" s="246" t="s">
        <v>3338</v>
      </c>
      <c r="J132" s="247" t="s">
        <v>4887</v>
      </c>
      <c r="K132" s="137" t="s">
        <v>3592</v>
      </c>
      <c r="L132" s="40" t="s">
        <v>3620</v>
      </c>
      <c r="M132" s="242" t="s">
        <v>3262</v>
      </c>
      <c r="N132" s="213" t="s">
        <v>2796</v>
      </c>
      <c r="O132" s="139" t="s">
        <v>3594</v>
      </c>
      <c r="P132" s="250"/>
    </row>
    <row r="133" spans="1:16" ht="84" customHeight="1">
      <c r="A133" s="244" t="s">
        <v>3256</v>
      </c>
      <c r="B133" s="42" t="s">
        <v>1768</v>
      </c>
      <c r="C133" s="41" t="s">
        <v>3589</v>
      </c>
      <c r="D133" s="41" t="s">
        <v>3621</v>
      </c>
      <c r="E133" s="41" t="s">
        <v>3622</v>
      </c>
      <c r="F133" s="41" t="s">
        <v>4888</v>
      </c>
      <c r="G133" s="215" t="s">
        <v>3337</v>
      </c>
      <c r="H133" s="42" t="s">
        <v>1774</v>
      </c>
      <c r="I133" s="246" t="s">
        <v>3338</v>
      </c>
      <c r="J133" s="247" t="s">
        <v>4889</v>
      </c>
      <c r="K133" s="137" t="s">
        <v>3623</v>
      </c>
      <c r="L133" s="40" t="s">
        <v>3624</v>
      </c>
      <c r="M133" s="242" t="s">
        <v>3262</v>
      </c>
      <c r="N133" s="213" t="s">
        <v>2796</v>
      </c>
      <c r="O133" s="139" t="s">
        <v>3625</v>
      </c>
      <c r="P133" s="250"/>
    </row>
    <row r="134" spans="1:16" ht="135">
      <c r="A134" s="244" t="s">
        <v>3256</v>
      </c>
      <c r="B134" s="42" t="s">
        <v>1768</v>
      </c>
      <c r="C134" s="41" t="s">
        <v>3589</v>
      </c>
      <c r="D134" s="41" t="s">
        <v>3626</v>
      </c>
      <c r="E134" s="41" t="s">
        <v>3627</v>
      </c>
      <c r="F134" s="41" t="s">
        <v>4890</v>
      </c>
      <c r="G134" s="215" t="s">
        <v>3337</v>
      </c>
      <c r="H134" s="42" t="s">
        <v>1774</v>
      </c>
      <c r="I134" s="246" t="s">
        <v>3338</v>
      </c>
      <c r="J134" s="247" t="s">
        <v>4891</v>
      </c>
      <c r="K134" s="137" t="s">
        <v>3623</v>
      </c>
      <c r="L134" s="40" t="s">
        <v>3628</v>
      </c>
      <c r="M134" s="242" t="s">
        <v>3262</v>
      </c>
      <c r="N134" s="213" t="s">
        <v>2796</v>
      </c>
      <c r="O134" s="139" t="s">
        <v>3625</v>
      </c>
      <c r="P134" s="250"/>
    </row>
    <row r="135" spans="1:16">
      <c r="A135" s="244" t="s">
        <v>3256</v>
      </c>
      <c r="B135" s="42" t="s">
        <v>1768</v>
      </c>
      <c r="C135" s="41" t="s">
        <v>3589</v>
      </c>
      <c r="D135" s="41" t="s">
        <v>3629</v>
      </c>
      <c r="E135" s="41" t="s">
        <v>4892</v>
      </c>
      <c r="F135" s="41" t="s">
        <v>4893</v>
      </c>
      <c r="G135" s="215" t="s">
        <v>3258</v>
      </c>
      <c r="H135" s="42" t="s">
        <v>1771</v>
      </c>
      <c r="I135" s="246" t="s">
        <v>3259</v>
      </c>
      <c r="J135" s="247" t="s">
        <v>3050</v>
      </c>
      <c r="K135" s="137" t="s">
        <v>3630</v>
      </c>
      <c r="L135" s="40" t="s">
        <v>3631</v>
      </c>
      <c r="M135" s="242" t="s">
        <v>3262</v>
      </c>
      <c r="N135" s="213" t="s">
        <v>3632</v>
      </c>
      <c r="O135" s="139" t="s">
        <v>3633</v>
      </c>
      <c r="P135" s="250"/>
    </row>
    <row r="136" spans="1:16" ht="98" customHeight="1">
      <c r="A136" s="244" t="s">
        <v>3256</v>
      </c>
      <c r="B136" s="42" t="s">
        <v>1768</v>
      </c>
      <c r="C136" s="41" t="s">
        <v>3589</v>
      </c>
      <c r="D136" s="41" t="s">
        <v>3634</v>
      </c>
      <c r="E136" s="41" t="s">
        <v>3635</v>
      </c>
      <c r="F136" s="41" t="s">
        <v>4894</v>
      </c>
      <c r="G136" s="215" t="s">
        <v>3258</v>
      </c>
      <c r="H136" s="42" t="s">
        <v>1771</v>
      </c>
      <c r="I136" s="246" t="s">
        <v>3259</v>
      </c>
      <c r="J136" s="247" t="s">
        <v>3050</v>
      </c>
      <c r="K136" s="137" t="s">
        <v>3623</v>
      </c>
      <c r="L136" s="40" t="s">
        <v>3636</v>
      </c>
      <c r="M136" s="242" t="s">
        <v>3262</v>
      </c>
      <c r="N136" s="213" t="s">
        <v>3469</v>
      </c>
      <c r="O136" s="139" t="s">
        <v>3625</v>
      </c>
      <c r="P136" s="250"/>
    </row>
    <row r="137" spans="1:16" ht="112" customHeight="1">
      <c r="A137" s="244" t="s">
        <v>3256</v>
      </c>
      <c r="B137" s="42" t="s">
        <v>1768</v>
      </c>
      <c r="C137" s="41" t="s">
        <v>3589</v>
      </c>
      <c r="D137" s="41" t="s">
        <v>3637</v>
      </c>
      <c r="E137" s="41" t="s">
        <v>3638</v>
      </c>
      <c r="F137" s="41" t="s">
        <v>3639</v>
      </c>
      <c r="G137" s="215" t="s">
        <v>3337</v>
      </c>
      <c r="H137" s="42" t="s">
        <v>1774</v>
      </c>
      <c r="I137" s="246" t="s">
        <v>3338</v>
      </c>
      <c r="J137" s="247" t="s">
        <v>4895</v>
      </c>
      <c r="K137" s="137" t="s">
        <v>3623</v>
      </c>
      <c r="L137" s="40" t="s">
        <v>3640</v>
      </c>
      <c r="M137" s="242" t="s">
        <v>3262</v>
      </c>
      <c r="N137" s="213" t="s">
        <v>2796</v>
      </c>
      <c r="O137" s="139" t="s">
        <v>3625</v>
      </c>
      <c r="P137" s="250"/>
    </row>
    <row r="138" spans="1:16" ht="112" customHeight="1">
      <c r="A138" s="244" t="s">
        <v>3256</v>
      </c>
      <c r="B138" s="42" t="s">
        <v>1768</v>
      </c>
      <c r="C138" s="41" t="s">
        <v>3589</v>
      </c>
      <c r="D138" s="41" t="s">
        <v>3641</v>
      </c>
      <c r="E138" s="41" t="s">
        <v>3642</v>
      </c>
      <c r="F138" s="41" t="s">
        <v>2804</v>
      </c>
      <c r="G138" s="215" t="s">
        <v>3337</v>
      </c>
      <c r="H138" s="42" t="s">
        <v>1774</v>
      </c>
      <c r="I138" s="246" t="s">
        <v>3338</v>
      </c>
      <c r="J138" s="247" t="s">
        <v>4896</v>
      </c>
      <c r="K138" s="137" t="s">
        <v>3623</v>
      </c>
      <c r="L138" s="40" t="s">
        <v>3643</v>
      </c>
      <c r="M138" s="242" t="s">
        <v>3262</v>
      </c>
      <c r="N138" s="213" t="s">
        <v>2805</v>
      </c>
      <c r="O138" s="139" t="s">
        <v>3625</v>
      </c>
      <c r="P138" s="250"/>
    </row>
    <row r="139" spans="1:16" ht="84" customHeight="1">
      <c r="A139" s="244" t="s">
        <v>3256</v>
      </c>
      <c r="B139" s="42" t="s">
        <v>1768</v>
      </c>
      <c r="C139" s="41" t="s">
        <v>3589</v>
      </c>
      <c r="D139" s="41" t="s">
        <v>3644</v>
      </c>
      <c r="E139" s="41" t="s">
        <v>3645</v>
      </c>
      <c r="F139" s="41" t="s">
        <v>4897</v>
      </c>
      <c r="G139" s="215" t="s">
        <v>3258</v>
      </c>
      <c r="H139" s="42" t="s">
        <v>1771</v>
      </c>
      <c r="I139" s="246" t="s">
        <v>3259</v>
      </c>
      <c r="J139" s="247" t="s">
        <v>3050</v>
      </c>
      <c r="K139" s="137" t="s">
        <v>3592</v>
      </c>
      <c r="L139" s="40" t="s">
        <v>3646</v>
      </c>
      <c r="M139" s="242" t="s">
        <v>3262</v>
      </c>
      <c r="N139" s="213" t="s">
        <v>3469</v>
      </c>
      <c r="O139" s="139" t="s">
        <v>3594</v>
      </c>
      <c r="P139" s="250"/>
    </row>
    <row r="140" spans="1:16" ht="98" customHeight="1">
      <c r="A140" s="244" t="s">
        <v>3256</v>
      </c>
      <c r="B140" s="42" t="s">
        <v>1768</v>
      </c>
      <c r="C140" s="41" t="s">
        <v>3589</v>
      </c>
      <c r="D140" s="41" t="s">
        <v>3647</v>
      </c>
      <c r="E140" s="41" t="s">
        <v>3648</v>
      </c>
      <c r="F140" s="41" t="s">
        <v>4898</v>
      </c>
      <c r="G140" s="215" t="s">
        <v>3258</v>
      </c>
      <c r="H140" s="42" t="s">
        <v>1771</v>
      </c>
      <c r="I140" s="246" t="s">
        <v>3259</v>
      </c>
      <c r="J140" s="247" t="s">
        <v>3050</v>
      </c>
      <c r="K140" s="137" t="s">
        <v>3630</v>
      </c>
      <c r="L140" s="40" t="s">
        <v>3649</v>
      </c>
      <c r="M140" s="242" t="s">
        <v>3262</v>
      </c>
      <c r="N140" s="213" t="s">
        <v>3469</v>
      </c>
      <c r="O140" s="139" t="s">
        <v>3633</v>
      </c>
      <c r="P140" s="250"/>
    </row>
    <row r="141" spans="1:16" ht="98" customHeight="1">
      <c r="A141" s="244" t="s">
        <v>3256</v>
      </c>
      <c r="B141" s="42" t="s">
        <v>1768</v>
      </c>
      <c r="C141" s="41" t="s">
        <v>3589</v>
      </c>
      <c r="D141" s="41" t="s">
        <v>3650</v>
      </c>
      <c r="E141" s="41" t="s">
        <v>4899</v>
      </c>
      <c r="F141" s="41" t="s">
        <v>3077</v>
      </c>
      <c r="G141" s="215" t="s">
        <v>3065</v>
      </c>
      <c r="H141" s="42" t="s">
        <v>1771</v>
      </c>
      <c r="I141" s="246" t="s">
        <v>3259</v>
      </c>
      <c r="J141" s="247" t="s">
        <v>3050</v>
      </c>
      <c r="K141" s="137" t="s">
        <v>3630</v>
      </c>
      <c r="L141" s="40" t="s">
        <v>3651</v>
      </c>
      <c r="M141" s="242" t="s">
        <v>3262</v>
      </c>
      <c r="N141" s="213" t="s">
        <v>3652</v>
      </c>
      <c r="O141" s="139" t="s">
        <v>3633</v>
      </c>
      <c r="P141" s="250"/>
    </row>
    <row r="142" spans="1:16" ht="98" customHeight="1">
      <c r="A142" s="244" t="s">
        <v>3256</v>
      </c>
      <c r="B142" s="42" t="s">
        <v>1768</v>
      </c>
      <c r="C142" s="41" t="s">
        <v>3589</v>
      </c>
      <c r="D142" s="41" t="s">
        <v>3653</v>
      </c>
      <c r="E142" s="41" t="s">
        <v>3654</v>
      </c>
      <c r="F142" s="41" t="s">
        <v>4900</v>
      </c>
      <c r="G142" s="215" t="s">
        <v>3258</v>
      </c>
      <c r="H142" s="42" t="s">
        <v>1771</v>
      </c>
      <c r="I142" s="246" t="s">
        <v>3259</v>
      </c>
      <c r="J142" s="247" t="s">
        <v>3050</v>
      </c>
      <c r="K142" s="137" t="s">
        <v>3630</v>
      </c>
      <c r="L142" s="40" t="s">
        <v>3655</v>
      </c>
      <c r="M142" s="242" t="s">
        <v>3262</v>
      </c>
      <c r="N142" s="213" t="s">
        <v>2810</v>
      </c>
      <c r="O142" s="139" t="s">
        <v>3633</v>
      </c>
      <c r="P142" s="250"/>
    </row>
    <row r="143" spans="1:16" ht="112" customHeight="1">
      <c r="A143" s="244" t="s">
        <v>3256</v>
      </c>
      <c r="B143" s="42" t="s">
        <v>1768</v>
      </c>
      <c r="C143" s="41" t="s">
        <v>3589</v>
      </c>
      <c r="D143" s="41" t="s">
        <v>3656</v>
      </c>
      <c r="E143" s="41" t="s">
        <v>3657</v>
      </c>
      <c r="F143" s="41" t="s">
        <v>4901</v>
      </c>
      <c r="G143" s="215" t="s">
        <v>3258</v>
      </c>
      <c r="H143" s="42" t="s">
        <v>1771</v>
      </c>
      <c r="I143" s="246" t="s">
        <v>3259</v>
      </c>
      <c r="J143" s="247" t="s">
        <v>3050</v>
      </c>
      <c r="K143" s="137" t="s">
        <v>3630</v>
      </c>
      <c r="L143" s="40" t="s">
        <v>3658</v>
      </c>
      <c r="M143" s="242" t="s">
        <v>3262</v>
      </c>
      <c r="N143" s="213" t="s">
        <v>2810</v>
      </c>
      <c r="O143" s="139" t="s">
        <v>3633</v>
      </c>
      <c r="P143" s="250"/>
    </row>
    <row r="144" spans="1:16" ht="98" customHeight="1">
      <c r="A144" s="244" t="s">
        <v>3256</v>
      </c>
      <c r="B144" s="42" t="s">
        <v>1768</v>
      </c>
      <c r="C144" s="41" t="s">
        <v>3589</v>
      </c>
      <c r="D144" s="41" t="s">
        <v>3659</v>
      </c>
      <c r="E144" s="41" t="s">
        <v>3660</v>
      </c>
      <c r="F144" s="41" t="s">
        <v>4902</v>
      </c>
      <c r="G144" s="215" t="s">
        <v>3337</v>
      </c>
      <c r="H144" s="42" t="s">
        <v>1774</v>
      </c>
      <c r="I144" s="246" t="s">
        <v>3338</v>
      </c>
      <c r="J144" s="247" t="s">
        <v>4903</v>
      </c>
      <c r="K144" s="137" t="s">
        <v>3603</v>
      </c>
      <c r="L144" s="40" t="s">
        <v>3661</v>
      </c>
      <c r="M144" s="242" t="s">
        <v>3262</v>
      </c>
      <c r="N144" s="213" t="s">
        <v>2796</v>
      </c>
      <c r="O144" s="139" t="s">
        <v>3605</v>
      </c>
      <c r="P144" s="250"/>
    </row>
    <row r="145" spans="1:16" ht="150">
      <c r="A145" s="244" t="s">
        <v>3256</v>
      </c>
      <c r="B145" s="42" t="s">
        <v>1768</v>
      </c>
      <c r="C145" s="41" t="s">
        <v>3734</v>
      </c>
      <c r="D145" s="41" t="s">
        <v>3735</v>
      </c>
      <c r="E145" s="41" t="s">
        <v>3736</v>
      </c>
      <c r="F145" s="41" t="s">
        <v>4902</v>
      </c>
      <c r="G145" s="215" t="s">
        <v>3337</v>
      </c>
      <c r="H145" s="42" t="s">
        <v>1774</v>
      </c>
      <c r="I145" s="246" t="s">
        <v>3338</v>
      </c>
      <c r="J145" s="247" t="s">
        <v>4904</v>
      </c>
      <c r="K145" s="137" t="s">
        <v>3737</v>
      </c>
      <c r="L145" s="40" t="s">
        <v>3738</v>
      </c>
      <c r="M145" s="242" t="s">
        <v>3262</v>
      </c>
      <c r="N145" s="213" t="s">
        <v>3739</v>
      </c>
      <c r="O145" s="139" t="s">
        <v>3740</v>
      </c>
      <c r="P145" s="250"/>
    </row>
    <row r="146" spans="1:16" ht="105">
      <c r="A146" s="244" t="s">
        <v>3256</v>
      </c>
      <c r="B146" s="42" t="s">
        <v>1768</v>
      </c>
      <c r="C146" s="41" t="s">
        <v>3734</v>
      </c>
      <c r="D146" s="41" t="s">
        <v>2800</v>
      </c>
      <c r="E146" s="41" t="s">
        <v>4905</v>
      </c>
      <c r="F146" s="41" t="s">
        <v>4906</v>
      </c>
      <c r="G146" s="215" t="s">
        <v>3293</v>
      </c>
      <c r="H146" s="42" t="s">
        <v>1774</v>
      </c>
      <c r="I146" s="246" t="s">
        <v>3294</v>
      </c>
      <c r="J146" s="247" t="s">
        <v>4907</v>
      </c>
      <c r="K146" s="137" t="s">
        <v>3737</v>
      </c>
      <c r="L146" s="40" t="s">
        <v>3741</v>
      </c>
      <c r="M146" s="242" t="s">
        <v>3262</v>
      </c>
      <c r="N146" s="213" t="s">
        <v>3742</v>
      </c>
      <c r="O146" s="139" t="s">
        <v>3740</v>
      </c>
      <c r="P146" s="250"/>
    </row>
    <row r="147" spans="1:16" ht="126" customHeight="1">
      <c r="A147" s="244" t="s">
        <v>3256</v>
      </c>
      <c r="B147" s="42" t="s">
        <v>1768</v>
      </c>
      <c r="C147" s="41" t="s">
        <v>3734</v>
      </c>
      <c r="D147" s="41" t="s">
        <v>3743</v>
      </c>
      <c r="E147" s="41" t="s">
        <v>3744</v>
      </c>
      <c r="F147" s="41" t="s">
        <v>4908</v>
      </c>
      <c r="G147" s="215" t="s">
        <v>3293</v>
      </c>
      <c r="H147" s="42" t="s">
        <v>1774</v>
      </c>
      <c r="I147" s="246" t="s">
        <v>3294</v>
      </c>
      <c r="J147" s="247" t="s">
        <v>4909</v>
      </c>
      <c r="K147" s="137" t="s">
        <v>3745</v>
      </c>
      <c r="L147" s="40" t="s">
        <v>3746</v>
      </c>
      <c r="M147" s="242" t="s">
        <v>3262</v>
      </c>
      <c r="N147" s="213" t="s">
        <v>2788</v>
      </c>
      <c r="O147" s="139" t="s">
        <v>3747</v>
      </c>
      <c r="P147" s="250"/>
    </row>
    <row r="148" spans="1:16" ht="112" customHeight="1">
      <c r="A148" s="244" t="s">
        <v>3256</v>
      </c>
      <c r="B148" s="42" t="s">
        <v>1768</v>
      </c>
      <c r="C148" s="41" t="s">
        <v>3734</v>
      </c>
      <c r="D148" s="41" t="s">
        <v>3748</v>
      </c>
      <c r="E148" s="41" t="s">
        <v>4910</v>
      </c>
      <c r="F148" s="41" t="s">
        <v>4911</v>
      </c>
      <c r="G148" s="215" t="s">
        <v>4912</v>
      </c>
      <c r="H148" s="42" t="s">
        <v>1771</v>
      </c>
      <c r="I148" s="246" t="s">
        <v>3259</v>
      </c>
      <c r="J148" s="247" t="s">
        <v>3050</v>
      </c>
      <c r="K148" s="137" t="s">
        <v>3745</v>
      </c>
      <c r="L148" s="40" t="s">
        <v>3749</v>
      </c>
      <c r="M148" s="242" t="s">
        <v>3262</v>
      </c>
      <c r="N148" s="213" t="s">
        <v>3750</v>
      </c>
      <c r="O148" s="139" t="s">
        <v>3747</v>
      </c>
      <c r="P148" s="250"/>
    </row>
    <row r="149" spans="1:16" ht="105">
      <c r="A149" s="244" t="s">
        <v>3256</v>
      </c>
      <c r="B149" s="42" t="s">
        <v>1768</v>
      </c>
      <c r="C149" s="41" t="s">
        <v>3734</v>
      </c>
      <c r="D149" s="41" t="s">
        <v>3751</v>
      </c>
      <c r="E149" s="41" t="s">
        <v>3752</v>
      </c>
      <c r="F149" s="41" t="s">
        <v>4913</v>
      </c>
      <c r="G149" s="215" t="s">
        <v>3293</v>
      </c>
      <c r="H149" s="42" t="s">
        <v>1774</v>
      </c>
      <c r="I149" s="246" t="s">
        <v>4716</v>
      </c>
      <c r="J149" s="247" t="s">
        <v>4914</v>
      </c>
      <c r="K149" s="137" t="s">
        <v>3745</v>
      </c>
      <c r="L149" s="40" t="s">
        <v>3753</v>
      </c>
      <c r="M149" s="242" t="s">
        <v>3262</v>
      </c>
      <c r="N149" s="213" t="s">
        <v>2788</v>
      </c>
      <c r="O149" s="139" t="s">
        <v>3747</v>
      </c>
      <c r="P149" s="250"/>
    </row>
    <row r="150" spans="1:16" ht="105">
      <c r="A150" s="244" t="s">
        <v>3256</v>
      </c>
      <c r="B150" s="42" t="s">
        <v>1768</v>
      </c>
      <c r="C150" s="41" t="s">
        <v>3734</v>
      </c>
      <c r="D150" s="41" t="s">
        <v>3754</v>
      </c>
      <c r="E150" s="41" t="s">
        <v>3755</v>
      </c>
      <c r="F150" s="41" t="s">
        <v>4915</v>
      </c>
      <c r="G150" s="215" t="s">
        <v>3293</v>
      </c>
      <c r="H150" s="42" t="s">
        <v>1774</v>
      </c>
      <c r="I150" s="246" t="s">
        <v>3294</v>
      </c>
      <c r="J150" s="247" t="s">
        <v>4916</v>
      </c>
      <c r="K150" s="137" t="s">
        <v>3745</v>
      </c>
      <c r="L150" s="40" t="s">
        <v>3756</v>
      </c>
      <c r="M150" s="242" t="s">
        <v>3262</v>
      </c>
      <c r="N150" s="213" t="s">
        <v>3757</v>
      </c>
      <c r="O150" s="139" t="s">
        <v>3747</v>
      </c>
      <c r="P150" s="250"/>
    </row>
    <row r="151" spans="1:16" ht="120">
      <c r="A151" s="244" t="s">
        <v>3256</v>
      </c>
      <c r="B151" s="42" t="s">
        <v>1768</v>
      </c>
      <c r="C151" s="41" t="s">
        <v>3734</v>
      </c>
      <c r="D151" s="41" t="s">
        <v>3758</v>
      </c>
      <c r="E151" s="41" t="s">
        <v>3759</v>
      </c>
      <c r="F151" s="41" t="s">
        <v>4917</v>
      </c>
      <c r="G151" s="215" t="s">
        <v>3293</v>
      </c>
      <c r="H151" s="42" t="s">
        <v>1774</v>
      </c>
      <c r="I151" s="246" t="s">
        <v>3294</v>
      </c>
      <c r="J151" s="247" t="s">
        <v>4918</v>
      </c>
      <c r="K151" s="137" t="s">
        <v>3745</v>
      </c>
      <c r="L151" s="40" t="s">
        <v>3760</v>
      </c>
      <c r="M151" s="242" t="s">
        <v>3262</v>
      </c>
      <c r="N151" s="213" t="s">
        <v>2788</v>
      </c>
      <c r="O151" s="139" t="s">
        <v>3747</v>
      </c>
      <c r="P151" s="250"/>
    </row>
    <row r="152" spans="1:16">
      <c r="A152" s="244" t="s">
        <v>3256</v>
      </c>
      <c r="B152" s="42" t="s">
        <v>1768</v>
      </c>
      <c r="C152" s="41" t="s">
        <v>3734</v>
      </c>
      <c r="D152" s="41" t="s">
        <v>3761</v>
      </c>
      <c r="E152" s="41" t="s">
        <v>4919</v>
      </c>
      <c r="F152" s="41" t="s">
        <v>3078</v>
      </c>
      <c r="G152" s="215" t="s">
        <v>3079</v>
      </c>
      <c r="H152" s="42" t="s">
        <v>2798</v>
      </c>
      <c r="I152" s="246" t="s">
        <v>3294</v>
      </c>
      <c r="J152" s="247" t="s">
        <v>3050</v>
      </c>
      <c r="K152" s="137" t="s">
        <v>3737</v>
      </c>
      <c r="L152" s="40" t="s">
        <v>3762</v>
      </c>
      <c r="M152" s="242" t="s">
        <v>3262</v>
      </c>
      <c r="N152" s="213" t="s">
        <v>3763</v>
      </c>
      <c r="O152" s="139" t="s">
        <v>3740</v>
      </c>
      <c r="P152" s="250" t="s">
        <v>4501</v>
      </c>
    </row>
    <row r="153" spans="1:16" ht="135">
      <c r="A153" s="244" t="s">
        <v>3256</v>
      </c>
      <c r="B153" s="42" t="s">
        <v>1768</v>
      </c>
      <c r="C153" s="41" t="s">
        <v>3734</v>
      </c>
      <c r="D153" s="41" t="s">
        <v>3764</v>
      </c>
      <c r="E153" s="41" t="s">
        <v>3765</v>
      </c>
      <c r="F153" s="41" t="s">
        <v>4920</v>
      </c>
      <c r="G153" s="215" t="s">
        <v>3293</v>
      </c>
      <c r="H153" s="42" t="s">
        <v>1774</v>
      </c>
      <c r="I153" s="246" t="s">
        <v>3294</v>
      </c>
      <c r="J153" s="247" t="s">
        <v>4921</v>
      </c>
      <c r="K153" s="137" t="s">
        <v>3766</v>
      </c>
      <c r="L153" s="40" t="s">
        <v>3767</v>
      </c>
      <c r="M153" s="242" t="s">
        <v>3262</v>
      </c>
      <c r="N153" s="213" t="s">
        <v>2802</v>
      </c>
      <c r="O153" s="139" t="s">
        <v>3768</v>
      </c>
      <c r="P153" s="250"/>
    </row>
    <row r="154" spans="1:16" ht="84" customHeight="1">
      <c r="A154" s="244" t="s">
        <v>3256</v>
      </c>
      <c r="B154" s="42" t="s">
        <v>1768</v>
      </c>
      <c r="C154" s="41" t="s">
        <v>3734</v>
      </c>
      <c r="D154" s="41" t="s">
        <v>3769</v>
      </c>
      <c r="E154" s="41" t="s">
        <v>4922</v>
      </c>
      <c r="F154" s="41" t="s">
        <v>4923</v>
      </c>
      <c r="G154" s="215" t="s">
        <v>3337</v>
      </c>
      <c r="H154" s="42" t="s">
        <v>1774</v>
      </c>
      <c r="I154" s="246" t="s">
        <v>3338</v>
      </c>
      <c r="J154" s="247" t="s">
        <v>4924</v>
      </c>
      <c r="K154" s="137" t="s">
        <v>3745</v>
      </c>
      <c r="L154" s="40" t="s">
        <v>3770</v>
      </c>
      <c r="M154" s="242" t="s">
        <v>3262</v>
      </c>
      <c r="N154" s="213" t="s">
        <v>2801</v>
      </c>
      <c r="O154" s="139" t="s">
        <v>3747</v>
      </c>
      <c r="P154" s="250"/>
    </row>
    <row r="155" spans="1:16" ht="112" customHeight="1">
      <c r="A155" s="244" t="s">
        <v>3256</v>
      </c>
      <c r="B155" s="42" t="s">
        <v>1768</v>
      </c>
      <c r="C155" s="41" t="s">
        <v>3734</v>
      </c>
      <c r="D155" s="41" t="s">
        <v>3771</v>
      </c>
      <c r="E155" s="41" t="s">
        <v>4925</v>
      </c>
      <c r="F155" s="41" t="s">
        <v>3116</v>
      </c>
      <c r="G155" s="215" t="s">
        <v>3117</v>
      </c>
      <c r="H155" s="42" t="s">
        <v>1771</v>
      </c>
      <c r="I155" s="246" t="s">
        <v>3259</v>
      </c>
      <c r="J155" s="247" t="s">
        <v>3050</v>
      </c>
      <c r="K155" s="137" t="s">
        <v>3766</v>
      </c>
      <c r="L155" s="40" t="s">
        <v>3772</v>
      </c>
      <c r="M155" s="242" t="s">
        <v>3262</v>
      </c>
      <c r="N155" s="213" t="s">
        <v>2807</v>
      </c>
      <c r="O155" s="139" t="s">
        <v>3768</v>
      </c>
      <c r="P155" s="250"/>
    </row>
    <row r="156" spans="1:16" ht="120">
      <c r="A156" s="244" t="s">
        <v>3256</v>
      </c>
      <c r="B156" s="42" t="s">
        <v>1768</v>
      </c>
      <c r="C156" s="41" t="s">
        <v>3800</v>
      </c>
      <c r="D156" s="41" t="s">
        <v>3801</v>
      </c>
      <c r="E156" s="41" t="s">
        <v>3802</v>
      </c>
      <c r="F156" s="41" t="s">
        <v>4926</v>
      </c>
      <c r="G156" s="215" t="s">
        <v>3337</v>
      </c>
      <c r="H156" s="42" t="s">
        <v>1774</v>
      </c>
      <c r="I156" s="246" t="s">
        <v>3338</v>
      </c>
      <c r="J156" s="247" t="s">
        <v>4927</v>
      </c>
      <c r="K156" s="137" t="s">
        <v>3803</v>
      </c>
      <c r="L156" s="40" t="s">
        <v>3804</v>
      </c>
      <c r="M156" s="242" t="s">
        <v>3262</v>
      </c>
      <c r="N156" s="213" t="s">
        <v>2796</v>
      </c>
      <c r="O156" s="139" t="s">
        <v>3805</v>
      </c>
      <c r="P156" s="250"/>
    </row>
    <row r="157" spans="1:16" ht="112" customHeight="1">
      <c r="A157" s="244" t="s">
        <v>3256</v>
      </c>
      <c r="B157" s="42" t="s">
        <v>1768</v>
      </c>
      <c r="C157" s="41" t="s">
        <v>3800</v>
      </c>
      <c r="D157" s="41" t="s">
        <v>3806</v>
      </c>
      <c r="E157" s="41" t="s">
        <v>3807</v>
      </c>
      <c r="F157" s="41" t="s">
        <v>4928</v>
      </c>
      <c r="G157" s="215" t="s">
        <v>3337</v>
      </c>
      <c r="H157" s="42" t="s">
        <v>1774</v>
      </c>
      <c r="I157" s="246" t="s">
        <v>3338</v>
      </c>
      <c r="J157" s="247" t="s">
        <v>4929</v>
      </c>
      <c r="K157" s="137" t="s">
        <v>3803</v>
      </c>
      <c r="L157" s="40" t="s">
        <v>3808</v>
      </c>
      <c r="M157" s="242" t="s">
        <v>3262</v>
      </c>
      <c r="N157" s="213" t="s">
        <v>2796</v>
      </c>
      <c r="O157" s="139" t="s">
        <v>3805</v>
      </c>
      <c r="P157" s="250"/>
    </row>
    <row r="158" spans="1:16" ht="84" customHeight="1">
      <c r="A158" s="244" t="s">
        <v>3256</v>
      </c>
      <c r="B158" s="42" t="s">
        <v>1768</v>
      </c>
      <c r="C158" s="41" t="s">
        <v>3800</v>
      </c>
      <c r="D158" s="41" t="s">
        <v>3809</v>
      </c>
      <c r="E158" s="41" t="s">
        <v>3810</v>
      </c>
      <c r="F158" s="41" t="s">
        <v>3811</v>
      </c>
      <c r="G158" s="215" t="s">
        <v>3337</v>
      </c>
      <c r="H158" s="42" t="s">
        <v>1774</v>
      </c>
      <c r="I158" s="246" t="s">
        <v>3338</v>
      </c>
      <c r="J158" s="247" t="s">
        <v>4930</v>
      </c>
      <c r="K158" s="137" t="s">
        <v>3803</v>
      </c>
      <c r="L158" s="40" t="s">
        <v>3812</v>
      </c>
      <c r="M158" s="242" t="s">
        <v>3262</v>
      </c>
      <c r="N158" s="213" t="s">
        <v>2796</v>
      </c>
      <c r="O158" s="139" t="s">
        <v>3805</v>
      </c>
      <c r="P158" s="250"/>
    </row>
    <row r="159" spans="1:16" ht="84" customHeight="1">
      <c r="A159" s="244" t="s">
        <v>3256</v>
      </c>
      <c r="B159" s="42" t="s">
        <v>1768</v>
      </c>
      <c r="C159" s="41" t="s">
        <v>3800</v>
      </c>
      <c r="D159" s="41" t="s">
        <v>3813</v>
      </c>
      <c r="E159" s="41" t="s">
        <v>3814</v>
      </c>
      <c r="F159" s="41" t="s">
        <v>4931</v>
      </c>
      <c r="G159" s="215" t="s">
        <v>3337</v>
      </c>
      <c r="H159" s="42" t="s">
        <v>1774</v>
      </c>
      <c r="I159" s="246" t="s">
        <v>3338</v>
      </c>
      <c r="J159" s="247" t="s">
        <v>4932</v>
      </c>
      <c r="K159" s="137" t="s">
        <v>3803</v>
      </c>
      <c r="L159" s="40" t="s">
        <v>3815</v>
      </c>
      <c r="M159" s="242" t="s">
        <v>3262</v>
      </c>
      <c r="N159" s="213" t="s">
        <v>2796</v>
      </c>
      <c r="O159" s="139" t="s">
        <v>3805</v>
      </c>
      <c r="P159" s="250"/>
    </row>
    <row r="160" spans="1:16" ht="120">
      <c r="A160" s="244" t="s">
        <v>3256</v>
      </c>
      <c r="B160" s="42" t="s">
        <v>1768</v>
      </c>
      <c r="C160" s="41" t="s">
        <v>3800</v>
      </c>
      <c r="D160" s="41" t="s">
        <v>3816</v>
      </c>
      <c r="E160" s="41" t="s">
        <v>3817</v>
      </c>
      <c r="F160" s="41" t="s">
        <v>4933</v>
      </c>
      <c r="G160" s="215" t="s">
        <v>3337</v>
      </c>
      <c r="H160" s="42" t="s">
        <v>1774</v>
      </c>
      <c r="I160" s="246" t="s">
        <v>3338</v>
      </c>
      <c r="J160" s="247" t="s">
        <v>4934</v>
      </c>
      <c r="K160" s="137" t="s">
        <v>3818</v>
      </c>
      <c r="L160" s="40" t="s">
        <v>3819</v>
      </c>
      <c r="M160" s="242" t="s">
        <v>3262</v>
      </c>
      <c r="N160" s="213" t="s">
        <v>2796</v>
      </c>
      <c r="O160" s="139" t="s">
        <v>3820</v>
      </c>
      <c r="P160" s="250"/>
    </row>
    <row r="161" spans="1:16" ht="84" customHeight="1">
      <c r="A161" s="244" t="s">
        <v>3256</v>
      </c>
      <c r="B161" s="42" t="s">
        <v>1768</v>
      </c>
      <c r="C161" s="41" t="s">
        <v>3800</v>
      </c>
      <c r="D161" s="41" t="s">
        <v>3821</v>
      </c>
      <c r="E161" s="41" t="s">
        <v>3822</v>
      </c>
      <c r="F161" s="41" t="s">
        <v>4935</v>
      </c>
      <c r="G161" s="215" t="s">
        <v>3293</v>
      </c>
      <c r="H161" s="42" t="s">
        <v>1774</v>
      </c>
      <c r="I161" s="246" t="s">
        <v>4716</v>
      </c>
      <c r="J161" s="247" t="s">
        <v>4936</v>
      </c>
      <c r="K161" s="137" t="s">
        <v>3818</v>
      </c>
      <c r="L161" s="40" t="s">
        <v>3823</v>
      </c>
      <c r="M161" s="242" t="s">
        <v>3262</v>
      </c>
      <c r="N161" s="213" t="s">
        <v>2788</v>
      </c>
      <c r="O161" s="139" t="s">
        <v>3820</v>
      </c>
      <c r="P161" s="250"/>
    </row>
    <row r="162" spans="1:16" ht="84" customHeight="1">
      <c r="A162" s="244" t="s">
        <v>3256</v>
      </c>
      <c r="B162" s="42" t="s">
        <v>1768</v>
      </c>
      <c r="C162" s="41" t="s">
        <v>3800</v>
      </c>
      <c r="D162" s="41" t="s">
        <v>3824</v>
      </c>
      <c r="E162" s="41" t="s">
        <v>3825</v>
      </c>
      <c r="F162" s="41" t="s">
        <v>3826</v>
      </c>
      <c r="G162" s="215" t="s">
        <v>3293</v>
      </c>
      <c r="H162" s="42" t="s">
        <v>1774</v>
      </c>
      <c r="I162" s="246" t="s">
        <v>4716</v>
      </c>
      <c r="J162" s="247" t="s">
        <v>4937</v>
      </c>
      <c r="K162" s="137" t="s">
        <v>3818</v>
      </c>
      <c r="L162" s="40" t="s">
        <v>3827</v>
      </c>
      <c r="M162" s="242" t="s">
        <v>3262</v>
      </c>
      <c r="N162" s="213" t="s">
        <v>2788</v>
      </c>
      <c r="O162" s="139" t="s">
        <v>3820</v>
      </c>
      <c r="P162" s="250"/>
    </row>
    <row r="163" spans="1:16" ht="98" customHeight="1">
      <c r="A163" s="244" t="s">
        <v>3256</v>
      </c>
      <c r="B163" s="42" t="s">
        <v>1768</v>
      </c>
      <c r="C163" s="41" t="s">
        <v>3800</v>
      </c>
      <c r="D163" s="41" t="s">
        <v>3828</v>
      </c>
      <c r="E163" s="41" t="s">
        <v>3829</v>
      </c>
      <c r="F163" s="41" t="s">
        <v>4938</v>
      </c>
      <c r="G163" s="215" t="s">
        <v>3293</v>
      </c>
      <c r="H163" s="42" t="s">
        <v>1774</v>
      </c>
      <c r="I163" s="246" t="s">
        <v>3294</v>
      </c>
      <c r="J163" s="247" t="s">
        <v>4939</v>
      </c>
      <c r="K163" s="137" t="s">
        <v>3830</v>
      </c>
      <c r="L163" s="40" t="s">
        <v>3831</v>
      </c>
      <c r="M163" s="242" t="s">
        <v>3262</v>
      </c>
      <c r="N163" s="213" t="s">
        <v>2788</v>
      </c>
      <c r="O163" s="139" t="s">
        <v>3832</v>
      </c>
      <c r="P163" s="250"/>
    </row>
    <row r="164" spans="1:16" ht="120">
      <c r="A164" s="244" t="s">
        <v>3256</v>
      </c>
      <c r="B164" s="42" t="s">
        <v>1768</v>
      </c>
      <c r="C164" s="41" t="s">
        <v>3800</v>
      </c>
      <c r="D164" s="41" t="s">
        <v>3833</v>
      </c>
      <c r="E164" s="41" t="s">
        <v>3834</v>
      </c>
      <c r="F164" s="41" t="s">
        <v>4940</v>
      </c>
      <c r="G164" s="215" t="s">
        <v>3337</v>
      </c>
      <c r="H164" s="42" t="s">
        <v>1774</v>
      </c>
      <c r="I164" s="246" t="s">
        <v>3338</v>
      </c>
      <c r="J164" s="247" t="s">
        <v>4941</v>
      </c>
      <c r="K164" s="137" t="s">
        <v>3830</v>
      </c>
      <c r="L164" s="40" t="s">
        <v>3835</v>
      </c>
      <c r="M164" s="242" t="s">
        <v>3262</v>
      </c>
      <c r="N164" s="213" t="s">
        <v>2796</v>
      </c>
      <c r="O164" s="139" t="s">
        <v>3832</v>
      </c>
      <c r="P164" s="250"/>
    </row>
    <row r="165" spans="1:16" ht="126" customHeight="1">
      <c r="A165" s="244" t="s">
        <v>3256</v>
      </c>
      <c r="B165" s="42" t="s">
        <v>1768</v>
      </c>
      <c r="C165" s="41" t="s">
        <v>3800</v>
      </c>
      <c r="D165" s="41" t="s">
        <v>3836</v>
      </c>
      <c r="E165" s="41" t="s">
        <v>3837</v>
      </c>
      <c r="F165" s="41" t="s">
        <v>3838</v>
      </c>
      <c r="G165" s="215" t="s">
        <v>3337</v>
      </c>
      <c r="H165" s="42" t="s">
        <v>1774</v>
      </c>
      <c r="I165" s="246" t="s">
        <v>3338</v>
      </c>
      <c r="J165" s="247" t="s">
        <v>4942</v>
      </c>
      <c r="K165" s="137" t="s">
        <v>3818</v>
      </c>
      <c r="L165" s="40" t="s">
        <v>3839</v>
      </c>
      <c r="M165" s="242" t="s">
        <v>3262</v>
      </c>
      <c r="N165" s="213" t="s">
        <v>2796</v>
      </c>
      <c r="O165" s="139" t="s">
        <v>3820</v>
      </c>
      <c r="P165" s="250"/>
    </row>
    <row r="166" spans="1:16" ht="98" customHeight="1">
      <c r="A166" s="244" t="s">
        <v>3256</v>
      </c>
      <c r="B166" s="42" t="s">
        <v>1768</v>
      </c>
      <c r="C166" s="41" t="s">
        <v>3800</v>
      </c>
      <c r="D166" s="41" t="s">
        <v>3840</v>
      </c>
      <c r="E166" s="41" t="s">
        <v>2799</v>
      </c>
      <c r="F166" s="41" t="s">
        <v>4943</v>
      </c>
      <c r="G166" s="215" t="s">
        <v>3337</v>
      </c>
      <c r="H166" s="42" t="s">
        <v>1774</v>
      </c>
      <c r="I166" s="246" t="s">
        <v>3338</v>
      </c>
      <c r="J166" s="247" t="s">
        <v>4944</v>
      </c>
      <c r="K166" s="137" t="s">
        <v>3830</v>
      </c>
      <c r="L166" s="40" t="s">
        <v>3841</v>
      </c>
      <c r="M166" s="242" t="s">
        <v>3262</v>
      </c>
      <c r="N166" s="213" t="s">
        <v>2796</v>
      </c>
      <c r="O166" s="139" t="s">
        <v>3832</v>
      </c>
      <c r="P166" s="250"/>
    </row>
    <row r="167" spans="1:16">
      <c r="A167" s="244" t="s">
        <v>3256</v>
      </c>
      <c r="B167" s="42" t="s">
        <v>1768</v>
      </c>
      <c r="C167" s="41" t="s">
        <v>3662</v>
      </c>
      <c r="D167" s="41" t="s">
        <v>3663</v>
      </c>
      <c r="E167" s="41" t="s">
        <v>4945</v>
      </c>
      <c r="F167" s="41" t="s">
        <v>4946</v>
      </c>
      <c r="G167" s="215" t="s">
        <v>3080</v>
      </c>
      <c r="H167" s="42" t="s">
        <v>1773</v>
      </c>
      <c r="I167" s="246" t="s">
        <v>1769</v>
      </c>
      <c r="J167" s="247" t="s">
        <v>3050</v>
      </c>
      <c r="K167" s="137" t="s">
        <v>3664</v>
      </c>
      <c r="L167" s="40" t="s">
        <v>3665</v>
      </c>
      <c r="M167" s="242" t="s">
        <v>3262</v>
      </c>
      <c r="N167" s="213" t="s">
        <v>3666</v>
      </c>
      <c r="O167" s="139" t="s">
        <v>3667</v>
      </c>
      <c r="P167" s="250"/>
    </row>
    <row r="168" spans="1:16">
      <c r="A168" s="244" t="s">
        <v>3256</v>
      </c>
      <c r="B168" s="42" t="s">
        <v>1768</v>
      </c>
      <c r="C168" s="41" t="s">
        <v>3662</v>
      </c>
      <c r="D168" s="41" t="s">
        <v>3668</v>
      </c>
      <c r="E168" s="41" t="s">
        <v>4947</v>
      </c>
      <c r="F168" s="41" t="s">
        <v>3118</v>
      </c>
      <c r="G168" s="215" t="s">
        <v>3119</v>
      </c>
      <c r="H168" s="42" t="s">
        <v>1773</v>
      </c>
      <c r="I168" s="246" t="s">
        <v>3316</v>
      </c>
      <c r="J168" s="247" t="s">
        <v>3050</v>
      </c>
      <c r="K168" s="137" t="s">
        <v>3664</v>
      </c>
      <c r="L168" s="40" t="s">
        <v>3669</v>
      </c>
      <c r="M168" s="242" t="s">
        <v>3262</v>
      </c>
      <c r="N168" s="213" t="s">
        <v>2808</v>
      </c>
      <c r="O168" s="139" t="s">
        <v>3667</v>
      </c>
      <c r="P168" s="250"/>
    </row>
    <row r="169" spans="1:16" ht="112" customHeight="1">
      <c r="A169" s="244" t="s">
        <v>3256</v>
      </c>
      <c r="B169" s="42" t="s">
        <v>1768</v>
      </c>
      <c r="C169" s="41" t="s">
        <v>3662</v>
      </c>
      <c r="D169" s="41" t="s">
        <v>3670</v>
      </c>
      <c r="E169" s="41" t="s">
        <v>3671</v>
      </c>
      <c r="F169" s="41" t="s">
        <v>3081</v>
      </c>
      <c r="G169" s="215" t="s">
        <v>3082</v>
      </c>
      <c r="H169" s="42" t="s">
        <v>1771</v>
      </c>
      <c r="I169" s="246" t="s">
        <v>3259</v>
      </c>
      <c r="J169" s="247" t="s">
        <v>3050</v>
      </c>
      <c r="K169" s="137" t="s">
        <v>3664</v>
      </c>
      <c r="L169" s="40" t="s">
        <v>3672</v>
      </c>
      <c r="M169" s="242" t="s">
        <v>3262</v>
      </c>
      <c r="N169" s="213" t="s">
        <v>3278</v>
      </c>
      <c r="O169" s="139" t="s">
        <v>3667</v>
      </c>
      <c r="P169" s="250" t="s">
        <v>4504</v>
      </c>
    </row>
    <row r="170" spans="1:16" ht="84" customHeight="1">
      <c r="A170" s="244" t="s">
        <v>3256</v>
      </c>
      <c r="B170" s="42" t="s">
        <v>1768</v>
      </c>
      <c r="C170" s="41" t="s">
        <v>3662</v>
      </c>
      <c r="D170" s="41" t="s">
        <v>3673</v>
      </c>
      <c r="E170" s="41" t="s">
        <v>4948</v>
      </c>
      <c r="F170" s="41" t="s">
        <v>4949</v>
      </c>
      <c r="G170" s="215" t="s">
        <v>3083</v>
      </c>
      <c r="H170" s="42" t="s">
        <v>674</v>
      </c>
      <c r="I170" s="246" t="s">
        <v>3269</v>
      </c>
      <c r="J170" s="247" t="s">
        <v>3050</v>
      </c>
      <c r="K170" s="137" t="s">
        <v>3664</v>
      </c>
      <c r="L170" s="40" t="s">
        <v>3674</v>
      </c>
      <c r="M170" s="242" t="s">
        <v>3262</v>
      </c>
      <c r="N170" s="213" t="s">
        <v>2809</v>
      </c>
      <c r="O170" s="139" t="s">
        <v>3667</v>
      </c>
      <c r="P170" s="250" t="s">
        <v>4505</v>
      </c>
    </row>
    <row r="171" spans="1:16" ht="112" customHeight="1">
      <c r="A171" s="244" t="s">
        <v>3256</v>
      </c>
      <c r="B171" s="42" t="s">
        <v>1768</v>
      </c>
      <c r="C171" s="41" t="s">
        <v>3662</v>
      </c>
      <c r="D171" s="41" t="s">
        <v>3675</v>
      </c>
      <c r="E171" s="41" t="s">
        <v>4950</v>
      </c>
      <c r="F171" s="41" t="s">
        <v>3120</v>
      </c>
      <c r="G171" s="215" t="s">
        <v>3121</v>
      </c>
      <c r="H171" s="42" t="s">
        <v>1773</v>
      </c>
      <c r="I171" s="246" t="s">
        <v>3316</v>
      </c>
      <c r="J171" s="247" t="s">
        <v>3050</v>
      </c>
      <c r="K171" s="137" t="s">
        <v>3664</v>
      </c>
      <c r="L171" s="40" t="s">
        <v>3676</v>
      </c>
      <c r="M171" s="242" t="s">
        <v>3262</v>
      </c>
      <c r="N171" s="213" t="s">
        <v>3677</v>
      </c>
      <c r="O171" s="139" t="s">
        <v>3667</v>
      </c>
      <c r="P171" s="250"/>
    </row>
    <row r="172" spans="1:16" ht="154" customHeight="1">
      <c r="A172" s="244" t="s">
        <v>3256</v>
      </c>
      <c r="B172" s="42" t="s">
        <v>1768</v>
      </c>
      <c r="C172" s="41" t="s">
        <v>3662</v>
      </c>
      <c r="D172" s="41" t="s">
        <v>3678</v>
      </c>
      <c r="E172" s="41" t="s">
        <v>4951</v>
      </c>
      <c r="F172" s="41" t="s">
        <v>3122</v>
      </c>
      <c r="G172" s="215" t="s">
        <v>3123</v>
      </c>
      <c r="H172" s="42" t="s">
        <v>1773</v>
      </c>
      <c r="I172" s="246" t="s">
        <v>3316</v>
      </c>
      <c r="J172" s="247" t="s">
        <v>3050</v>
      </c>
      <c r="K172" s="137" t="s">
        <v>3664</v>
      </c>
      <c r="L172" s="40" t="s">
        <v>3679</v>
      </c>
      <c r="M172" s="242" t="s">
        <v>3262</v>
      </c>
      <c r="N172" s="213" t="s">
        <v>3680</v>
      </c>
      <c r="O172" s="139" t="s">
        <v>3667</v>
      </c>
      <c r="P172" s="250"/>
    </row>
    <row r="173" spans="1:16" ht="98" customHeight="1">
      <c r="A173" s="244" t="s">
        <v>3256</v>
      </c>
      <c r="B173" s="42" t="s">
        <v>1768</v>
      </c>
      <c r="C173" s="41" t="s">
        <v>3662</v>
      </c>
      <c r="D173" s="41" t="s">
        <v>3681</v>
      </c>
      <c r="E173" s="41" t="s">
        <v>4952</v>
      </c>
      <c r="F173" s="41" t="s">
        <v>3084</v>
      </c>
      <c r="G173" s="215" t="s">
        <v>3085</v>
      </c>
      <c r="H173" s="42" t="s">
        <v>1771</v>
      </c>
      <c r="I173" s="246" t="s">
        <v>3259</v>
      </c>
      <c r="J173" s="247" t="s">
        <v>3050</v>
      </c>
      <c r="K173" s="137" t="s">
        <v>3664</v>
      </c>
      <c r="L173" s="40" t="s">
        <v>3682</v>
      </c>
      <c r="M173" s="242" t="s">
        <v>3262</v>
      </c>
      <c r="N173" s="213" t="s">
        <v>3683</v>
      </c>
      <c r="O173" s="139" t="s">
        <v>3667</v>
      </c>
      <c r="P173" s="250" t="s">
        <v>4502</v>
      </c>
    </row>
    <row r="174" spans="1:16" ht="98" customHeight="1">
      <c r="A174" s="244" t="s">
        <v>3256</v>
      </c>
      <c r="B174" s="42" t="s">
        <v>1768</v>
      </c>
      <c r="C174" s="41" t="s">
        <v>3662</v>
      </c>
      <c r="D174" s="41" t="s">
        <v>3684</v>
      </c>
      <c r="E174" s="41" t="s">
        <v>4953</v>
      </c>
      <c r="F174" s="41" t="s">
        <v>3685</v>
      </c>
      <c r="G174" s="215" t="s">
        <v>3258</v>
      </c>
      <c r="H174" s="42" t="s">
        <v>1771</v>
      </c>
      <c r="I174" s="246" t="s">
        <v>3259</v>
      </c>
      <c r="J174" s="247" t="s">
        <v>3050</v>
      </c>
      <c r="K174" s="137" t="s">
        <v>3664</v>
      </c>
      <c r="L174" s="40" t="s">
        <v>3686</v>
      </c>
      <c r="M174" s="242" t="s">
        <v>3262</v>
      </c>
      <c r="N174" s="213" t="s">
        <v>3687</v>
      </c>
      <c r="O174" s="139" t="s">
        <v>3667</v>
      </c>
      <c r="P174" s="250"/>
    </row>
    <row r="175" spans="1:16" ht="98" customHeight="1">
      <c r="A175" s="244" t="s">
        <v>3256</v>
      </c>
      <c r="B175" s="42" t="s">
        <v>1768</v>
      </c>
      <c r="C175" s="41" t="s">
        <v>3662</v>
      </c>
      <c r="D175" s="41" t="s">
        <v>3688</v>
      </c>
      <c r="E175" s="41" t="s">
        <v>4954</v>
      </c>
      <c r="F175" s="41" t="s">
        <v>3689</v>
      </c>
      <c r="G175" s="215" t="s">
        <v>3258</v>
      </c>
      <c r="H175" s="42" t="s">
        <v>1771</v>
      </c>
      <c r="I175" s="246" t="s">
        <v>3259</v>
      </c>
      <c r="J175" s="247" t="s">
        <v>3050</v>
      </c>
      <c r="K175" s="137" t="s">
        <v>3664</v>
      </c>
      <c r="L175" s="40" t="s">
        <v>3690</v>
      </c>
      <c r="M175" s="242" t="s">
        <v>3262</v>
      </c>
      <c r="N175" s="213" t="s">
        <v>3687</v>
      </c>
      <c r="O175" s="139" t="s">
        <v>3667</v>
      </c>
      <c r="P175" s="250"/>
    </row>
    <row r="176" spans="1:16" ht="84" customHeight="1">
      <c r="A176" s="244" t="s">
        <v>3256</v>
      </c>
      <c r="B176" s="42" t="s">
        <v>1768</v>
      </c>
      <c r="C176" s="41" t="s">
        <v>3662</v>
      </c>
      <c r="D176" s="41" t="s">
        <v>3691</v>
      </c>
      <c r="E176" s="41" t="s">
        <v>4955</v>
      </c>
      <c r="F176" s="41" t="s">
        <v>4956</v>
      </c>
      <c r="G176" s="215" t="s">
        <v>3086</v>
      </c>
      <c r="H176" s="42" t="s">
        <v>1773</v>
      </c>
      <c r="I176" s="246" t="s">
        <v>3316</v>
      </c>
      <c r="J176" s="247" t="s">
        <v>3050</v>
      </c>
      <c r="K176" s="137" t="s">
        <v>3664</v>
      </c>
      <c r="L176" s="40" t="s">
        <v>3692</v>
      </c>
      <c r="M176" s="242" t="s">
        <v>3262</v>
      </c>
      <c r="N176" s="213" t="s">
        <v>2809</v>
      </c>
      <c r="O176" s="139" t="s">
        <v>3667</v>
      </c>
      <c r="P176" s="250"/>
    </row>
    <row r="177" spans="1:16" ht="84" customHeight="1">
      <c r="A177" s="244" t="s">
        <v>3256</v>
      </c>
      <c r="B177" s="42" t="s">
        <v>1768</v>
      </c>
      <c r="C177" s="41" t="s">
        <v>3662</v>
      </c>
      <c r="D177" s="41" t="s">
        <v>3693</v>
      </c>
      <c r="E177" s="41" t="s">
        <v>4957</v>
      </c>
      <c r="F177" s="41" t="s">
        <v>3087</v>
      </c>
      <c r="G177" s="215" t="s">
        <v>3088</v>
      </c>
      <c r="H177" s="42" t="s">
        <v>1773</v>
      </c>
      <c r="I177" s="246" t="s">
        <v>3316</v>
      </c>
      <c r="J177" s="247" t="s">
        <v>3050</v>
      </c>
      <c r="K177" s="137" t="s">
        <v>3664</v>
      </c>
      <c r="L177" s="40" t="s">
        <v>3694</v>
      </c>
      <c r="M177" s="242" t="s">
        <v>3262</v>
      </c>
      <c r="N177" s="213" t="s">
        <v>2809</v>
      </c>
      <c r="O177" s="139" t="s">
        <v>3667</v>
      </c>
      <c r="P177" s="250"/>
    </row>
    <row r="178" spans="1:16" ht="98" customHeight="1">
      <c r="A178" s="244" t="s">
        <v>3256</v>
      </c>
      <c r="B178" s="42" t="s">
        <v>1768</v>
      </c>
      <c r="C178" s="41" t="s">
        <v>3695</v>
      </c>
      <c r="D178" s="41" t="s">
        <v>3696</v>
      </c>
      <c r="E178" s="41" t="s">
        <v>3697</v>
      </c>
      <c r="F178" s="41" t="s">
        <v>4958</v>
      </c>
      <c r="G178" s="215" t="s">
        <v>3268</v>
      </c>
      <c r="H178" s="42" t="s">
        <v>674</v>
      </c>
      <c r="I178" s="246" t="s">
        <v>3269</v>
      </c>
      <c r="J178" s="247" t="s">
        <v>3050</v>
      </c>
      <c r="K178" s="137" t="s">
        <v>3698</v>
      </c>
      <c r="L178" s="40" t="s">
        <v>3699</v>
      </c>
      <c r="M178" s="242" t="s">
        <v>3262</v>
      </c>
      <c r="N178" s="213" t="s">
        <v>3700</v>
      </c>
      <c r="O178" s="139" t="s">
        <v>3701</v>
      </c>
      <c r="P178" s="250"/>
    </row>
    <row r="179" spans="1:16" ht="98" customHeight="1">
      <c r="A179" s="244" t="s">
        <v>3256</v>
      </c>
      <c r="B179" s="42" t="s">
        <v>1768</v>
      </c>
      <c r="C179" s="41" t="s">
        <v>3695</v>
      </c>
      <c r="D179" s="41" t="s">
        <v>3702</v>
      </c>
      <c r="E179" s="41" t="s">
        <v>4959</v>
      </c>
      <c r="F179" s="41" t="s">
        <v>4960</v>
      </c>
      <c r="G179" s="215" t="s">
        <v>4961</v>
      </c>
      <c r="H179" s="42" t="s">
        <v>2798</v>
      </c>
      <c r="I179" s="246" t="s">
        <v>3274</v>
      </c>
      <c r="J179" s="247" t="s">
        <v>4962</v>
      </c>
      <c r="K179" s="137" t="s">
        <v>3698</v>
      </c>
      <c r="L179" s="40" t="s">
        <v>3703</v>
      </c>
      <c r="M179" s="242" t="s">
        <v>3262</v>
      </c>
      <c r="N179" s="213" t="s">
        <v>4963</v>
      </c>
      <c r="O179" s="139" t="s">
        <v>3701</v>
      </c>
      <c r="P179" s="250"/>
    </row>
    <row r="180" spans="1:16" ht="98" customHeight="1">
      <c r="A180" s="244" t="s">
        <v>3256</v>
      </c>
      <c r="B180" s="42" t="s">
        <v>1768</v>
      </c>
      <c r="C180" s="41" t="s">
        <v>3695</v>
      </c>
      <c r="D180" s="41" t="s">
        <v>3704</v>
      </c>
      <c r="E180" s="41" t="s">
        <v>3705</v>
      </c>
      <c r="F180" s="41" t="s">
        <v>4964</v>
      </c>
      <c r="G180" s="215" t="s">
        <v>3258</v>
      </c>
      <c r="H180" s="42" t="s">
        <v>1771</v>
      </c>
      <c r="I180" s="246" t="s">
        <v>3259</v>
      </c>
      <c r="J180" s="247" t="s">
        <v>3050</v>
      </c>
      <c r="K180" s="137" t="s">
        <v>3698</v>
      </c>
      <c r="L180" s="40" t="s">
        <v>3706</v>
      </c>
      <c r="M180" s="242" t="s">
        <v>3262</v>
      </c>
      <c r="N180" s="213" t="s">
        <v>2810</v>
      </c>
      <c r="O180" s="139" t="s">
        <v>3701</v>
      </c>
      <c r="P180" s="250"/>
    </row>
    <row r="181" spans="1:16">
      <c r="A181" s="244" t="s">
        <v>3256</v>
      </c>
      <c r="B181" s="42" t="s">
        <v>1768</v>
      </c>
      <c r="C181" s="41" t="s">
        <v>3695</v>
      </c>
      <c r="D181" s="41" t="s">
        <v>3707</v>
      </c>
      <c r="E181" s="41" t="s">
        <v>4965</v>
      </c>
      <c r="F181" s="41" t="s">
        <v>3124</v>
      </c>
      <c r="G181" s="215" t="s">
        <v>3125</v>
      </c>
      <c r="H181" s="42" t="s">
        <v>1773</v>
      </c>
      <c r="I181" s="246" t="s">
        <v>3316</v>
      </c>
      <c r="J181" s="247" t="s">
        <v>3050</v>
      </c>
      <c r="K181" s="137" t="s">
        <v>3698</v>
      </c>
      <c r="L181" s="40" t="s">
        <v>3708</v>
      </c>
      <c r="M181" s="242" t="s">
        <v>3262</v>
      </c>
      <c r="N181" s="213" t="s">
        <v>3709</v>
      </c>
      <c r="O181" s="139" t="s">
        <v>3701</v>
      </c>
      <c r="P181" s="250"/>
    </row>
    <row r="182" spans="1:16" ht="112" customHeight="1">
      <c r="A182" s="244" t="s">
        <v>3256</v>
      </c>
      <c r="B182" s="42" t="s">
        <v>1768</v>
      </c>
      <c r="C182" s="41" t="s">
        <v>3695</v>
      </c>
      <c r="D182" s="41" t="s">
        <v>3710</v>
      </c>
      <c r="E182" s="41" t="s">
        <v>4966</v>
      </c>
      <c r="F182" s="41" t="s">
        <v>3089</v>
      </c>
      <c r="G182" s="215" t="s">
        <v>3090</v>
      </c>
      <c r="H182" s="42" t="s">
        <v>1771</v>
      </c>
      <c r="I182" s="246" t="s">
        <v>3259</v>
      </c>
      <c r="J182" s="247" t="s">
        <v>3050</v>
      </c>
      <c r="K182" s="137" t="s">
        <v>3698</v>
      </c>
      <c r="L182" s="40" t="s">
        <v>3711</v>
      </c>
      <c r="M182" s="242" t="s">
        <v>3262</v>
      </c>
      <c r="N182" s="213" t="s">
        <v>3712</v>
      </c>
      <c r="O182" s="139" t="s">
        <v>3701</v>
      </c>
      <c r="P182" s="250"/>
    </row>
    <row r="183" spans="1:16">
      <c r="A183" s="244" t="s">
        <v>3256</v>
      </c>
      <c r="B183" s="42" t="s">
        <v>3892</v>
      </c>
      <c r="C183" s="41" t="s">
        <v>3257</v>
      </c>
      <c r="D183" s="41" t="s">
        <v>3893</v>
      </c>
      <c r="E183" s="41" t="s">
        <v>4967</v>
      </c>
      <c r="F183" s="41" t="s">
        <v>3137</v>
      </c>
      <c r="G183" s="215" t="s">
        <v>3138</v>
      </c>
      <c r="H183" s="42" t="s">
        <v>1773</v>
      </c>
      <c r="I183" s="246" t="s">
        <v>3316</v>
      </c>
      <c r="J183" s="247" t="s">
        <v>3050</v>
      </c>
      <c r="K183" s="137" t="s">
        <v>3894</v>
      </c>
      <c r="L183" s="40" t="s">
        <v>3895</v>
      </c>
      <c r="M183" s="242" t="s">
        <v>3896</v>
      </c>
      <c r="N183" s="213" t="s">
        <v>2816</v>
      </c>
      <c r="O183" s="139" t="s">
        <v>3897</v>
      </c>
      <c r="P183" s="250"/>
    </row>
    <row r="184" spans="1:16" ht="120">
      <c r="A184" s="244" t="s">
        <v>3256</v>
      </c>
      <c r="B184" s="42" t="s">
        <v>3892</v>
      </c>
      <c r="C184" s="41" t="s">
        <v>3475</v>
      </c>
      <c r="D184" s="41" t="s">
        <v>3975</v>
      </c>
      <c r="E184" s="41" t="s">
        <v>4968</v>
      </c>
      <c r="F184" s="41" t="s">
        <v>3976</v>
      </c>
      <c r="G184" s="215" t="s">
        <v>3337</v>
      </c>
      <c r="H184" s="42" t="s">
        <v>1774</v>
      </c>
      <c r="I184" s="246" t="s">
        <v>3338</v>
      </c>
      <c r="J184" s="247" t="s">
        <v>4969</v>
      </c>
      <c r="K184" s="137" t="s">
        <v>3977</v>
      </c>
      <c r="L184" s="40" t="s">
        <v>3978</v>
      </c>
      <c r="M184" s="242" t="s">
        <v>3896</v>
      </c>
      <c r="N184" s="213" t="s">
        <v>2815</v>
      </c>
      <c r="O184" s="139" t="s">
        <v>3897</v>
      </c>
      <c r="P184" s="250"/>
    </row>
    <row r="185" spans="1:16" ht="135">
      <c r="A185" s="244" t="s">
        <v>3256</v>
      </c>
      <c r="B185" s="42" t="s">
        <v>3892</v>
      </c>
      <c r="C185" s="41" t="s">
        <v>3475</v>
      </c>
      <c r="D185" s="41" t="s">
        <v>3991</v>
      </c>
      <c r="E185" s="41" t="s">
        <v>4970</v>
      </c>
      <c r="F185" s="41" t="s">
        <v>3992</v>
      </c>
      <c r="G185" s="215" t="s">
        <v>3337</v>
      </c>
      <c r="H185" s="42" t="s">
        <v>1774</v>
      </c>
      <c r="I185" s="246" t="s">
        <v>3338</v>
      </c>
      <c r="J185" s="247" t="s">
        <v>4971</v>
      </c>
      <c r="K185" s="137" t="s">
        <v>3993</v>
      </c>
      <c r="L185" s="40" t="s">
        <v>3994</v>
      </c>
      <c r="M185" s="242" t="s">
        <v>3896</v>
      </c>
      <c r="N185" s="213" t="s">
        <v>3995</v>
      </c>
      <c r="O185" s="139" t="s">
        <v>3897</v>
      </c>
      <c r="P185" s="250"/>
    </row>
    <row r="186" spans="1:16" ht="120">
      <c r="A186" s="244" t="s">
        <v>3256</v>
      </c>
      <c r="B186" s="42" t="s">
        <v>3892</v>
      </c>
      <c r="C186" s="41" t="s">
        <v>3507</v>
      </c>
      <c r="D186" s="41" t="s">
        <v>3958</v>
      </c>
      <c r="E186" s="41" t="s">
        <v>4972</v>
      </c>
      <c r="F186" s="41" t="s">
        <v>3959</v>
      </c>
      <c r="G186" s="215" t="s">
        <v>3337</v>
      </c>
      <c r="H186" s="42" t="s">
        <v>1774</v>
      </c>
      <c r="I186" s="246" t="s">
        <v>3338</v>
      </c>
      <c r="J186" s="247" t="s">
        <v>4973</v>
      </c>
      <c r="K186" s="137" t="s">
        <v>3960</v>
      </c>
      <c r="L186" s="40" t="s">
        <v>3961</v>
      </c>
      <c r="M186" s="242" t="s">
        <v>3896</v>
      </c>
      <c r="N186" s="213" t="s">
        <v>3962</v>
      </c>
      <c r="O186" s="139" t="s">
        <v>3897</v>
      </c>
      <c r="P186" s="250"/>
    </row>
    <row r="187" spans="1:16" ht="150">
      <c r="A187" s="244" t="s">
        <v>3256</v>
      </c>
      <c r="B187" s="42" t="s">
        <v>3892</v>
      </c>
      <c r="C187" s="41" t="s">
        <v>3507</v>
      </c>
      <c r="D187" s="41" t="s">
        <v>4001</v>
      </c>
      <c r="E187" s="41" t="s">
        <v>4002</v>
      </c>
      <c r="F187" s="41" t="s">
        <v>4003</v>
      </c>
      <c r="G187" s="215" t="s">
        <v>3337</v>
      </c>
      <c r="H187" s="42" t="s">
        <v>1774</v>
      </c>
      <c r="I187" s="246" t="s">
        <v>3338</v>
      </c>
      <c r="J187" s="247" t="s">
        <v>4974</v>
      </c>
      <c r="K187" s="137" t="s">
        <v>4004</v>
      </c>
      <c r="L187" s="40" t="s">
        <v>4005</v>
      </c>
      <c r="M187" s="242" t="s">
        <v>3896</v>
      </c>
      <c r="N187" s="213" t="s">
        <v>2796</v>
      </c>
      <c r="O187" s="139" t="s">
        <v>3897</v>
      </c>
      <c r="P187" s="250"/>
    </row>
    <row r="188" spans="1:16" ht="135">
      <c r="A188" s="244" t="s">
        <v>3256</v>
      </c>
      <c r="B188" s="42" t="s">
        <v>3892</v>
      </c>
      <c r="C188" s="41" t="s">
        <v>3507</v>
      </c>
      <c r="D188" s="41" t="s">
        <v>4006</v>
      </c>
      <c r="E188" s="41" t="s">
        <v>4007</v>
      </c>
      <c r="F188" s="41" t="s">
        <v>4008</v>
      </c>
      <c r="G188" s="215" t="s">
        <v>3337</v>
      </c>
      <c r="H188" s="42" t="s">
        <v>1774</v>
      </c>
      <c r="I188" s="246" t="s">
        <v>3338</v>
      </c>
      <c r="J188" s="247" t="s">
        <v>4975</v>
      </c>
      <c r="K188" s="137" t="s">
        <v>4004</v>
      </c>
      <c r="L188" s="40" t="s">
        <v>4009</v>
      </c>
      <c r="M188" s="242" t="s">
        <v>3896</v>
      </c>
      <c r="N188" s="213" t="s">
        <v>2796</v>
      </c>
      <c r="O188" s="139" t="s">
        <v>3897</v>
      </c>
      <c r="P188" s="250"/>
    </row>
    <row r="189" spans="1:16">
      <c r="A189" s="244" t="s">
        <v>3256</v>
      </c>
      <c r="B189" s="42" t="s">
        <v>3892</v>
      </c>
      <c r="C189" s="41" t="s">
        <v>3357</v>
      </c>
      <c r="D189" s="41" t="s">
        <v>3979</v>
      </c>
      <c r="E189" s="41" t="s">
        <v>4976</v>
      </c>
      <c r="F189" s="41" t="s">
        <v>3980</v>
      </c>
      <c r="G189" s="215" t="s">
        <v>3268</v>
      </c>
      <c r="H189" s="42" t="s">
        <v>674</v>
      </c>
      <c r="I189" s="246" t="s">
        <v>3269</v>
      </c>
      <c r="J189" s="247" t="s">
        <v>3050</v>
      </c>
      <c r="K189" s="137" t="s">
        <v>3981</v>
      </c>
      <c r="L189" s="40" t="s">
        <v>3982</v>
      </c>
      <c r="M189" s="242" t="s">
        <v>3896</v>
      </c>
      <c r="N189" s="213" t="s">
        <v>2814</v>
      </c>
      <c r="O189" s="139" t="s">
        <v>3897</v>
      </c>
      <c r="P189" s="250"/>
    </row>
    <row r="190" spans="1:16" ht="135">
      <c r="A190" s="244" t="s">
        <v>3256</v>
      </c>
      <c r="B190" s="42" t="s">
        <v>3892</v>
      </c>
      <c r="C190" s="41" t="s">
        <v>3357</v>
      </c>
      <c r="D190" s="41" t="s">
        <v>4010</v>
      </c>
      <c r="E190" s="41" t="s">
        <v>4977</v>
      </c>
      <c r="F190" s="41" t="s">
        <v>3056</v>
      </c>
      <c r="G190" s="215" t="s">
        <v>3057</v>
      </c>
      <c r="H190" s="42" t="s">
        <v>2798</v>
      </c>
      <c r="I190" s="246" t="s">
        <v>3294</v>
      </c>
      <c r="J190" s="247" t="s">
        <v>4978</v>
      </c>
      <c r="K190" s="137" t="s">
        <v>4011</v>
      </c>
      <c r="L190" s="40" t="s">
        <v>4012</v>
      </c>
      <c r="M190" s="242" t="s">
        <v>3896</v>
      </c>
      <c r="N190" s="213" t="s">
        <v>4013</v>
      </c>
      <c r="O190" s="139" t="s">
        <v>3897</v>
      </c>
      <c r="P190" s="250" t="s">
        <v>4501</v>
      </c>
    </row>
    <row r="191" spans="1:16" ht="30">
      <c r="A191" s="244" t="s">
        <v>3256</v>
      </c>
      <c r="B191" s="42" t="s">
        <v>3892</v>
      </c>
      <c r="C191" s="41" t="s">
        <v>3308</v>
      </c>
      <c r="D191" s="41" t="s">
        <v>3948</v>
      </c>
      <c r="E191" s="41" t="s">
        <v>4979</v>
      </c>
      <c r="F191" s="41" t="s">
        <v>3949</v>
      </c>
      <c r="G191" s="215" t="s">
        <v>3258</v>
      </c>
      <c r="H191" s="42" t="s">
        <v>1771</v>
      </c>
      <c r="I191" s="246" t="s">
        <v>3259</v>
      </c>
      <c r="J191" s="247" t="s">
        <v>4980</v>
      </c>
      <c r="K191" s="137" t="s">
        <v>3950</v>
      </c>
      <c r="L191" s="40" t="s">
        <v>3951</v>
      </c>
      <c r="M191" s="242" t="s">
        <v>4981</v>
      </c>
      <c r="N191" s="213" t="s">
        <v>3952</v>
      </c>
      <c r="O191" s="139" t="s">
        <v>3953</v>
      </c>
      <c r="P191" s="250" t="s">
        <v>4982</v>
      </c>
    </row>
    <row r="192" spans="1:16">
      <c r="A192" s="244" t="s">
        <v>3256</v>
      </c>
      <c r="B192" s="42" t="s">
        <v>3892</v>
      </c>
      <c r="C192" s="41" t="s">
        <v>3441</v>
      </c>
      <c r="D192" s="41" t="s">
        <v>3983</v>
      </c>
      <c r="E192" s="41" t="s">
        <v>4983</v>
      </c>
      <c r="F192" s="41" t="s">
        <v>3139</v>
      </c>
      <c r="G192" s="215" t="s">
        <v>3140</v>
      </c>
      <c r="H192" s="42" t="s">
        <v>1773</v>
      </c>
      <c r="I192" s="246" t="s">
        <v>3316</v>
      </c>
      <c r="J192" s="247" t="s">
        <v>3050</v>
      </c>
      <c r="K192" s="137" t="s">
        <v>3894</v>
      </c>
      <c r="L192" s="40" t="s">
        <v>3984</v>
      </c>
      <c r="M192" s="242" t="s">
        <v>3896</v>
      </c>
      <c r="N192" s="213" t="s">
        <v>2816</v>
      </c>
      <c r="O192" s="139" t="s">
        <v>3897</v>
      </c>
      <c r="P192" s="250"/>
    </row>
    <row r="193" spans="1:16" ht="120">
      <c r="A193" s="244" t="s">
        <v>3256</v>
      </c>
      <c r="B193" s="42" t="s">
        <v>3892</v>
      </c>
      <c r="C193" s="41" t="s">
        <v>3842</v>
      </c>
      <c r="D193" s="41" t="s">
        <v>3935</v>
      </c>
      <c r="E193" s="41" t="s">
        <v>3936</v>
      </c>
      <c r="F193" s="41" t="s">
        <v>3937</v>
      </c>
      <c r="G193" s="215" t="s">
        <v>3938</v>
      </c>
      <c r="H193" s="42" t="s">
        <v>1774</v>
      </c>
      <c r="I193" s="246" t="s">
        <v>3294</v>
      </c>
      <c r="J193" s="247" t="s">
        <v>4984</v>
      </c>
      <c r="K193" s="137" t="s">
        <v>3939</v>
      </c>
      <c r="L193" s="40" t="s">
        <v>3940</v>
      </c>
      <c r="M193" s="242" t="s">
        <v>3896</v>
      </c>
      <c r="N193" s="213" t="s">
        <v>3927</v>
      </c>
      <c r="O193" s="139" t="s">
        <v>3928</v>
      </c>
      <c r="P193" s="250"/>
    </row>
    <row r="194" spans="1:16" ht="135">
      <c r="A194" s="244" t="s">
        <v>3256</v>
      </c>
      <c r="B194" s="42" t="s">
        <v>3892</v>
      </c>
      <c r="C194" s="41" t="s">
        <v>3589</v>
      </c>
      <c r="D194" s="41" t="s">
        <v>3898</v>
      </c>
      <c r="E194" s="41" t="s">
        <v>4985</v>
      </c>
      <c r="F194" s="41" t="s">
        <v>3899</v>
      </c>
      <c r="G194" s="215" t="s">
        <v>3337</v>
      </c>
      <c r="H194" s="42" t="s">
        <v>1774</v>
      </c>
      <c r="I194" s="246" t="s">
        <v>3338</v>
      </c>
      <c r="J194" s="247" t="s">
        <v>4986</v>
      </c>
      <c r="K194" s="137" t="s">
        <v>3894</v>
      </c>
      <c r="L194" s="40" t="s">
        <v>3900</v>
      </c>
      <c r="M194" s="242" t="s">
        <v>3896</v>
      </c>
      <c r="N194" s="213" t="s">
        <v>3901</v>
      </c>
      <c r="O194" s="139" t="s">
        <v>3897</v>
      </c>
      <c r="P194" s="250"/>
    </row>
    <row r="195" spans="1:16" ht="120">
      <c r="A195" s="244" t="s">
        <v>3256</v>
      </c>
      <c r="B195" s="42" t="s">
        <v>3892</v>
      </c>
      <c r="C195" s="41" t="s">
        <v>3589</v>
      </c>
      <c r="D195" s="41" t="s">
        <v>3902</v>
      </c>
      <c r="E195" s="41" t="s">
        <v>3903</v>
      </c>
      <c r="F195" s="41" t="s">
        <v>3904</v>
      </c>
      <c r="G195" s="215" t="s">
        <v>3905</v>
      </c>
      <c r="H195" s="42" t="s">
        <v>1774</v>
      </c>
      <c r="I195" s="246" t="s">
        <v>3294</v>
      </c>
      <c r="J195" s="247" t="s">
        <v>4987</v>
      </c>
      <c r="K195" s="137" t="s">
        <v>3906</v>
      </c>
      <c r="L195" s="40" t="s">
        <v>3907</v>
      </c>
      <c r="M195" s="242" t="s">
        <v>3896</v>
      </c>
      <c r="N195" s="213" t="s">
        <v>3908</v>
      </c>
      <c r="O195" s="139" t="s">
        <v>3909</v>
      </c>
      <c r="P195" s="250"/>
    </row>
    <row r="196" spans="1:16" ht="120">
      <c r="A196" s="244" t="s">
        <v>3256</v>
      </c>
      <c r="B196" s="42" t="s">
        <v>3892</v>
      </c>
      <c r="C196" s="41" t="s">
        <v>3589</v>
      </c>
      <c r="D196" s="41" t="s">
        <v>3910</v>
      </c>
      <c r="E196" s="41" t="s">
        <v>3911</v>
      </c>
      <c r="F196" s="41" t="s">
        <v>3912</v>
      </c>
      <c r="G196" s="215" t="s">
        <v>3913</v>
      </c>
      <c r="H196" s="42" t="s">
        <v>1774</v>
      </c>
      <c r="I196" s="246" t="s">
        <v>3294</v>
      </c>
      <c r="J196" s="247" t="s">
        <v>4988</v>
      </c>
      <c r="K196" s="137" t="s">
        <v>3914</v>
      </c>
      <c r="L196" s="40" t="s">
        <v>3915</v>
      </c>
      <c r="M196" s="242" t="s">
        <v>3896</v>
      </c>
      <c r="N196" s="213" t="s">
        <v>3908</v>
      </c>
      <c r="O196" s="139" t="s">
        <v>3909</v>
      </c>
      <c r="P196" s="250"/>
    </row>
    <row r="197" spans="1:16">
      <c r="A197" s="244" t="s">
        <v>3256</v>
      </c>
      <c r="B197" s="42" t="s">
        <v>3892</v>
      </c>
      <c r="C197" s="41" t="s">
        <v>3589</v>
      </c>
      <c r="D197" s="41" t="s">
        <v>3916</v>
      </c>
      <c r="E197" s="41" t="s">
        <v>4989</v>
      </c>
      <c r="F197" s="41" t="s">
        <v>3917</v>
      </c>
      <c r="G197" s="215" t="s">
        <v>3268</v>
      </c>
      <c r="H197" s="42" t="s">
        <v>674</v>
      </c>
      <c r="I197" s="246" t="s">
        <v>3269</v>
      </c>
      <c r="J197" s="247" t="s">
        <v>3050</v>
      </c>
      <c r="K197" s="137" t="s">
        <v>3918</v>
      </c>
      <c r="L197" s="40" t="s">
        <v>3919</v>
      </c>
      <c r="M197" s="242" t="s">
        <v>3896</v>
      </c>
      <c r="N197" s="213" t="s">
        <v>3920</v>
      </c>
      <c r="O197" s="139" t="s">
        <v>3897</v>
      </c>
      <c r="P197" s="250"/>
    </row>
    <row r="198" spans="1:16" ht="105">
      <c r="A198" s="244" t="s">
        <v>3256</v>
      </c>
      <c r="B198" s="42" t="s">
        <v>3892</v>
      </c>
      <c r="C198" s="41" t="s">
        <v>3734</v>
      </c>
      <c r="D198" s="41" t="s">
        <v>3922</v>
      </c>
      <c r="E198" s="41" t="s">
        <v>3923</v>
      </c>
      <c r="F198" s="41" t="s">
        <v>3924</v>
      </c>
      <c r="G198" s="215" t="s">
        <v>3925</v>
      </c>
      <c r="H198" s="42" t="s">
        <v>1774</v>
      </c>
      <c r="I198" s="246" t="s">
        <v>3294</v>
      </c>
      <c r="J198" s="247" t="s">
        <v>4990</v>
      </c>
      <c r="K198" s="137" t="s">
        <v>3921</v>
      </c>
      <c r="L198" s="40" t="s">
        <v>3926</v>
      </c>
      <c r="M198" s="242" t="s">
        <v>3896</v>
      </c>
      <c r="N198" s="213" t="s">
        <v>3927</v>
      </c>
      <c r="O198" s="139" t="s">
        <v>3928</v>
      </c>
      <c r="P198" s="250"/>
    </row>
    <row r="199" spans="1:16" ht="135">
      <c r="A199" s="244" t="s">
        <v>3256</v>
      </c>
      <c r="B199" s="42" t="s">
        <v>3892</v>
      </c>
      <c r="C199" s="41" t="s">
        <v>3734</v>
      </c>
      <c r="D199" s="41" t="s">
        <v>3941</v>
      </c>
      <c r="E199" s="41" t="s">
        <v>3942</v>
      </c>
      <c r="F199" s="41" t="s">
        <v>3943</v>
      </c>
      <c r="G199" s="215" t="s">
        <v>3944</v>
      </c>
      <c r="H199" s="42" t="s">
        <v>1774</v>
      </c>
      <c r="I199" s="246" t="s">
        <v>3294</v>
      </c>
      <c r="J199" s="247" t="s">
        <v>4991</v>
      </c>
      <c r="K199" s="137" t="s">
        <v>3945</v>
      </c>
      <c r="L199" s="40" t="s">
        <v>3946</v>
      </c>
      <c r="M199" s="242" t="s">
        <v>3896</v>
      </c>
      <c r="N199" s="213" t="s">
        <v>3947</v>
      </c>
      <c r="O199" s="139" t="s">
        <v>3909</v>
      </c>
      <c r="P199" s="250"/>
    </row>
    <row r="200" spans="1:16">
      <c r="A200" s="244" t="s">
        <v>3256</v>
      </c>
      <c r="B200" s="42" t="s">
        <v>3892</v>
      </c>
      <c r="C200" s="41" t="s">
        <v>3734</v>
      </c>
      <c r="D200" s="41" t="s">
        <v>3963</v>
      </c>
      <c r="E200" s="41" t="s">
        <v>4992</v>
      </c>
      <c r="F200" s="41" t="s">
        <v>3964</v>
      </c>
      <c r="G200" s="215" t="s">
        <v>3268</v>
      </c>
      <c r="H200" s="42" t="s">
        <v>674</v>
      </c>
      <c r="I200" s="246" t="s">
        <v>3269</v>
      </c>
      <c r="J200" s="247" t="s">
        <v>3050</v>
      </c>
      <c r="K200" s="137" t="s">
        <v>3965</v>
      </c>
      <c r="L200" s="40" t="s">
        <v>3966</v>
      </c>
      <c r="M200" s="242" t="s">
        <v>3896</v>
      </c>
      <c r="N200" s="213" t="s">
        <v>3967</v>
      </c>
      <c r="O200" s="139" t="s">
        <v>3897</v>
      </c>
      <c r="P200" s="250" t="s">
        <v>4505</v>
      </c>
    </row>
    <row r="201" spans="1:16" ht="105">
      <c r="A201" s="244" t="s">
        <v>3256</v>
      </c>
      <c r="B201" s="42" t="s">
        <v>3892</v>
      </c>
      <c r="C201" s="41" t="s">
        <v>3734</v>
      </c>
      <c r="D201" s="41" t="s">
        <v>3968</v>
      </c>
      <c r="E201" s="41" t="s">
        <v>3969</v>
      </c>
      <c r="F201" s="41" t="s">
        <v>3970</v>
      </c>
      <c r="G201" s="215" t="s">
        <v>3971</v>
      </c>
      <c r="H201" s="42" t="s">
        <v>1774</v>
      </c>
      <c r="I201" s="246" t="s">
        <v>3294</v>
      </c>
      <c r="J201" s="247" t="s">
        <v>4993</v>
      </c>
      <c r="K201" s="137" t="s">
        <v>3972</v>
      </c>
      <c r="L201" s="40" t="s">
        <v>3973</v>
      </c>
      <c r="M201" s="242" t="s">
        <v>3896</v>
      </c>
      <c r="N201" s="213" t="s">
        <v>3974</v>
      </c>
      <c r="O201" s="139" t="s">
        <v>3909</v>
      </c>
      <c r="P201" s="250"/>
    </row>
    <row r="202" spans="1:16" ht="150">
      <c r="A202" s="244" t="s">
        <v>3256</v>
      </c>
      <c r="B202" s="42" t="s">
        <v>3892</v>
      </c>
      <c r="C202" s="41" t="s">
        <v>3734</v>
      </c>
      <c r="D202" s="41" t="s">
        <v>3996</v>
      </c>
      <c r="E202" s="41" t="s">
        <v>3997</v>
      </c>
      <c r="F202" s="41" t="s">
        <v>3998</v>
      </c>
      <c r="G202" s="215" t="s">
        <v>3337</v>
      </c>
      <c r="H202" s="42" t="s">
        <v>1774</v>
      </c>
      <c r="I202" s="246" t="s">
        <v>3338</v>
      </c>
      <c r="J202" s="247" t="s">
        <v>4994</v>
      </c>
      <c r="K202" s="137" t="s">
        <v>3999</v>
      </c>
      <c r="L202" s="40" t="s">
        <v>4000</v>
      </c>
      <c r="M202" s="242" t="s">
        <v>3896</v>
      </c>
      <c r="N202" s="213" t="s">
        <v>2796</v>
      </c>
      <c r="O202" s="139" t="s">
        <v>3897</v>
      </c>
      <c r="P202" s="250"/>
    </row>
    <row r="203" spans="1:16" ht="120">
      <c r="A203" s="244" t="s">
        <v>3256</v>
      </c>
      <c r="B203" s="42" t="s">
        <v>3892</v>
      </c>
      <c r="C203" s="41" t="s">
        <v>3800</v>
      </c>
      <c r="D203" s="41" t="s">
        <v>3930</v>
      </c>
      <c r="E203" s="41" t="s">
        <v>3931</v>
      </c>
      <c r="F203" s="41" t="s">
        <v>3932</v>
      </c>
      <c r="G203" s="215" t="s">
        <v>3933</v>
      </c>
      <c r="H203" s="42" t="s">
        <v>1774</v>
      </c>
      <c r="I203" s="246" t="s">
        <v>3294</v>
      </c>
      <c r="J203" s="247" t="s">
        <v>4995</v>
      </c>
      <c r="K203" s="137" t="s">
        <v>3929</v>
      </c>
      <c r="L203" s="40" t="s">
        <v>3934</v>
      </c>
      <c r="M203" s="242" t="s">
        <v>3896</v>
      </c>
      <c r="N203" s="213" t="s">
        <v>3927</v>
      </c>
      <c r="O203" s="139" t="s">
        <v>3928</v>
      </c>
      <c r="P203" s="250"/>
    </row>
    <row r="204" spans="1:16" ht="135">
      <c r="A204" s="244" t="s">
        <v>3256</v>
      </c>
      <c r="B204" s="42" t="s">
        <v>3892</v>
      </c>
      <c r="C204" s="41" t="s">
        <v>3800</v>
      </c>
      <c r="D204" s="41" t="s">
        <v>3954</v>
      </c>
      <c r="E204" s="41" t="s">
        <v>4996</v>
      </c>
      <c r="F204" s="41" t="s">
        <v>3141</v>
      </c>
      <c r="G204" s="215" t="s">
        <v>3142</v>
      </c>
      <c r="H204" s="42" t="s">
        <v>2798</v>
      </c>
      <c r="I204" s="246" t="s">
        <v>3294</v>
      </c>
      <c r="J204" s="247" t="s">
        <v>4997</v>
      </c>
      <c r="K204" s="137" t="s">
        <v>3955</v>
      </c>
      <c r="L204" s="40" t="s">
        <v>3956</v>
      </c>
      <c r="M204" s="242" t="s">
        <v>3896</v>
      </c>
      <c r="N204" s="213" t="s">
        <v>3957</v>
      </c>
      <c r="O204" s="139" t="s">
        <v>3897</v>
      </c>
      <c r="P204" s="250" t="s">
        <v>4501</v>
      </c>
    </row>
    <row r="205" spans="1:16" ht="105">
      <c r="A205" s="244" t="s">
        <v>3256</v>
      </c>
      <c r="B205" s="42" t="s">
        <v>3892</v>
      </c>
      <c r="C205" s="41" t="s">
        <v>3800</v>
      </c>
      <c r="D205" s="41" t="s">
        <v>3985</v>
      </c>
      <c r="E205" s="41" t="s">
        <v>3986</v>
      </c>
      <c r="F205" s="41" t="s">
        <v>3987</v>
      </c>
      <c r="G205" s="215" t="s">
        <v>3988</v>
      </c>
      <c r="H205" s="42" t="s">
        <v>1774</v>
      </c>
      <c r="I205" s="246" t="s">
        <v>3274</v>
      </c>
      <c r="J205" s="247" t="s">
        <v>4998</v>
      </c>
      <c r="K205" s="137" t="s">
        <v>3989</v>
      </c>
      <c r="L205" s="40" t="s">
        <v>3990</v>
      </c>
      <c r="M205" s="242" t="s">
        <v>3896</v>
      </c>
      <c r="N205" s="213" t="s">
        <v>3908</v>
      </c>
      <c r="O205" s="139" t="s">
        <v>3909</v>
      </c>
      <c r="P205" s="250"/>
    </row>
    <row r="206" spans="1:16" ht="135">
      <c r="A206" s="244" t="s">
        <v>3256</v>
      </c>
      <c r="B206" s="42" t="s">
        <v>3892</v>
      </c>
      <c r="C206" s="41" t="s">
        <v>3800</v>
      </c>
      <c r="D206" s="41" t="s">
        <v>4014</v>
      </c>
      <c r="E206" s="41" t="s">
        <v>4015</v>
      </c>
      <c r="F206" s="41" t="s">
        <v>4016</v>
      </c>
      <c r="G206" s="215" t="s">
        <v>3337</v>
      </c>
      <c r="H206" s="42" t="s">
        <v>1774</v>
      </c>
      <c r="I206" s="246" t="s">
        <v>3338</v>
      </c>
      <c r="J206" s="247" t="s">
        <v>4999</v>
      </c>
      <c r="K206" s="137" t="s">
        <v>4017</v>
      </c>
      <c r="L206" s="40" t="s">
        <v>4018</v>
      </c>
      <c r="M206" s="242" t="s">
        <v>3896</v>
      </c>
      <c r="N206" s="213" t="s">
        <v>2796</v>
      </c>
      <c r="O206" s="139" t="s">
        <v>3897</v>
      </c>
      <c r="P206" s="250"/>
    </row>
    <row r="207" spans="1:16" ht="150">
      <c r="A207" s="244" t="s">
        <v>3256</v>
      </c>
      <c r="B207" s="42" t="s">
        <v>3892</v>
      </c>
      <c r="C207" s="41" t="s">
        <v>3695</v>
      </c>
      <c r="D207" s="41" t="s">
        <v>4662</v>
      </c>
      <c r="E207" s="41" t="s">
        <v>4663</v>
      </c>
      <c r="F207" s="41" t="s">
        <v>5000</v>
      </c>
      <c r="G207" s="215" t="s">
        <v>4664</v>
      </c>
      <c r="H207" s="42" t="s">
        <v>1774</v>
      </c>
      <c r="I207" s="246" t="s">
        <v>3274</v>
      </c>
      <c r="J207" s="247" t="s">
        <v>4665</v>
      </c>
      <c r="K207" s="137" t="s">
        <v>4666</v>
      </c>
      <c r="L207" s="40" t="s">
        <v>4667</v>
      </c>
      <c r="M207" s="242" t="s">
        <v>3896</v>
      </c>
      <c r="N207" s="213" t="s">
        <v>5001</v>
      </c>
      <c r="O207" s="139" t="s">
        <v>4668</v>
      </c>
      <c r="P207" s="250"/>
    </row>
    <row r="208" spans="1:16" ht="140" customHeight="1">
      <c r="A208" s="244" t="s">
        <v>3256</v>
      </c>
      <c r="B208" s="42" t="s">
        <v>3892</v>
      </c>
      <c r="C208" s="41" t="s">
        <v>3695</v>
      </c>
      <c r="D208" s="41" t="s">
        <v>4669</v>
      </c>
      <c r="E208" s="41" t="s">
        <v>4670</v>
      </c>
      <c r="F208" s="41" t="s">
        <v>5002</v>
      </c>
      <c r="G208" s="215" t="s">
        <v>4671</v>
      </c>
      <c r="H208" s="42" t="s">
        <v>1774</v>
      </c>
      <c r="I208" s="246" t="s">
        <v>4716</v>
      </c>
      <c r="J208" s="247" t="s">
        <v>4672</v>
      </c>
      <c r="K208" s="137" t="s">
        <v>4666</v>
      </c>
      <c r="L208" s="40" t="s">
        <v>4673</v>
      </c>
      <c r="M208" s="242" t="s">
        <v>3896</v>
      </c>
      <c r="N208" s="213" t="s">
        <v>5003</v>
      </c>
      <c r="O208" s="139" t="s">
        <v>4668</v>
      </c>
      <c r="P208" s="250"/>
    </row>
    <row r="209" spans="1:16" ht="98" customHeight="1">
      <c r="A209" s="244" t="s">
        <v>4019</v>
      </c>
      <c r="B209" s="42" t="s">
        <v>4020</v>
      </c>
      <c r="C209" s="41" t="s">
        <v>3507</v>
      </c>
      <c r="D209" s="41" t="s">
        <v>4075</v>
      </c>
      <c r="E209" s="41" t="s">
        <v>4076</v>
      </c>
      <c r="F209" s="41" t="s">
        <v>4077</v>
      </c>
      <c r="G209" s="215" t="s">
        <v>3337</v>
      </c>
      <c r="H209" s="42" t="s">
        <v>1774</v>
      </c>
      <c r="I209" s="246" t="s">
        <v>4678</v>
      </c>
      <c r="J209" s="247" t="s">
        <v>5004</v>
      </c>
      <c r="K209" s="137" t="s">
        <v>4078</v>
      </c>
      <c r="L209" s="40" t="s">
        <v>4079</v>
      </c>
      <c r="M209" s="242" t="s">
        <v>4037</v>
      </c>
      <c r="N209" s="213" t="s">
        <v>2796</v>
      </c>
      <c r="O209" s="139" t="s">
        <v>4039</v>
      </c>
      <c r="P209" s="250"/>
    </row>
    <row r="210" spans="1:16" ht="120">
      <c r="A210" s="244" t="s">
        <v>4019</v>
      </c>
      <c r="B210" s="42" t="s">
        <v>4020</v>
      </c>
      <c r="C210" s="41" t="s">
        <v>3507</v>
      </c>
      <c r="D210" s="41" t="s">
        <v>4085</v>
      </c>
      <c r="E210" s="41" t="s">
        <v>4086</v>
      </c>
      <c r="F210" s="41" t="s">
        <v>4087</v>
      </c>
      <c r="G210" s="215" t="s">
        <v>3337</v>
      </c>
      <c r="H210" s="42" t="s">
        <v>1774</v>
      </c>
      <c r="I210" s="246" t="s">
        <v>4678</v>
      </c>
      <c r="J210" s="247" t="s">
        <v>5005</v>
      </c>
      <c r="K210" s="137" t="s">
        <v>4088</v>
      </c>
      <c r="L210" s="40" t="s">
        <v>4089</v>
      </c>
      <c r="M210" s="242" t="s">
        <v>4037</v>
      </c>
      <c r="N210" s="213" t="s">
        <v>2796</v>
      </c>
      <c r="O210" s="139" t="s">
        <v>4039</v>
      </c>
      <c r="P210" s="250"/>
    </row>
    <row r="211" spans="1:16" ht="112" customHeight="1">
      <c r="A211" s="244" t="s">
        <v>4019</v>
      </c>
      <c r="B211" s="42" t="s">
        <v>4020</v>
      </c>
      <c r="C211" s="41" t="s">
        <v>3357</v>
      </c>
      <c r="D211" s="41" t="s">
        <v>4058</v>
      </c>
      <c r="E211" s="41" t="s">
        <v>4059</v>
      </c>
      <c r="F211" s="41" t="s">
        <v>4060</v>
      </c>
      <c r="G211" s="215" t="s">
        <v>3258</v>
      </c>
      <c r="H211" s="42" t="s">
        <v>1771</v>
      </c>
      <c r="I211" s="246" t="s">
        <v>3259</v>
      </c>
      <c r="J211" s="247" t="s">
        <v>3050</v>
      </c>
      <c r="K211" s="137" t="s">
        <v>4061</v>
      </c>
      <c r="L211" s="40" t="s">
        <v>4062</v>
      </c>
      <c r="M211" s="242" t="s">
        <v>4037</v>
      </c>
      <c r="N211" s="213" t="s">
        <v>4063</v>
      </c>
      <c r="O211" s="139" t="s">
        <v>4039</v>
      </c>
      <c r="P211" s="250"/>
    </row>
    <row r="212" spans="1:16" ht="150">
      <c r="A212" s="244" t="s">
        <v>4019</v>
      </c>
      <c r="B212" s="42" t="s">
        <v>4020</v>
      </c>
      <c r="C212" s="41" t="s">
        <v>3357</v>
      </c>
      <c r="D212" s="41" t="s">
        <v>4080</v>
      </c>
      <c r="E212" s="41" t="s">
        <v>4081</v>
      </c>
      <c r="F212" s="41" t="s">
        <v>4082</v>
      </c>
      <c r="G212" s="215" t="s">
        <v>3337</v>
      </c>
      <c r="H212" s="42" t="s">
        <v>1774</v>
      </c>
      <c r="I212" s="246" t="s">
        <v>3338</v>
      </c>
      <c r="J212" s="247" t="s">
        <v>5006</v>
      </c>
      <c r="K212" s="137" t="s">
        <v>4083</v>
      </c>
      <c r="L212" s="40" t="s">
        <v>4084</v>
      </c>
      <c r="M212" s="242" t="s">
        <v>4037</v>
      </c>
      <c r="N212" s="213" t="s">
        <v>2796</v>
      </c>
      <c r="O212" s="139" t="s">
        <v>4039</v>
      </c>
      <c r="P212" s="250"/>
    </row>
    <row r="213" spans="1:16">
      <c r="A213" s="244" t="s">
        <v>4019</v>
      </c>
      <c r="B213" s="42" t="s">
        <v>4020</v>
      </c>
      <c r="C213" s="41" t="s">
        <v>3545</v>
      </c>
      <c r="D213" s="41" t="s">
        <v>4021</v>
      </c>
      <c r="E213" s="41" t="s">
        <v>4022</v>
      </c>
      <c r="F213" s="41" t="s">
        <v>3250</v>
      </c>
      <c r="G213" s="215" t="s">
        <v>3251</v>
      </c>
      <c r="H213" s="42" t="s">
        <v>1773</v>
      </c>
      <c r="I213" s="246" t="s">
        <v>1769</v>
      </c>
      <c r="J213" s="247" t="s">
        <v>3050</v>
      </c>
      <c r="K213" s="137" t="s">
        <v>4023</v>
      </c>
      <c r="L213" s="40" t="s">
        <v>4024</v>
      </c>
      <c r="M213" s="242" t="s">
        <v>4025</v>
      </c>
      <c r="N213" s="213"/>
      <c r="O213" s="139" t="s">
        <v>4026</v>
      </c>
      <c r="P213" s="250"/>
    </row>
    <row r="214" spans="1:16">
      <c r="A214" s="244" t="s">
        <v>4019</v>
      </c>
      <c r="B214" s="42" t="s">
        <v>4020</v>
      </c>
      <c r="C214" s="41" t="s">
        <v>3545</v>
      </c>
      <c r="D214" s="41" t="s">
        <v>4064</v>
      </c>
      <c r="E214" s="41" t="s">
        <v>4065</v>
      </c>
      <c r="F214" s="41" t="s">
        <v>2812</v>
      </c>
      <c r="G214" s="215" t="s">
        <v>3258</v>
      </c>
      <c r="H214" s="42" t="s">
        <v>1771</v>
      </c>
      <c r="I214" s="246" t="s">
        <v>3259</v>
      </c>
      <c r="J214" s="247" t="s">
        <v>3050</v>
      </c>
      <c r="K214" s="137" t="s">
        <v>4066</v>
      </c>
      <c r="L214" s="40" t="s">
        <v>4067</v>
      </c>
      <c r="M214" s="242" t="s">
        <v>4037</v>
      </c>
      <c r="N214" s="213" t="s">
        <v>4063</v>
      </c>
      <c r="O214" s="139" t="s">
        <v>4048</v>
      </c>
      <c r="P214" s="250"/>
    </row>
    <row r="215" spans="1:16" ht="112" customHeight="1">
      <c r="A215" s="244" t="s">
        <v>4019</v>
      </c>
      <c r="B215" s="42" t="s">
        <v>4020</v>
      </c>
      <c r="C215" s="41" t="s">
        <v>3545</v>
      </c>
      <c r="D215" s="41" t="s">
        <v>4068</v>
      </c>
      <c r="E215" s="41" t="s">
        <v>4069</v>
      </c>
      <c r="F215" s="41" t="s">
        <v>4070</v>
      </c>
      <c r="G215" s="215" t="s">
        <v>4071</v>
      </c>
      <c r="H215" s="42" t="s">
        <v>1774</v>
      </c>
      <c r="I215" s="246" t="s">
        <v>4716</v>
      </c>
      <c r="J215" s="247" t="s">
        <v>5007</v>
      </c>
      <c r="K215" s="137" t="s">
        <v>4072</v>
      </c>
      <c r="L215" s="40" t="s">
        <v>4073</v>
      </c>
      <c r="M215" s="242" t="s">
        <v>4037</v>
      </c>
      <c r="N215" s="213" t="s">
        <v>4074</v>
      </c>
      <c r="O215" s="139" t="s">
        <v>4039</v>
      </c>
      <c r="P215" s="250"/>
    </row>
    <row r="216" spans="1:16">
      <c r="A216" s="244" t="s">
        <v>4019</v>
      </c>
      <c r="B216" s="42" t="s">
        <v>4020</v>
      </c>
      <c r="C216" s="41" t="s">
        <v>3545</v>
      </c>
      <c r="D216" s="41" t="s">
        <v>4090</v>
      </c>
      <c r="E216" s="41" t="s">
        <v>4091</v>
      </c>
      <c r="F216" s="41" t="s">
        <v>4092</v>
      </c>
      <c r="G216" s="215" t="s">
        <v>3258</v>
      </c>
      <c r="H216" s="42" t="s">
        <v>1771</v>
      </c>
      <c r="I216" s="246" t="s">
        <v>3259</v>
      </c>
      <c r="J216" s="247" t="s">
        <v>3050</v>
      </c>
      <c r="K216" s="137" t="s">
        <v>4093</v>
      </c>
      <c r="L216" s="40" t="s">
        <v>4094</v>
      </c>
      <c r="M216" s="242" t="s">
        <v>4037</v>
      </c>
      <c r="N216" s="213" t="s">
        <v>4063</v>
      </c>
      <c r="O216" s="139" t="s">
        <v>4039</v>
      </c>
      <c r="P216" s="250"/>
    </row>
    <row r="217" spans="1:16">
      <c r="A217" s="244" t="s">
        <v>4019</v>
      </c>
      <c r="B217" s="42" t="s">
        <v>4020</v>
      </c>
      <c r="C217" s="41" t="s">
        <v>3308</v>
      </c>
      <c r="D217" s="41" t="s">
        <v>4027</v>
      </c>
      <c r="E217" s="41" t="s">
        <v>4028</v>
      </c>
      <c r="F217" s="41" t="s">
        <v>3252</v>
      </c>
      <c r="G217" s="215" t="s">
        <v>3253</v>
      </c>
      <c r="H217" s="42" t="s">
        <v>1773</v>
      </c>
      <c r="I217" s="246" t="s">
        <v>1769</v>
      </c>
      <c r="J217" s="247" t="s">
        <v>3050</v>
      </c>
      <c r="K217" s="137" t="s">
        <v>4029</v>
      </c>
      <c r="L217" s="40" t="s">
        <v>4030</v>
      </c>
      <c r="M217" s="242" t="s">
        <v>4025</v>
      </c>
      <c r="N217" s="213"/>
      <c r="O217" s="139" t="s">
        <v>4031</v>
      </c>
      <c r="P217" s="250"/>
    </row>
    <row r="218" spans="1:16">
      <c r="A218" s="244" t="s">
        <v>4019</v>
      </c>
      <c r="B218" s="42" t="s">
        <v>4020</v>
      </c>
      <c r="C218" s="41" t="s">
        <v>3441</v>
      </c>
      <c r="D218" s="41" t="s">
        <v>4095</v>
      </c>
      <c r="E218" s="41" t="s">
        <v>4096</v>
      </c>
      <c r="F218" s="41" t="s">
        <v>4097</v>
      </c>
      <c r="G218" s="215" t="s">
        <v>3258</v>
      </c>
      <c r="H218" s="42" t="s">
        <v>1771</v>
      </c>
      <c r="I218" s="246" t="s">
        <v>3259</v>
      </c>
      <c r="J218" s="247" t="s">
        <v>3050</v>
      </c>
      <c r="K218" s="137" t="s">
        <v>4098</v>
      </c>
      <c r="L218" s="40" t="s">
        <v>4099</v>
      </c>
      <c r="M218" s="242" t="s">
        <v>4037</v>
      </c>
      <c r="N218" s="213" t="s">
        <v>4063</v>
      </c>
      <c r="O218" s="139" t="s">
        <v>4039</v>
      </c>
      <c r="P218" s="250"/>
    </row>
    <row r="219" spans="1:16" ht="120">
      <c r="A219" s="244" t="s">
        <v>4019</v>
      </c>
      <c r="B219" s="42" t="s">
        <v>4020</v>
      </c>
      <c r="C219" s="41" t="s">
        <v>3441</v>
      </c>
      <c r="D219" s="41" t="s">
        <v>4100</v>
      </c>
      <c r="E219" s="41" t="s">
        <v>4101</v>
      </c>
      <c r="F219" s="41" t="s">
        <v>4102</v>
      </c>
      <c r="G219" s="215" t="s">
        <v>4071</v>
      </c>
      <c r="H219" s="42" t="s">
        <v>1774</v>
      </c>
      <c r="I219" s="246" t="s">
        <v>3274</v>
      </c>
      <c r="J219" s="247" t="s">
        <v>5008</v>
      </c>
      <c r="K219" s="137" t="s">
        <v>4103</v>
      </c>
      <c r="L219" s="40" t="s">
        <v>4104</v>
      </c>
      <c r="M219" s="242" t="s">
        <v>4037</v>
      </c>
      <c r="N219" s="213" t="s">
        <v>4074</v>
      </c>
      <c r="O219" s="139" t="s">
        <v>4039</v>
      </c>
      <c r="P219" s="250"/>
    </row>
    <row r="220" spans="1:16">
      <c r="A220" s="244" t="s">
        <v>4019</v>
      </c>
      <c r="B220" s="42" t="s">
        <v>4020</v>
      </c>
      <c r="C220" s="41" t="s">
        <v>4032</v>
      </c>
      <c r="D220" s="41" t="s">
        <v>4033</v>
      </c>
      <c r="E220" s="41" t="s">
        <v>4034</v>
      </c>
      <c r="F220" s="41" t="s">
        <v>3091</v>
      </c>
      <c r="G220" s="215" t="s">
        <v>3092</v>
      </c>
      <c r="H220" s="42" t="s">
        <v>2798</v>
      </c>
      <c r="I220" s="246" t="s">
        <v>3316</v>
      </c>
      <c r="J220" s="247" t="s">
        <v>3050</v>
      </c>
      <c r="K220" s="137" t="s">
        <v>4035</v>
      </c>
      <c r="L220" s="40" t="s">
        <v>4036</v>
      </c>
      <c r="M220" s="242" t="s">
        <v>4037</v>
      </c>
      <c r="N220" s="213" t="s">
        <v>4038</v>
      </c>
      <c r="O220" s="139" t="s">
        <v>4039</v>
      </c>
      <c r="P220" s="250"/>
    </row>
    <row r="221" spans="1:16">
      <c r="A221" s="244" t="s">
        <v>4019</v>
      </c>
      <c r="B221" s="42" t="s">
        <v>4020</v>
      </c>
      <c r="C221" s="41" t="s">
        <v>4032</v>
      </c>
      <c r="D221" s="41" t="s">
        <v>4115</v>
      </c>
      <c r="E221" s="41" t="s">
        <v>5009</v>
      </c>
      <c r="F221" s="41" t="s">
        <v>3135</v>
      </c>
      <c r="G221" s="215" t="s">
        <v>3136</v>
      </c>
      <c r="H221" s="42" t="s">
        <v>2798</v>
      </c>
      <c r="I221" s="246" t="s">
        <v>3316</v>
      </c>
      <c r="J221" s="247" t="s">
        <v>3050</v>
      </c>
      <c r="K221" s="137" t="s">
        <v>4116</v>
      </c>
      <c r="L221" s="40" t="s">
        <v>4117</v>
      </c>
      <c r="M221" s="242" t="s">
        <v>4037</v>
      </c>
      <c r="N221" s="213" t="s">
        <v>2813</v>
      </c>
      <c r="O221" s="139" t="s">
        <v>4118</v>
      </c>
      <c r="P221" s="250" t="s">
        <v>4501</v>
      </c>
    </row>
    <row r="222" spans="1:16" ht="150">
      <c r="A222" s="244" t="s">
        <v>4019</v>
      </c>
      <c r="B222" s="42" t="s">
        <v>4020</v>
      </c>
      <c r="C222" s="41" t="s">
        <v>4032</v>
      </c>
      <c r="D222" s="41" t="s">
        <v>4119</v>
      </c>
      <c r="E222" s="41" t="s">
        <v>4120</v>
      </c>
      <c r="F222" s="41" t="s">
        <v>4121</v>
      </c>
      <c r="G222" s="215" t="s">
        <v>3337</v>
      </c>
      <c r="H222" s="42" t="s">
        <v>1774</v>
      </c>
      <c r="I222" s="246" t="s">
        <v>3338</v>
      </c>
      <c r="J222" s="247" t="s">
        <v>5010</v>
      </c>
      <c r="K222" s="137" t="s">
        <v>4122</v>
      </c>
      <c r="L222" s="40" t="s">
        <v>4123</v>
      </c>
      <c r="M222" s="242" t="s">
        <v>4037</v>
      </c>
      <c r="N222" s="213" t="s">
        <v>2796</v>
      </c>
      <c r="O222" s="139" t="s">
        <v>4039</v>
      </c>
      <c r="P222" s="250"/>
    </row>
    <row r="223" spans="1:16">
      <c r="A223" s="244" t="s">
        <v>4019</v>
      </c>
      <c r="B223" s="42" t="s">
        <v>4020</v>
      </c>
      <c r="C223" s="41" t="s">
        <v>4032</v>
      </c>
      <c r="D223" s="41" t="s">
        <v>4124</v>
      </c>
      <c r="E223" s="41" t="s">
        <v>4125</v>
      </c>
      <c r="F223" s="41" t="s">
        <v>3254</v>
      </c>
      <c r="G223" s="215" t="s">
        <v>3255</v>
      </c>
      <c r="H223" s="42" t="s">
        <v>1773</v>
      </c>
      <c r="I223" s="246" t="s">
        <v>1769</v>
      </c>
      <c r="J223" s="247" t="s">
        <v>3050</v>
      </c>
      <c r="K223" s="137" t="s">
        <v>4126</v>
      </c>
      <c r="L223" s="40" t="s">
        <v>4127</v>
      </c>
      <c r="M223" s="242" t="s">
        <v>4025</v>
      </c>
      <c r="N223" s="213"/>
      <c r="O223" s="139" t="s">
        <v>4128</v>
      </c>
      <c r="P223" s="250"/>
    </row>
    <row r="224" spans="1:16">
      <c r="A224" s="244" t="s">
        <v>4019</v>
      </c>
      <c r="B224" s="42" t="s">
        <v>4020</v>
      </c>
      <c r="C224" s="41" t="s">
        <v>3842</v>
      </c>
      <c r="D224" s="41" t="s">
        <v>4040</v>
      </c>
      <c r="E224" s="41" t="s">
        <v>5011</v>
      </c>
      <c r="F224" s="41" t="s">
        <v>5012</v>
      </c>
      <c r="G224" s="215" t="s">
        <v>5013</v>
      </c>
      <c r="H224" s="42" t="s">
        <v>1771</v>
      </c>
      <c r="I224" s="246" t="s">
        <v>3259</v>
      </c>
      <c r="J224" s="247" t="s">
        <v>3050</v>
      </c>
      <c r="K224" s="137" t="s">
        <v>4041</v>
      </c>
      <c r="L224" s="40" t="s">
        <v>4042</v>
      </c>
      <c r="M224" s="242" t="s">
        <v>4037</v>
      </c>
      <c r="N224" s="213" t="s">
        <v>4043</v>
      </c>
      <c r="O224" s="139" t="s">
        <v>4039</v>
      </c>
      <c r="P224" s="250"/>
    </row>
    <row r="225" spans="1:16">
      <c r="A225" s="244" t="s">
        <v>4019</v>
      </c>
      <c r="B225" s="42" t="s">
        <v>4020</v>
      </c>
      <c r="C225" s="41" t="s">
        <v>3842</v>
      </c>
      <c r="D225" s="41" t="s">
        <v>4110</v>
      </c>
      <c r="E225" s="41" t="s">
        <v>4111</v>
      </c>
      <c r="F225" s="41" t="s">
        <v>3133</v>
      </c>
      <c r="G225" s="215" t="s">
        <v>3134</v>
      </c>
      <c r="H225" s="42" t="s">
        <v>2798</v>
      </c>
      <c r="I225" s="246" t="s">
        <v>3316</v>
      </c>
      <c r="J225" s="247" t="s">
        <v>3050</v>
      </c>
      <c r="K225" s="137" t="s">
        <v>4112</v>
      </c>
      <c r="L225" s="40" t="s">
        <v>4113</v>
      </c>
      <c r="M225" s="242" t="s">
        <v>4037</v>
      </c>
      <c r="N225" s="213" t="s">
        <v>4114</v>
      </c>
      <c r="O225" s="139" t="s">
        <v>4039</v>
      </c>
      <c r="P225" s="250" t="s">
        <v>4501</v>
      </c>
    </row>
    <row r="226" spans="1:16" ht="98" customHeight="1">
      <c r="A226" s="244" t="s">
        <v>4019</v>
      </c>
      <c r="B226" s="42" t="s">
        <v>4020</v>
      </c>
      <c r="C226" s="41" t="s">
        <v>3713</v>
      </c>
      <c r="D226" s="41" t="s">
        <v>4049</v>
      </c>
      <c r="E226" s="41" t="s">
        <v>4050</v>
      </c>
      <c r="F226" s="41" t="s">
        <v>4051</v>
      </c>
      <c r="G226" s="215" t="s">
        <v>3293</v>
      </c>
      <c r="H226" s="42" t="s">
        <v>1774</v>
      </c>
      <c r="I226" s="246" t="s">
        <v>3294</v>
      </c>
      <c r="J226" s="247" t="s">
        <v>5014</v>
      </c>
      <c r="K226" s="137" t="s">
        <v>4052</v>
      </c>
      <c r="L226" s="40" t="s">
        <v>4053</v>
      </c>
      <c r="M226" s="242" t="s">
        <v>4037</v>
      </c>
      <c r="N226" s="213" t="s">
        <v>2788</v>
      </c>
      <c r="O226" s="139" t="s">
        <v>4039</v>
      </c>
      <c r="P226" s="250"/>
    </row>
    <row r="227" spans="1:16" ht="150">
      <c r="A227" s="244" t="s">
        <v>4019</v>
      </c>
      <c r="B227" s="42" t="s">
        <v>4020</v>
      </c>
      <c r="C227" s="41" t="s">
        <v>3713</v>
      </c>
      <c r="D227" s="41" t="s">
        <v>4054</v>
      </c>
      <c r="E227" s="41" t="s">
        <v>5015</v>
      </c>
      <c r="F227" s="41" t="s">
        <v>3132</v>
      </c>
      <c r="G227" s="215" t="s">
        <v>5016</v>
      </c>
      <c r="H227" s="42" t="s">
        <v>1774</v>
      </c>
      <c r="I227" s="246" t="s">
        <v>3294</v>
      </c>
      <c r="J227" s="247" t="s">
        <v>5017</v>
      </c>
      <c r="K227" s="137" t="s">
        <v>4055</v>
      </c>
      <c r="L227" s="40" t="s">
        <v>4056</v>
      </c>
      <c r="M227" s="242" t="s">
        <v>4037</v>
      </c>
      <c r="N227" s="213" t="s">
        <v>4057</v>
      </c>
      <c r="O227" s="139" t="s">
        <v>4048</v>
      </c>
      <c r="P227" s="250" t="s">
        <v>5018</v>
      </c>
    </row>
    <row r="228" spans="1:16">
      <c r="A228" s="244" t="s">
        <v>4019</v>
      </c>
      <c r="B228" s="42" t="s">
        <v>4020</v>
      </c>
      <c r="C228" s="41" t="s">
        <v>3713</v>
      </c>
      <c r="D228" s="41" t="s">
        <v>4105</v>
      </c>
      <c r="E228" s="41" t="s">
        <v>4106</v>
      </c>
      <c r="F228" s="41" t="s">
        <v>4107</v>
      </c>
      <c r="G228" s="215" t="s">
        <v>3258</v>
      </c>
      <c r="H228" s="42" t="s">
        <v>1771</v>
      </c>
      <c r="I228" s="246" t="s">
        <v>3259</v>
      </c>
      <c r="J228" s="247" t="s">
        <v>3050</v>
      </c>
      <c r="K228" s="137" t="s">
        <v>4108</v>
      </c>
      <c r="L228" s="40" t="s">
        <v>4109</v>
      </c>
      <c r="M228" s="242" t="s">
        <v>4037</v>
      </c>
      <c r="N228" s="213" t="s">
        <v>4063</v>
      </c>
      <c r="O228" s="139" t="s">
        <v>4039</v>
      </c>
      <c r="P228" s="250"/>
    </row>
    <row r="229" spans="1:16">
      <c r="A229" s="244" t="s">
        <v>4019</v>
      </c>
      <c r="B229" s="42" t="s">
        <v>4020</v>
      </c>
      <c r="C229" s="41" t="s">
        <v>3734</v>
      </c>
      <c r="D229" s="41" t="s">
        <v>3278</v>
      </c>
      <c r="E229" s="41" t="s">
        <v>4044</v>
      </c>
      <c r="F229" s="41" t="s">
        <v>3093</v>
      </c>
      <c r="G229" s="215" t="s">
        <v>3065</v>
      </c>
      <c r="H229" s="42" t="s">
        <v>1771</v>
      </c>
      <c r="I229" s="246" t="s">
        <v>3259</v>
      </c>
      <c r="J229" s="247" t="s">
        <v>3050</v>
      </c>
      <c r="K229" s="137" t="s">
        <v>4045</v>
      </c>
      <c r="L229" s="40" t="s">
        <v>4046</v>
      </c>
      <c r="M229" s="242" t="s">
        <v>4037</v>
      </c>
      <c r="N229" s="213" t="s">
        <v>4047</v>
      </c>
      <c r="O229" s="139" t="s">
        <v>4048</v>
      </c>
      <c r="P229" s="250" t="s">
        <v>4506</v>
      </c>
    </row>
    <row r="230" spans="1:16">
      <c r="A230" s="244" t="s">
        <v>4019</v>
      </c>
      <c r="B230" s="42" t="s">
        <v>4129</v>
      </c>
      <c r="C230" s="41" t="s">
        <v>3545</v>
      </c>
      <c r="D230" s="41" t="s">
        <v>4154</v>
      </c>
      <c r="E230" s="41" t="s">
        <v>4155</v>
      </c>
      <c r="F230" s="41" t="s">
        <v>3126</v>
      </c>
      <c r="G230" s="215" t="s">
        <v>3127</v>
      </c>
      <c r="H230" s="42" t="s">
        <v>1773</v>
      </c>
      <c r="I230" s="246" t="s">
        <v>3316</v>
      </c>
      <c r="J230" s="247" t="s">
        <v>3050</v>
      </c>
      <c r="K230" s="137" t="s">
        <v>1237</v>
      </c>
      <c r="L230" s="40" t="s">
        <v>4156</v>
      </c>
      <c r="M230" s="242" t="s">
        <v>4133</v>
      </c>
      <c r="N230" s="213" t="s">
        <v>4114</v>
      </c>
      <c r="O230" s="139" t="s">
        <v>4148</v>
      </c>
      <c r="P230" s="250"/>
    </row>
    <row r="231" spans="1:16">
      <c r="A231" s="244" t="s">
        <v>4019</v>
      </c>
      <c r="B231" s="42" t="s">
        <v>4129</v>
      </c>
      <c r="C231" s="41" t="s">
        <v>3545</v>
      </c>
      <c r="D231" s="41" t="s">
        <v>4157</v>
      </c>
      <c r="E231" s="41" t="s">
        <v>4158</v>
      </c>
      <c r="F231" s="41" t="s">
        <v>3128</v>
      </c>
      <c r="G231" s="215" t="s">
        <v>3129</v>
      </c>
      <c r="H231" s="42" t="s">
        <v>1773</v>
      </c>
      <c r="I231" s="246" t="s">
        <v>3316</v>
      </c>
      <c r="J231" s="247" t="s">
        <v>3050</v>
      </c>
      <c r="K231" s="137" t="s">
        <v>1124</v>
      </c>
      <c r="L231" s="40" t="s">
        <v>4159</v>
      </c>
      <c r="M231" s="242" t="s">
        <v>4133</v>
      </c>
      <c r="N231" s="213" t="s">
        <v>4114</v>
      </c>
      <c r="O231" s="139" t="s">
        <v>4148</v>
      </c>
      <c r="P231" s="250"/>
    </row>
    <row r="232" spans="1:16" ht="150">
      <c r="A232" s="244" t="s">
        <v>4019</v>
      </c>
      <c r="B232" s="42" t="s">
        <v>4129</v>
      </c>
      <c r="C232" s="41" t="s">
        <v>4032</v>
      </c>
      <c r="D232" s="41" t="s">
        <v>4140</v>
      </c>
      <c r="E232" s="41" t="s">
        <v>4141</v>
      </c>
      <c r="F232" s="41" t="s">
        <v>4142</v>
      </c>
      <c r="G232" s="215" t="s">
        <v>3337</v>
      </c>
      <c r="H232" s="42" t="s">
        <v>1774</v>
      </c>
      <c r="I232" s="246" t="s">
        <v>3338</v>
      </c>
      <c r="J232" s="247" t="s">
        <v>5019</v>
      </c>
      <c r="K232" s="137" t="s">
        <v>4143</v>
      </c>
      <c r="L232" s="40" t="s">
        <v>4144</v>
      </c>
      <c r="M232" s="242" t="s">
        <v>4133</v>
      </c>
      <c r="N232" s="213" t="s">
        <v>2796</v>
      </c>
      <c r="O232" s="139" t="s">
        <v>4135</v>
      </c>
      <c r="P232" s="250"/>
    </row>
    <row r="233" spans="1:16">
      <c r="A233" s="244" t="s">
        <v>4019</v>
      </c>
      <c r="B233" s="42" t="s">
        <v>4129</v>
      </c>
      <c r="C233" s="41" t="s">
        <v>3842</v>
      </c>
      <c r="D233" s="41" t="s">
        <v>4145</v>
      </c>
      <c r="E233" s="41" t="s">
        <v>5020</v>
      </c>
      <c r="F233" s="41" t="s">
        <v>3130</v>
      </c>
      <c r="G233" s="215" t="s">
        <v>3131</v>
      </c>
      <c r="H233" s="42" t="s">
        <v>2798</v>
      </c>
      <c r="I233" s="246" t="s">
        <v>3316</v>
      </c>
      <c r="J233" s="247" t="s">
        <v>3050</v>
      </c>
      <c r="K233" s="137" t="s">
        <v>1124</v>
      </c>
      <c r="L233" s="40" t="s">
        <v>4146</v>
      </c>
      <c r="M233" s="242" t="s">
        <v>4133</v>
      </c>
      <c r="N233" s="213" t="s">
        <v>4147</v>
      </c>
      <c r="O233" s="139" t="s">
        <v>4148</v>
      </c>
      <c r="P233" s="250" t="s">
        <v>4501</v>
      </c>
    </row>
    <row r="234" spans="1:16" ht="112" customHeight="1">
      <c r="A234" s="244" t="s">
        <v>4019</v>
      </c>
      <c r="B234" s="42" t="s">
        <v>4129</v>
      </c>
      <c r="C234" s="41" t="s">
        <v>3713</v>
      </c>
      <c r="D234" s="41" t="s">
        <v>4136</v>
      </c>
      <c r="E234" s="41" t="s">
        <v>5021</v>
      </c>
      <c r="F234" s="41" t="s">
        <v>4137</v>
      </c>
      <c r="G234" s="215" t="s">
        <v>5022</v>
      </c>
      <c r="H234" s="42" t="s">
        <v>1774</v>
      </c>
      <c r="I234" s="246" t="s">
        <v>3294</v>
      </c>
      <c r="J234" s="247" t="s">
        <v>3050</v>
      </c>
      <c r="K234" s="137" t="s">
        <v>1492</v>
      </c>
      <c r="L234" s="40" t="s">
        <v>4138</v>
      </c>
      <c r="M234" s="242" t="s">
        <v>4133</v>
      </c>
      <c r="N234" s="213" t="s">
        <v>4139</v>
      </c>
      <c r="O234" s="139" t="s">
        <v>4135</v>
      </c>
      <c r="P234" s="250" t="s">
        <v>5023</v>
      </c>
    </row>
    <row r="235" spans="1:16" ht="120">
      <c r="A235" s="244" t="s">
        <v>4019</v>
      </c>
      <c r="B235" s="42" t="s">
        <v>4129</v>
      </c>
      <c r="C235" s="41" t="s">
        <v>3734</v>
      </c>
      <c r="D235" s="41" t="s">
        <v>4130</v>
      </c>
      <c r="E235" s="41" t="s">
        <v>5024</v>
      </c>
      <c r="F235" s="41" t="s">
        <v>4131</v>
      </c>
      <c r="G235" s="215" t="s">
        <v>3293</v>
      </c>
      <c r="H235" s="42" t="s">
        <v>1774</v>
      </c>
      <c r="I235" s="246" t="s">
        <v>3294</v>
      </c>
      <c r="J235" s="247" t="s">
        <v>5025</v>
      </c>
      <c r="K235" s="137" t="s">
        <v>1418</v>
      </c>
      <c r="L235" s="40" t="s">
        <v>4132</v>
      </c>
      <c r="M235" s="242" t="s">
        <v>4133</v>
      </c>
      <c r="N235" s="213" t="s">
        <v>4134</v>
      </c>
      <c r="O235" s="139" t="s">
        <v>4135</v>
      </c>
      <c r="P235" s="250"/>
    </row>
    <row r="236" spans="1:16" ht="126" customHeight="1">
      <c r="A236" s="244" t="s">
        <v>4019</v>
      </c>
      <c r="B236" s="42" t="s">
        <v>4129</v>
      </c>
      <c r="C236" s="41" t="s">
        <v>3734</v>
      </c>
      <c r="D236" s="41" t="s">
        <v>4149</v>
      </c>
      <c r="E236" s="41" t="s">
        <v>4150</v>
      </c>
      <c r="F236" s="41" t="s">
        <v>4151</v>
      </c>
      <c r="G236" s="215" t="s">
        <v>3268</v>
      </c>
      <c r="H236" s="42" t="s">
        <v>674</v>
      </c>
      <c r="I236" s="246" t="s">
        <v>3269</v>
      </c>
      <c r="J236" s="247" t="s">
        <v>3050</v>
      </c>
      <c r="K236" s="137" t="s">
        <v>4152</v>
      </c>
      <c r="L236" s="40" t="s">
        <v>4153</v>
      </c>
      <c r="M236" s="242" t="s">
        <v>4133</v>
      </c>
      <c r="N236" s="213" t="s">
        <v>674</v>
      </c>
      <c r="O236" s="139" t="s">
        <v>4135</v>
      </c>
      <c r="P236" s="250"/>
    </row>
    <row r="237" spans="1:16">
      <c r="A237" s="244" t="s">
        <v>4019</v>
      </c>
      <c r="B237" s="42" t="s">
        <v>1769</v>
      </c>
      <c r="C237" s="41" t="s">
        <v>3257</v>
      </c>
      <c r="D237" s="41" t="s">
        <v>2766</v>
      </c>
      <c r="E237" s="41" t="s">
        <v>4160</v>
      </c>
      <c r="F237" s="41" t="s">
        <v>3147</v>
      </c>
      <c r="G237" s="215" t="s">
        <v>3148</v>
      </c>
      <c r="H237" s="42" t="s">
        <v>1773</v>
      </c>
      <c r="I237" s="246" t="s">
        <v>1769</v>
      </c>
      <c r="J237" s="247" t="s">
        <v>3050</v>
      </c>
      <c r="K237" s="137" t="s">
        <v>4161</v>
      </c>
      <c r="L237" s="40" t="s">
        <v>3940</v>
      </c>
      <c r="M237" s="242" t="s">
        <v>4162</v>
      </c>
      <c r="N237" s="213" t="s">
        <v>4163</v>
      </c>
      <c r="O237" s="139" t="s">
        <v>4164</v>
      </c>
      <c r="P237" s="250"/>
    </row>
    <row r="238" spans="1:16">
      <c r="A238" s="244" t="s">
        <v>4019</v>
      </c>
      <c r="B238" s="42" t="s">
        <v>1769</v>
      </c>
      <c r="C238" s="41" t="s">
        <v>3391</v>
      </c>
      <c r="D238" s="41" t="s">
        <v>4198</v>
      </c>
      <c r="E238" s="41" t="s">
        <v>4199</v>
      </c>
      <c r="F238" s="41" t="s">
        <v>3151</v>
      </c>
      <c r="G238" s="215" t="s">
        <v>3152</v>
      </c>
      <c r="H238" s="42" t="s">
        <v>674</v>
      </c>
      <c r="I238" s="246" t="s">
        <v>1769</v>
      </c>
      <c r="J238" s="247" t="s">
        <v>3050</v>
      </c>
      <c r="K238" s="137" t="s">
        <v>4161</v>
      </c>
      <c r="L238" s="40" t="s">
        <v>3926</v>
      </c>
      <c r="M238" s="242" t="s">
        <v>4162</v>
      </c>
      <c r="N238" s="213" t="s">
        <v>4200</v>
      </c>
      <c r="O238" s="139" t="s">
        <v>4194</v>
      </c>
      <c r="P238" s="250"/>
    </row>
    <row r="239" spans="1:16">
      <c r="A239" s="244" t="s">
        <v>4019</v>
      </c>
      <c r="B239" s="42" t="s">
        <v>1769</v>
      </c>
      <c r="C239" s="41" t="s">
        <v>3391</v>
      </c>
      <c r="D239" s="41" t="s">
        <v>4201</v>
      </c>
      <c r="E239" s="41" t="s">
        <v>4202</v>
      </c>
      <c r="F239" s="41" t="s">
        <v>3153</v>
      </c>
      <c r="G239" s="215" t="s">
        <v>3154</v>
      </c>
      <c r="H239" s="42" t="s">
        <v>1773</v>
      </c>
      <c r="I239" s="246" t="s">
        <v>1769</v>
      </c>
      <c r="J239" s="247" t="s">
        <v>3050</v>
      </c>
      <c r="K239" s="137" t="s">
        <v>4161</v>
      </c>
      <c r="L239" s="40" t="s">
        <v>4203</v>
      </c>
      <c r="M239" s="242" t="s">
        <v>4162</v>
      </c>
      <c r="N239" s="213"/>
      <c r="O239" s="139" t="s">
        <v>4194</v>
      </c>
      <c r="P239" s="250"/>
    </row>
    <row r="240" spans="1:16">
      <c r="A240" s="244" t="s">
        <v>4019</v>
      </c>
      <c r="B240" s="42" t="s">
        <v>1769</v>
      </c>
      <c r="C240" s="41" t="s">
        <v>3391</v>
      </c>
      <c r="D240" s="41" t="s">
        <v>4204</v>
      </c>
      <c r="E240" s="41" t="s">
        <v>4205</v>
      </c>
      <c r="F240" s="41" t="s">
        <v>3155</v>
      </c>
      <c r="G240" s="215" t="s">
        <v>3156</v>
      </c>
      <c r="H240" s="42" t="s">
        <v>1773</v>
      </c>
      <c r="I240" s="246" t="s">
        <v>1769</v>
      </c>
      <c r="J240" s="247" t="s">
        <v>3050</v>
      </c>
      <c r="K240" s="137" t="s">
        <v>4161</v>
      </c>
      <c r="L240" s="40" t="s">
        <v>4206</v>
      </c>
      <c r="M240" s="242" t="s">
        <v>4162</v>
      </c>
      <c r="N240" s="213"/>
      <c r="O240" s="139" t="s">
        <v>4194</v>
      </c>
      <c r="P240" s="250"/>
    </row>
    <row r="241" spans="1:16">
      <c r="A241" s="244" t="s">
        <v>4019</v>
      </c>
      <c r="B241" s="42" t="s">
        <v>1769</v>
      </c>
      <c r="C241" s="41" t="s">
        <v>3391</v>
      </c>
      <c r="D241" s="41" t="s">
        <v>4267</v>
      </c>
      <c r="E241" s="41" t="s">
        <v>4268</v>
      </c>
      <c r="F241" s="41" t="s">
        <v>3190</v>
      </c>
      <c r="G241" s="215" t="s">
        <v>3182</v>
      </c>
      <c r="H241" s="42" t="s">
        <v>1773</v>
      </c>
      <c r="I241" s="246" t="s">
        <v>1769</v>
      </c>
      <c r="J241" s="247" t="s">
        <v>3050</v>
      </c>
      <c r="K241" s="137" t="s">
        <v>4245</v>
      </c>
      <c r="L241" s="40" t="s">
        <v>4269</v>
      </c>
      <c r="M241" s="242" t="s">
        <v>4162</v>
      </c>
      <c r="N241" s="213"/>
      <c r="O241" s="139" t="s">
        <v>4247</v>
      </c>
      <c r="P241" s="250"/>
    </row>
    <row r="242" spans="1:16">
      <c r="A242" s="244" t="s">
        <v>4019</v>
      </c>
      <c r="B242" s="42" t="s">
        <v>1769</v>
      </c>
      <c r="C242" s="41" t="s">
        <v>3391</v>
      </c>
      <c r="D242" s="41" t="s">
        <v>4270</v>
      </c>
      <c r="E242" s="41" t="s">
        <v>4271</v>
      </c>
      <c r="F242" s="41" t="s">
        <v>3191</v>
      </c>
      <c r="G242" s="215" t="s">
        <v>3182</v>
      </c>
      <c r="H242" s="42" t="s">
        <v>1773</v>
      </c>
      <c r="I242" s="246" t="s">
        <v>1769</v>
      </c>
      <c r="J242" s="247" t="s">
        <v>3050</v>
      </c>
      <c r="K242" s="137" t="s">
        <v>4167</v>
      </c>
      <c r="L242" s="40" t="s">
        <v>4272</v>
      </c>
      <c r="M242" s="242" t="s">
        <v>4162</v>
      </c>
      <c r="N242" s="213"/>
      <c r="O242" s="139" t="s">
        <v>4169</v>
      </c>
      <c r="P242" s="250"/>
    </row>
    <row r="243" spans="1:16">
      <c r="A243" s="244" t="s">
        <v>4019</v>
      </c>
      <c r="B243" s="42" t="s">
        <v>1769</v>
      </c>
      <c r="C243" s="41" t="s">
        <v>3391</v>
      </c>
      <c r="D243" s="41" t="s">
        <v>4294</v>
      </c>
      <c r="E243" s="41" t="s">
        <v>4295</v>
      </c>
      <c r="F243" s="41" t="s">
        <v>3207</v>
      </c>
      <c r="G243" s="215" t="s">
        <v>3208</v>
      </c>
      <c r="H243" s="42" t="s">
        <v>674</v>
      </c>
      <c r="I243" s="246" t="s">
        <v>1769</v>
      </c>
      <c r="J243" s="247" t="s">
        <v>3050</v>
      </c>
      <c r="K243" s="137" t="s">
        <v>4167</v>
      </c>
      <c r="L243" s="40" t="s">
        <v>4296</v>
      </c>
      <c r="M243" s="242" t="s">
        <v>4162</v>
      </c>
      <c r="N243" s="213"/>
      <c r="O243" s="139" t="s">
        <v>4169</v>
      </c>
      <c r="P243" s="250"/>
    </row>
    <row r="244" spans="1:16">
      <c r="A244" s="244" t="s">
        <v>4019</v>
      </c>
      <c r="B244" s="42" t="s">
        <v>1769</v>
      </c>
      <c r="C244" s="41" t="s">
        <v>3391</v>
      </c>
      <c r="D244" s="41" t="s">
        <v>4297</v>
      </c>
      <c r="E244" s="41" t="s">
        <v>4298</v>
      </c>
      <c r="F244" s="41" t="s">
        <v>3209</v>
      </c>
      <c r="G244" s="215" t="s">
        <v>3210</v>
      </c>
      <c r="H244" s="42" t="s">
        <v>1773</v>
      </c>
      <c r="I244" s="246" t="s">
        <v>1769</v>
      </c>
      <c r="J244" s="247" t="s">
        <v>3050</v>
      </c>
      <c r="K244" s="137" t="s">
        <v>4167</v>
      </c>
      <c r="L244" s="40" t="s">
        <v>4299</v>
      </c>
      <c r="M244" s="242" t="s">
        <v>4162</v>
      </c>
      <c r="N244" s="213"/>
      <c r="O244" s="139" t="s">
        <v>4169</v>
      </c>
      <c r="P244" s="250"/>
    </row>
    <row r="245" spans="1:16">
      <c r="A245" s="244" t="s">
        <v>4019</v>
      </c>
      <c r="B245" s="42" t="s">
        <v>1769</v>
      </c>
      <c r="C245" s="41" t="s">
        <v>3475</v>
      </c>
      <c r="D245" s="41" t="s">
        <v>4273</v>
      </c>
      <c r="E245" s="41" t="s">
        <v>4274</v>
      </c>
      <c r="F245" s="41" t="s">
        <v>3192</v>
      </c>
      <c r="G245" s="215" t="s">
        <v>3193</v>
      </c>
      <c r="H245" s="42" t="s">
        <v>1773</v>
      </c>
      <c r="I245" s="246" t="s">
        <v>1769</v>
      </c>
      <c r="J245" s="247" t="s">
        <v>3050</v>
      </c>
      <c r="K245" s="137" t="s">
        <v>4167</v>
      </c>
      <c r="L245" s="40" t="s">
        <v>4275</v>
      </c>
      <c r="M245" s="242" t="s">
        <v>4162</v>
      </c>
      <c r="N245" s="213"/>
      <c r="O245" s="139" t="s">
        <v>4169</v>
      </c>
      <c r="P245" s="250"/>
    </row>
    <row r="246" spans="1:16">
      <c r="A246" s="244" t="s">
        <v>4019</v>
      </c>
      <c r="B246" s="42" t="s">
        <v>1769</v>
      </c>
      <c r="C246" s="41" t="s">
        <v>3357</v>
      </c>
      <c r="D246" s="41" t="s">
        <v>4300</v>
      </c>
      <c r="E246" s="41" t="s">
        <v>4301</v>
      </c>
      <c r="F246" s="41" t="s">
        <v>3215</v>
      </c>
      <c r="G246" s="215" t="s">
        <v>3216</v>
      </c>
      <c r="H246" s="42" t="s">
        <v>1773</v>
      </c>
      <c r="I246" s="246" t="s">
        <v>1769</v>
      </c>
      <c r="J246" s="247" t="s">
        <v>3050</v>
      </c>
      <c r="K246" s="137" t="s">
        <v>4167</v>
      </c>
      <c r="L246" s="40" t="s">
        <v>4302</v>
      </c>
      <c r="M246" s="242" t="s">
        <v>4162</v>
      </c>
      <c r="N246" s="213"/>
      <c r="O246" s="139" t="s">
        <v>4169</v>
      </c>
      <c r="P246" s="250"/>
    </row>
    <row r="247" spans="1:16">
      <c r="A247" s="244" t="s">
        <v>4019</v>
      </c>
      <c r="B247" s="42" t="s">
        <v>1769</v>
      </c>
      <c r="C247" s="41" t="s">
        <v>3545</v>
      </c>
      <c r="D247" s="41" t="s">
        <v>4195</v>
      </c>
      <c r="E247" s="41" t="s">
        <v>4196</v>
      </c>
      <c r="F247" s="41" t="s">
        <v>3149</v>
      </c>
      <c r="G247" s="215" t="s">
        <v>3150</v>
      </c>
      <c r="H247" s="42" t="s">
        <v>1773</v>
      </c>
      <c r="I247" s="246" t="s">
        <v>1769</v>
      </c>
      <c r="J247" s="247" t="s">
        <v>3050</v>
      </c>
      <c r="K247" s="137" t="s">
        <v>4161</v>
      </c>
      <c r="L247" s="40" t="s">
        <v>4197</v>
      </c>
      <c r="M247" s="242" t="s">
        <v>4162</v>
      </c>
      <c r="N247" s="213"/>
      <c r="O247" s="139" t="s">
        <v>4194</v>
      </c>
      <c r="P247" s="250"/>
    </row>
    <row r="248" spans="1:16">
      <c r="A248" s="244" t="s">
        <v>4019</v>
      </c>
      <c r="B248" s="42" t="s">
        <v>1769</v>
      </c>
      <c r="C248" s="41" t="s">
        <v>3545</v>
      </c>
      <c r="D248" s="41" t="s">
        <v>4276</v>
      </c>
      <c r="E248" s="41" t="s">
        <v>4277</v>
      </c>
      <c r="F248" s="41" t="s">
        <v>3194</v>
      </c>
      <c r="G248" s="215" t="s">
        <v>3182</v>
      </c>
      <c r="H248" s="42" t="s">
        <v>1773</v>
      </c>
      <c r="I248" s="246" t="s">
        <v>1769</v>
      </c>
      <c r="J248" s="247" t="s">
        <v>3050</v>
      </c>
      <c r="K248" s="137" t="s">
        <v>4167</v>
      </c>
      <c r="L248" s="40" t="s">
        <v>4278</v>
      </c>
      <c r="M248" s="242" t="s">
        <v>4162</v>
      </c>
      <c r="N248" s="213"/>
      <c r="O248" s="139" t="s">
        <v>4169</v>
      </c>
      <c r="P248" s="250"/>
    </row>
    <row r="249" spans="1:16">
      <c r="A249" s="244" t="s">
        <v>4019</v>
      </c>
      <c r="B249" s="42" t="s">
        <v>1769</v>
      </c>
      <c r="C249" s="41" t="s">
        <v>3545</v>
      </c>
      <c r="D249" s="41" t="s">
        <v>4279</v>
      </c>
      <c r="E249" s="41" t="s">
        <v>4280</v>
      </c>
      <c r="F249" s="41" t="s">
        <v>3195</v>
      </c>
      <c r="G249" s="215" t="s">
        <v>3196</v>
      </c>
      <c r="H249" s="42" t="s">
        <v>1773</v>
      </c>
      <c r="I249" s="246" t="s">
        <v>1769</v>
      </c>
      <c r="J249" s="247" t="s">
        <v>3050</v>
      </c>
      <c r="K249" s="137" t="s">
        <v>4167</v>
      </c>
      <c r="L249" s="40" t="s">
        <v>4281</v>
      </c>
      <c r="M249" s="242" t="s">
        <v>4162</v>
      </c>
      <c r="N249" s="213"/>
      <c r="O249" s="139" t="s">
        <v>4169</v>
      </c>
      <c r="P249" s="250"/>
    </row>
    <row r="250" spans="1:16">
      <c r="A250" s="244" t="s">
        <v>4019</v>
      </c>
      <c r="B250" s="42" t="s">
        <v>1769</v>
      </c>
      <c r="C250" s="41" t="s">
        <v>3545</v>
      </c>
      <c r="D250" s="41" t="s">
        <v>4288</v>
      </c>
      <c r="E250" s="41" t="s">
        <v>4289</v>
      </c>
      <c r="F250" s="41" t="s">
        <v>3203</v>
      </c>
      <c r="G250" s="215" t="s">
        <v>3204</v>
      </c>
      <c r="H250" s="42" t="s">
        <v>1773</v>
      </c>
      <c r="I250" s="246" t="s">
        <v>1769</v>
      </c>
      <c r="J250" s="247" t="s">
        <v>3050</v>
      </c>
      <c r="K250" s="137" t="s">
        <v>4167</v>
      </c>
      <c r="L250" s="40" t="s">
        <v>4290</v>
      </c>
      <c r="M250" s="242" t="s">
        <v>4162</v>
      </c>
      <c r="N250" s="213"/>
      <c r="O250" s="139" t="s">
        <v>4169</v>
      </c>
      <c r="P250" s="250"/>
    </row>
    <row r="251" spans="1:16">
      <c r="A251" s="244" t="s">
        <v>4019</v>
      </c>
      <c r="B251" s="42" t="s">
        <v>1769</v>
      </c>
      <c r="C251" s="41" t="s">
        <v>3545</v>
      </c>
      <c r="D251" s="41" t="s">
        <v>4307</v>
      </c>
      <c r="E251" s="41" t="s">
        <v>4308</v>
      </c>
      <c r="F251" s="41" t="s">
        <v>3219</v>
      </c>
      <c r="G251" s="215" t="s">
        <v>3220</v>
      </c>
      <c r="H251" s="42" t="s">
        <v>1773</v>
      </c>
      <c r="I251" s="246" t="s">
        <v>1769</v>
      </c>
      <c r="J251" s="247" t="s">
        <v>3050</v>
      </c>
      <c r="K251" s="137" t="s">
        <v>4167</v>
      </c>
      <c r="L251" s="40" t="s">
        <v>4309</v>
      </c>
      <c r="M251" s="242" t="s">
        <v>4162</v>
      </c>
      <c r="N251" s="213"/>
      <c r="O251" s="139" t="s">
        <v>4169</v>
      </c>
      <c r="P251" s="250"/>
    </row>
    <row r="252" spans="1:16" ht="98" customHeight="1">
      <c r="A252" s="244" t="s">
        <v>4019</v>
      </c>
      <c r="B252" s="42" t="s">
        <v>1769</v>
      </c>
      <c r="C252" s="41" t="s">
        <v>3441</v>
      </c>
      <c r="D252" s="41" t="s">
        <v>4213</v>
      </c>
      <c r="E252" s="41" t="s">
        <v>4214</v>
      </c>
      <c r="F252" s="41" t="s">
        <v>3161</v>
      </c>
      <c r="G252" s="215" t="s">
        <v>3162</v>
      </c>
      <c r="H252" s="42" t="s">
        <v>1773</v>
      </c>
      <c r="I252" s="246" t="s">
        <v>1769</v>
      </c>
      <c r="J252" s="247" t="s">
        <v>3050</v>
      </c>
      <c r="K252" s="137" t="s">
        <v>4161</v>
      </c>
      <c r="L252" s="40" t="s">
        <v>4215</v>
      </c>
      <c r="M252" s="242" t="s">
        <v>4162</v>
      </c>
      <c r="N252" s="213"/>
      <c r="O252" s="139" t="s">
        <v>4194</v>
      </c>
      <c r="P252" s="250"/>
    </row>
    <row r="253" spans="1:16">
      <c r="A253" s="244" t="s">
        <v>4019</v>
      </c>
      <c r="B253" s="42" t="s">
        <v>1769</v>
      </c>
      <c r="C253" s="41" t="s">
        <v>3441</v>
      </c>
      <c r="D253" s="41" t="s">
        <v>4222</v>
      </c>
      <c r="E253" s="41" t="s">
        <v>4223</v>
      </c>
      <c r="F253" s="41" t="s">
        <v>3167</v>
      </c>
      <c r="G253" s="215" t="s">
        <v>3168</v>
      </c>
      <c r="H253" s="42" t="s">
        <v>1773</v>
      </c>
      <c r="I253" s="246" t="s">
        <v>1769</v>
      </c>
      <c r="J253" s="247" t="s">
        <v>3050</v>
      </c>
      <c r="K253" s="137" t="s">
        <v>4161</v>
      </c>
      <c r="L253" s="40" t="s">
        <v>4224</v>
      </c>
      <c r="M253" s="242" t="s">
        <v>4162</v>
      </c>
      <c r="N253" s="213"/>
      <c r="O253" s="139" t="s">
        <v>4225</v>
      </c>
      <c r="P253" s="250"/>
    </row>
    <row r="254" spans="1:16">
      <c r="A254" s="244" t="s">
        <v>4019</v>
      </c>
      <c r="B254" s="42" t="s">
        <v>1769</v>
      </c>
      <c r="C254" s="41" t="s">
        <v>3441</v>
      </c>
      <c r="D254" s="41" t="s">
        <v>4282</v>
      </c>
      <c r="E254" s="41" t="s">
        <v>4283</v>
      </c>
      <c r="F254" s="41" t="s">
        <v>3197</v>
      </c>
      <c r="G254" s="215" t="s">
        <v>3198</v>
      </c>
      <c r="H254" s="42" t="s">
        <v>1773</v>
      </c>
      <c r="I254" s="246" t="s">
        <v>1769</v>
      </c>
      <c r="J254" s="247" t="s">
        <v>3050</v>
      </c>
      <c r="K254" s="137" t="s">
        <v>4167</v>
      </c>
      <c r="L254" s="40" t="s">
        <v>4284</v>
      </c>
      <c r="M254" s="242" t="s">
        <v>4162</v>
      </c>
      <c r="N254" s="213"/>
      <c r="O254" s="139" t="s">
        <v>4169</v>
      </c>
      <c r="P254" s="250"/>
    </row>
    <row r="255" spans="1:16">
      <c r="A255" s="244" t="s">
        <v>4019</v>
      </c>
      <c r="B255" s="42" t="s">
        <v>1769</v>
      </c>
      <c r="C255" s="41" t="s">
        <v>3441</v>
      </c>
      <c r="D255" s="41" t="s">
        <v>4291</v>
      </c>
      <c r="E255" s="41" t="s">
        <v>4292</v>
      </c>
      <c r="F255" s="41" t="s">
        <v>3205</v>
      </c>
      <c r="G255" s="215" t="s">
        <v>3206</v>
      </c>
      <c r="H255" s="42" t="s">
        <v>1773</v>
      </c>
      <c r="I255" s="246" t="s">
        <v>1769</v>
      </c>
      <c r="J255" s="247" t="s">
        <v>3050</v>
      </c>
      <c r="K255" s="137" t="s">
        <v>4167</v>
      </c>
      <c r="L255" s="40" t="s">
        <v>4293</v>
      </c>
      <c r="M255" s="242" t="s">
        <v>4162</v>
      </c>
      <c r="N255" s="213"/>
      <c r="O255" s="139" t="s">
        <v>4169</v>
      </c>
      <c r="P255" s="250"/>
    </row>
    <row r="256" spans="1:16">
      <c r="A256" s="244" t="s">
        <v>4019</v>
      </c>
      <c r="B256" s="42" t="s">
        <v>1769</v>
      </c>
      <c r="C256" s="41" t="s">
        <v>3441</v>
      </c>
      <c r="D256" s="41" t="s">
        <v>4303</v>
      </c>
      <c r="E256" s="41" t="s">
        <v>4304</v>
      </c>
      <c r="F256" s="41" t="s">
        <v>3217</v>
      </c>
      <c r="G256" s="215" t="s">
        <v>3218</v>
      </c>
      <c r="H256" s="42" t="s">
        <v>1773</v>
      </c>
      <c r="I256" s="246" t="s">
        <v>1769</v>
      </c>
      <c r="J256" s="247" t="s">
        <v>3050</v>
      </c>
      <c r="K256" s="137" t="s">
        <v>4167</v>
      </c>
      <c r="L256" s="40" t="s">
        <v>4305</v>
      </c>
      <c r="M256" s="242" t="s">
        <v>4162</v>
      </c>
      <c r="N256" s="213"/>
      <c r="O256" s="139" t="s">
        <v>4306</v>
      </c>
      <c r="P256" s="250"/>
    </row>
    <row r="257" spans="1:16">
      <c r="A257" s="244" t="s">
        <v>4019</v>
      </c>
      <c r="B257" s="42" t="s">
        <v>1769</v>
      </c>
      <c r="C257" s="41" t="s">
        <v>4032</v>
      </c>
      <c r="D257" s="41" t="s">
        <v>4226</v>
      </c>
      <c r="E257" s="41" t="s">
        <v>4227</v>
      </c>
      <c r="F257" s="41" t="s">
        <v>3169</v>
      </c>
      <c r="G257" s="215" t="s">
        <v>3170</v>
      </c>
      <c r="H257" s="42" t="s">
        <v>1774</v>
      </c>
      <c r="I257" s="246" t="s">
        <v>1769</v>
      </c>
      <c r="J257" s="247" t="s">
        <v>3050</v>
      </c>
      <c r="K257" s="137" t="s">
        <v>4228</v>
      </c>
      <c r="L257" s="40" t="s">
        <v>4229</v>
      </c>
      <c r="M257" s="242" t="s">
        <v>4162</v>
      </c>
      <c r="N257" s="213"/>
      <c r="O257" s="139" t="s">
        <v>4230</v>
      </c>
      <c r="P257" s="250"/>
    </row>
    <row r="258" spans="1:16">
      <c r="A258" s="244" t="s">
        <v>4019</v>
      </c>
      <c r="B258" s="42" t="s">
        <v>1769</v>
      </c>
      <c r="C258" s="41" t="s">
        <v>4032</v>
      </c>
      <c r="D258" s="41" t="s">
        <v>4231</v>
      </c>
      <c r="E258" s="41" t="s">
        <v>4232</v>
      </c>
      <c r="F258" s="41" t="s">
        <v>3171</v>
      </c>
      <c r="G258" s="215" t="s">
        <v>3172</v>
      </c>
      <c r="H258" s="42" t="s">
        <v>1773</v>
      </c>
      <c r="I258" s="246" t="s">
        <v>1769</v>
      </c>
      <c r="J258" s="247" t="s">
        <v>3050</v>
      </c>
      <c r="K258" s="137" t="s">
        <v>4228</v>
      </c>
      <c r="L258" s="40" t="s">
        <v>4233</v>
      </c>
      <c r="M258" s="242" t="s">
        <v>4162</v>
      </c>
      <c r="N258" s="213"/>
      <c r="O258" s="139" t="s">
        <v>4230</v>
      </c>
      <c r="P258" s="250"/>
    </row>
    <row r="259" spans="1:16">
      <c r="A259" s="244" t="s">
        <v>4019</v>
      </c>
      <c r="B259" s="42" t="s">
        <v>1769</v>
      </c>
      <c r="C259" s="41" t="s">
        <v>4032</v>
      </c>
      <c r="D259" s="41" t="s">
        <v>4234</v>
      </c>
      <c r="E259" s="41" t="s">
        <v>4235</v>
      </c>
      <c r="F259" s="41" t="s">
        <v>3173</v>
      </c>
      <c r="G259" s="215" t="s">
        <v>3174</v>
      </c>
      <c r="H259" s="42" t="s">
        <v>1774</v>
      </c>
      <c r="I259" s="246" t="s">
        <v>1769</v>
      </c>
      <c r="J259" s="247" t="s">
        <v>3050</v>
      </c>
      <c r="K259" s="137" t="s">
        <v>4228</v>
      </c>
      <c r="L259" s="40" t="s">
        <v>4236</v>
      </c>
      <c r="M259" s="242" t="s">
        <v>4162</v>
      </c>
      <c r="N259" s="213"/>
      <c r="O259" s="139" t="s">
        <v>4230</v>
      </c>
      <c r="P259" s="250"/>
    </row>
    <row r="260" spans="1:16">
      <c r="A260" s="244" t="s">
        <v>4019</v>
      </c>
      <c r="B260" s="42" t="s">
        <v>1769</v>
      </c>
      <c r="C260" s="41" t="s">
        <v>4032</v>
      </c>
      <c r="D260" s="41" t="s">
        <v>4237</v>
      </c>
      <c r="E260" s="41" t="s">
        <v>4238</v>
      </c>
      <c r="F260" s="41" t="s">
        <v>3175</v>
      </c>
      <c r="G260" s="215" t="s">
        <v>3176</v>
      </c>
      <c r="H260" s="42" t="s">
        <v>1773</v>
      </c>
      <c r="I260" s="246" t="s">
        <v>1769</v>
      </c>
      <c r="J260" s="247" t="s">
        <v>3050</v>
      </c>
      <c r="K260" s="137" t="s">
        <v>4228</v>
      </c>
      <c r="L260" s="40" t="s">
        <v>4239</v>
      </c>
      <c r="M260" s="242" t="s">
        <v>4162</v>
      </c>
      <c r="N260" s="213"/>
      <c r="O260" s="139" t="s">
        <v>4230</v>
      </c>
      <c r="P260" s="250"/>
    </row>
    <row r="261" spans="1:16">
      <c r="A261" s="244" t="s">
        <v>4019</v>
      </c>
      <c r="B261" s="42" t="s">
        <v>1769</v>
      </c>
      <c r="C261" s="41" t="s">
        <v>4032</v>
      </c>
      <c r="D261" s="41" t="s">
        <v>4240</v>
      </c>
      <c r="E261" s="41" t="s">
        <v>4241</v>
      </c>
      <c r="F261" s="41" t="s">
        <v>3177</v>
      </c>
      <c r="G261" s="215" t="s">
        <v>3178</v>
      </c>
      <c r="H261" s="42" t="s">
        <v>1773</v>
      </c>
      <c r="I261" s="246" t="s">
        <v>1769</v>
      </c>
      <c r="J261" s="247" t="s">
        <v>3050</v>
      </c>
      <c r="K261" s="137" t="s">
        <v>4228</v>
      </c>
      <c r="L261" s="40" t="s">
        <v>4242</v>
      </c>
      <c r="M261" s="242" t="s">
        <v>4162</v>
      </c>
      <c r="N261" s="213"/>
      <c r="O261" s="139" t="s">
        <v>4230</v>
      </c>
      <c r="P261" s="250"/>
    </row>
    <row r="262" spans="1:16">
      <c r="A262" s="244" t="s">
        <v>4019</v>
      </c>
      <c r="B262" s="42" t="s">
        <v>1769</v>
      </c>
      <c r="C262" s="41" t="s">
        <v>4032</v>
      </c>
      <c r="D262" s="41" t="s">
        <v>4325</v>
      </c>
      <c r="E262" s="41" t="s">
        <v>4326</v>
      </c>
      <c r="F262" s="41" t="s">
        <v>3231</v>
      </c>
      <c r="G262" s="215" t="s">
        <v>3182</v>
      </c>
      <c r="H262" s="42" t="s">
        <v>1773</v>
      </c>
      <c r="I262" s="246" t="s">
        <v>1769</v>
      </c>
      <c r="J262" s="247" t="s">
        <v>3050</v>
      </c>
      <c r="K262" s="137" t="s">
        <v>4181</v>
      </c>
      <c r="L262" s="40" t="s">
        <v>4327</v>
      </c>
      <c r="M262" s="242" t="s">
        <v>4162</v>
      </c>
      <c r="N262" s="213"/>
      <c r="O262" s="139" t="s">
        <v>4183</v>
      </c>
      <c r="P262" s="250"/>
    </row>
    <row r="263" spans="1:16">
      <c r="A263" s="244" t="s">
        <v>4019</v>
      </c>
      <c r="B263" s="42" t="s">
        <v>1769</v>
      </c>
      <c r="C263" s="41" t="s">
        <v>3842</v>
      </c>
      <c r="D263" s="41" t="s">
        <v>2775</v>
      </c>
      <c r="E263" s="41" t="s">
        <v>4192</v>
      </c>
      <c r="F263" s="41" t="s">
        <v>3145</v>
      </c>
      <c r="G263" s="215" t="s">
        <v>3146</v>
      </c>
      <c r="H263" s="42" t="s">
        <v>1773</v>
      </c>
      <c r="I263" s="246" t="s">
        <v>1769</v>
      </c>
      <c r="J263" s="247" t="s">
        <v>3050</v>
      </c>
      <c r="K263" s="137" t="s">
        <v>4161</v>
      </c>
      <c r="L263" s="40" t="s">
        <v>4193</v>
      </c>
      <c r="M263" s="242" t="s">
        <v>4162</v>
      </c>
      <c r="N263" s="213"/>
      <c r="O263" s="139" t="s">
        <v>4194</v>
      </c>
      <c r="P263" s="250"/>
    </row>
    <row r="264" spans="1:16">
      <c r="A264" s="244" t="s">
        <v>4019</v>
      </c>
      <c r="B264" s="42" t="s">
        <v>1769</v>
      </c>
      <c r="C264" s="41" t="s">
        <v>3842</v>
      </c>
      <c r="D264" s="41" t="s">
        <v>4210</v>
      </c>
      <c r="E264" s="41" t="s">
        <v>4211</v>
      </c>
      <c r="F264" s="41" t="s">
        <v>3159</v>
      </c>
      <c r="G264" s="215" t="s">
        <v>3160</v>
      </c>
      <c r="H264" s="42" t="s">
        <v>1773</v>
      </c>
      <c r="I264" s="246" t="s">
        <v>1769</v>
      </c>
      <c r="J264" s="247" t="s">
        <v>3050</v>
      </c>
      <c r="K264" s="137" t="s">
        <v>4161</v>
      </c>
      <c r="L264" s="40" t="s">
        <v>4212</v>
      </c>
      <c r="M264" s="242" t="s">
        <v>4162</v>
      </c>
      <c r="N264" s="213"/>
      <c r="O264" s="139" t="s">
        <v>4194</v>
      </c>
      <c r="P264" s="250"/>
    </row>
    <row r="265" spans="1:16" ht="98" customHeight="1">
      <c r="A265" s="244" t="s">
        <v>4019</v>
      </c>
      <c r="B265" s="42" t="s">
        <v>1769</v>
      </c>
      <c r="C265" s="41" t="s">
        <v>3842</v>
      </c>
      <c r="D265" s="41" t="s">
        <v>4216</v>
      </c>
      <c r="E265" s="41" t="s">
        <v>4217</v>
      </c>
      <c r="F265" s="41" t="s">
        <v>3163</v>
      </c>
      <c r="G265" s="215" t="s">
        <v>3164</v>
      </c>
      <c r="H265" s="42" t="s">
        <v>1773</v>
      </c>
      <c r="I265" s="246" t="s">
        <v>1769</v>
      </c>
      <c r="J265" s="247" t="s">
        <v>3050</v>
      </c>
      <c r="K265" s="137" t="s">
        <v>4161</v>
      </c>
      <c r="L265" s="40" t="s">
        <v>4218</v>
      </c>
      <c r="M265" s="242" t="s">
        <v>4162</v>
      </c>
      <c r="N265" s="213"/>
      <c r="O265" s="139" t="s">
        <v>4194</v>
      </c>
      <c r="P265" s="250"/>
    </row>
    <row r="266" spans="1:16">
      <c r="A266" s="244" t="s">
        <v>4019</v>
      </c>
      <c r="B266" s="42" t="s">
        <v>1769</v>
      </c>
      <c r="C266" s="41" t="s">
        <v>3842</v>
      </c>
      <c r="D266" s="41" t="s">
        <v>4243</v>
      </c>
      <c r="E266" s="41" t="s">
        <v>4244</v>
      </c>
      <c r="F266" s="41" t="s">
        <v>3179</v>
      </c>
      <c r="G266" s="215" t="s">
        <v>3180</v>
      </c>
      <c r="H266" s="42" t="s">
        <v>1773</v>
      </c>
      <c r="I266" s="246" t="s">
        <v>1769</v>
      </c>
      <c r="J266" s="247" t="s">
        <v>3050</v>
      </c>
      <c r="K266" s="137" t="s">
        <v>4245</v>
      </c>
      <c r="L266" s="40" t="s">
        <v>4246</v>
      </c>
      <c r="M266" s="242" t="s">
        <v>4162</v>
      </c>
      <c r="N266" s="213"/>
      <c r="O266" s="139" t="s">
        <v>4247</v>
      </c>
      <c r="P266" s="250"/>
    </row>
    <row r="267" spans="1:16">
      <c r="A267" s="244" t="s">
        <v>4019</v>
      </c>
      <c r="B267" s="42" t="s">
        <v>1769</v>
      </c>
      <c r="C267" s="41" t="s">
        <v>3842</v>
      </c>
      <c r="D267" s="41" t="s">
        <v>4315</v>
      </c>
      <c r="E267" s="41" t="s">
        <v>4316</v>
      </c>
      <c r="F267" s="41" t="s">
        <v>3224</v>
      </c>
      <c r="G267" s="215" t="s">
        <v>3225</v>
      </c>
      <c r="H267" s="42" t="s">
        <v>1773</v>
      </c>
      <c r="I267" s="246" t="s">
        <v>1769</v>
      </c>
      <c r="J267" s="247" t="s">
        <v>3050</v>
      </c>
      <c r="K267" s="137" t="s">
        <v>4181</v>
      </c>
      <c r="L267" s="40" t="s">
        <v>4317</v>
      </c>
      <c r="M267" s="242" t="s">
        <v>4162</v>
      </c>
      <c r="N267" s="213"/>
      <c r="O267" s="139" t="s">
        <v>4318</v>
      </c>
      <c r="P267" s="250"/>
    </row>
    <row r="268" spans="1:16">
      <c r="A268" s="244" t="s">
        <v>4019</v>
      </c>
      <c r="B268" s="42" t="s">
        <v>1769</v>
      </c>
      <c r="C268" s="41" t="s">
        <v>3842</v>
      </c>
      <c r="D268" s="41" t="s">
        <v>4319</v>
      </c>
      <c r="E268" s="41" t="s">
        <v>4320</v>
      </c>
      <c r="F268" s="41" t="s">
        <v>3228</v>
      </c>
      <c r="G268" s="215" t="s">
        <v>3182</v>
      </c>
      <c r="H268" s="42" t="s">
        <v>1773</v>
      </c>
      <c r="I268" s="246" t="s">
        <v>1769</v>
      </c>
      <c r="J268" s="247" t="s">
        <v>3050</v>
      </c>
      <c r="K268" s="137" t="s">
        <v>4181</v>
      </c>
      <c r="L268" s="40" t="s">
        <v>4321</v>
      </c>
      <c r="M268" s="242" t="s">
        <v>4162</v>
      </c>
      <c r="N268" s="213"/>
      <c r="O268" s="139" t="s">
        <v>4183</v>
      </c>
      <c r="P268" s="250"/>
    </row>
    <row r="269" spans="1:16">
      <c r="A269" s="244" t="s">
        <v>4019</v>
      </c>
      <c r="B269" s="42" t="s">
        <v>1769</v>
      </c>
      <c r="C269" s="41" t="s">
        <v>3713</v>
      </c>
      <c r="D269" s="41" t="s">
        <v>4207</v>
      </c>
      <c r="E269" s="41" t="s">
        <v>4208</v>
      </c>
      <c r="F269" s="41" t="s">
        <v>3157</v>
      </c>
      <c r="G269" s="215" t="s">
        <v>3158</v>
      </c>
      <c r="H269" s="42" t="s">
        <v>1773</v>
      </c>
      <c r="I269" s="246" t="s">
        <v>1769</v>
      </c>
      <c r="J269" s="247" t="s">
        <v>3050</v>
      </c>
      <c r="K269" s="137" t="s">
        <v>4161</v>
      </c>
      <c r="L269" s="40" t="s">
        <v>3934</v>
      </c>
      <c r="M269" s="242" t="s">
        <v>4162</v>
      </c>
      <c r="N269" s="213" t="s">
        <v>4209</v>
      </c>
      <c r="O269" s="139" t="s">
        <v>4194</v>
      </c>
      <c r="P269" s="250"/>
    </row>
    <row r="270" spans="1:16">
      <c r="A270" s="244" t="s">
        <v>4019</v>
      </c>
      <c r="B270" s="42" t="s">
        <v>1769</v>
      </c>
      <c r="C270" s="41" t="s">
        <v>3713</v>
      </c>
      <c r="D270" s="41" t="s">
        <v>4310</v>
      </c>
      <c r="E270" s="41" t="s">
        <v>5026</v>
      </c>
      <c r="F270" s="41" t="s">
        <v>3221</v>
      </c>
      <c r="G270" s="215" t="s">
        <v>5027</v>
      </c>
      <c r="H270" s="42" t="s">
        <v>1773</v>
      </c>
      <c r="I270" s="246" t="s">
        <v>1769</v>
      </c>
      <c r="J270" s="247" t="s">
        <v>3050</v>
      </c>
      <c r="K270" s="137" t="s">
        <v>4167</v>
      </c>
      <c r="L270" s="40" t="s">
        <v>4311</v>
      </c>
      <c r="M270" s="242" t="s">
        <v>4162</v>
      </c>
      <c r="N270" s="213"/>
      <c r="O270" s="139" t="s">
        <v>4169</v>
      </c>
      <c r="P270" s="250" t="s">
        <v>5028</v>
      </c>
    </row>
    <row r="271" spans="1:16">
      <c r="A271" s="244" t="s">
        <v>4019</v>
      </c>
      <c r="B271" s="42" t="s">
        <v>1769</v>
      </c>
      <c r="C271" s="41" t="s">
        <v>3589</v>
      </c>
      <c r="D271" s="41" t="s">
        <v>4165</v>
      </c>
      <c r="E271" s="41" t="s">
        <v>4166</v>
      </c>
      <c r="F271" s="41" t="s">
        <v>3201</v>
      </c>
      <c r="G271" s="215" t="s">
        <v>3202</v>
      </c>
      <c r="H271" s="42" t="s">
        <v>1773</v>
      </c>
      <c r="I271" s="246" t="s">
        <v>1769</v>
      </c>
      <c r="J271" s="247" t="s">
        <v>3050</v>
      </c>
      <c r="K271" s="137" t="s">
        <v>4167</v>
      </c>
      <c r="L271" s="40" t="s">
        <v>4168</v>
      </c>
      <c r="M271" s="242" t="s">
        <v>4162</v>
      </c>
      <c r="N271" s="213"/>
      <c r="O271" s="139" t="s">
        <v>4169</v>
      </c>
      <c r="P271" s="250"/>
    </row>
    <row r="272" spans="1:16">
      <c r="A272" s="244" t="s">
        <v>4019</v>
      </c>
      <c r="B272" s="42" t="s">
        <v>1769</v>
      </c>
      <c r="C272" s="41" t="s">
        <v>3589</v>
      </c>
      <c r="D272" s="41" t="s">
        <v>4170</v>
      </c>
      <c r="E272" s="41" t="s">
        <v>4171</v>
      </c>
      <c r="F272" s="41" t="s">
        <v>3211</v>
      </c>
      <c r="G272" s="215" t="s">
        <v>3212</v>
      </c>
      <c r="H272" s="42" t="s">
        <v>1773</v>
      </c>
      <c r="I272" s="246" t="s">
        <v>1769</v>
      </c>
      <c r="J272" s="247" t="s">
        <v>3050</v>
      </c>
      <c r="K272" s="137" t="s">
        <v>4167</v>
      </c>
      <c r="L272" s="40" t="s">
        <v>4172</v>
      </c>
      <c r="M272" s="242" t="s">
        <v>4162</v>
      </c>
      <c r="N272" s="213"/>
      <c r="O272" s="139" t="s">
        <v>4169</v>
      </c>
      <c r="P272" s="250"/>
    </row>
    <row r="273" spans="1:16">
      <c r="A273" s="244" t="s">
        <v>4019</v>
      </c>
      <c r="B273" s="42" t="s">
        <v>1769</v>
      </c>
      <c r="C273" s="41" t="s">
        <v>3589</v>
      </c>
      <c r="D273" s="41" t="s">
        <v>4173</v>
      </c>
      <c r="E273" s="41" t="s">
        <v>4174</v>
      </c>
      <c r="F273" s="41" t="s">
        <v>3213</v>
      </c>
      <c r="G273" s="215" t="s">
        <v>3182</v>
      </c>
      <c r="H273" s="42" t="s">
        <v>1773</v>
      </c>
      <c r="I273" s="246" t="s">
        <v>1769</v>
      </c>
      <c r="J273" s="247" t="s">
        <v>3050</v>
      </c>
      <c r="K273" s="137" t="s">
        <v>4167</v>
      </c>
      <c r="L273" s="40" t="s">
        <v>4175</v>
      </c>
      <c r="M273" s="242" t="s">
        <v>4162</v>
      </c>
      <c r="N273" s="213"/>
      <c r="O273" s="139" t="s">
        <v>4169</v>
      </c>
      <c r="P273" s="250"/>
    </row>
    <row r="274" spans="1:16">
      <c r="A274" s="244" t="s">
        <v>4019</v>
      </c>
      <c r="B274" s="42" t="s">
        <v>1769</v>
      </c>
      <c r="C274" s="41" t="s">
        <v>3589</v>
      </c>
      <c r="D274" s="41" t="s">
        <v>4176</v>
      </c>
      <c r="E274" s="41" t="s">
        <v>4177</v>
      </c>
      <c r="F274" s="41" t="s">
        <v>3214</v>
      </c>
      <c r="G274" s="215" t="s">
        <v>3182</v>
      </c>
      <c r="H274" s="42" t="s">
        <v>1773</v>
      </c>
      <c r="I274" s="246" t="s">
        <v>1769</v>
      </c>
      <c r="J274" s="247" t="s">
        <v>3050</v>
      </c>
      <c r="K274" s="137" t="s">
        <v>4167</v>
      </c>
      <c r="L274" s="40" t="s">
        <v>4178</v>
      </c>
      <c r="M274" s="242" t="s">
        <v>4162</v>
      </c>
      <c r="N274" s="213"/>
      <c r="O274" s="139" t="s">
        <v>4169</v>
      </c>
      <c r="P274" s="250"/>
    </row>
    <row r="275" spans="1:16">
      <c r="A275" s="244" t="s">
        <v>4019</v>
      </c>
      <c r="B275" s="42" t="s">
        <v>1769</v>
      </c>
      <c r="C275" s="41" t="s">
        <v>3589</v>
      </c>
      <c r="D275" s="41" t="s">
        <v>4179</v>
      </c>
      <c r="E275" s="41" t="s">
        <v>4180</v>
      </c>
      <c r="F275" s="41" t="s">
        <v>3234</v>
      </c>
      <c r="G275" s="215" t="s">
        <v>3182</v>
      </c>
      <c r="H275" s="42" t="s">
        <v>1773</v>
      </c>
      <c r="I275" s="246" t="s">
        <v>1769</v>
      </c>
      <c r="J275" s="247" t="s">
        <v>3050</v>
      </c>
      <c r="K275" s="137" t="s">
        <v>4181</v>
      </c>
      <c r="L275" s="40" t="s">
        <v>4182</v>
      </c>
      <c r="M275" s="242" t="s">
        <v>4162</v>
      </c>
      <c r="N275" s="213"/>
      <c r="O275" s="139" t="s">
        <v>4183</v>
      </c>
      <c r="P275" s="250"/>
    </row>
    <row r="276" spans="1:16">
      <c r="A276" s="244" t="s">
        <v>4019</v>
      </c>
      <c r="B276" s="42" t="s">
        <v>1769</v>
      </c>
      <c r="C276" s="41" t="s">
        <v>3589</v>
      </c>
      <c r="D276" s="41" t="s">
        <v>4184</v>
      </c>
      <c r="E276" s="41" t="s">
        <v>4185</v>
      </c>
      <c r="F276" s="41" t="s">
        <v>3241</v>
      </c>
      <c r="G276" s="215" t="s">
        <v>3242</v>
      </c>
      <c r="H276" s="42" t="s">
        <v>1774</v>
      </c>
      <c r="I276" s="246" t="s">
        <v>1769</v>
      </c>
      <c r="J276" s="247" t="s">
        <v>3050</v>
      </c>
      <c r="K276" s="137" t="s">
        <v>4186</v>
      </c>
      <c r="L276" s="40" t="s">
        <v>4187</v>
      </c>
      <c r="M276" s="242" t="s">
        <v>4162</v>
      </c>
      <c r="N276" s="213"/>
      <c r="O276" s="139" t="s">
        <v>4188</v>
      </c>
      <c r="P276" s="250"/>
    </row>
    <row r="277" spans="1:16">
      <c r="A277" s="244" t="s">
        <v>4019</v>
      </c>
      <c r="B277" s="42" t="s">
        <v>1769</v>
      </c>
      <c r="C277" s="41" t="s">
        <v>3734</v>
      </c>
      <c r="D277" s="41" t="s">
        <v>4264</v>
      </c>
      <c r="E277" s="41" t="s">
        <v>4265</v>
      </c>
      <c r="F277" s="41" t="s">
        <v>3188</v>
      </c>
      <c r="G277" s="215" t="s">
        <v>3189</v>
      </c>
      <c r="H277" s="42" t="s">
        <v>1773</v>
      </c>
      <c r="I277" s="246" t="s">
        <v>1769</v>
      </c>
      <c r="J277" s="247" t="s">
        <v>3050</v>
      </c>
      <c r="K277" s="137" t="s">
        <v>4245</v>
      </c>
      <c r="L277" s="40" t="s">
        <v>4266</v>
      </c>
      <c r="M277" s="242" t="s">
        <v>4162</v>
      </c>
      <c r="N277" s="213"/>
      <c r="O277" s="139" t="s">
        <v>4247</v>
      </c>
      <c r="P277" s="250"/>
    </row>
    <row r="278" spans="1:16">
      <c r="A278" s="244" t="s">
        <v>4019</v>
      </c>
      <c r="B278" s="42" t="s">
        <v>1769</v>
      </c>
      <c r="C278" s="41" t="s">
        <v>3734</v>
      </c>
      <c r="D278" s="41" t="s">
        <v>4338</v>
      </c>
      <c r="E278" s="41" t="s">
        <v>4339</v>
      </c>
      <c r="F278" s="41" t="s">
        <v>3239</v>
      </c>
      <c r="G278" s="215" t="s">
        <v>3240</v>
      </c>
      <c r="H278" s="42" t="s">
        <v>1774</v>
      </c>
      <c r="I278" s="246" t="s">
        <v>1769</v>
      </c>
      <c r="J278" s="247" t="s">
        <v>3050</v>
      </c>
      <c r="K278" s="137" t="s">
        <v>4186</v>
      </c>
      <c r="L278" s="40" t="s">
        <v>4340</v>
      </c>
      <c r="M278" s="242" t="s">
        <v>4162</v>
      </c>
      <c r="N278" s="213"/>
      <c r="O278" s="139" t="s">
        <v>4341</v>
      </c>
      <c r="P278" s="250"/>
    </row>
    <row r="279" spans="1:16">
      <c r="A279" s="244" t="s">
        <v>4019</v>
      </c>
      <c r="B279" s="42" t="s">
        <v>1769</v>
      </c>
      <c r="C279" s="41" t="s">
        <v>3800</v>
      </c>
      <c r="D279" s="41" t="s">
        <v>4219</v>
      </c>
      <c r="E279" s="41" t="s">
        <v>4220</v>
      </c>
      <c r="F279" s="41" t="s">
        <v>3165</v>
      </c>
      <c r="G279" s="215" t="s">
        <v>3166</v>
      </c>
      <c r="H279" s="42" t="s">
        <v>1773</v>
      </c>
      <c r="I279" s="246" t="s">
        <v>1769</v>
      </c>
      <c r="J279" s="247" t="s">
        <v>3050</v>
      </c>
      <c r="K279" s="137" t="s">
        <v>4161</v>
      </c>
      <c r="L279" s="40" t="s">
        <v>4221</v>
      </c>
      <c r="M279" s="242" t="s">
        <v>4162</v>
      </c>
      <c r="N279" s="213"/>
      <c r="O279" s="139" t="s">
        <v>4194</v>
      </c>
      <c r="P279" s="250"/>
    </row>
    <row r="280" spans="1:16">
      <c r="A280" s="244" t="s">
        <v>4019</v>
      </c>
      <c r="B280" s="42" t="s">
        <v>1769</v>
      </c>
      <c r="C280" s="41" t="s">
        <v>3800</v>
      </c>
      <c r="D280" s="41" t="s">
        <v>4285</v>
      </c>
      <c r="E280" s="41" t="s">
        <v>4286</v>
      </c>
      <c r="F280" s="41" t="s">
        <v>3199</v>
      </c>
      <c r="G280" s="215" t="s">
        <v>3200</v>
      </c>
      <c r="H280" s="42" t="s">
        <v>1773</v>
      </c>
      <c r="I280" s="246" t="s">
        <v>1769</v>
      </c>
      <c r="J280" s="247" t="s">
        <v>3050</v>
      </c>
      <c r="K280" s="137" t="s">
        <v>4167</v>
      </c>
      <c r="L280" s="40" t="s">
        <v>4287</v>
      </c>
      <c r="M280" s="242" t="s">
        <v>4162</v>
      </c>
      <c r="N280" s="213"/>
      <c r="O280" s="139" t="s">
        <v>4169</v>
      </c>
      <c r="P280" s="250"/>
    </row>
    <row r="281" spans="1:16">
      <c r="A281" s="244" t="s">
        <v>4019</v>
      </c>
      <c r="B281" s="42" t="s">
        <v>1769</v>
      </c>
      <c r="C281" s="41" t="s">
        <v>3800</v>
      </c>
      <c r="D281" s="41" t="s">
        <v>4312</v>
      </c>
      <c r="E281" s="41" t="s">
        <v>4313</v>
      </c>
      <c r="F281" s="41" t="s">
        <v>3222</v>
      </c>
      <c r="G281" s="215" t="s">
        <v>3223</v>
      </c>
      <c r="H281" s="42" t="s">
        <v>1773</v>
      </c>
      <c r="I281" s="246" t="s">
        <v>1769</v>
      </c>
      <c r="J281" s="247" t="s">
        <v>3050</v>
      </c>
      <c r="K281" s="137" t="s">
        <v>4181</v>
      </c>
      <c r="L281" s="40" t="s">
        <v>4314</v>
      </c>
      <c r="M281" s="242" t="s">
        <v>4162</v>
      </c>
      <c r="N281" s="213"/>
      <c r="O281" s="139" t="s">
        <v>4183</v>
      </c>
      <c r="P281" s="250"/>
    </row>
    <row r="282" spans="1:16">
      <c r="A282" s="244" t="s">
        <v>4019</v>
      </c>
      <c r="B282" s="42" t="s">
        <v>1769</v>
      </c>
      <c r="C282" s="41" t="s">
        <v>3800</v>
      </c>
      <c r="D282" s="41" t="s">
        <v>4322</v>
      </c>
      <c r="E282" s="41" t="s">
        <v>4323</v>
      </c>
      <c r="F282" s="41" t="s">
        <v>3229</v>
      </c>
      <c r="G282" s="215" t="s">
        <v>3230</v>
      </c>
      <c r="H282" s="42" t="s">
        <v>1773</v>
      </c>
      <c r="I282" s="42" t="s">
        <v>1769</v>
      </c>
      <c r="J282" s="247" t="s">
        <v>3050</v>
      </c>
      <c r="K282" s="137" t="s">
        <v>4181</v>
      </c>
      <c r="L282" s="40" t="s">
        <v>4324</v>
      </c>
      <c r="M282" s="242" t="s">
        <v>4162</v>
      </c>
      <c r="N282" s="213"/>
      <c r="O282" s="139" t="s">
        <v>4183</v>
      </c>
      <c r="P282" s="250"/>
    </row>
    <row r="283" spans="1:16">
      <c r="A283" s="244" t="s">
        <v>4019</v>
      </c>
      <c r="B283" s="42" t="s">
        <v>1769</v>
      </c>
      <c r="C283" s="41" t="s">
        <v>3800</v>
      </c>
      <c r="D283" s="41" t="s">
        <v>4328</v>
      </c>
      <c r="E283" s="41" t="s">
        <v>4329</v>
      </c>
      <c r="F283" s="41" t="s">
        <v>3232</v>
      </c>
      <c r="G283" s="215" t="s">
        <v>3233</v>
      </c>
      <c r="H283" s="42" t="s">
        <v>1773</v>
      </c>
      <c r="I283" s="42" t="s">
        <v>1769</v>
      </c>
      <c r="J283" s="247" t="s">
        <v>3050</v>
      </c>
      <c r="K283" s="137" t="s">
        <v>4181</v>
      </c>
      <c r="L283" s="40" t="s">
        <v>4330</v>
      </c>
      <c r="M283" s="242" t="s">
        <v>4162</v>
      </c>
      <c r="N283" s="213"/>
      <c r="O283" s="139" t="s">
        <v>4183</v>
      </c>
      <c r="P283" s="250"/>
    </row>
    <row r="284" spans="1:16">
      <c r="A284" s="244" t="s">
        <v>4019</v>
      </c>
      <c r="B284" s="42" t="s">
        <v>1769</v>
      </c>
      <c r="C284" s="41" t="s">
        <v>3800</v>
      </c>
      <c r="D284" s="41" t="s">
        <v>4342</v>
      </c>
      <c r="E284" s="41" t="s">
        <v>4343</v>
      </c>
      <c r="F284" s="41" t="s">
        <v>3243</v>
      </c>
      <c r="G284" s="215" t="s">
        <v>3244</v>
      </c>
      <c r="H284" s="42" t="s">
        <v>1773</v>
      </c>
      <c r="I284" s="42" t="s">
        <v>1769</v>
      </c>
      <c r="J284" s="247" t="s">
        <v>3050</v>
      </c>
      <c r="K284" s="137" t="s">
        <v>4344</v>
      </c>
      <c r="L284" s="40" t="s">
        <v>4345</v>
      </c>
      <c r="M284" s="242" t="s">
        <v>4162</v>
      </c>
      <c r="N284" s="213"/>
      <c r="O284" s="139" t="s">
        <v>4346</v>
      </c>
      <c r="P284" s="250"/>
    </row>
    <row r="285" spans="1:16">
      <c r="A285" s="245" t="s">
        <v>4019</v>
      </c>
      <c r="B285" s="46" t="s">
        <v>1769</v>
      </c>
      <c r="C285" s="45" t="s">
        <v>3800</v>
      </c>
      <c r="D285" s="45" t="s">
        <v>4347</v>
      </c>
      <c r="E285" s="45" t="s">
        <v>4348</v>
      </c>
      <c r="F285" s="45" t="s">
        <v>3245</v>
      </c>
      <c r="G285" s="216" t="s">
        <v>3246</v>
      </c>
      <c r="H285" s="46" t="s">
        <v>674</v>
      </c>
      <c r="I285" s="46" t="s">
        <v>1769</v>
      </c>
      <c r="J285" s="248" t="s">
        <v>3050</v>
      </c>
      <c r="K285" s="138" t="s">
        <v>4344</v>
      </c>
      <c r="L285" s="44" t="s">
        <v>4349</v>
      </c>
      <c r="M285" s="243" t="s">
        <v>4162</v>
      </c>
      <c r="N285" s="214"/>
      <c r="O285" s="140" t="s">
        <v>4346</v>
      </c>
      <c r="P285" s="251"/>
    </row>
    <row r="286" spans="1:16">
      <c r="A286" s="245" t="s">
        <v>4019</v>
      </c>
      <c r="B286" s="46" t="s">
        <v>1769</v>
      </c>
      <c r="C286" s="45" t="s">
        <v>3800</v>
      </c>
      <c r="D286" s="45" t="s">
        <v>4350</v>
      </c>
      <c r="E286" s="45" t="s">
        <v>4351</v>
      </c>
      <c r="F286" s="45" t="s">
        <v>3247</v>
      </c>
      <c r="G286" s="216" t="s">
        <v>3248</v>
      </c>
      <c r="H286" s="46" t="s">
        <v>1773</v>
      </c>
      <c r="I286" s="46" t="s">
        <v>1769</v>
      </c>
      <c r="J286" s="248" t="s">
        <v>3050</v>
      </c>
      <c r="K286" s="138" t="s">
        <v>4344</v>
      </c>
      <c r="L286" s="44" t="s">
        <v>4352</v>
      </c>
      <c r="M286" s="243" t="s">
        <v>4162</v>
      </c>
      <c r="N286" s="214"/>
      <c r="O286" s="140" t="s">
        <v>4346</v>
      </c>
      <c r="P286" s="251"/>
    </row>
    <row r="287" spans="1:16">
      <c r="A287" s="245" t="s">
        <v>4019</v>
      </c>
      <c r="B287" s="46" t="s">
        <v>1769</v>
      </c>
      <c r="C287" s="45" t="s">
        <v>3662</v>
      </c>
      <c r="D287" s="45" t="s">
        <v>4189</v>
      </c>
      <c r="E287" s="45" t="s">
        <v>4190</v>
      </c>
      <c r="F287" s="45" t="s">
        <v>3226</v>
      </c>
      <c r="G287" s="216" t="s">
        <v>3227</v>
      </c>
      <c r="H287" s="46" t="s">
        <v>1773</v>
      </c>
      <c r="I287" s="46" t="s">
        <v>1769</v>
      </c>
      <c r="J287" s="248" t="s">
        <v>3050</v>
      </c>
      <c r="K287" s="138" t="s">
        <v>4181</v>
      </c>
      <c r="L287" s="44" t="s">
        <v>4191</v>
      </c>
      <c r="M287" s="243" t="s">
        <v>4162</v>
      </c>
      <c r="N287" s="214"/>
      <c r="O287" s="140" t="s">
        <v>4183</v>
      </c>
      <c r="P287" s="251"/>
    </row>
    <row r="288" spans="1:16">
      <c r="A288" s="245" t="s">
        <v>4019</v>
      </c>
      <c r="B288" s="46" t="s">
        <v>1769</v>
      </c>
      <c r="C288" s="45" t="s">
        <v>4248</v>
      </c>
      <c r="D288" s="45" t="s">
        <v>4249</v>
      </c>
      <c r="E288" s="45" t="s">
        <v>4250</v>
      </c>
      <c r="F288" s="45" t="s">
        <v>3181</v>
      </c>
      <c r="G288" s="216" t="s">
        <v>3182</v>
      </c>
      <c r="H288" s="46" t="s">
        <v>1773</v>
      </c>
      <c r="I288" s="46" t="s">
        <v>1769</v>
      </c>
      <c r="J288" s="248" t="s">
        <v>3050</v>
      </c>
      <c r="K288" s="138" t="s">
        <v>4245</v>
      </c>
      <c r="L288" s="44" t="s">
        <v>4251</v>
      </c>
      <c r="M288" s="243" t="s">
        <v>4162</v>
      </c>
      <c r="N288" s="214"/>
      <c r="O288" s="140" t="s">
        <v>4247</v>
      </c>
      <c r="P288" s="251"/>
    </row>
    <row r="289" spans="1:16">
      <c r="A289" s="245" t="s">
        <v>4019</v>
      </c>
      <c r="B289" s="46" t="s">
        <v>1769</v>
      </c>
      <c r="C289" s="45" t="s">
        <v>4248</v>
      </c>
      <c r="D289" s="45" t="s">
        <v>4252</v>
      </c>
      <c r="E289" s="45" t="s">
        <v>4253</v>
      </c>
      <c r="F289" s="45" t="s">
        <v>3183</v>
      </c>
      <c r="G289" s="216" t="s">
        <v>3184</v>
      </c>
      <c r="H289" s="46" t="s">
        <v>1773</v>
      </c>
      <c r="I289" s="46" t="s">
        <v>1769</v>
      </c>
      <c r="J289" s="248" t="s">
        <v>3050</v>
      </c>
      <c r="K289" s="138" t="s">
        <v>4245</v>
      </c>
      <c r="L289" s="44" t="s">
        <v>4254</v>
      </c>
      <c r="M289" s="243" t="s">
        <v>4162</v>
      </c>
      <c r="N289" s="214"/>
      <c r="O289" s="140" t="s">
        <v>4247</v>
      </c>
      <c r="P289" s="251"/>
    </row>
    <row r="290" spans="1:16">
      <c r="A290" s="245" t="s">
        <v>4019</v>
      </c>
      <c r="B290" s="46" t="s">
        <v>1769</v>
      </c>
      <c r="C290" s="45" t="s">
        <v>4248</v>
      </c>
      <c r="D290" s="45" t="s">
        <v>4255</v>
      </c>
      <c r="E290" s="45" t="s">
        <v>4256</v>
      </c>
      <c r="F290" s="45" t="s">
        <v>3185</v>
      </c>
      <c r="G290" s="216" t="s">
        <v>3182</v>
      </c>
      <c r="H290" s="46" t="s">
        <v>1773</v>
      </c>
      <c r="I290" s="46" t="s">
        <v>1769</v>
      </c>
      <c r="J290" s="248" t="s">
        <v>3050</v>
      </c>
      <c r="K290" s="138" t="s">
        <v>4245</v>
      </c>
      <c r="L290" s="44" t="s">
        <v>4257</v>
      </c>
      <c r="M290" s="243" t="s">
        <v>4162</v>
      </c>
      <c r="N290" s="214"/>
      <c r="O290" s="140" t="s">
        <v>4247</v>
      </c>
      <c r="P290" s="251"/>
    </row>
    <row r="291" spans="1:16">
      <c r="A291" s="245" t="s">
        <v>4019</v>
      </c>
      <c r="B291" s="46" t="s">
        <v>1769</v>
      </c>
      <c r="C291" s="45" t="s">
        <v>4248</v>
      </c>
      <c r="D291" s="45" t="s">
        <v>4258</v>
      </c>
      <c r="E291" s="45" t="s">
        <v>4259</v>
      </c>
      <c r="F291" s="45" t="s">
        <v>3186</v>
      </c>
      <c r="G291" s="216" t="s">
        <v>3182</v>
      </c>
      <c r="H291" s="46" t="s">
        <v>1773</v>
      </c>
      <c r="I291" s="46" t="s">
        <v>1769</v>
      </c>
      <c r="J291" s="248" t="s">
        <v>3050</v>
      </c>
      <c r="K291" s="138" t="s">
        <v>4245</v>
      </c>
      <c r="L291" s="44" t="s">
        <v>4260</v>
      </c>
      <c r="M291" s="243" t="s">
        <v>4162</v>
      </c>
      <c r="N291" s="214"/>
      <c r="O291" s="140" t="s">
        <v>4247</v>
      </c>
      <c r="P291" s="251"/>
    </row>
    <row r="292" spans="1:16">
      <c r="A292" s="245" t="s">
        <v>4019</v>
      </c>
      <c r="B292" s="46" t="s">
        <v>1769</v>
      </c>
      <c r="C292" s="45" t="s">
        <v>4248</v>
      </c>
      <c r="D292" s="45" t="s">
        <v>4261</v>
      </c>
      <c r="E292" s="45" t="s">
        <v>4262</v>
      </c>
      <c r="F292" s="45" t="s">
        <v>3187</v>
      </c>
      <c r="G292" s="216" t="s">
        <v>3182</v>
      </c>
      <c r="H292" s="46" t="s">
        <v>1773</v>
      </c>
      <c r="I292" s="46" t="s">
        <v>1769</v>
      </c>
      <c r="J292" s="248" t="s">
        <v>3050</v>
      </c>
      <c r="K292" s="138" t="s">
        <v>4245</v>
      </c>
      <c r="L292" s="44" t="s">
        <v>4263</v>
      </c>
      <c r="M292" s="243" t="s">
        <v>4162</v>
      </c>
      <c r="N292" s="214"/>
      <c r="O292" s="140" t="s">
        <v>4247</v>
      </c>
      <c r="P292" s="251"/>
    </row>
    <row r="293" spans="1:16">
      <c r="A293" s="245" t="s">
        <v>4019</v>
      </c>
      <c r="B293" s="46" t="s">
        <v>1769</v>
      </c>
      <c r="C293" s="45" t="s">
        <v>4248</v>
      </c>
      <c r="D293" s="45" t="s">
        <v>4331</v>
      </c>
      <c r="E293" s="45" t="s">
        <v>4332</v>
      </c>
      <c r="F293" s="45" t="s">
        <v>3235</v>
      </c>
      <c r="G293" s="216" t="s">
        <v>3236</v>
      </c>
      <c r="H293" s="46" t="s">
        <v>1773</v>
      </c>
      <c r="I293" s="46" t="s">
        <v>1769</v>
      </c>
      <c r="J293" s="248" t="s">
        <v>3050</v>
      </c>
      <c r="K293" s="138" t="s">
        <v>4186</v>
      </c>
      <c r="L293" s="44" t="s">
        <v>4333</v>
      </c>
      <c r="M293" s="243" t="s">
        <v>4162</v>
      </c>
      <c r="N293" s="214"/>
      <c r="O293" s="140" t="s">
        <v>4334</v>
      </c>
      <c r="P293" s="251"/>
    </row>
    <row r="294" spans="1:16">
      <c r="A294" s="245" t="s">
        <v>4019</v>
      </c>
      <c r="B294" s="46" t="s">
        <v>1769</v>
      </c>
      <c r="C294" s="45" t="s">
        <v>4248</v>
      </c>
      <c r="D294" s="45" t="s">
        <v>4335</v>
      </c>
      <c r="E294" s="45" t="s">
        <v>4336</v>
      </c>
      <c r="F294" s="45" t="s">
        <v>3237</v>
      </c>
      <c r="G294" s="216" t="s">
        <v>3238</v>
      </c>
      <c r="H294" s="46" t="s">
        <v>1774</v>
      </c>
      <c r="I294" s="46" t="s">
        <v>1769</v>
      </c>
      <c r="J294" s="248" t="s">
        <v>3050</v>
      </c>
      <c r="K294" s="138" t="s">
        <v>4186</v>
      </c>
      <c r="L294" s="44" t="s">
        <v>4337</v>
      </c>
      <c r="M294" s="243" t="s">
        <v>4162</v>
      </c>
      <c r="N294" s="214"/>
      <c r="O294" s="140" t="s">
        <v>4188</v>
      </c>
      <c r="P294" s="251"/>
    </row>
    <row r="295" spans="1:16">
      <c r="A295" s="245" t="s">
        <v>4019</v>
      </c>
      <c r="B295" s="46" t="s">
        <v>1769</v>
      </c>
      <c r="C295" s="45" t="s">
        <v>4248</v>
      </c>
      <c r="D295" s="45" t="s">
        <v>4353</v>
      </c>
      <c r="E295" s="45" t="s">
        <v>4354</v>
      </c>
      <c r="F295" s="45" t="s">
        <v>3249</v>
      </c>
      <c r="G295" s="216" t="s">
        <v>3182</v>
      </c>
      <c r="H295" s="46" t="s">
        <v>1773</v>
      </c>
      <c r="I295" s="46" t="s">
        <v>1769</v>
      </c>
      <c r="J295" s="248" t="s">
        <v>3050</v>
      </c>
      <c r="K295" s="138" t="s">
        <v>4344</v>
      </c>
      <c r="L295" s="44" t="s">
        <v>4355</v>
      </c>
      <c r="M295" s="243" t="s">
        <v>4162</v>
      </c>
      <c r="N295" s="214"/>
      <c r="O295" s="140" t="s">
        <v>4346</v>
      </c>
      <c r="P295" s="251"/>
    </row>
  </sheetData>
  <autoFilter ref="A3:P295" xr:uid="{4F6F187A-C144-EF41-838F-8FD30632C19C}"/>
  <phoneticPr fontId="2"/>
  <conditionalFormatting sqref="P4:P295">
    <cfRule type="expression" dxfId="9" priority="6">
      <formula>$P4&lt;&gt;""</formula>
    </cfRule>
  </conditionalFormatting>
  <conditionalFormatting sqref="I4:I295">
    <cfRule type="expression" dxfId="8" priority="7">
      <formula>$I4="社内ヒアリング（アプリチーム）"</formula>
    </cfRule>
  </conditionalFormatting>
  <conditionalFormatting sqref="I4:I295">
    <cfRule type="expression" dxfId="7" priority="8">
      <formula>$I4="顧客ヒアリング→アプリ確認"</formula>
    </cfRule>
  </conditionalFormatting>
  <conditionalFormatting sqref="I4:I295">
    <cfRule type="expression" dxfId="6" priority="9">
      <formula>$I4="顧客ヒアリング"</formula>
    </cfRule>
  </conditionalFormatting>
  <conditionalFormatting sqref="I4:I295">
    <cfRule type="expression" dxfId="5" priority="10">
      <formula>$I4="資料作成→ヒアリング"</formula>
    </cfRule>
  </conditionalFormatting>
  <conditionalFormatting sqref="A4:H295 J4:O295">
    <cfRule type="expression" dxfId="4" priority="11">
      <formula>$H4="確定"</formula>
    </cfRule>
  </conditionalFormatting>
  <conditionalFormatting sqref="A4:H295 J4:O295">
    <cfRule type="expression" dxfId="3" priority="12">
      <formula>$H4="方向性確定（条件付き）"</formula>
    </cfRule>
  </conditionalFormatting>
  <conditionalFormatting sqref="A4:H295 J4:O295">
    <cfRule type="expression" dxfId="2" priority="13">
      <formula>$H4="検討中"</formula>
    </cfRule>
  </conditionalFormatting>
  <conditionalFormatting sqref="A4:H295 J4:O295">
    <cfRule type="expression" dxfId="1" priority="14">
      <formula>$H4="外部待ち"</formula>
    </cfRule>
  </conditionalFormatting>
  <conditionalFormatting sqref="A4:H295 J4:O295">
    <cfRule type="expression" dxfId="0" priority="15">
      <formula>$H4="対象外"</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5" customWidth="1"/>
    <col min="2" max="2" width="24.28515625" style="65" customWidth="1"/>
    <col min="3" max="3" width="100" style="65" customWidth="1"/>
    <col min="4" max="4" width="18.5703125" style="65" customWidth="1"/>
    <col min="5" max="5" width="40" style="65" customWidth="1"/>
    <col min="6" max="16384" width="10.7109375" style="65"/>
  </cols>
  <sheetData>
    <row r="1" spans="1:5">
      <c r="A1" s="64" t="s">
        <v>480</v>
      </c>
    </row>
    <row r="2" spans="1:5">
      <c r="A2" s="66" t="s">
        <v>1110</v>
      </c>
    </row>
    <row r="4" spans="1:5" ht="22" customHeight="1">
      <c r="A4" s="37" t="s">
        <v>1118</v>
      </c>
      <c r="B4" s="38" t="s">
        <v>1119</v>
      </c>
      <c r="C4" s="38" t="s">
        <v>1120</v>
      </c>
      <c r="D4" s="38" t="s">
        <v>1121</v>
      </c>
      <c r="E4" s="39" t="s">
        <v>1122</v>
      </c>
    </row>
    <row r="5" spans="1:5">
      <c r="A5" s="129" t="s">
        <v>1123</v>
      </c>
      <c r="B5" s="68" t="s">
        <v>1124</v>
      </c>
      <c r="C5" s="68" t="s">
        <v>1125</v>
      </c>
      <c r="D5" s="132" t="s">
        <v>1126</v>
      </c>
      <c r="E5" s="43" t="s">
        <v>1127</v>
      </c>
    </row>
    <row r="6" spans="1:5">
      <c r="A6" s="129" t="s">
        <v>1128</v>
      </c>
      <c r="B6" s="68" t="s">
        <v>1124</v>
      </c>
      <c r="C6" s="68" t="s">
        <v>1129</v>
      </c>
      <c r="D6" s="132" t="s">
        <v>1130</v>
      </c>
      <c r="E6" s="43" t="s">
        <v>1127</v>
      </c>
    </row>
    <row r="7" spans="1:5">
      <c r="A7" s="129" t="s">
        <v>1131</v>
      </c>
      <c r="B7" s="68" t="s">
        <v>1124</v>
      </c>
      <c r="C7" s="68" t="s">
        <v>1132</v>
      </c>
      <c r="D7" s="132" t="s">
        <v>1133</v>
      </c>
      <c r="E7" s="43" t="s">
        <v>1127</v>
      </c>
    </row>
    <row r="8" spans="1:5">
      <c r="A8" s="129" t="s">
        <v>1134</v>
      </c>
      <c r="B8" s="68" t="s">
        <v>1124</v>
      </c>
      <c r="C8" s="68" t="s">
        <v>1135</v>
      </c>
      <c r="D8" s="132" t="s">
        <v>1136</v>
      </c>
      <c r="E8" s="43" t="s">
        <v>1127</v>
      </c>
    </row>
    <row r="9" spans="1:5">
      <c r="A9" s="129" t="s">
        <v>1137</v>
      </c>
      <c r="B9" s="68" t="s">
        <v>1124</v>
      </c>
      <c r="C9" s="68" t="s">
        <v>1138</v>
      </c>
      <c r="D9" s="132" t="s">
        <v>1139</v>
      </c>
      <c r="E9" s="43" t="s">
        <v>1127</v>
      </c>
    </row>
    <row r="10" spans="1:5">
      <c r="A10" s="129" t="s">
        <v>1140</v>
      </c>
      <c r="B10" s="68" t="s">
        <v>1124</v>
      </c>
      <c r="C10" s="68" t="s">
        <v>1141</v>
      </c>
      <c r="D10" s="132" t="s">
        <v>1142</v>
      </c>
      <c r="E10" s="43" t="s">
        <v>1127</v>
      </c>
    </row>
    <row r="11" spans="1:5">
      <c r="A11" s="129" t="s">
        <v>1143</v>
      </c>
      <c r="B11" s="68" t="s">
        <v>1124</v>
      </c>
      <c r="C11" s="68" t="s">
        <v>1144</v>
      </c>
      <c r="D11" s="132" t="s">
        <v>1145</v>
      </c>
      <c r="E11" s="43" t="s">
        <v>1127</v>
      </c>
    </row>
    <row r="12" spans="1:5">
      <c r="A12" s="129" t="s">
        <v>1146</v>
      </c>
      <c r="B12" s="68" t="s">
        <v>1124</v>
      </c>
      <c r="C12" s="68" t="s">
        <v>1147</v>
      </c>
      <c r="D12" s="132" t="s">
        <v>1148</v>
      </c>
      <c r="E12" s="43" t="s">
        <v>1127</v>
      </c>
    </row>
    <row r="13" spans="1:5">
      <c r="A13" s="129" t="s">
        <v>1149</v>
      </c>
      <c r="B13" s="68" t="s">
        <v>1124</v>
      </c>
      <c r="C13" s="68" t="s">
        <v>1150</v>
      </c>
      <c r="D13" s="132" t="s">
        <v>1151</v>
      </c>
      <c r="E13" s="43" t="s">
        <v>1127</v>
      </c>
    </row>
    <row r="14" spans="1:5">
      <c r="A14" s="129" t="s">
        <v>1152</v>
      </c>
      <c r="B14" s="68" t="s">
        <v>1124</v>
      </c>
      <c r="C14" s="68" t="s">
        <v>1153</v>
      </c>
      <c r="D14" s="132" t="s">
        <v>1154</v>
      </c>
      <c r="E14" s="43" t="s">
        <v>1127</v>
      </c>
    </row>
    <row r="15" spans="1:5">
      <c r="A15" s="129" t="s">
        <v>1155</v>
      </c>
      <c r="B15" s="68" t="s">
        <v>1124</v>
      </c>
      <c r="C15" s="68" t="s">
        <v>1156</v>
      </c>
      <c r="D15" s="132" t="s">
        <v>1157</v>
      </c>
      <c r="E15" s="43" t="s">
        <v>1127</v>
      </c>
    </row>
    <row r="16" spans="1:5">
      <c r="A16" s="129" t="s">
        <v>1158</v>
      </c>
      <c r="B16" s="68" t="s">
        <v>1124</v>
      </c>
      <c r="C16" s="68" t="s">
        <v>1159</v>
      </c>
      <c r="D16" s="132" t="s">
        <v>1160</v>
      </c>
      <c r="E16" s="43" t="s">
        <v>1127</v>
      </c>
    </row>
    <row r="17" spans="1:5">
      <c r="A17" s="129" t="s">
        <v>1161</v>
      </c>
      <c r="B17" s="68" t="s">
        <v>1124</v>
      </c>
      <c r="C17" s="68" t="s">
        <v>1162</v>
      </c>
      <c r="D17" s="132" t="s">
        <v>1163</v>
      </c>
      <c r="E17" s="43" t="s">
        <v>1127</v>
      </c>
    </row>
    <row r="18" spans="1:5">
      <c r="A18" s="129" t="s">
        <v>1164</v>
      </c>
      <c r="B18" s="68" t="s">
        <v>1124</v>
      </c>
      <c r="C18" s="68" t="s">
        <v>1165</v>
      </c>
      <c r="D18" s="132" t="s">
        <v>1166</v>
      </c>
      <c r="E18" s="43" t="s">
        <v>1127</v>
      </c>
    </row>
    <row r="19" spans="1:5">
      <c r="A19" s="129" t="s">
        <v>1167</v>
      </c>
      <c r="B19" s="68" t="s">
        <v>1124</v>
      </c>
      <c r="C19" s="68" t="s">
        <v>1168</v>
      </c>
      <c r="D19" s="132" t="s">
        <v>1169</v>
      </c>
      <c r="E19" s="43" t="s">
        <v>1127</v>
      </c>
    </row>
    <row r="20" spans="1:5">
      <c r="A20" s="129" t="s">
        <v>1170</v>
      </c>
      <c r="B20" s="68" t="s">
        <v>1124</v>
      </c>
      <c r="C20" s="68" t="s">
        <v>1171</v>
      </c>
      <c r="D20" s="132" t="s">
        <v>1172</v>
      </c>
      <c r="E20" s="43" t="s">
        <v>1127</v>
      </c>
    </row>
    <row r="21" spans="1:5">
      <c r="A21" s="129" t="s">
        <v>1173</v>
      </c>
      <c r="B21" s="68" t="s">
        <v>1124</v>
      </c>
      <c r="C21" s="68" t="s">
        <v>1174</v>
      </c>
      <c r="D21" s="132" t="s">
        <v>1175</v>
      </c>
      <c r="E21" s="43" t="s">
        <v>1127</v>
      </c>
    </row>
    <row r="22" spans="1:5">
      <c r="A22" s="129" t="s">
        <v>1176</v>
      </c>
      <c r="B22" s="68" t="s">
        <v>1124</v>
      </c>
      <c r="C22" s="68" t="s">
        <v>1177</v>
      </c>
      <c r="D22" s="132" t="s">
        <v>1178</v>
      </c>
      <c r="E22" s="43" t="s">
        <v>1127</v>
      </c>
    </row>
    <row r="23" spans="1:5">
      <c r="A23" s="129" t="s">
        <v>1179</v>
      </c>
      <c r="B23" s="68" t="s">
        <v>1124</v>
      </c>
      <c r="C23" s="68" t="s">
        <v>1180</v>
      </c>
      <c r="D23" s="132" t="s">
        <v>1181</v>
      </c>
      <c r="E23" s="43" t="s">
        <v>1127</v>
      </c>
    </row>
    <row r="24" spans="1:5">
      <c r="A24" s="129" t="s">
        <v>1182</v>
      </c>
      <c r="B24" s="68" t="s">
        <v>1124</v>
      </c>
      <c r="C24" s="68" t="s">
        <v>1183</v>
      </c>
      <c r="D24" s="132" t="s">
        <v>1184</v>
      </c>
      <c r="E24" s="43" t="s">
        <v>1127</v>
      </c>
    </row>
    <row r="25" spans="1:5">
      <c r="A25" s="129" t="s">
        <v>1185</v>
      </c>
      <c r="B25" s="68" t="s">
        <v>1124</v>
      </c>
      <c r="C25" s="68" t="s">
        <v>1186</v>
      </c>
      <c r="D25" s="132" t="s">
        <v>1187</v>
      </c>
      <c r="E25" s="43" t="s">
        <v>1127</v>
      </c>
    </row>
    <row r="26" spans="1:5">
      <c r="A26" s="129" t="s">
        <v>1188</v>
      </c>
      <c r="B26" s="68" t="s">
        <v>1124</v>
      </c>
      <c r="C26" s="68" t="s">
        <v>1189</v>
      </c>
      <c r="D26" s="132" t="s">
        <v>1190</v>
      </c>
      <c r="E26" s="43" t="s">
        <v>1127</v>
      </c>
    </row>
    <row r="27" spans="1:5">
      <c r="A27" s="129" t="s">
        <v>1191</v>
      </c>
      <c r="B27" s="68" t="s">
        <v>1124</v>
      </c>
      <c r="C27" s="68" t="s">
        <v>1192</v>
      </c>
      <c r="D27" s="132" t="s">
        <v>1193</v>
      </c>
      <c r="E27" s="43" t="s">
        <v>1127</v>
      </c>
    </row>
    <row r="28" spans="1:5">
      <c r="A28" s="129" t="s">
        <v>1194</v>
      </c>
      <c r="B28" s="68" t="s">
        <v>1124</v>
      </c>
      <c r="C28" s="68" t="s">
        <v>1195</v>
      </c>
      <c r="D28" s="132" t="s">
        <v>1196</v>
      </c>
      <c r="E28" s="43" t="s">
        <v>1127</v>
      </c>
    </row>
    <row r="29" spans="1:5">
      <c r="A29" s="129" t="s">
        <v>1197</v>
      </c>
      <c r="B29" s="68" t="s">
        <v>1124</v>
      </c>
      <c r="C29" s="68" t="s">
        <v>1198</v>
      </c>
      <c r="D29" s="132" t="s">
        <v>1199</v>
      </c>
      <c r="E29" s="43" t="s">
        <v>1127</v>
      </c>
    </row>
    <row r="30" spans="1:5">
      <c r="A30" s="129" t="s">
        <v>1200</v>
      </c>
      <c r="B30" s="68" t="s">
        <v>1124</v>
      </c>
      <c r="C30" s="68" t="s">
        <v>1201</v>
      </c>
      <c r="D30" s="132" t="s">
        <v>1202</v>
      </c>
      <c r="E30" s="43" t="s">
        <v>1127</v>
      </c>
    </row>
    <row r="31" spans="1:5">
      <c r="A31" s="129" t="s">
        <v>1203</v>
      </c>
      <c r="B31" s="68" t="s">
        <v>1124</v>
      </c>
      <c r="C31" s="68" t="s">
        <v>1204</v>
      </c>
      <c r="D31" s="132" t="s">
        <v>1205</v>
      </c>
      <c r="E31" s="43" t="s">
        <v>1127</v>
      </c>
    </row>
    <row r="32" spans="1:5">
      <c r="A32" s="129" t="s">
        <v>1206</v>
      </c>
      <c r="B32" s="68" t="s">
        <v>1124</v>
      </c>
      <c r="C32" s="68" t="s">
        <v>1207</v>
      </c>
      <c r="D32" s="132" t="s">
        <v>1208</v>
      </c>
      <c r="E32" s="43" t="s">
        <v>1127</v>
      </c>
    </row>
    <row r="33" spans="1:5">
      <c r="A33" s="129" t="s">
        <v>1209</v>
      </c>
      <c r="B33" s="68" t="s">
        <v>1124</v>
      </c>
      <c r="C33" s="68" t="s">
        <v>1210</v>
      </c>
      <c r="D33" s="132" t="s">
        <v>1211</v>
      </c>
      <c r="E33" s="43" t="s">
        <v>1127</v>
      </c>
    </row>
    <row r="34" spans="1:5">
      <c r="A34" s="129" t="s">
        <v>1212</v>
      </c>
      <c r="B34" s="68" t="s">
        <v>1124</v>
      </c>
      <c r="C34" s="68" t="s">
        <v>1213</v>
      </c>
      <c r="D34" s="132" t="s">
        <v>1214</v>
      </c>
      <c r="E34" s="43" t="s">
        <v>1127</v>
      </c>
    </row>
    <row r="35" spans="1:5">
      <c r="A35" s="129" t="s">
        <v>1215</v>
      </c>
      <c r="B35" s="68" t="s">
        <v>1124</v>
      </c>
      <c r="C35" s="68" t="s">
        <v>1216</v>
      </c>
      <c r="D35" s="132" t="s">
        <v>1217</v>
      </c>
      <c r="E35" s="43" t="s">
        <v>1127</v>
      </c>
    </row>
    <row r="36" spans="1:5">
      <c r="A36" s="129" t="s">
        <v>1218</v>
      </c>
      <c r="B36" s="68" t="s">
        <v>1124</v>
      </c>
      <c r="C36" s="68" t="s">
        <v>1219</v>
      </c>
      <c r="D36" s="132" t="s">
        <v>1220</v>
      </c>
      <c r="E36" s="43" t="s">
        <v>1127</v>
      </c>
    </row>
    <row r="37" spans="1:5">
      <c r="A37" s="129" t="s">
        <v>1221</v>
      </c>
      <c r="B37" s="68" t="s">
        <v>1124</v>
      </c>
      <c r="C37" s="68" t="s">
        <v>1222</v>
      </c>
      <c r="D37" s="132" t="s">
        <v>1223</v>
      </c>
      <c r="E37" s="43" t="s">
        <v>1127</v>
      </c>
    </row>
    <row r="38" spans="1:5">
      <c r="A38" s="129" t="s">
        <v>1224</v>
      </c>
      <c r="B38" s="68" t="s">
        <v>1124</v>
      </c>
      <c r="C38" s="68" t="s">
        <v>1225</v>
      </c>
      <c r="D38" s="132" t="s">
        <v>1226</v>
      </c>
      <c r="E38" s="43" t="s">
        <v>1127</v>
      </c>
    </row>
    <row r="39" spans="1:5">
      <c r="A39" s="129" t="s">
        <v>1227</v>
      </c>
      <c r="B39" s="68" t="s">
        <v>1124</v>
      </c>
      <c r="C39" s="68" t="s">
        <v>1228</v>
      </c>
      <c r="D39" s="132" t="s">
        <v>1229</v>
      </c>
      <c r="E39" s="43" t="s">
        <v>1127</v>
      </c>
    </row>
    <row r="40" spans="1:5">
      <c r="A40" s="129" t="s">
        <v>1230</v>
      </c>
      <c r="B40" s="68" t="s">
        <v>1124</v>
      </c>
      <c r="C40" s="68" t="s">
        <v>1231</v>
      </c>
      <c r="D40" s="132" t="s">
        <v>1232</v>
      </c>
      <c r="E40" s="43" t="s">
        <v>1127</v>
      </c>
    </row>
    <row r="41" spans="1:5">
      <c r="A41" s="129" t="s">
        <v>1233</v>
      </c>
      <c r="B41" s="68" t="s">
        <v>1124</v>
      </c>
      <c r="C41" s="68" t="s">
        <v>1234</v>
      </c>
      <c r="D41" s="132" t="s">
        <v>1235</v>
      </c>
      <c r="E41" s="43" t="s">
        <v>1127</v>
      </c>
    </row>
    <row r="42" spans="1:5">
      <c r="A42" s="129" t="s">
        <v>1236</v>
      </c>
      <c r="B42" s="68" t="s">
        <v>1237</v>
      </c>
      <c r="C42" s="68" t="s">
        <v>1238</v>
      </c>
      <c r="D42" s="132" t="s">
        <v>1239</v>
      </c>
      <c r="E42" s="43" t="s">
        <v>1240</v>
      </c>
    </row>
    <row r="43" spans="1:5">
      <c r="A43" s="129" t="s">
        <v>1241</v>
      </c>
      <c r="B43" s="68" t="s">
        <v>1237</v>
      </c>
      <c r="C43" s="68" t="s">
        <v>1242</v>
      </c>
      <c r="D43" s="132" t="s">
        <v>1243</v>
      </c>
      <c r="E43" s="43" t="s">
        <v>1240</v>
      </c>
    </row>
    <row r="44" spans="1:5">
      <c r="A44" s="129" t="s">
        <v>1244</v>
      </c>
      <c r="B44" s="68" t="s">
        <v>1237</v>
      </c>
      <c r="C44" s="68" t="s">
        <v>1245</v>
      </c>
      <c r="D44" s="132" t="s">
        <v>1246</v>
      </c>
      <c r="E44" s="43" t="s">
        <v>1240</v>
      </c>
    </row>
    <row r="45" spans="1:5">
      <c r="A45" s="129" t="s">
        <v>1247</v>
      </c>
      <c r="B45" s="68" t="s">
        <v>1237</v>
      </c>
      <c r="C45" s="68" t="s">
        <v>1248</v>
      </c>
      <c r="D45" s="132" t="s">
        <v>1249</v>
      </c>
      <c r="E45" s="43" t="s">
        <v>1250</v>
      </c>
    </row>
    <row r="46" spans="1:5">
      <c r="A46" s="129" t="s">
        <v>1251</v>
      </c>
      <c r="B46" s="68" t="s">
        <v>1237</v>
      </c>
      <c r="C46" s="68" t="s">
        <v>1252</v>
      </c>
      <c r="D46" s="132" t="s">
        <v>1253</v>
      </c>
      <c r="E46" s="43" t="s">
        <v>1250</v>
      </c>
    </row>
    <row r="47" spans="1:5">
      <c r="A47" s="129" t="s">
        <v>1254</v>
      </c>
      <c r="B47" s="68" t="s">
        <v>1237</v>
      </c>
      <c r="C47" s="68" t="s">
        <v>1255</v>
      </c>
      <c r="D47" s="132" t="s">
        <v>1256</v>
      </c>
      <c r="E47" s="43" t="s">
        <v>1250</v>
      </c>
    </row>
    <row r="48" spans="1:5">
      <c r="A48" s="129" t="s">
        <v>1257</v>
      </c>
      <c r="B48" s="68" t="s">
        <v>1237</v>
      </c>
      <c r="C48" s="68" t="s">
        <v>1258</v>
      </c>
      <c r="D48" s="132" t="s">
        <v>1259</v>
      </c>
      <c r="E48" s="43" t="s">
        <v>1260</v>
      </c>
    </row>
    <row r="49" spans="1:5">
      <c r="A49" s="129" t="s">
        <v>1261</v>
      </c>
      <c r="B49" s="68" t="s">
        <v>1237</v>
      </c>
      <c r="C49" s="68" t="s">
        <v>1262</v>
      </c>
      <c r="D49" s="132" t="s">
        <v>1263</v>
      </c>
      <c r="E49" s="43" t="s">
        <v>1260</v>
      </c>
    </row>
    <row r="50" spans="1:5">
      <c r="A50" s="129" t="s">
        <v>1264</v>
      </c>
      <c r="B50" s="68" t="s">
        <v>1237</v>
      </c>
      <c r="C50" s="68" t="s">
        <v>1265</v>
      </c>
      <c r="D50" s="132" t="s">
        <v>1266</v>
      </c>
      <c r="E50" s="43" t="s">
        <v>1267</v>
      </c>
    </row>
    <row r="51" spans="1:5">
      <c r="A51" s="129" t="s">
        <v>1268</v>
      </c>
      <c r="B51" s="68" t="s">
        <v>1237</v>
      </c>
      <c r="C51" s="68" t="s">
        <v>1269</v>
      </c>
      <c r="D51" s="132" t="s">
        <v>1270</v>
      </c>
      <c r="E51" s="43" t="s">
        <v>1267</v>
      </c>
    </row>
    <row r="52" spans="1:5">
      <c r="A52" s="129" t="s">
        <v>1271</v>
      </c>
      <c r="B52" s="68" t="s">
        <v>1237</v>
      </c>
      <c r="C52" s="68" t="s">
        <v>1272</v>
      </c>
      <c r="D52" s="132" t="s">
        <v>1273</v>
      </c>
      <c r="E52" s="43" t="s">
        <v>1274</v>
      </c>
    </row>
    <row r="53" spans="1:5">
      <c r="A53" s="129" t="s">
        <v>1275</v>
      </c>
      <c r="B53" s="68" t="s">
        <v>1237</v>
      </c>
      <c r="C53" s="68" t="s">
        <v>1276</v>
      </c>
      <c r="D53" s="132" t="s">
        <v>1277</v>
      </c>
      <c r="E53" s="43" t="s">
        <v>1267</v>
      </c>
    </row>
    <row r="54" spans="1:5">
      <c r="A54" s="129" t="s">
        <v>1278</v>
      </c>
      <c r="B54" s="68" t="s">
        <v>1237</v>
      </c>
      <c r="C54" s="68" t="s">
        <v>1279</v>
      </c>
      <c r="D54" s="132" t="s">
        <v>1280</v>
      </c>
      <c r="E54" s="43" t="s">
        <v>1281</v>
      </c>
    </row>
    <row r="55" spans="1:5">
      <c r="A55" s="129" t="s">
        <v>1282</v>
      </c>
      <c r="B55" s="68" t="s">
        <v>1237</v>
      </c>
      <c r="C55" s="68" t="s">
        <v>1283</v>
      </c>
      <c r="D55" s="132" t="s">
        <v>1284</v>
      </c>
      <c r="E55" s="43" t="s">
        <v>1285</v>
      </c>
    </row>
    <row r="56" spans="1:5">
      <c r="A56" s="129" t="s">
        <v>1286</v>
      </c>
      <c r="B56" s="68" t="s">
        <v>1237</v>
      </c>
      <c r="C56" s="68" t="s">
        <v>1287</v>
      </c>
      <c r="D56" s="132" t="s">
        <v>1288</v>
      </c>
      <c r="E56" s="43" t="s">
        <v>1285</v>
      </c>
    </row>
    <row r="57" spans="1:5">
      <c r="A57" s="129" t="s">
        <v>1289</v>
      </c>
      <c r="B57" s="68" t="s">
        <v>1237</v>
      </c>
      <c r="C57" s="68" t="s">
        <v>1290</v>
      </c>
      <c r="D57" s="132" t="s">
        <v>1291</v>
      </c>
      <c r="E57" s="43" t="s">
        <v>1285</v>
      </c>
    </row>
    <row r="58" spans="1:5">
      <c r="A58" s="129" t="s">
        <v>1292</v>
      </c>
      <c r="B58" s="68" t="s">
        <v>1237</v>
      </c>
      <c r="C58" s="68" t="s">
        <v>1293</v>
      </c>
      <c r="D58" s="132" t="s">
        <v>1294</v>
      </c>
      <c r="E58" s="43" t="s">
        <v>1285</v>
      </c>
    </row>
    <row r="59" spans="1:5">
      <c r="A59" s="129" t="s">
        <v>1295</v>
      </c>
      <c r="B59" s="68" t="s">
        <v>1296</v>
      </c>
      <c r="C59" s="68" t="s">
        <v>1297</v>
      </c>
      <c r="D59" s="132" t="s">
        <v>1298</v>
      </c>
      <c r="E59" s="43" t="s">
        <v>1299</v>
      </c>
    </row>
    <row r="60" spans="1:5">
      <c r="A60" s="129" t="s">
        <v>1300</v>
      </c>
      <c r="B60" s="68" t="s">
        <v>1296</v>
      </c>
      <c r="C60" s="68" t="s">
        <v>1301</v>
      </c>
      <c r="D60" s="132" t="s">
        <v>1302</v>
      </c>
      <c r="E60" s="43" t="s">
        <v>1299</v>
      </c>
    </row>
    <row r="61" spans="1:5">
      <c r="A61" s="129" t="s">
        <v>1303</v>
      </c>
      <c r="B61" s="68" t="s">
        <v>1296</v>
      </c>
      <c r="C61" s="68" t="s">
        <v>1304</v>
      </c>
      <c r="D61" s="132" t="s">
        <v>1305</v>
      </c>
      <c r="E61" s="43" t="s">
        <v>1299</v>
      </c>
    </row>
    <row r="62" spans="1:5">
      <c r="A62" s="129" t="s">
        <v>1306</v>
      </c>
      <c r="B62" s="68" t="s">
        <v>1296</v>
      </c>
      <c r="C62" s="68" t="s">
        <v>1307</v>
      </c>
      <c r="D62" s="132" t="s">
        <v>1308</v>
      </c>
      <c r="E62" s="43" t="s">
        <v>1299</v>
      </c>
    </row>
    <row r="63" spans="1:5">
      <c r="A63" s="129" t="s">
        <v>1309</v>
      </c>
      <c r="B63" s="68" t="s">
        <v>1296</v>
      </c>
      <c r="C63" s="68" t="s">
        <v>1310</v>
      </c>
      <c r="D63" s="132" t="s">
        <v>1311</v>
      </c>
      <c r="E63" s="43" t="s">
        <v>1299</v>
      </c>
    </row>
    <row r="64" spans="1:5">
      <c r="A64" s="129" t="s">
        <v>1312</v>
      </c>
      <c r="B64" s="68" t="s">
        <v>1296</v>
      </c>
      <c r="C64" s="68" t="s">
        <v>1313</v>
      </c>
      <c r="D64" s="132" t="s">
        <v>1314</v>
      </c>
      <c r="E64" s="43" t="s">
        <v>1299</v>
      </c>
    </row>
    <row r="65" spans="1:5">
      <c r="A65" s="129" t="s">
        <v>1315</v>
      </c>
      <c r="B65" s="68" t="s">
        <v>1296</v>
      </c>
      <c r="C65" s="68" t="s">
        <v>1316</v>
      </c>
      <c r="D65" s="132" t="s">
        <v>1317</v>
      </c>
      <c r="E65" s="43" t="s">
        <v>1299</v>
      </c>
    </row>
    <row r="66" spans="1:5">
      <c r="A66" s="129" t="s">
        <v>1318</v>
      </c>
      <c r="B66" s="68" t="s">
        <v>1296</v>
      </c>
      <c r="C66" s="68" t="s">
        <v>1319</v>
      </c>
      <c r="D66" s="132" t="s">
        <v>1320</v>
      </c>
      <c r="E66" s="43" t="s">
        <v>1299</v>
      </c>
    </row>
    <row r="67" spans="1:5">
      <c r="A67" s="129" t="s">
        <v>1321</v>
      </c>
      <c r="B67" s="68" t="s">
        <v>1296</v>
      </c>
      <c r="C67" s="68" t="s">
        <v>1322</v>
      </c>
      <c r="D67" s="132" t="s">
        <v>1323</v>
      </c>
      <c r="E67" s="43" t="s">
        <v>1299</v>
      </c>
    </row>
    <row r="68" spans="1:5">
      <c r="A68" s="129" t="s">
        <v>1324</v>
      </c>
      <c r="B68" s="68" t="s">
        <v>1296</v>
      </c>
      <c r="C68" s="68" t="s">
        <v>1325</v>
      </c>
      <c r="D68" s="132" t="s">
        <v>1326</v>
      </c>
      <c r="E68" s="43" t="s">
        <v>1299</v>
      </c>
    </row>
    <row r="69" spans="1:5">
      <c r="A69" s="129" t="s">
        <v>1327</v>
      </c>
      <c r="B69" s="68" t="s">
        <v>1296</v>
      </c>
      <c r="C69" s="68" t="s">
        <v>1328</v>
      </c>
      <c r="D69" s="132" t="s">
        <v>1329</v>
      </c>
      <c r="E69" s="43" t="s">
        <v>1299</v>
      </c>
    </row>
    <row r="70" spans="1:5">
      <c r="A70" s="129" t="s">
        <v>1330</v>
      </c>
      <c r="B70" s="68" t="s">
        <v>1296</v>
      </c>
      <c r="C70" s="68" t="s">
        <v>1331</v>
      </c>
      <c r="D70" s="132" t="s">
        <v>1332</v>
      </c>
      <c r="E70" s="43" t="s">
        <v>1299</v>
      </c>
    </row>
    <row r="71" spans="1:5">
      <c r="A71" s="129" t="s">
        <v>1333</v>
      </c>
      <c r="B71" s="68" t="s">
        <v>1296</v>
      </c>
      <c r="C71" s="68" t="s">
        <v>1334</v>
      </c>
      <c r="D71" s="132" t="s">
        <v>1335</v>
      </c>
      <c r="E71" s="43" t="s">
        <v>1299</v>
      </c>
    </row>
    <row r="72" spans="1:5">
      <c r="A72" s="129" t="s">
        <v>1336</v>
      </c>
      <c r="B72" s="68" t="s">
        <v>1296</v>
      </c>
      <c r="C72" s="68" t="s">
        <v>1337</v>
      </c>
      <c r="D72" s="132" t="s">
        <v>1338</v>
      </c>
      <c r="E72" s="43" t="s">
        <v>1299</v>
      </c>
    </row>
    <row r="73" spans="1:5">
      <c r="A73" s="129" t="s">
        <v>1339</v>
      </c>
      <c r="B73" s="68" t="s">
        <v>1296</v>
      </c>
      <c r="C73" s="68" t="s">
        <v>1340</v>
      </c>
      <c r="D73" s="132" t="s">
        <v>1341</v>
      </c>
      <c r="E73" s="43" t="s">
        <v>1299</v>
      </c>
    </row>
    <row r="74" spans="1:5">
      <c r="A74" s="129" t="s">
        <v>1342</v>
      </c>
      <c r="B74" s="68" t="s">
        <v>1296</v>
      </c>
      <c r="C74" s="68" t="s">
        <v>1343</v>
      </c>
      <c r="D74" s="132" t="s">
        <v>1344</v>
      </c>
      <c r="E74" s="43" t="s">
        <v>1299</v>
      </c>
    </row>
    <row r="75" spans="1:5">
      <c r="A75" s="129" t="s">
        <v>1345</v>
      </c>
      <c r="B75" s="68" t="s">
        <v>1296</v>
      </c>
      <c r="C75" s="68" t="s">
        <v>1346</v>
      </c>
      <c r="D75" s="132" t="s">
        <v>1347</v>
      </c>
      <c r="E75" s="43" t="s">
        <v>1299</v>
      </c>
    </row>
    <row r="76" spans="1:5">
      <c r="A76" s="129" t="s">
        <v>1348</v>
      </c>
      <c r="B76" s="68" t="s">
        <v>1296</v>
      </c>
      <c r="C76" s="68" t="s">
        <v>1349</v>
      </c>
      <c r="D76" s="132" t="s">
        <v>1350</v>
      </c>
      <c r="E76" s="43" t="s">
        <v>1299</v>
      </c>
    </row>
    <row r="77" spans="1:5">
      <c r="A77" s="129" t="s">
        <v>1351</v>
      </c>
      <c r="B77" s="68" t="s">
        <v>1296</v>
      </c>
      <c r="C77" s="68" t="s">
        <v>1352</v>
      </c>
      <c r="D77" s="132" t="s">
        <v>1353</v>
      </c>
      <c r="E77" s="43" t="s">
        <v>1299</v>
      </c>
    </row>
    <row r="78" spans="1:5">
      <c r="A78" s="129" t="s">
        <v>1354</v>
      </c>
      <c r="B78" s="68" t="s">
        <v>1296</v>
      </c>
      <c r="C78" s="68" t="s">
        <v>1355</v>
      </c>
      <c r="D78" s="132" t="s">
        <v>1356</v>
      </c>
      <c r="E78" s="43" t="s">
        <v>1299</v>
      </c>
    </row>
    <row r="79" spans="1:5">
      <c r="A79" s="129" t="s">
        <v>1026</v>
      </c>
      <c r="B79" s="68" t="s">
        <v>1296</v>
      </c>
      <c r="C79" s="68" t="s">
        <v>1027</v>
      </c>
      <c r="D79" s="132" t="s">
        <v>1357</v>
      </c>
      <c r="E79" s="43" t="s">
        <v>1299</v>
      </c>
    </row>
    <row r="80" spans="1:5">
      <c r="A80" s="129" t="s">
        <v>1358</v>
      </c>
      <c r="B80" s="68" t="s">
        <v>1296</v>
      </c>
      <c r="C80" s="68" t="s">
        <v>1359</v>
      </c>
      <c r="D80" s="132" t="s">
        <v>1360</v>
      </c>
      <c r="E80" s="43" t="s">
        <v>1299</v>
      </c>
    </row>
    <row r="81" spans="1:5">
      <c r="A81" s="129" t="s">
        <v>1361</v>
      </c>
      <c r="B81" s="68" t="s">
        <v>1296</v>
      </c>
      <c r="C81" s="68" t="s">
        <v>1362</v>
      </c>
      <c r="D81" s="132" t="s">
        <v>1363</v>
      </c>
      <c r="E81" s="43" t="s">
        <v>1299</v>
      </c>
    </row>
    <row r="82" spans="1:5">
      <c r="A82" s="129" t="s">
        <v>1364</v>
      </c>
      <c r="B82" s="68" t="s">
        <v>1296</v>
      </c>
      <c r="C82" s="68" t="s">
        <v>1365</v>
      </c>
      <c r="D82" s="132" t="s">
        <v>1366</v>
      </c>
      <c r="E82" s="43" t="s">
        <v>1299</v>
      </c>
    </row>
    <row r="83" spans="1:5">
      <c r="A83" s="129" t="s">
        <v>1367</v>
      </c>
      <c r="B83" s="68" t="s">
        <v>1296</v>
      </c>
      <c r="C83" s="68" t="s">
        <v>1368</v>
      </c>
      <c r="D83" s="132" t="s">
        <v>1369</v>
      </c>
      <c r="E83" s="43" t="s">
        <v>1299</v>
      </c>
    </row>
    <row r="84" spans="1:5">
      <c r="A84" s="130" t="s">
        <v>1370</v>
      </c>
      <c r="B84" s="72" t="s">
        <v>1296</v>
      </c>
      <c r="C84" s="72" t="s">
        <v>1371</v>
      </c>
      <c r="D84" s="133" t="s">
        <v>1372</v>
      </c>
      <c r="E84" s="47" t="s">
        <v>1299</v>
      </c>
    </row>
    <row r="85" spans="1:5">
      <c r="A85" s="131" t="s">
        <v>1373</v>
      </c>
      <c r="B85" s="65" t="s">
        <v>1374</v>
      </c>
      <c r="C85" s="65" t="s">
        <v>1375</v>
      </c>
      <c r="D85" s="134" t="s">
        <v>1376</v>
      </c>
      <c r="E85" s="135" t="s">
        <v>1377</v>
      </c>
    </row>
    <row r="86" spans="1:5">
      <c r="A86" s="131" t="s">
        <v>1378</v>
      </c>
      <c r="B86" s="65" t="s">
        <v>1374</v>
      </c>
      <c r="C86" s="65" t="s">
        <v>1379</v>
      </c>
      <c r="D86" s="134" t="s">
        <v>1380</v>
      </c>
      <c r="E86" s="135" t="s">
        <v>1381</v>
      </c>
    </row>
    <row r="87" spans="1:5">
      <c r="A87" s="131" t="s">
        <v>1382</v>
      </c>
      <c r="B87" s="65" t="s">
        <v>1374</v>
      </c>
      <c r="C87" s="65" t="s">
        <v>1383</v>
      </c>
      <c r="D87" s="134" t="s">
        <v>663</v>
      </c>
      <c r="E87" s="135" t="s">
        <v>1384</v>
      </c>
    </row>
    <row r="88" spans="1:5">
      <c r="A88" s="131" t="s">
        <v>1385</v>
      </c>
      <c r="B88" s="65" t="s">
        <v>1374</v>
      </c>
      <c r="C88" s="65" t="s">
        <v>1386</v>
      </c>
      <c r="D88" s="134" t="s">
        <v>673</v>
      </c>
      <c r="E88" s="135" t="s">
        <v>1387</v>
      </c>
    </row>
    <row r="89" spans="1:5">
      <c r="A89" s="131" t="s">
        <v>1388</v>
      </c>
      <c r="B89" s="65" t="s">
        <v>1374</v>
      </c>
      <c r="C89" s="65" t="s">
        <v>1389</v>
      </c>
      <c r="D89" s="134" t="s">
        <v>1390</v>
      </c>
      <c r="E89" s="135" t="s">
        <v>1391</v>
      </c>
    </row>
    <row r="90" spans="1:5">
      <c r="A90" s="131" t="s">
        <v>1392</v>
      </c>
      <c r="B90" s="65" t="s">
        <v>1374</v>
      </c>
      <c r="C90" s="65" t="s">
        <v>1393</v>
      </c>
      <c r="D90" s="134" t="s">
        <v>657</v>
      </c>
      <c r="E90" s="135" t="s">
        <v>1394</v>
      </c>
    </row>
    <row r="91" spans="1:5">
      <c r="A91" s="131" t="s">
        <v>1395</v>
      </c>
      <c r="B91" s="65" t="s">
        <v>1374</v>
      </c>
      <c r="C91" s="65" t="s">
        <v>1396</v>
      </c>
      <c r="D91" s="134" t="s">
        <v>1397</v>
      </c>
      <c r="E91" s="135" t="s">
        <v>1398</v>
      </c>
    </row>
    <row r="92" spans="1:5">
      <c r="A92" s="131" t="s">
        <v>1399</v>
      </c>
      <c r="B92" s="65" t="s">
        <v>1374</v>
      </c>
      <c r="C92" s="65" t="s">
        <v>1400</v>
      </c>
      <c r="D92" s="134" t="s">
        <v>1401</v>
      </c>
      <c r="E92" s="135" t="s">
        <v>1402</v>
      </c>
    </row>
    <row r="93" spans="1:5">
      <c r="A93" s="131" t="s">
        <v>1403</v>
      </c>
      <c r="B93" s="65" t="s">
        <v>1374</v>
      </c>
      <c r="C93" s="65" t="s">
        <v>1404</v>
      </c>
      <c r="D93" s="134" t="s">
        <v>1405</v>
      </c>
      <c r="E93" s="135" t="s">
        <v>1406</v>
      </c>
    </row>
    <row r="94" spans="1:5">
      <c r="A94" s="131" t="s">
        <v>1407</v>
      </c>
      <c r="B94" s="65" t="s">
        <v>1374</v>
      </c>
      <c r="C94" s="65" t="s">
        <v>1408</v>
      </c>
      <c r="D94" s="134" t="s">
        <v>1409</v>
      </c>
      <c r="E94" s="135" t="s">
        <v>1410</v>
      </c>
    </row>
    <row r="95" spans="1:5">
      <c r="A95" s="131" t="s">
        <v>1411</v>
      </c>
      <c r="B95" s="65" t="s">
        <v>1374</v>
      </c>
      <c r="C95" s="65" t="s">
        <v>1412</v>
      </c>
      <c r="D95" s="134" t="s">
        <v>683</v>
      </c>
      <c r="E95" s="135" t="s">
        <v>1413</v>
      </c>
    </row>
    <row r="96" spans="1:5">
      <c r="A96" s="131" t="s">
        <v>1414</v>
      </c>
      <c r="B96" s="65" t="s">
        <v>1374</v>
      </c>
      <c r="C96" s="65" t="s">
        <v>1415</v>
      </c>
      <c r="D96" s="134" t="s">
        <v>681</v>
      </c>
      <c r="E96" s="135" t="s">
        <v>1416</v>
      </c>
    </row>
    <row r="97" spans="1:5">
      <c r="A97" s="131" t="s">
        <v>1417</v>
      </c>
      <c r="B97" s="65" t="s">
        <v>1418</v>
      </c>
      <c r="C97" s="65" t="s">
        <v>1419</v>
      </c>
      <c r="D97" s="134" t="s">
        <v>1420</v>
      </c>
      <c r="E97" s="135" t="s">
        <v>1421</v>
      </c>
    </row>
    <row r="98" spans="1:5">
      <c r="A98" s="131" t="s">
        <v>1422</v>
      </c>
      <c r="B98" s="65" t="s">
        <v>1418</v>
      </c>
      <c r="C98" s="65" t="s">
        <v>1423</v>
      </c>
      <c r="D98" s="134" t="s">
        <v>1424</v>
      </c>
      <c r="E98" s="135" t="s">
        <v>1425</v>
      </c>
    </row>
    <row r="99" spans="1:5">
      <c r="A99" s="131" t="s">
        <v>1426</v>
      </c>
      <c r="B99" s="65" t="s">
        <v>1418</v>
      </c>
      <c r="C99" s="65" t="s">
        <v>1427</v>
      </c>
      <c r="D99" s="134" t="s">
        <v>1428</v>
      </c>
      <c r="E99" s="135" t="s">
        <v>1429</v>
      </c>
    </row>
    <row r="100" spans="1:5">
      <c r="A100" s="131" t="s">
        <v>1430</v>
      </c>
      <c r="B100" s="65" t="s">
        <v>1418</v>
      </c>
      <c r="C100" s="65" t="s">
        <v>1431</v>
      </c>
      <c r="D100" s="134" t="s">
        <v>1432</v>
      </c>
      <c r="E100" s="135" t="s">
        <v>1433</v>
      </c>
    </row>
    <row r="101" spans="1:5">
      <c r="A101" s="131" t="s">
        <v>1434</v>
      </c>
      <c r="B101" s="65" t="s">
        <v>1418</v>
      </c>
      <c r="C101" s="65" t="s">
        <v>1435</v>
      </c>
      <c r="D101" s="134" t="s">
        <v>718</v>
      </c>
      <c r="E101" s="135" t="s">
        <v>1436</v>
      </c>
    </row>
    <row r="102" spans="1:5">
      <c r="A102" s="131" t="s">
        <v>1437</v>
      </c>
      <c r="B102" s="65" t="s">
        <v>1418</v>
      </c>
      <c r="C102" s="65" t="s">
        <v>1438</v>
      </c>
      <c r="D102" s="134" t="s">
        <v>1439</v>
      </c>
      <c r="E102" s="135" t="s">
        <v>1440</v>
      </c>
    </row>
    <row r="103" spans="1:5">
      <c r="A103" s="131" t="s">
        <v>1441</v>
      </c>
      <c r="B103" s="65" t="s">
        <v>1418</v>
      </c>
      <c r="C103" s="65" t="s">
        <v>1442</v>
      </c>
      <c r="D103" s="134" t="s">
        <v>1443</v>
      </c>
      <c r="E103" s="135" t="s">
        <v>1444</v>
      </c>
    </row>
    <row r="104" spans="1:5">
      <c r="A104" s="131" t="s">
        <v>1445</v>
      </c>
      <c r="B104" s="65" t="s">
        <v>1418</v>
      </c>
      <c r="C104" s="65" t="s">
        <v>1446</v>
      </c>
      <c r="D104" s="134" t="s">
        <v>1447</v>
      </c>
      <c r="E104" s="135" t="s">
        <v>1448</v>
      </c>
    </row>
    <row r="105" spans="1:5">
      <c r="A105" s="131" t="s">
        <v>1449</v>
      </c>
      <c r="B105" s="65" t="s">
        <v>1418</v>
      </c>
      <c r="C105" s="65" t="s">
        <v>1450</v>
      </c>
      <c r="D105" s="134" t="s">
        <v>1451</v>
      </c>
      <c r="E105" s="135" t="s">
        <v>1452</v>
      </c>
    </row>
    <row r="106" spans="1:5">
      <c r="A106" s="131" t="s">
        <v>1453</v>
      </c>
      <c r="B106" s="65" t="s">
        <v>1418</v>
      </c>
      <c r="C106" s="65" t="s">
        <v>1454</v>
      </c>
      <c r="D106" s="134" t="s">
        <v>1455</v>
      </c>
      <c r="E106" s="135" t="s">
        <v>1456</v>
      </c>
    </row>
    <row r="107" spans="1:5">
      <c r="A107" s="131" t="s">
        <v>1457</v>
      </c>
      <c r="B107" s="65" t="s">
        <v>1418</v>
      </c>
      <c r="C107" s="65" t="s">
        <v>1458</v>
      </c>
      <c r="D107" s="134" t="s">
        <v>1459</v>
      </c>
      <c r="E107" s="135" t="s">
        <v>1460</v>
      </c>
    </row>
    <row r="108" spans="1:5">
      <c r="A108" s="131" t="s">
        <v>1461</v>
      </c>
      <c r="B108" s="65" t="s">
        <v>1418</v>
      </c>
      <c r="C108" s="65" t="s">
        <v>1462</v>
      </c>
      <c r="D108" s="134" t="s">
        <v>1463</v>
      </c>
      <c r="E108" s="135" t="s">
        <v>1464</v>
      </c>
    </row>
    <row r="109" spans="1:5">
      <c r="A109" s="131" t="s">
        <v>1465</v>
      </c>
      <c r="B109" s="65" t="s">
        <v>1418</v>
      </c>
      <c r="C109" s="65" t="s">
        <v>1466</v>
      </c>
      <c r="D109" s="134" t="s">
        <v>1467</v>
      </c>
      <c r="E109" s="135" t="s">
        <v>1468</v>
      </c>
    </row>
    <row r="110" spans="1:5">
      <c r="A110" s="131" t="s">
        <v>1469</v>
      </c>
      <c r="B110" s="65" t="s">
        <v>1418</v>
      </c>
      <c r="C110" s="65" t="s">
        <v>1470</v>
      </c>
      <c r="D110" s="134" t="s">
        <v>723</v>
      </c>
      <c r="E110" s="135" t="s">
        <v>1471</v>
      </c>
    </row>
    <row r="111" spans="1:5">
      <c r="A111" s="131" t="s">
        <v>1472</v>
      </c>
      <c r="B111" s="65" t="s">
        <v>1418</v>
      </c>
      <c r="C111" s="65" t="s">
        <v>1473</v>
      </c>
      <c r="D111" s="134" t="s">
        <v>708</v>
      </c>
      <c r="E111" s="135" t="s">
        <v>1474</v>
      </c>
    </row>
    <row r="112" spans="1:5">
      <c r="A112" s="131" t="s">
        <v>1475</v>
      </c>
      <c r="B112" s="65" t="s">
        <v>1418</v>
      </c>
      <c r="C112" s="65" t="s">
        <v>1476</v>
      </c>
      <c r="D112" s="134" t="s">
        <v>696</v>
      </c>
      <c r="E112" s="135" t="s">
        <v>1477</v>
      </c>
    </row>
    <row r="113" spans="1:5">
      <c r="A113" s="131" t="s">
        <v>1478</v>
      </c>
      <c r="B113" s="65" t="s">
        <v>1418</v>
      </c>
      <c r="C113" s="65" t="s">
        <v>1479</v>
      </c>
      <c r="D113" s="134" t="s">
        <v>1480</v>
      </c>
      <c r="E113" s="135" t="s">
        <v>1481</v>
      </c>
    </row>
    <row r="114" spans="1:5">
      <c r="A114" s="131" t="s">
        <v>1482</v>
      </c>
      <c r="B114" s="65" t="s">
        <v>1418</v>
      </c>
      <c r="C114" s="65" t="s">
        <v>1483</v>
      </c>
      <c r="D114" s="134" t="s">
        <v>714</v>
      </c>
      <c r="E114" s="135" t="s">
        <v>1484</v>
      </c>
    </row>
    <row r="115" spans="1:5">
      <c r="A115" s="131" t="s">
        <v>1485</v>
      </c>
      <c r="B115" s="65" t="s">
        <v>1418</v>
      </c>
      <c r="C115" s="65" t="s">
        <v>1486</v>
      </c>
      <c r="D115" s="134" t="s">
        <v>709</v>
      </c>
      <c r="E115" s="135" t="s">
        <v>1487</v>
      </c>
    </row>
    <row r="116" spans="1:5">
      <c r="A116" s="131" t="s">
        <v>1488</v>
      </c>
      <c r="B116" s="65" t="s">
        <v>1418</v>
      </c>
      <c r="C116" s="65" t="s">
        <v>1489</v>
      </c>
      <c r="D116" s="134" t="s">
        <v>690</v>
      </c>
      <c r="E116" s="135" t="s">
        <v>1490</v>
      </c>
    </row>
    <row r="117" spans="1:5">
      <c r="A117" s="131" t="s">
        <v>1491</v>
      </c>
      <c r="B117" s="65" t="s">
        <v>1492</v>
      </c>
      <c r="C117" s="65" t="s">
        <v>1493</v>
      </c>
      <c r="D117" s="134" t="s">
        <v>737</v>
      </c>
      <c r="E117" s="135" t="s">
        <v>1494</v>
      </c>
    </row>
    <row r="118" spans="1:5">
      <c r="A118" s="131" t="s">
        <v>1495</v>
      </c>
      <c r="B118" s="65" t="s">
        <v>1492</v>
      </c>
      <c r="C118" s="65" t="s">
        <v>1496</v>
      </c>
      <c r="D118" s="134" t="s">
        <v>742</v>
      </c>
      <c r="E118" s="135" t="s">
        <v>1497</v>
      </c>
    </row>
    <row r="119" spans="1:5">
      <c r="A119" s="131" t="s">
        <v>1498</v>
      </c>
      <c r="B119" s="65" t="s">
        <v>1492</v>
      </c>
      <c r="C119" s="65" t="s">
        <v>1499</v>
      </c>
      <c r="D119" s="134" t="s">
        <v>1500</v>
      </c>
      <c r="E119" s="135" t="s">
        <v>1501</v>
      </c>
    </row>
    <row r="120" spans="1:5">
      <c r="A120" s="131" t="s">
        <v>1502</v>
      </c>
      <c r="B120" s="65" t="s">
        <v>1492</v>
      </c>
      <c r="C120" s="65" t="s">
        <v>1503</v>
      </c>
      <c r="D120" s="134" t="s">
        <v>747</v>
      </c>
      <c r="E120" s="135" t="s">
        <v>1504</v>
      </c>
    </row>
    <row r="121" spans="1:5">
      <c r="A121" s="131" t="s">
        <v>1505</v>
      </c>
      <c r="B121" s="65" t="s">
        <v>1492</v>
      </c>
      <c r="C121" s="65" t="s">
        <v>1506</v>
      </c>
      <c r="D121" s="134" t="s">
        <v>1507</v>
      </c>
      <c r="E121" s="135" t="s">
        <v>1508</v>
      </c>
    </row>
    <row r="122" spans="1:5">
      <c r="A122" s="131" t="s">
        <v>1509</v>
      </c>
      <c r="B122" s="65" t="s">
        <v>1492</v>
      </c>
      <c r="C122" s="65" t="s">
        <v>1510</v>
      </c>
      <c r="D122" s="134" t="s">
        <v>1511</v>
      </c>
      <c r="E122" s="135" t="s">
        <v>1512</v>
      </c>
    </row>
    <row r="123" spans="1:5">
      <c r="A123" s="131" t="s">
        <v>1513</v>
      </c>
      <c r="B123" s="65" t="s">
        <v>1492</v>
      </c>
      <c r="C123" s="65" t="s">
        <v>1514</v>
      </c>
      <c r="D123" s="134" t="s">
        <v>755</v>
      </c>
      <c r="E123" s="135" t="s">
        <v>1515</v>
      </c>
    </row>
    <row r="124" spans="1:5">
      <c r="A124" s="131" t="s">
        <v>1516</v>
      </c>
      <c r="B124" s="65" t="s">
        <v>1492</v>
      </c>
      <c r="C124" s="65" t="s">
        <v>1517</v>
      </c>
      <c r="D124" s="134" t="s">
        <v>1518</v>
      </c>
      <c r="E124" s="135" t="s">
        <v>1515</v>
      </c>
    </row>
    <row r="125" spans="1:5">
      <c r="A125" s="131" t="s">
        <v>1519</v>
      </c>
      <c r="B125" s="65" t="s">
        <v>1492</v>
      </c>
      <c r="C125" s="65" t="s">
        <v>1520</v>
      </c>
      <c r="D125" s="134" t="s">
        <v>1521</v>
      </c>
      <c r="E125" s="135" t="s">
        <v>1522</v>
      </c>
    </row>
    <row r="126" spans="1:5">
      <c r="A126" s="131" t="s">
        <v>1523</v>
      </c>
      <c r="B126" s="65" t="s">
        <v>1492</v>
      </c>
      <c r="C126" s="65" t="s">
        <v>1524</v>
      </c>
      <c r="D126" s="134" t="s">
        <v>1525</v>
      </c>
      <c r="E126" s="135" t="s">
        <v>1526</v>
      </c>
    </row>
    <row r="127" spans="1:5">
      <c r="A127" s="131" t="s">
        <v>1527</v>
      </c>
      <c r="B127" s="65" t="s">
        <v>1492</v>
      </c>
      <c r="C127" s="65" t="s">
        <v>1528</v>
      </c>
      <c r="D127" s="134" t="s">
        <v>762</v>
      </c>
      <c r="E127" s="135" t="s">
        <v>1529</v>
      </c>
    </row>
    <row r="128" spans="1:5">
      <c r="A128" s="131" t="s">
        <v>1530</v>
      </c>
      <c r="B128" s="65" t="s">
        <v>1492</v>
      </c>
      <c r="C128" s="65" t="s">
        <v>1531</v>
      </c>
      <c r="D128" s="134" t="s">
        <v>1532</v>
      </c>
      <c r="E128" s="135" t="s">
        <v>1533</v>
      </c>
    </row>
    <row r="129" spans="1:5">
      <c r="A129" s="131" t="s">
        <v>1534</v>
      </c>
      <c r="B129" s="65" t="s">
        <v>1492</v>
      </c>
      <c r="C129" s="65" t="s">
        <v>1535</v>
      </c>
      <c r="D129" s="134" t="s">
        <v>760</v>
      </c>
      <c r="E129" s="135" t="s">
        <v>1536</v>
      </c>
    </row>
    <row r="130" spans="1:5">
      <c r="A130" s="131" t="s">
        <v>1537</v>
      </c>
      <c r="B130" s="65" t="s">
        <v>1492</v>
      </c>
      <c r="C130" s="65" t="s">
        <v>1538</v>
      </c>
      <c r="D130" s="134" t="s">
        <v>1539</v>
      </c>
      <c r="E130" s="135" t="s">
        <v>1540</v>
      </c>
    </row>
    <row r="131" spans="1:5">
      <c r="A131" s="131" t="s">
        <v>1541</v>
      </c>
      <c r="B131" s="65" t="s">
        <v>1542</v>
      </c>
      <c r="C131" s="65" t="s">
        <v>1543</v>
      </c>
      <c r="D131" s="134" t="s">
        <v>1544</v>
      </c>
      <c r="E131" s="135" t="s">
        <v>1545</v>
      </c>
    </row>
    <row r="132" spans="1:5">
      <c r="A132" s="131" t="s">
        <v>1546</v>
      </c>
      <c r="B132" s="65" t="s">
        <v>1542</v>
      </c>
      <c r="C132" s="65" t="s">
        <v>1547</v>
      </c>
      <c r="D132" s="134" t="s">
        <v>1548</v>
      </c>
      <c r="E132" s="135" t="s">
        <v>1549</v>
      </c>
    </row>
    <row r="133" spans="1:5">
      <c r="A133" s="131" t="s">
        <v>1550</v>
      </c>
      <c r="B133" s="65" t="s">
        <v>1542</v>
      </c>
      <c r="C133" s="65" t="s">
        <v>1551</v>
      </c>
      <c r="D133" s="134" t="s">
        <v>1552</v>
      </c>
      <c r="E133" s="135" t="s">
        <v>1553</v>
      </c>
    </row>
    <row r="134" spans="1:5">
      <c r="A134" s="131" t="s">
        <v>1554</v>
      </c>
      <c r="B134" s="65" t="s">
        <v>1542</v>
      </c>
      <c r="C134" s="65" t="s">
        <v>1555</v>
      </c>
      <c r="D134" s="134" t="s">
        <v>788</v>
      </c>
      <c r="E134" s="135" t="s">
        <v>1556</v>
      </c>
    </row>
    <row r="135" spans="1:5">
      <c r="A135" s="131" t="s">
        <v>1557</v>
      </c>
      <c r="B135" s="65" t="s">
        <v>1542</v>
      </c>
      <c r="C135" s="65" t="s">
        <v>1558</v>
      </c>
      <c r="D135" s="134" t="s">
        <v>804</v>
      </c>
      <c r="E135" s="135" t="s">
        <v>1559</v>
      </c>
    </row>
    <row r="136" spans="1:5">
      <c r="A136" s="131" t="s">
        <v>1560</v>
      </c>
      <c r="B136" s="65" t="s">
        <v>1542</v>
      </c>
      <c r="C136" s="65" t="s">
        <v>1561</v>
      </c>
      <c r="D136" s="134" t="s">
        <v>1562</v>
      </c>
      <c r="E136" s="135" t="s">
        <v>1563</v>
      </c>
    </row>
    <row r="137" spans="1:5">
      <c r="A137" s="131" t="s">
        <v>1564</v>
      </c>
      <c r="B137" s="65" t="s">
        <v>1542</v>
      </c>
      <c r="C137" s="65" t="s">
        <v>1565</v>
      </c>
      <c r="D137" s="134" t="s">
        <v>1566</v>
      </c>
      <c r="E137" s="135" t="s">
        <v>1567</v>
      </c>
    </row>
    <row r="138" spans="1:5">
      <c r="A138" s="131" t="s">
        <v>1568</v>
      </c>
      <c r="B138" s="65" t="s">
        <v>1542</v>
      </c>
      <c r="C138" s="65" t="s">
        <v>1569</v>
      </c>
      <c r="D138" s="134" t="s">
        <v>1570</v>
      </c>
      <c r="E138" s="135" t="s">
        <v>1571</v>
      </c>
    </row>
    <row r="139" spans="1:5">
      <c r="A139" s="131" t="s">
        <v>1572</v>
      </c>
      <c r="B139" s="65" t="s">
        <v>1542</v>
      </c>
      <c r="C139" s="65" t="s">
        <v>1573</v>
      </c>
      <c r="D139" s="134" t="s">
        <v>1574</v>
      </c>
      <c r="E139" s="135" t="s">
        <v>1575</v>
      </c>
    </row>
    <row r="140" spans="1:5">
      <c r="A140" s="131" t="s">
        <v>1576</v>
      </c>
      <c r="B140" s="65" t="s">
        <v>1542</v>
      </c>
      <c r="C140" s="65" t="s">
        <v>1577</v>
      </c>
      <c r="D140" s="134" t="s">
        <v>792</v>
      </c>
      <c r="E140" s="135" t="s">
        <v>1578</v>
      </c>
    </row>
    <row r="141" spans="1:5">
      <c r="A141" s="131" t="s">
        <v>1579</v>
      </c>
      <c r="B141" s="65" t="s">
        <v>1542</v>
      </c>
      <c r="C141" s="65" t="s">
        <v>1580</v>
      </c>
      <c r="D141" s="134" t="s">
        <v>1581</v>
      </c>
      <c r="E141" s="135" t="s">
        <v>1582</v>
      </c>
    </row>
    <row r="142" spans="1:5">
      <c r="A142" s="131" t="s">
        <v>1583</v>
      </c>
      <c r="B142" s="65" t="s">
        <v>1542</v>
      </c>
      <c r="C142" s="65" t="s">
        <v>1584</v>
      </c>
      <c r="D142" s="134" t="s">
        <v>1585</v>
      </c>
      <c r="E142" s="135" t="s">
        <v>1586</v>
      </c>
    </row>
    <row r="143" spans="1:5">
      <c r="A143" s="131" t="s">
        <v>1587</v>
      </c>
      <c r="B143" s="65" t="s">
        <v>1542</v>
      </c>
      <c r="C143" s="65" t="s">
        <v>1588</v>
      </c>
      <c r="D143" s="134" t="s">
        <v>786</v>
      </c>
      <c r="E143" s="135" t="s">
        <v>1589</v>
      </c>
    </row>
    <row r="144" spans="1:5">
      <c r="A144" s="131" t="s">
        <v>1590</v>
      </c>
      <c r="B144" s="65" t="s">
        <v>1591</v>
      </c>
      <c r="C144" s="65" t="s">
        <v>1592</v>
      </c>
      <c r="D144" s="134" t="s">
        <v>1593</v>
      </c>
      <c r="E144" s="135" t="s">
        <v>1594</v>
      </c>
    </row>
    <row r="145" spans="1:5">
      <c r="A145" s="131" t="s">
        <v>1595</v>
      </c>
      <c r="B145" s="65" t="s">
        <v>1591</v>
      </c>
      <c r="C145" s="65" t="s">
        <v>1596</v>
      </c>
      <c r="D145" s="134" t="s">
        <v>1597</v>
      </c>
      <c r="E145" s="135" t="s">
        <v>1598</v>
      </c>
    </row>
    <row r="146" spans="1:5">
      <c r="A146" s="131" t="s">
        <v>1599</v>
      </c>
      <c r="B146" s="65" t="s">
        <v>1591</v>
      </c>
      <c r="C146" s="65" t="s">
        <v>1600</v>
      </c>
      <c r="D146" s="134" t="s">
        <v>1601</v>
      </c>
      <c r="E146" s="135" t="s">
        <v>1602</v>
      </c>
    </row>
    <row r="147" spans="1:5">
      <c r="A147" s="131" t="s">
        <v>1603</v>
      </c>
      <c r="B147" s="65" t="s">
        <v>1591</v>
      </c>
      <c r="C147" s="65" t="s">
        <v>1604</v>
      </c>
      <c r="D147" s="134" t="s">
        <v>998</v>
      </c>
      <c r="E147" s="135" t="s">
        <v>1605</v>
      </c>
    </row>
    <row r="148" spans="1:5">
      <c r="A148" s="131" t="s">
        <v>1606</v>
      </c>
      <c r="B148" s="65" t="s">
        <v>1591</v>
      </c>
      <c r="C148" s="65" t="s">
        <v>1607</v>
      </c>
      <c r="D148" s="134" t="s">
        <v>821</v>
      </c>
      <c r="E148" s="135" t="s">
        <v>1608</v>
      </c>
    </row>
    <row r="149" spans="1:5">
      <c r="A149" s="131" t="s">
        <v>1609</v>
      </c>
      <c r="B149" s="65" t="s">
        <v>1591</v>
      </c>
      <c r="C149" s="65" t="s">
        <v>1610</v>
      </c>
      <c r="D149" s="134" t="s">
        <v>823</v>
      </c>
      <c r="E149" s="135" t="s">
        <v>1611</v>
      </c>
    </row>
    <row r="150" spans="1:5">
      <c r="A150" s="131" t="s">
        <v>1612</v>
      </c>
      <c r="B150" s="65" t="s">
        <v>1591</v>
      </c>
      <c r="C150" s="65" t="s">
        <v>1613</v>
      </c>
      <c r="D150" s="134" t="s">
        <v>1614</v>
      </c>
      <c r="E150" s="135" t="s">
        <v>1615</v>
      </c>
    </row>
    <row r="151" spans="1:5">
      <c r="A151" s="131" t="s">
        <v>1616</v>
      </c>
      <c r="B151" s="65" t="s">
        <v>1591</v>
      </c>
      <c r="C151" s="65" t="s">
        <v>1617</v>
      </c>
      <c r="D151" s="134" t="s">
        <v>1618</v>
      </c>
      <c r="E151" s="135" t="s">
        <v>1619</v>
      </c>
    </row>
    <row r="152" spans="1:5">
      <c r="A152" s="131" t="s">
        <v>1620</v>
      </c>
      <c r="B152" s="65" t="s">
        <v>1591</v>
      </c>
      <c r="C152" s="65" t="s">
        <v>1621</v>
      </c>
      <c r="D152" s="134" t="s">
        <v>1622</v>
      </c>
      <c r="E152" s="135" t="s">
        <v>1623</v>
      </c>
    </row>
    <row r="153" spans="1:5">
      <c r="A153" s="131" t="s">
        <v>1624</v>
      </c>
      <c r="B153" s="65" t="s">
        <v>1591</v>
      </c>
      <c r="C153" s="65" t="s">
        <v>1625</v>
      </c>
      <c r="D153" s="134" t="s">
        <v>1626</v>
      </c>
      <c r="E153" s="135" t="s">
        <v>1627</v>
      </c>
    </row>
    <row r="154" spans="1:5">
      <c r="A154" s="131" t="s">
        <v>1628</v>
      </c>
      <c r="B154" s="65" t="s">
        <v>1591</v>
      </c>
      <c r="C154" s="65" t="s">
        <v>1629</v>
      </c>
      <c r="D154" s="134" t="s">
        <v>1630</v>
      </c>
      <c r="E154" s="135" t="s">
        <v>1631</v>
      </c>
    </row>
    <row r="155" spans="1:5">
      <c r="A155" s="131" t="s">
        <v>1632</v>
      </c>
      <c r="B155" s="65" t="s">
        <v>1591</v>
      </c>
      <c r="C155" s="65" t="s">
        <v>1633</v>
      </c>
      <c r="D155" s="134" t="s">
        <v>1634</v>
      </c>
      <c r="E155" s="135" t="s">
        <v>1635</v>
      </c>
    </row>
    <row r="156" spans="1:5">
      <c r="A156" s="131" t="s">
        <v>1636</v>
      </c>
      <c r="B156" s="65" t="s">
        <v>1591</v>
      </c>
      <c r="C156" s="65" t="s">
        <v>1637</v>
      </c>
      <c r="D156" s="134" t="s">
        <v>1638</v>
      </c>
      <c r="E156" s="135" t="s">
        <v>1639</v>
      </c>
    </row>
    <row r="157" spans="1:5">
      <c r="A157" s="131" t="s">
        <v>1640</v>
      </c>
      <c r="B157" s="65" t="s">
        <v>1591</v>
      </c>
      <c r="C157" s="65" t="s">
        <v>1641</v>
      </c>
      <c r="D157" s="134" t="s">
        <v>1642</v>
      </c>
      <c r="E157" s="135" t="s">
        <v>1643</v>
      </c>
    </row>
    <row r="158" spans="1:5">
      <c r="A158" s="131" t="s">
        <v>1644</v>
      </c>
      <c r="B158" s="65" t="s">
        <v>1591</v>
      </c>
      <c r="C158" s="65" t="s">
        <v>1645</v>
      </c>
      <c r="D158" s="134" t="s">
        <v>1646</v>
      </c>
      <c r="E158" s="135" t="s">
        <v>1647</v>
      </c>
    </row>
    <row r="159" spans="1:5">
      <c r="A159" s="131" t="s">
        <v>1648</v>
      </c>
      <c r="B159" s="65" t="s">
        <v>1591</v>
      </c>
      <c r="C159" s="65" t="s">
        <v>1649</v>
      </c>
      <c r="D159" s="134" t="s">
        <v>1650</v>
      </c>
      <c r="E159" s="135" t="s">
        <v>1651</v>
      </c>
    </row>
    <row r="160" spans="1:5">
      <c r="A160" s="131" t="s">
        <v>1652</v>
      </c>
      <c r="B160" s="65" t="s">
        <v>1591</v>
      </c>
      <c r="C160" s="65" t="s">
        <v>1653</v>
      </c>
      <c r="D160" s="134" t="s">
        <v>839</v>
      </c>
      <c r="E160" s="135" t="s">
        <v>1654</v>
      </c>
    </row>
    <row r="161" spans="1:5">
      <c r="A161" s="131" t="s">
        <v>1655</v>
      </c>
      <c r="B161" s="65" t="s">
        <v>1591</v>
      </c>
      <c r="C161" s="65" t="s">
        <v>1656</v>
      </c>
      <c r="D161" s="134" t="s">
        <v>1657</v>
      </c>
      <c r="E161" s="135" t="s">
        <v>1658</v>
      </c>
    </row>
    <row r="162" spans="1:5">
      <c r="A162" s="131" t="s">
        <v>1659</v>
      </c>
      <c r="B162" s="65" t="s">
        <v>1660</v>
      </c>
      <c r="C162" s="65" t="s">
        <v>1661</v>
      </c>
      <c r="D162" s="134" t="s">
        <v>1662</v>
      </c>
      <c r="E162" s="135" t="s">
        <v>1663</v>
      </c>
    </row>
    <row r="163" spans="1:5">
      <c r="A163" s="131" t="s">
        <v>1664</v>
      </c>
      <c r="B163" s="65" t="s">
        <v>1660</v>
      </c>
      <c r="C163" s="65" t="s">
        <v>1665</v>
      </c>
      <c r="D163" s="134" t="s">
        <v>870</v>
      </c>
      <c r="E163" s="135" t="s">
        <v>1666</v>
      </c>
    </row>
    <row r="164" spans="1:5">
      <c r="A164" s="131" t="s">
        <v>1667</v>
      </c>
      <c r="B164" s="65" t="s">
        <v>1660</v>
      </c>
      <c r="C164" s="65" t="s">
        <v>1668</v>
      </c>
      <c r="D164" s="134" t="s">
        <v>1669</v>
      </c>
      <c r="E164" s="135" t="s">
        <v>1670</v>
      </c>
    </row>
    <row r="165" spans="1:5">
      <c r="A165" s="131" t="s">
        <v>1671</v>
      </c>
      <c r="B165" s="65" t="s">
        <v>1660</v>
      </c>
      <c r="C165" s="65" t="s">
        <v>1672</v>
      </c>
      <c r="D165" s="134" t="s">
        <v>1673</v>
      </c>
      <c r="E165" s="135" t="s">
        <v>1674</v>
      </c>
    </row>
    <row r="166" spans="1:5">
      <c r="A166" s="131" t="s">
        <v>1675</v>
      </c>
      <c r="B166" s="65" t="s">
        <v>1660</v>
      </c>
      <c r="C166" s="65" t="s">
        <v>1676</v>
      </c>
      <c r="D166" s="134" t="s">
        <v>1677</v>
      </c>
      <c r="E166" s="135" t="s">
        <v>1678</v>
      </c>
    </row>
    <row r="167" spans="1:5">
      <c r="A167" s="131" t="s">
        <v>1679</v>
      </c>
      <c r="B167" s="65" t="s">
        <v>1660</v>
      </c>
      <c r="C167" s="65" t="s">
        <v>1680</v>
      </c>
      <c r="D167" s="134" t="s">
        <v>1681</v>
      </c>
      <c r="E167" s="135" t="s">
        <v>1682</v>
      </c>
    </row>
    <row r="168" spans="1:5">
      <c r="A168" s="131" t="s">
        <v>1683</v>
      </c>
      <c r="B168" s="65" t="s">
        <v>1660</v>
      </c>
      <c r="C168" s="65" t="s">
        <v>1684</v>
      </c>
      <c r="D168" s="134" t="s">
        <v>1685</v>
      </c>
      <c r="E168" s="135" t="s">
        <v>1686</v>
      </c>
    </row>
    <row r="169" spans="1:5">
      <c r="A169" s="131" t="s">
        <v>1687</v>
      </c>
      <c r="B169" s="65" t="s">
        <v>1660</v>
      </c>
      <c r="C169" s="65" t="s">
        <v>1688</v>
      </c>
      <c r="D169" s="134" t="s">
        <v>1689</v>
      </c>
      <c r="E169" s="135" t="s">
        <v>1690</v>
      </c>
    </row>
    <row r="170" spans="1:5">
      <c r="A170" s="131" t="s">
        <v>1691</v>
      </c>
      <c r="B170" s="65" t="s">
        <v>1660</v>
      </c>
      <c r="C170" s="65" t="s">
        <v>1692</v>
      </c>
      <c r="D170" s="134" t="s">
        <v>1693</v>
      </c>
      <c r="E170" s="135" t="s">
        <v>1694</v>
      </c>
    </row>
    <row r="171" spans="1:5">
      <c r="A171" s="131" t="s">
        <v>1695</v>
      </c>
      <c r="B171" s="65" t="s">
        <v>1660</v>
      </c>
      <c r="C171" s="65" t="s">
        <v>1696</v>
      </c>
      <c r="D171" s="134" t="s">
        <v>1697</v>
      </c>
      <c r="E171" s="135" t="s">
        <v>1698</v>
      </c>
    </row>
    <row r="172" spans="1:5">
      <c r="A172" s="131" t="s">
        <v>1699</v>
      </c>
      <c r="B172" s="65" t="s">
        <v>1660</v>
      </c>
      <c r="C172" s="65" t="s">
        <v>1700</v>
      </c>
      <c r="D172" s="134" t="s">
        <v>1701</v>
      </c>
      <c r="E172" s="135" t="s">
        <v>1702</v>
      </c>
    </row>
    <row r="173" spans="1:5">
      <c r="A173" s="131" t="s">
        <v>1703</v>
      </c>
      <c r="B173" s="65" t="s">
        <v>1660</v>
      </c>
      <c r="C173" s="65" t="s">
        <v>1704</v>
      </c>
      <c r="D173" s="134" t="s">
        <v>877</v>
      </c>
      <c r="E173" s="135" t="s">
        <v>1705</v>
      </c>
    </row>
    <row r="174" spans="1:5">
      <c r="A174" s="131" t="s">
        <v>1706</v>
      </c>
      <c r="B174" s="65" t="s">
        <v>1660</v>
      </c>
      <c r="C174" s="65" t="s">
        <v>1707</v>
      </c>
      <c r="D174" s="134" t="s">
        <v>1708</v>
      </c>
      <c r="E174" s="135" t="s">
        <v>1709</v>
      </c>
    </row>
    <row r="175" spans="1:5">
      <c r="A175" s="131" t="s">
        <v>1710</v>
      </c>
      <c r="B175" s="65" t="s">
        <v>1296</v>
      </c>
      <c r="C175" s="65" t="s">
        <v>1711</v>
      </c>
      <c r="D175" s="134" t="s">
        <v>1712</v>
      </c>
      <c r="E175" s="135" t="s">
        <v>1713</v>
      </c>
    </row>
    <row r="176" spans="1:5">
      <c r="A176" s="131" t="s">
        <v>1714</v>
      </c>
      <c r="B176" s="65" t="s">
        <v>1296</v>
      </c>
      <c r="C176" s="65" t="s">
        <v>1715</v>
      </c>
      <c r="D176" s="134" t="s">
        <v>1716</v>
      </c>
      <c r="E176" s="135" t="s">
        <v>1717</v>
      </c>
    </row>
    <row r="177" spans="1:5">
      <c r="A177" s="131" t="s">
        <v>1718</v>
      </c>
      <c r="B177" s="65" t="s">
        <v>1296</v>
      </c>
      <c r="C177" s="65" t="s">
        <v>1719</v>
      </c>
      <c r="D177" s="134" t="s">
        <v>1720</v>
      </c>
      <c r="E177" s="135" t="s">
        <v>1721</v>
      </c>
    </row>
    <row r="178" spans="1:5">
      <c r="A178" s="131" t="s">
        <v>1722</v>
      </c>
      <c r="B178" s="65" t="s">
        <v>1296</v>
      </c>
      <c r="C178" s="65" t="s">
        <v>1723</v>
      </c>
      <c r="D178" s="134" t="s">
        <v>1724</v>
      </c>
      <c r="E178" s="135" t="s">
        <v>1725</v>
      </c>
    </row>
    <row r="179" spans="1:5">
      <c r="A179" s="131" t="s">
        <v>1726</v>
      </c>
      <c r="B179" s="65" t="s">
        <v>1296</v>
      </c>
      <c r="C179" s="65" t="s">
        <v>1727</v>
      </c>
      <c r="D179" s="134" t="s">
        <v>1728</v>
      </c>
      <c r="E179" s="135" t="s">
        <v>1729</v>
      </c>
    </row>
    <row r="180" spans="1:5">
      <c r="A180" s="131" t="s">
        <v>1730</v>
      </c>
      <c r="B180" s="65" t="s">
        <v>1296</v>
      </c>
      <c r="C180" s="65" t="s">
        <v>1731</v>
      </c>
      <c r="D180" s="134" t="s">
        <v>1732</v>
      </c>
      <c r="E180" s="135" t="s">
        <v>1733</v>
      </c>
    </row>
    <row r="181" spans="1:5">
      <c r="A181" s="131" t="s">
        <v>1734</v>
      </c>
      <c r="B181" s="65" t="s">
        <v>1374</v>
      </c>
      <c r="C181" s="65" t="s">
        <v>1735</v>
      </c>
      <c r="D181" s="134" t="s">
        <v>1736</v>
      </c>
      <c r="E181" s="135" t="s">
        <v>1737</v>
      </c>
    </row>
    <row r="182" spans="1:5">
      <c r="A182" s="131" t="s">
        <v>1738</v>
      </c>
      <c r="B182" s="65" t="s">
        <v>1374</v>
      </c>
      <c r="C182" s="65" t="s">
        <v>1739</v>
      </c>
      <c r="D182" s="134" t="s">
        <v>1740</v>
      </c>
      <c r="E182" s="135" t="s">
        <v>1391</v>
      </c>
    </row>
    <row r="183" spans="1:5">
      <c r="A183" s="131" t="s">
        <v>1741</v>
      </c>
      <c r="B183" s="65" t="s">
        <v>1374</v>
      </c>
      <c r="C183" s="65" t="s">
        <v>1742</v>
      </c>
      <c r="D183" s="134" t="s">
        <v>1743</v>
      </c>
      <c r="E183" s="135" t="s">
        <v>1394</v>
      </c>
    </row>
    <row r="184" spans="1:5">
      <c r="A184" s="131" t="s">
        <v>1744</v>
      </c>
      <c r="B184" s="65" t="s">
        <v>1418</v>
      </c>
      <c r="C184" s="65" t="s">
        <v>1745</v>
      </c>
      <c r="D184" s="134" t="s">
        <v>1746</v>
      </c>
      <c r="E184" s="135" t="s">
        <v>1747</v>
      </c>
    </row>
    <row r="185" spans="1:5">
      <c r="A185" s="131" t="s">
        <v>1748</v>
      </c>
      <c r="B185" s="65" t="s">
        <v>1418</v>
      </c>
      <c r="C185" s="65" t="s">
        <v>1749</v>
      </c>
      <c r="D185" s="134" t="s">
        <v>1750</v>
      </c>
      <c r="E185" s="135" t="s">
        <v>1751</v>
      </c>
    </row>
    <row r="186" spans="1:5">
      <c r="A186" s="131" t="s">
        <v>1752</v>
      </c>
      <c r="B186" s="65" t="s">
        <v>1591</v>
      </c>
      <c r="C186" s="65" t="s">
        <v>1753</v>
      </c>
      <c r="D186" s="134" t="s">
        <v>1754</v>
      </c>
      <c r="E186" s="135" t="s">
        <v>1755</v>
      </c>
    </row>
    <row r="187" spans="1:5">
      <c r="A187" s="131" t="s">
        <v>1756</v>
      </c>
      <c r="B187" s="65" t="s">
        <v>1591</v>
      </c>
      <c r="C187" s="65" t="s">
        <v>1757</v>
      </c>
      <c r="D187" s="134" t="s">
        <v>1758</v>
      </c>
      <c r="E187" s="135" t="s">
        <v>1759</v>
      </c>
    </row>
    <row r="188" spans="1:5">
      <c r="A188" s="131" t="s">
        <v>1760</v>
      </c>
      <c r="B188" s="65" t="s">
        <v>1542</v>
      </c>
      <c r="C188" s="65" t="s">
        <v>1761</v>
      </c>
      <c r="D188" s="134" t="s">
        <v>1762</v>
      </c>
      <c r="E188" s="135" t="s">
        <v>1763</v>
      </c>
    </row>
    <row r="189" spans="1:5">
      <c r="A189" s="131" t="s">
        <v>1764</v>
      </c>
      <c r="B189" s="65" t="s">
        <v>1660</v>
      </c>
      <c r="C189" s="65" t="s">
        <v>1765</v>
      </c>
      <c r="D189" s="134" t="s">
        <v>1766</v>
      </c>
      <c r="E189" s="135" t="s">
        <v>1709</v>
      </c>
    </row>
  </sheetData>
  <autoFilter ref="A4:E189" xr:uid="{310581F7-ECDF-C64A-A7B0-C540D55B3FA1}"/>
  <phoneticPr fontId="2"/>
  <conditionalFormatting sqref="A5:E189">
    <cfRule type="expression" dxfId="73" priority="1">
      <formula>$B5="U2 Keycloak論理"</formula>
    </cfRule>
  </conditionalFormatting>
  <conditionalFormatting sqref="A5:E189">
    <cfRule type="expression" dxfId="72" priority="2">
      <formula>$B5="U3 ID・プロビジョニング"</formula>
    </cfRule>
  </conditionalFormatting>
  <conditionalFormatting sqref="A5:E189">
    <cfRule type="expression" dxfId="71" priority="3">
      <formula>$B5="U5 トークン・認可"</formula>
    </cfRule>
  </conditionalFormatting>
  <conditionalFormatting sqref="A5:E189">
    <cfRule type="expression" dxfId="70" priority="4">
      <formula>$B5="U4 認証体験・UX"</formula>
    </cfRule>
  </conditionalFormatting>
  <conditionalFormatting sqref="A5:E189">
    <cfRule type="expression" dxfId="69" priority="5">
      <formula>$B5="U7 セキュリティ"</formula>
    </cfRule>
  </conditionalFormatting>
  <conditionalFormatting sqref="A5:E189">
    <cfRule type="expression" dxfId="68" priority="6">
      <formula>$B5="U8 可用性・DR"</formula>
    </cfRule>
  </conditionalFormatting>
  <conditionalFormatting sqref="A5:E189">
    <cfRule type="expression" dxfId="67" priority="7">
      <formula>$B5="U6 インフラ・NW"</formula>
    </cfRule>
  </conditionalFormatting>
  <conditionalFormatting sqref="A5:E189">
    <cfRule type="expression" dxfId="66" priority="8">
      <formula>$B5="U9 運用・監視・IaC"</formula>
    </cfRule>
  </conditionalFormatting>
  <conditionalFormatting sqref="A5:E189">
    <cfRule type="expression" dxfId="65"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topLeftCell="C1" zoomScale="125" workbookViewId="0">
      <pane ySplit="4" topLeftCell="A5" activePane="bottomLeft" state="frozen"/>
      <selection pane="bottomLeft" activeCell="C38" sqref="C38"/>
    </sheetView>
  </sheetViews>
  <sheetFormatPr baseColWidth="10" defaultRowHeight="15"/>
  <cols>
    <col min="1" max="1" width="15.7109375" style="65" customWidth="1"/>
    <col min="2" max="2" width="28.5703125" style="65" customWidth="1"/>
    <col min="3" max="3" width="61.42578125" style="65" customWidth="1"/>
    <col min="4" max="4" width="11.42578125" style="65" customWidth="1"/>
    <col min="5" max="5" width="32.85546875" style="65" customWidth="1"/>
    <col min="6" max="6" width="12.85546875" style="65" customWidth="1"/>
    <col min="7" max="7" width="14.28515625" style="65" customWidth="1"/>
    <col min="8" max="8" width="57.140625" style="65" customWidth="1"/>
    <col min="9" max="16384" width="10.7109375" style="65"/>
  </cols>
  <sheetData>
    <row r="1" spans="1:8">
      <c r="A1" s="64" t="s">
        <v>484</v>
      </c>
    </row>
    <row r="2" spans="1:8">
      <c r="A2" s="77" t="s">
        <v>485</v>
      </c>
    </row>
    <row r="4" spans="1:8" ht="22" customHeight="1">
      <c r="A4" s="37" t="s">
        <v>486</v>
      </c>
      <c r="B4" s="38" t="s">
        <v>487</v>
      </c>
      <c r="C4" s="38" t="s">
        <v>410</v>
      </c>
      <c r="D4" s="38" t="s">
        <v>1775</v>
      </c>
      <c r="E4" s="38" t="s">
        <v>488</v>
      </c>
      <c r="F4" s="38" t="s">
        <v>482</v>
      </c>
      <c r="G4" s="38" t="s">
        <v>489</v>
      </c>
      <c r="H4" s="39" t="s">
        <v>490</v>
      </c>
    </row>
    <row r="5" spans="1:8" ht="16">
      <c r="A5" s="67" t="s">
        <v>10</v>
      </c>
      <c r="B5" s="68" t="str">
        <f>IFERROR(INDEX(進捗一覧!$K:$K,MATCH($A5,進捗一覧!$L:$L,0)),"⚠未検出")</f>
        <v>FR-AUTH 認証フロー/Grant Type</v>
      </c>
      <c r="C5" s="69" t="str">
        <f>IFERROR(INDEX(進捗一覧!$E:$E,MATCH($A5,進捗一覧!$L:$L,0)),"⚠未検出")</f>
        <v>ローカルユーザーにIDとパスワードでのログインを認めるか。</v>
      </c>
      <c r="D5" s="70" t="str">
        <f>IFERROR(INDEX(進捗一覧!$H:$H,MATCH($A5,進捗一覧!$L:$L,0)),"⚠未検出")</f>
        <v>確定</v>
      </c>
      <c r="E5" s="68" t="s">
        <v>499</v>
      </c>
      <c r="F5" s="70" t="s">
        <v>539</v>
      </c>
      <c r="G5" s="70" t="s">
        <v>540</v>
      </c>
      <c r="H5" s="78" t="s">
        <v>541</v>
      </c>
    </row>
    <row r="6" spans="1:8" ht="16">
      <c r="A6" s="67" t="s">
        <v>11</v>
      </c>
      <c r="B6" s="68" t="str">
        <f>IFERROR(INDEX(進捗一覧!$K:$K,MATCH($A6,進捗一覧!$L:$L,0)),"⚠未検出")</f>
        <v>FR-AUTH 認証フロー/Grant Type</v>
      </c>
      <c r="C6" s="69" t="str">
        <f>IFERROR(INDEX(進捗一覧!$E:$E,MATCH($A6,進捗一覧!$L:$L,0)),"⚠未検出")</f>
        <v>スマホアプリや画面だけで動くWebアプリから安全にログインさせる標準方式を採用するか</v>
      </c>
      <c r="D6" s="70" t="str">
        <f>IFERROR(INDEX(進捗一覧!$H:$H,MATCH($A6,進捗一覧!$L:$L,0)),"⚠未検出")</f>
        <v>確定</v>
      </c>
      <c r="E6" s="68" t="s">
        <v>542</v>
      </c>
      <c r="F6" s="70" t="s">
        <v>543</v>
      </c>
      <c r="G6" s="70" t="s">
        <v>540</v>
      </c>
      <c r="H6" s="78" t="s">
        <v>544</v>
      </c>
    </row>
    <row r="7" spans="1:8" ht="16">
      <c r="A7" s="67" t="s">
        <v>12</v>
      </c>
      <c r="B7" s="68" t="str">
        <f>IFERROR(INDEX(進捗一覧!$K:$K,MATCH($A7,進捗一覧!$L:$L,0)),"⚠未検出")</f>
        <v>FR-AUTH 認証フロー/Grant Type</v>
      </c>
      <c r="C7" s="69" t="str">
        <f>IFERROR(INDEX(進捗一覧!$E:$E,MATCH($A7,進捗一覧!$L:$L,0)),"⚠未検出")</f>
        <v>サーバー側で画面を組み立てるWebアプリのログイン方式をどうするか</v>
      </c>
      <c r="D7" s="70" t="str">
        <f>IFERROR(INDEX(進捗一覧!$H:$H,MATCH($A7,進捗一覧!$L:$L,0)),"⚠未検出")</f>
        <v>確定</v>
      </c>
      <c r="E7" s="68" t="s">
        <v>533</v>
      </c>
      <c r="F7" s="70" t="s">
        <v>543</v>
      </c>
      <c r="G7" s="70" t="s">
        <v>540</v>
      </c>
      <c r="H7" s="78" t="s">
        <v>545</v>
      </c>
    </row>
    <row r="8" spans="1:8" ht="16">
      <c r="A8" s="67" t="s">
        <v>13</v>
      </c>
      <c r="B8" s="68" t="str">
        <f>IFERROR(INDEX(進捗一覧!$K:$K,MATCH($A8,進捗一覧!$L:$L,0)),"⚠未検出")</f>
        <v>FR-AUTH 認証フロー/Grant Type</v>
      </c>
      <c r="C8" s="69" t="str">
        <f>IFERROR(INDEX(進捗一覧!$E:$E,MATCH($A8,進捗一覧!$L:$L,0)),"⚠未検出")</f>
        <v>人を介さないシステム同士の通信で、機械が自分の身元を証明する仕組みを用意するか</v>
      </c>
      <c r="D8" s="70" t="str">
        <f>IFERROR(INDEX(進捗一覧!$H:$H,MATCH($A8,進捗一覧!$L:$L,0)),"⚠未検出")</f>
        <v>対象外</v>
      </c>
      <c r="E8" s="68" t="s">
        <v>538</v>
      </c>
      <c r="F8" s="70" t="s">
        <v>543</v>
      </c>
      <c r="G8" s="70" t="s">
        <v>540</v>
      </c>
      <c r="H8" s="78" t="s">
        <v>546</v>
      </c>
    </row>
    <row r="9" spans="1:8" ht="16">
      <c r="A9" s="67" t="s">
        <v>14</v>
      </c>
      <c r="B9" s="68" t="str">
        <f>IFERROR(INDEX(進捗一覧!$K:$K,MATCH($A9,進捗一覧!$L:$L,0)),"⚠未検出")</f>
        <v>FR-AUTH 認証フロー/Grant Type</v>
      </c>
      <c r="C9" s="69" t="str">
        <f>IFERROR(INDEX(進捗一覧!$E:$E,MATCH($A9,進捗一覧!$L:$L,0)),"⚠未検出")</f>
        <v>あるシステム向けの通行証を別システム向けに引き換える仕組みが必要か</v>
      </c>
      <c r="D9" s="70" t="str">
        <f>IFERROR(INDEX(進捗一覧!$H:$H,MATCH($A9,進捗一覧!$L:$L,0)),"⚠未検出")</f>
        <v>外部待ち</v>
      </c>
      <c r="E9" s="68" t="s">
        <v>547</v>
      </c>
      <c r="F9" s="70" t="s">
        <v>543</v>
      </c>
      <c r="G9" s="70" t="s">
        <v>540</v>
      </c>
      <c r="H9" s="78" t="s">
        <v>548</v>
      </c>
    </row>
    <row r="10" spans="1:8" ht="16">
      <c r="A10" s="67" t="s">
        <v>15</v>
      </c>
      <c r="B10" s="68" t="str">
        <f>IFERROR(INDEX(進捗一覧!$K:$K,MATCH($A10,進捗一覧!$L:$L,0)),"⚠未検出")</f>
        <v>FR-AUTH 認証フロー/Grant Type</v>
      </c>
      <c r="C10" s="69" t="str">
        <f>IFERROR(INDEX(進捗一覧!$E:$E,MATCH($A10,進捗一覧!$L:$L,0)),"⚠未検出")</f>
        <v>テレビやプリンタのように文字入力が難しい機器からログインする必要があるか</v>
      </c>
      <c r="D10" s="70" t="str">
        <f>IFERROR(INDEX(進捗一覧!$H:$H,MATCH($A10,進捗一覧!$L:$L,0)),"⚠未検出")</f>
        <v>対象外</v>
      </c>
      <c r="E10" s="68" t="s">
        <v>661</v>
      </c>
      <c r="F10" s="70" t="s">
        <v>1001</v>
      </c>
      <c r="G10" s="70" t="s">
        <v>662</v>
      </c>
      <c r="H10" s="78" t="s">
        <v>1002</v>
      </c>
    </row>
    <row r="11" spans="1:8" ht="16">
      <c r="A11" s="67" t="s">
        <v>16</v>
      </c>
      <c r="B11" s="68" t="str">
        <f>IFERROR(INDEX(進捗一覧!$K:$K,MATCH($A11,進捗一覧!$L:$L,0)),"⚠未検出")</f>
        <v>FR-AUTH 認証フロー/Grant Type</v>
      </c>
      <c r="C11" s="69" t="str">
        <f>IFERROR(INDEX(進捗一覧!$E:$E,MATCH($A11,進捗一覧!$L:$L,0)),"⚠未検出")</f>
        <v>電子証明書を使ってアプリ自身の身元を証明させる必要があるか</v>
      </c>
      <c r="D11" s="70" t="str">
        <f>IFERROR(INDEX(進捗一覧!$H:$H,MATCH($A11,進捗一覧!$L:$L,0)),"⚠未検出")</f>
        <v>方向性確定（条件付き）</v>
      </c>
      <c r="E11" s="68" t="s">
        <v>1043</v>
      </c>
      <c r="F11" s="70" t="s">
        <v>1044</v>
      </c>
      <c r="G11" s="70" t="s">
        <v>659</v>
      </c>
      <c r="H11" s="78" t="s">
        <v>1045</v>
      </c>
    </row>
    <row r="12" spans="1:8" ht="16">
      <c r="A12" s="67" t="s">
        <v>17</v>
      </c>
      <c r="B12" s="68" t="str">
        <f>IFERROR(INDEX(進捗一覧!$K:$K,MATCH($A12,進捗一覧!$L:$L,0)),"⚠未検出")</f>
        <v>FR-AUTH 認証フロー/Grant Type</v>
      </c>
      <c r="C12" s="69" t="str">
        <f>IFERROR(INDEX(進捗一覧!$E:$E,MATCH($A12,進捗一覧!$L:$L,0)),"⚠未検出")</f>
        <v>IDとパスワードを直接アプリに預ける古い方式は使わない、という方針を確認する</v>
      </c>
      <c r="D12" s="70" t="str">
        <f>IFERROR(INDEX(進捗一覧!$H:$H,MATCH($A12,進捗一覧!$L:$L,0)),"⚠未検出")</f>
        <v>確定</v>
      </c>
      <c r="E12" s="68" t="s">
        <v>532</v>
      </c>
      <c r="F12" s="70" t="s">
        <v>543</v>
      </c>
      <c r="G12" s="70" t="s">
        <v>550</v>
      </c>
      <c r="H12" s="78" t="s">
        <v>551</v>
      </c>
    </row>
    <row r="13" spans="1:8" ht="16">
      <c r="A13" s="67" t="s">
        <v>18</v>
      </c>
      <c r="B13" s="68" t="str">
        <f>IFERROR(INDEX(進捗一覧!$K:$K,MATCH($A13,進捗一覧!$L:$L,0)),"⚠未検出")</f>
        <v>FR-AUTH パスワード・ローカルユーザー管理</v>
      </c>
      <c r="C13" s="69" t="str">
        <f>IFERROR(INDEX(進捗一覧!$E:$E,MATCH($A13,進捗一覧!$L:$L,0)),"⚠未検出")</f>
        <v>パスワードの最低文字数や、記号・数字を混ぜる条件をどう決めるか</v>
      </c>
      <c r="D13" s="70" t="str">
        <f>IFERROR(INDEX(進捗一覧!$H:$H,MATCH($A13,進捗一覧!$L:$L,0)),"⚠未検出")</f>
        <v>確定</v>
      </c>
      <c r="E13" s="68" t="s">
        <v>690</v>
      </c>
      <c r="F13" s="70" t="s">
        <v>691</v>
      </c>
      <c r="G13" s="70" t="s">
        <v>667</v>
      </c>
      <c r="H13" s="78" t="s">
        <v>692</v>
      </c>
    </row>
    <row r="14" spans="1:8" ht="16">
      <c r="A14" s="67" t="s">
        <v>19</v>
      </c>
      <c r="B14" s="68" t="str">
        <f>IFERROR(INDEX(進捗一覧!$K:$K,MATCH($A14,進捗一覧!$L:$L,0)),"⚠未検出")</f>
        <v>FR-AUTH パスワード・ローカルユーザー管理</v>
      </c>
      <c r="C14" s="69" t="str">
        <f>IFERROR(INDEX(進捗一覧!$E:$E,MATCH($A14,進捗一覧!$L:$L,0)),"⚠未検出")</f>
        <v>過去に使ったパスワードの再利用を禁止するか。禁止するなら何世代さかのぼるか</v>
      </c>
      <c r="D14" s="70" t="str">
        <f>IFERROR(INDEX(進捗一覧!$H:$H,MATCH($A14,進捗一覧!$L:$L,0)),"⚠未検出")</f>
        <v>外部待ち</v>
      </c>
      <c r="E14" s="68" t="s">
        <v>690</v>
      </c>
      <c r="F14" s="70" t="s">
        <v>691</v>
      </c>
      <c r="G14" s="70" t="s">
        <v>667</v>
      </c>
      <c r="H14" s="78" t="s">
        <v>995</v>
      </c>
    </row>
    <row r="15" spans="1:8" ht="16">
      <c r="A15" s="67" t="s">
        <v>20</v>
      </c>
      <c r="B15" s="68" t="str">
        <f>IFERROR(INDEX(進捗一覧!$K:$K,MATCH($A15,進捗一覧!$L:$L,0)),"⚠未検出")</f>
        <v>FR-AUTH パスワード・ローカルユーザー管理</v>
      </c>
      <c r="C15" s="69" t="str">
        <f>IFERROR(INDEX(進捗一覧!$E:$E,MATCH($A15,進捗一覧!$L:$L,0)),"⚠未検出")</f>
        <v>ログイン失敗が続いたときアカウントを一時的に止めるか。何回で止め、いつ解除するか</v>
      </c>
      <c r="D15" s="70" t="str">
        <f>IFERROR(INDEX(進捗一覧!$H:$H,MATCH($A15,進捗一覧!$L:$L,0)),"⚠未検出")</f>
        <v>外部待ち</v>
      </c>
      <c r="E15" s="68" t="s">
        <v>693</v>
      </c>
      <c r="F15" s="70" t="s">
        <v>694</v>
      </c>
      <c r="G15" s="70" t="s">
        <v>667</v>
      </c>
      <c r="H15" s="78" t="s">
        <v>695</v>
      </c>
    </row>
    <row r="16" spans="1:8" ht="16">
      <c r="A16" s="67" t="s">
        <v>21</v>
      </c>
      <c r="B16" s="68" t="str">
        <f>IFERROR(INDEX(進捗一覧!$K:$K,MATCH($A16,進捗一覧!$L:$L,0)),"⚠未検出")</f>
        <v>FR-AUTH パスワード・ローカルユーザー管理</v>
      </c>
      <c r="C16" s="69" t="str">
        <f>IFERROR(INDEX(進捗一覧!$E:$E,MATCH($A16,進捗一覧!$L:$L,0)),"⚠未検出")</f>
        <v>パスワードに有効期限を設けて定期変更を求めるか。何日で切るか</v>
      </c>
      <c r="D16" s="70" t="str">
        <f>IFERROR(INDEX(進捗一覧!$H:$H,MATCH($A16,進捗一覧!$L:$L,0)),"⚠未検出")</f>
        <v>外部待ち</v>
      </c>
      <c r="E16" s="68" t="s">
        <v>696</v>
      </c>
      <c r="F16" s="70" t="s">
        <v>691</v>
      </c>
      <c r="G16" s="70" t="s">
        <v>674</v>
      </c>
      <c r="H16" s="78" t="s">
        <v>697</v>
      </c>
    </row>
    <row r="17" spans="1:8" ht="16">
      <c r="A17" s="67" t="s">
        <v>22</v>
      </c>
      <c r="B17" s="68" t="str">
        <f>IFERROR(INDEX(進捗一覧!$K:$K,MATCH($A17,進捗一覧!$L:$L,0)),"⚠未検出")</f>
        <v>FR-AUTH パスワード・ローカルユーザー管理</v>
      </c>
      <c r="C17" s="69" t="str">
        <f>IFERROR(INDEX(進捗一覧!$E:$E,MATCH($A17,進捗一覧!$L:$L,0)),"⚠未検出")</f>
        <v>利用者が自分でパスワードを再設定できるようにするか。その際の本人確認をどう行うか</v>
      </c>
      <c r="D17" s="70" t="str">
        <f>IFERROR(INDEX(進捗一覧!$H:$H,MATCH($A17,進捗一覧!$L:$L,0)),"⚠未検出")</f>
        <v>外部待ち</v>
      </c>
      <c r="E17" s="68" t="s">
        <v>657</v>
      </c>
      <c r="F17" s="70" t="s">
        <v>658</v>
      </c>
      <c r="G17" s="70" t="s">
        <v>659</v>
      </c>
      <c r="H17" s="78" t="s">
        <v>660</v>
      </c>
    </row>
    <row r="18" spans="1:8" ht="16">
      <c r="A18" s="67" t="s">
        <v>23</v>
      </c>
      <c r="B18" s="68" t="str">
        <f>IFERROR(INDEX(進捗一覧!$K:$K,MATCH($A18,進捗一覧!$L:$L,0)),"⚠未検出")</f>
        <v>FR-AUTH パスワード・ローカルユーザー管理</v>
      </c>
      <c r="C18" s="69" t="str">
        <f>IFERROR(INDEX(進捗一覧!$E:$E,MATCH($A18,進捗一覧!$L:$L,0)),"⚠未検出")</f>
        <v>初回ログイン時にパスワードの変更を強制するか</v>
      </c>
      <c r="D18" s="70" t="str">
        <f>IFERROR(INDEX(進捗一覧!$H:$H,MATCH($A18,進捗一覧!$L:$L,0)),"⚠未検出")</f>
        <v>外部待ち</v>
      </c>
      <c r="E18" s="68" t="s">
        <v>690</v>
      </c>
      <c r="F18" s="70" t="s">
        <v>691</v>
      </c>
      <c r="G18" s="70" t="s">
        <v>667</v>
      </c>
      <c r="H18" s="78" t="s">
        <v>996</v>
      </c>
    </row>
    <row r="19" spans="1:8" ht="16">
      <c r="A19" s="67" t="s">
        <v>24</v>
      </c>
      <c r="B19" s="68" t="str">
        <f>IFERROR(INDEX(進捗一覧!$K:$K,MATCH($A19,進捗一覧!$L:$L,0)),"⚠未検出")</f>
        <v>FR-FED IdP接続種別</v>
      </c>
      <c r="C19" s="69" t="str">
        <f>IFERROR(INDEX(進捗一覧!$E:$E,MATCH($A19,進捗一覧!$L:$L,0)),"⚠未検出")</f>
        <v>既存の認証サービス（Auth0）と連携してログインさせるか</v>
      </c>
      <c r="D19" s="70" t="str">
        <f>IFERROR(INDEX(進捗一覧!$H:$H,MATCH($A19,進捗一覧!$L:$L,0)),"⚠未検出")</f>
        <v>外部待ち</v>
      </c>
      <c r="E19" s="68" t="s">
        <v>552</v>
      </c>
      <c r="F19" s="70" t="s">
        <v>539</v>
      </c>
      <c r="G19" s="70" t="s">
        <v>540</v>
      </c>
      <c r="H19" s="78" t="s">
        <v>553</v>
      </c>
    </row>
    <row r="20" spans="1:8" ht="16">
      <c r="A20" s="67" t="s">
        <v>25</v>
      </c>
      <c r="B20" s="68" t="str">
        <f>IFERROR(INDEX(進捗一覧!$K:$K,MATCH($A20,進捗一覧!$L:$L,0)),"⚠未検出")</f>
        <v>FR-FED IdP接続種別</v>
      </c>
      <c r="C20" s="69" t="str">
        <f>IFERROR(INDEX(進捗一覧!$E:$E,MATCH($A20,進捗一覧!$L:$L,0)),"⚠未検出")</f>
        <v>顧客が使っているMicrosoftのID基盤と連携するか。最優先で確認したい項目</v>
      </c>
      <c r="D20" s="70" t="str">
        <f>IFERROR(INDEX(進捗一覧!$H:$H,MATCH($A20,進捗一覧!$L:$L,0)),"⚠未検出")</f>
        <v>外部待ち</v>
      </c>
      <c r="E20" s="68" t="s">
        <v>554</v>
      </c>
      <c r="F20" s="70" t="s">
        <v>539</v>
      </c>
      <c r="G20" s="70" t="s">
        <v>550</v>
      </c>
      <c r="H20" s="78" t="s">
        <v>555</v>
      </c>
    </row>
    <row r="21" spans="1:8" ht="16">
      <c r="A21" s="67" t="s">
        <v>26</v>
      </c>
      <c r="B21" s="68" t="str">
        <f>IFERROR(INDEX(進捗一覧!$K:$K,MATCH($A21,進捗一覧!$L:$L,0)),"⚠未検出")</f>
        <v>FR-FED IdP接続種別</v>
      </c>
      <c r="C21" s="69" t="str">
        <f>IFERROR(INDEX(進捗一覧!$E:$E,MATCH($A21,進捗一覧!$L:$L,0)),"⚠未検出")</f>
        <v>顧客が使っているOktaと連携するか</v>
      </c>
      <c r="D21" s="70" t="str">
        <f>IFERROR(INDEX(進捗一覧!$H:$H,MATCH($A21,進捗一覧!$L:$L,0)),"⚠未検出")</f>
        <v>外部待ち</v>
      </c>
      <c r="E21" s="68" t="s">
        <v>554</v>
      </c>
      <c r="F21" s="70" t="s">
        <v>539</v>
      </c>
      <c r="G21" s="70" t="s">
        <v>550</v>
      </c>
      <c r="H21" s="78" t="s">
        <v>556</v>
      </c>
    </row>
    <row r="22" spans="1:8" ht="16">
      <c r="A22" s="67" t="s">
        <v>27</v>
      </c>
      <c r="B22" s="68" t="str">
        <f>IFERROR(INDEX(進捗一覧!$K:$K,MATCH($A22,進捗一覧!$L:$L,0)),"⚠未検出")</f>
        <v>FR-FED IdP接続種別</v>
      </c>
      <c r="C22" s="69" t="str">
        <f>IFERROR(INDEX(進捗一覧!$E:$E,MATCH($A22,進捗一覧!$L:$L,0)),"⚠未検出")</f>
        <v>Google Workspaceのアカウントでログインできるようにするか</v>
      </c>
      <c r="D22" s="70" t="str">
        <f>IFERROR(INDEX(進捗一覧!$H:$H,MATCH($A22,進捗一覧!$L:$L,0)),"⚠未検出")</f>
        <v>外部待ち</v>
      </c>
      <c r="E22" s="68" t="s">
        <v>500</v>
      </c>
      <c r="F22" s="70" t="s">
        <v>539</v>
      </c>
      <c r="G22" s="70" t="s">
        <v>550</v>
      </c>
      <c r="H22" s="78" t="s">
        <v>557</v>
      </c>
    </row>
    <row r="23" spans="1:8" ht="16">
      <c r="A23" s="67" t="s">
        <v>28</v>
      </c>
      <c r="B23" s="68" t="str">
        <f>IFERROR(INDEX(進捗一覧!$K:$K,MATCH($A23,進捗一覧!$L:$L,0)),"⚠未検出")</f>
        <v>FR-FED IdP接続種別</v>
      </c>
      <c r="C23" s="69" t="str">
        <f>IFERROR(INDEX(進捗一覧!$E:$E,MATCH($A23,進捗一覧!$L:$L,0)),"⚠未検出")</f>
        <v>顧客側の旧来方式（SAML）のID基盤を受け入れる必要があるか</v>
      </c>
      <c r="D23" s="70" t="str">
        <f>IFERROR(INDEX(進捗一覧!$H:$H,MATCH($A23,進捗一覧!$L:$L,0)),"⚠未検出")</f>
        <v>外部待ち</v>
      </c>
      <c r="E23" s="68" t="s">
        <v>504</v>
      </c>
      <c r="F23" s="70" t="s">
        <v>539</v>
      </c>
      <c r="G23" s="70" t="s">
        <v>550</v>
      </c>
      <c r="H23" s="78" t="s">
        <v>558</v>
      </c>
    </row>
    <row r="24" spans="1:8" ht="16">
      <c r="A24" s="67" t="s">
        <v>29</v>
      </c>
      <c r="B24" s="68" t="str">
        <f>IFERROR(INDEX(進捗一覧!$K:$K,MATCH($A24,進捗一覧!$L:$L,0)),"⚠未検出")</f>
        <v>FR-FED IdP接続種別</v>
      </c>
      <c r="C24" s="69" t="str">
        <f>IFERROR(INDEX(進捗一覧!$E:$E,MATCH($A24,進捗一覧!$L:$L,0)),"⚠未検出")</f>
        <v>自分たちが旧来方式（SAML）のID提供元として振る舞う必要があるか</v>
      </c>
      <c r="D24" s="70" t="str">
        <f>IFERROR(INDEX(進捗一覧!$H:$H,MATCH($A24,進捗一覧!$L:$L,0)),"⚠未検出")</f>
        <v>外部待ち</v>
      </c>
      <c r="E24" s="68" t="s">
        <v>1003</v>
      </c>
      <c r="F24" s="70" t="s">
        <v>863</v>
      </c>
      <c r="G24" s="70" t="s">
        <v>667</v>
      </c>
      <c r="H24" s="78" t="s">
        <v>1004</v>
      </c>
    </row>
    <row r="25" spans="1:8" ht="16">
      <c r="A25" s="67" t="s">
        <v>30</v>
      </c>
      <c r="B25" s="68" t="str">
        <f>IFERROR(INDEX(進捗一覧!$K:$K,MATCH($A25,進捗一覧!$L:$L,0)),"⚠未検出")</f>
        <v>FR-FED IdP接続種別</v>
      </c>
      <c r="C25" s="69" t="str">
        <f>IFERROR(INDEX(進捗一覧!$E:$E,MATCH($A25,進捗一覧!$L:$L,0)),"⚠未検出")</f>
        <v>社内のディレクトリサーバー（LDAP/AD）と直接つなぐ必要があるか</v>
      </c>
      <c r="D25" s="70" t="str">
        <f>IFERROR(INDEX(進捗一覧!$H:$H,MATCH($A25,進捗一覧!$L:$L,0)),"⚠未検出")</f>
        <v>確定</v>
      </c>
      <c r="E25" s="68" t="s">
        <v>510</v>
      </c>
      <c r="F25" s="70" t="s">
        <v>559</v>
      </c>
      <c r="G25" s="70" t="s">
        <v>560</v>
      </c>
      <c r="H25" s="78" t="s">
        <v>561</v>
      </c>
    </row>
    <row r="26" spans="1:8" ht="16">
      <c r="A26" s="67" t="s">
        <v>31</v>
      </c>
      <c r="B26" s="68" t="str">
        <f>IFERROR(INDEX(進捗一覧!$K:$K,MATCH($A26,進捗一覧!$L:$L,0)),"⚠未検出")</f>
        <v>FR-FED IdP接続種別</v>
      </c>
      <c r="C26" s="69" t="str">
        <f>IFERROR(INDEX(進捗一覧!$E:$E,MATCH($A26,進捗一覧!$L:$L,0)),"⚠未検出")</f>
        <v>顧客ごとの独自ドメイン名でログイン画面を出す必要があるか</v>
      </c>
      <c r="D26" s="70" t="str">
        <f>IFERROR(INDEX(進捗一覧!$H:$H,MATCH($A26,進捗一覧!$L:$L,0)),"⚠未検出")</f>
        <v>外部待ち</v>
      </c>
      <c r="E26" s="68" t="s">
        <v>663</v>
      </c>
      <c r="F26" s="70" t="s">
        <v>658</v>
      </c>
      <c r="G26" s="70" t="s">
        <v>659</v>
      </c>
      <c r="H26" s="78" t="s">
        <v>664</v>
      </c>
    </row>
    <row r="27" spans="1:8" ht="16">
      <c r="A27" s="67" t="s">
        <v>32</v>
      </c>
      <c r="B27" s="68" t="str">
        <f>IFERROR(INDEX(進捗一覧!$K:$K,MATCH($A27,進捗一覧!$L:$L,0)),"⚠未検出")</f>
        <v>FR-FED フェデレーションユーザー処理</v>
      </c>
      <c r="C27" s="69" t="str">
        <f>IFERROR(INDEX(進捗一覧!$E:$E,MATCH($A27,進捗一覧!$L:$L,0)),"⚠未検出")</f>
        <v>初回ログイン時に利用者を自動で作る方式（JIT）は採用で決定済み。SCIM同期と併用する前提で、自動で作る項目と、既存利用者と重複したときの突合キー・初期権限をどうするか</v>
      </c>
      <c r="D27" s="70" t="str">
        <f>IFERROR(INDEX(進捗一覧!$H:$H,MATCH($A27,進捗一覧!$L:$L,0)),"⚠未検出")</f>
        <v>方向性確定（条件付き）</v>
      </c>
      <c r="E27" s="68" t="s">
        <v>562</v>
      </c>
      <c r="F27" s="70" t="s">
        <v>563</v>
      </c>
      <c r="G27" s="70" t="s">
        <v>540</v>
      </c>
      <c r="H27" s="78" t="s">
        <v>564</v>
      </c>
    </row>
    <row r="28" spans="1:8" ht="16">
      <c r="A28" s="67" t="s">
        <v>33</v>
      </c>
      <c r="B28" s="68" t="str">
        <f>IFERROR(INDEX(進捗一覧!$K:$K,MATCH($A28,進捗一覧!$L:$L,0)),"⚠未検出")</f>
        <v>FR-FED フェデレーションユーザー処理</v>
      </c>
      <c r="C28" s="69" t="str">
        <f>IFERROR(INDEX(進捗一覧!$E:$E,MATCH($A28,進捗一覧!$L:$L,0)),"⚠未検出")</f>
        <v>顧客のID基盤から受け取る項目を、自分たちの項目にどう対応づけるか。アプリへ渡す通行証（JWT）の項目名をどこまで統一するかを含む</v>
      </c>
      <c r="D28" s="70" t="str">
        <f>IFERROR(INDEX(進捗一覧!$H:$H,MATCH($A28,進捗一覧!$L:$L,0)),"⚠未検出")</f>
        <v>外部待ち</v>
      </c>
      <c r="E28" s="68" t="s">
        <v>565</v>
      </c>
      <c r="F28" s="70" t="s">
        <v>563</v>
      </c>
      <c r="G28" s="70" t="s">
        <v>540</v>
      </c>
      <c r="H28" s="78" t="s">
        <v>566</v>
      </c>
    </row>
    <row r="29" spans="1:8" ht="16">
      <c r="A29" s="67" t="s">
        <v>34</v>
      </c>
      <c r="B29" s="68" t="str">
        <f>IFERROR(INDEX(進捗一覧!$K:$K,MATCH($A29,進捗一覧!$L:$L,0)),"⚠未検出")</f>
        <v>FR-FED フェデレーションユーザー処理</v>
      </c>
      <c r="C29" s="69" t="str">
        <f>IFERROR(INDEX(進捗一覧!$E:$E,MATCH($A29,進捗一覧!$L:$L,0)),"⚠未検出")</f>
        <v>顧客側で追加認証を済ませた利用者に、こちらで二重に求めないための条件をどうするか</v>
      </c>
      <c r="D29" s="70" t="str">
        <f>IFERROR(INDEX(進捗一覧!$H:$H,MATCH($A29,進捗一覧!$L:$L,0)),"⚠未検出")</f>
        <v>確定</v>
      </c>
      <c r="E29" s="68" t="s">
        <v>567</v>
      </c>
      <c r="F29" s="70" t="s">
        <v>539</v>
      </c>
      <c r="G29" s="70" t="s">
        <v>540</v>
      </c>
      <c r="H29" s="78" t="s">
        <v>568</v>
      </c>
    </row>
    <row r="30" spans="1:8" ht="16">
      <c r="A30" s="67" t="s">
        <v>35</v>
      </c>
      <c r="B30" s="68" t="str">
        <f>IFERROR(INDEX(進捗一覧!$K:$K,MATCH($A30,進捗一覧!$L:$L,0)),"⚠未検出")</f>
        <v>FR-FED マルチテナント運用</v>
      </c>
      <c r="C30" s="69" t="str">
        <f>IFERROR(INDEX(進捗一覧!$E:$E,MATCH($A30,進捗一覧!$L:$L,0)),"⚠未検出")</f>
        <v>複数の顧客のID基盤を同時に並行運用する前提でよいか</v>
      </c>
      <c r="D30" s="70" t="str">
        <f>IFERROR(INDEX(進捗一覧!$H:$H,MATCH($A30,進捗一覧!$L:$L,0)),"⚠未検出")</f>
        <v>確定</v>
      </c>
      <c r="E30" s="68" t="s">
        <v>569</v>
      </c>
      <c r="F30" s="70" t="s">
        <v>539</v>
      </c>
      <c r="G30" s="70" t="s">
        <v>540</v>
      </c>
      <c r="H30" s="78" t="s">
        <v>570</v>
      </c>
    </row>
    <row r="31" spans="1:8" ht="16">
      <c r="A31" s="67" t="s">
        <v>36</v>
      </c>
      <c r="B31" s="68" t="str">
        <f>IFERROR(INDEX(進捗一覧!$K:$K,MATCH($A31,進捗一覧!$L:$L,0)),"⚠未検出")</f>
        <v>FR-FED マルチテナント運用</v>
      </c>
      <c r="C31" s="69" t="str">
        <f>IFERROR(INDEX(進捗一覧!$E:$E,MATCH($A31,進捗一覧!$L:$L,0)),"⚠未検出")</f>
        <v>新しい顧客を追加するときの申請から開通までの手順と、所要日数をどうするか</v>
      </c>
      <c r="D31" s="70" t="str">
        <f>IFERROR(INDEX(進捗一覧!$H:$H,MATCH($A31,進捗一覧!$L:$L,0)),"⚠未検出")</f>
        <v>外部待ち</v>
      </c>
      <c r="E31" s="68" t="s">
        <v>507</v>
      </c>
      <c r="F31" s="70" t="s">
        <v>539</v>
      </c>
      <c r="G31" s="70" t="s">
        <v>550</v>
      </c>
      <c r="H31" s="78" t="s">
        <v>571</v>
      </c>
    </row>
    <row r="32" spans="1:8" ht="16">
      <c r="A32" s="67" t="s">
        <v>37</v>
      </c>
      <c r="B32" s="68" t="str">
        <f>IFERROR(INDEX(進捗一覧!$K:$K,MATCH($A32,進捗一覧!$L:$L,0)),"⚠未検出")</f>
        <v>FR-FED マルチテナント運用</v>
      </c>
      <c r="C32" s="69" t="str">
        <f>IFERROR(INDEX(進捗一覧!$E:$E,MATCH($A32,進捗一覧!$L:$L,0)),"⚠未検出")</f>
        <v>ログイン画面で所属を利用者に選ばせるか、メールアドレスから自動判定するか</v>
      </c>
      <c r="D32" s="70" t="str">
        <f>IFERROR(INDEX(進捗一覧!$H:$H,MATCH($A32,進捗一覧!$L:$L,0)),"⚠未検出")</f>
        <v>外部待ち</v>
      </c>
      <c r="E32" s="68" t="s">
        <v>665</v>
      </c>
      <c r="F32" s="70" t="s">
        <v>666</v>
      </c>
      <c r="G32" s="70" t="s">
        <v>667</v>
      </c>
      <c r="H32" s="78" t="s">
        <v>668</v>
      </c>
    </row>
    <row r="33" spans="1:8" ht="16">
      <c r="A33" s="67" t="s">
        <v>38</v>
      </c>
      <c r="B33" s="68" t="str">
        <f>IFERROR(INDEX(進捗一覧!$K:$K,MATCH($A33,進捗一覧!$L:$L,0)),"⚠未検出")</f>
        <v>FR-MFA MFA要素</v>
      </c>
      <c r="C33" s="69" t="str">
        <f>IFERROR(INDEX(進捗一覧!$E:$E,MATCH($A33,進捗一覧!$L:$L,0)),"⚠未検出")</f>
        <v>スマホの認証アプリによる追加確認を用意するか</v>
      </c>
      <c r="D33" s="70" t="str">
        <f>IFERROR(INDEX(進捗一覧!$H:$H,MATCH($A33,進捗一覧!$L:$L,0)),"⚠未検出")</f>
        <v>外部待ち</v>
      </c>
      <c r="E33" s="68" t="s">
        <v>669</v>
      </c>
      <c r="F33" s="70" t="s">
        <v>666</v>
      </c>
      <c r="G33" s="70" t="s">
        <v>667</v>
      </c>
      <c r="H33" s="78" t="s">
        <v>670</v>
      </c>
    </row>
    <row r="34" spans="1:8" ht="16">
      <c r="A34" s="67" t="s">
        <v>39</v>
      </c>
      <c r="B34" s="68" t="str">
        <f>IFERROR(INDEX(進捗一覧!$K:$K,MATCH($A34,進捗一覧!$L:$L,0)),"⚠未検出")</f>
        <v>FR-MFA MFA要素</v>
      </c>
      <c r="C34" s="69" t="str">
        <f>IFERROR(INDEX(進捗一覧!$E:$E,MATCH($A34,進捗一覧!$L:$L,0)),"⚠未検出")</f>
        <v>指紋・顔認証やセキュリティキーを使ったパスワード不要のログインを用意するか</v>
      </c>
      <c r="D34" s="70" t="str">
        <f>IFERROR(INDEX(進捗一覧!$H:$H,MATCH($A34,進捗一覧!$L:$L,0)),"⚠未検出")</f>
        <v>外部待ち</v>
      </c>
      <c r="E34" s="68" t="s">
        <v>671</v>
      </c>
      <c r="F34" s="70" t="s">
        <v>666</v>
      </c>
      <c r="G34" s="70" t="s">
        <v>667</v>
      </c>
      <c r="H34" s="78" t="s">
        <v>672</v>
      </c>
    </row>
    <row r="35" spans="1:8" ht="16">
      <c r="A35" s="67" t="s">
        <v>40</v>
      </c>
      <c r="B35" s="68" t="str">
        <f>IFERROR(INDEX(進捗一覧!$K:$K,MATCH($A35,進捗一覧!$L:$L,0)),"⚠未検出")</f>
        <v>FR-MFA MFA要素</v>
      </c>
      <c r="C35" s="69" t="str">
        <f>IFERROR(INDEX(進捗一覧!$E:$E,MATCH($A35,進捗一覧!$L:$L,0)),"⚠未検出")</f>
        <v>SMS（携帯メッセージ）による追加確認を用意するか。費用と安全性をどう見るか</v>
      </c>
      <c r="D35" s="70" t="str">
        <f>IFERROR(INDEX(進捗一覧!$H:$H,MATCH($A35,進捗一覧!$L:$L,0)),"⚠未検出")</f>
        <v>外部待ち</v>
      </c>
      <c r="E35" s="68" t="s">
        <v>673</v>
      </c>
      <c r="F35" s="70" t="s">
        <v>658</v>
      </c>
      <c r="G35" s="70" t="s">
        <v>674</v>
      </c>
      <c r="H35" s="78" t="s">
        <v>675</v>
      </c>
    </row>
    <row r="36" spans="1:8" ht="16">
      <c r="A36" s="67" t="s">
        <v>41</v>
      </c>
      <c r="B36" s="68" t="str">
        <f>IFERROR(INDEX(進捗一覧!$K:$K,MATCH($A36,進捗一覧!$L:$L,0)),"⚠未検出")</f>
        <v>FR-MFA MFA要素</v>
      </c>
      <c r="C36" s="69" t="str">
        <f>IFERROR(INDEX(進捗一覧!$E:$E,MATCH($A36,進捗一覧!$L:$L,0)),"⚠未検出")</f>
        <v>メールによる追加確認を用意するか</v>
      </c>
      <c r="D36" s="70" t="str">
        <f>IFERROR(INDEX(進捗一覧!$H:$H,MATCH($A36,進捗一覧!$L:$L,0)),"⚠未検出")</f>
        <v>外部待ち</v>
      </c>
      <c r="E36" s="68" t="s">
        <v>696</v>
      </c>
      <c r="F36" s="70" t="s">
        <v>691</v>
      </c>
      <c r="G36" s="70" t="s">
        <v>674</v>
      </c>
      <c r="H36" s="78" t="s">
        <v>997</v>
      </c>
    </row>
    <row r="37" spans="1:8" ht="16">
      <c r="A37" s="67" t="s">
        <v>42</v>
      </c>
      <c r="B37" s="68" t="str">
        <f>IFERROR(INDEX(進捗一覧!$K:$K,MATCH($A37,進捗一覧!$L:$L,0)),"⚠未検出")</f>
        <v>FR-MFA MFA要素</v>
      </c>
      <c r="C37" s="69" t="str">
        <f>IFERROR(INDEX(進捗一覧!$E:$E,MATCH($A37,進捗一覧!$L:$L,0)),"⚠未検出")</f>
        <v>端末を失くしたとき用の予備コードを発行するか</v>
      </c>
      <c r="D37" s="70" t="str">
        <f>IFERROR(INDEX(進捗一覧!$H:$H,MATCH($A37,進捗一覧!$L:$L,0)),"⚠未検出")</f>
        <v>外部待ち</v>
      </c>
      <c r="E37" s="68" t="s">
        <v>657</v>
      </c>
      <c r="F37" s="70" t="s">
        <v>658</v>
      </c>
      <c r="G37" s="70" t="s">
        <v>667</v>
      </c>
      <c r="H37" s="78" t="s">
        <v>676</v>
      </c>
    </row>
    <row r="38" spans="1:8" ht="16">
      <c r="A38" s="67" t="s">
        <v>43</v>
      </c>
      <c r="B38" s="68" t="str">
        <f>IFERROR(INDEX(進捗一覧!$K:$K,MATCH($A38,進捗一覧!$L:$L,0)),"⚠未検出")</f>
        <v>FR-MFA MFA適用ポリシー</v>
      </c>
      <c r="C38" s="69" t="str">
        <f>IFERROR(INDEX(進捗一覧!$E:$E,MATCH($A38,進捗一覧!$L:$L,0)),"⚠未検出")</f>
        <v>普段と違う場所や不審な状況のときだけ追加確認を求めるか。その判定基準をどうするか</v>
      </c>
      <c r="D38" s="70" t="str">
        <f>IFERROR(INDEX(進捗一覧!$H:$H,MATCH($A38,進捗一覧!$L:$L,0)),"⚠未検出")</f>
        <v>確定</v>
      </c>
      <c r="E38" s="68" t="s">
        <v>677</v>
      </c>
      <c r="F38" s="70" t="s">
        <v>666</v>
      </c>
      <c r="G38" s="70" t="s">
        <v>659</v>
      </c>
      <c r="H38" s="78" t="s">
        <v>678</v>
      </c>
    </row>
    <row r="39" spans="1:8" ht="16">
      <c r="A39" s="67" t="s">
        <v>44</v>
      </c>
      <c r="B39" s="68" t="str">
        <f>IFERROR(INDEX(進捗一覧!$K:$K,MATCH($A39,進捗一覧!$L:$L,0)),"⚠未検出")</f>
        <v>FR-MFA MFA適用ポリシー</v>
      </c>
      <c r="C39" s="69" t="str">
        <f>IFERROR(INDEX(進捗一覧!$E:$E,MATCH($A39,進捗一覧!$L:$L,0)),"⚠未検出")</f>
        <v>追加確認を全員必須にするか、役割ごとに任意とするか</v>
      </c>
      <c r="D39" s="70" t="str">
        <f>IFERROR(INDEX(進捗一覧!$H:$H,MATCH($A39,進捗一覧!$L:$L,0)),"⚠未検出")</f>
        <v>確定</v>
      </c>
      <c r="E39" s="68" t="s">
        <v>669</v>
      </c>
      <c r="F39" s="70" t="s">
        <v>666</v>
      </c>
      <c r="G39" s="70" t="s">
        <v>667</v>
      </c>
      <c r="H39" s="78" t="s">
        <v>679</v>
      </c>
    </row>
    <row r="40" spans="1:8" ht="16">
      <c r="A40" s="67" t="s">
        <v>45</v>
      </c>
      <c r="B40" s="68" t="str">
        <f>IFERROR(INDEX(進捗一覧!$K:$K,MATCH($A40,進捗一覧!$L:$L,0)),"⚠未検出")</f>
        <v>FR-MFA MFA適用ポリシー</v>
      </c>
      <c r="C40" s="69" t="str">
        <f>IFERROR(INDEX(進捗一覧!$E:$E,MATCH($A40,進捗一覧!$L:$L,0)),"⚠未検出")</f>
        <v>一度確認した端末を記憶して次回以降の追加確認を省くか。記憶する期間をどうするか</v>
      </c>
      <c r="D40" s="70" t="str">
        <f>IFERROR(INDEX(進捗一覧!$H:$H,MATCH($A40,進捗一覧!$L:$L,0)),"⚠未検出")</f>
        <v>外部待ち</v>
      </c>
      <c r="E40" s="68" t="s">
        <v>661</v>
      </c>
      <c r="F40" s="70" t="s">
        <v>658</v>
      </c>
      <c r="G40" s="70" t="s">
        <v>659</v>
      </c>
      <c r="H40" s="78" t="s">
        <v>680</v>
      </c>
    </row>
    <row r="41" spans="1:8" ht="16">
      <c r="A41" s="67" t="s">
        <v>46</v>
      </c>
      <c r="B41" s="68" t="str">
        <f>IFERROR(INDEX(進捗一覧!$K:$K,MATCH($A41,進捗一覧!$L:$L,0)),"⚠未検出")</f>
        <v>FR-MFA MFA適用ポリシー</v>
      </c>
      <c r="C41" s="69" t="str">
        <f>IFERROR(INDEX(進捗一覧!$E:$E,MATCH($A41,進捗一覧!$L:$L,0)),"⚠未検出")</f>
        <v>管理者権限を持つ人には追加確認を必須にするか</v>
      </c>
      <c r="D41" s="70" t="str">
        <f>IFERROR(INDEX(進捗一覧!$H:$H,MATCH($A41,進捗一覧!$L:$L,0)),"⚠未検出")</f>
        <v>確定</v>
      </c>
      <c r="E41" s="68" t="s">
        <v>499</v>
      </c>
      <c r="F41" s="70" t="s">
        <v>539</v>
      </c>
      <c r="G41" s="70" t="s">
        <v>540</v>
      </c>
      <c r="H41" s="78" t="s">
        <v>572</v>
      </c>
    </row>
    <row r="42" spans="1:8" ht="16">
      <c r="A42" s="67" t="s">
        <v>47</v>
      </c>
      <c r="B42" s="68" t="str">
        <f>IFERROR(INDEX(進捗一覧!$K:$K,MATCH($A42,進捗一覧!$L:$L,0)),"⚠未検出")</f>
        <v>FR-SSO SSO</v>
      </c>
      <c r="C42" s="69" t="str">
        <f>IFERROR(INDEX(進捗一覧!$E:$E,MATCH($A42,進捗一覧!$L:$L,0)),"⚠未検出")</f>
        <v>一度ログインすれば複数のアプリを使い回せる状態にするか</v>
      </c>
      <c r="D42" s="70" t="str">
        <f>IFERROR(INDEX(進捗一覧!$H:$H,MATCH($A42,進捗一覧!$L:$L,0)),"⚠未検出")</f>
        <v>確定</v>
      </c>
      <c r="E42" s="68" t="s">
        <v>522</v>
      </c>
      <c r="F42" s="70" t="s">
        <v>543</v>
      </c>
      <c r="G42" s="70" t="s">
        <v>540</v>
      </c>
      <c r="H42" s="78" t="s">
        <v>573</v>
      </c>
    </row>
    <row r="43" spans="1:8" ht="16">
      <c r="A43" s="67" t="s">
        <v>48</v>
      </c>
      <c r="B43" s="68" t="str">
        <f>IFERROR(INDEX(進捗一覧!$K:$K,MATCH($A43,進捗一覧!$L:$L,0)),"⚠未検出")</f>
        <v>FR-SSO SSO</v>
      </c>
      <c r="C43" s="69" t="str">
        <f>IFERROR(INDEX(進捗一覧!$E:$E,MATCH($A43,進捗一覧!$L:$L,0)),"⚠未検出")</f>
        <v>顧客側のID基盤を経由した場合も同じく使い回せるようにするか</v>
      </c>
      <c r="D43" s="70" t="str">
        <f>IFERROR(INDEX(進捗一覧!$H:$H,MATCH($A43,進捗一覧!$L:$L,0)),"⚠未検出")</f>
        <v>外部待ち</v>
      </c>
      <c r="E43" s="68" t="s">
        <v>574</v>
      </c>
      <c r="F43" s="70" t="s">
        <v>539</v>
      </c>
      <c r="G43" s="70" t="s">
        <v>540</v>
      </c>
      <c r="H43" s="78" t="s">
        <v>575</v>
      </c>
    </row>
    <row r="44" spans="1:8" ht="16">
      <c r="A44" s="67" t="s">
        <v>49</v>
      </c>
      <c r="B44" s="68" t="str">
        <f>IFERROR(INDEX(進捗一覧!$K:$K,MATCH($A44,進捗一覧!$L:$L,0)),"⚠未検出")</f>
        <v>FR-SSO ログアウト</v>
      </c>
      <c r="C44" s="69" t="str">
        <f>IFERROR(INDEX(進捗一覧!$E:$E,MATCH($A44,進捗一覧!$L:$L,0)),"⚠未検出")</f>
        <v>ログアウト操作でアプリ内の状態だけを消す動作を用意するか</v>
      </c>
      <c r="D44" s="70" t="str">
        <f>IFERROR(INDEX(進捗一覧!$H:$H,MATCH($A44,進捗一覧!$L:$L,0)),"⚠未検出")</f>
        <v>外部待ち</v>
      </c>
      <c r="E44" s="68" t="s">
        <v>529</v>
      </c>
      <c r="F44" s="70" t="s">
        <v>543</v>
      </c>
      <c r="G44" s="70" t="s">
        <v>540</v>
      </c>
      <c r="H44" s="78" t="s">
        <v>576</v>
      </c>
    </row>
    <row r="45" spans="1:8" ht="16">
      <c r="A45" s="67" t="s">
        <v>50</v>
      </c>
      <c r="B45" s="68" t="str">
        <f>IFERROR(INDEX(進捗一覧!$K:$K,MATCH($A45,進捗一覧!$L:$L,0)),"⚠未検出")</f>
        <v>FR-SSO ログアウト</v>
      </c>
      <c r="C45" s="69" t="str">
        <f>IFERROR(INDEX(進捗一覧!$E:$E,MATCH($A45,進捗一覧!$L:$L,0)),"⚠未検出")</f>
        <v>ログアウト時に認証基盤側のログイン状態も併せて消すか</v>
      </c>
      <c r="D45" s="70" t="str">
        <f>IFERROR(INDEX(進捗一覧!$H:$H,MATCH($A45,進捗一覧!$L:$L,0)),"⚠未検出")</f>
        <v>外部待ち</v>
      </c>
      <c r="E45" s="68" t="s">
        <v>529</v>
      </c>
      <c r="F45" s="70" t="s">
        <v>543</v>
      </c>
      <c r="G45" s="70" t="s">
        <v>540</v>
      </c>
      <c r="H45" s="78" t="s">
        <v>577</v>
      </c>
    </row>
    <row r="46" spans="1:8" ht="16">
      <c r="A46" s="67" t="s">
        <v>51</v>
      </c>
      <c r="B46" s="68" t="str">
        <f>IFERROR(INDEX(進捗一覧!$K:$K,MATCH($A46,進捗一覧!$L:$L,0)),"⚠未検出")</f>
        <v>FR-SSO ログアウト</v>
      </c>
      <c r="C46" s="69" t="str">
        <f>IFERROR(INDEX(進捗一覧!$E:$E,MATCH($A46,進捗一覧!$L:$L,0)),"⚠未検出")</f>
        <v>ログアウト時に顧客側のID基盤のログイン状態まで消すか。どこまで連動させるか</v>
      </c>
      <c r="D46" s="70" t="str">
        <f>IFERROR(INDEX(進捗一覧!$H:$H,MATCH($A46,進捗一覧!$L:$L,0)),"⚠未検出")</f>
        <v>外部待ち</v>
      </c>
      <c r="E46" s="68" t="s">
        <v>578</v>
      </c>
      <c r="F46" s="70" t="s">
        <v>579</v>
      </c>
      <c r="G46" s="70" t="s">
        <v>540</v>
      </c>
      <c r="H46" s="78" t="s">
        <v>580</v>
      </c>
    </row>
    <row r="47" spans="1:8" ht="16">
      <c r="A47" s="67" t="s">
        <v>52</v>
      </c>
      <c r="B47" s="68" t="str">
        <f>IFERROR(INDEX(進捗一覧!$K:$K,MATCH($A47,進捗一覧!$L:$L,0)),"⚠未検出")</f>
        <v>FR-SSO ログアウト</v>
      </c>
      <c r="C47" s="69" t="str">
        <f>IFERROR(INDEX(進捗一覧!$E:$E,MATCH($A47,進捗一覧!$L:$L,0)),"⚠未検出")</f>
        <v>利用者のブラウザ経由で各アプリに一斉ログアウトを伝える方式を使うか</v>
      </c>
      <c r="D47" s="70" t="str">
        <f>IFERROR(INDEX(進捗一覧!$H:$H,MATCH($A47,進捗一覧!$L:$L,0)),"⚠未検出")</f>
        <v>外部待ち</v>
      </c>
      <c r="E47" s="68" t="s">
        <v>529</v>
      </c>
      <c r="F47" s="70" t="s">
        <v>543</v>
      </c>
      <c r="G47" s="70" t="s">
        <v>540</v>
      </c>
      <c r="H47" s="78" t="s">
        <v>581</v>
      </c>
    </row>
    <row r="48" spans="1:8" ht="16">
      <c r="A48" s="67" t="s">
        <v>53</v>
      </c>
      <c r="B48" s="68" t="str">
        <f>IFERROR(INDEX(進捗一覧!$K:$K,MATCH($A48,進捗一覧!$L:$L,0)),"⚠未検出")</f>
        <v>FR-SSO ログアウト</v>
      </c>
      <c r="C48" s="69" t="str">
        <f>IFERROR(INDEX(進捗一覧!$E:$E,MATCH($A48,進捗一覧!$L:$L,0)),"⚠未検出")</f>
        <v>サーバー同士の通信で各アプリに確実にログアウトを伝える方式を使うか</v>
      </c>
      <c r="D48" s="70" t="str">
        <f>IFERROR(INDEX(進捗一覧!$H:$H,MATCH($A48,進捗一覧!$L:$L,0)),"⚠未検出")</f>
        <v>外部待ち</v>
      </c>
      <c r="E48" s="68" t="s">
        <v>582</v>
      </c>
      <c r="F48" s="70" t="s">
        <v>543</v>
      </c>
      <c r="G48" s="70" t="s">
        <v>540</v>
      </c>
      <c r="H48" s="78" t="s">
        <v>583</v>
      </c>
    </row>
    <row r="49" spans="1:8" ht="16">
      <c r="A49" s="67" t="s">
        <v>54</v>
      </c>
      <c r="B49" s="68" t="str">
        <f>IFERROR(INDEX(進捗一覧!$K:$K,MATCH($A49,進捗一覧!$L:$L,0)),"⚠未検出")</f>
        <v>FR-SSO セッション管理</v>
      </c>
      <c r="C49" s="69" t="str">
        <f>IFERROR(INDEX(進捗一覧!$E:$E,MATCH($A49,進捗一覧!$L:$L,0)),"⚠未検出")</f>
        <v>無操作が続いたときに自動ログアウトするまでの時間をどうするか</v>
      </c>
      <c r="D49" s="70" t="str">
        <f>IFERROR(INDEX(進捗一覧!$H:$H,MATCH($A49,進捗一覧!$L:$L,0)),"⚠未検出")</f>
        <v>外部待ち</v>
      </c>
      <c r="E49" s="68" t="s">
        <v>1046</v>
      </c>
      <c r="F49" s="70" t="s">
        <v>1047</v>
      </c>
      <c r="G49" s="70" t="s">
        <v>667</v>
      </c>
      <c r="H49" s="78" t="s">
        <v>1048</v>
      </c>
    </row>
    <row r="50" spans="1:8" ht="16">
      <c r="A50" s="67" t="s">
        <v>55</v>
      </c>
      <c r="B50" s="68" t="str">
        <f>IFERROR(INDEX(進捗一覧!$K:$K,MATCH($A50,進捗一覧!$L:$L,0)),"⚠未検出")</f>
        <v>FR-SSO セッション管理</v>
      </c>
      <c r="C50" s="69" t="str">
        <f>IFERROR(INDEX(進捗一覧!$E:$E,MATCH($A50,進捗一覧!$L:$L,0)),"⚠未検出")</f>
        <v>発行済みの通行証を有効期限前に強制的に無効化できる必要があるか</v>
      </c>
      <c r="D50" s="70" t="str">
        <f>IFERROR(INDEX(進捗一覧!$H:$H,MATCH($A50,進捗一覧!$L:$L,0)),"⚠未検出")</f>
        <v>外部待ち</v>
      </c>
      <c r="E50" s="68" t="s">
        <v>1049</v>
      </c>
      <c r="F50" s="70" t="s">
        <v>1050</v>
      </c>
      <c r="G50" s="70" t="s">
        <v>667</v>
      </c>
      <c r="H50" s="78" t="s">
        <v>1051</v>
      </c>
    </row>
    <row r="51" spans="1:8" ht="16">
      <c r="A51" s="67" t="s">
        <v>56</v>
      </c>
      <c r="B51" s="68" t="str">
        <f>IFERROR(INDEX(進捗一覧!$K:$K,MATCH($A51,進捗一覧!$L:$L,0)),"⚠未検出")</f>
        <v>FR-SSO セッション管理</v>
      </c>
      <c r="C51" s="69" t="str">
        <f>IFERROR(INDEX(進捗一覧!$E:$E,MATCH($A51,進捗一覧!$L:$L,0)),"⚠未検出")</f>
        <v>管理者が特定の利用者のログイン状態を一括で切断できる機能を用意するか</v>
      </c>
      <c r="D51" s="70" t="str">
        <f>IFERROR(INDEX(進捗一覧!$H:$H,MATCH($A51,進捗一覧!$L:$L,0)),"⚠未検出")</f>
        <v>外部待ち</v>
      </c>
      <c r="E51" s="68" t="s">
        <v>1052</v>
      </c>
      <c r="F51" s="70" t="s">
        <v>1053</v>
      </c>
      <c r="G51" s="70" t="s">
        <v>667</v>
      </c>
      <c r="H51" s="78" t="s">
        <v>1054</v>
      </c>
    </row>
    <row r="52" spans="1:8" ht="16">
      <c r="A52" s="67" t="s">
        <v>57</v>
      </c>
      <c r="B52" s="68" t="str">
        <f>IFERROR(INDEX(進捗一覧!$K:$K,MATCH($A52,進捗一覧!$L:$L,0)),"⚠未検出")</f>
        <v>FR-AUTHZ クレームベース基本認可</v>
      </c>
      <c r="C52" s="69" t="str">
        <f>IFERROR(INDEX(進捗一覧!$E:$E,MATCH($A52,進捗一覧!$L:$L,0)),"⚠未検出")</f>
        <v>通行証に含まれる情報をもとに各アプリが権限を判定する方式でよいか</v>
      </c>
      <c r="D52" s="70" t="str">
        <f>IFERROR(INDEX(進捗一覧!$H:$H,MATCH($A52,進捗一覧!$L:$L,0)),"⚠未検出")</f>
        <v>確定</v>
      </c>
      <c r="E52" s="68" t="s">
        <v>584</v>
      </c>
      <c r="F52" s="70" t="s">
        <v>543</v>
      </c>
      <c r="G52" s="70" t="s">
        <v>540</v>
      </c>
      <c r="H52" s="78" t="s">
        <v>585</v>
      </c>
    </row>
    <row r="53" spans="1:8" ht="16">
      <c r="A53" s="67" t="s">
        <v>58</v>
      </c>
      <c r="B53" s="68" t="str">
        <f>IFERROR(INDEX(進捗一覧!$K:$K,MATCH($A53,進捗一覧!$L:$L,0)),"⚠未検出")</f>
        <v>FR-AUTHZ クレームベース基本認可</v>
      </c>
      <c r="C53" s="69" t="str">
        <f>IFERROR(INDEX(進捗一覧!$E:$E,MATCH($A53,進捗一覧!$L:$L,0)),"⚠未検出")</f>
        <v>顧客ごとのデータが混ざらないよう、所属情報を通行証に必ず載せるか</v>
      </c>
      <c r="D53" s="70" t="str">
        <f>IFERROR(INDEX(進捗一覧!$H:$H,MATCH($A53,進捗一覧!$L:$L,0)),"⚠未検出")</f>
        <v>確定</v>
      </c>
      <c r="E53" s="68" t="s">
        <v>586</v>
      </c>
      <c r="F53" s="70" t="s">
        <v>579</v>
      </c>
      <c r="G53" s="70" t="s">
        <v>540</v>
      </c>
      <c r="H53" s="78" t="s">
        <v>587</v>
      </c>
    </row>
    <row r="54" spans="1:8" ht="16">
      <c r="A54" s="67" t="s">
        <v>59</v>
      </c>
      <c r="B54" s="68" t="str">
        <f>IFERROR(INDEX(進捗一覧!$K:$K,MATCH($A54,進捗一覧!$L:$L,0)),"⚠未検出")</f>
        <v>FR-AUTHZ クレームベース基本認可</v>
      </c>
      <c r="C54" s="69" t="str">
        <f>IFERROR(INDEX(進捗一覧!$E:$E,MATCH($A54,進捗一覧!$L:$L,0)),"⚠未検出")</f>
        <v>役割（ロール）の情報を通行証に載せて権限判定に使うか</v>
      </c>
      <c r="D54" s="70" t="str">
        <f>IFERROR(INDEX(進捗一覧!$H:$H,MATCH($A54,進捗一覧!$L:$L,0)),"⚠未検出")</f>
        <v>外部待ち</v>
      </c>
      <c r="E54" s="68" t="s">
        <v>588</v>
      </c>
      <c r="F54" s="70" t="s">
        <v>589</v>
      </c>
      <c r="G54" s="70" t="s">
        <v>540</v>
      </c>
      <c r="H54" s="78" t="s">
        <v>590</v>
      </c>
    </row>
    <row r="55" spans="1:8" ht="16">
      <c r="A55" s="67" t="s">
        <v>60</v>
      </c>
      <c r="B55" s="68" t="str">
        <f>IFERROR(INDEX(進捗一覧!$K:$K,MATCH($A55,進捗一覧!$L:$L,0)),"⚠未検出")</f>
        <v>FR-AUTHZ クレームベース基本認可</v>
      </c>
      <c r="C55" s="69" t="str">
        <f>IFERROR(INDEX(進捗一覧!$E:$E,MATCH($A55,進捗一覧!$L:$L,0)),"⚠未検出")</f>
        <v>役割に上下関係（上位が下位を兼ねる）を持たせるか</v>
      </c>
      <c r="D55" s="70" t="str">
        <f>IFERROR(INDEX(進捗一覧!$H:$H,MATCH($A55,進捗一覧!$L:$L,0)),"⚠未検出")</f>
        <v>外部待ち</v>
      </c>
      <c r="E55" s="68" t="s">
        <v>499</v>
      </c>
      <c r="F55" s="70" t="s">
        <v>539</v>
      </c>
      <c r="G55" s="70" t="s">
        <v>550</v>
      </c>
      <c r="H55" s="78" t="s">
        <v>591</v>
      </c>
    </row>
    <row r="56" spans="1:8" ht="16">
      <c r="A56" s="67" t="s">
        <v>61</v>
      </c>
      <c r="B56" s="68" t="str">
        <f>IFERROR(INDEX(進捗一覧!$K:$K,MATCH($A56,進捗一覧!$L:$L,0)),"⚠未検出")</f>
        <v>FR-AUTHZ クレームベース基本認可</v>
      </c>
      <c r="C56" s="69" t="str">
        <f>IFERROR(INDEX(進捗一覧!$E:$E,MATCH($A56,進捗一覧!$L:$L,0)),"⚠未検出")</f>
        <v>システム同士の通信でも、呼び出せる機能の範囲を絞り込む仕組みを使うか</v>
      </c>
      <c r="D56" s="70" t="str">
        <f>IFERROR(INDEX(進捗一覧!$H:$H,MATCH($A56,進捗一覧!$L:$L,0)),"⚠未検出")</f>
        <v>対象外</v>
      </c>
      <c r="E56" s="68" t="s">
        <v>592</v>
      </c>
      <c r="F56" s="70" t="s">
        <v>543</v>
      </c>
      <c r="G56" s="70" t="s">
        <v>540</v>
      </c>
      <c r="H56" s="78" t="s">
        <v>593</v>
      </c>
    </row>
    <row r="57" spans="1:8" ht="16">
      <c r="A57" s="67" t="s">
        <v>62</v>
      </c>
      <c r="B57" s="68" t="str">
        <f>IFERROR(INDEX(進捗一覧!$K:$K,MATCH($A57,進捗一覧!$L:$L,0)),"⚠未検出")</f>
        <v>FR-AUTHZ クレームベース基本認可</v>
      </c>
      <c r="C57" s="69" t="str">
        <f>IFERROR(INDEX(進捗一覧!$E:$E,MATCH($A57,進捗一覧!$L:$L,0)),"⚠未検出")</f>
        <v>顧客固有の項目を通行証に追加できるようにするか。追加を認める範囲をどこまでにするか</v>
      </c>
      <c r="D57" s="70" t="str">
        <f>IFERROR(INDEX(進捗一覧!$H:$H,MATCH($A57,進捗一覧!$L:$L,0)),"⚠未検出")</f>
        <v>外部待ち</v>
      </c>
      <c r="E57" s="68" t="s">
        <v>520</v>
      </c>
      <c r="F57" s="70" t="s">
        <v>543</v>
      </c>
      <c r="G57" s="70" t="s">
        <v>540</v>
      </c>
      <c r="H57" s="78" t="s">
        <v>594</v>
      </c>
    </row>
    <row r="58" spans="1:8" ht="16">
      <c r="A58" s="67" t="s">
        <v>63</v>
      </c>
      <c r="B58" s="68" t="str">
        <f>IFERROR(INDEX(進捗一覧!$K:$K,MATCH($A58,進捗一覧!$L:$L,0)),"⚠未検出")</f>
        <v>FR-AUTHZ クレームベース基本認可</v>
      </c>
      <c r="C58" s="69" t="str">
        <f>IFERROR(INDEX(進捗一覧!$E:$E,MATCH($A58,進捗一覧!$L:$L,0)),"⚠未検出")</f>
        <v>AWSのAPI入口で通行証を検証する共通部品を用意するか</v>
      </c>
      <c r="D58" s="70" t="str">
        <f>IFERROR(INDEX(進捗一覧!$H:$H,MATCH($A58,進捗一覧!$L:$L,0)),"⚠未検出")</f>
        <v>対象外</v>
      </c>
      <c r="E58" s="68" t="s">
        <v>534</v>
      </c>
      <c r="F58" s="70" t="s">
        <v>543</v>
      </c>
      <c r="G58" s="70" t="s">
        <v>550</v>
      </c>
      <c r="H58" s="78" t="s">
        <v>595</v>
      </c>
    </row>
    <row r="59" spans="1:8" ht="16">
      <c r="A59" s="67" t="s">
        <v>64</v>
      </c>
      <c r="B59" s="68" t="str">
        <f>IFERROR(INDEX(進捗一覧!$K:$K,MATCH($A59,進捗一覧!$L:$L,0)),"⚠未検出")</f>
        <v>FR-AUTHZ クレームベース基本認可</v>
      </c>
      <c r="C59" s="69" t="str">
        <f>IFERROR(INDEX(進捗一覧!$E:$E,MATCH($A59,進捗一覧!$L:$L,0)),"⚠未検出")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70" t="str">
        <f>IFERROR(INDEX(進捗一覧!$H:$H,MATCH($A59,進捗一覧!$L:$L,0)),"⚠未検出")</f>
        <v>確定</v>
      </c>
      <c r="E59" s="68" t="s">
        <v>596</v>
      </c>
      <c r="F59" s="70" t="s">
        <v>589</v>
      </c>
      <c r="G59" s="70" t="s">
        <v>540</v>
      </c>
      <c r="H59" s="78" t="s">
        <v>597</v>
      </c>
    </row>
    <row r="60" spans="1:8" ht="16">
      <c r="A60" s="67" t="s">
        <v>65</v>
      </c>
      <c r="B60" s="68" t="str">
        <f>IFERROR(INDEX(進捗一覧!$K:$K,MATCH($A60,進捗一覧!$L:$L,0)),"⚠未検出")</f>
        <v>FR-AUTHZ 細粒度認可</v>
      </c>
      <c r="C60" s="69" t="str">
        <f>IFERROR(INDEX(進捗一覧!$E:$E,MATCH($A60,進捗一覧!$L:$L,0)),"⚠未検出")</f>
        <v>「この書類はこの人だけ」といった個別データ単位の細かい権限は、基盤では扱わず各アプリの判断に委ねる方針。決めるのは、その線引きをアプリ側とどう合意するか</v>
      </c>
      <c r="D60" s="70" t="str">
        <f>IFERROR(INDEX(進捗一覧!$H:$H,MATCH($A60,進捗一覧!$L:$L,0)),"⚠未検出")</f>
        <v>対象外</v>
      </c>
      <c r="E60" s="68" t="s">
        <v>515</v>
      </c>
      <c r="F60" s="70" t="s">
        <v>559</v>
      </c>
      <c r="G60" s="70" t="s">
        <v>560</v>
      </c>
      <c r="H60" s="78" t="s">
        <v>598</v>
      </c>
    </row>
    <row r="61" spans="1:8" ht="16">
      <c r="A61" s="67" t="s">
        <v>66</v>
      </c>
      <c r="B61" s="68" t="str">
        <f>IFERROR(INDEX(進捗一覧!$K:$K,MATCH($A61,進捗一覧!$L:$L,0)),"⚠未検出")</f>
        <v>FR-AUTHZ 細粒度認可</v>
      </c>
      <c r="C61" s="69" t="str">
        <f>IFERROR(INDEX(進捗一覧!$E:$E,MATCH($A61,進捗一覧!$L:$L,0)),"⚠未検出")</f>
        <v>部署や職位などの属性を組み合わせてその場で権限を決める仕組みも、基盤では扱わずアプリの判断に委ねる方針。決めるのは、その線引きをアプリ側とどう合意するか</v>
      </c>
      <c r="D61" s="70" t="str">
        <f>IFERROR(INDEX(進捗一覧!$H:$H,MATCH($A61,進捗一覧!$L:$L,0)),"⚠未検出")</f>
        <v>対象外</v>
      </c>
      <c r="E61" s="68" t="s">
        <v>599</v>
      </c>
      <c r="F61" s="70" t="s">
        <v>559</v>
      </c>
      <c r="G61" s="70" t="s">
        <v>560</v>
      </c>
      <c r="H61" s="78" t="s">
        <v>600</v>
      </c>
    </row>
    <row r="62" spans="1:8" ht="16">
      <c r="A62" s="67" t="s">
        <v>67</v>
      </c>
      <c r="B62" s="68" t="str">
        <f>IFERROR(INDEX(進捗一覧!$K:$K,MATCH($A62,進捗一覧!$L:$L,0)),"⚠未検出")</f>
        <v>FR-USER ユーザーCRUD</v>
      </c>
      <c r="C62" s="69" t="str">
        <f>IFERROR(INDEX(進捗一覧!$E:$E,MATCH($A62,進捗一覧!$L:$L,0)),"⚠未検出")</f>
        <v>利用者情報の登録・変更・削除を、誰がどの画面やAPIから行えるようにするか</v>
      </c>
      <c r="D62" s="70" t="str">
        <f>IFERROR(INDEX(進捗一覧!$H:$H,MATCH($A62,進捗一覧!$L:$L,0)),"⚠未検出")</f>
        <v>方向性確定（条件付き）</v>
      </c>
      <c r="E62" s="68" t="s">
        <v>601</v>
      </c>
      <c r="F62" s="70" t="s">
        <v>602</v>
      </c>
      <c r="G62" s="70" t="s">
        <v>540</v>
      </c>
      <c r="H62" s="78" t="s">
        <v>603</v>
      </c>
    </row>
    <row r="63" spans="1:8" ht="16">
      <c r="A63" s="67" t="s">
        <v>68</v>
      </c>
      <c r="B63" s="68" t="str">
        <f>IFERROR(INDEX(進捗一覧!$K:$K,MATCH($A63,進捗一覧!$L:$L,0)),"⚠未検出")</f>
        <v>FR-USER ユーザーCRUD</v>
      </c>
      <c r="C63" s="69" t="str">
        <f>IFERROR(INDEX(進捗一覧!$E:$E,MATCH($A63,進捗一覧!$L:$L,0)),"⚠未検出")</f>
        <v>利用者の検索・一覧表示に必要な検索条件と表示項目をどうするか</v>
      </c>
      <c r="D63" s="70" t="str">
        <f>IFERROR(INDEX(進捗一覧!$H:$H,MATCH($A63,進捗一覧!$L:$L,0)),"⚠未検出")</f>
        <v>確定</v>
      </c>
      <c r="E63" s="68" t="s">
        <v>855</v>
      </c>
      <c r="F63" s="70" t="s">
        <v>856</v>
      </c>
      <c r="G63" s="70" t="s">
        <v>667</v>
      </c>
      <c r="H63" s="78" t="s">
        <v>857</v>
      </c>
    </row>
    <row r="64" spans="1:8" ht="16">
      <c r="A64" s="67" t="s">
        <v>69</v>
      </c>
      <c r="B64" s="68" t="str">
        <f>IFERROR(INDEX(進捗一覧!$K:$K,MATCH($A64,進捗一覧!$L:$L,0)),"⚠未検出")</f>
        <v>FR-USER ユーザーCRUD</v>
      </c>
      <c r="C64" s="69" t="str">
        <f>IFERROR(INDEX(進捗一覧!$E:$E,MATCH($A64,進捗一覧!$L:$L,0)),"⚠未検出")</f>
        <v>利用者を削除せず一時停止できる状態を用意するか。停止は無効化フラグで行い、復旧は同じフラグを戻すだけとする想定</v>
      </c>
      <c r="D64" s="70" t="str">
        <f>IFERROR(INDEX(進捗一覧!$H:$H,MATCH($A64,進捗一覧!$L:$L,0)),"⚠未検出")</f>
        <v>確定</v>
      </c>
      <c r="E64" s="68" t="s">
        <v>604</v>
      </c>
      <c r="F64" s="70" t="s">
        <v>602</v>
      </c>
      <c r="G64" s="70" t="s">
        <v>540</v>
      </c>
      <c r="H64" s="78" t="s">
        <v>605</v>
      </c>
    </row>
    <row r="65" spans="1:8" ht="16">
      <c r="A65" s="67" t="s">
        <v>70</v>
      </c>
      <c r="B65" s="68" t="str">
        <f>IFERROR(INDEX(進捗一覧!$K:$K,MATCH($A65,進捗一覧!$L:$L,0)),"⚠未検出")</f>
        <v>FR-USER ユーザーCRUD</v>
      </c>
      <c r="C65" s="69" t="str">
        <f>IFERROR(INDEX(進捗一覧!$E:$E,MATCH($A65,進捗一覧!$L:$L,0)),"⚠未検出")</f>
        <v>退職・解約時に利用者情報と関連データをどこまで消すか。保存期間をどうするか</v>
      </c>
      <c r="D65" s="70" t="str">
        <f>IFERROR(INDEX(進捗一覧!$H:$H,MATCH($A65,進捗一覧!$L:$L,0)),"⚠未検出")</f>
        <v>外部待ち</v>
      </c>
      <c r="E65" s="68" t="s">
        <v>606</v>
      </c>
      <c r="F65" s="70" t="s">
        <v>559</v>
      </c>
      <c r="G65" s="70" t="s">
        <v>540</v>
      </c>
      <c r="H65" s="78" t="s">
        <v>607</v>
      </c>
    </row>
    <row r="66" spans="1:8" ht="16">
      <c r="A66" s="67" t="s">
        <v>71</v>
      </c>
      <c r="B66" s="68" t="str">
        <f>IFERROR(INDEX(進捗一覧!$K:$K,MATCH($A66,進捗一覧!$L:$L,0)),"⚠未検出")</f>
        <v>FR-USER 属性・ロール</v>
      </c>
      <c r="C66" s="69" t="str">
        <f>IFERROR(INDEX(進捗一覧!$E:$E,MATCH($A66,進捗一覧!$L:$L,0)),"⚠未検出")</f>
        <v>標準で用意される項目以外に、独自に持たせたい項目を何にするか</v>
      </c>
      <c r="D66" s="70" t="str">
        <f>IFERROR(INDEX(進捗一覧!$H:$H,MATCH($A66,進捗一覧!$L:$L,0)),"⚠未検出")</f>
        <v>外部待ち</v>
      </c>
      <c r="E66" s="68" t="s">
        <v>608</v>
      </c>
      <c r="F66" s="70" t="s">
        <v>563</v>
      </c>
      <c r="G66" s="70" t="s">
        <v>540</v>
      </c>
      <c r="H66" s="78" t="s">
        <v>609</v>
      </c>
    </row>
    <row r="67" spans="1:8" ht="16">
      <c r="A67" s="67" t="s">
        <v>72</v>
      </c>
      <c r="B67" s="68" t="str">
        <f>IFERROR(INDEX(進捗一覧!$K:$K,MATCH($A67,進捗一覧!$L:$L,0)),"⚠未検出")</f>
        <v>FR-USER 属性・ロール</v>
      </c>
      <c r="C67" s="69" t="str">
        <f>IFERROR(INDEX(進捗一覧!$E:$E,MATCH($A67,進捗一覧!$L:$L,0)),"⚠未検出")</f>
        <v>利用者をグループにまとめて管理する必要があるか</v>
      </c>
      <c r="D67" s="70" t="str">
        <f>IFERROR(INDEX(進捗一覧!$H:$H,MATCH($A67,進捗一覧!$L:$L,0)),"⚠未検出")</f>
        <v>確定</v>
      </c>
      <c r="E67" s="68" t="s">
        <v>1005</v>
      </c>
      <c r="F67" s="70" t="s">
        <v>1006</v>
      </c>
      <c r="G67" s="70" t="s">
        <v>674</v>
      </c>
      <c r="H67" s="78" t="s">
        <v>1007</v>
      </c>
    </row>
    <row r="68" spans="1:8" ht="16">
      <c r="A68" s="67" t="s">
        <v>73</v>
      </c>
      <c r="B68" s="68" t="str">
        <f>IFERROR(INDEX(進捗一覧!$K:$K,MATCH($A68,進捗一覧!$L:$L,0)),"⚠未検出")</f>
        <v>FR-USER 属性・ロール</v>
      </c>
      <c r="C68" s="69" t="str">
        <f>IFERROR(INDEX(進捗一覧!$E:$E,MATCH($A68,進捗一覧!$L:$L,0)),"⚠未検出")</f>
        <v>誰がどの役割を割り当てられるようにするか</v>
      </c>
      <c r="D68" s="70" t="str">
        <f>IFERROR(INDEX(進捗一覧!$H:$H,MATCH($A68,進捗一覧!$L:$L,0)),"⚠未検出")</f>
        <v>確定</v>
      </c>
      <c r="E68" s="68" t="s">
        <v>610</v>
      </c>
      <c r="F68" s="70" t="s">
        <v>602</v>
      </c>
      <c r="G68" s="70" t="s">
        <v>540</v>
      </c>
      <c r="H68" s="78" t="s">
        <v>611</v>
      </c>
    </row>
    <row r="69" spans="1:8" ht="16">
      <c r="A69" s="67" t="s">
        <v>74</v>
      </c>
      <c r="B69" s="68" t="str">
        <f>IFERROR(INDEX(進捗一覧!$K:$K,MATCH($A69,進捗一覧!$L:$L,0)),"⚠未検出")</f>
        <v>FR-USER セルフサービス</v>
      </c>
      <c r="C69" s="69" t="str">
        <f>IFERROR(INDEX(進捗一覧!$E:$E,MATCH($A69,進捗一覧!$L:$L,0)),"⚠未検出")</f>
        <v>利用者が自分のプロフィールを自分で編集できる範囲をどこまでにするか</v>
      </c>
      <c r="D69" s="70" t="str">
        <f>IFERROR(INDEX(進捗一覧!$H:$H,MATCH($A69,進捗一覧!$L:$L,0)),"⚠未検出")</f>
        <v>検討中</v>
      </c>
      <c r="E69" s="68" t="s">
        <v>681</v>
      </c>
      <c r="F69" s="70" t="s">
        <v>666</v>
      </c>
      <c r="G69" s="70" t="s">
        <v>659</v>
      </c>
      <c r="H69" s="78" t="s">
        <v>682</v>
      </c>
    </row>
    <row r="70" spans="1:8" ht="16">
      <c r="A70" s="67" t="s">
        <v>75</v>
      </c>
      <c r="B70" s="68" t="str">
        <f>IFERROR(INDEX(進捗一覧!$K:$K,MATCH($A70,進捗一覧!$L:$L,0)),"⚠未検出")</f>
        <v>FR-USER セルフサービス</v>
      </c>
      <c r="C70" s="69" t="str">
        <f>IFERROR(INDEX(進捗一覧!$E:$E,MATCH($A70,進捗一覧!$L:$L,0)),"⚠未検出")</f>
        <v>新規登録時に招待メールを送る運用にするか。文面と有効期限をどうするか</v>
      </c>
      <c r="D70" s="70" t="str">
        <f>IFERROR(INDEX(進捗一覧!$H:$H,MATCH($A70,進捗一覧!$L:$L,0)),"⚠未検出")</f>
        <v>検討中</v>
      </c>
      <c r="E70" s="68" t="s">
        <v>859</v>
      </c>
      <c r="F70" s="70" t="s">
        <v>860</v>
      </c>
      <c r="G70" s="70" t="s">
        <v>659</v>
      </c>
      <c r="H70" s="78" t="s">
        <v>861</v>
      </c>
    </row>
    <row r="71" spans="1:8" ht="16">
      <c r="A71" s="67" t="s">
        <v>76</v>
      </c>
      <c r="B71" s="68" t="str">
        <f>IFERROR(INDEX(進捗一覧!$K:$K,MATCH($A71,進捗一覧!$L:$L,0)),"⚠未検出")</f>
        <v>FR-USER プロビジョニング</v>
      </c>
      <c r="C71" s="69" t="str">
        <f>IFERROR(INDEX(進捗一覧!$E:$E,MATCH($A71,進捗一覧!$L:$L,0)),"⚠未検出")</f>
        <v>顧客のID基盤から利用者情報を自動同期する標準方式（SCIM）は採用で決定済み。初回ログイン時の自動作成（JIT）と併用する前提で、どちらを主とし、両者が食い違ったときどちらを優先するか</v>
      </c>
      <c r="D71" s="70" t="str">
        <f>IFERROR(INDEX(進捗一覧!$H:$H,MATCH($A71,進捗一覧!$L:$L,0)),"⚠未検出")</f>
        <v>確定</v>
      </c>
      <c r="E71" s="68" t="s">
        <v>612</v>
      </c>
      <c r="F71" s="70" t="s">
        <v>559</v>
      </c>
      <c r="G71" s="70" t="s">
        <v>540</v>
      </c>
      <c r="H71" s="78" t="s">
        <v>613</v>
      </c>
    </row>
    <row r="72" spans="1:8" ht="16">
      <c r="A72" s="67" t="s">
        <v>77</v>
      </c>
      <c r="B72" s="68" t="str">
        <f>IFERROR(INDEX(進捗一覧!$K:$K,MATCH($A72,進捗一覧!$L:$L,0)),"⚠未検出")</f>
        <v>FR-USER プロビジョニング</v>
      </c>
      <c r="C72" s="69" t="str">
        <f>IFERROR(INDEX(進捗一覧!$E:$E,MATCH($A72,進捗一覧!$L:$L,0)),"⚠未検出")</f>
        <v>表形式ファイルによる一括登録を用意するか。1回あたりの上限件数をどうするか</v>
      </c>
      <c r="D72" s="70" t="str">
        <f>IFERROR(INDEX(進捗一覧!$H:$H,MATCH($A72,進捗一覧!$L:$L,0)),"⚠未検出")</f>
        <v>検討中</v>
      </c>
      <c r="E72" s="68" t="s">
        <v>512</v>
      </c>
      <c r="F72" s="70" t="s">
        <v>559</v>
      </c>
      <c r="G72" s="70" t="s">
        <v>550</v>
      </c>
      <c r="H72" s="78" t="s">
        <v>614</v>
      </c>
    </row>
    <row r="73" spans="1:8" ht="16">
      <c r="A73" s="67" t="s">
        <v>78</v>
      </c>
      <c r="B73" s="68" t="str">
        <f>IFERROR(INDEX(進捗一覧!$K:$K,MATCH($A73,進捗一覧!$L:$L,0)),"⚠未検出")</f>
        <v>FR-USER プロビジョニング</v>
      </c>
      <c r="C73" s="69" t="str">
        <f>IFERROR(INDEX(進捗一覧!$E:$E,MATCH($A73,進捗一覧!$L:$L,0)),"⚠未検出")</f>
        <v>管理者が利用者のパスワードを強制的にリセットできるようにするか。機能の提供は確定済み（Admin API + idm-api #2）。未決なのは、リセットを依頼してきた人が本人であることをどう確かめるかの手順</v>
      </c>
      <c r="D73" s="70" t="str">
        <f>IFERROR(INDEX(進捗一覧!$H:$H,MATCH($A73,進捗一覧!$L:$L,0)),"⚠未検出")</f>
        <v>方向性確定（条件付き）</v>
      </c>
      <c r="E73" s="68" t="s">
        <v>508</v>
      </c>
      <c r="F73" s="70" t="s">
        <v>559</v>
      </c>
      <c r="G73" s="70" t="s">
        <v>550</v>
      </c>
      <c r="H73" s="78" t="s">
        <v>615</v>
      </c>
    </row>
    <row r="74" spans="1:8" ht="16">
      <c r="A74" s="67" t="s">
        <v>79</v>
      </c>
      <c r="B74" s="68" t="str">
        <f>IFERROR(INDEX(進捗一覧!$K:$K,MATCH($A74,進捗一覧!$L:$L,0)),"⚠未検出")</f>
        <v>FR-ADMIN 基盤設定管理</v>
      </c>
      <c r="C74" s="69" t="str">
        <f>IFERROR(INDEX(進捗一覧!$E:$E,MATCH($A74,進捗一覧!$L:$L,0)),"⚠未検出")</f>
        <v>運用担当者が使う管理画面を、どこまで自前で作るか</v>
      </c>
      <c r="D74" s="70" t="str">
        <f>IFERROR(INDEX(進捗一覧!$H:$H,MATCH($A74,進捗一覧!$L:$L,0)),"⚠未検出")</f>
        <v>確定</v>
      </c>
      <c r="E74" s="68" t="s">
        <v>616</v>
      </c>
      <c r="F74" s="70" t="s">
        <v>559</v>
      </c>
      <c r="G74" s="70" t="s">
        <v>540</v>
      </c>
      <c r="H74" s="78" t="s">
        <v>617</v>
      </c>
    </row>
    <row r="75" spans="1:8" ht="16">
      <c r="A75" s="67" t="s">
        <v>80</v>
      </c>
      <c r="B75" s="68" t="str">
        <f>IFERROR(INDEX(進捗一覧!$K:$K,MATCH($A75,進捗一覧!$L:$L,0)),"⚠未検出")</f>
        <v>FR-ADMIN 基盤設定管理</v>
      </c>
      <c r="C75" s="69" t="str">
        <f>IFERROR(INDEX(進捗一覧!$E:$E,MATCH($A75,進捗一覧!$L:$L,0)),"⚠未検出")</f>
        <v>顧客テナントの追加・削除を誰がどの手順で行うか</v>
      </c>
      <c r="D75" s="70" t="str">
        <f>IFERROR(INDEX(進捗一覧!$H:$H,MATCH($A75,進捗一覧!$L:$L,0)),"⚠未検出")</f>
        <v>方向性確定（条件付き）</v>
      </c>
      <c r="E75" s="68" t="s">
        <v>862</v>
      </c>
      <c r="F75" s="70" t="s">
        <v>863</v>
      </c>
      <c r="G75" s="70" t="s">
        <v>659</v>
      </c>
      <c r="H75" s="78" t="s">
        <v>864</v>
      </c>
    </row>
    <row r="76" spans="1:8" ht="16">
      <c r="A76" s="67" t="s">
        <v>81</v>
      </c>
      <c r="B76" s="68" t="str">
        <f>IFERROR(INDEX(進捗一覧!$K:$K,MATCH($A76,進捗一覧!$L:$L,0)),"⚠未検出")</f>
        <v>FR-ADMIN 基盤設定管理</v>
      </c>
      <c r="C76" s="69" t="str">
        <f>IFERROR(INDEX(進捗一覧!$E:$E,MATCH($A76,進捗一覧!$L:$L,0)),"⚠未検出")</f>
        <v>顧客のID基盤の登録・変更・削除を誰がどの手順で行うか</v>
      </c>
      <c r="D76" s="70" t="str">
        <f>IFERROR(INDEX(進捗一覧!$H:$H,MATCH($A76,進捗一覧!$L:$L,0)),"⚠未検出")</f>
        <v>方向性確定（条件付き）</v>
      </c>
      <c r="E76" s="68" t="s">
        <v>618</v>
      </c>
      <c r="F76" s="70" t="s">
        <v>539</v>
      </c>
      <c r="G76" s="70" t="s">
        <v>540</v>
      </c>
      <c r="H76" s="78" t="s">
        <v>619</v>
      </c>
    </row>
    <row r="77" spans="1:8" ht="16">
      <c r="A77" s="67" t="s">
        <v>82</v>
      </c>
      <c r="B77" s="68" t="str">
        <f>IFERROR(INDEX(進捗一覧!$K:$K,MATCH($A77,進捗一覧!$L:$L,0)),"⚠未検出")</f>
        <v>FR-ADMIN 基盤設定管理</v>
      </c>
      <c r="C77" s="69" t="str">
        <f>IFERROR(INDEX(進捗一覧!$E:$E,MATCH($A77,進捗一覧!$L:$L,0)),"⚠未検出")</f>
        <v>アプリの登録と設定変更を誰がどの手順で行うか</v>
      </c>
      <c r="D77" s="70" t="str">
        <f>IFERROR(INDEX(進捗一覧!$H:$H,MATCH($A77,進捗一覧!$L:$L,0)),"⚠未検出")</f>
        <v>検討中</v>
      </c>
      <c r="E77" s="68" t="s">
        <v>507</v>
      </c>
      <c r="F77" s="70" t="s">
        <v>539</v>
      </c>
      <c r="G77" s="70" t="s">
        <v>540</v>
      </c>
      <c r="H77" s="78" t="s">
        <v>620</v>
      </c>
    </row>
    <row r="78" spans="1:8" ht="16">
      <c r="A78" s="67" t="s">
        <v>83</v>
      </c>
      <c r="B78" s="68" t="str">
        <f>IFERROR(INDEX(進捗一覧!$K:$K,MATCH($A78,進捗一覧!$L:$L,0)),"⚠未検出")</f>
        <v>FR-ADMIN 基盤設定管理</v>
      </c>
      <c r="C78" s="69" t="str">
        <f>IFERROR(INDEX(進捗一覧!$E:$E,MATCH($A78,進捗一覧!$L:$L,0)),"⚠未検出")</f>
        <v>どんな役割を用意するかの定義を、誰が管理するか</v>
      </c>
      <c r="D78" s="70" t="str">
        <f>IFERROR(INDEX(進捗一覧!$H:$H,MATCH($A78,進捗一覧!$L:$L,0)),"⚠未検出")</f>
        <v>方向性確定（条件付き）</v>
      </c>
      <c r="E78" s="68" t="s">
        <v>865</v>
      </c>
      <c r="F78" s="70" t="s">
        <v>866</v>
      </c>
      <c r="G78" s="70" t="s">
        <v>667</v>
      </c>
      <c r="H78" s="78" t="s">
        <v>867</v>
      </c>
    </row>
    <row r="79" spans="1:8" ht="16">
      <c r="A79" s="67" t="s">
        <v>84</v>
      </c>
      <c r="B79" s="68" t="str">
        <f>IFERROR(INDEX(進捗一覧!$K:$K,MATCH($A79,進捗一覧!$L:$L,0)),"⚠未検出")</f>
        <v>FR-ADMIN 基盤設定管理</v>
      </c>
      <c r="C79" s="69" t="str">
        <f>IFERROR(INDEX(進捗一覧!$E:$E,MATCH($A79,進捗一覧!$L:$L,0)),"⚠未検出")</f>
        <v>顧客ごとの設定が互いに見えない・触れない状態をどう担保するか。Realm は分けず Organizations で分離すると決定済み。残るのは、この論理分離で足りない場合の扱い</v>
      </c>
      <c r="D79" s="70" t="str">
        <f>IFERROR(INDEX(進捗一覧!$H:$H,MATCH($A79,進捗一覧!$L:$L,0)),"⚠未検出")</f>
        <v>確定</v>
      </c>
      <c r="E79" s="68" t="s">
        <v>621</v>
      </c>
      <c r="F79" s="70" t="s">
        <v>589</v>
      </c>
      <c r="G79" s="70" t="s">
        <v>540</v>
      </c>
      <c r="H79" s="78" t="s">
        <v>622</v>
      </c>
    </row>
    <row r="80" spans="1:8" ht="16">
      <c r="A80" s="67" t="s">
        <v>85</v>
      </c>
      <c r="B80" s="68" t="str">
        <f>IFERROR(INDEX(進捗一覧!$K:$K,MATCH($A80,進捗一覧!$L:$L,0)),"⚠未検出")</f>
        <v>FR-ADMIN 監査・可視性</v>
      </c>
      <c r="C80" s="69" t="str">
        <f>IFERROR(INDEX(進捗一覧!$E:$E,MATCH($A80,進捗一覧!$L:$L,0)),"⚠未検出")</f>
        <v>誰がいつ何をしたかの記録を、誰がどの画面で見られるようにするか</v>
      </c>
      <c r="D80" s="70" t="str">
        <f>IFERROR(INDEX(進捗一覧!$H:$H,MATCH($A80,進捗一覧!$L:$L,0)),"⚠未検出")</f>
        <v>外部待ち</v>
      </c>
      <c r="E80" s="68" t="s">
        <v>815</v>
      </c>
      <c r="F80" s="70" t="s">
        <v>816</v>
      </c>
      <c r="G80" s="70" t="s">
        <v>667</v>
      </c>
      <c r="H80" s="78" t="s">
        <v>817</v>
      </c>
    </row>
    <row r="81" spans="1:8" ht="16">
      <c r="A81" s="67" t="s">
        <v>86</v>
      </c>
      <c r="B81" s="68" t="str">
        <f>IFERROR(INDEX(進捗一覧!$K:$K,MATCH($A81,進捗一覧!$L:$L,0)),"⚠未検出")</f>
        <v>FR-ADMIN 監査・可視性</v>
      </c>
      <c r="C81" s="69" t="str">
        <f>IFERROR(INDEX(進捗一覧!$E:$E,MATCH($A81,進捗一覧!$L:$L,0)),"⚠未検出")</f>
        <v>設定変更の履歴をどこまで残し、いつまで保存するか</v>
      </c>
      <c r="D81" s="70" t="str">
        <f>IFERROR(INDEX(進捗一覧!$H:$H,MATCH($A81,進捗一覧!$L:$L,0)),"⚠未検出")</f>
        <v>外部待ち</v>
      </c>
      <c r="E81" s="68" t="s">
        <v>818</v>
      </c>
      <c r="F81" s="70" t="s">
        <v>819</v>
      </c>
      <c r="G81" s="70" t="s">
        <v>667</v>
      </c>
      <c r="H81" s="78" t="s">
        <v>820</v>
      </c>
    </row>
    <row r="82" spans="1:8" ht="16">
      <c r="A82" s="67" t="s">
        <v>87</v>
      </c>
      <c r="B82" s="68" t="str">
        <f>IFERROR(INDEX(進捗一覧!$K:$K,MATCH($A82,進捗一覧!$L:$L,0)),"⚠未検出")</f>
        <v>FR-ADMIN 権限委譲・カスタマイズ</v>
      </c>
      <c r="C82" s="69" t="str">
        <f>IFERROR(INDEX(進捗一覧!$E:$E,MATCH($A82,進捗一覧!$L:$L,0)),"⚠未検出")</f>
        <v>管理画面の操作権限をどこまで分ける必要があるか。選択肢はヒアリング項目・選択肢の列（J列）を参照</v>
      </c>
      <c r="D82" s="70" t="str">
        <f>IFERROR(INDEX(進捗一覧!$H:$H,MATCH($A82,進捗一覧!$L:$L,0)),"⚠未検出")</f>
        <v>外部待ち</v>
      </c>
      <c r="E82" s="68" t="s">
        <v>868</v>
      </c>
      <c r="F82" s="70" t="s">
        <v>856</v>
      </c>
      <c r="G82" s="70" t="s">
        <v>667</v>
      </c>
      <c r="H82" s="78" t="s">
        <v>869</v>
      </c>
    </row>
    <row r="83" spans="1:8" ht="16">
      <c r="A83" s="67" t="s">
        <v>88</v>
      </c>
      <c r="B83" s="68" t="str">
        <f>IFERROR(INDEX(進捗一覧!$K:$K,MATCH($A83,進捗一覧!$L:$L,0)),"⚠未検出")</f>
        <v>FR-ADMIN 権限委譲・カスタマイズ</v>
      </c>
      <c r="C83" s="69" t="str">
        <f>IFERROR(INDEX(進捗一覧!$E:$E,MATCH($A83,進捗一覧!$L:$L,0)),"⚠未検出")</f>
        <v>運用担当者側の役割分担（見るだけ／変更できる等）をどう分けるか</v>
      </c>
      <c r="D83" s="70" t="str">
        <f>IFERROR(INDEX(進捗一覧!$H:$H,MATCH($A83,進捗一覧!$L:$L,0)),"⚠未検出")</f>
        <v>外部待ち</v>
      </c>
      <c r="E83" s="68" t="s">
        <v>623</v>
      </c>
      <c r="F83" s="70" t="s">
        <v>563</v>
      </c>
      <c r="G83" s="70" t="s">
        <v>550</v>
      </c>
      <c r="H83" s="78" t="s">
        <v>624</v>
      </c>
    </row>
    <row r="84" spans="1:8" ht="16">
      <c r="A84" s="67" t="s">
        <v>89</v>
      </c>
      <c r="B84" s="68" t="str">
        <f>IFERROR(INDEX(進捗一覧!$K:$K,MATCH($A84,進捗一覧!$L:$L,0)),"⚠未検出")</f>
        <v>FR-ADMIN 権限委譲・カスタマイズ</v>
      </c>
      <c r="C84" s="69" t="str">
        <f>IFERROR(INDEX(進捗一覧!$E:$E,MATCH($A84,進捗一覧!$L:$L,0)),"⚠未検出")</f>
        <v>顧客自身に自社の利用者管理を任せるか。任せる範囲をどこまでにするか</v>
      </c>
      <c r="D84" s="70" t="str">
        <f>IFERROR(INDEX(進捗一覧!$H:$H,MATCH($A84,進捗一覧!$L:$L,0)),"⚠未検出")</f>
        <v>外部待ち</v>
      </c>
      <c r="E84" s="68" t="s">
        <v>625</v>
      </c>
      <c r="F84" s="70" t="s">
        <v>626</v>
      </c>
      <c r="G84" s="70" t="s">
        <v>540</v>
      </c>
      <c r="H84" s="78" t="s">
        <v>627</v>
      </c>
    </row>
    <row r="85" spans="1:8" ht="16">
      <c r="A85" s="67" t="s">
        <v>90</v>
      </c>
      <c r="B85" s="68" t="str">
        <f>IFERROR(INDEX(進捗一覧!$K:$K,MATCH($A85,進捗一覧!$L:$L,0)),"⚠未検出")</f>
        <v>FR-ADMIN 権限委譲・カスタマイズ</v>
      </c>
      <c r="C85" s="69" t="str">
        <f>IFERROR(INDEX(進捗一覧!$E:$E,MATCH($A85,進捗一覧!$L:$L,0)),"⚠未検出")</f>
        <v>ログイン画面を顧客ごとのロゴや配色に変えられるようにするか。どこまで変えられるか</v>
      </c>
      <c r="D85" s="70" t="str">
        <f>IFERROR(INDEX(進捗一覧!$H:$H,MATCH($A85,進捗一覧!$L:$L,0)),"⚠未検出")</f>
        <v>外部待ち</v>
      </c>
      <c r="E85" s="68" t="s">
        <v>684</v>
      </c>
      <c r="F85" s="70" t="s">
        <v>658</v>
      </c>
      <c r="G85" s="70" t="s">
        <v>667</v>
      </c>
      <c r="H85" s="78" t="s">
        <v>685</v>
      </c>
    </row>
    <row r="86" spans="1:8" ht="16">
      <c r="A86" s="67" t="s">
        <v>91</v>
      </c>
      <c r="B86" s="68" t="str">
        <f>IFERROR(INDEX(進捗一覧!$K:$K,MATCH($A86,進捗一覧!$L:$L,0)),"⚠未検出")</f>
        <v>FR-INT プロトコル準拠</v>
      </c>
      <c r="C86" s="69" t="str">
        <f>IFERROR(INDEX(進捗一覧!$E:$E,MATCH($A86,進捗一覧!$L:$L,0)),"⚠未検出")</f>
        <v>業界標準の認証仕様は OIDC に準拠すると決定済み。SAML は顧客のID基盤との接続にのみ使い、アプリとの間では使わない</v>
      </c>
      <c r="D86" s="70" t="str">
        <f>IFERROR(INDEX(進捗一覧!$H:$H,MATCH($A86,進捗一覧!$L:$L,0)),"⚠未検出")</f>
        <v>確定</v>
      </c>
      <c r="E86" s="68" t="s">
        <v>628</v>
      </c>
      <c r="F86" s="70" t="s">
        <v>543</v>
      </c>
      <c r="G86" s="70" t="s">
        <v>540</v>
      </c>
      <c r="H86" s="78" t="s">
        <v>629</v>
      </c>
    </row>
    <row r="87" spans="1:8" ht="16">
      <c r="A87" s="67" t="s">
        <v>92</v>
      </c>
      <c r="B87" s="68" t="str">
        <f>IFERROR(INDEX(進捗一覧!$K:$K,MATCH($A87,進捗一覧!$L:$L,0)),"⚠未検出")</f>
        <v>FR-INT プロトコル準拠</v>
      </c>
      <c r="C87" s="69" t="str">
        <f>IFERROR(INDEX(進捗一覧!$E:$E,MATCH($A87,進捗一覧!$L:$L,0)),"⚠未検出")</f>
        <v>アプリが接続設定を自動取得する窓口（.well-known の OIDC Discovery）は公開で決定済み。残るのは、別形式（RFC 8414）も併せて出すかどうか</v>
      </c>
      <c r="D87" s="70" t="str">
        <f>IFERROR(INDEX(進捗一覧!$H:$H,MATCH($A87,進捗一覧!$L:$L,0)),"⚠未検出")</f>
        <v>確定</v>
      </c>
      <c r="E87" s="68" t="s">
        <v>1008</v>
      </c>
      <c r="F87" s="70" t="s">
        <v>856</v>
      </c>
      <c r="G87" s="70" t="s">
        <v>667</v>
      </c>
      <c r="H87" s="78" t="s">
        <v>1009</v>
      </c>
    </row>
    <row r="88" spans="1:8" ht="16">
      <c r="A88" s="67" t="s">
        <v>93</v>
      </c>
      <c r="B88" s="68" t="str">
        <f>IFERROR(INDEX(進捗一覧!$K:$K,MATCH($A88,進捗一覧!$L:$L,0)),"⚠未検出")</f>
        <v>FR-INT プロトコル準拠</v>
      </c>
      <c r="C88" s="69" t="str">
        <f>IFERROR(INDEX(進捗一覧!$E:$E,MATCH($A88,進捗一覧!$L:$L,0)),"⚠未検出")</f>
        <v>通行証を検証するための鍵情報の窓口（JWKS）は公開必須で決定済み。AWS の API 入口の標準検証機能がインターネット側から取りに来るため、接続元を絞れない点をどう扱うか</v>
      </c>
      <c r="D88" s="70" t="str">
        <f>IFERROR(INDEX(進捗一覧!$H:$H,MATCH($A88,進捗一覧!$L:$L,0)),"⚠未検出")</f>
        <v>確定</v>
      </c>
      <c r="E88" s="68" t="s">
        <v>534</v>
      </c>
      <c r="F88" s="70" t="s">
        <v>543</v>
      </c>
      <c r="G88" s="70" t="s">
        <v>540</v>
      </c>
      <c r="H88" s="78" t="s">
        <v>630</v>
      </c>
    </row>
    <row r="89" spans="1:8" ht="16">
      <c r="A89" s="67" t="s">
        <v>94</v>
      </c>
      <c r="B89" s="68" t="str">
        <f>IFERROR(INDEX(進捗一覧!$K:$K,MATCH($A89,進捗一覧!$L:$L,0)),"⚠未検出")</f>
        <v>FR-INT プロトコル準拠</v>
      </c>
      <c r="C89" s="69" t="str">
        <f>IFERROR(INDEX(進捗一覧!$E:$E,MATCH($A89,進捗一覧!$L:$L,0)),"⚠未検出")</f>
        <v>旧来方式（SAML）の接続情報が要るのは顧客のID基盤との接続だけで、アプリと基盤の間は OIDC。残るのは、顧客IdPの接続情報を自動で取り込み更新する機能が製品にあるか（無ければ運用で代替）</v>
      </c>
      <c r="D89" s="70" t="str">
        <f>IFERROR(INDEX(進捗一覧!$H:$H,MATCH($A89,進捗一覧!$L:$L,0)),"⚠未検出")</f>
        <v>検討中</v>
      </c>
      <c r="E89" s="68" t="s">
        <v>870</v>
      </c>
      <c r="F89" s="70" t="s">
        <v>866</v>
      </c>
      <c r="G89" s="70" t="s">
        <v>667</v>
      </c>
      <c r="H89" s="78" t="s">
        <v>871</v>
      </c>
    </row>
    <row r="90" spans="1:8" ht="16">
      <c r="A90" s="67" t="s">
        <v>95</v>
      </c>
      <c r="B90" s="68" t="str">
        <f>IFERROR(INDEX(進捗一覧!$K:$K,MATCH($A90,進捗一覧!$L:$L,0)),"⚠未検出")</f>
        <v>FR-INT プロトコル準拠</v>
      </c>
      <c r="C90" s="69" t="str">
        <f>IFERROR(INDEX(進捗一覧!$E:$E,MATCH($A90,進捗一覧!$L:$L,0)),"⚠未検出")</f>
        <v>AWSのAPI入口との接続方法を標準化するか</v>
      </c>
      <c r="D90" s="70" t="str">
        <f>IFERROR(INDEX(進捗一覧!$H:$H,MATCH($A90,進捗一覧!$L:$L,0)),"⚠未検出")</f>
        <v>確定</v>
      </c>
      <c r="E90" s="68" t="s">
        <v>534</v>
      </c>
      <c r="F90" s="70" t="s">
        <v>543</v>
      </c>
      <c r="G90" s="70" t="s">
        <v>550</v>
      </c>
      <c r="H90" s="78" t="s">
        <v>595</v>
      </c>
    </row>
    <row r="91" spans="1:8" ht="16">
      <c r="A91" s="67" t="s">
        <v>96</v>
      </c>
      <c r="B91" s="68" t="str">
        <f>IFERROR(INDEX(進捗一覧!$K:$K,MATCH($A91,進捗一覧!$L:$L,0)),"⚠未検出")</f>
        <v>FR-INT ログ・監視</v>
      </c>
      <c r="C91" s="69" t="str">
        <f>IFERROR(INDEX(進捗一覧!$E:$E,MATCH($A91,進捗一覧!$L:$L,0)),"⚠未検出")</f>
        <v>操作記録を外部にどの形式・どの頻度で出すか</v>
      </c>
      <c r="D91" s="70" t="str">
        <f>IFERROR(INDEX(進捗一覧!$H:$H,MATCH($A91,進捗一覧!$L:$L,0)),"⚠未検出")</f>
        <v>確定</v>
      </c>
      <c r="E91" s="68" t="s">
        <v>821</v>
      </c>
      <c r="F91" s="70" t="s">
        <v>819</v>
      </c>
      <c r="G91" s="70" t="s">
        <v>667</v>
      </c>
      <c r="H91" s="78" t="s">
        <v>822</v>
      </c>
    </row>
    <row r="92" spans="1:8" ht="16">
      <c r="A92" s="67" t="s">
        <v>97</v>
      </c>
      <c r="B92" s="68" t="str">
        <f>IFERROR(INDEX(進捗一覧!$K:$K,MATCH($A92,進捗一覧!$L:$L,0)),"⚠未検出")</f>
        <v>FR-INT ログ・監視</v>
      </c>
      <c r="C92" s="69" t="str">
        <f>IFERROR(INDEX(進捗一覧!$E:$E,MATCH($A92,進捗一覧!$L:$L,0)),"⚠未検出")</f>
        <v>操作記録をセキュリティ監視製品（SIEM）へ送る必要があるか。送付先は設けない方針で決定済み</v>
      </c>
      <c r="D92" s="70" t="str">
        <f>IFERROR(INDEX(進捗一覧!$H:$H,MATCH($A92,進捗一覧!$L:$L,0)),"⚠未検出")</f>
        <v>確定</v>
      </c>
      <c r="E92" s="68" t="s">
        <v>872</v>
      </c>
      <c r="F92" s="70" t="s">
        <v>873</v>
      </c>
      <c r="G92" s="70" t="s">
        <v>659</v>
      </c>
      <c r="H92" s="78" t="s">
        <v>874</v>
      </c>
    </row>
    <row r="93" spans="1:8" ht="16">
      <c r="A93" s="67" t="s">
        <v>98</v>
      </c>
      <c r="B93" s="68" t="str">
        <f>IFERROR(INDEX(進捗一覧!$K:$K,MATCH($A93,進捗一覧!$L:$L,0)),"⚠未検出")</f>
        <v>FR-INT API・IaC・Webhook</v>
      </c>
      <c r="C93" s="69" t="str">
        <f>IFERROR(INDEX(進捗一覧!$E:$E,MATCH($A93,進捗一覧!$L:$L,0)),"⚠未検出")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70" t="str">
        <f>IFERROR(INDEX(進捗一覧!$H:$H,MATCH($A93,進捗一覧!$L:$L,0)),"⚠未検出")</f>
        <v>外部待ち</v>
      </c>
      <c r="E93" s="68" t="s">
        <v>875</v>
      </c>
      <c r="F93" s="70" t="s">
        <v>858</v>
      </c>
      <c r="G93" s="70" t="s">
        <v>667</v>
      </c>
      <c r="H93" s="78" t="s">
        <v>876</v>
      </c>
    </row>
    <row r="94" spans="1:8" ht="16">
      <c r="A94" s="67" t="s">
        <v>99</v>
      </c>
      <c r="B94" s="68" t="str">
        <f>IFERROR(INDEX(進捗一覧!$K:$K,MATCH($A94,進捗一覧!$L:$L,0)),"⚠未検出")</f>
        <v>FR-INT API・IaC・Webhook</v>
      </c>
      <c r="C94" s="69" t="str">
        <f>IFERROR(INDEX(進捗一覧!$E:$E,MATCH($A94,進捗一覧!$L:$L,0)),"⚠未検出")</f>
        <v>外部から設定や利用者を操作する API をどこまで公開するか。方式は決定済みで、顧客ID基盤側に置く専用アプリでラップして公開する。そのアプリを誰が作るかが未定</v>
      </c>
      <c r="D94" s="70" t="str">
        <f>IFERROR(INDEX(進捗一覧!$H:$H,MATCH($A94,進捗一覧!$L:$L,0)),"⚠未検出")</f>
        <v>方向性確定（条件付き）</v>
      </c>
      <c r="E94" s="68" t="s">
        <v>631</v>
      </c>
      <c r="F94" s="70" t="s">
        <v>626</v>
      </c>
      <c r="G94" s="70" t="s">
        <v>540</v>
      </c>
      <c r="H94" s="78" t="s">
        <v>632</v>
      </c>
    </row>
    <row r="95" spans="1:8" ht="16">
      <c r="A95" s="67" t="s">
        <v>100</v>
      </c>
      <c r="B95" s="68" t="str">
        <f>IFERROR(INDEX(進捗一覧!$K:$K,MATCH($A95,進捗一覧!$L:$L,0)),"⚠未検出")</f>
        <v>FR-INT API・IaC・Webhook</v>
      </c>
      <c r="C95" s="69" t="str">
        <f>IFERROR(INDEX(進捗一覧!$E:$E,MATCH($A95,進捗一覧!$L:$L,0)),"⚠未検出")</f>
        <v>設定を手作業ではなくコードで管理する方針は採用。決めるのは、どの範囲までをコード管理の対象にするか</v>
      </c>
      <c r="D95" s="70" t="str">
        <f>IFERROR(INDEX(進捗一覧!$H:$H,MATCH($A95,進捗一覧!$L:$L,0)),"⚠未検出")</f>
        <v>確定</v>
      </c>
      <c r="E95" s="68" t="s">
        <v>507</v>
      </c>
      <c r="F95" s="70" t="s">
        <v>539</v>
      </c>
      <c r="G95" s="70" t="s">
        <v>540</v>
      </c>
      <c r="H95" s="78" t="s">
        <v>633</v>
      </c>
    </row>
    <row r="96" spans="1:8" ht="16">
      <c r="A96" s="67" t="s">
        <v>101</v>
      </c>
      <c r="B96" s="68" t="str">
        <f>IFERROR(INDEX(進捗一覧!$K:$K,MATCH($A96,進捗一覧!$L:$L,0)),"⚠未検出")</f>
        <v>NFR-AVL 可用性</v>
      </c>
      <c r="C96" s="69" t="str">
        <f>IFERROR(INDEX(進捗一覧!$E:$E,MATCH($A96,進捗一覧!$L:$L,0)),"⚠未検出")</f>
        <v>何％の稼働率を顧客に約束するか。約束を下回ったときの扱いをどうするか。最重要の確認事項</v>
      </c>
      <c r="D96" s="70" t="str">
        <f>IFERROR(INDEX(進捗一覧!$H:$H,MATCH($A96,進捗一覧!$L:$L,0)),"⚠未検出")</f>
        <v>外部待ち</v>
      </c>
      <c r="E96" s="68" t="s">
        <v>737</v>
      </c>
      <c r="F96" s="70" t="s">
        <v>738</v>
      </c>
      <c r="G96" s="70" t="s">
        <v>667</v>
      </c>
      <c r="H96" s="78" t="s">
        <v>739</v>
      </c>
    </row>
    <row r="97" spans="1:8" ht="16">
      <c r="A97" s="67" t="s">
        <v>102</v>
      </c>
      <c r="B97" s="68" t="str">
        <f>IFERROR(INDEX(進捗一覧!$K:$K,MATCH($A97,進捗一覧!$L:$L,0)),"⚠未検出")</f>
        <v>NFR-AVL 可用性</v>
      </c>
      <c r="C97" s="69" t="str">
        <f>IFERROR(INDEX(進捗一覧!$E:$E,MATCH($A97,進捗一覧!$L:$L,0)),"⚠未検出")</f>
        <v>計画的な停止作業をいつ・どのくらいの頻度で行うか。事前通知をいつ出すか</v>
      </c>
      <c r="D97" s="70" t="str">
        <f>IFERROR(INDEX(進捗一覧!$H:$H,MATCH($A97,進捗一覧!$L:$L,0)),"⚠未検出")</f>
        <v>外部待ち</v>
      </c>
      <c r="E97" s="68" t="s">
        <v>740</v>
      </c>
      <c r="F97" s="70" t="s">
        <v>738</v>
      </c>
      <c r="G97" s="70" t="s">
        <v>667</v>
      </c>
      <c r="H97" s="78" t="s">
        <v>741</v>
      </c>
    </row>
    <row r="98" spans="1:8" ht="16">
      <c r="A98" s="67" t="s">
        <v>103</v>
      </c>
      <c r="B98" s="68" t="str">
        <f>IFERROR(INDEX(進捗一覧!$K:$K,MATCH($A98,進捗一覧!$L:$L,0)),"⚠未検出")</f>
        <v>NFR-AVL 可用性</v>
      </c>
      <c r="C98" s="69" t="str">
        <f>IFERROR(INDEX(進捗一覧!$E:$E,MATCH($A98,進捗一覧!$L:$L,0)),"⚠未検出")</f>
        <v>障害に備えて設備を複数の場所に分けて置くか</v>
      </c>
      <c r="D98" s="70" t="str">
        <f>IFERROR(INDEX(進捗一覧!$H:$H,MATCH($A98,進捗一覧!$L:$L,0)),"⚠未検出")</f>
        <v>確定</v>
      </c>
      <c r="E98" s="68" t="s">
        <v>742</v>
      </c>
      <c r="F98" s="70" t="s">
        <v>738</v>
      </c>
      <c r="G98" s="70" t="s">
        <v>667</v>
      </c>
      <c r="H98" s="78" t="s">
        <v>743</v>
      </c>
    </row>
    <row r="99" spans="1:8" ht="16">
      <c r="A99" s="67" t="s">
        <v>104</v>
      </c>
      <c r="B99" s="68" t="str">
        <f>IFERROR(INDEX(進捗一覧!$K:$K,MATCH($A99,進捗一覧!$L:$L,0)),"⚠未検出")</f>
        <v>NFR-AVL 可用性</v>
      </c>
      <c r="C99" s="69" t="str">
        <f>IFERROR(INDEX(進捗一覧!$E:$E,MATCH($A99,進捗一覧!$L:$L,0)),"⚠未検出")</f>
        <v>部品が落ちたときに自動で立ち上げ直す仕組みを入れるか</v>
      </c>
      <c r="D99" s="70" t="str">
        <f>IFERROR(INDEX(進捗一覧!$H:$H,MATCH($A99,進捗一覧!$L:$L,0)),"⚠未検出")</f>
        <v>確定</v>
      </c>
      <c r="E99" s="68" t="s">
        <v>742</v>
      </c>
      <c r="F99" s="70" t="s">
        <v>738</v>
      </c>
      <c r="G99" s="70" t="s">
        <v>667</v>
      </c>
      <c r="H99" s="78" t="s">
        <v>744</v>
      </c>
    </row>
    <row r="100" spans="1:8" ht="16">
      <c r="A100" s="67" t="s">
        <v>105</v>
      </c>
      <c r="B100" s="68" t="str">
        <f>IFERROR(INDEX(進捗一覧!$K:$K,MATCH($A100,進捗一覧!$L:$L,0)),"⚠未検出")</f>
        <v>NFR-AVL 可用性</v>
      </c>
      <c r="C100" s="69" t="str">
        <f>IFERROR(INDEX(進捗一覧!$E:$E,MATCH($A100,進捗一覧!$L:$L,0)),"⚠未検出")</f>
        <v>1か所壊れると全部止まる箇所をなくす方針でよいか</v>
      </c>
      <c r="D100" s="70" t="str">
        <f>IFERROR(INDEX(進捗一覧!$H:$H,MATCH($A100,進捗一覧!$L:$L,0)),"⚠未検出")</f>
        <v>確定</v>
      </c>
      <c r="E100" s="68" t="s">
        <v>745</v>
      </c>
      <c r="F100" s="70" t="s">
        <v>738</v>
      </c>
      <c r="G100" s="70" t="s">
        <v>667</v>
      </c>
      <c r="H100" s="78" t="s">
        <v>746</v>
      </c>
    </row>
    <row r="101" spans="1:8" ht="16">
      <c r="A101" s="67" t="s">
        <v>106</v>
      </c>
      <c r="B101" s="68" t="str">
        <f>IFERROR(INDEX(進捗一覧!$K:$K,MATCH($A101,進捗一覧!$L:$L,0)),"⚠未検出")</f>
        <v>NFR-AVL 可用性</v>
      </c>
      <c r="C101" s="69" t="str">
        <f>IFERROR(INDEX(進捗一覧!$E:$E,MATCH($A101,進捗一覧!$L:$L,0)),"⚠未検出")</f>
        <v>更新作業中もサービスを止めない方式にするか</v>
      </c>
      <c r="D101" s="70" t="str">
        <f>IFERROR(INDEX(進捗一覧!$H:$H,MATCH($A101,進捗一覧!$L:$L,0)),"⚠未検出")</f>
        <v>確定</v>
      </c>
      <c r="E101" s="68" t="s">
        <v>747</v>
      </c>
      <c r="F101" s="70" t="s">
        <v>738</v>
      </c>
      <c r="G101" s="70" t="s">
        <v>667</v>
      </c>
      <c r="H101" s="78" t="s">
        <v>748</v>
      </c>
    </row>
    <row r="102" spans="1:8" ht="16">
      <c r="A102" s="67" t="s">
        <v>107</v>
      </c>
      <c r="B102" s="68" t="str">
        <f>IFERROR(INDEX(進捗一覧!$K:$K,MATCH($A102,進捗一覧!$L:$L,0)),"⚠未検出")</f>
        <v>NFR-PERF 応答時間/レイテンシ</v>
      </c>
      <c r="C102" s="69" t="str">
        <f>IFERROR(INDEX(進捗一覧!$E:$E,MATCH($A102,進捗一覧!$L:$L,0)),"⚠未検出")</f>
        <v>ログインが何秒以内に返れば合格とするか</v>
      </c>
      <c r="D102" s="70" t="str">
        <f>IFERROR(INDEX(進捗一覧!$H:$H,MATCH($A102,進捗一覧!$L:$L,0)),"⚠未検出")</f>
        <v>外部待ち</v>
      </c>
      <c r="E102" s="68" t="s">
        <v>776</v>
      </c>
      <c r="F102" s="70" t="s">
        <v>777</v>
      </c>
      <c r="G102" s="70" t="s">
        <v>659</v>
      </c>
      <c r="H102" s="78" t="s">
        <v>778</v>
      </c>
    </row>
    <row r="103" spans="1:8" ht="16">
      <c r="A103" s="67" t="s">
        <v>108</v>
      </c>
      <c r="B103" s="68" t="str">
        <f>IFERROR(INDEX(進捗一覧!$K:$K,MATCH($A103,進捗一覧!$L:$L,0)),"⚠未検出")</f>
        <v>NFR-PERF 応答時間/レイテンシ</v>
      </c>
      <c r="C103" s="69" t="str">
        <f>IFERROR(INDEX(進捗一覧!$E:$E,MATCH($A103,進捗一覧!$L:$L,0)),"⚠未検出")</f>
        <v>権限チェック部分の応答時間の目標をどこに置くか</v>
      </c>
      <c r="D103" s="70" t="str">
        <f>IFERROR(INDEX(進捗一覧!$H:$H,MATCH($A103,進捗一覧!$L:$L,0)),"⚠未検出")</f>
        <v>対象外</v>
      </c>
      <c r="E103" s="68" t="s">
        <v>998</v>
      </c>
      <c r="F103" s="70" t="s">
        <v>819</v>
      </c>
      <c r="G103" s="70" t="s">
        <v>659</v>
      </c>
      <c r="H103" s="78" t="s">
        <v>999</v>
      </c>
    </row>
    <row r="104" spans="1:8" ht="16">
      <c r="A104" s="67" t="s">
        <v>109</v>
      </c>
      <c r="B104" s="68" t="str">
        <f>IFERROR(INDEX(進捗一覧!$K:$K,MATCH($A104,進捗一覧!$L:$L,0)),"⚠未検出")</f>
        <v>NFR-PERF 応答時間/レイテンシ</v>
      </c>
      <c r="C104" s="69" t="str">
        <f>IFERROR(INDEX(進捗一覧!$E:$E,MATCH($A104,進捗一覧!$L:$L,0)),"⚠未検出")</f>
        <v>通行証の検証はアプリ側だけで完結し基盤に問い合わせないため、基盤の処理能力の目標にはならない。基盤側で決めるのは鍵情報の公開窓口（JWKS）の応答目標のみ</v>
      </c>
      <c r="D104" s="70" t="str">
        <f>IFERROR(INDEX(進捗一覧!$H:$H,MATCH($A104,進捗一覧!$L:$L,0)),"⚠未検出")</f>
        <v>確定</v>
      </c>
      <c r="E104" s="68" t="s">
        <v>998</v>
      </c>
      <c r="F104" s="70" t="s">
        <v>819</v>
      </c>
      <c r="G104" s="70" t="s">
        <v>659</v>
      </c>
      <c r="H104" s="78" t="s">
        <v>1000</v>
      </c>
    </row>
    <row r="105" spans="1:8" ht="16">
      <c r="A105" s="67" t="s">
        <v>110</v>
      </c>
      <c r="B105" s="68" t="str">
        <f>IFERROR(INDEX(進捗一覧!$K:$K,MATCH($A105,進捗一覧!$L:$L,0)),"⚠未検出")</f>
        <v>NFR-PERF 応答時間/レイテンシ</v>
      </c>
      <c r="C105" s="69" t="str">
        <f>IFERROR(INDEX(進捗一覧!$E:$E,MATCH($A105,進捗一覧!$L:$L,0)),"⚠未検出")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70" t="str">
        <f>IFERROR(INDEX(進捗一覧!$H:$H,MATCH($A105,進捗一覧!$L:$L,0)),"⚠未検出")</f>
        <v>確定</v>
      </c>
      <c r="E105" s="68" t="s">
        <v>780</v>
      </c>
      <c r="F105" s="70" t="s">
        <v>779</v>
      </c>
      <c r="G105" s="70" t="s">
        <v>659</v>
      </c>
      <c r="H105" s="78" t="s">
        <v>781</v>
      </c>
    </row>
    <row r="106" spans="1:8" ht="16">
      <c r="A106" s="67" t="s">
        <v>111</v>
      </c>
      <c r="B106" s="68" t="str">
        <f>IFERROR(INDEX(進捗一覧!$K:$K,MATCH($A106,進捗一覧!$L:$L,0)),"⚠未検出")</f>
        <v>NFR-PERF 応答時間/レイテンシ</v>
      </c>
      <c r="C106" s="69" t="str">
        <f>IFERROR(INDEX(進捗一覧!$E:$E,MATCH($A106,進捗一覧!$L:$L,0)),"⚠未検出")</f>
        <v>データベースの応答時間を独立した目標として置くか、通行証発行の応答時間の中に含めてしまうか</v>
      </c>
      <c r="D106" s="70" t="str">
        <f>IFERROR(INDEX(進捗一覧!$H:$H,MATCH($A106,進捗一覧!$L:$L,0)),"⚠未検出")</f>
        <v>検討中</v>
      </c>
      <c r="E106" s="68" t="s">
        <v>782</v>
      </c>
      <c r="F106" s="70" t="s">
        <v>777</v>
      </c>
      <c r="G106" s="70" t="s">
        <v>659</v>
      </c>
      <c r="H106" s="78" t="s">
        <v>783</v>
      </c>
    </row>
    <row r="107" spans="1:8" ht="16">
      <c r="A107" s="67" t="s">
        <v>112</v>
      </c>
      <c r="B107" s="68" t="str">
        <f>IFERROR(INDEX(進捗一覧!$K:$K,MATCH($A107,進捗一覧!$L:$L,0)),"⚠未検出")</f>
        <v>NFR-PERF スループット/スケール耐性</v>
      </c>
      <c r="C107" s="69" t="str">
        <f>IFERROR(INDEX(進捗一覧!$E:$E,MATCH($A107,進捗一覧!$L:$L,0)),"⚠未検出")</f>
        <v>ログインが集中したとき、同時に何件まで耐える必要があるか</v>
      </c>
      <c r="D107" s="70" t="str">
        <f>IFERROR(INDEX(進捗一覧!$H:$H,MATCH($A107,進捗一覧!$L:$L,0)),"⚠未検出")</f>
        <v>外部待ち</v>
      </c>
      <c r="E107" s="68" t="s">
        <v>784</v>
      </c>
      <c r="F107" s="70" t="s">
        <v>777</v>
      </c>
      <c r="G107" s="70" t="s">
        <v>667</v>
      </c>
      <c r="H107" s="78" t="s">
        <v>785</v>
      </c>
    </row>
    <row r="108" spans="1:8" ht="16">
      <c r="A108" s="67" t="s">
        <v>113</v>
      </c>
      <c r="B108" s="68" t="str">
        <f>IFERROR(INDEX(進捗一覧!$K:$K,MATCH($A108,進捗一覧!$L:$L,0)),"⚠未検出")</f>
        <v>NFR-PERF スループット/スケール耐性</v>
      </c>
      <c r="C108" s="69" t="str">
        <f>IFERROR(INDEX(進捗一覧!$E:$E,MATCH($A108,進捗一覧!$L:$L,0)),"⚠未検出")</f>
        <v>入口で1秒あたりの受付上限をいくつにするか</v>
      </c>
      <c r="D108" s="70" t="str">
        <f>IFERROR(INDEX(進捗一覧!$H:$H,MATCH($A108,進捗一覧!$L:$L,0)),"⚠未検出")</f>
        <v>外部待ち</v>
      </c>
      <c r="E108" s="68" t="s">
        <v>786</v>
      </c>
      <c r="F108" s="70" t="s">
        <v>777</v>
      </c>
      <c r="G108" s="70" t="s">
        <v>659</v>
      </c>
      <c r="H108" s="78" t="s">
        <v>787</v>
      </c>
    </row>
    <row r="109" spans="1:8" ht="16">
      <c r="A109" s="67" t="s">
        <v>114</v>
      </c>
      <c r="B109" s="68" t="str">
        <f>IFERROR(INDEX(進捗一覧!$K:$K,MATCH($A109,進捗一覧!$L:$L,0)),"⚠未検出")</f>
        <v>NFR-PERF スループット/スケール耐性</v>
      </c>
      <c r="C109" s="69" t="str">
        <f>IFERROR(INDEX(進捗一覧!$E:$E,MATCH($A109,進捗一覧!$L:$L,0)),"⚠未検出")</f>
        <v>始業時など混み合う時間帯の想定と、その山をどう吸収するか</v>
      </c>
      <c r="D109" s="70" t="str">
        <f>IFERROR(INDEX(進捗一覧!$H:$H,MATCH($A109,進捗一覧!$L:$L,0)),"⚠未検出")</f>
        <v>外部待ち</v>
      </c>
      <c r="E109" s="68" t="s">
        <v>788</v>
      </c>
      <c r="F109" s="70" t="s">
        <v>777</v>
      </c>
      <c r="G109" s="70" t="s">
        <v>667</v>
      </c>
      <c r="H109" s="78" t="s">
        <v>789</v>
      </c>
    </row>
    <row r="110" spans="1:8" ht="16">
      <c r="A110" s="67" t="s">
        <v>115</v>
      </c>
      <c r="B110" s="68" t="str">
        <f>IFERROR(INDEX(進捗一覧!$K:$K,MATCH($A110,進捗一覧!$L:$L,0)),"⚠未検出")</f>
        <v>NFR-SCL 拡張性</v>
      </c>
      <c r="C110" s="69" t="str">
        <f>IFERROR(INDEX(進捗一覧!$E:$E,MATCH($A110,進捗一覧!$L:$L,0)),"⚠未検出")</f>
        <v>利用者数の上限をいくらと想定して設計するか。最重要の確認事項</v>
      </c>
      <c r="D110" s="70" t="str">
        <f>IFERROR(INDEX(進捗一覧!$H:$H,MATCH($A110,進捗一覧!$L:$L,0)),"⚠未検出")</f>
        <v>外部待ち</v>
      </c>
      <c r="E110" s="68" t="s">
        <v>790</v>
      </c>
      <c r="F110" s="70" t="s">
        <v>777</v>
      </c>
      <c r="G110" s="70" t="s">
        <v>667</v>
      </c>
      <c r="H110" s="78" t="s">
        <v>791</v>
      </c>
    </row>
    <row r="111" spans="1:8" ht="16">
      <c r="A111" s="67" t="s">
        <v>116</v>
      </c>
      <c r="B111" s="68" t="str">
        <f>IFERROR(INDEX(進捗一覧!$K:$K,MATCH($A111,進捗一覧!$L:$L,0)),"⚠未検出")</f>
        <v>NFR-SCL 拡張性</v>
      </c>
      <c r="C111" s="69" t="str">
        <f>IFERROR(INDEX(進捗一覧!$E:$E,MATCH($A111,進捗一覧!$L:$L,0)),"⚠未検出")</f>
        <v>同時にログイン状態になる人数を、最大いくらと見込むか</v>
      </c>
      <c r="D111" s="70" t="str">
        <f>IFERROR(INDEX(進捗一覧!$H:$H,MATCH($A111,進捗一覧!$L:$L,0)),"⚠未検出")</f>
        <v>外部待ち</v>
      </c>
      <c r="E111" s="68" t="s">
        <v>792</v>
      </c>
      <c r="F111" s="70" t="s">
        <v>777</v>
      </c>
      <c r="G111" s="70" t="s">
        <v>659</v>
      </c>
      <c r="H111" s="78" t="s">
        <v>793</v>
      </c>
    </row>
    <row r="112" spans="1:8" ht="16">
      <c r="A112" s="67" t="s">
        <v>117</v>
      </c>
      <c r="B112" s="68" t="str">
        <f>IFERROR(INDEX(進捗一覧!$K:$K,MATCH($A112,進捗一覧!$L:$L,0)),"⚠未検出")</f>
        <v>NFR-SCL 拡張性</v>
      </c>
      <c r="C112" s="69" t="str">
        <f>IFERROR(INDEX(進捗一覧!$E:$E,MATCH($A112,進捗一覧!$L:$L,0)),"⚠未検出")</f>
        <v>顧客の数（接続するID基盤の数）を最大いくらと見込むか</v>
      </c>
      <c r="D112" s="70" t="str">
        <f>IFERROR(INDEX(進捗一覧!$H:$H,MATCH($A112,進捗一覧!$L:$L,0)),"⚠未検出")</f>
        <v>外部待ち</v>
      </c>
      <c r="E112" s="68" t="s">
        <v>634</v>
      </c>
      <c r="F112" s="70" t="s">
        <v>539</v>
      </c>
      <c r="G112" s="70" t="s">
        <v>540</v>
      </c>
      <c r="H112" s="78" t="s">
        <v>635</v>
      </c>
    </row>
    <row r="113" spans="1:8" ht="16">
      <c r="A113" s="67" t="s">
        <v>118</v>
      </c>
      <c r="B113" s="68" t="str">
        <f>IFERROR(INDEX(進捗一覧!$K:$K,MATCH($A113,進捗一覧!$L:$L,0)),"⚠未検出")</f>
        <v>NFR-SCL 拡張性</v>
      </c>
      <c r="C113" s="69" t="str">
        <f>IFERROR(INDEX(進捗一覧!$E:$E,MATCH($A113,進捗一覧!$L:$L,0)),"⚠未検出")</f>
        <v>新しい顧客の接続を、依頼から何日で開通させるか</v>
      </c>
      <c r="D113" s="70" t="str">
        <f>IFERROR(INDEX(進捗一覧!$H:$H,MATCH($A113,進捗一覧!$L:$L,0)),"⚠未検出")</f>
        <v>外部待ち</v>
      </c>
      <c r="E113" s="68" t="s">
        <v>786</v>
      </c>
      <c r="F113" s="70" t="s">
        <v>777</v>
      </c>
      <c r="G113" s="70" t="s">
        <v>659</v>
      </c>
      <c r="H113" s="78" t="s">
        <v>794</v>
      </c>
    </row>
    <row r="114" spans="1:8" ht="16">
      <c r="A114" s="67" t="s">
        <v>119</v>
      </c>
      <c r="B114" s="68" t="str">
        <f>IFERROR(INDEX(進捗一覧!$K:$K,MATCH($A114,進捗一覧!$L:$L,0)),"⚠未検出")</f>
        <v>NFR-SCL 拡張性</v>
      </c>
      <c r="C114" s="69" t="str">
        <f>IFERROR(INDEX(進捗一覧!$E:$E,MATCH($A114,進捗一覧!$L:$L,0)),"⚠未検出")</f>
        <v>混雑に応じて設備を自動で増減させるか。増やす・減らす判定基準をどうするか</v>
      </c>
      <c r="D114" s="70" t="str">
        <f>IFERROR(INDEX(進捗一覧!$H:$H,MATCH($A114,進捗一覧!$L:$L,0)),"⚠未検出")</f>
        <v>確定</v>
      </c>
      <c r="E114" s="68" t="s">
        <v>788</v>
      </c>
      <c r="F114" s="70" t="s">
        <v>777</v>
      </c>
      <c r="G114" s="70" t="s">
        <v>667</v>
      </c>
      <c r="H114" s="78" t="s">
        <v>795</v>
      </c>
    </row>
    <row r="115" spans="1:8" ht="16">
      <c r="A115" s="67" t="s">
        <v>120</v>
      </c>
      <c r="B115" s="68" t="str">
        <f>IFERROR(INDEX(進捗一覧!$K:$K,MATCH($A115,進捗一覧!$L:$L,0)),"⚠未検出")</f>
        <v>NFR-SCL 拡張性</v>
      </c>
      <c r="C115" s="69" t="str">
        <f>IFERROR(INDEX(進捗一覧!$E:$E,MATCH($A115,進捗一覧!$L:$L,0)),"⚠未検出")</f>
        <v>複数の地域で同時に稼働させる必要があるか</v>
      </c>
      <c r="D115" s="70" t="str">
        <f>IFERROR(INDEX(進捗一覧!$H:$H,MATCH($A115,進捗一覧!$L:$L,0)),"⚠未検出")</f>
        <v>確定</v>
      </c>
      <c r="E115" s="68" t="s">
        <v>796</v>
      </c>
      <c r="F115" s="70" t="s">
        <v>797</v>
      </c>
      <c r="G115" s="70" t="s">
        <v>667</v>
      </c>
      <c r="H115" s="78" t="s">
        <v>798</v>
      </c>
    </row>
    <row r="116" spans="1:8" ht="16">
      <c r="A116" s="67" t="s">
        <v>121</v>
      </c>
      <c r="B116" s="68" t="str">
        <f>IFERROR(INDEX(進捗一覧!$K:$K,MATCH($A116,進捗一覧!$L:$L,0)),"⚠未検出")</f>
        <v>NFR-SCL 拡張性</v>
      </c>
      <c r="C116" s="69" t="str">
        <f>IFERROR(INDEX(進捗一覧!$E:$E,MATCH($A116,進捗一覧!$L:$L,0)),"⚠未検出")</f>
        <v>データベースの拡張余地をどこまで確保するか。実規模での実測が難しいため、見積もり値で置く</v>
      </c>
      <c r="D116" s="70" t="str">
        <f>IFERROR(INDEX(進捗一覧!$H:$H,MATCH($A116,進捗一覧!$L:$L,0)),"⚠未検出")</f>
        <v>検討中</v>
      </c>
      <c r="E116" s="68" t="s">
        <v>799</v>
      </c>
      <c r="F116" s="70" t="s">
        <v>777</v>
      </c>
      <c r="G116" s="70" t="s">
        <v>667</v>
      </c>
      <c r="H116" s="78" t="s">
        <v>800</v>
      </c>
    </row>
    <row r="117" spans="1:8" ht="16">
      <c r="A117" s="67" t="s">
        <v>122</v>
      </c>
      <c r="B117" s="68" t="str">
        <f>IFERROR(INDEX(進捗一覧!$K:$K,MATCH($A117,進捗一覧!$L:$L,0)),"⚠未検出")</f>
        <v>NFR-SEC 暗号化・鍵管理</v>
      </c>
      <c r="C117" s="69" t="str">
        <f>IFERROR(INDEX(進捗一覧!$E:$E,MATCH($A117,進捗一覧!$L:$L,0)),"⚠未検出")</f>
        <v>通信の暗号化をどの水準で必須にするか</v>
      </c>
      <c r="D117" s="70" t="str">
        <f>IFERROR(INDEX(進捗一覧!$H:$H,MATCH($A117,進捗一覧!$L:$L,0)),"⚠未検出")</f>
        <v>確定</v>
      </c>
      <c r="E117" s="68" t="s">
        <v>801</v>
      </c>
      <c r="F117" s="70" t="s">
        <v>777</v>
      </c>
      <c r="G117" s="70" t="s">
        <v>667</v>
      </c>
      <c r="H117" s="78" t="s">
        <v>802</v>
      </c>
    </row>
    <row r="118" spans="1:8" ht="16">
      <c r="A118" s="67" t="s">
        <v>123</v>
      </c>
      <c r="B118" s="68" t="str">
        <f>IFERROR(INDEX(進捗一覧!$K:$K,MATCH($A118,進捗一覧!$L:$L,0)),"⚠未検出")</f>
        <v>NFR-SEC 暗号化・鍵管理</v>
      </c>
      <c r="C118" s="69" t="str">
        <f>IFERROR(INDEX(進捗一覧!$E:$E,MATCH($A118,進捗一覧!$L:$L,0)),"⚠未検出")</f>
        <v>保存データの暗号化をどこまで必須にするか。暗号鍵を誰が持つか</v>
      </c>
      <c r="D118" s="70" t="str">
        <f>IFERROR(INDEX(進捗一覧!$H:$H,MATCH($A118,進捗一覧!$L:$L,0)),"⚠未検出")</f>
        <v>確定</v>
      </c>
      <c r="E118" s="68" t="s">
        <v>698</v>
      </c>
      <c r="F118" s="70" t="s">
        <v>691</v>
      </c>
      <c r="G118" s="70" t="s">
        <v>667</v>
      </c>
      <c r="H118" s="78" t="s">
        <v>699</v>
      </c>
    </row>
    <row r="119" spans="1:8" ht="16">
      <c r="A119" s="67" t="s">
        <v>124</v>
      </c>
      <c r="B119" s="68" t="str">
        <f>IFERROR(INDEX(進捗一覧!$K:$K,MATCH($A119,進捗一覧!$L:$L,0)),"⚠未検出")</f>
        <v>NFR-SEC 暗号化・鍵管理</v>
      </c>
      <c r="C119" s="69" t="str">
        <f>IFERROR(INDEX(進捗一覧!$E:$E,MATCH($A119,進捗一覧!$L:$L,0)),"⚠未検出")</f>
        <v>通行証の署名方式に何を使うか</v>
      </c>
      <c r="D119" s="70" t="str">
        <f>IFERROR(INDEX(進捗一覧!$H:$H,MATCH($A119,進捗一覧!$L:$L,0)),"⚠未検出")</f>
        <v>外部待ち</v>
      </c>
      <c r="E119" s="68" t="s">
        <v>700</v>
      </c>
      <c r="F119" s="70" t="s">
        <v>701</v>
      </c>
      <c r="G119" s="70" t="s">
        <v>667</v>
      </c>
      <c r="H119" s="78" t="s">
        <v>702</v>
      </c>
    </row>
    <row r="120" spans="1:8" ht="16">
      <c r="A120" s="67" t="s">
        <v>125</v>
      </c>
      <c r="B120" s="68" t="str">
        <f>IFERROR(INDEX(進捗一覧!$K:$K,MATCH($A120,進捗一覧!$L:$L,0)),"⚠未検出")</f>
        <v>NFR-SEC 暗号化・鍵管理</v>
      </c>
      <c r="C120" s="69" t="str">
        <f>IFERROR(INDEX(進捗一覧!$E:$E,MATCH($A120,進捗一覧!$L:$L,0)),"⚠未検出")</f>
        <v>パスワードをどの方式で保管するか。強度の設定値をどうするか</v>
      </c>
      <c r="D120" s="70" t="str">
        <f>IFERROR(INDEX(進捗一覧!$H:$H,MATCH($A120,進捗一覧!$L:$L,0)),"⚠未検出")</f>
        <v>外部待ち</v>
      </c>
      <c r="E120" s="68" t="s">
        <v>690</v>
      </c>
      <c r="F120" s="70" t="s">
        <v>691</v>
      </c>
      <c r="G120" s="70" t="s">
        <v>659</v>
      </c>
      <c r="H120" s="78" t="s">
        <v>703</v>
      </c>
    </row>
    <row r="121" spans="1:8" ht="16">
      <c r="A121" s="67" t="s">
        <v>126</v>
      </c>
      <c r="B121" s="68" t="str">
        <f>IFERROR(INDEX(進捗一覧!$K:$K,MATCH($A121,進捗一覧!$L:$L,0)),"⚠未検出")</f>
        <v>NFR-SEC 暗号化・鍵管理</v>
      </c>
      <c r="C121" s="69" t="str">
        <f>IFERROR(INDEX(進捗一覧!$E:$E,MATCH($A121,進捗一覧!$L:$L,0)),"⚠未検出")</f>
        <v>接続用の秘密情報をどこに保管し、誰が取り出せるようにするか</v>
      </c>
      <c r="D121" s="70" t="str">
        <f>IFERROR(INDEX(進捗一覧!$H:$H,MATCH($A121,進捗一覧!$L:$L,0)),"⚠未検出")</f>
        <v>確定</v>
      </c>
      <c r="E121" s="68" t="s">
        <v>704</v>
      </c>
      <c r="F121" s="70" t="s">
        <v>691</v>
      </c>
      <c r="G121" s="70" t="s">
        <v>667</v>
      </c>
      <c r="H121" s="78" t="s">
        <v>705</v>
      </c>
    </row>
    <row r="122" spans="1:8" ht="16">
      <c r="A122" s="67" t="s">
        <v>127</v>
      </c>
      <c r="B122" s="68" t="str">
        <f>IFERROR(INDEX(進捗一覧!$K:$K,MATCH($A122,進捗一覧!$L:$L,0)),"⚠未検出")</f>
        <v>NFR-SEC トークン・セッション</v>
      </c>
      <c r="C122" s="69" t="str">
        <f>IFERROR(INDEX(進捗一覧!$E:$E,MATCH($A122,進捗一覧!$L:$L,0)),"⚠未検出")</f>
        <v>通行証の有効時間を何分にするか</v>
      </c>
      <c r="D122" s="70" t="str">
        <f>IFERROR(INDEX(進捗一覧!$H:$H,MATCH($A122,進捗一覧!$L:$L,0)),"⚠未検出")</f>
        <v>外部待ち</v>
      </c>
      <c r="E122" s="68" t="s">
        <v>636</v>
      </c>
      <c r="F122" s="70" t="s">
        <v>543</v>
      </c>
      <c r="G122" s="70" t="s">
        <v>540</v>
      </c>
      <c r="H122" s="78" t="s">
        <v>637</v>
      </c>
    </row>
    <row r="123" spans="1:8" ht="16">
      <c r="A123" s="67" t="s">
        <v>128</v>
      </c>
      <c r="B123" s="68" t="str">
        <f>IFERROR(INDEX(進捗一覧!$K:$K,MATCH($A123,進捗一覧!$L:$L,0)),"⚠未検出")</f>
        <v>NFR-SEC トークン・セッション</v>
      </c>
      <c r="C123" s="69" t="str">
        <f>IFERROR(INDEX(進捗一覧!$E:$E,MATCH($A123,進捗一覧!$L:$L,0)),"⚠未検出")</f>
        <v>再ログインなしで使い続けられる期間を何日にするか</v>
      </c>
      <c r="D123" s="70" t="str">
        <f>IFERROR(INDEX(進捗一覧!$H:$H,MATCH($A123,進捗一覧!$L:$L,0)),"⚠未検出")</f>
        <v>外部待ち</v>
      </c>
      <c r="E123" s="68" t="s">
        <v>638</v>
      </c>
      <c r="F123" s="70" t="s">
        <v>543</v>
      </c>
      <c r="G123" s="70" t="s">
        <v>540</v>
      </c>
      <c r="H123" s="78" t="s">
        <v>639</v>
      </c>
    </row>
    <row r="124" spans="1:8" ht="16">
      <c r="A124" s="67" t="s">
        <v>129</v>
      </c>
      <c r="B124" s="68" t="str">
        <f>IFERROR(INDEX(進捗一覧!$K:$K,MATCH($A124,進捗一覧!$L:$L,0)),"⚠未検出")</f>
        <v>NFR-SEC トークン・セッション</v>
      </c>
      <c r="C124" s="69" t="str">
        <f>IFERROR(INDEX(進捗一覧!$E:$E,MATCH($A124,進捗一覧!$L:$L,0)),"⚠未検出")</f>
        <v>本人確認情報の有効時間を何分にするか</v>
      </c>
      <c r="D124" s="70" t="str">
        <f>IFERROR(INDEX(進捗一覧!$H:$H,MATCH($A124,進捗一覧!$L:$L,0)),"⚠未検出")</f>
        <v>外部待ち</v>
      </c>
      <c r="E124" s="68" t="s">
        <v>640</v>
      </c>
      <c r="F124" s="70" t="s">
        <v>543</v>
      </c>
      <c r="G124" s="70" t="s">
        <v>540</v>
      </c>
      <c r="H124" s="78" t="s">
        <v>641</v>
      </c>
    </row>
    <row r="125" spans="1:8" ht="16">
      <c r="A125" s="67" t="s">
        <v>130</v>
      </c>
      <c r="B125" s="68" t="str">
        <f>IFERROR(INDEX(進捗一覧!$K:$K,MATCH($A125,進捗一覧!$L:$L,0)),"⚠未検出")</f>
        <v>NFR-SEC トークン・セッション</v>
      </c>
      <c r="C125" s="69" t="str">
        <f>IFERROR(INDEX(進捗一覧!$E:$E,MATCH($A125,進捗一覧!$L:$L,0)),"⚠未検出")</f>
        <v>使い回しを防ぐため、更新のたびに引換券を作り替える方式にするか</v>
      </c>
      <c r="D125" s="70" t="str">
        <f>IFERROR(INDEX(進捗一覧!$H:$H,MATCH($A125,進捗一覧!$L:$L,0)),"⚠未検出")</f>
        <v>外部待ち</v>
      </c>
      <c r="E125" s="68" t="s">
        <v>522</v>
      </c>
      <c r="F125" s="70" t="s">
        <v>543</v>
      </c>
      <c r="G125" s="70" t="s">
        <v>540</v>
      </c>
      <c r="H125" s="78" t="s">
        <v>642</v>
      </c>
    </row>
    <row r="126" spans="1:8" ht="16">
      <c r="A126" s="67" t="s">
        <v>131</v>
      </c>
      <c r="B126" s="68" t="str">
        <f>IFERROR(INDEX(進捗一覧!$K:$K,MATCH($A126,進捗一覧!$L:$L,0)),"⚠未検出")</f>
        <v>NFR-SEC トークン・セッション</v>
      </c>
      <c r="C126" s="69" t="str">
        <f>IFERROR(INDEX(進捗一覧!$E:$E,MATCH($A126,進捗一覧!$L:$L,0)),"⚠未検出")</f>
        <v>発行済みの通行証を有効期限前に取り消せる仕組みを用意するか</v>
      </c>
      <c r="D126" s="70" t="str">
        <f>IFERROR(INDEX(進捗一覧!$H:$H,MATCH($A126,進捗一覧!$L:$L,0)),"⚠未検出")</f>
        <v>外部待ち</v>
      </c>
      <c r="E126" s="68" t="s">
        <v>643</v>
      </c>
      <c r="F126" s="70" t="s">
        <v>543</v>
      </c>
      <c r="G126" s="70" t="s">
        <v>540</v>
      </c>
      <c r="H126" s="78" t="s">
        <v>644</v>
      </c>
    </row>
    <row r="127" spans="1:8" ht="16">
      <c r="A127" s="67" t="s">
        <v>132</v>
      </c>
      <c r="B127" s="68" t="str">
        <f>IFERROR(INDEX(進捗一覧!$K:$K,MATCH($A127,進捗一覧!$L:$L,0)),"⚠未検出")</f>
        <v>NFR-SEC トークン・セッション</v>
      </c>
      <c r="C127" s="69" t="str">
        <f>IFERROR(INDEX(進捗一覧!$E:$E,MATCH($A127,進捗一覧!$L:$L,0)),"⚠未検出")</f>
        <v>なりすましを防ぐため、ログイン時に識別子を作り替えるか</v>
      </c>
      <c r="D127" s="70" t="str">
        <f>IFERROR(INDEX(進捗一覧!$H:$H,MATCH($A127,進捗一覧!$L:$L,0)),"⚠未検出")</f>
        <v>外部待ち</v>
      </c>
      <c r="E127" s="68" t="s">
        <v>690</v>
      </c>
      <c r="F127" s="70" t="s">
        <v>691</v>
      </c>
      <c r="G127" s="70" t="s">
        <v>659</v>
      </c>
      <c r="H127" s="78" t="s">
        <v>717</v>
      </c>
    </row>
    <row r="128" spans="1:8" ht="16">
      <c r="A128" s="67" t="s">
        <v>133</v>
      </c>
      <c r="B128" s="68" t="str">
        <f>IFERROR(INDEX(進捗一覧!$K:$K,MATCH($A128,進捗一覧!$L:$L,0)),"⚠未検出")</f>
        <v>NFR-SEC 攻撃対策</v>
      </c>
      <c r="C128" s="69" t="str">
        <f>IFERROR(INDEX(進捗一覧!$E:$E,MATCH($A128,進捗一覧!$L:$L,0)),"⚠未検出")</f>
        <v>パスワードの総当たり攻撃への対処方式をどれにするか</v>
      </c>
      <c r="D128" s="70" t="str">
        <f>IFERROR(INDEX(進捗一覧!$H:$H,MATCH($A128,進捗一覧!$L:$L,0)),"⚠未検出")</f>
        <v>外部待ち</v>
      </c>
      <c r="E128" s="68" t="s">
        <v>706</v>
      </c>
      <c r="F128" s="70" t="s">
        <v>691</v>
      </c>
      <c r="G128" s="70" t="s">
        <v>667</v>
      </c>
      <c r="H128" s="78" t="s">
        <v>707</v>
      </c>
    </row>
    <row r="129" spans="1:8" ht="16">
      <c r="A129" s="67" t="s">
        <v>134</v>
      </c>
      <c r="B129" s="68" t="str">
        <f>IFERROR(INDEX(進捗一覧!$K:$K,MATCH($A129,進捗一覧!$L:$L,0)),"⚠未検出")</f>
        <v>NFR-SEC 攻撃対策</v>
      </c>
      <c r="C129" s="69" t="str">
        <f>IFERROR(INDEX(進捗一覧!$E:$E,MATCH($A129,進捗一覧!$L:$L,0)),"⚠未検出")</f>
        <v>世の中に漏れていると分かっているパスワードの使用を拒否するか</v>
      </c>
      <c r="D129" s="70" t="str">
        <f>IFERROR(INDEX(進捗一覧!$H:$H,MATCH($A129,進捗一覧!$L:$L,0)),"⚠未検出")</f>
        <v>外部待ち</v>
      </c>
      <c r="E129" s="68" t="s">
        <v>718</v>
      </c>
      <c r="F129" s="70" t="s">
        <v>691</v>
      </c>
      <c r="G129" s="70" t="s">
        <v>667</v>
      </c>
      <c r="H129" s="78" t="s">
        <v>719</v>
      </c>
    </row>
    <row r="130" spans="1:8" ht="16">
      <c r="A130" s="67" t="s">
        <v>135</v>
      </c>
      <c r="B130" s="68" t="str">
        <f>IFERROR(INDEX(進捗一覧!$K:$K,MATCH($A130,進捗一覧!$L:$L,0)),"⚠未検出")</f>
        <v>NFR-SEC 攻撃対策</v>
      </c>
      <c r="C130" s="69" t="str">
        <f>IFERROR(INDEX(進捗一覧!$E:$E,MATCH($A130,進捗一覧!$L:$L,0)),"⚠未検出")</f>
        <v>大量アクセス攻撃への備えをどこまで行うか。誰が担うか</v>
      </c>
      <c r="D130" s="70" t="str">
        <f>IFERROR(INDEX(進捗一覧!$H:$H,MATCH($A130,進捗一覧!$L:$L,0)),"⚠未検出")</f>
        <v>確定</v>
      </c>
      <c r="E130" s="68" t="s">
        <v>690</v>
      </c>
      <c r="F130" s="70" t="s">
        <v>691</v>
      </c>
      <c r="G130" s="70" t="s">
        <v>659</v>
      </c>
      <c r="H130" s="78" t="s">
        <v>720</v>
      </c>
    </row>
    <row r="131" spans="1:8" ht="16">
      <c r="A131" s="67" t="s">
        <v>136</v>
      </c>
      <c r="B131" s="68" t="str">
        <f>IFERROR(INDEX(進捗一覧!$K:$K,MATCH($A131,進捗一覧!$L:$L,0)),"⚠未検出")</f>
        <v>NFR-SEC 攻撃対策</v>
      </c>
      <c r="C131" s="69" t="str">
        <f>IFERROR(INDEX(進捗一覧!$E:$E,MATCH($A131,進捗一覧!$L:$L,0)),"⚠未検出")</f>
        <v>疑似攻撃による検査を行うか。頻度と実施者をどうするか</v>
      </c>
      <c r="D131" s="70" t="str">
        <f>IFERROR(INDEX(進捗一覧!$H:$H,MATCH($A131,進捗一覧!$L:$L,0)),"⚠未検出")</f>
        <v>外部待ち</v>
      </c>
      <c r="E131" s="68" t="s">
        <v>1010</v>
      </c>
      <c r="F131" s="70" t="s">
        <v>691</v>
      </c>
      <c r="G131" s="70" t="s">
        <v>659</v>
      </c>
      <c r="H131" s="78" t="s">
        <v>1011</v>
      </c>
    </row>
    <row r="132" spans="1:8" ht="16">
      <c r="A132" s="67" t="s">
        <v>137</v>
      </c>
      <c r="B132" s="68" t="str">
        <f>IFERROR(INDEX(進捗一覧!$K:$K,MATCH($A132,進捗一覧!$L:$L,0)),"⚠未検出")</f>
        <v>NFR-SEC 攻撃対策</v>
      </c>
      <c r="C132" s="69" t="str">
        <f>IFERROR(INDEX(進捗一覧!$E:$E,MATCH($A132,進捗一覧!$L:$L,0)),"⚠未検出")</f>
        <v>弱点の自動検査をどの頻度で行うか。何を合格とするか</v>
      </c>
      <c r="D132" s="70" t="str">
        <f>IFERROR(INDEX(進捗一覧!$H:$H,MATCH($A132,進捗一覧!$L:$L,0)),"⚠未検出")</f>
        <v>外部待ち</v>
      </c>
      <c r="E132" s="68" t="s">
        <v>709</v>
      </c>
      <c r="F132" s="70" t="s">
        <v>691</v>
      </c>
      <c r="G132" s="70" t="s">
        <v>659</v>
      </c>
      <c r="H132" s="78" t="s">
        <v>721</v>
      </c>
    </row>
    <row r="133" spans="1:8" ht="16">
      <c r="A133" s="67" t="s">
        <v>138</v>
      </c>
      <c r="B133" s="68" t="str">
        <f>IFERROR(INDEX(進捗一覧!$K:$K,MATCH($A133,進捗一覧!$L:$L,0)),"⚠未検出")</f>
        <v>NFR-SEC ネットワーク・境界制御</v>
      </c>
      <c r="C133" s="69" t="str">
        <f>IFERROR(INDEX(進捗一覧!$E:$E,MATCH($A133,進捗一覧!$L:$L,0)),"⚠未検出")</f>
        <v>不正アクセスを入口で遮る仕組み（WAF）を適用するか。適用は必須で決定済み。設定はネットワーク監査アカウント側が管理する</v>
      </c>
      <c r="D133" s="70" t="str">
        <f>IFERROR(INDEX(進捗一覧!$H:$H,MATCH($A133,進捗一覧!$L:$L,0)),"⚠未検出")</f>
        <v>確定</v>
      </c>
      <c r="E133" s="68" t="s">
        <v>690</v>
      </c>
      <c r="F133" s="70" t="s">
        <v>691</v>
      </c>
      <c r="G133" s="70" t="s">
        <v>659</v>
      </c>
      <c r="H133" s="78" t="s">
        <v>722</v>
      </c>
    </row>
    <row r="134" spans="1:8" ht="16">
      <c r="A134" s="67" t="s">
        <v>139</v>
      </c>
      <c r="B134" s="68" t="str">
        <f>IFERROR(INDEX(進捗一覧!$K:$K,MATCH($A134,進捗一覧!$L:$L,0)),"⚠未検出")</f>
        <v>NFR-SEC ネットワーク・境界制御</v>
      </c>
      <c r="C134" s="69" t="str">
        <f>IFERROR(INDEX(進捗一覧!$E:$E,MATCH($A134,進捗一覧!$L:$L,0)),"⚠未検出")</f>
        <v>サーバーを外部から直接触れない場所に置くか</v>
      </c>
      <c r="D134" s="70" t="str">
        <f>IFERROR(INDEX(進捗一覧!$H:$H,MATCH($A134,進捗一覧!$L:$L,0)),"⚠未検出")</f>
        <v>確定</v>
      </c>
      <c r="E134" s="68" t="s">
        <v>993</v>
      </c>
      <c r="F134" s="70" t="s">
        <v>803</v>
      </c>
      <c r="G134" s="70" t="s">
        <v>667</v>
      </c>
      <c r="H134" s="78" t="s">
        <v>994</v>
      </c>
    </row>
    <row r="135" spans="1:8" ht="16">
      <c r="A135" s="67" t="s">
        <v>140</v>
      </c>
      <c r="B135" s="68" t="str">
        <f>IFERROR(INDEX(進捗一覧!$K:$K,MATCH($A135,進捗一覧!$L:$L,0)),"⚠未検出")</f>
        <v>NFR-SEC ネットワーク・境界制御</v>
      </c>
      <c r="C135" s="69" t="str">
        <f>IFERROR(INDEX(進捗一覧!$E:$E,MATCH($A135,進捗一覧!$L:$L,0)),"⚠未検出")</f>
        <v>管理画面に誰がどこからアクセスできるようにするか。方針は、管理者向けの入口をインターネットから遮断し、踏み台サーバー経由に限定する</v>
      </c>
      <c r="D135" s="70" t="str">
        <f>IFERROR(INDEX(進捗一覧!$H:$H,MATCH($A135,進捗一覧!$L:$L,0)),"⚠未検出")</f>
        <v>確定</v>
      </c>
      <c r="E135" s="68" t="s">
        <v>991</v>
      </c>
      <c r="F135" s="70" t="s">
        <v>803</v>
      </c>
      <c r="G135" s="70" t="s">
        <v>667</v>
      </c>
      <c r="H135" s="78" t="s">
        <v>992</v>
      </c>
    </row>
    <row r="136" spans="1:8" ht="16">
      <c r="A136" s="67" t="s">
        <v>141</v>
      </c>
      <c r="B136" s="68" t="str">
        <f>IFERROR(INDEX(進捗一覧!$K:$K,MATCH($A136,進捗一覧!$L:$L,0)),"⚠未検出")</f>
        <v>NFR-SEC ネットワーク・境界制御</v>
      </c>
      <c r="C136" s="69" t="str">
        <f>IFERROR(INDEX(進捗一覧!$E:$E,MATCH($A136,進捗一覧!$L:$L,0)),"⚠未検出")</f>
        <v>鍵情報の公開窓口をどこまで守るか</v>
      </c>
      <c r="D136" s="70" t="str">
        <f>IFERROR(INDEX(進捗一覧!$H:$H,MATCH($A136,進捗一覧!$L:$L,0)),"⚠未検出")</f>
        <v>確定</v>
      </c>
      <c r="E136" s="68" t="s">
        <v>724</v>
      </c>
      <c r="F136" s="70" t="s">
        <v>701</v>
      </c>
      <c r="G136" s="70" t="s">
        <v>659</v>
      </c>
      <c r="H136" s="78" t="s">
        <v>725</v>
      </c>
    </row>
    <row r="137" spans="1:8" ht="16">
      <c r="A137" s="67" t="s">
        <v>142</v>
      </c>
      <c r="B137" s="68" t="str">
        <f>IFERROR(INDEX(進捗一覧!$K:$K,MATCH($A137,進捗一覧!$L:$L,0)),"⚠未検出")</f>
        <v>NFR-SEC ネットワーク・境界制御</v>
      </c>
      <c r="C137" s="69" t="str">
        <f>IFERROR(INDEX(進捗一覧!$E:$E,MATCH($A137,進捗一覧!$L:$L,0)),"⚠未検出")</f>
        <v>内部の部品同士の通信でも身元確認を必須にするか</v>
      </c>
      <c r="D137" s="70" t="str">
        <f>IFERROR(INDEX(進捗一覧!$H:$H,MATCH($A137,進捗一覧!$L:$L,0)),"⚠未検出")</f>
        <v>確定</v>
      </c>
      <c r="E137" s="68" t="s">
        <v>727</v>
      </c>
      <c r="F137" s="70" t="s">
        <v>691</v>
      </c>
      <c r="G137" s="70" t="s">
        <v>667</v>
      </c>
      <c r="H137" s="78" t="s">
        <v>728</v>
      </c>
    </row>
    <row r="138" spans="1:8" ht="16">
      <c r="A138" s="67" t="s">
        <v>143</v>
      </c>
      <c r="B138" s="68" t="str">
        <f>IFERROR(INDEX(進捗一覧!$K:$K,MATCH($A138,進捗一覧!$L:$L,0)),"⚠未検出")</f>
        <v>NFR-DR 災害復旧</v>
      </c>
      <c r="C138" s="69" t="str">
        <f>IFERROR(INDEX(進捗一覧!$E:$E,MATCH($A138,進捗一覧!$L:$L,0)),"⚠未検出")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70" t="str">
        <f>IFERROR(INDEX(進捗一覧!$H:$H,MATCH($A138,進捗一覧!$L:$L,0)),"⚠未検出")</f>
        <v>外部待ち</v>
      </c>
      <c r="E138" s="68" t="s">
        <v>749</v>
      </c>
      <c r="F138" s="70" t="s">
        <v>738</v>
      </c>
      <c r="G138" s="70" t="s">
        <v>667</v>
      </c>
      <c r="H138" s="78" t="s">
        <v>750</v>
      </c>
    </row>
    <row r="139" spans="1:8" ht="16">
      <c r="A139" s="67" t="s">
        <v>144</v>
      </c>
      <c r="B139" s="68" t="str">
        <f>IFERROR(INDEX(進捗一覧!$K:$K,MATCH($A139,進捗一覧!$L:$L,0)),"⚠未検出")</f>
        <v>NFR-DR 災害復旧</v>
      </c>
      <c r="C139" s="69" t="str">
        <f>IFERROR(INDEX(進捗一覧!$E:$E,MATCH($A139,進捗一覧!$L:$L,0)),"⚠未検出")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70" t="str">
        <f>IFERROR(INDEX(進捗一覧!$H:$H,MATCH($A139,進捗一覧!$L:$L,0)),"⚠未検出")</f>
        <v>外部待ち</v>
      </c>
      <c r="E139" s="68" t="s">
        <v>751</v>
      </c>
      <c r="F139" s="70" t="s">
        <v>738</v>
      </c>
      <c r="G139" s="70" t="s">
        <v>659</v>
      </c>
      <c r="H139" s="78" t="s">
        <v>752</v>
      </c>
    </row>
    <row r="140" spans="1:8" ht="16">
      <c r="A140" s="67" t="s">
        <v>145</v>
      </c>
      <c r="B140" s="68" t="str">
        <f>IFERROR(INDEX(進捗一覧!$K:$K,MATCH($A140,進捗一覧!$L:$L,0)),"⚠未検出")</f>
        <v>NFR-DR 災害復旧</v>
      </c>
      <c r="C140" s="69" t="str">
        <f>IFERROR(INDEX(進捗一覧!$E:$E,MATCH($A140,進捗一覧!$L:$L,0)),"⚠未検出")</f>
        <v>予備側への切替を自動で行うか、人の判断で行うか。手動でGit側と一致しており確定。ただしDR方式の3択（P-05）の結論次第では見直しになる</v>
      </c>
      <c r="D140" s="70" t="str">
        <f>IFERROR(INDEX(進捗一覧!$H:$H,MATCH($A140,進捗一覧!$L:$L,0)),"⚠未検出")</f>
        <v>確定</v>
      </c>
      <c r="E140" s="68" t="s">
        <v>753</v>
      </c>
      <c r="F140" s="70" t="s">
        <v>738</v>
      </c>
      <c r="G140" s="70" t="s">
        <v>667</v>
      </c>
      <c r="H140" s="78" t="s">
        <v>754</v>
      </c>
    </row>
    <row r="141" spans="1:8" ht="16">
      <c r="A141" s="67" t="s">
        <v>146</v>
      </c>
      <c r="B141" s="68" t="str">
        <f>IFERROR(INDEX(進捗一覧!$K:$K,MATCH($A141,進捗一覧!$L:$L,0)),"⚠未検出")</f>
        <v>NFR-DR 災害復旧</v>
      </c>
      <c r="C141" s="69" t="str">
        <f>IFERROR(INDEX(進捗一覧!$E:$E,MATCH($A141,進捗一覧!$L:$L,0)),"⚠未検出")</f>
        <v>バックアップを何日分保持するか</v>
      </c>
      <c r="D141" s="70" t="str">
        <f>IFERROR(INDEX(進捗一覧!$H:$H,MATCH($A141,進捗一覧!$L:$L,0)),"⚠未検出")</f>
        <v>外部待ち</v>
      </c>
      <c r="E141" s="68" t="s">
        <v>755</v>
      </c>
      <c r="F141" s="70" t="s">
        <v>738</v>
      </c>
      <c r="G141" s="70" t="s">
        <v>659</v>
      </c>
      <c r="H141" s="78" t="s">
        <v>756</v>
      </c>
    </row>
    <row r="142" spans="1:8" ht="16">
      <c r="A142" s="67" t="s">
        <v>147</v>
      </c>
      <c r="B142" s="68" t="str">
        <f>IFERROR(INDEX(進捗一覧!$K:$K,MATCH($A142,進捗一覧!$L:$L,0)),"⚠未検出")</f>
        <v>NFR-DR 災害復旧</v>
      </c>
      <c r="C142" s="69" t="str">
        <f>IFERROR(INDEX(進捗一覧!$E:$E,MATCH($A142,進捗一覧!$L:$L,0)),"⚠未検出")</f>
        <v>任意の時点まで巻き戻せる仕組みを用意するか。遡れる範囲を何日にするか</v>
      </c>
      <c r="D142" s="70" t="str">
        <f>IFERROR(INDEX(進捗一覧!$H:$H,MATCH($A142,進捗一覧!$L:$L,0)),"⚠未検出")</f>
        <v>外部待ち</v>
      </c>
      <c r="E142" s="68" t="s">
        <v>757</v>
      </c>
      <c r="F142" s="70" t="s">
        <v>738</v>
      </c>
      <c r="G142" s="70" t="s">
        <v>667</v>
      </c>
      <c r="H142" s="78" t="s">
        <v>758</v>
      </c>
    </row>
    <row r="143" spans="1:8" ht="16">
      <c r="A143" s="67" t="s">
        <v>148</v>
      </c>
      <c r="B143" s="68" t="str">
        <f>IFERROR(INDEX(進捗一覧!$K:$K,MATCH($A143,進捗一覧!$L:$L,0)),"⚠未検出")</f>
        <v>NFR-DR 災害復旧</v>
      </c>
      <c r="C143" s="69" t="str">
        <f>IFERROR(INDEX(進捗一覧!$E:$E,MATCH($A143,進捗一覧!$L:$L,0)),"⚠未検出")</f>
        <v>バックアップを別の地域にも複製するか</v>
      </c>
      <c r="D143" s="70" t="str">
        <f>IFERROR(INDEX(進捗一覧!$H:$H,MATCH($A143,進捗一覧!$L:$L,0)),"⚠未検出")</f>
        <v>外部待ち</v>
      </c>
      <c r="E143" s="68" t="s">
        <v>755</v>
      </c>
      <c r="F143" s="70" t="s">
        <v>738</v>
      </c>
      <c r="G143" s="70" t="s">
        <v>667</v>
      </c>
      <c r="H143" s="78" t="s">
        <v>759</v>
      </c>
    </row>
    <row r="144" spans="1:8" ht="16">
      <c r="A144" s="67" t="s">
        <v>149</v>
      </c>
      <c r="B144" s="68" t="str">
        <f>IFERROR(INDEX(進捗一覧!$K:$K,MATCH($A144,進捗一覧!$L:$L,0)),"⚠未検出")</f>
        <v>NFR-DR 災害復旧</v>
      </c>
      <c r="C144" s="69" t="str">
        <f>IFERROR(INDEX(進捗一覧!$E:$E,MATCH($A144,進捗一覧!$L:$L,0)),"⚠未検出")</f>
        <v>復旧手順の訓練をどの頻度で行うか。誰が参加するか</v>
      </c>
      <c r="D144" s="70" t="str">
        <f>IFERROR(INDEX(進捗一覧!$H:$H,MATCH($A144,進捗一覧!$L:$L,0)),"⚠未検出")</f>
        <v>外部待ち</v>
      </c>
      <c r="E144" s="68" t="s">
        <v>760</v>
      </c>
      <c r="F144" s="70" t="s">
        <v>738</v>
      </c>
      <c r="G144" s="70" t="s">
        <v>667</v>
      </c>
      <c r="H144" s="78" t="s">
        <v>761</v>
      </c>
    </row>
    <row r="145" spans="1:8" ht="16">
      <c r="A145" s="67" t="s">
        <v>150</v>
      </c>
      <c r="B145" s="68" t="str">
        <f>IFERROR(INDEX(進捗一覧!$K:$K,MATCH($A145,進捗一覧!$L:$L,0)),"⚠未検出")</f>
        <v>NFR-DR 災害復旧</v>
      </c>
      <c r="C145" s="69" t="str">
        <f>IFERROR(INDEX(進捗一覧!$E:$E,MATCH($A145,進捗一覧!$L:$L,0)),"⚠未検出")</f>
        <v>切替時にログイン状態を維持するか、利用者に再ログインを求めるか</v>
      </c>
      <c r="D145" s="70" t="str">
        <f>IFERROR(INDEX(進捗一覧!$H:$H,MATCH($A145,進捗一覧!$L:$L,0)),"⚠未検出")</f>
        <v>外部待ち</v>
      </c>
      <c r="E145" s="68" t="s">
        <v>762</v>
      </c>
      <c r="F145" s="70" t="s">
        <v>738</v>
      </c>
      <c r="G145" s="70" t="s">
        <v>667</v>
      </c>
      <c r="H145" s="78" t="s">
        <v>763</v>
      </c>
    </row>
    <row r="146" spans="1:8" ht="16">
      <c r="A146" s="67" t="s">
        <v>151</v>
      </c>
      <c r="B146" s="68" t="str">
        <f>IFERROR(INDEX(進捗一覧!$K:$K,MATCH($A146,進捗一覧!$L:$L,0)),"⚠未検出")</f>
        <v>NFR-OPS 監視・ロギング</v>
      </c>
      <c r="C146" s="69" t="str">
        <f>IFERROR(INDEX(進捗一覧!$E:$E,MATCH($A146,進捗一覧!$L:$L,0)),"⚠未検出")</f>
        <v>何を監視項目とし、どの値を異常とみなすか</v>
      </c>
      <c r="D146" s="70" t="str">
        <f>IFERROR(INDEX(進捗一覧!$H:$H,MATCH($A146,進捗一覧!$L:$L,0)),"⚠未検出")</f>
        <v>外部待ち</v>
      </c>
      <c r="E146" s="68" t="s">
        <v>824</v>
      </c>
      <c r="F146" s="70" t="s">
        <v>764</v>
      </c>
      <c r="G146" s="70" t="s">
        <v>667</v>
      </c>
      <c r="H146" s="78" t="s">
        <v>825</v>
      </c>
    </row>
    <row r="147" spans="1:8" ht="16">
      <c r="A147" s="67" t="s">
        <v>152</v>
      </c>
      <c r="B147" s="68" t="str">
        <f>IFERROR(INDEX(進捗一覧!$K:$K,MATCH($A147,進捗一覧!$L:$L,0)),"⚠未検出")</f>
        <v>NFR-OPS 監視・ロギング</v>
      </c>
      <c r="C147" s="69" t="str">
        <f>IFERROR(INDEX(進捗一覧!$E:$E,MATCH($A147,進捗一覧!$L:$L,0)),"⚠未検出")</f>
        <v>誰にどの経路で通知するか。夜間・休日の対応をどうするか</v>
      </c>
      <c r="D147" s="70" t="str">
        <f>IFERROR(INDEX(進捗一覧!$H:$H,MATCH($A147,進捗一覧!$L:$L,0)),"⚠未検出")</f>
        <v>外部待ち</v>
      </c>
      <c r="E147" s="68" t="s">
        <v>826</v>
      </c>
      <c r="F147" s="70" t="s">
        <v>819</v>
      </c>
      <c r="G147" s="70" t="s">
        <v>667</v>
      </c>
      <c r="H147" s="78" t="s">
        <v>827</v>
      </c>
    </row>
    <row r="148" spans="1:8" ht="16">
      <c r="A148" s="67" t="s">
        <v>153</v>
      </c>
      <c r="B148" s="68" t="str">
        <f>IFERROR(INDEX(進捗一覧!$K:$K,MATCH($A148,進捗一覧!$L:$L,0)),"⚠未検出")</f>
        <v>NFR-OPS 監視・ロギング</v>
      </c>
      <c r="C148" s="69" t="str">
        <f>IFERROR(INDEX(進捗一覧!$E:$E,MATCH($A148,進捗一覧!$L:$L,0)),"⚠未検出")</f>
        <v>各種ログを何日保存するか</v>
      </c>
      <c r="D148" s="70" t="str">
        <f>IFERROR(INDEX(進捗一覧!$H:$H,MATCH($A148,進捗一覧!$L:$L,0)),"⚠未検出")</f>
        <v>外部待ち</v>
      </c>
      <c r="E148" s="68" t="s">
        <v>710</v>
      </c>
      <c r="F148" s="70" t="s">
        <v>711</v>
      </c>
      <c r="G148" s="70" t="s">
        <v>667</v>
      </c>
      <c r="H148" s="78" t="s">
        <v>712</v>
      </c>
    </row>
    <row r="149" spans="1:8" ht="16">
      <c r="A149" s="67" t="s">
        <v>154</v>
      </c>
      <c r="B149" s="68" t="str">
        <f>IFERROR(INDEX(進捗一覧!$K:$K,MATCH($A149,進捗一覧!$L:$L,0)),"⚠未検出")</f>
        <v>NFR-OPS 監視・ロギング</v>
      </c>
      <c r="C149" s="69" t="str">
        <f>IFERROR(INDEX(進捗一覧!$E:$E,MATCH($A149,進捗一覧!$L:$L,0)),"⚠未検出")</f>
        <v>障害時にログをどれだけ速く探せる状態にしておくか</v>
      </c>
      <c r="D149" s="70" t="str">
        <f>IFERROR(INDEX(進捗一覧!$H:$H,MATCH($A149,進捗一覧!$L:$L,0)),"⚠未検出")</f>
        <v>外部待ち</v>
      </c>
      <c r="E149" s="68" t="s">
        <v>710</v>
      </c>
      <c r="F149" s="70" t="s">
        <v>711</v>
      </c>
      <c r="G149" s="70" t="s">
        <v>659</v>
      </c>
      <c r="H149" s="78" t="s">
        <v>713</v>
      </c>
    </row>
    <row r="150" spans="1:8" ht="16">
      <c r="A150" s="67" t="s">
        <v>155</v>
      </c>
      <c r="B150" s="68" t="str">
        <f>IFERROR(INDEX(進捗一覧!$K:$K,MATCH($A150,進捗一覧!$L:$L,0)),"⚠未検出")</f>
        <v>NFR-OPS デプロイ・パッチ</v>
      </c>
      <c r="C150" s="69" t="str">
        <f>IFERROR(INDEX(進捗一覧!$E:$E,MATCH($A150,進捗一覧!$L:$L,0)),"⚠未検出")</f>
        <v>製品の更新をどの頻度・どの手順で当てるか</v>
      </c>
      <c r="D150" s="70" t="str">
        <f>IFERROR(INDEX(進捗一覧!$H:$H,MATCH($A150,進捗一覧!$L:$L,0)),"⚠未検出")</f>
        <v>外部待ち</v>
      </c>
      <c r="E150" s="68" t="s">
        <v>828</v>
      </c>
      <c r="F150" s="70" t="s">
        <v>829</v>
      </c>
      <c r="G150" s="70" t="s">
        <v>667</v>
      </c>
      <c r="H150" s="78" t="s">
        <v>830</v>
      </c>
    </row>
    <row r="151" spans="1:8" ht="16">
      <c r="A151" s="67" t="s">
        <v>156</v>
      </c>
      <c r="B151" s="68" t="str">
        <f>IFERROR(INDEX(進捗一覧!$K:$K,MATCH($A151,進捗一覧!$L:$L,0)),"⚠未検出")</f>
        <v>NFR-OPS デプロイ・パッチ</v>
      </c>
      <c r="C151" s="69" t="str">
        <f>IFERROR(INDEX(進捗一覧!$E:$E,MATCH($A151,進捗一覧!$L:$L,0)),"⚠未検出")</f>
        <v>脆弱性が公表されたとき、何日以内に対処するか</v>
      </c>
      <c r="D151" s="70" t="str">
        <f>IFERROR(INDEX(進捗一覧!$H:$H,MATCH($A151,進捗一覧!$L:$L,0)),"⚠未検出")</f>
        <v>外部待ち</v>
      </c>
      <c r="E151" s="68" t="s">
        <v>831</v>
      </c>
      <c r="F151" s="70" t="s">
        <v>819</v>
      </c>
      <c r="G151" s="70" t="s">
        <v>667</v>
      </c>
      <c r="H151" s="78" t="s">
        <v>832</v>
      </c>
    </row>
    <row r="152" spans="1:8" ht="16">
      <c r="A152" s="67" t="s">
        <v>157</v>
      </c>
      <c r="B152" s="68" t="str">
        <f>IFERROR(INDEX(進捗一覧!$K:$K,MATCH($A152,進捗一覧!$L:$L,0)),"⚠未検出")</f>
        <v>NFR-OPS デプロイ・パッチ</v>
      </c>
      <c r="C152" s="69" t="str">
        <f>IFERROR(INDEX(進捗一覧!$E:$E,MATCH($A152,進捗一覧!$L:$L,0)),"⚠未検出")</f>
        <v>設定変更の申請・承認・適用の流れを誰がどう回すか</v>
      </c>
      <c r="D152" s="70" t="str">
        <f>IFERROR(INDEX(進捗一覧!$H:$H,MATCH($A152,進捗一覧!$L:$L,0)),"⚠未検出")</f>
        <v>外部待ち</v>
      </c>
      <c r="E152" s="68" t="s">
        <v>833</v>
      </c>
      <c r="F152" s="70" t="s">
        <v>819</v>
      </c>
      <c r="G152" s="70" t="s">
        <v>667</v>
      </c>
      <c r="H152" s="78" t="s">
        <v>834</v>
      </c>
    </row>
    <row r="153" spans="1:8" ht="16">
      <c r="A153" s="67" t="s">
        <v>158</v>
      </c>
      <c r="B153" s="68" t="str">
        <f>IFERROR(INDEX(進捗一覧!$K:$K,MATCH($A153,進捗一覧!$L:$L,0)),"⚠未検出")</f>
        <v>NFR-OPS デプロイ・パッチ</v>
      </c>
      <c r="C153" s="69" t="str">
        <f>IFERROR(INDEX(進捗一覧!$E:$E,MATCH($A153,進捗一覧!$L:$L,0)),"⚠未検出")</f>
        <v>更新作業の自動化をどこまで行うか</v>
      </c>
      <c r="D153" s="70" t="str">
        <f>IFERROR(INDEX(進捗一覧!$H:$H,MATCH($A153,進捗一覧!$L:$L,0)),"⚠未検出")</f>
        <v>外部待ち</v>
      </c>
      <c r="E153" s="68" t="s">
        <v>835</v>
      </c>
      <c r="F153" s="70" t="s">
        <v>819</v>
      </c>
      <c r="G153" s="70" t="s">
        <v>667</v>
      </c>
      <c r="H153" s="78" t="s">
        <v>836</v>
      </c>
    </row>
    <row r="154" spans="1:8" ht="16">
      <c r="A154" s="67" t="s">
        <v>159</v>
      </c>
      <c r="B154" s="68" t="str">
        <f>IFERROR(INDEX(進捗一覧!$K:$K,MATCH($A154,進捗一覧!$L:$L,0)),"⚠未検出")</f>
        <v>NFR-OPS 体制・運用SLA</v>
      </c>
      <c r="C154" s="69" t="str">
        <f>IFERROR(INDEX(進捗一覧!$E:$E,MATCH($A154,進捗一覧!$L:$L,0)),"⚠未検出")</f>
        <v>障害時の連絡体制と役割分担をどう組むか</v>
      </c>
      <c r="D154" s="70" t="str">
        <f>IFERROR(INDEX(進捗一覧!$H:$H,MATCH($A154,進捗一覧!$L:$L,0)),"⚠未検出")</f>
        <v>外部待ち</v>
      </c>
      <c r="E154" s="68" t="s">
        <v>837</v>
      </c>
      <c r="F154" s="70" t="s">
        <v>819</v>
      </c>
      <c r="G154" s="70" t="s">
        <v>659</v>
      </c>
      <c r="H154" s="78" t="s">
        <v>838</v>
      </c>
    </row>
    <row r="155" spans="1:8" ht="16">
      <c r="A155" s="67" t="s">
        <v>160</v>
      </c>
      <c r="B155" s="68" t="str">
        <f>IFERROR(INDEX(進捗一覧!$K:$K,MATCH($A155,進捗一覧!$L:$L,0)),"⚠未検出")</f>
        <v>NFR-OPS 体制・運用SLA</v>
      </c>
      <c r="C155" s="69" t="str">
        <f>IFERROR(INDEX(進捗一覧!$E:$E,MATCH($A155,進捗一覧!$L:$L,0)),"⚠未検出")</f>
        <v>運用に何人月かかる前提とするか。誰が担当するか</v>
      </c>
      <c r="D155" s="70" t="str">
        <f>IFERROR(INDEX(進捗一覧!$H:$H,MATCH($A155,進捗一覧!$L:$L,0)),"⚠未検出")</f>
        <v>外部待ち</v>
      </c>
      <c r="E155" s="68" t="s">
        <v>1012</v>
      </c>
      <c r="F155" s="70" t="s">
        <v>1013</v>
      </c>
      <c r="G155" s="70" t="s">
        <v>667</v>
      </c>
      <c r="H155" s="78" t="s">
        <v>1014</v>
      </c>
    </row>
    <row r="156" spans="1:8" ht="16">
      <c r="A156" s="67" t="s">
        <v>161</v>
      </c>
      <c r="B156" s="68" t="str">
        <f>IFERROR(INDEX(進捗一覧!$K:$K,MATCH($A156,進捗一覧!$L:$L,0)),"⚠未検出")</f>
        <v>NFR-OPS 体制・運用SLA</v>
      </c>
      <c r="C156" s="69" t="str">
        <f>IFERROR(INDEX(進捗一覧!$E:$E,MATCH($A156,進捗一覧!$L:$L,0)),"⚠未検出")</f>
        <v>顧客追加の作業を何営業日で完了させるか</v>
      </c>
      <c r="D156" s="70" t="str">
        <f>IFERROR(INDEX(進捗一覧!$H:$H,MATCH($A156,進捗一覧!$L:$L,0)),"⚠未検出")</f>
        <v>外部待ち</v>
      </c>
      <c r="E156" s="68" t="s">
        <v>839</v>
      </c>
      <c r="F156" s="70" t="s">
        <v>819</v>
      </c>
      <c r="G156" s="70" t="s">
        <v>667</v>
      </c>
      <c r="H156" s="78" t="s">
        <v>840</v>
      </c>
    </row>
    <row r="157" spans="1:8" ht="16">
      <c r="A157" s="67" t="s">
        <v>162</v>
      </c>
      <c r="B157" s="68" t="str">
        <f>IFERROR(INDEX(進捗一覧!$K:$K,MATCH($A157,進捗一覧!$L:$L,0)),"⚠未検出")</f>
        <v>NFR-COMP 規制・法令対応</v>
      </c>
      <c r="C157" s="69" t="str">
        <f>IFERROR(INDEX(進捗一覧!$E:$E,MATCH($A157,進捗一覧!$L:$L,0)),"⚠未検出")</f>
        <v>日本の個人情報保護法への対応範囲をどこまでにするか</v>
      </c>
      <c r="D157" s="70" t="str">
        <f>IFERROR(INDEX(進捗一覧!$H:$H,MATCH($A157,進捗一覧!$L:$L,0)),"⚠未検出")</f>
        <v>外部待ち</v>
      </c>
      <c r="E157" s="68" t="s">
        <v>1055</v>
      </c>
      <c r="F157" s="70" t="s">
        <v>694</v>
      </c>
      <c r="G157" s="70" t="s">
        <v>667</v>
      </c>
      <c r="H157" s="78" t="s">
        <v>1056</v>
      </c>
    </row>
    <row r="158" spans="1:8" ht="16">
      <c r="A158" s="67" t="s">
        <v>163</v>
      </c>
      <c r="B158" s="68" t="str">
        <f>IFERROR(INDEX(進捗一覧!$K:$K,MATCH($A158,進捗一覧!$L:$L,0)),"⚠未検出")</f>
        <v>NFR-COMP 規制・法令対応</v>
      </c>
      <c r="C158" s="69" t="str">
        <f>IFERROR(INDEX(進捗一覧!$E:$E,MATCH($A158,進捗一覧!$L:$L,0)),"⚠未検出")</f>
        <v>海外展開に伴う規制対応が必要か。現時点は不要の認識だが、顧客に改めて確認する</v>
      </c>
      <c r="D158" s="70" t="str">
        <f>IFERROR(INDEX(進捗一覧!$H:$H,MATCH($A158,進捗一覧!$L:$L,0)),"⚠未検出")</f>
        <v>外部待ち</v>
      </c>
      <c r="E158" s="68" t="s">
        <v>1015</v>
      </c>
      <c r="F158" s="70" t="s">
        <v>1013</v>
      </c>
      <c r="G158" s="70" t="s">
        <v>674</v>
      </c>
      <c r="H158" s="78" t="s">
        <v>1016</v>
      </c>
    </row>
    <row r="159" spans="1:8" ht="16">
      <c r="A159" s="67" t="s">
        <v>164</v>
      </c>
      <c r="B159" s="68" t="str">
        <f>IFERROR(INDEX(進捗一覧!$K:$K,MATCH($A159,進捗一覧!$L:$L,0)),"⚠未検出")</f>
        <v>NFR-COMP 規制・法令対応</v>
      </c>
      <c r="C159" s="69" t="str">
        <f>IFERROR(INDEX(進捗一覧!$E:$E,MATCH($A159,進捗一覧!$L:$L,0)),"⚠未検出")</f>
        <v>データを日本国内に限定する必要があるか。国内限定が前提だが、ROSA HCP の管理部分は Red Hat 側にあるため、これが国内限定の対象に含まれるかが別論点として残る</v>
      </c>
      <c r="D159" s="70" t="str">
        <f>IFERROR(INDEX(進捗一覧!$H:$H,MATCH($A159,進捗一覧!$L:$L,0)),"⚠未検出")</f>
        <v>方向性確定（条件付き）</v>
      </c>
      <c r="E159" s="68" t="s">
        <v>1057</v>
      </c>
      <c r="F159" s="70" t="s">
        <v>691</v>
      </c>
      <c r="G159" s="70" t="s">
        <v>659</v>
      </c>
      <c r="H159" s="78" t="s">
        <v>1058</v>
      </c>
    </row>
    <row r="160" spans="1:8" ht="16">
      <c r="A160" s="67" t="s">
        <v>165</v>
      </c>
      <c r="B160" s="68" t="str">
        <f>IFERROR(INDEX(進捗一覧!$K:$K,MATCH($A160,進捗一覧!$L:$L,0)),"⚠未検出")</f>
        <v>NFR-COMP 業界認定・監査</v>
      </c>
      <c r="C160" s="69" t="str">
        <f>IFERROR(INDEX(進捗一覧!$E:$E,MATCH($A160,進捗一覧!$L:$L,0)),"⚠未検出")</f>
        <v>第三者による内部統制の証明が必要か</v>
      </c>
      <c r="D160" s="70" t="str">
        <f>IFERROR(INDEX(進捗一覧!$H:$H,MATCH($A160,進捗一覧!$L:$L,0)),"⚠未検出")</f>
        <v>外部待ち</v>
      </c>
      <c r="E160" s="68" t="s">
        <v>1015</v>
      </c>
      <c r="F160" s="70" t="s">
        <v>1013</v>
      </c>
      <c r="G160" s="70" t="s">
        <v>674</v>
      </c>
      <c r="H160" s="78" t="s">
        <v>1017</v>
      </c>
    </row>
    <row r="161" spans="1:8" ht="16">
      <c r="A161" s="67" t="s">
        <v>166</v>
      </c>
      <c r="B161" s="68" t="str">
        <f>IFERROR(INDEX(進捗一覧!$K:$K,MATCH($A161,進捗一覧!$L:$L,0)),"⚠未検出")</f>
        <v>NFR-COMP 業界認定・監査</v>
      </c>
      <c r="C161" s="69" t="str">
        <f>IFERROR(INDEX(進捗一覧!$E:$E,MATCH($A161,進捗一覧!$L:$L,0)),"⚠未検出")</f>
        <v>情報セキュリティの認証（ISMS等）の取得が必要か。不要と確認済み</v>
      </c>
      <c r="D161" s="70" t="str">
        <f>IFERROR(INDEX(進捗一覧!$H:$H,MATCH($A161,進捗一覧!$L:$L,0)),"⚠未検出")</f>
        <v>確定</v>
      </c>
      <c r="E161" s="68" t="s">
        <v>1015</v>
      </c>
      <c r="F161" s="70" t="s">
        <v>1013</v>
      </c>
      <c r="G161" s="70" t="s">
        <v>674</v>
      </c>
      <c r="H161" s="78" t="s">
        <v>1018</v>
      </c>
    </row>
    <row r="162" spans="1:8" ht="16">
      <c r="A162" s="67" t="s">
        <v>167</v>
      </c>
      <c r="B162" s="68" t="str">
        <f>IFERROR(INDEX(進捗一覧!$K:$K,MATCH($A162,進捗一覧!$L:$L,0)),"⚠未検出")</f>
        <v>NFR-COMP 業界認定・監査</v>
      </c>
      <c r="C162" s="69" t="str">
        <f>IFERROR(INDEX(進捗一覧!$E:$E,MATCH($A162,進捗一覧!$L:$L,0)),"⚠未検出")</f>
        <v>クレジットカード関連の規格対応が必要か</v>
      </c>
      <c r="D162" s="70" t="str">
        <f>IFERROR(INDEX(進捗一覧!$H:$H,MATCH($A162,進捗一覧!$L:$L,0)),"⚠未検出")</f>
        <v>外部待ち</v>
      </c>
      <c r="E162" s="68" t="s">
        <v>1019</v>
      </c>
      <c r="F162" s="70" t="s">
        <v>1013</v>
      </c>
      <c r="G162" s="70" t="s">
        <v>674</v>
      </c>
      <c r="H162" s="78" t="s">
        <v>1020</v>
      </c>
    </row>
    <row r="163" spans="1:8" ht="16">
      <c r="A163" s="67" t="s">
        <v>168</v>
      </c>
      <c r="B163" s="68" t="str">
        <f>IFERROR(INDEX(進捗一覧!$K:$K,MATCH($A163,進捗一覧!$L:$L,0)),"⚠未検出")</f>
        <v>NFR-COMP 業界認定・監査</v>
      </c>
      <c r="C163" s="69" t="str">
        <f>IFERROR(INDEX(進捗一覧!$E:$E,MATCH($A163,進捗一覧!$L:$L,0)),"⚠未検出")</f>
        <v>米国政府が認定した暗号方式（FIPS 140-3）が必要か。最重要の確認事項</v>
      </c>
      <c r="D163" s="70" t="str">
        <f>IFERROR(INDEX(進捗一覧!$H:$H,MATCH($A163,進捗一覧!$L:$L,0)),"⚠未検出")</f>
        <v>外部待ち</v>
      </c>
      <c r="E163" s="68" t="s">
        <v>661</v>
      </c>
      <c r="F163" s="70" t="s">
        <v>691</v>
      </c>
      <c r="G163" s="70" t="s">
        <v>674</v>
      </c>
      <c r="H163" s="78" t="s">
        <v>726</v>
      </c>
    </row>
    <row r="164" spans="1:8" ht="16">
      <c r="A164" s="67" t="s">
        <v>169</v>
      </c>
      <c r="B164" s="68" t="str">
        <f>IFERROR(INDEX(進捗一覧!$K:$K,MATCH($A164,進捗一覧!$L:$L,0)),"⚠未検出")</f>
        <v>NFR-COMP 業界認定・監査</v>
      </c>
      <c r="C164" s="69" t="str">
        <f>IFERROR(INDEX(進捗一覧!$E:$E,MATCH($A164,進捗一覧!$L:$L,0)),"⚠未検出")</f>
        <v>法令上、操作記録を何年保存する必要があるか</v>
      </c>
      <c r="D164" s="70" t="str">
        <f>IFERROR(INDEX(進捗一覧!$H:$H,MATCH($A164,進捗一覧!$L:$L,0)),"⚠未検出")</f>
        <v>外部待ち</v>
      </c>
      <c r="E164" s="68" t="s">
        <v>715</v>
      </c>
      <c r="F164" s="70" t="s">
        <v>711</v>
      </c>
      <c r="G164" s="70" t="s">
        <v>667</v>
      </c>
      <c r="H164" s="78" t="s">
        <v>716</v>
      </c>
    </row>
    <row r="165" spans="1:8" ht="16">
      <c r="A165" s="67" t="s">
        <v>170</v>
      </c>
      <c r="B165" s="68" t="str">
        <f>IFERROR(INDEX(進捗一覧!$K:$K,MATCH($A165,進捗一覧!$L:$L,0)),"⚠未検出")</f>
        <v>NFR-COMP 業界認定・監査</v>
      </c>
      <c r="C165" s="69" t="str">
        <f>IFERROR(INDEX(進捗一覧!$E:$E,MATCH($A165,進捗一覧!$L:$L,0)),"⚠未検出")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70" t="str">
        <f>IFERROR(INDEX(進捗一覧!$H:$H,MATCH($A165,進捗一覧!$L:$L,0)),"⚠未検出")</f>
        <v>外部待ち</v>
      </c>
      <c r="E165" s="68" t="s">
        <v>1059</v>
      </c>
      <c r="F165" s="70" t="s">
        <v>711</v>
      </c>
      <c r="G165" s="70" t="s">
        <v>667</v>
      </c>
      <c r="H165" s="78" t="s">
        <v>1060</v>
      </c>
    </row>
    <row r="166" spans="1:8" ht="16">
      <c r="A166" s="67" t="s">
        <v>171</v>
      </c>
      <c r="B166" s="68" t="str">
        <f>IFERROR(INDEX(進捗一覧!$K:$K,MATCH($A166,進捗一覧!$L:$L,0)),"⚠未検出")</f>
        <v>NFR-COMP データガバナンス</v>
      </c>
      <c r="C166" s="69" t="str">
        <f>IFERROR(INDEX(進捗一覧!$E:$E,MATCH($A166,進捗一覧!$L:$L,0)),"⚠未検出")</f>
        <v>利用者からの削除要求に、どの手順・何日以内で応じるか</v>
      </c>
      <c r="D166" s="70" t="str">
        <f>IFERROR(INDEX(進捗一覧!$H:$H,MATCH($A166,進捗一覧!$L:$L,0)),"⚠未検出")</f>
        <v>外部待ち</v>
      </c>
      <c r="E166" s="68" t="s">
        <v>1061</v>
      </c>
      <c r="F166" s="70" t="s">
        <v>858</v>
      </c>
      <c r="G166" s="70" t="s">
        <v>667</v>
      </c>
      <c r="H166" s="78" t="s">
        <v>1062</v>
      </c>
    </row>
    <row r="167" spans="1:8" ht="16">
      <c r="A167" s="67" t="s">
        <v>172</v>
      </c>
      <c r="B167" s="68" t="str">
        <f>IFERROR(INDEX(進捗一覧!$K:$K,MATCH($A167,進捗一覧!$L:$L,0)),"⚠未検出")</f>
        <v>NFR-COMP データガバナンス</v>
      </c>
      <c r="C167" s="69" t="str">
        <f>IFERROR(INDEX(進捗一覧!$E:$E,MATCH($A167,進捗一覧!$L:$L,0)),"⚠未検出")</f>
        <v>暗号鍵をどの頻度で入れ替えるか。対象は ①通行証の署名鍵 ②保存データの暗号鍵（KMS） の2種類あり、それぞれ別に決める</v>
      </c>
      <c r="D167" s="70" t="str">
        <f>IFERROR(INDEX(進捗一覧!$H:$H,MATCH($A167,進捗一覧!$L:$L,0)),"⚠未検出")</f>
        <v>確定</v>
      </c>
      <c r="E167" s="68" t="s">
        <v>645</v>
      </c>
      <c r="F167" s="70" t="s">
        <v>646</v>
      </c>
      <c r="G167" s="70" t="s">
        <v>550</v>
      </c>
      <c r="H167" s="78" t="s">
        <v>647</v>
      </c>
    </row>
    <row r="168" spans="1:8" ht="16">
      <c r="A168" s="67" t="s">
        <v>173</v>
      </c>
      <c r="B168" s="68" t="str">
        <f>IFERROR(INDEX(進捗一覧!$K:$K,MATCH($A168,進捗一覧!$L:$L,0)),"⚠未検出")</f>
        <v>NFR-COST コスト</v>
      </c>
      <c r="C168" s="69" t="str">
        <f>IFERROR(INDEX(進捗一覧!$E:$E,MATCH($A168,進捗一覧!$L:$L,0)),"⚠未検出")</f>
        <v>初期構築費をいくらと見るか。金額は WBS の積み上げ工数を根拠とする（基本設計の工数枠とは別枠）</v>
      </c>
      <c r="D168" s="70" t="str">
        <f>IFERROR(INDEX(進捗一覧!$H:$H,MATCH($A168,進捗一覧!$L:$L,0)),"⚠未検出")</f>
        <v>検討中</v>
      </c>
      <c r="E168" s="68" t="s">
        <v>1021</v>
      </c>
      <c r="F168" s="70" t="s">
        <v>1013</v>
      </c>
      <c r="G168" s="70" t="s">
        <v>674</v>
      </c>
      <c r="H168" s="78" t="s">
        <v>1022</v>
      </c>
    </row>
    <row r="169" spans="1:8" ht="16">
      <c r="A169" s="67" t="s">
        <v>174</v>
      </c>
      <c r="B169" s="68" t="str">
        <f>IFERROR(INDEX(進捗一覧!$K:$K,MATCH($A169,進捗一覧!$L:$L,0)),"⚠未検出")</f>
        <v>NFR-COST コスト</v>
      </c>
      <c r="C169" s="69" t="str">
        <f>IFERROR(INDEX(進捗一覧!$E:$E,MATCH($A169,進捗一覧!$L:$L,0)),"⚠未検出")</f>
        <v>毎月の設備費をいくらまでとするか。AWS のリソースごとに ROSA 前提で詳細見積もりを作って積み上げる</v>
      </c>
      <c r="D169" s="70" t="str">
        <f>IFERROR(INDEX(進捗一覧!$H:$H,MATCH($A169,進捗一覧!$L:$L,0)),"⚠未検出")</f>
        <v>検討中</v>
      </c>
      <c r="E169" s="68" t="s">
        <v>804</v>
      </c>
      <c r="F169" s="70" t="s">
        <v>777</v>
      </c>
      <c r="G169" s="70" t="s">
        <v>659</v>
      </c>
      <c r="H169" s="78" t="s">
        <v>805</v>
      </c>
    </row>
    <row r="170" spans="1:8" ht="16">
      <c r="A170" s="67" t="s">
        <v>175</v>
      </c>
      <c r="B170" s="68" t="str">
        <f>IFERROR(INDEX(進捗一覧!$K:$K,MATCH($A170,進捗一覧!$L:$L,0)),"⚠未検出")</f>
        <v>NFR-COST コスト</v>
      </c>
      <c r="C170" s="69" t="str">
        <f>IFERROR(INDEX(進捗一覧!$E:$E,MATCH($A170,進捗一覧!$L:$L,0)),"⚠未検出")</f>
        <v>利用者1人あたりの単価をいくらと見るか</v>
      </c>
      <c r="D170" s="70" t="str">
        <f>IFERROR(INDEX(進捗一覧!$H:$H,MATCH($A170,進捗一覧!$L:$L,0)),"⚠未検出")</f>
        <v>確定</v>
      </c>
      <c r="E170" s="68" t="s">
        <v>1021</v>
      </c>
      <c r="F170" s="70" t="s">
        <v>1013</v>
      </c>
      <c r="G170" s="70" t="s">
        <v>674</v>
      </c>
      <c r="H170" s="78" t="s">
        <v>1023</v>
      </c>
    </row>
    <row r="171" spans="1:8" ht="16">
      <c r="A171" s="67" t="s">
        <v>176</v>
      </c>
      <c r="B171" s="68" t="str">
        <f>IFERROR(INDEX(進捗一覧!$K:$K,MATCH($A171,進捗一覧!$L:$L,0)),"⚠未検出")</f>
        <v>NFR-COST コスト</v>
      </c>
      <c r="C171" s="69" t="str">
        <f>IFERROR(INDEX(進捗一覧!$E:$E,MATCH($A171,進捗一覧!$L:$L,0)),"⚠未検出")</f>
        <v>上位プランを使う場合の追加費用をどう見るか。Keycloak 採用（前提P-01）により、Cognito の上位プランを前提とした本項は不要になる可能性が高い</v>
      </c>
      <c r="D171" s="70" t="str">
        <f>IFERROR(INDEX(進捗一覧!$H:$H,MATCH($A171,進捗一覧!$L:$L,0)),"⚠未検出")</f>
        <v>対象外</v>
      </c>
      <c r="E171" s="68" t="s">
        <v>1021</v>
      </c>
      <c r="F171" s="70" t="s">
        <v>1013</v>
      </c>
      <c r="G171" s="70" t="s">
        <v>674</v>
      </c>
      <c r="H171" s="78" t="s">
        <v>1023</v>
      </c>
    </row>
    <row r="172" spans="1:8" ht="16">
      <c r="A172" s="67" t="s">
        <v>177</v>
      </c>
      <c r="B172" s="68" t="str">
        <f>IFERROR(INDEX(進捗一覧!$K:$K,MATCH($A172,進捗一覧!$L:$L,0)),"⚠未検出")</f>
        <v>NFR-COST コスト</v>
      </c>
      <c r="C172" s="69" t="str">
        <f>IFERROR(INDEX(進捗一覧!$E:$E,MATCH($A172,進捗一覧!$L:$L,0)),"⚠未検出")</f>
        <v>災害対策のために毎月いくら追加でかけるか。設備費（NFR-COST-002）の詳細見積もりを作るときに一緒に算出する</v>
      </c>
      <c r="D172" s="70" t="str">
        <f>IFERROR(INDEX(進捗一覧!$H:$H,MATCH($A172,進捗一覧!$L:$L,0)),"⚠未検出")</f>
        <v>検討中</v>
      </c>
      <c r="E172" s="68" t="s">
        <v>765</v>
      </c>
      <c r="F172" s="70" t="s">
        <v>766</v>
      </c>
      <c r="G172" s="70" t="s">
        <v>659</v>
      </c>
      <c r="H172" s="78" t="s">
        <v>767</v>
      </c>
    </row>
    <row r="173" spans="1:8" ht="16">
      <c r="A173" s="67" t="s">
        <v>178</v>
      </c>
      <c r="B173" s="68" t="str">
        <f>IFERROR(INDEX(進捗一覧!$K:$K,MATCH($A173,進捗一覧!$L:$L,0)),"⚠未検出")</f>
        <v>NFR-COST コスト</v>
      </c>
      <c r="C173" s="69" t="str">
        <f>IFERROR(INDEX(進捗一覧!$E:$E,MATCH($A173,進捗一覧!$L:$L,0)),"⚠未検出")</f>
        <v>運用担当の人件費をいくらと見込むか。ADR-040 の運用者10名体制を金額に換算して置く</v>
      </c>
      <c r="D173" s="70" t="str">
        <f>IFERROR(INDEX(進捗一覧!$H:$H,MATCH($A173,進捗一覧!$L:$L,0)),"⚠未検出")</f>
        <v>検討中</v>
      </c>
      <c r="E173" s="68" t="s">
        <v>1012</v>
      </c>
      <c r="F173" s="70" t="s">
        <v>1013</v>
      </c>
      <c r="G173" s="70" t="s">
        <v>667</v>
      </c>
      <c r="H173" s="78" t="s">
        <v>1024</v>
      </c>
    </row>
    <row r="174" spans="1:8" ht="16">
      <c r="A174" s="67" t="s">
        <v>179</v>
      </c>
      <c r="B174" s="68" t="str">
        <f>IFERROR(INDEX(進捗一覧!$K:$K,MATCH($A174,進捗一覧!$L:$L,0)),"⚠未検出")</f>
        <v>NFR-COST コスト</v>
      </c>
      <c r="C174" s="69" t="str">
        <f>IFERROR(INDEX(進捗一覧!$E:$E,MATCH($A174,進捗一覧!$L:$L,0)),"⚠未検出")</f>
        <v>製品サポート契約の費用をどう扱うか。固定の設備費に合算して計上する方針で、単価が未定</v>
      </c>
      <c r="D174" s="70" t="str">
        <f>IFERROR(INDEX(進捗一覧!$H:$H,MATCH($A174,進捗一覧!$L:$L,0)),"⚠未検出")</f>
        <v>確定</v>
      </c>
      <c r="E174" s="68" t="s">
        <v>806</v>
      </c>
      <c r="F174" s="70" t="s">
        <v>777</v>
      </c>
      <c r="G174" s="70" t="s">
        <v>667</v>
      </c>
      <c r="H174" s="78" t="s">
        <v>807</v>
      </c>
    </row>
    <row r="175" spans="1:8" ht="16">
      <c r="A175" s="67" t="s">
        <v>180</v>
      </c>
      <c r="B175" s="68" t="str">
        <f>IFERROR(INDEX(進捗一覧!$K:$K,MATCH($A175,進捗一覧!$L:$L,0)),"⚠未検出")</f>
        <v>NFR-COST コスト</v>
      </c>
      <c r="C175" s="69" t="str">
        <f>IFERROR(INDEX(進捗一覧!$E:$E,MATCH($A175,進捗一覧!$L:$L,0)),"⚠未検出")</f>
        <v>何人以上の規模なら自前で構築するほうが有利になるか。概算はこの行で持ち、細かい計算はコスト見積もりシートで行う</v>
      </c>
      <c r="D175" s="70" t="str">
        <f>IFERROR(INDEX(進捗一覧!$H:$H,MATCH($A175,進捗一覧!$L:$L,0)),"⚠未検出")</f>
        <v>確定</v>
      </c>
      <c r="E175" s="68" t="s">
        <v>1021</v>
      </c>
      <c r="F175" s="70" t="s">
        <v>1013</v>
      </c>
      <c r="G175" s="70" t="s">
        <v>674</v>
      </c>
      <c r="H175" s="78" t="s">
        <v>1023</v>
      </c>
    </row>
    <row r="176" spans="1:8" ht="16">
      <c r="A176" s="67" t="s">
        <v>181</v>
      </c>
      <c r="B176" s="68" t="str">
        <f>IFERROR(INDEX(進捗一覧!$K:$K,MATCH($A176,進捗一覧!$L:$L,0)),"⚠未検出")</f>
        <v>NFR-COST コスト</v>
      </c>
      <c r="C176" s="69" t="str">
        <f>IFERROR(INDEX(進捗一覧!$E:$E,MATCH($A176,進捗一覧!$L:$L,0)),"⚠未検出")</f>
        <v>上位プランと比べた場合に有利になる規模の境目をどこに置くか。細かい計算はコスト見積もりシートで行う</v>
      </c>
      <c r="D176" s="70" t="str">
        <f>IFERROR(INDEX(進捗一覧!$H:$H,MATCH($A176,進捗一覧!$L:$L,0)),"⚠未検出")</f>
        <v>確定</v>
      </c>
      <c r="E176" s="68" t="s">
        <v>1021</v>
      </c>
      <c r="F176" s="70" t="s">
        <v>1013</v>
      </c>
      <c r="G176" s="70" t="s">
        <v>674</v>
      </c>
      <c r="H176" s="78" t="s">
        <v>1023</v>
      </c>
    </row>
    <row r="177" spans="1:8" ht="16">
      <c r="A177" s="67" t="s">
        <v>182</v>
      </c>
      <c r="B177" s="68" t="str">
        <f>IFERROR(INDEX(進捗一覧!$K:$K,MATCH($A177,進捗一覧!$L:$L,0)),"⚠未検出")</f>
        <v>NFR-COST コスト</v>
      </c>
      <c r="C177" s="69" t="str">
        <f>IFERROR(INDEX(進捗一覧!$E:$E,MATCH($A177,進捗一覧!$L:$L,0)),"⚠未検出")</f>
        <v>10万人規模で3年間の総額をいくらと見るか。Keycloak 採用により Cognito 比較を前提とした本項は不要になる可能性が高い</v>
      </c>
      <c r="D177" s="70" t="str">
        <f>IFERROR(INDEX(進捗一覧!$H:$H,MATCH($A177,進捗一覧!$L:$L,0)),"⚠未検出")</f>
        <v>検討中</v>
      </c>
      <c r="E177" s="68" t="s">
        <v>804</v>
      </c>
      <c r="F177" s="70" t="s">
        <v>777</v>
      </c>
      <c r="G177" s="70" t="s">
        <v>659</v>
      </c>
      <c r="H177" s="78" t="s">
        <v>808</v>
      </c>
    </row>
    <row r="178" spans="1:8" ht="16">
      <c r="A178" s="67" t="s">
        <v>183</v>
      </c>
      <c r="B178" s="68" t="str">
        <f>IFERROR(INDEX(進捗一覧!$K:$K,MATCH($A178,進捗一覧!$L:$L,0)),"⚠未検出")</f>
        <v>NFR-COST コスト</v>
      </c>
      <c r="C178" s="69" t="str">
        <f>IFERROR(INDEX(進捗一覧!$E:$E,MATCH($A178,進捗一覧!$L:$L,0)),"⚠未検出")</f>
        <v>50万人規模で3年間の総額をいくらと見るか。Keycloak 採用により Cognito 比較を前提とした本項は不要になる可能性が高い</v>
      </c>
      <c r="D178" s="70" t="str">
        <f>IFERROR(INDEX(進捗一覧!$H:$H,MATCH($A178,進捗一覧!$L:$L,0)),"⚠未検出")</f>
        <v>検討中</v>
      </c>
      <c r="E178" s="68" t="s">
        <v>804</v>
      </c>
      <c r="F178" s="70" t="s">
        <v>777</v>
      </c>
      <c r="G178" s="70" t="s">
        <v>659</v>
      </c>
      <c r="H178" s="78" t="s">
        <v>809</v>
      </c>
    </row>
    <row r="179" spans="1:8" ht="16">
      <c r="A179" s="67" t="s">
        <v>184</v>
      </c>
      <c r="B179" s="68" t="str">
        <f>IFERROR(INDEX(進捗一覧!$K:$K,MATCH($A179,進捗一覧!$L:$L,0)),"⚠未検出")</f>
        <v>NFR-MIG 移行性</v>
      </c>
      <c r="C179" s="69" t="str">
        <f>IFERROR(INDEX(進捗一覧!$E:$E,MATCH($A179,進捗一覧!$L:$L,0)),"⚠未検出")</f>
        <v>今の認証システムから利用者情報をどう移すか。件数と期間をどう見るか</v>
      </c>
      <c r="D179" s="70" t="str">
        <f>IFERROR(INDEX(進捗一覧!$H:$H,MATCH($A179,進捗一覧!$L:$L,0)),"⚠未検出")</f>
        <v>対象外</v>
      </c>
      <c r="E179" s="68" t="s">
        <v>877</v>
      </c>
      <c r="F179" s="70" t="s">
        <v>866</v>
      </c>
      <c r="G179" s="70" t="s">
        <v>667</v>
      </c>
      <c r="H179" s="78" t="s">
        <v>878</v>
      </c>
    </row>
    <row r="180" spans="1:8" ht="16">
      <c r="A180" s="67" t="s">
        <v>185</v>
      </c>
      <c r="B180" s="68" t="str">
        <f>IFERROR(INDEX(進捗一覧!$K:$K,MATCH($A180,進捗一覧!$L:$L,0)),"⚠未検出")</f>
        <v>NFR-MIG 移行性</v>
      </c>
      <c r="C180" s="69" t="str">
        <f>IFERROR(INDEX(進捗一覧!$E:$E,MATCH($A180,進捗一覧!$L:$L,0)),"⚠未検出")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70" t="str">
        <f>IFERROR(INDEX(進捗一覧!$H:$H,MATCH($A180,進捗一覧!$L:$L,0)),"⚠未検出")</f>
        <v>方向性確定（条件付き）</v>
      </c>
      <c r="E180" s="68" t="s">
        <v>877</v>
      </c>
      <c r="F180" s="70" t="s">
        <v>866</v>
      </c>
      <c r="G180" s="70" t="s">
        <v>667</v>
      </c>
      <c r="H180" s="78" t="s">
        <v>879</v>
      </c>
    </row>
    <row r="181" spans="1:8" ht="16">
      <c r="A181" s="67" t="s">
        <v>186</v>
      </c>
      <c r="B181" s="68" t="str">
        <f>IFERROR(INDEX(進捗一覧!$K:$K,MATCH($A181,進捗一覧!$L:$L,0)),"⚠未検出")</f>
        <v>NFR-MIG 移行性</v>
      </c>
      <c r="C181" s="69" t="str">
        <f>IFERROR(INDEX(進捗一覧!$E:$E,MATCH($A181,進捗一覧!$L:$L,0)),"⚠未検出")</f>
        <v>将来ほかの製品に乗り換えられる状態を、どこまで保つか</v>
      </c>
      <c r="D181" s="70" t="str">
        <f>IFERROR(INDEX(進捗一覧!$H:$H,MATCH($A181,進捗一覧!$L:$L,0)),"⚠未検出")</f>
        <v>確定</v>
      </c>
      <c r="E181" s="68" t="s">
        <v>880</v>
      </c>
      <c r="F181" s="70" t="s">
        <v>881</v>
      </c>
      <c r="G181" s="70" t="s">
        <v>659</v>
      </c>
      <c r="H181" s="78" t="s">
        <v>882</v>
      </c>
    </row>
    <row r="182" spans="1:8" ht="16">
      <c r="A182" s="67" t="s">
        <v>187</v>
      </c>
      <c r="B182" s="68" t="str">
        <f>IFERROR(INDEX(進捗一覧!$K:$K,MATCH($A182,進捗一覧!$L:$L,0)),"⚠未検出")</f>
        <v>NFR-MIG 移行性</v>
      </c>
      <c r="C182" s="69" t="str">
        <f>IFERROR(INDEX(進捗一覧!$E:$E,MATCH($A182,進捗一覧!$L:$L,0)),"⚠未検出")</f>
        <v>自分たちのデータをいつでも取り出せる手段を用意するか。Realm 全体の書き出しは禁止（禁則K-1）のため、単位を区切った取り出し方式を定義する必要がある</v>
      </c>
      <c r="D182" s="70" t="str">
        <f>IFERROR(INDEX(進捗一覧!$H:$H,MATCH($A182,進捗一覧!$L:$L,0)),"⚠未検出")</f>
        <v>検討中</v>
      </c>
      <c r="E182" s="68" t="s">
        <v>883</v>
      </c>
      <c r="F182" s="70" t="s">
        <v>884</v>
      </c>
      <c r="G182" s="70" t="s">
        <v>667</v>
      </c>
      <c r="H182" s="78" t="s">
        <v>885</v>
      </c>
    </row>
    <row r="183" spans="1:8" ht="16">
      <c r="A183" s="71" t="s">
        <v>188</v>
      </c>
      <c r="B183" s="72" t="str">
        <f>IFERROR(INDEX(進捗一覧!$K:$K,MATCH($A183,進捗一覧!$L:$L,0)),"⚠未検出")</f>
        <v>NFR-MIG 移行性</v>
      </c>
      <c r="C183" s="73" t="str">
        <f>IFERROR(INDEX(進捗一覧!$E:$E,MATCH($A183,進捗一覧!$L:$L,0)),"⚠未検出")</f>
        <v>新旧を並行稼働させて少しずつ移す方針で決定済み。顧客テナント単位で順次移していく。決めるのは並行期間の長さ</v>
      </c>
      <c r="D183" s="74" t="str">
        <f>IFERROR(INDEX(進捗一覧!$H:$H,MATCH($A183,進捗一覧!$L:$L,0)),"⚠未検出")</f>
        <v>確定</v>
      </c>
      <c r="E183" s="72" t="s">
        <v>886</v>
      </c>
      <c r="F183" s="74" t="s">
        <v>866</v>
      </c>
      <c r="G183" s="74" t="s">
        <v>667</v>
      </c>
      <c r="H183" s="79" t="s">
        <v>887</v>
      </c>
    </row>
  </sheetData>
  <autoFilter ref="A4:H183" xr:uid="{F6284182-FD2C-E145-9717-734327A3CD4B}"/>
  <phoneticPr fontId="2"/>
  <conditionalFormatting sqref="A5:H183">
    <cfRule type="expression" dxfId="64" priority="1">
      <formula>$G5="未対応"</formula>
    </cfRule>
  </conditionalFormatting>
  <conditionalFormatting sqref="A5:H183">
    <cfRule type="expression" dxfId="63" priority="2">
      <formula>$G5="単元未取込"</formula>
    </cfRule>
  </conditionalFormatting>
  <conditionalFormatting sqref="A5:H183">
    <cfRule type="expression" dxfId="62" priority="3">
      <formula>$G5="部分"</formula>
    </cfRule>
  </conditionalFormatting>
  <conditionalFormatting sqref="A5:H183">
    <cfRule type="expression" dxfId="61" priority="4">
      <formula>$G5="設計済"</formula>
    </cfRule>
  </conditionalFormatting>
  <conditionalFormatting sqref="A5:H183">
    <cfRule type="expression" dxfId="60"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D23" sqref="D23"/>
    </sheetView>
  </sheetViews>
  <sheetFormatPr baseColWidth="10" defaultRowHeight="15"/>
  <cols>
    <col min="1" max="1" width="17.140625" style="65" customWidth="1"/>
    <col min="2" max="2" width="24.28515625" style="65" customWidth="1"/>
    <col min="3" max="3" width="40" style="65" customWidth="1"/>
    <col min="4" max="4" width="18.5703125" style="65" customWidth="1"/>
    <col min="5" max="5" width="88.5703125" style="65" customWidth="1"/>
    <col min="6" max="6" width="32.85546875" style="65" customWidth="1"/>
    <col min="7" max="16384" width="10.7109375" style="65"/>
  </cols>
  <sheetData>
    <row r="1" spans="1:6">
      <c r="A1" s="64" t="s">
        <v>888</v>
      </c>
    </row>
    <row r="2" spans="1:6">
      <c r="A2" s="77" t="s">
        <v>1111</v>
      </c>
    </row>
    <row r="3" spans="1:6">
      <c r="A3" s="81" t="s">
        <v>889</v>
      </c>
    </row>
    <row r="5" spans="1:6" ht="22" customHeight="1">
      <c r="A5" s="82" t="s">
        <v>481</v>
      </c>
      <c r="B5" s="83" t="s">
        <v>482</v>
      </c>
      <c r="C5" s="83" t="s">
        <v>483</v>
      </c>
      <c r="D5" s="83" t="s">
        <v>890</v>
      </c>
      <c r="E5" s="83" t="s">
        <v>891</v>
      </c>
      <c r="F5" s="84" t="s">
        <v>892</v>
      </c>
    </row>
    <row r="6" spans="1:6" ht="32">
      <c r="A6" s="75" t="s">
        <v>655</v>
      </c>
      <c r="B6" s="68" t="s">
        <v>649</v>
      </c>
      <c r="C6" s="68" t="s">
        <v>656</v>
      </c>
      <c r="D6" s="70" t="s">
        <v>893</v>
      </c>
      <c r="E6" s="69" t="s">
        <v>894</v>
      </c>
      <c r="F6" s="78" t="s">
        <v>895</v>
      </c>
    </row>
    <row r="7" spans="1:6" ht="32">
      <c r="A7" s="75" t="s">
        <v>651</v>
      </c>
      <c r="B7" s="68" t="s">
        <v>649</v>
      </c>
      <c r="C7" s="68" t="s">
        <v>652</v>
      </c>
      <c r="D7" s="70" t="s">
        <v>893</v>
      </c>
      <c r="E7" s="69" t="s">
        <v>896</v>
      </c>
      <c r="F7" s="78" t="s">
        <v>895</v>
      </c>
    </row>
    <row r="8" spans="1:6" ht="16">
      <c r="A8" s="75" t="s">
        <v>853</v>
      </c>
      <c r="B8" s="68" t="s">
        <v>842</v>
      </c>
      <c r="C8" s="68" t="s">
        <v>854</v>
      </c>
      <c r="D8" s="70" t="s">
        <v>893</v>
      </c>
      <c r="E8" s="69" t="s">
        <v>897</v>
      </c>
      <c r="F8" s="78" t="s">
        <v>895</v>
      </c>
    </row>
    <row r="9" spans="1:6" ht="16">
      <c r="A9" s="75" t="s">
        <v>653</v>
      </c>
      <c r="B9" s="68" t="s">
        <v>649</v>
      </c>
      <c r="C9" s="68" t="s">
        <v>654</v>
      </c>
      <c r="D9" s="70" t="s">
        <v>893</v>
      </c>
      <c r="E9" s="69" t="s">
        <v>898</v>
      </c>
      <c r="F9" s="78" t="s">
        <v>895</v>
      </c>
    </row>
    <row r="10" spans="1:6" ht="16">
      <c r="A10" s="75" t="s">
        <v>537</v>
      </c>
      <c r="B10" s="68" t="s">
        <v>519</v>
      </c>
      <c r="C10" s="68" t="s">
        <v>899</v>
      </c>
      <c r="D10" s="70" t="s">
        <v>893</v>
      </c>
      <c r="E10" s="69" t="s">
        <v>900</v>
      </c>
      <c r="F10" s="78" t="s">
        <v>57</v>
      </c>
    </row>
    <row r="11" spans="1:6" ht="32">
      <c r="A11" s="75" t="s">
        <v>851</v>
      </c>
      <c r="B11" s="68" t="s">
        <v>842</v>
      </c>
      <c r="C11" s="68" t="s">
        <v>852</v>
      </c>
      <c r="D11" s="70" t="s">
        <v>893</v>
      </c>
      <c r="E11" s="69" t="s">
        <v>901</v>
      </c>
      <c r="F11" s="78" t="s">
        <v>79</v>
      </c>
    </row>
    <row r="12" spans="1:6" ht="16">
      <c r="A12" s="75" t="s">
        <v>686</v>
      </c>
      <c r="B12" s="68" t="s">
        <v>206</v>
      </c>
      <c r="C12" s="68" t="s">
        <v>687</v>
      </c>
      <c r="D12" s="70" t="s">
        <v>893</v>
      </c>
      <c r="E12" s="69" t="s">
        <v>902</v>
      </c>
      <c r="F12" s="78" t="s">
        <v>903</v>
      </c>
    </row>
    <row r="13" spans="1:6" ht="16">
      <c r="A13" s="75" t="s">
        <v>517</v>
      </c>
      <c r="B13" s="68" t="s">
        <v>198</v>
      </c>
      <c r="C13" s="68" t="s">
        <v>904</v>
      </c>
      <c r="D13" s="70" t="s">
        <v>893</v>
      </c>
      <c r="E13" s="69" t="s">
        <v>905</v>
      </c>
      <c r="F13" s="78" t="s">
        <v>895</v>
      </c>
    </row>
    <row r="14" spans="1:6" ht="16">
      <c r="A14" s="75" t="s">
        <v>813</v>
      </c>
      <c r="B14" s="68" t="s">
        <v>810</v>
      </c>
      <c r="C14" s="68" t="s">
        <v>814</v>
      </c>
      <c r="D14" s="70" t="s">
        <v>893</v>
      </c>
      <c r="E14" s="69" t="s">
        <v>906</v>
      </c>
      <c r="F14" s="78" t="s">
        <v>151</v>
      </c>
    </row>
    <row r="15" spans="1:6" ht="16">
      <c r="A15" s="75" t="s">
        <v>847</v>
      </c>
      <c r="B15" s="68" t="s">
        <v>842</v>
      </c>
      <c r="C15" s="68" t="s">
        <v>848</v>
      </c>
      <c r="D15" s="70" t="s">
        <v>893</v>
      </c>
      <c r="E15" s="69" t="s">
        <v>907</v>
      </c>
      <c r="F15" s="78" t="s">
        <v>895</v>
      </c>
    </row>
    <row r="16" spans="1:6" ht="16">
      <c r="A16" s="75" t="s">
        <v>524</v>
      </c>
      <c r="B16" s="68" t="s">
        <v>519</v>
      </c>
      <c r="C16" s="68" t="s">
        <v>908</v>
      </c>
      <c r="D16" s="70" t="s">
        <v>893</v>
      </c>
      <c r="E16" s="69" t="s">
        <v>909</v>
      </c>
      <c r="F16" s="78" t="s">
        <v>127</v>
      </c>
    </row>
    <row r="17" spans="1:6" ht="32">
      <c r="A17" s="75" t="s">
        <v>841</v>
      </c>
      <c r="B17" s="68" t="s">
        <v>842</v>
      </c>
      <c r="C17" s="68" t="s">
        <v>843</v>
      </c>
      <c r="D17" s="70" t="s">
        <v>910</v>
      </c>
      <c r="E17" s="69" t="s">
        <v>911</v>
      </c>
      <c r="F17" s="78" t="s">
        <v>912</v>
      </c>
    </row>
    <row r="18" spans="1:6" ht="16">
      <c r="A18" s="75" t="s">
        <v>844</v>
      </c>
      <c r="B18" s="68" t="s">
        <v>842</v>
      </c>
      <c r="C18" s="68" t="s">
        <v>845</v>
      </c>
      <c r="D18" s="70" t="s">
        <v>910</v>
      </c>
      <c r="E18" s="69" t="s">
        <v>913</v>
      </c>
      <c r="F18" s="78" t="s">
        <v>912</v>
      </c>
    </row>
    <row r="19" spans="1:6" ht="16">
      <c r="A19" s="75" t="s">
        <v>849</v>
      </c>
      <c r="B19" s="68" t="s">
        <v>842</v>
      </c>
      <c r="C19" s="68" t="s">
        <v>850</v>
      </c>
      <c r="D19" s="70" t="s">
        <v>910</v>
      </c>
      <c r="E19" s="69" t="s">
        <v>914</v>
      </c>
      <c r="F19" s="78" t="s">
        <v>915</v>
      </c>
    </row>
    <row r="20" spans="1:6" ht="16">
      <c r="A20" s="75" t="s">
        <v>525</v>
      </c>
      <c r="B20" s="68" t="s">
        <v>519</v>
      </c>
      <c r="C20" s="68" t="s">
        <v>916</v>
      </c>
      <c r="D20" s="70" t="s">
        <v>910</v>
      </c>
      <c r="E20" s="69" t="s">
        <v>917</v>
      </c>
      <c r="F20" s="78" t="s">
        <v>918</v>
      </c>
    </row>
    <row r="21" spans="1:6" ht="16">
      <c r="A21" s="75" t="s">
        <v>523</v>
      </c>
      <c r="B21" s="68" t="s">
        <v>519</v>
      </c>
      <c r="C21" s="68" t="s">
        <v>919</v>
      </c>
      <c r="D21" s="70" t="s">
        <v>910</v>
      </c>
      <c r="E21" s="69" t="s">
        <v>920</v>
      </c>
      <c r="F21" s="78" t="s">
        <v>128</v>
      </c>
    </row>
    <row r="22" spans="1:6" ht="16">
      <c r="A22" s="75" t="s">
        <v>530</v>
      </c>
      <c r="B22" s="68" t="s">
        <v>519</v>
      </c>
      <c r="C22" s="68" t="s">
        <v>921</v>
      </c>
      <c r="D22" s="70" t="s">
        <v>910</v>
      </c>
      <c r="E22" s="69" t="s">
        <v>922</v>
      </c>
      <c r="F22" s="78" t="s">
        <v>923</v>
      </c>
    </row>
    <row r="23" spans="1:6" ht="32">
      <c r="A23" s="75" t="s">
        <v>531</v>
      </c>
      <c r="B23" s="68" t="s">
        <v>519</v>
      </c>
      <c r="C23" s="68" t="s">
        <v>924</v>
      </c>
      <c r="D23" s="70" t="s">
        <v>910</v>
      </c>
      <c r="E23" s="69" t="s">
        <v>925</v>
      </c>
      <c r="F23" s="78" t="s">
        <v>53</v>
      </c>
    </row>
    <row r="24" spans="1:6" ht="16">
      <c r="A24" s="75" t="s">
        <v>528</v>
      </c>
      <c r="B24" s="68" t="s">
        <v>519</v>
      </c>
      <c r="C24" s="68" t="s">
        <v>926</v>
      </c>
      <c r="D24" s="70" t="s">
        <v>910</v>
      </c>
      <c r="E24" s="69" t="s">
        <v>927</v>
      </c>
      <c r="F24" s="78" t="s">
        <v>131</v>
      </c>
    </row>
    <row r="25" spans="1:6" ht="16">
      <c r="A25" s="75" t="s">
        <v>521</v>
      </c>
      <c r="B25" s="68" t="s">
        <v>519</v>
      </c>
      <c r="C25" s="68" t="s">
        <v>928</v>
      </c>
      <c r="D25" s="70" t="s">
        <v>910</v>
      </c>
      <c r="E25" s="69" t="s">
        <v>929</v>
      </c>
      <c r="F25" s="78" t="s">
        <v>930</v>
      </c>
    </row>
    <row r="26" spans="1:6" ht="16">
      <c r="A26" s="75" t="s">
        <v>650</v>
      </c>
      <c r="B26" s="68" t="s">
        <v>649</v>
      </c>
      <c r="C26" s="68" t="s">
        <v>931</v>
      </c>
      <c r="D26" s="70" t="s">
        <v>910</v>
      </c>
      <c r="E26" s="69" t="s">
        <v>932</v>
      </c>
      <c r="F26" s="78" t="s">
        <v>44</v>
      </c>
    </row>
    <row r="27" spans="1:6" ht="16">
      <c r="A27" s="75" t="s">
        <v>495</v>
      </c>
      <c r="B27" s="68" t="s">
        <v>189</v>
      </c>
      <c r="C27" s="68" t="s">
        <v>933</v>
      </c>
      <c r="D27" s="70" t="s">
        <v>910</v>
      </c>
      <c r="E27" s="69" t="s">
        <v>934</v>
      </c>
      <c r="F27" s="78" t="s">
        <v>44</v>
      </c>
    </row>
    <row r="28" spans="1:6" ht="16">
      <c r="A28" s="75" t="s">
        <v>735</v>
      </c>
      <c r="B28" s="68" t="s">
        <v>209</v>
      </c>
      <c r="C28" s="68" t="s">
        <v>736</v>
      </c>
      <c r="D28" s="70" t="s">
        <v>910</v>
      </c>
      <c r="E28" s="69" t="s">
        <v>935</v>
      </c>
      <c r="F28" s="78" t="s">
        <v>145</v>
      </c>
    </row>
    <row r="29" spans="1:6" ht="16">
      <c r="A29" s="75" t="s">
        <v>774</v>
      </c>
      <c r="B29" s="68" t="s">
        <v>201</v>
      </c>
      <c r="C29" s="68" t="s">
        <v>775</v>
      </c>
      <c r="D29" s="70" t="s">
        <v>910</v>
      </c>
      <c r="E29" s="69" t="s">
        <v>936</v>
      </c>
      <c r="F29" s="78" t="s">
        <v>937</v>
      </c>
    </row>
    <row r="30" spans="1:6" ht="32">
      <c r="A30" s="75" t="s">
        <v>511</v>
      </c>
      <c r="B30" s="68" t="s">
        <v>198</v>
      </c>
      <c r="C30" s="68" t="s">
        <v>938</v>
      </c>
      <c r="D30" s="70" t="s">
        <v>910</v>
      </c>
      <c r="E30" s="69" t="s">
        <v>939</v>
      </c>
      <c r="F30" s="78" t="s">
        <v>940</v>
      </c>
    </row>
    <row r="31" spans="1:6" ht="16">
      <c r="A31" s="75" t="s">
        <v>772</v>
      </c>
      <c r="B31" s="68" t="s">
        <v>201</v>
      </c>
      <c r="C31" s="68" t="s">
        <v>773</v>
      </c>
      <c r="D31" s="70" t="s">
        <v>941</v>
      </c>
      <c r="E31" s="69" t="s">
        <v>942</v>
      </c>
      <c r="F31" s="78" t="s">
        <v>943</v>
      </c>
    </row>
    <row r="32" spans="1:6" ht="16">
      <c r="A32" s="75" t="s">
        <v>732</v>
      </c>
      <c r="B32" s="68" t="s">
        <v>209</v>
      </c>
      <c r="C32" s="68" t="s">
        <v>733</v>
      </c>
      <c r="D32" s="70" t="s">
        <v>944</v>
      </c>
      <c r="E32" s="69" t="s">
        <v>945</v>
      </c>
      <c r="F32" s="78" t="s">
        <v>143</v>
      </c>
    </row>
    <row r="33" spans="1:6" ht="16">
      <c r="A33" s="75" t="s">
        <v>491</v>
      </c>
      <c r="B33" s="68" t="s">
        <v>189</v>
      </c>
      <c r="C33" s="68" t="s">
        <v>946</v>
      </c>
      <c r="D33" s="70" t="s">
        <v>947</v>
      </c>
      <c r="E33" s="69" t="s">
        <v>948</v>
      </c>
      <c r="F33" s="78" t="s">
        <v>549</v>
      </c>
    </row>
    <row r="34" spans="1:6" ht="16">
      <c r="A34" s="75" t="s">
        <v>492</v>
      </c>
      <c r="B34" s="68" t="s">
        <v>189</v>
      </c>
      <c r="C34" s="68" t="s">
        <v>949</v>
      </c>
      <c r="D34" s="70" t="s">
        <v>947</v>
      </c>
      <c r="E34" s="69" t="s">
        <v>950</v>
      </c>
      <c r="F34" s="78" t="s">
        <v>549</v>
      </c>
    </row>
    <row r="35" spans="1:6" ht="16">
      <c r="A35" s="75" t="s">
        <v>493</v>
      </c>
      <c r="B35" s="68" t="s">
        <v>189</v>
      </c>
      <c r="C35" s="68" t="s">
        <v>951</v>
      </c>
      <c r="D35" s="70" t="s">
        <v>947</v>
      </c>
      <c r="E35" s="69" t="s">
        <v>952</v>
      </c>
      <c r="F35" s="78" t="s">
        <v>549</v>
      </c>
    </row>
    <row r="36" spans="1:6" ht="16">
      <c r="A36" s="75" t="s">
        <v>494</v>
      </c>
      <c r="B36" s="68" t="s">
        <v>189</v>
      </c>
      <c r="C36" s="68" t="s">
        <v>953</v>
      </c>
      <c r="D36" s="70" t="s">
        <v>947</v>
      </c>
      <c r="E36" s="69" t="s">
        <v>954</v>
      </c>
      <c r="F36" s="78" t="s">
        <v>549</v>
      </c>
    </row>
    <row r="37" spans="1:6" ht="16">
      <c r="A37" s="75" t="s">
        <v>496</v>
      </c>
      <c r="B37" s="68" t="s">
        <v>189</v>
      </c>
      <c r="C37" s="68" t="s">
        <v>955</v>
      </c>
      <c r="D37" s="70" t="s">
        <v>947</v>
      </c>
      <c r="E37" s="69" t="s">
        <v>956</v>
      </c>
      <c r="F37" s="78" t="s">
        <v>549</v>
      </c>
    </row>
    <row r="38" spans="1:6" ht="16">
      <c r="A38" s="75" t="s">
        <v>497</v>
      </c>
      <c r="B38" s="68" t="s">
        <v>189</v>
      </c>
      <c r="C38" s="68" t="s">
        <v>957</v>
      </c>
      <c r="D38" s="70" t="s">
        <v>947</v>
      </c>
      <c r="E38" s="69" t="s">
        <v>958</v>
      </c>
      <c r="F38" s="78" t="s">
        <v>549</v>
      </c>
    </row>
    <row r="39" spans="1:6" ht="16">
      <c r="A39" s="75" t="s">
        <v>498</v>
      </c>
      <c r="B39" s="68" t="s">
        <v>189</v>
      </c>
      <c r="C39" s="68" t="s">
        <v>959</v>
      </c>
      <c r="D39" s="70" t="s">
        <v>947</v>
      </c>
      <c r="E39" s="69" t="s">
        <v>960</v>
      </c>
      <c r="F39" s="78" t="s">
        <v>549</v>
      </c>
    </row>
    <row r="40" spans="1:6" ht="16">
      <c r="A40" s="75" t="s">
        <v>501</v>
      </c>
      <c r="B40" s="68" t="s">
        <v>189</v>
      </c>
      <c r="C40" s="68" t="s">
        <v>961</v>
      </c>
      <c r="D40" s="70" t="s">
        <v>947</v>
      </c>
      <c r="E40" s="69" t="s">
        <v>962</v>
      </c>
      <c r="F40" s="78" t="s">
        <v>549</v>
      </c>
    </row>
    <row r="41" spans="1:6" ht="16">
      <c r="A41" s="75" t="s">
        <v>502</v>
      </c>
      <c r="B41" s="68" t="s">
        <v>189</v>
      </c>
      <c r="C41" s="68" t="s">
        <v>963</v>
      </c>
      <c r="D41" s="70" t="s">
        <v>947</v>
      </c>
      <c r="E41" s="69" t="s">
        <v>964</v>
      </c>
      <c r="F41" s="78" t="s">
        <v>549</v>
      </c>
    </row>
    <row r="42" spans="1:6" ht="16">
      <c r="A42" s="75" t="s">
        <v>503</v>
      </c>
      <c r="B42" s="68" t="s">
        <v>189</v>
      </c>
      <c r="C42" s="68" t="s">
        <v>965</v>
      </c>
      <c r="D42" s="70" t="s">
        <v>947</v>
      </c>
      <c r="E42" s="69" t="s">
        <v>966</v>
      </c>
      <c r="F42" s="78" t="s">
        <v>549</v>
      </c>
    </row>
    <row r="43" spans="1:6" ht="16">
      <c r="A43" s="75" t="s">
        <v>505</v>
      </c>
      <c r="B43" s="68" t="s">
        <v>189</v>
      </c>
      <c r="C43" s="68" t="s">
        <v>967</v>
      </c>
      <c r="D43" s="70" t="s">
        <v>947</v>
      </c>
      <c r="E43" s="69" t="s">
        <v>968</v>
      </c>
      <c r="F43" s="78" t="s">
        <v>549</v>
      </c>
    </row>
    <row r="44" spans="1:6" ht="16">
      <c r="A44" s="75" t="s">
        <v>506</v>
      </c>
      <c r="B44" s="68" t="s">
        <v>189</v>
      </c>
      <c r="C44" s="68" t="s">
        <v>969</v>
      </c>
      <c r="D44" s="70" t="s">
        <v>947</v>
      </c>
      <c r="E44" s="69" t="s">
        <v>970</v>
      </c>
      <c r="F44" s="78" t="s">
        <v>549</v>
      </c>
    </row>
    <row r="45" spans="1:6" ht="16">
      <c r="A45" s="75" t="s">
        <v>526</v>
      </c>
      <c r="B45" s="68" t="s">
        <v>519</v>
      </c>
      <c r="C45" s="68" t="s">
        <v>971</v>
      </c>
      <c r="D45" s="70" t="s">
        <v>947</v>
      </c>
      <c r="E45" s="69" t="s">
        <v>972</v>
      </c>
      <c r="F45" s="78" t="s">
        <v>549</v>
      </c>
    </row>
    <row r="46" spans="1:6" ht="16">
      <c r="A46" s="75" t="s">
        <v>527</v>
      </c>
      <c r="B46" s="68" t="s">
        <v>519</v>
      </c>
      <c r="C46" s="68" t="s">
        <v>973</v>
      </c>
      <c r="D46" s="70" t="s">
        <v>947</v>
      </c>
      <c r="E46" s="69" t="s">
        <v>974</v>
      </c>
      <c r="F46" s="78" t="s">
        <v>549</v>
      </c>
    </row>
    <row r="47" spans="1:6" ht="16">
      <c r="A47" s="75" t="s">
        <v>535</v>
      </c>
      <c r="B47" s="68" t="s">
        <v>519</v>
      </c>
      <c r="C47" s="68" t="s">
        <v>975</v>
      </c>
      <c r="D47" s="70" t="s">
        <v>947</v>
      </c>
      <c r="E47" s="69" t="s">
        <v>976</v>
      </c>
      <c r="F47" s="78" t="s">
        <v>549</v>
      </c>
    </row>
    <row r="48" spans="1:6" ht="16">
      <c r="A48" s="75" t="s">
        <v>536</v>
      </c>
      <c r="B48" s="68" t="s">
        <v>519</v>
      </c>
      <c r="C48" s="68" t="s">
        <v>977</v>
      </c>
      <c r="D48" s="70" t="s">
        <v>947</v>
      </c>
      <c r="E48" s="69" t="s">
        <v>978</v>
      </c>
      <c r="F48" s="78" t="s">
        <v>549</v>
      </c>
    </row>
    <row r="49" spans="1:6" ht="16">
      <c r="A49" s="75" t="s">
        <v>509</v>
      </c>
      <c r="B49" s="68" t="s">
        <v>198</v>
      </c>
      <c r="C49" s="68" t="s">
        <v>979</v>
      </c>
      <c r="D49" s="70" t="s">
        <v>947</v>
      </c>
      <c r="E49" s="69" t="s">
        <v>980</v>
      </c>
      <c r="F49" s="78" t="s">
        <v>549</v>
      </c>
    </row>
    <row r="50" spans="1:6" ht="16">
      <c r="A50" s="75" t="s">
        <v>513</v>
      </c>
      <c r="B50" s="68" t="s">
        <v>198</v>
      </c>
      <c r="C50" s="68" t="s">
        <v>981</v>
      </c>
      <c r="D50" s="70" t="s">
        <v>947</v>
      </c>
      <c r="E50" s="69" t="s">
        <v>982</v>
      </c>
      <c r="F50" s="78" t="s">
        <v>549</v>
      </c>
    </row>
    <row r="51" spans="1:6" ht="16">
      <c r="A51" s="75" t="s">
        <v>514</v>
      </c>
      <c r="B51" s="68" t="s">
        <v>198</v>
      </c>
      <c r="C51" s="68" t="s">
        <v>983</v>
      </c>
      <c r="D51" s="70" t="s">
        <v>947</v>
      </c>
      <c r="E51" s="69" t="s">
        <v>984</v>
      </c>
      <c r="F51" s="78" t="s">
        <v>549</v>
      </c>
    </row>
    <row r="52" spans="1:6" ht="16">
      <c r="A52" s="75" t="s">
        <v>768</v>
      </c>
      <c r="B52" s="68" t="s">
        <v>201</v>
      </c>
      <c r="C52" s="68" t="s">
        <v>769</v>
      </c>
      <c r="D52" s="70" t="s">
        <v>947</v>
      </c>
      <c r="E52" s="69" t="s">
        <v>985</v>
      </c>
      <c r="F52" s="78" t="s">
        <v>549</v>
      </c>
    </row>
    <row r="53" spans="1:6" ht="16">
      <c r="A53" s="75" t="s">
        <v>770</v>
      </c>
      <c r="B53" s="68" t="s">
        <v>201</v>
      </c>
      <c r="C53" s="68" t="s">
        <v>771</v>
      </c>
      <c r="D53" s="70" t="s">
        <v>947</v>
      </c>
      <c r="E53" s="69" t="s">
        <v>986</v>
      </c>
      <c r="F53" s="78" t="s">
        <v>549</v>
      </c>
    </row>
    <row r="54" spans="1:6" ht="16">
      <c r="A54" s="75" t="s">
        <v>811</v>
      </c>
      <c r="B54" s="68" t="s">
        <v>810</v>
      </c>
      <c r="C54" s="68" t="s">
        <v>987</v>
      </c>
      <c r="D54" s="70" t="s">
        <v>947</v>
      </c>
      <c r="E54" s="69" t="s">
        <v>988</v>
      </c>
      <c r="F54" s="78" t="s">
        <v>549</v>
      </c>
    </row>
    <row r="55" spans="1:6" ht="16">
      <c r="A55" s="76" t="s">
        <v>812</v>
      </c>
      <c r="B55" s="72" t="s">
        <v>810</v>
      </c>
      <c r="C55" s="72" t="s">
        <v>989</v>
      </c>
      <c r="D55" s="74" t="s">
        <v>947</v>
      </c>
      <c r="E55" s="73" t="s">
        <v>990</v>
      </c>
      <c r="F55" s="79" t="s">
        <v>549</v>
      </c>
    </row>
  </sheetData>
  <autoFilter ref="A5:F55" xr:uid="{8B2CA42E-305E-3549-A119-1311DF775CFA}"/>
  <phoneticPr fontId="2"/>
  <conditionalFormatting sqref="A6:F55">
    <cfRule type="expression" dxfId="59" priority="1">
      <formula>$D6="スコープ増"</formula>
    </cfRule>
  </conditionalFormatting>
  <conditionalFormatting sqref="A6:F55">
    <cfRule type="expression" dxfId="58" priority="2">
      <formula>$D6="要件側の書き漏れ"</formula>
    </cfRule>
  </conditionalFormatting>
  <conditionalFormatting sqref="A6:F55">
    <cfRule type="expression" dxfId="57" priority="3">
      <formula>$D6="参照漏れ"</formula>
    </cfRule>
  </conditionalFormatting>
  <conditionalFormatting sqref="A6:F55">
    <cfRule type="expression" dxfId="56" priority="4">
      <formula>$D6="内部技術判断"</formula>
    </cfRule>
  </conditionalFormatting>
  <conditionalFormatting sqref="A6:F55">
    <cfRule type="expression" dxfId="55"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8" t="s">
        <v>2348</v>
      </c>
    </row>
    <row r="2" spans="1:9">
      <c r="A2" s="3" t="s">
        <v>2349</v>
      </c>
    </row>
    <row r="3" spans="1:9">
      <c r="A3" s="54" t="s">
        <v>2350</v>
      </c>
    </row>
    <row r="4" spans="1:9" ht="22" customHeight="1"/>
    <row r="5" spans="1:9" ht="22" customHeight="1">
      <c r="A5" s="9" t="s">
        <v>1031</v>
      </c>
      <c r="B5" s="10" t="s">
        <v>1032</v>
      </c>
      <c r="C5" s="10" t="s">
        <v>1033</v>
      </c>
      <c r="D5" s="10" t="s">
        <v>2351</v>
      </c>
      <c r="E5" s="11" t="s">
        <v>2352</v>
      </c>
      <c r="G5" s="158" t="s">
        <v>2519</v>
      </c>
    </row>
    <row r="6" spans="1:9">
      <c r="A6" s="50" t="s">
        <v>2353</v>
      </c>
      <c r="B6" s="6" t="s">
        <v>2354</v>
      </c>
      <c r="C6" s="12" t="s">
        <v>2355</v>
      </c>
      <c r="D6" s="182" t="s">
        <v>2520</v>
      </c>
      <c r="E6" s="180"/>
      <c r="G6" s="20" t="s">
        <v>1033</v>
      </c>
      <c r="H6" s="22" t="s">
        <v>648</v>
      </c>
    </row>
    <row r="7" spans="1:9">
      <c r="A7" s="50" t="s">
        <v>2356</v>
      </c>
      <c r="B7" s="6" t="s">
        <v>2357</v>
      </c>
      <c r="C7" s="12" t="s">
        <v>2355</v>
      </c>
      <c r="D7" s="182" t="s">
        <v>2520</v>
      </c>
      <c r="E7" s="180"/>
      <c r="G7" s="23" t="s">
        <v>2366</v>
      </c>
      <c r="H7" s="159">
        <f>COUNTIF($C$6:$C$72,$G7)</f>
        <v>50</v>
      </c>
    </row>
    <row r="8" spans="1:9">
      <c r="A8" s="50" t="s">
        <v>2358</v>
      </c>
      <c r="B8" s="6" t="s">
        <v>2359</v>
      </c>
      <c r="C8" s="12" t="s">
        <v>2355</v>
      </c>
      <c r="D8" s="182" t="s">
        <v>2520</v>
      </c>
      <c r="E8" s="180"/>
      <c r="G8" s="23" t="s">
        <v>2355</v>
      </c>
      <c r="H8" s="159">
        <f>COUNTIF($C$6:$C$72,$G8)</f>
        <v>12</v>
      </c>
    </row>
    <row r="9" spans="1:9">
      <c r="A9" s="50" t="s">
        <v>2360</v>
      </c>
      <c r="B9" s="6" t="s">
        <v>2361</v>
      </c>
      <c r="C9" s="12" t="s">
        <v>2355</v>
      </c>
      <c r="D9" s="182" t="s">
        <v>2520</v>
      </c>
      <c r="E9" s="180"/>
      <c r="G9" s="23" t="s">
        <v>2484</v>
      </c>
      <c r="H9" s="159">
        <f>COUNTIF($C$6:$C$72,$G9)</f>
        <v>1</v>
      </c>
    </row>
    <row r="10" spans="1:9">
      <c r="A10" s="50" t="s">
        <v>2362</v>
      </c>
      <c r="B10" s="6" t="s">
        <v>2363</v>
      </c>
      <c r="C10" s="12" t="s">
        <v>2355</v>
      </c>
      <c r="D10" s="182" t="s">
        <v>2520</v>
      </c>
      <c r="E10" s="180"/>
      <c r="G10" s="23" t="s">
        <v>2488</v>
      </c>
      <c r="H10" s="159">
        <f>COUNTIF($C$6:$C$72,$G10)</f>
        <v>1</v>
      </c>
    </row>
    <row r="11" spans="1:9">
      <c r="A11" s="50" t="s">
        <v>2364</v>
      </c>
      <c r="B11" s="6" t="s">
        <v>2365</v>
      </c>
      <c r="C11" s="12" t="s">
        <v>2366</v>
      </c>
      <c r="D11" s="182" t="s">
        <v>2520</v>
      </c>
      <c r="E11" s="180"/>
      <c r="G11" s="23" t="s">
        <v>2435</v>
      </c>
      <c r="H11" s="159">
        <f>COUNTIF($C$6:$C$72,$G11)</f>
        <v>2</v>
      </c>
    </row>
    <row r="12" spans="1:9">
      <c r="A12" s="50" t="s">
        <v>2367</v>
      </c>
      <c r="B12" s="6" t="s">
        <v>2368</v>
      </c>
      <c r="C12" s="12" t="s">
        <v>2355</v>
      </c>
      <c r="D12" s="182" t="s">
        <v>2521</v>
      </c>
      <c r="E12" s="180"/>
      <c r="G12" s="23" t="s">
        <v>2447</v>
      </c>
      <c r="H12" s="159">
        <f>COUNTIF($C$6:$C$72,$G12)</f>
        <v>1</v>
      </c>
    </row>
    <row r="13" spans="1:9">
      <c r="A13" s="50" t="s">
        <v>2369</v>
      </c>
      <c r="B13" s="6" t="s">
        <v>2370</v>
      </c>
      <c r="C13" s="12" t="s">
        <v>2355</v>
      </c>
      <c r="D13" s="182" t="s">
        <v>2522</v>
      </c>
      <c r="E13" s="180"/>
      <c r="G13" s="25" t="s">
        <v>4</v>
      </c>
      <c r="H13" s="160">
        <f>SUM(H7:H12)</f>
        <v>67</v>
      </c>
      <c r="I13" s="49" t="str">
        <f>IF(H13=COUNTA($A$6:$A$72),"✓ 明細行数と一致","⚠ 不一致")</f>
        <v>✓ 明細行数と一致</v>
      </c>
    </row>
    <row r="14" spans="1:9">
      <c r="A14" s="50" t="s">
        <v>2371</v>
      </c>
      <c r="B14" s="6" t="s">
        <v>2372</v>
      </c>
      <c r="C14" s="12" t="s">
        <v>2355</v>
      </c>
      <c r="D14" s="182" t="s">
        <v>2523</v>
      </c>
      <c r="E14" s="180"/>
    </row>
    <row r="15" spans="1:9">
      <c r="A15" s="50" t="s">
        <v>2373</v>
      </c>
      <c r="B15" s="6" t="s">
        <v>2374</v>
      </c>
      <c r="C15" s="12" t="s">
        <v>2355</v>
      </c>
      <c r="D15" s="182" t="s">
        <v>2524</v>
      </c>
      <c r="E15" s="180"/>
    </row>
    <row r="16" spans="1:9">
      <c r="A16" s="50" t="s">
        <v>2375</v>
      </c>
      <c r="B16" s="6" t="s">
        <v>2376</v>
      </c>
      <c r="C16" s="12" t="s">
        <v>2366</v>
      </c>
      <c r="D16" s="182" t="s">
        <v>2524</v>
      </c>
      <c r="E16" s="180" t="s">
        <v>2377</v>
      </c>
    </row>
    <row r="17" spans="1:5">
      <c r="A17" s="50" t="s">
        <v>2378</v>
      </c>
      <c r="B17" s="6" t="s">
        <v>2379</v>
      </c>
      <c r="C17" s="12" t="s">
        <v>2355</v>
      </c>
      <c r="D17" s="182" t="s">
        <v>2525</v>
      </c>
      <c r="E17" s="180"/>
    </row>
    <row r="18" spans="1:5">
      <c r="A18" s="50" t="s">
        <v>2380</v>
      </c>
      <c r="B18" s="6" t="s">
        <v>2381</v>
      </c>
      <c r="C18" s="12" t="s">
        <v>2366</v>
      </c>
      <c r="D18" s="182" t="s">
        <v>2526</v>
      </c>
      <c r="E18" s="180"/>
    </row>
    <row r="19" spans="1:5">
      <c r="A19" s="50" t="s">
        <v>2382</v>
      </c>
      <c r="B19" s="6" t="s">
        <v>2383</v>
      </c>
      <c r="C19" s="12" t="s">
        <v>2366</v>
      </c>
      <c r="D19" s="182" t="s">
        <v>2526</v>
      </c>
      <c r="E19" s="180"/>
    </row>
    <row r="20" spans="1:5">
      <c r="A20" s="50" t="s">
        <v>2384</v>
      </c>
      <c r="B20" s="6" t="s">
        <v>2385</v>
      </c>
      <c r="C20" s="12" t="s">
        <v>2366</v>
      </c>
      <c r="D20" s="182" t="s">
        <v>2526</v>
      </c>
      <c r="E20" s="180"/>
    </row>
    <row r="21" spans="1:5">
      <c r="A21" s="50" t="s">
        <v>2386</v>
      </c>
      <c r="B21" s="6" t="s">
        <v>2387</v>
      </c>
      <c r="C21" s="12" t="s">
        <v>2366</v>
      </c>
      <c r="D21" s="182" t="s">
        <v>2527</v>
      </c>
      <c r="E21" s="180" t="s">
        <v>2388</v>
      </c>
    </row>
    <row r="22" spans="1:5">
      <c r="A22" s="50" t="s">
        <v>2389</v>
      </c>
      <c r="B22" s="6" t="s">
        <v>2390</v>
      </c>
      <c r="C22" s="12" t="s">
        <v>2366</v>
      </c>
      <c r="D22" s="182" t="s">
        <v>2391</v>
      </c>
      <c r="E22" s="180" t="s">
        <v>2392</v>
      </c>
    </row>
    <row r="23" spans="1:5">
      <c r="A23" s="50" t="s">
        <v>2393</v>
      </c>
      <c r="B23" s="6" t="s">
        <v>2394</v>
      </c>
      <c r="C23" s="12" t="s">
        <v>2366</v>
      </c>
      <c r="D23" s="182" t="s">
        <v>2528</v>
      </c>
      <c r="E23" s="180"/>
    </row>
    <row r="24" spans="1:5">
      <c r="A24" s="50" t="s">
        <v>2395</v>
      </c>
      <c r="B24" s="6" t="s">
        <v>2396</v>
      </c>
      <c r="C24" s="12" t="s">
        <v>2366</v>
      </c>
      <c r="D24" s="182" t="s">
        <v>2528</v>
      </c>
      <c r="E24" s="180"/>
    </row>
    <row r="25" spans="1:5">
      <c r="A25" s="50" t="s">
        <v>2397</v>
      </c>
      <c r="B25" s="6" t="s">
        <v>2398</v>
      </c>
      <c r="C25" s="12" t="s">
        <v>2366</v>
      </c>
      <c r="D25" s="182" t="s">
        <v>2528</v>
      </c>
      <c r="E25" s="180"/>
    </row>
    <row r="26" spans="1:5">
      <c r="A26" s="50" t="s">
        <v>2399</v>
      </c>
      <c r="B26" s="6" t="s">
        <v>2400</v>
      </c>
      <c r="C26" s="12" t="s">
        <v>2366</v>
      </c>
      <c r="D26" s="182" t="s">
        <v>2528</v>
      </c>
      <c r="E26" s="180"/>
    </row>
    <row r="27" spans="1:5">
      <c r="A27" s="50" t="s">
        <v>2401</v>
      </c>
      <c r="B27" s="6" t="s">
        <v>2402</v>
      </c>
      <c r="C27" s="12" t="s">
        <v>2366</v>
      </c>
      <c r="D27" s="182" t="s">
        <v>2528</v>
      </c>
      <c r="E27" s="180"/>
    </row>
    <row r="28" spans="1:5">
      <c r="A28" s="50" t="s">
        <v>2403</v>
      </c>
      <c r="B28" s="6" t="s">
        <v>2404</v>
      </c>
      <c r="C28" s="12" t="s">
        <v>2366</v>
      </c>
      <c r="D28" s="182" t="s">
        <v>2529</v>
      </c>
      <c r="E28" s="180" t="s">
        <v>2405</v>
      </c>
    </row>
    <row r="29" spans="1:5">
      <c r="A29" s="50" t="s">
        <v>2406</v>
      </c>
      <c r="B29" s="6" t="s">
        <v>2407</v>
      </c>
      <c r="C29" s="12" t="s">
        <v>2366</v>
      </c>
      <c r="D29" s="182" t="s">
        <v>2529</v>
      </c>
      <c r="E29" s="180"/>
    </row>
    <row r="30" spans="1:5">
      <c r="A30" s="50" t="s">
        <v>2408</v>
      </c>
      <c r="B30" s="6" t="s">
        <v>2409</v>
      </c>
      <c r="C30" s="12" t="s">
        <v>2366</v>
      </c>
      <c r="D30" s="182" t="s">
        <v>2529</v>
      </c>
      <c r="E30" s="180" t="s">
        <v>2410</v>
      </c>
    </row>
    <row r="31" spans="1:5">
      <c r="A31" s="50" t="s">
        <v>2411</v>
      </c>
      <c r="B31" s="6" t="s">
        <v>2412</v>
      </c>
      <c r="C31" s="12" t="s">
        <v>2366</v>
      </c>
      <c r="D31" s="182" t="s">
        <v>2529</v>
      </c>
      <c r="E31" s="180"/>
    </row>
    <row r="32" spans="1:5">
      <c r="A32" s="50" t="s">
        <v>2413</v>
      </c>
      <c r="B32" s="6" t="s">
        <v>2414</v>
      </c>
      <c r="C32" s="12" t="s">
        <v>2366</v>
      </c>
      <c r="D32" s="182" t="s">
        <v>2529</v>
      </c>
      <c r="E32" s="180"/>
    </row>
    <row r="33" spans="1:5">
      <c r="A33" s="50" t="s">
        <v>2415</v>
      </c>
      <c r="B33" s="6" t="s">
        <v>2416</v>
      </c>
      <c r="C33" s="12" t="s">
        <v>2366</v>
      </c>
      <c r="D33" s="182" t="s">
        <v>2529</v>
      </c>
      <c r="E33" s="180"/>
    </row>
    <row r="34" spans="1:5">
      <c r="A34" s="50" t="s">
        <v>2417</v>
      </c>
      <c r="B34" s="6" t="s">
        <v>2418</v>
      </c>
      <c r="C34" s="12" t="s">
        <v>2366</v>
      </c>
      <c r="D34" s="182" t="s">
        <v>2529</v>
      </c>
      <c r="E34" s="180"/>
    </row>
    <row r="35" spans="1:5">
      <c r="A35" s="50" t="s">
        <v>2419</v>
      </c>
      <c r="B35" s="6" t="s">
        <v>2420</v>
      </c>
      <c r="C35" s="12" t="s">
        <v>2366</v>
      </c>
      <c r="D35" s="182" t="s">
        <v>2529</v>
      </c>
      <c r="E35" s="180"/>
    </row>
    <row r="36" spans="1:5">
      <c r="A36" s="50" t="s">
        <v>2421</v>
      </c>
      <c r="B36" s="6" t="s">
        <v>2422</v>
      </c>
      <c r="C36" s="12" t="s">
        <v>2366</v>
      </c>
      <c r="D36" s="182" t="s">
        <v>2529</v>
      </c>
      <c r="E36" s="180"/>
    </row>
    <row r="37" spans="1:5">
      <c r="A37" s="50" t="s">
        <v>2423</v>
      </c>
      <c r="B37" s="6" t="s">
        <v>2424</v>
      </c>
      <c r="C37" s="12" t="s">
        <v>2366</v>
      </c>
      <c r="D37" s="182" t="s">
        <v>2528</v>
      </c>
      <c r="E37" s="180"/>
    </row>
    <row r="38" spans="1:5">
      <c r="A38" s="50" t="s">
        <v>2425</v>
      </c>
      <c r="B38" s="6" t="s">
        <v>2426</v>
      </c>
      <c r="C38" s="12" t="s">
        <v>2366</v>
      </c>
      <c r="D38" s="182" t="s">
        <v>2427</v>
      </c>
      <c r="E38" s="180" t="s">
        <v>2428</v>
      </c>
    </row>
    <row r="39" spans="1:5">
      <c r="A39" s="50" t="s">
        <v>2429</v>
      </c>
      <c r="B39" s="6" t="s">
        <v>2430</v>
      </c>
      <c r="C39" s="12" t="s">
        <v>2366</v>
      </c>
      <c r="D39" s="182" t="s">
        <v>2530</v>
      </c>
      <c r="E39" s="180"/>
    </row>
    <row r="40" spans="1:5">
      <c r="A40" s="50" t="s">
        <v>2431</v>
      </c>
      <c r="B40" s="6" t="s">
        <v>2432</v>
      </c>
      <c r="C40" s="12" t="s">
        <v>2366</v>
      </c>
      <c r="D40" s="182" t="s">
        <v>2530</v>
      </c>
      <c r="E40" s="180"/>
    </row>
    <row r="41" spans="1:5">
      <c r="A41" s="50" t="s">
        <v>2433</v>
      </c>
      <c r="B41" s="6" t="s">
        <v>2434</v>
      </c>
      <c r="C41" s="12" t="s">
        <v>2435</v>
      </c>
      <c r="D41" s="182" t="s">
        <v>2530</v>
      </c>
      <c r="E41" s="180" t="s">
        <v>2436</v>
      </c>
    </row>
    <row r="42" spans="1:5">
      <c r="A42" s="50" t="s">
        <v>2437</v>
      </c>
      <c r="B42" s="6" t="s">
        <v>2438</v>
      </c>
      <c r="C42" s="12" t="s">
        <v>2366</v>
      </c>
      <c r="D42" s="182" t="s">
        <v>2530</v>
      </c>
      <c r="E42" s="180"/>
    </row>
    <row r="43" spans="1:5">
      <c r="A43" s="50" t="s">
        <v>2439</v>
      </c>
      <c r="B43" s="6" t="s">
        <v>2440</v>
      </c>
      <c r="C43" s="12" t="s">
        <v>2366</v>
      </c>
      <c r="D43" s="182" t="s">
        <v>2530</v>
      </c>
      <c r="E43" s="180"/>
    </row>
    <row r="44" spans="1:5">
      <c r="A44" s="50" t="s">
        <v>2441</v>
      </c>
      <c r="B44" s="6" t="s">
        <v>2442</v>
      </c>
      <c r="C44" s="12" t="s">
        <v>2366</v>
      </c>
      <c r="D44" s="182" t="s">
        <v>2443</v>
      </c>
      <c r="E44" s="180" t="s">
        <v>2444</v>
      </c>
    </row>
    <row r="45" spans="1:5">
      <c r="A45" s="50" t="s">
        <v>2445</v>
      </c>
      <c r="B45" s="6" t="s">
        <v>2446</v>
      </c>
      <c r="C45" s="12" t="s">
        <v>2447</v>
      </c>
      <c r="D45" s="182" t="s">
        <v>2531</v>
      </c>
      <c r="E45" s="180" t="s">
        <v>2448</v>
      </c>
    </row>
    <row r="46" spans="1:5">
      <c r="A46" s="50" t="s">
        <v>2449</v>
      </c>
      <c r="B46" s="6" t="s">
        <v>2450</v>
      </c>
      <c r="C46" s="12" t="s">
        <v>2366</v>
      </c>
      <c r="D46" s="182" t="s">
        <v>2443</v>
      </c>
      <c r="E46" s="180" t="s">
        <v>2451</v>
      </c>
    </row>
    <row r="47" spans="1:5">
      <c r="A47" s="50" t="s">
        <v>2452</v>
      </c>
      <c r="B47" s="6" t="s">
        <v>2453</v>
      </c>
      <c r="C47" s="12" t="s">
        <v>2366</v>
      </c>
      <c r="D47" s="182" t="s">
        <v>2531</v>
      </c>
      <c r="E47" s="180"/>
    </row>
    <row r="48" spans="1:5">
      <c r="A48" s="50" t="s">
        <v>2454</v>
      </c>
      <c r="B48" s="6" t="s">
        <v>2455</v>
      </c>
      <c r="C48" s="12" t="s">
        <v>2366</v>
      </c>
      <c r="D48" s="182" t="s">
        <v>2531</v>
      </c>
      <c r="E48" s="180" t="s">
        <v>2456</v>
      </c>
    </row>
    <row r="49" spans="1:5">
      <c r="A49" s="50" t="s">
        <v>2457</v>
      </c>
      <c r="B49" s="6" t="s">
        <v>2458</v>
      </c>
      <c r="C49" s="12" t="s">
        <v>2366</v>
      </c>
      <c r="D49" s="182" t="s">
        <v>2531</v>
      </c>
      <c r="E49" s="180"/>
    </row>
    <row r="50" spans="1:5">
      <c r="A50" s="50" t="s">
        <v>2459</v>
      </c>
      <c r="B50" s="6" t="s">
        <v>2460</v>
      </c>
      <c r="C50" s="12" t="s">
        <v>2366</v>
      </c>
      <c r="D50" s="182" t="s">
        <v>2531</v>
      </c>
      <c r="E50" s="180"/>
    </row>
    <row r="51" spans="1:5">
      <c r="A51" s="50" t="s">
        <v>2461</v>
      </c>
      <c r="B51" s="6" t="s">
        <v>2462</v>
      </c>
      <c r="C51" s="12" t="s">
        <v>2366</v>
      </c>
      <c r="D51" s="182" t="s">
        <v>2531</v>
      </c>
      <c r="E51" s="180"/>
    </row>
    <row r="52" spans="1:5">
      <c r="A52" s="50" t="s">
        <v>2463</v>
      </c>
      <c r="B52" s="6" t="s">
        <v>2464</v>
      </c>
      <c r="C52" s="12" t="s">
        <v>2366</v>
      </c>
      <c r="D52" s="182" t="s">
        <v>2531</v>
      </c>
      <c r="E52" s="180"/>
    </row>
    <row r="53" spans="1:5">
      <c r="A53" s="50" t="s">
        <v>2465</v>
      </c>
      <c r="B53" s="6" t="s">
        <v>2466</v>
      </c>
      <c r="C53" s="12" t="s">
        <v>2366</v>
      </c>
      <c r="D53" s="182" t="s">
        <v>2531</v>
      </c>
      <c r="E53" s="180"/>
    </row>
    <row r="54" spans="1:5">
      <c r="A54" s="50" t="s">
        <v>2467</v>
      </c>
      <c r="B54" s="6" t="s">
        <v>2468</v>
      </c>
      <c r="C54" s="12" t="s">
        <v>2366</v>
      </c>
      <c r="D54" s="182" t="s">
        <v>2531</v>
      </c>
      <c r="E54" s="180"/>
    </row>
    <row r="55" spans="1:5">
      <c r="A55" s="50" t="s">
        <v>2469</v>
      </c>
      <c r="B55" s="6" t="s">
        <v>2470</v>
      </c>
      <c r="C55" s="12" t="s">
        <v>2366</v>
      </c>
      <c r="D55" s="182" t="s">
        <v>2531</v>
      </c>
      <c r="E55" s="180"/>
    </row>
    <row r="56" spans="1:5">
      <c r="A56" s="50" t="s">
        <v>2471</v>
      </c>
      <c r="B56" s="6" t="s">
        <v>2472</v>
      </c>
      <c r="C56" s="12" t="s">
        <v>2366</v>
      </c>
      <c r="D56" s="182" t="s">
        <v>2443</v>
      </c>
      <c r="E56" s="180" t="s">
        <v>2473</v>
      </c>
    </row>
    <row r="57" spans="1:5">
      <c r="A57" s="50" t="s">
        <v>2474</v>
      </c>
      <c r="B57" s="6" t="s">
        <v>2475</v>
      </c>
      <c r="C57" s="12" t="s">
        <v>2435</v>
      </c>
      <c r="D57" s="182" t="s">
        <v>2531</v>
      </c>
      <c r="E57" s="180" t="s">
        <v>2476</v>
      </c>
    </row>
    <row r="58" spans="1:5">
      <c r="A58" s="50" t="s">
        <v>2477</v>
      </c>
      <c r="B58" s="6" t="s">
        <v>2478</v>
      </c>
      <c r="C58" s="12" t="s">
        <v>2366</v>
      </c>
      <c r="D58" s="182" t="s">
        <v>2531</v>
      </c>
      <c r="E58" s="180"/>
    </row>
    <row r="59" spans="1:5">
      <c r="A59" s="50" t="s">
        <v>2479</v>
      </c>
      <c r="B59" s="6" t="s">
        <v>2480</v>
      </c>
      <c r="C59" s="12" t="s">
        <v>2366</v>
      </c>
      <c r="D59" s="182" t="s">
        <v>2532</v>
      </c>
      <c r="E59" s="180" t="s">
        <v>2481</v>
      </c>
    </row>
    <row r="60" spans="1:5">
      <c r="A60" s="50" t="s">
        <v>2482</v>
      </c>
      <c r="B60" s="6" t="s">
        <v>2483</v>
      </c>
      <c r="C60" s="12" t="s">
        <v>2484</v>
      </c>
      <c r="D60" s="182" t="s">
        <v>2533</v>
      </c>
      <c r="E60" s="180" t="s">
        <v>2485</v>
      </c>
    </row>
    <row r="61" spans="1:5">
      <c r="A61" s="50" t="s">
        <v>2486</v>
      </c>
      <c r="B61" s="6" t="s">
        <v>2487</v>
      </c>
      <c r="C61" s="12" t="s">
        <v>2488</v>
      </c>
      <c r="D61" s="182" t="s">
        <v>2489</v>
      </c>
      <c r="E61" s="180" t="s">
        <v>2490</v>
      </c>
    </row>
    <row r="62" spans="1:5">
      <c r="A62" s="50" t="s">
        <v>2491</v>
      </c>
      <c r="B62" s="6" t="s">
        <v>2492</v>
      </c>
      <c r="C62" s="12" t="s">
        <v>2366</v>
      </c>
      <c r="D62" s="182" t="s">
        <v>2534</v>
      </c>
      <c r="E62" s="180" t="s">
        <v>2493</v>
      </c>
    </row>
    <row r="63" spans="1:5">
      <c r="A63" s="50" t="s">
        <v>2494</v>
      </c>
      <c r="B63" s="6" t="s">
        <v>2495</v>
      </c>
      <c r="C63" s="12" t="s">
        <v>2355</v>
      </c>
      <c r="D63" s="182" t="s">
        <v>2535</v>
      </c>
      <c r="E63" s="180" t="s">
        <v>2496</v>
      </c>
    </row>
    <row r="64" spans="1:5">
      <c r="A64" s="50" t="s">
        <v>2497</v>
      </c>
      <c r="B64" s="6" t="s">
        <v>2498</v>
      </c>
      <c r="C64" s="12" t="s">
        <v>2366</v>
      </c>
      <c r="D64" s="182" t="s">
        <v>2534</v>
      </c>
      <c r="E64" s="180" t="s">
        <v>2499</v>
      </c>
    </row>
    <row r="65" spans="1:5">
      <c r="A65" s="50" t="s">
        <v>2500</v>
      </c>
      <c r="B65" s="6" t="s">
        <v>2501</v>
      </c>
      <c r="C65" s="12" t="s">
        <v>2366</v>
      </c>
      <c r="D65" s="182" t="s">
        <v>2536</v>
      </c>
      <c r="E65" s="180" t="s">
        <v>2502</v>
      </c>
    </row>
    <row r="66" spans="1:5">
      <c r="A66" s="50" t="s">
        <v>2503</v>
      </c>
      <c r="B66" s="6" t="s">
        <v>2504</v>
      </c>
      <c r="C66" s="12" t="s">
        <v>2355</v>
      </c>
      <c r="D66" s="182" t="s">
        <v>2505</v>
      </c>
      <c r="E66" s="180" t="s">
        <v>2506</v>
      </c>
    </row>
    <row r="67" spans="1:5">
      <c r="A67" s="50" t="s">
        <v>2507</v>
      </c>
      <c r="B67" s="6" t="s">
        <v>2508</v>
      </c>
      <c r="C67" s="12" t="s">
        <v>2366</v>
      </c>
      <c r="D67" s="182" t="s">
        <v>2509</v>
      </c>
      <c r="E67" s="180" t="s">
        <v>2510</v>
      </c>
    </row>
    <row r="68" spans="1:5">
      <c r="A68" s="50" t="s">
        <v>2511</v>
      </c>
      <c r="B68" s="6" t="s">
        <v>2512</v>
      </c>
      <c r="C68" s="12" t="s">
        <v>2366</v>
      </c>
      <c r="D68" s="182" t="s">
        <v>2537</v>
      </c>
      <c r="E68" s="180" t="s">
        <v>2513</v>
      </c>
    </row>
    <row r="69" spans="1:5">
      <c r="A69" s="50" t="s">
        <v>2277</v>
      </c>
      <c r="B69" s="6" t="s">
        <v>2514</v>
      </c>
      <c r="C69" s="12" t="s">
        <v>2366</v>
      </c>
      <c r="D69" s="182" t="s">
        <v>2538</v>
      </c>
      <c r="E69" s="180" t="s">
        <v>2515</v>
      </c>
    </row>
    <row r="70" spans="1:5">
      <c r="A70" s="50" t="s">
        <v>1034</v>
      </c>
      <c r="B70" s="6" t="s">
        <v>1063</v>
      </c>
      <c r="C70" s="12" t="s">
        <v>2366</v>
      </c>
      <c r="D70" s="182" t="s">
        <v>2539</v>
      </c>
      <c r="E70" s="180" t="s">
        <v>2516</v>
      </c>
    </row>
    <row r="71" spans="1:5">
      <c r="A71" s="50" t="s">
        <v>1035</v>
      </c>
      <c r="B71" s="6" t="s">
        <v>1036</v>
      </c>
      <c r="C71" s="12" t="s">
        <v>2366</v>
      </c>
      <c r="D71" s="182" t="s">
        <v>2539</v>
      </c>
      <c r="E71" s="180" t="s">
        <v>2517</v>
      </c>
    </row>
    <row r="72" spans="1:5">
      <c r="A72" s="51" t="s">
        <v>1037</v>
      </c>
      <c r="B72" s="8" t="s">
        <v>1038</v>
      </c>
      <c r="C72" s="13" t="s">
        <v>2366</v>
      </c>
      <c r="D72" s="183" t="s">
        <v>2539</v>
      </c>
      <c r="E72" s="181" t="s">
        <v>2518</v>
      </c>
    </row>
  </sheetData>
  <autoFilter ref="A5:E72" xr:uid="{A4DEADF9-EFAE-A14D-BC4F-3F04ADDCB1E4}"/>
  <phoneticPr fontId="2"/>
  <conditionalFormatting sqref="A6:E72">
    <cfRule type="expression" dxfId="54" priority="1">
      <formula>$C6="Accepted"</formula>
    </cfRule>
  </conditionalFormatting>
  <conditionalFormatting sqref="A6:E72">
    <cfRule type="expression" dxfId="53" priority="2">
      <formula>$C6="Accepted (Phase 1)"</formula>
    </cfRule>
  </conditionalFormatting>
  <conditionalFormatting sqref="A6:E72">
    <cfRule type="expression" dxfId="52" priority="3">
      <formula>$C6="Accepted（条件付き）"</formula>
    </cfRule>
  </conditionalFormatting>
  <conditionalFormatting sqref="A6:E72">
    <cfRule type="expression" dxfId="51" priority="4">
      <formula>$C6="Scope Reduced"</formula>
    </cfRule>
  </conditionalFormatting>
  <conditionalFormatting sqref="A6:E72">
    <cfRule type="expression" dxfId="50" priority="5">
      <formula>$C6="Out of Scope"</formula>
    </cfRule>
  </conditionalFormatting>
  <conditionalFormatting sqref="A6:E72">
    <cfRule type="expression" dxfId="49"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P91"/>
  <sheetViews>
    <sheetView zoomScale="138" workbookViewId="0">
      <pane ySplit="5" topLeftCell="A28" activePane="bottomLeft" state="frozen"/>
      <selection pane="bottomLeft" activeCell="D14" sqref="D14"/>
    </sheetView>
  </sheetViews>
  <sheetFormatPr baseColWidth="10" defaultRowHeight="20"/>
  <cols>
    <col min="1" max="1" width="30" customWidth="1"/>
    <col min="2" max="2" width="15" customWidth="1"/>
    <col min="3" max="3" width="57.140625" customWidth="1"/>
    <col min="4" max="4" width="15.7109375" customWidth="1"/>
    <col min="5" max="5" width="10" customWidth="1"/>
    <col min="6" max="6" width="35.7109375" customWidth="1"/>
    <col min="7" max="7" width="80" customWidth="1"/>
    <col min="8" max="8" width="21.42578125" customWidth="1"/>
    <col min="9" max="9" width="35.7109375" customWidth="1"/>
    <col min="11" max="11" width="30" customWidth="1"/>
    <col min="12" max="12" width="12.140625" customWidth="1"/>
    <col min="13" max="14" width="17.140625" customWidth="1"/>
    <col min="15" max="15" width="10" customWidth="1"/>
    <col min="16" max="16" width="24.28515625" customWidth="1"/>
  </cols>
  <sheetData>
    <row r="1" spans="1:16" ht="25">
      <c r="A1" s="48" t="s">
        <v>2546</v>
      </c>
    </row>
    <row r="2" spans="1:16">
      <c r="A2" s="3" t="s">
        <v>2547</v>
      </c>
    </row>
    <row r="3" spans="1:16">
      <c r="A3" s="55" t="s">
        <v>2548</v>
      </c>
    </row>
    <row r="4" spans="1:16">
      <c r="K4" s="173" t="s">
        <v>2563</v>
      </c>
    </row>
    <row r="5" spans="1:16" ht="24" customHeight="1">
      <c r="A5" s="184" t="s">
        <v>2549</v>
      </c>
      <c r="B5" s="185" t="s">
        <v>6</v>
      </c>
      <c r="C5" s="185" t="s">
        <v>2550</v>
      </c>
      <c r="D5" s="185" t="s">
        <v>1116</v>
      </c>
      <c r="E5" s="185" t="s">
        <v>2323</v>
      </c>
      <c r="F5" s="185" t="s">
        <v>2551</v>
      </c>
      <c r="G5" s="185" t="s">
        <v>2552</v>
      </c>
      <c r="H5" s="185" t="s">
        <v>2553</v>
      </c>
      <c r="I5" s="186" t="s">
        <v>9</v>
      </c>
      <c r="K5" s="192" t="s">
        <v>2549</v>
      </c>
      <c r="L5" s="193" t="s">
        <v>2564</v>
      </c>
      <c r="M5" s="193" t="s">
        <v>2565</v>
      </c>
      <c r="N5" s="193" t="s">
        <v>2566</v>
      </c>
      <c r="O5" s="194" t="s">
        <v>2567</v>
      </c>
      <c r="P5" s="1"/>
    </row>
    <row r="6" spans="1:16">
      <c r="A6" s="5" t="s">
        <v>216</v>
      </c>
      <c r="B6" s="187" t="s">
        <v>217</v>
      </c>
      <c r="C6" s="6" t="s">
        <v>421</v>
      </c>
      <c r="D6" s="12" t="s">
        <v>2554</v>
      </c>
      <c r="E6" s="167">
        <v>25</v>
      </c>
      <c r="F6" s="6" t="s">
        <v>2775</v>
      </c>
      <c r="G6" s="189" t="s">
        <v>218</v>
      </c>
      <c r="H6" s="12" t="s">
        <v>3</v>
      </c>
      <c r="I6" s="14" t="s">
        <v>219</v>
      </c>
      <c r="K6" s="23" t="s">
        <v>216</v>
      </c>
      <c r="L6" s="31">
        <f>COUNTIF($A$6:$A$91,$K6)</f>
        <v>12</v>
      </c>
      <c r="M6" s="31">
        <f>SUMIF($A$6:$A$91,$K6,$E$6:$E$91)</f>
        <v>87</v>
      </c>
      <c r="N6" s="31">
        <v>87</v>
      </c>
      <c r="O6" s="159">
        <f>M6-N6</f>
        <v>0</v>
      </c>
      <c r="P6" s="1"/>
    </row>
    <row r="7" spans="1:16">
      <c r="A7" s="5" t="s">
        <v>216</v>
      </c>
      <c r="B7" s="187" t="s">
        <v>220</v>
      </c>
      <c r="C7" s="6" t="s">
        <v>422</v>
      </c>
      <c r="D7" s="12" t="s">
        <v>2554</v>
      </c>
      <c r="E7" s="167">
        <v>10</v>
      </c>
      <c r="F7" s="6" t="s">
        <v>2766</v>
      </c>
      <c r="G7" s="189" t="s">
        <v>221</v>
      </c>
      <c r="H7" s="12" t="s">
        <v>3</v>
      </c>
      <c r="I7" s="14" t="s">
        <v>222</v>
      </c>
      <c r="K7" s="23" t="s">
        <v>254</v>
      </c>
      <c r="L7" s="31">
        <f>COUNTIF($A$6:$A$91,$K7)</f>
        <v>5</v>
      </c>
      <c r="M7" s="31">
        <f>SUMIF($A$6:$A$91,$K7,$E$6:$E$91)</f>
        <v>24</v>
      </c>
      <c r="N7" s="31">
        <v>22</v>
      </c>
      <c r="O7" s="159">
        <f>M7-N7</f>
        <v>2</v>
      </c>
      <c r="P7" s="1"/>
    </row>
    <row r="8" spans="1:16">
      <c r="A8" s="5" t="s">
        <v>216</v>
      </c>
      <c r="B8" s="187" t="s">
        <v>223</v>
      </c>
      <c r="C8" s="6" t="s">
        <v>423</v>
      </c>
      <c r="D8" s="12" t="s">
        <v>2554</v>
      </c>
      <c r="E8" s="167">
        <v>20</v>
      </c>
      <c r="F8" s="6" t="s">
        <v>224</v>
      </c>
      <c r="G8" s="189" t="s">
        <v>225</v>
      </c>
      <c r="H8" s="12" t="s">
        <v>3</v>
      </c>
      <c r="I8" s="14" t="s">
        <v>219</v>
      </c>
      <c r="K8" s="23" t="s">
        <v>271</v>
      </c>
      <c r="L8" s="31">
        <f>COUNTIF($A$6:$A$91,$K8)</f>
        <v>8</v>
      </c>
      <c r="M8" s="31">
        <f>SUMIF($A$6:$A$91,$K8,$E$6:$E$91)</f>
        <v>17</v>
      </c>
      <c r="N8" s="31">
        <v>17</v>
      </c>
      <c r="O8" s="159">
        <f>M8-N8</f>
        <v>0</v>
      </c>
      <c r="P8" s="1"/>
    </row>
    <row r="9" spans="1:16">
      <c r="A9" s="5" t="s">
        <v>216</v>
      </c>
      <c r="B9" s="187" t="s">
        <v>226</v>
      </c>
      <c r="C9" s="6" t="s">
        <v>424</v>
      </c>
      <c r="D9" s="12" t="s">
        <v>1808</v>
      </c>
      <c r="E9" s="167">
        <v>0</v>
      </c>
      <c r="F9" s="6" t="s">
        <v>227</v>
      </c>
      <c r="G9" s="189" t="s">
        <v>228</v>
      </c>
      <c r="H9" s="12" t="s">
        <v>560</v>
      </c>
      <c r="I9" s="14" t="s">
        <v>219</v>
      </c>
      <c r="K9" s="23" t="s">
        <v>297</v>
      </c>
      <c r="L9" s="31">
        <f>COUNTIF($A$6:$A$91,$K9)</f>
        <v>18</v>
      </c>
      <c r="M9" s="31">
        <f>SUMIF($A$6:$A$91,$K9,$E$6:$E$91)</f>
        <v>53</v>
      </c>
      <c r="N9" s="31">
        <v>50</v>
      </c>
      <c r="O9" s="159">
        <f>M9-N9</f>
        <v>3</v>
      </c>
      <c r="P9" s="1"/>
    </row>
    <row r="10" spans="1:16">
      <c r="A10" s="5" t="s">
        <v>216</v>
      </c>
      <c r="B10" s="187" t="s">
        <v>229</v>
      </c>
      <c r="C10" s="6" t="s">
        <v>425</v>
      </c>
      <c r="D10" s="12" t="s">
        <v>2554</v>
      </c>
      <c r="E10" s="167">
        <v>4</v>
      </c>
      <c r="F10" s="6" t="s">
        <v>230</v>
      </c>
      <c r="G10" s="189" t="s">
        <v>231</v>
      </c>
      <c r="H10" s="12" t="s">
        <v>3</v>
      </c>
      <c r="I10" s="14" t="s">
        <v>219</v>
      </c>
      <c r="K10" s="23" t="s">
        <v>351</v>
      </c>
      <c r="L10" s="31">
        <f>COUNTIF($A$6:$A$91,$K10)</f>
        <v>8</v>
      </c>
      <c r="M10" s="31">
        <f>SUMIF($A$6:$A$91,$K10,$E$6:$E$91)</f>
        <v>33</v>
      </c>
      <c r="N10" s="31">
        <v>33</v>
      </c>
      <c r="O10" s="159">
        <f>M10-N10</f>
        <v>0</v>
      </c>
      <c r="P10" s="1"/>
    </row>
    <row r="11" spans="1:16">
      <c r="A11" s="5" t="s">
        <v>216</v>
      </c>
      <c r="B11" s="187" t="s">
        <v>232</v>
      </c>
      <c r="C11" s="6" t="s">
        <v>426</v>
      </c>
      <c r="D11" s="12" t="s">
        <v>2554</v>
      </c>
      <c r="E11" s="167">
        <v>8</v>
      </c>
      <c r="F11" s="6" t="s">
        <v>233</v>
      </c>
      <c r="G11" s="189" t="s">
        <v>234</v>
      </c>
      <c r="H11" s="12" t="s">
        <v>3</v>
      </c>
      <c r="I11" s="14" t="s">
        <v>219</v>
      </c>
      <c r="K11" s="23" t="s">
        <v>378</v>
      </c>
      <c r="L11" s="31">
        <f>COUNTIF($A$6:$A$91,$K11)</f>
        <v>4</v>
      </c>
      <c r="M11" s="31">
        <f>SUMIF($A$6:$A$91,$K11,$E$6:$E$91)</f>
        <v>14</v>
      </c>
      <c r="N11" s="31">
        <v>13</v>
      </c>
      <c r="O11" s="159">
        <f>M11-N11</f>
        <v>1</v>
      </c>
      <c r="P11" s="1"/>
    </row>
    <row r="12" spans="1:16">
      <c r="A12" s="5" t="s">
        <v>216</v>
      </c>
      <c r="B12" s="187" t="s">
        <v>235</v>
      </c>
      <c r="C12" s="6" t="s">
        <v>427</v>
      </c>
      <c r="D12" s="12" t="s">
        <v>2554</v>
      </c>
      <c r="E12" s="167">
        <v>3</v>
      </c>
      <c r="F12" s="6" t="s">
        <v>236</v>
      </c>
      <c r="G12" s="189" t="s">
        <v>237</v>
      </c>
      <c r="H12" s="12" t="s">
        <v>3</v>
      </c>
      <c r="I12" s="14" t="s">
        <v>219</v>
      </c>
      <c r="K12" s="23" t="s">
        <v>394</v>
      </c>
      <c r="L12" s="31">
        <f>COUNTIF($A$6:$A$91,$K12)</f>
        <v>4</v>
      </c>
      <c r="M12" s="31">
        <f>SUMIF($A$6:$A$91,$K12,$E$6:$E$91)</f>
        <v>42</v>
      </c>
      <c r="N12" s="31">
        <v>22</v>
      </c>
      <c r="O12" s="159">
        <f>M12-N12</f>
        <v>20</v>
      </c>
      <c r="P12" s="1"/>
    </row>
    <row r="13" spans="1:16">
      <c r="A13" s="5" t="s">
        <v>216</v>
      </c>
      <c r="B13" s="187" t="s">
        <v>238</v>
      </c>
      <c r="C13" s="6" t="s">
        <v>428</v>
      </c>
      <c r="D13" s="12" t="s">
        <v>2554</v>
      </c>
      <c r="E13" s="167">
        <v>2</v>
      </c>
      <c r="F13" s="6" t="s">
        <v>239</v>
      </c>
      <c r="G13" s="189" t="s">
        <v>240</v>
      </c>
      <c r="H13" s="12" t="s">
        <v>3</v>
      </c>
      <c r="I13" s="14" t="s">
        <v>219</v>
      </c>
      <c r="K13" s="174" t="s">
        <v>2568</v>
      </c>
      <c r="L13" s="161">
        <f>SUM(L6:L12)</f>
        <v>59</v>
      </c>
      <c r="M13" s="161">
        <f>SUM(M6:M12)</f>
        <v>270</v>
      </c>
      <c r="N13" s="161">
        <f>SUM(N6:N12)</f>
        <v>244</v>
      </c>
      <c r="O13" s="191">
        <f>SUM(O6:O12)</f>
        <v>26</v>
      </c>
      <c r="P13" s="1"/>
    </row>
    <row r="14" spans="1:16">
      <c r="A14" s="5" t="s">
        <v>216</v>
      </c>
      <c r="B14" s="187" t="s">
        <v>241</v>
      </c>
      <c r="C14" s="6" t="s">
        <v>429</v>
      </c>
      <c r="D14" s="12" t="s">
        <v>2554</v>
      </c>
      <c r="E14" s="167">
        <v>2</v>
      </c>
      <c r="F14" s="6" t="s">
        <v>242</v>
      </c>
      <c r="G14" s="189" t="s">
        <v>243</v>
      </c>
      <c r="H14" s="12" t="s">
        <v>3</v>
      </c>
      <c r="I14" s="14" t="s">
        <v>219</v>
      </c>
      <c r="K14" s="174" t="s">
        <v>2558</v>
      </c>
      <c r="L14" s="161">
        <f>COUNTIF($A$6:$A$91,"（検証ゲート）")</f>
        <v>11</v>
      </c>
      <c r="M14" s="161">
        <v>0</v>
      </c>
      <c r="N14" s="161">
        <v>0</v>
      </c>
      <c r="O14" s="191">
        <v>0</v>
      </c>
      <c r="P14" s="1"/>
    </row>
    <row r="15" spans="1:16">
      <c r="A15" s="5" t="s">
        <v>216</v>
      </c>
      <c r="B15" s="187" t="s">
        <v>244</v>
      </c>
      <c r="C15" s="6" t="s">
        <v>430</v>
      </c>
      <c r="D15" s="12" t="s">
        <v>2554</v>
      </c>
      <c r="E15" s="167">
        <v>5</v>
      </c>
      <c r="F15" s="6" t="s">
        <v>245</v>
      </c>
      <c r="G15" s="189" t="s">
        <v>246</v>
      </c>
      <c r="H15" s="12" t="s">
        <v>3</v>
      </c>
      <c r="I15" s="14" t="s">
        <v>219</v>
      </c>
      <c r="K15" s="174" t="s">
        <v>2561</v>
      </c>
      <c r="L15" s="161">
        <f>COUNTIF($A$6:$A$91,"（顧客確認）")</f>
        <v>16</v>
      </c>
      <c r="M15" s="161">
        <v>0</v>
      </c>
      <c r="N15" s="161">
        <v>0</v>
      </c>
      <c r="O15" s="191">
        <v>0</v>
      </c>
      <c r="P15" s="1"/>
    </row>
    <row r="16" spans="1:16">
      <c r="A16" s="5" t="s">
        <v>216</v>
      </c>
      <c r="B16" s="187" t="s">
        <v>247</v>
      </c>
      <c r="C16" s="6" t="s">
        <v>431</v>
      </c>
      <c r="D16" s="12" t="s">
        <v>2554</v>
      </c>
      <c r="E16" s="167">
        <v>2</v>
      </c>
      <c r="F16" s="6" t="s">
        <v>248</v>
      </c>
      <c r="G16" s="189" t="s">
        <v>249</v>
      </c>
      <c r="H16" s="12" t="s">
        <v>3</v>
      </c>
      <c r="I16" s="14" t="s">
        <v>219</v>
      </c>
      <c r="K16" s="25" t="s">
        <v>4</v>
      </c>
      <c r="L16" s="32">
        <f>SUM(L13:L15)</f>
        <v>86</v>
      </c>
      <c r="M16" s="32">
        <f>SUM(M13:M15)</f>
        <v>270</v>
      </c>
      <c r="N16" s="32">
        <f>SUM(N13:N15)</f>
        <v>244</v>
      </c>
      <c r="O16" s="160">
        <f>SUM(O13:O15)</f>
        <v>26</v>
      </c>
      <c r="P16" s="16" t="str">
        <f>IF(L16=COUNTA($B$6:$B$91),"✓ 明細行数と一致","⚠ 不一致")</f>
        <v>✓ 明細行数と一致</v>
      </c>
    </row>
    <row r="17" spans="1:12">
      <c r="A17" s="5" t="s">
        <v>216</v>
      </c>
      <c r="B17" s="187" t="s">
        <v>250</v>
      </c>
      <c r="C17" s="6" t="s">
        <v>432</v>
      </c>
      <c r="D17" s="12" t="s">
        <v>2554</v>
      </c>
      <c r="E17" s="167">
        <v>6</v>
      </c>
      <c r="F17" s="6" t="s">
        <v>251</v>
      </c>
      <c r="G17" s="189" t="s">
        <v>252</v>
      </c>
      <c r="H17" s="12" t="s">
        <v>3</v>
      </c>
      <c r="I17" s="14" t="s">
        <v>253</v>
      </c>
    </row>
    <row r="18" spans="1:12">
      <c r="A18" s="5" t="s">
        <v>254</v>
      </c>
      <c r="B18" s="187" t="s">
        <v>255</v>
      </c>
      <c r="C18" s="6" t="s">
        <v>433</v>
      </c>
      <c r="D18" s="12" t="s">
        <v>1113</v>
      </c>
      <c r="E18" s="167">
        <v>12</v>
      </c>
      <c r="F18" s="6" t="s">
        <v>256</v>
      </c>
      <c r="G18" s="189" t="s">
        <v>257</v>
      </c>
      <c r="H18" s="12" t="s">
        <v>1113</v>
      </c>
      <c r="I18" s="14" t="s">
        <v>258</v>
      </c>
      <c r="K18" s="195" t="s">
        <v>2569</v>
      </c>
    </row>
    <row r="19" spans="1:12">
      <c r="A19" s="5" t="s">
        <v>254</v>
      </c>
      <c r="B19" s="187" t="s">
        <v>259</v>
      </c>
      <c r="C19" s="6" t="s">
        <v>434</v>
      </c>
      <c r="D19" s="12" t="s">
        <v>1113</v>
      </c>
      <c r="E19" s="167">
        <v>5</v>
      </c>
      <c r="F19" s="6" t="s">
        <v>260</v>
      </c>
      <c r="G19" s="189" t="s">
        <v>261</v>
      </c>
      <c r="H19" s="12" t="s">
        <v>1113</v>
      </c>
      <c r="I19" s="14" t="s">
        <v>258</v>
      </c>
      <c r="K19" s="57" t="s">
        <v>2570</v>
      </c>
      <c r="L19" s="56" t="s">
        <v>2571</v>
      </c>
    </row>
    <row r="20" spans="1:12">
      <c r="A20" s="5" t="s">
        <v>254</v>
      </c>
      <c r="B20" s="187" t="s">
        <v>262</v>
      </c>
      <c r="C20" s="6" t="s">
        <v>435</v>
      </c>
      <c r="D20" s="12" t="s">
        <v>1113</v>
      </c>
      <c r="E20" s="167">
        <v>2</v>
      </c>
      <c r="F20" s="6" t="s">
        <v>263</v>
      </c>
      <c r="G20" s="189" t="s">
        <v>264</v>
      </c>
      <c r="H20" s="12" t="s">
        <v>1113</v>
      </c>
      <c r="I20" s="14" t="s">
        <v>258</v>
      </c>
      <c r="K20" s="57" t="s">
        <v>2572</v>
      </c>
      <c r="L20" s="54" t="s">
        <v>2573</v>
      </c>
    </row>
    <row r="21" spans="1:12">
      <c r="A21" s="5" t="s">
        <v>254</v>
      </c>
      <c r="B21" s="187" t="s">
        <v>265</v>
      </c>
      <c r="C21" s="6" t="s">
        <v>436</v>
      </c>
      <c r="D21" s="12" t="s">
        <v>1113</v>
      </c>
      <c r="E21" s="167">
        <v>4</v>
      </c>
      <c r="F21" s="6" t="s">
        <v>266</v>
      </c>
      <c r="G21" s="189" t="s">
        <v>267</v>
      </c>
      <c r="H21" s="12" t="s">
        <v>1113</v>
      </c>
      <c r="I21" s="14" t="s">
        <v>258</v>
      </c>
      <c r="K21" s="57" t="s">
        <v>2574</v>
      </c>
      <c r="L21" s="1" t="s">
        <v>2575</v>
      </c>
    </row>
    <row r="22" spans="1:12">
      <c r="A22" s="5" t="s">
        <v>254</v>
      </c>
      <c r="B22" s="187" t="s">
        <v>268</v>
      </c>
      <c r="C22" s="6" t="s">
        <v>437</v>
      </c>
      <c r="D22" s="12" t="s">
        <v>1113</v>
      </c>
      <c r="E22" s="167">
        <v>1</v>
      </c>
      <c r="F22" s="6" t="s">
        <v>269</v>
      </c>
      <c r="G22" s="189" t="s">
        <v>270</v>
      </c>
      <c r="H22" s="12" t="s">
        <v>1113</v>
      </c>
      <c r="I22" s="14" t="s">
        <v>258</v>
      </c>
    </row>
    <row r="23" spans="1:12">
      <c r="A23" s="5" t="s">
        <v>271</v>
      </c>
      <c r="B23" s="187" t="s">
        <v>272</v>
      </c>
      <c r="C23" s="6" t="s">
        <v>438</v>
      </c>
      <c r="D23" s="12" t="s">
        <v>2555</v>
      </c>
      <c r="E23" s="167">
        <v>4</v>
      </c>
      <c r="F23" s="6" t="s">
        <v>273</v>
      </c>
      <c r="G23" s="189" t="s">
        <v>274</v>
      </c>
      <c r="H23" s="12" t="s">
        <v>3</v>
      </c>
      <c r="I23" s="14" t="s">
        <v>275</v>
      </c>
    </row>
    <row r="24" spans="1:12">
      <c r="A24" s="5" t="s">
        <v>271</v>
      </c>
      <c r="B24" s="187" t="s">
        <v>276</v>
      </c>
      <c r="C24" s="6" t="s">
        <v>439</v>
      </c>
      <c r="D24" s="12" t="s">
        <v>2555</v>
      </c>
      <c r="E24" s="167">
        <v>2</v>
      </c>
      <c r="F24" s="6" t="s">
        <v>277</v>
      </c>
      <c r="G24" s="189" t="s">
        <v>278</v>
      </c>
      <c r="H24" s="12" t="s">
        <v>3</v>
      </c>
      <c r="I24" s="14" t="s">
        <v>275</v>
      </c>
    </row>
    <row r="25" spans="1:12">
      <c r="A25" s="5" t="s">
        <v>271</v>
      </c>
      <c r="B25" s="187" t="s">
        <v>279</v>
      </c>
      <c r="C25" s="6" t="s">
        <v>440</v>
      </c>
      <c r="D25" s="12" t="s">
        <v>2555</v>
      </c>
      <c r="E25" s="167">
        <v>4</v>
      </c>
      <c r="F25" s="6" t="s">
        <v>280</v>
      </c>
      <c r="G25" s="189" t="s">
        <v>281</v>
      </c>
      <c r="H25" s="12" t="s">
        <v>3</v>
      </c>
      <c r="I25" s="14" t="s">
        <v>275</v>
      </c>
    </row>
    <row r="26" spans="1:12">
      <c r="A26" s="5" t="s">
        <v>271</v>
      </c>
      <c r="B26" s="187" t="s">
        <v>282</v>
      </c>
      <c r="C26" s="6" t="s">
        <v>441</v>
      </c>
      <c r="D26" s="12" t="s">
        <v>2555</v>
      </c>
      <c r="E26" s="167">
        <v>1</v>
      </c>
      <c r="F26" s="6" t="s">
        <v>283</v>
      </c>
      <c r="G26" s="189" t="s">
        <v>284</v>
      </c>
      <c r="H26" s="12" t="s">
        <v>3</v>
      </c>
      <c r="I26" s="14" t="s">
        <v>275</v>
      </c>
    </row>
    <row r="27" spans="1:12">
      <c r="A27" s="5" t="s">
        <v>271</v>
      </c>
      <c r="B27" s="187" t="s">
        <v>285</v>
      </c>
      <c r="C27" s="6" t="s">
        <v>442</v>
      </c>
      <c r="D27" s="12" t="s">
        <v>2555</v>
      </c>
      <c r="E27" s="167">
        <v>2</v>
      </c>
      <c r="F27" s="6" t="s">
        <v>286</v>
      </c>
      <c r="G27" s="189" t="s">
        <v>287</v>
      </c>
      <c r="H27" s="12" t="s">
        <v>3</v>
      </c>
      <c r="I27" s="14" t="s">
        <v>275</v>
      </c>
    </row>
    <row r="28" spans="1:12">
      <c r="A28" s="5" t="s">
        <v>271</v>
      </c>
      <c r="B28" s="187" t="s">
        <v>288</v>
      </c>
      <c r="C28" s="6" t="s">
        <v>443</v>
      </c>
      <c r="D28" s="12" t="s">
        <v>2555</v>
      </c>
      <c r="E28" s="167">
        <v>1</v>
      </c>
      <c r="F28" s="6" t="s">
        <v>289</v>
      </c>
      <c r="G28" s="189" t="s">
        <v>290</v>
      </c>
      <c r="H28" s="12" t="s">
        <v>3</v>
      </c>
      <c r="I28" s="14" t="s">
        <v>275</v>
      </c>
    </row>
    <row r="29" spans="1:12">
      <c r="A29" s="5" t="s">
        <v>271</v>
      </c>
      <c r="B29" s="187" t="s">
        <v>291</v>
      </c>
      <c r="C29" s="6" t="s">
        <v>444</v>
      </c>
      <c r="D29" s="12" t="s">
        <v>2555</v>
      </c>
      <c r="E29" s="167">
        <v>2</v>
      </c>
      <c r="F29" s="6" t="s">
        <v>292</v>
      </c>
      <c r="G29" s="189" t="s">
        <v>293</v>
      </c>
      <c r="H29" s="12" t="s">
        <v>3</v>
      </c>
      <c r="I29" s="14" t="s">
        <v>275</v>
      </c>
    </row>
    <row r="30" spans="1:12">
      <c r="A30" s="5" t="s">
        <v>271</v>
      </c>
      <c r="B30" s="187" t="s">
        <v>294</v>
      </c>
      <c r="C30" s="6" t="s">
        <v>445</v>
      </c>
      <c r="D30" s="12" t="s">
        <v>2555</v>
      </c>
      <c r="E30" s="167">
        <v>1</v>
      </c>
      <c r="F30" s="6" t="s">
        <v>295</v>
      </c>
      <c r="G30" s="189" t="s">
        <v>296</v>
      </c>
      <c r="H30" s="12" t="s">
        <v>3</v>
      </c>
      <c r="I30" s="14" t="s">
        <v>275</v>
      </c>
    </row>
    <row r="31" spans="1:12">
      <c r="A31" s="5" t="s">
        <v>297</v>
      </c>
      <c r="B31" s="187" t="s">
        <v>298</v>
      </c>
      <c r="C31" s="6" t="s">
        <v>446</v>
      </c>
      <c r="D31" s="12" t="s">
        <v>2555</v>
      </c>
      <c r="E31" s="167">
        <v>2</v>
      </c>
      <c r="F31" s="6" t="s">
        <v>299</v>
      </c>
      <c r="G31" s="189" t="s">
        <v>300</v>
      </c>
      <c r="H31" s="12" t="s">
        <v>3</v>
      </c>
      <c r="I31" s="14" t="s">
        <v>301</v>
      </c>
    </row>
    <row r="32" spans="1:12">
      <c r="A32" s="5" t="s">
        <v>297</v>
      </c>
      <c r="B32" s="187" t="s">
        <v>302</v>
      </c>
      <c r="C32" s="6" t="s">
        <v>447</v>
      </c>
      <c r="D32" s="12" t="s">
        <v>2555</v>
      </c>
      <c r="E32" s="167">
        <v>3</v>
      </c>
      <c r="F32" s="6" t="s">
        <v>303</v>
      </c>
      <c r="G32" s="189" t="s">
        <v>304</v>
      </c>
      <c r="H32" s="12" t="s">
        <v>3</v>
      </c>
      <c r="I32" s="14" t="s">
        <v>301</v>
      </c>
    </row>
    <row r="33" spans="1:9">
      <c r="A33" s="5" t="s">
        <v>297</v>
      </c>
      <c r="B33" s="187" t="s">
        <v>305</v>
      </c>
      <c r="C33" s="6" t="s">
        <v>448</v>
      </c>
      <c r="D33" s="12" t="s">
        <v>2555</v>
      </c>
      <c r="E33" s="167">
        <v>2</v>
      </c>
      <c r="F33" s="6" t="s">
        <v>306</v>
      </c>
      <c r="G33" s="189" t="s">
        <v>307</v>
      </c>
      <c r="H33" s="12" t="s">
        <v>3</v>
      </c>
      <c r="I33" s="14" t="s">
        <v>301</v>
      </c>
    </row>
    <row r="34" spans="1:9">
      <c r="A34" s="5" t="s">
        <v>297</v>
      </c>
      <c r="B34" s="187" t="s">
        <v>308</v>
      </c>
      <c r="C34" s="6" t="s">
        <v>449</v>
      </c>
      <c r="D34" s="12" t="s">
        <v>2555</v>
      </c>
      <c r="E34" s="167">
        <v>3</v>
      </c>
      <c r="F34" s="6" t="s">
        <v>309</v>
      </c>
      <c r="G34" s="189" t="s">
        <v>310</v>
      </c>
      <c r="H34" s="12" t="s">
        <v>3</v>
      </c>
      <c r="I34" s="14" t="s">
        <v>301</v>
      </c>
    </row>
    <row r="35" spans="1:9">
      <c r="A35" s="5" t="s">
        <v>297</v>
      </c>
      <c r="B35" s="187" t="s">
        <v>311</v>
      </c>
      <c r="C35" s="6" t="s">
        <v>450</v>
      </c>
      <c r="D35" s="12" t="s">
        <v>2555</v>
      </c>
      <c r="E35" s="167">
        <v>3</v>
      </c>
      <c r="F35" s="6" t="s">
        <v>312</v>
      </c>
      <c r="G35" s="189" t="s">
        <v>2544</v>
      </c>
      <c r="H35" s="12" t="s">
        <v>1112</v>
      </c>
      <c r="I35" s="14" t="s">
        <v>301</v>
      </c>
    </row>
    <row r="36" spans="1:9">
      <c r="A36" s="5" t="s">
        <v>297</v>
      </c>
      <c r="B36" s="187" t="s">
        <v>313</v>
      </c>
      <c r="C36" s="6" t="s">
        <v>451</v>
      </c>
      <c r="D36" s="12" t="s">
        <v>2555</v>
      </c>
      <c r="E36" s="167">
        <v>3</v>
      </c>
      <c r="F36" s="6" t="s">
        <v>314</v>
      </c>
      <c r="G36" s="189" t="s">
        <v>315</v>
      </c>
      <c r="H36" s="12" t="s">
        <v>3</v>
      </c>
      <c r="I36" s="14" t="s">
        <v>301</v>
      </c>
    </row>
    <row r="37" spans="1:9">
      <c r="A37" s="5" t="s">
        <v>297</v>
      </c>
      <c r="B37" s="187" t="s">
        <v>316</v>
      </c>
      <c r="C37" s="6" t="s">
        <v>452</v>
      </c>
      <c r="D37" s="12" t="s">
        <v>2555</v>
      </c>
      <c r="E37" s="167">
        <v>3</v>
      </c>
      <c r="F37" s="6" t="s">
        <v>317</v>
      </c>
      <c r="G37" s="189" t="s">
        <v>318</v>
      </c>
      <c r="H37" s="12" t="s">
        <v>3</v>
      </c>
      <c r="I37" s="14" t="s">
        <v>301</v>
      </c>
    </row>
    <row r="38" spans="1:9">
      <c r="A38" s="5" t="s">
        <v>297</v>
      </c>
      <c r="B38" s="187" t="s">
        <v>319</v>
      </c>
      <c r="C38" s="6" t="s">
        <v>453</v>
      </c>
      <c r="D38" s="12" t="s">
        <v>2555</v>
      </c>
      <c r="E38" s="167">
        <v>2</v>
      </c>
      <c r="F38" s="6" t="s">
        <v>320</v>
      </c>
      <c r="G38" s="189" t="s">
        <v>321</v>
      </c>
      <c r="H38" s="12" t="s">
        <v>3</v>
      </c>
      <c r="I38" s="14" t="s">
        <v>301</v>
      </c>
    </row>
    <row r="39" spans="1:9">
      <c r="A39" s="5" t="s">
        <v>297</v>
      </c>
      <c r="B39" s="187" t="s">
        <v>322</v>
      </c>
      <c r="C39" s="6" t="s">
        <v>454</v>
      </c>
      <c r="D39" s="12" t="s">
        <v>2555</v>
      </c>
      <c r="E39" s="167">
        <v>5</v>
      </c>
      <c r="F39" s="6" t="s">
        <v>323</v>
      </c>
      <c r="G39" s="189" t="s">
        <v>324</v>
      </c>
      <c r="H39" s="12" t="s">
        <v>3</v>
      </c>
      <c r="I39" s="14" t="s">
        <v>301</v>
      </c>
    </row>
    <row r="40" spans="1:9">
      <c r="A40" s="5" t="s">
        <v>297</v>
      </c>
      <c r="B40" s="187" t="s">
        <v>325</v>
      </c>
      <c r="C40" s="6" t="s">
        <v>455</v>
      </c>
      <c r="D40" s="12" t="s">
        <v>1808</v>
      </c>
      <c r="E40" s="167">
        <v>0</v>
      </c>
      <c r="F40" s="6" t="s">
        <v>326</v>
      </c>
      <c r="G40" s="189" t="s">
        <v>327</v>
      </c>
      <c r="H40" s="12" t="s">
        <v>560</v>
      </c>
      <c r="I40" s="14" t="s">
        <v>301</v>
      </c>
    </row>
    <row r="41" spans="1:9">
      <c r="A41" s="5" t="s">
        <v>297</v>
      </c>
      <c r="B41" s="187" t="s">
        <v>328</v>
      </c>
      <c r="C41" s="6" t="s">
        <v>456</v>
      </c>
      <c r="D41" s="12" t="s">
        <v>2555</v>
      </c>
      <c r="E41" s="167">
        <v>2</v>
      </c>
      <c r="F41" s="6" t="s">
        <v>329</v>
      </c>
      <c r="G41" s="189" t="s">
        <v>330</v>
      </c>
      <c r="H41" s="12" t="s">
        <v>3</v>
      </c>
      <c r="I41" s="14" t="s">
        <v>301</v>
      </c>
    </row>
    <row r="42" spans="1:9">
      <c r="A42" s="5" t="s">
        <v>297</v>
      </c>
      <c r="B42" s="187" t="s">
        <v>331</v>
      </c>
      <c r="C42" s="6" t="s">
        <v>457</v>
      </c>
      <c r="D42" s="12" t="s">
        <v>2555</v>
      </c>
      <c r="E42" s="167">
        <v>3</v>
      </c>
      <c r="F42" s="6" t="s">
        <v>332</v>
      </c>
      <c r="G42" s="189" t="s">
        <v>333</v>
      </c>
      <c r="H42" s="12" t="s">
        <v>3</v>
      </c>
      <c r="I42" s="14" t="s">
        <v>301</v>
      </c>
    </row>
    <row r="43" spans="1:9">
      <c r="A43" s="5" t="s">
        <v>297</v>
      </c>
      <c r="B43" s="187" t="s">
        <v>334</v>
      </c>
      <c r="C43" s="6" t="s">
        <v>458</v>
      </c>
      <c r="D43" s="12" t="s">
        <v>2555</v>
      </c>
      <c r="E43" s="167">
        <v>2</v>
      </c>
      <c r="F43" s="6" t="s">
        <v>335</v>
      </c>
      <c r="G43" s="189" t="s">
        <v>336</v>
      </c>
      <c r="H43" s="12" t="s">
        <v>3</v>
      </c>
      <c r="I43" s="14" t="s">
        <v>301</v>
      </c>
    </row>
    <row r="44" spans="1:9">
      <c r="A44" s="5" t="s">
        <v>297</v>
      </c>
      <c r="B44" s="187" t="s">
        <v>337</v>
      </c>
      <c r="C44" s="6" t="s">
        <v>459</v>
      </c>
      <c r="D44" s="12" t="s">
        <v>2555</v>
      </c>
      <c r="E44" s="167">
        <v>1</v>
      </c>
      <c r="F44" s="6" t="s">
        <v>338</v>
      </c>
      <c r="G44" s="189" t="s">
        <v>339</v>
      </c>
      <c r="H44" s="12" t="s">
        <v>3</v>
      </c>
      <c r="I44" s="14" t="s">
        <v>301</v>
      </c>
    </row>
    <row r="45" spans="1:9">
      <c r="A45" s="5" t="s">
        <v>297</v>
      </c>
      <c r="B45" s="187" t="s">
        <v>340</v>
      </c>
      <c r="C45" s="6" t="s">
        <v>460</v>
      </c>
      <c r="D45" s="12" t="s">
        <v>2555</v>
      </c>
      <c r="E45" s="167">
        <v>2</v>
      </c>
      <c r="F45" s="6" t="s">
        <v>341</v>
      </c>
      <c r="G45" s="189" t="s">
        <v>342</v>
      </c>
      <c r="H45" s="12" t="s">
        <v>3</v>
      </c>
      <c r="I45" s="14" t="s">
        <v>301</v>
      </c>
    </row>
    <row r="46" spans="1:9">
      <c r="A46" s="5" t="s">
        <v>297</v>
      </c>
      <c r="B46" s="187" t="s">
        <v>343</v>
      </c>
      <c r="C46" s="6" t="s">
        <v>461</v>
      </c>
      <c r="D46" s="12" t="s">
        <v>2555</v>
      </c>
      <c r="E46" s="167">
        <v>4</v>
      </c>
      <c r="F46" s="6" t="s">
        <v>344</v>
      </c>
      <c r="G46" s="189" t="s">
        <v>2545</v>
      </c>
      <c r="H46" s="12" t="s">
        <v>3</v>
      </c>
      <c r="I46" s="14" t="s">
        <v>345</v>
      </c>
    </row>
    <row r="47" spans="1:9">
      <c r="A47" s="5" t="s">
        <v>297</v>
      </c>
      <c r="B47" s="187" t="s">
        <v>346</v>
      </c>
      <c r="C47" s="6" t="s">
        <v>462</v>
      </c>
      <c r="D47" s="12" t="s">
        <v>2555</v>
      </c>
      <c r="E47" s="167">
        <v>5</v>
      </c>
      <c r="F47" s="6" t="s">
        <v>347</v>
      </c>
      <c r="G47" s="189" t="s">
        <v>348</v>
      </c>
      <c r="H47" s="12" t="s">
        <v>3</v>
      </c>
      <c r="I47" s="14" t="s">
        <v>301</v>
      </c>
    </row>
    <row r="48" spans="1:9">
      <c r="A48" s="5" t="s">
        <v>297</v>
      </c>
      <c r="B48" s="187" t="s">
        <v>349</v>
      </c>
      <c r="C48" s="6" t="s">
        <v>463</v>
      </c>
      <c r="D48" s="12" t="s">
        <v>2555</v>
      </c>
      <c r="E48" s="167">
        <v>8</v>
      </c>
      <c r="F48" s="6" t="s">
        <v>350</v>
      </c>
      <c r="G48" s="189" t="s">
        <v>2556</v>
      </c>
      <c r="H48" s="12" t="s">
        <v>3</v>
      </c>
      <c r="I48" s="14" t="s">
        <v>301</v>
      </c>
    </row>
    <row r="49" spans="1:9">
      <c r="A49" s="5" t="s">
        <v>351</v>
      </c>
      <c r="B49" s="187" t="s">
        <v>352</v>
      </c>
      <c r="C49" s="6" t="s">
        <v>464</v>
      </c>
      <c r="D49" s="12" t="s">
        <v>2557</v>
      </c>
      <c r="E49" s="167">
        <v>8</v>
      </c>
      <c r="F49" s="6" t="s">
        <v>353</v>
      </c>
      <c r="G49" s="189" t="s">
        <v>354</v>
      </c>
      <c r="H49" s="12" t="s">
        <v>3</v>
      </c>
      <c r="I49" s="14" t="s">
        <v>355</v>
      </c>
    </row>
    <row r="50" spans="1:9">
      <c r="A50" s="5" t="s">
        <v>351</v>
      </c>
      <c r="B50" s="187" t="s">
        <v>356</v>
      </c>
      <c r="C50" s="6" t="s">
        <v>465</v>
      </c>
      <c r="D50" s="12" t="s">
        <v>2555</v>
      </c>
      <c r="E50" s="167">
        <v>4</v>
      </c>
      <c r="F50" s="6" t="s">
        <v>357</v>
      </c>
      <c r="G50" s="189" t="s">
        <v>358</v>
      </c>
      <c r="H50" s="12" t="s">
        <v>3</v>
      </c>
      <c r="I50" s="14" t="s">
        <v>359</v>
      </c>
    </row>
    <row r="51" spans="1:9">
      <c r="A51" s="5" t="s">
        <v>351</v>
      </c>
      <c r="B51" s="187" t="s">
        <v>360</v>
      </c>
      <c r="C51" s="6" t="s">
        <v>466</v>
      </c>
      <c r="D51" s="12" t="s">
        <v>2555</v>
      </c>
      <c r="E51" s="167">
        <v>4</v>
      </c>
      <c r="F51" s="6" t="s">
        <v>361</v>
      </c>
      <c r="G51" s="189" t="s">
        <v>362</v>
      </c>
      <c r="H51" s="12" t="s">
        <v>3</v>
      </c>
      <c r="I51" s="14" t="s">
        <v>355</v>
      </c>
    </row>
    <row r="52" spans="1:9">
      <c r="A52" s="5" t="s">
        <v>351</v>
      </c>
      <c r="B52" s="187" t="s">
        <v>363</v>
      </c>
      <c r="C52" s="6" t="s">
        <v>467</v>
      </c>
      <c r="D52" s="12" t="s">
        <v>2557</v>
      </c>
      <c r="E52" s="167">
        <v>5</v>
      </c>
      <c r="F52" s="6" t="s">
        <v>364</v>
      </c>
      <c r="G52" s="189" t="s">
        <v>365</v>
      </c>
      <c r="H52" s="12" t="s">
        <v>3</v>
      </c>
      <c r="I52" s="14" t="s">
        <v>355</v>
      </c>
    </row>
    <row r="53" spans="1:9">
      <c r="A53" s="5" t="s">
        <v>351</v>
      </c>
      <c r="B53" s="187" t="s">
        <v>366</v>
      </c>
      <c r="C53" s="6" t="s">
        <v>468</v>
      </c>
      <c r="D53" s="12" t="s">
        <v>2557</v>
      </c>
      <c r="E53" s="167">
        <v>5</v>
      </c>
      <c r="F53" s="6" t="s">
        <v>367</v>
      </c>
      <c r="G53" s="189" t="s">
        <v>368</v>
      </c>
      <c r="H53" s="12" t="s">
        <v>3</v>
      </c>
      <c r="I53" s="14" t="s">
        <v>355</v>
      </c>
    </row>
    <row r="54" spans="1:9">
      <c r="A54" s="5" t="s">
        <v>351</v>
      </c>
      <c r="B54" s="187" t="s">
        <v>369</v>
      </c>
      <c r="C54" s="6" t="s">
        <v>469</v>
      </c>
      <c r="D54" s="12" t="s">
        <v>2557</v>
      </c>
      <c r="E54" s="167">
        <v>3</v>
      </c>
      <c r="F54" s="6" t="s">
        <v>370</v>
      </c>
      <c r="G54" s="189" t="s">
        <v>371</v>
      </c>
      <c r="H54" s="12" t="s">
        <v>3</v>
      </c>
      <c r="I54" s="14" t="s">
        <v>355</v>
      </c>
    </row>
    <row r="55" spans="1:9">
      <c r="A55" s="5" t="s">
        <v>351</v>
      </c>
      <c r="B55" s="187" t="s">
        <v>372</v>
      </c>
      <c r="C55" s="6" t="s">
        <v>470</v>
      </c>
      <c r="D55" s="12" t="s">
        <v>2557</v>
      </c>
      <c r="E55" s="167">
        <v>3</v>
      </c>
      <c r="F55" s="6" t="s">
        <v>373</v>
      </c>
      <c r="G55" s="189" t="s">
        <v>374</v>
      </c>
      <c r="H55" s="12" t="s">
        <v>3</v>
      </c>
      <c r="I55" s="14" t="s">
        <v>355</v>
      </c>
    </row>
    <row r="56" spans="1:9">
      <c r="A56" s="5" t="s">
        <v>351</v>
      </c>
      <c r="B56" s="187" t="s">
        <v>375</v>
      </c>
      <c r="C56" s="6" t="s">
        <v>471</v>
      </c>
      <c r="D56" s="12" t="s">
        <v>2555</v>
      </c>
      <c r="E56" s="167">
        <v>1</v>
      </c>
      <c r="F56" s="6" t="s">
        <v>376</v>
      </c>
      <c r="G56" s="189" t="s">
        <v>377</v>
      </c>
      <c r="H56" s="12" t="s">
        <v>3</v>
      </c>
      <c r="I56" s="14" t="s">
        <v>355</v>
      </c>
    </row>
    <row r="57" spans="1:9">
      <c r="A57" s="5" t="s">
        <v>378</v>
      </c>
      <c r="B57" s="187" t="s">
        <v>379</v>
      </c>
      <c r="C57" s="6" t="s">
        <v>472</v>
      </c>
      <c r="D57" s="12" t="s">
        <v>1113</v>
      </c>
      <c r="E57" s="167">
        <v>2</v>
      </c>
      <c r="F57" s="6" t="s">
        <v>380</v>
      </c>
      <c r="G57" s="189" t="s">
        <v>381</v>
      </c>
      <c r="H57" s="12" t="s">
        <v>1113</v>
      </c>
      <c r="I57" s="14" t="s">
        <v>382</v>
      </c>
    </row>
    <row r="58" spans="1:9">
      <c r="A58" s="5" t="s">
        <v>378</v>
      </c>
      <c r="B58" s="187" t="s">
        <v>383</v>
      </c>
      <c r="C58" s="6" t="s">
        <v>473</v>
      </c>
      <c r="D58" s="12" t="s">
        <v>1113</v>
      </c>
      <c r="E58" s="167">
        <v>8</v>
      </c>
      <c r="F58" s="6" t="s">
        <v>384</v>
      </c>
      <c r="G58" s="189" t="s">
        <v>385</v>
      </c>
      <c r="H58" s="12" t="s">
        <v>1113</v>
      </c>
      <c r="I58" s="14" t="s">
        <v>386</v>
      </c>
    </row>
    <row r="59" spans="1:9">
      <c r="A59" s="5" t="s">
        <v>378</v>
      </c>
      <c r="B59" s="187" t="s">
        <v>387</v>
      </c>
      <c r="C59" s="6" t="s">
        <v>474</v>
      </c>
      <c r="D59" s="12" t="s">
        <v>1113</v>
      </c>
      <c r="E59" s="167">
        <v>2</v>
      </c>
      <c r="F59" s="6" t="s">
        <v>388</v>
      </c>
      <c r="G59" s="189" t="s">
        <v>389</v>
      </c>
      <c r="H59" s="12" t="s">
        <v>1113</v>
      </c>
      <c r="I59" s="14" t="s">
        <v>390</v>
      </c>
    </row>
    <row r="60" spans="1:9">
      <c r="A60" s="5" t="s">
        <v>378</v>
      </c>
      <c r="B60" s="187" t="s">
        <v>391</v>
      </c>
      <c r="C60" s="6" t="s">
        <v>475</v>
      </c>
      <c r="D60" s="12" t="s">
        <v>2555</v>
      </c>
      <c r="E60" s="167">
        <v>2</v>
      </c>
      <c r="F60" s="6" t="s">
        <v>392</v>
      </c>
      <c r="G60" s="189" t="s">
        <v>393</v>
      </c>
      <c r="H60" s="12" t="s">
        <v>3</v>
      </c>
      <c r="I60" s="14" t="s">
        <v>386</v>
      </c>
    </row>
    <row r="61" spans="1:9">
      <c r="A61" s="5" t="s">
        <v>394</v>
      </c>
      <c r="B61" s="187" t="s">
        <v>395</v>
      </c>
      <c r="C61" s="6" t="s">
        <v>476</v>
      </c>
      <c r="D61" s="12" t="s">
        <v>2555</v>
      </c>
      <c r="E61" s="167">
        <v>16</v>
      </c>
      <c r="F61" s="6" t="s">
        <v>396</v>
      </c>
      <c r="G61" s="189" t="s">
        <v>397</v>
      </c>
      <c r="H61" s="12" t="s">
        <v>3</v>
      </c>
      <c r="I61" s="14" t="s">
        <v>398</v>
      </c>
    </row>
    <row r="62" spans="1:9">
      <c r="A62" s="5" t="s">
        <v>394</v>
      </c>
      <c r="B62" s="187" t="s">
        <v>399</v>
      </c>
      <c r="C62" s="6" t="s">
        <v>477</v>
      </c>
      <c r="D62" s="12" t="s">
        <v>2555</v>
      </c>
      <c r="E62" s="167">
        <v>20</v>
      </c>
      <c r="F62" s="6" t="s">
        <v>400</v>
      </c>
      <c r="G62" s="189" t="s">
        <v>401</v>
      </c>
      <c r="H62" s="12" t="s">
        <v>3</v>
      </c>
      <c r="I62" s="14" t="s">
        <v>398</v>
      </c>
    </row>
    <row r="63" spans="1:9">
      <c r="A63" s="5" t="s">
        <v>394</v>
      </c>
      <c r="B63" s="187" t="s">
        <v>402</v>
      </c>
      <c r="C63" s="6" t="s">
        <v>478</v>
      </c>
      <c r="D63" s="12" t="s">
        <v>2555</v>
      </c>
      <c r="E63" s="167">
        <v>2</v>
      </c>
      <c r="F63" s="6" t="s">
        <v>403</v>
      </c>
      <c r="G63" s="189" t="s">
        <v>404</v>
      </c>
      <c r="H63" s="12" t="s">
        <v>3</v>
      </c>
      <c r="I63" s="14" t="s">
        <v>398</v>
      </c>
    </row>
    <row r="64" spans="1:9">
      <c r="A64" s="5" t="s">
        <v>394</v>
      </c>
      <c r="B64" s="187" t="s">
        <v>405</v>
      </c>
      <c r="C64" s="6" t="s">
        <v>479</v>
      </c>
      <c r="D64" s="12" t="s">
        <v>2555</v>
      </c>
      <c r="E64" s="167">
        <v>4</v>
      </c>
      <c r="F64" s="6" t="s">
        <v>406</v>
      </c>
      <c r="G64" s="189" t="s">
        <v>407</v>
      </c>
      <c r="H64" s="12" t="s">
        <v>3</v>
      </c>
      <c r="I64" s="14" t="s">
        <v>398</v>
      </c>
    </row>
    <row r="65" spans="1:9">
      <c r="A65" s="5" t="s">
        <v>2558</v>
      </c>
      <c r="B65" s="187" t="s">
        <v>190</v>
      </c>
      <c r="C65" s="6" t="s">
        <v>411</v>
      </c>
      <c r="D65" s="12" t="s">
        <v>2559</v>
      </c>
      <c r="E65" s="167">
        <v>0</v>
      </c>
      <c r="F65" s="6" t="s">
        <v>191</v>
      </c>
      <c r="G65" s="189" t="s">
        <v>2560</v>
      </c>
      <c r="H65" s="12" t="s">
        <v>3</v>
      </c>
      <c r="I65" s="14" t="s">
        <v>192</v>
      </c>
    </row>
    <row r="66" spans="1:9">
      <c r="A66" s="5" t="s">
        <v>2558</v>
      </c>
      <c r="B66" s="187" t="s">
        <v>193</v>
      </c>
      <c r="C66" s="6" t="s">
        <v>412</v>
      </c>
      <c r="D66" s="12" t="s">
        <v>2559</v>
      </c>
      <c r="E66" s="167">
        <v>0</v>
      </c>
      <c r="F66" s="6" t="s">
        <v>194</v>
      </c>
      <c r="G66" s="189" t="s">
        <v>2560</v>
      </c>
      <c r="H66" s="12" t="s">
        <v>3</v>
      </c>
      <c r="I66" s="14" t="s">
        <v>195</v>
      </c>
    </row>
    <row r="67" spans="1:9">
      <c r="A67" s="5" t="s">
        <v>2558</v>
      </c>
      <c r="B67" s="187" t="s">
        <v>196</v>
      </c>
      <c r="C67" s="6" t="s">
        <v>413</v>
      </c>
      <c r="D67" s="12" t="s">
        <v>2559</v>
      </c>
      <c r="E67" s="167">
        <v>0</v>
      </c>
      <c r="F67" s="6" t="s">
        <v>197</v>
      </c>
      <c r="G67" s="189" t="s">
        <v>2560</v>
      </c>
      <c r="H67" s="12" t="s">
        <v>3</v>
      </c>
      <c r="I67" s="14" t="s">
        <v>192</v>
      </c>
    </row>
    <row r="68" spans="1:9">
      <c r="A68" s="5" t="s">
        <v>2558</v>
      </c>
      <c r="B68" s="187" t="s">
        <v>199</v>
      </c>
      <c r="C68" s="6" t="s">
        <v>414</v>
      </c>
      <c r="D68" s="12" t="s">
        <v>2559</v>
      </c>
      <c r="E68" s="167">
        <v>0</v>
      </c>
      <c r="F68" s="6" t="s">
        <v>200</v>
      </c>
      <c r="G68" s="189" t="s">
        <v>2560</v>
      </c>
      <c r="H68" s="12" t="s">
        <v>3</v>
      </c>
      <c r="I68" s="14" t="s">
        <v>192</v>
      </c>
    </row>
    <row r="69" spans="1:9">
      <c r="A69" s="5" t="s">
        <v>2558</v>
      </c>
      <c r="B69" s="187" t="s">
        <v>202</v>
      </c>
      <c r="C69" s="6" t="s">
        <v>415</v>
      </c>
      <c r="D69" s="12" t="s">
        <v>2559</v>
      </c>
      <c r="E69" s="167">
        <v>0</v>
      </c>
      <c r="F69" s="6" t="s">
        <v>203</v>
      </c>
      <c r="G69" s="189" t="s">
        <v>2560</v>
      </c>
      <c r="H69" s="12" t="s">
        <v>3</v>
      </c>
      <c r="I69" s="14" t="s">
        <v>192</v>
      </c>
    </row>
    <row r="70" spans="1:9">
      <c r="A70" s="5" t="s">
        <v>2558</v>
      </c>
      <c r="B70" s="187" t="s">
        <v>204</v>
      </c>
      <c r="C70" s="6" t="s">
        <v>416</v>
      </c>
      <c r="D70" s="12" t="s">
        <v>2559</v>
      </c>
      <c r="E70" s="167">
        <v>0</v>
      </c>
      <c r="F70" s="6" t="s">
        <v>205</v>
      </c>
      <c r="G70" s="189" t="s">
        <v>2560</v>
      </c>
      <c r="H70" s="12" t="s">
        <v>2</v>
      </c>
      <c r="I70" s="14" t="s">
        <v>195</v>
      </c>
    </row>
    <row r="71" spans="1:9">
      <c r="A71" s="5" t="s">
        <v>2558</v>
      </c>
      <c r="B71" s="187" t="s">
        <v>207</v>
      </c>
      <c r="C71" s="6" t="s">
        <v>417</v>
      </c>
      <c r="D71" s="12" t="s">
        <v>2559</v>
      </c>
      <c r="E71" s="167">
        <v>0</v>
      </c>
      <c r="F71" s="6" t="s">
        <v>208</v>
      </c>
      <c r="G71" s="189" t="s">
        <v>2560</v>
      </c>
      <c r="H71" s="12" t="s">
        <v>1113</v>
      </c>
      <c r="I71" s="14" t="s">
        <v>195</v>
      </c>
    </row>
    <row r="72" spans="1:9">
      <c r="A72" s="5" t="s">
        <v>2558</v>
      </c>
      <c r="B72" s="187" t="s">
        <v>210</v>
      </c>
      <c r="C72" s="6" t="s">
        <v>418</v>
      </c>
      <c r="D72" s="12" t="s">
        <v>2559</v>
      </c>
      <c r="E72" s="167">
        <v>0</v>
      </c>
      <c r="F72" s="6" t="s">
        <v>211</v>
      </c>
      <c r="G72" s="189" t="s">
        <v>2560</v>
      </c>
      <c r="H72" s="12" t="s">
        <v>2</v>
      </c>
      <c r="I72" s="14" t="s">
        <v>195</v>
      </c>
    </row>
    <row r="73" spans="1:9">
      <c r="A73" s="5" t="s">
        <v>2558</v>
      </c>
      <c r="B73" s="187" t="s">
        <v>212</v>
      </c>
      <c r="C73" s="6" t="s">
        <v>419</v>
      </c>
      <c r="D73" s="12" t="s">
        <v>2559</v>
      </c>
      <c r="E73" s="167">
        <v>0</v>
      </c>
      <c r="F73" s="6" t="s">
        <v>213</v>
      </c>
      <c r="G73" s="189" t="s">
        <v>2560</v>
      </c>
      <c r="H73" s="12" t="s">
        <v>560</v>
      </c>
      <c r="I73" s="14" t="s">
        <v>195</v>
      </c>
    </row>
    <row r="74" spans="1:9">
      <c r="A74" s="5" t="s">
        <v>2558</v>
      </c>
      <c r="B74" s="187" t="s">
        <v>214</v>
      </c>
      <c r="C74" s="6" t="s">
        <v>420</v>
      </c>
      <c r="D74" s="12" t="s">
        <v>2559</v>
      </c>
      <c r="E74" s="167">
        <v>0</v>
      </c>
      <c r="F74" s="6" t="s">
        <v>215</v>
      </c>
      <c r="G74" s="189" t="s">
        <v>2560</v>
      </c>
      <c r="H74" s="12" t="s">
        <v>560</v>
      </c>
      <c r="I74" s="14" t="s">
        <v>195</v>
      </c>
    </row>
    <row r="75" spans="1:9">
      <c r="A75" s="5" t="s">
        <v>2558</v>
      </c>
      <c r="B75" s="187" t="s">
        <v>1040</v>
      </c>
      <c r="C75" s="6" t="s">
        <v>1042</v>
      </c>
      <c r="D75" s="12" t="s">
        <v>2559</v>
      </c>
      <c r="E75" s="167">
        <v>0</v>
      </c>
      <c r="F75" s="6" t="s">
        <v>1041</v>
      </c>
      <c r="G75" s="189" t="s">
        <v>2560</v>
      </c>
      <c r="H75" s="12" t="s">
        <v>3</v>
      </c>
      <c r="I75" s="14" t="s">
        <v>192</v>
      </c>
    </row>
    <row r="76" spans="1:9">
      <c r="A76" s="5" t="s">
        <v>2561</v>
      </c>
      <c r="B76" s="187" t="s">
        <v>1064</v>
      </c>
      <c r="C76" s="6" t="s">
        <v>1066</v>
      </c>
      <c r="D76" s="12" t="s">
        <v>1113</v>
      </c>
      <c r="E76" s="167">
        <v>0</v>
      </c>
      <c r="F76" s="6" t="s">
        <v>1065</v>
      </c>
      <c r="G76" s="189" t="s">
        <v>2562</v>
      </c>
      <c r="H76" s="12" t="s">
        <v>1113</v>
      </c>
      <c r="I76" s="14" t="s">
        <v>1067</v>
      </c>
    </row>
    <row r="77" spans="1:9">
      <c r="A77" s="5" t="s">
        <v>2561</v>
      </c>
      <c r="B77" s="187" t="s">
        <v>1068</v>
      </c>
      <c r="C77" s="6" t="s">
        <v>1070</v>
      </c>
      <c r="D77" s="12" t="s">
        <v>1113</v>
      </c>
      <c r="E77" s="167">
        <v>0</v>
      </c>
      <c r="F77" s="6" t="s">
        <v>1069</v>
      </c>
      <c r="G77" s="189" t="s">
        <v>2562</v>
      </c>
      <c r="H77" s="12" t="s">
        <v>1113</v>
      </c>
      <c r="I77" s="14" t="s">
        <v>1067</v>
      </c>
    </row>
    <row r="78" spans="1:9">
      <c r="A78" s="5" t="s">
        <v>2561</v>
      </c>
      <c r="B78" s="187" t="s">
        <v>1071</v>
      </c>
      <c r="C78" s="6" t="s">
        <v>1073</v>
      </c>
      <c r="D78" s="12" t="s">
        <v>1113</v>
      </c>
      <c r="E78" s="167">
        <v>0</v>
      </c>
      <c r="F78" s="6" t="s">
        <v>1072</v>
      </c>
      <c r="G78" s="189" t="s">
        <v>2562</v>
      </c>
      <c r="H78" s="12" t="s">
        <v>1113</v>
      </c>
      <c r="I78" s="14" t="s">
        <v>1067</v>
      </c>
    </row>
    <row r="79" spans="1:9">
      <c r="A79" s="5" t="s">
        <v>2561</v>
      </c>
      <c r="B79" s="187" t="s">
        <v>1074</v>
      </c>
      <c r="C79" s="6" t="s">
        <v>1076</v>
      </c>
      <c r="D79" s="12" t="s">
        <v>1113</v>
      </c>
      <c r="E79" s="167">
        <v>0</v>
      </c>
      <c r="F79" s="6" t="s">
        <v>1075</v>
      </c>
      <c r="G79" s="189" t="s">
        <v>2562</v>
      </c>
      <c r="H79" s="12" t="s">
        <v>1113</v>
      </c>
      <c r="I79" s="14" t="s">
        <v>1067</v>
      </c>
    </row>
    <row r="80" spans="1:9">
      <c r="A80" s="5" t="s">
        <v>2561</v>
      </c>
      <c r="B80" s="187" t="s">
        <v>1077</v>
      </c>
      <c r="C80" s="6" t="s">
        <v>1079</v>
      </c>
      <c r="D80" s="12" t="s">
        <v>1113</v>
      </c>
      <c r="E80" s="167">
        <v>0</v>
      </c>
      <c r="F80" s="6" t="s">
        <v>1078</v>
      </c>
      <c r="G80" s="189" t="s">
        <v>2562</v>
      </c>
      <c r="H80" s="12" t="s">
        <v>1113</v>
      </c>
      <c r="I80" s="14" t="s">
        <v>1067</v>
      </c>
    </row>
    <row r="81" spans="1:9">
      <c r="A81" s="5" t="s">
        <v>2561</v>
      </c>
      <c r="B81" s="187" t="s">
        <v>1080</v>
      </c>
      <c r="C81" s="6" t="s">
        <v>1082</v>
      </c>
      <c r="D81" s="12" t="s">
        <v>1113</v>
      </c>
      <c r="E81" s="167">
        <v>0</v>
      </c>
      <c r="F81" s="6" t="s">
        <v>1081</v>
      </c>
      <c r="G81" s="189" t="s">
        <v>2562</v>
      </c>
      <c r="H81" s="12" t="s">
        <v>1113</v>
      </c>
      <c r="I81" s="14" t="s">
        <v>1067</v>
      </c>
    </row>
    <row r="82" spans="1:9">
      <c r="A82" s="5" t="s">
        <v>2561</v>
      </c>
      <c r="B82" s="187" t="s">
        <v>1083</v>
      </c>
      <c r="C82" s="6" t="s">
        <v>1085</v>
      </c>
      <c r="D82" s="12" t="s">
        <v>1113</v>
      </c>
      <c r="E82" s="167">
        <v>0</v>
      </c>
      <c r="F82" s="6" t="s">
        <v>1084</v>
      </c>
      <c r="G82" s="189" t="s">
        <v>2562</v>
      </c>
      <c r="H82" s="12" t="s">
        <v>1113</v>
      </c>
      <c r="I82" s="14" t="s">
        <v>1067</v>
      </c>
    </row>
    <row r="83" spans="1:9">
      <c r="A83" s="5" t="s">
        <v>2561</v>
      </c>
      <c r="B83" s="187" t="s">
        <v>1086</v>
      </c>
      <c r="C83" s="6" t="s">
        <v>1088</v>
      </c>
      <c r="D83" s="12" t="s">
        <v>1113</v>
      </c>
      <c r="E83" s="167">
        <v>0</v>
      </c>
      <c r="F83" s="6" t="s">
        <v>1087</v>
      </c>
      <c r="G83" s="189" t="s">
        <v>2562</v>
      </c>
      <c r="H83" s="12" t="s">
        <v>1113</v>
      </c>
      <c r="I83" s="14" t="s">
        <v>1067</v>
      </c>
    </row>
    <row r="84" spans="1:9">
      <c r="A84" s="5" t="s">
        <v>2561</v>
      </c>
      <c r="B84" s="187" t="s">
        <v>1089</v>
      </c>
      <c r="C84" s="6" t="s">
        <v>1091</v>
      </c>
      <c r="D84" s="12" t="s">
        <v>1113</v>
      </c>
      <c r="E84" s="167">
        <v>0</v>
      </c>
      <c r="F84" s="6" t="s">
        <v>1090</v>
      </c>
      <c r="G84" s="189" t="s">
        <v>2562</v>
      </c>
      <c r="H84" s="12" t="s">
        <v>1113</v>
      </c>
      <c r="I84" s="14" t="s">
        <v>1067</v>
      </c>
    </row>
    <row r="85" spans="1:9">
      <c r="A85" s="5" t="s">
        <v>2561</v>
      </c>
      <c r="B85" s="187" t="s">
        <v>1092</v>
      </c>
      <c r="C85" s="6" t="s">
        <v>1094</v>
      </c>
      <c r="D85" s="12" t="s">
        <v>1113</v>
      </c>
      <c r="E85" s="167">
        <v>0</v>
      </c>
      <c r="F85" s="6" t="s">
        <v>1093</v>
      </c>
      <c r="G85" s="189" t="s">
        <v>2562</v>
      </c>
      <c r="H85" s="12" t="s">
        <v>1113</v>
      </c>
      <c r="I85" s="14" t="s">
        <v>1067</v>
      </c>
    </row>
    <row r="86" spans="1:9">
      <c r="A86" s="5" t="s">
        <v>2561</v>
      </c>
      <c r="B86" s="187" t="s">
        <v>1095</v>
      </c>
      <c r="C86" s="6" t="s">
        <v>1097</v>
      </c>
      <c r="D86" s="12" t="s">
        <v>1113</v>
      </c>
      <c r="E86" s="167">
        <v>0</v>
      </c>
      <c r="F86" s="6" t="s">
        <v>1096</v>
      </c>
      <c r="G86" s="189" t="s">
        <v>2562</v>
      </c>
      <c r="H86" s="12" t="s">
        <v>1113</v>
      </c>
      <c r="I86" s="14" t="s">
        <v>1067</v>
      </c>
    </row>
    <row r="87" spans="1:9">
      <c r="A87" s="5" t="s">
        <v>2561</v>
      </c>
      <c r="B87" s="187" t="s">
        <v>1098</v>
      </c>
      <c r="C87" s="6" t="s">
        <v>1100</v>
      </c>
      <c r="D87" s="12" t="s">
        <v>1113</v>
      </c>
      <c r="E87" s="167">
        <v>0</v>
      </c>
      <c r="F87" s="6" t="s">
        <v>1099</v>
      </c>
      <c r="G87" s="189" t="s">
        <v>2562</v>
      </c>
      <c r="H87" s="12" t="s">
        <v>1113</v>
      </c>
      <c r="I87" s="14" t="s">
        <v>1067</v>
      </c>
    </row>
    <row r="88" spans="1:9">
      <c r="A88" s="5" t="s">
        <v>2561</v>
      </c>
      <c r="B88" s="187" t="s">
        <v>1101</v>
      </c>
      <c r="C88" s="6" t="s">
        <v>1103</v>
      </c>
      <c r="D88" s="12" t="s">
        <v>1113</v>
      </c>
      <c r="E88" s="167">
        <v>0</v>
      </c>
      <c r="F88" s="6" t="s">
        <v>1102</v>
      </c>
      <c r="G88" s="189" t="s">
        <v>2562</v>
      </c>
      <c r="H88" s="12" t="s">
        <v>1113</v>
      </c>
      <c r="I88" s="14" t="s">
        <v>1067</v>
      </c>
    </row>
    <row r="89" spans="1:9">
      <c r="A89" s="5" t="s">
        <v>2561</v>
      </c>
      <c r="B89" s="187" t="s">
        <v>1104</v>
      </c>
      <c r="C89" s="6" t="s">
        <v>1106</v>
      </c>
      <c r="D89" s="12" t="s">
        <v>1113</v>
      </c>
      <c r="E89" s="167">
        <v>0</v>
      </c>
      <c r="F89" s="6" t="s">
        <v>1105</v>
      </c>
      <c r="G89" s="189" t="s">
        <v>2562</v>
      </c>
      <c r="H89" s="12" t="s">
        <v>1113</v>
      </c>
      <c r="I89" s="14" t="s">
        <v>1067</v>
      </c>
    </row>
    <row r="90" spans="1:9">
      <c r="A90" s="5" t="s">
        <v>2561</v>
      </c>
      <c r="B90" s="187" t="s">
        <v>1107</v>
      </c>
      <c r="C90" s="6" t="s">
        <v>1109</v>
      </c>
      <c r="D90" s="12" t="s">
        <v>1113</v>
      </c>
      <c r="E90" s="167">
        <v>0</v>
      </c>
      <c r="F90" s="6" t="s">
        <v>1108</v>
      </c>
      <c r="G90" s="189" t="s">
        <v>2562</v>
      </c>
      <c r="H90" s="12" t="s">
        <v>1113</v>
      </c>
      <c r="I90" s="14" t="s">
        <v>1067</v>
      </c>
    </row>
    <row r="91" spans="1:9">
      <c r="A91" s="7" t="s">
        <v>2561</v>
      </c>
      <c r="B91" s="188" t="s">
        <v>2542</v>
      </c>
      <c r="C91" s="8" t="s">
        <v>2540</v>
      </c>
      <c r="D91" s="13" t="s">
        <v>1113</v>
      </c>
      <c r="E91" s="168">
        <v>0</v>
      </c>
      <c r="F91" s="8" t="s">
        <v>2541</v>
      </c>
      <c r="G91" s="190" t="s">
        <v>2562</v>
      </c>
      <c r="H91" s="13" t="s">
        <v>1113</v>
      </c>
      <c r="I91" s="15" t="s">
        <v>2543</v>
      </c>
    </row>
  </sheetData>
  <autoFilter ref="A5:I91" xr:uid="{66250CDA-FE4E-E74B-968F-00BE7CB94CEE}"/>
  <phoneticPr fontId="2"/>
  <conditionalFormatting sqref="A6:I91">
    <cfRule type="expression" dxfId="48" priority="1">
      <formula>$H6="確定"</formula>
    </cfRule>
  </conditionalFormatting>
  <conditionalFormatting sqref="A6:I91">
    <cfRule type="expression" dxfId="47" priority="2">
      <formula>$H6="方向性確定（条件付き）"</formula>
    </cfRule>
  </conditionalFormatting>
  <conditionalFormatting sqref="A6:I91">
    <cfRule type="expression" dxfId="46" priority="3">
      <formula>$H6="検討中"</formula>
    </cfRule>
  </conditionalFormatting>
  <conditionalFormatting sqref="A6:I91">
    <cfRule type="expression" dxfId="45" priority="4">
      <formula>$H6="外部待ち"</formula>
    </cfRule>
  </conditionalFormatting>
  <conditionalFormatting sqref="A6:I91">
    <cfRule type="expression" dxfId="44" priority="5">
      <formula>$H6="対象外"</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Y108"/>
  <sheetViews>
    <sheetView topLeftCell="B1" zoomScale="150" workbookViewId="0">
      <pane ySplit="5" topLeftCell="A6" activePane="bottomLeft" state="frozen"/>
      <selection pane="bottomLeft" activeCell="I15" sqref="I15"/>
    </sheetView>
  </sheetViews>
  <sheetFormatPr baseColWidth="10" defaultRowHeight="20"/>
  <cols>
    <col min="1" max="1" width="15" customWidth="1"/>
    <col min="2" max="2" width="23.5703125" customWidth="1"/>
    <col min="3" max="3" width="35.7109375" customWidth="1"/>
    <col min="4" max="4" width="14.28515625" customWidth="1"/>
    <col min="5" max="5" width="45.7109375" customWidth="1"/>
    <col min="6" max="6" width="57.140625" customWidth="1"/>
    <col min="7" max="7" width="27.140625" customWidth="1"/>
    <col min="8" max="8" width="17.85546875" customWidth="1"/>
    <col min="9" max="9" width="10.7109375" customWidth="1"/>
    <col min="10" max="10" width="15.7109375" customWidth="1"/>
    <col min="11" max="12" width="12.140625" customWidth="1"/>
    <col min="13" max="13" width="18.5703125" customWidth="1"/>
    <col min="14" max="14" width="21.42578125" customWidth="1"/>
    <col min="15" max="15" width="19.28515625" customWidth="1"/>
    <col min="16" max="16" width="24.28515625" customWidth="1"/>
    <col min="17" max="17" width="10" customWidth="1"/>
    <col min="18" max="18" width="40" customWidth="1"/>
    <col min="19" max="19" width="100" customWidth="1"/>
    <col min="20" max="20" width="74.28515625" customWidth="1"/>
    <col min="21" max="23" width="13.5703125" customWidth="1"/>
    <col min="24" max="24" width="15.7109375" customWidth="1"/>
    <col min="25" max="25" width="65.7109375" customWidth="1"/>
  </cols>
  <sheetData>
    <row r="1" spans="1:25" ht="25">
      <c r="A1" s="48" t="s">
        <v>2580</v>
      </c>
    </row>
    <row r="2" spans="1:25">
      <c r="A2" s="3" t="s">
        <v>2315</v>
      </c>
    </row>
    <row r="3" spans="1:25">
      <c r="A3" s="55" t="s">
        <v>2774</v>
      </c>
    </row>
    <row r="4" spans="1:25">
      <c r="R4" s="173" t="s">
        <v>2316</v>
      </c>
    </row>
    <row r="5" spans="1:25" ht="26" customHeight="1">
      <c r="A5" s="9" t="s">
        <v>2158</v>
      </c>
      <c r="B5" s="10" t="s">
        <v>2159</v>
      </c>
      <c r="C5" s="10" t="s">
        <v>2160</v>
      </c>
      <c r="D5" s="10" t="s">
        <v>2161</v>
      </c>
      <c r="E5" s="10" t="s">
        <v>2162</v>
      </c>
      <c r="F5" s="10" t="s">
        <v>2163</v>
      </c>
      <c r="G5" s="10" t="s">
        <v>2164</v>
      </c>
      <c r="H5" s="10" t="s">
        <v>2165</v>
      </c>
      <c r="I5" s="10" t="s">
        <v>2166</v>
      </c>
      <c r="J5" s="10" t="s">
        <v>2167</v>
      </c>
      <c r="K5" s="10" t="s">
        <v>2169</v>
      </c>
      <c r="L5" s="10" t="s">
        <v>2171</v>
      </c>
      <c r="M5" s="10" t="s">
        <v>2172</v>
      </c>
      <c r="N5" s="10" t="s">
        <v>2173</v>
      </c>
      <c r="O5" s="10" t="s">
        <v>2174</v>
      </c>
      <c r="P5" s="11" t="s">
        <v>2175</v>
      </c>
      <c r="R5" s="20" t="s">
        <v>2317</v>
      </c>
      <c r="S5" s="21" t="s">
        <v>2153</v>
      </c>
      <c r="T5" s="21" t="s">
        <v>2318</v>
      </c>
      <c r="U5" s="21" t="s">
        <v>2168</v>
      </c>
      <c r="V5" s="21" t="s">
        <v>2170</v>
      </c>
      <c r="W5" s="21" t="s">
        <v>2319</v>
      </c>
      <c r="X5" s="22" t="s">
        <v>2771</v>
      </c>
      <c r="Y5" s="204" t="s">
        <v>2772</v>
      </c>
    </row>
    <row r="6" spans="1:25">
      <c r="A6" s="50" t="s">
        <v>1802</v>
      </c>
      <c r="B6" s="6" t="s">
        <v>189</v>
      </c>
      <c r="C6" s="6" t="s">
        <v>1803</v>
      </c>
      <c r="D6" s="12" t="s">
        <v>1804</v>
      </c>
      <c r="E6" s="6" t="s">
        <v>1805</v>
      </c>
      <c r="F6" s="6" t="s">
        <v>1806</v>
      </c>
      <c r="G6" s="154" t="s">
        <v>1807</v>
      </c>
      <c r="H6" s="12" t="s">
        <v>1808</v>
      </c>
      <c r="I6" s="12" t="s">
        <v>1809</v>
      </c>
      <c r="J6" s="171">
        <v>4</v>
      </c>
      <c r="K6" s="169">
        <v>1.6</v>
      </c>
      <c r="L6" s="169">
        <v>2.4</v>
      </c>
      <c r="M6" s="12" t="s">
        <v>2176</v>
      </c>
      <c r="N6" s="12" t="s">
        <v>1810</v>
      </c>
      <c r="O6" s="154" t="s">
        <v>1811</v>
      </c>
      <c r="P6" s="156" t="s">
        <v>2177</v>
      </c>
      <c r="R6" s="23" t="s">
        <v>189</v>
      </c>
      <c r="S6" s="31">
        <f>COUNTIF($B$6:$B$108,$R6)</f>
        <v>10</v>
      </c>
      <c r="T6" s="31">
        <f>SUMIF($B$6:$B$108,$R6,$J$6:$J$108)</f>
        <v>106</v>
      </c>
      <c r="U6" s="31">
        <f>SUMIF($B$6:$B$108,$R6,$K$6:$K$108)</f>
        <v>42.400000000000006</v>
      </c>
      <c r="V6" s="31">
        <f>SUMIF($B$6:$B$108,$R6,$L$6:$L$108)</f>
        <v>63.599999999999994</v>
      </c>
      <c r="W6" s="31" t="s">
        <v>2770</v>
      </c>
      <c r="X6" s="159">
        <f>U6+V6</f>
        <v>106</v>
      </c>
    </row>
    <row r="7" spans="1:25">
      <c r="A7" s="50" t="s">
        <v>1812</v>
      </c>
      <c r="B7" s="6" t="s">
        <v>189</v>
      </c>
      <c r="C7" s="6" t="s">
        <v>1813</v>
      </c>
      <c r="D7" s="12" t="s">
        <v>1804</v>
      </c>
      <c r="E7" s="6" t="s">
        <v>1814</v>
      </c>
      <c r="F7" s="6" t="s">
        <v>2178</v>
      </c>
      <c r="G7" s="154" t="s">
        <v>1815</v>
      </c>
      <c r="H7" s="12" t="s">
        <v>193</v>
      </c>
      <c r="I7" s="12" t="s">
        <v>1816</v>
      </c>
      <c r="J7" s="171">
        <v>10</v>
      </c>
      <c r="K7" s="169">
        <v>4</v>
      </c>
      <c r="L7" s="169">
        <v>6</v>
      </c>
      <c r="M7" s="12" t="s">
        <v>2176</v>
      </c>
      <c r="N7" s="12" t="s">
        <v>1817</v>
      </c>
      <c r="O7" s="154" t="s">
        <v>1811</v>
      </c>
      <c r="P7" s="156" t="s">
        <v>2177</v>
      </c>
      <c r="R7" s="23" t="s">
        <v>198</v>
      </c>
      <c r="S7" s="31">
        <f>COUNTIF($B$6:$B$108,$R7)</f>
        <v>11</v>
      </c>
      <c r="T7" s="31">
        <f>SUMIF($B$6:$B$108,$R7,$J$6:$J$108)</f>
        <v>134</v>
      </c>
      <c r="U7" s="31">
        <f>SUMIF($B$6:$B$108,$R7,$K$6:$K$108)</f>
        <v>53.6</v>
      </c>
      <c r="V7" s="31">
        <f>SUMIF($B$6:$B$108,$R7,$L$6:$L$108)</f>
        <v>80.400000000000006</v>
      </c>
      <c r="W7" s="31" t="s">
        <v>2770</v>
      </c>
      <c r="X7" s="159">
        <f>U7+V7</f>
        <v>134</v>
      </c>
    </row>
    <row r="8" spans="1:25">
      <c r="A8" s="50" t="s">
        <v>1818</v>
      </c>
      <c r="B8" s="6" t="s">
        <v>189</v>
      </c>
      <c r="C8" s="6" t="s">
        <v>1819</v>
      </c>
      <c r="D8" s="12" t="s">
        <v>1804</v>
      </c>
      <c r="E8" s="6" t="s">
        <v>1820</v>
      </c>
      <c r="F8" s="6" t="s">
        <v>1821</v>
      </c>
      <c r="G8" s="154" t="s">
        <v>1822</v>
      </c>
      <c r="H8" s="12" t="s">
        <v>193</v>
      </c>
      <c r="I8" s="12" t="s">
        <v>1816</v>
      </c>
      <c r="J8" s="171">
        <v>11</v>
      </c>
      <c r="K8" s="169">
        <v>4.4000000000000004</v>
      </c>
      <c r="L8" s="169">
        <v>6.6</v>
      </c>
      <c r="M8" s="12" t="s">
        <v>2176</v>
      </c>
      <c r="N8" s="12" t="s">
        <v>1817</v>
      </c>
      <c r="O8" s="154" t="s">
        <v>1811</v>
      </c>
      <c r="P8" s="156" t="s">
        <v>2177</v>
      </c>
      <c r="R8" s="23" t="s">
        <v>649</v>
      </c>
      <c r="S8" s="31">
        <f>COUNTIF($B$6:$B$108,$R8)</f>
        <v>11</v>
      </c>
      <c r="T8" s="31">
        <f>SUMIF($B$6:$B$108,$R8,$J$6:$J$108)</f>
        <v>74</v>
      </c>
      <c r="U8" s="31">
        <f>SUMIF($B$6:$B$108,$R8,$K$6:$K$108)</f>
        <v>29.600000000000005</v>
      </c>
      <c r="V8" s="31">
        <f>SUMIF($B$6:$B$108,$R8,$L$6:$L$108)</f>
        <v>44.399999999999991</v>
      </c>
      <c r="W8" s="31" t="s">
        <v>2770</v>
      </c>
      <c r="X8" s="159">
        <f>U8+V8</f>
        <v>74</v>
      </c>
    </row>
    <row r="9" spans="1:25">
      <c r="A9" s="50" t="s">
        <v>1822</v>
      </c>
      <c r="B9" s="6" t="s">
        <v>189</v>
      </c>
      <c r="C9" s="6" t="s">
        <v>1823</v>
      </c>
      <c r="D9" s="12" t="s">
        <v>1824</v>
      </c>
      <c r="E9" s="6" t="s">
        <v>1825</v>
      </c>
      <c r="F9" s="6" t="s">
        <v>1826</v>
      </c>
      <c r="G9" s="154" t="s">
        <v>1818</v>
      </c>
      <c r="H9" s="12" t="s">
        <v>193</v>
      </c>
      <c r="I9" s="12" t="s">
        <v>1827</v>
      </c>
      <c r="J9" s="171">
        <v>24</v>
      </c>
      <c r="K9" s="169">
        <v>9.6</v>
      </c>
      <c r="L9" s="169">
        <v>14.4</v>
      </c>
      <c r="M9" s="12" t="s">
        <v>2176</v>
      </c>
      <c r="N9" s="12" t="s">
        <v>1817</v>
      </c>
      <c r="O9" s="154" t="s">
        <v>1811</v>
      </c>
      <c r="P9" s="156" t="s">
        <v>2177</v>
      </c>
      <c r="R9" s="23" t="s">
        <v>519</v>
      </c>
      <c r="S9" s="31">
        <f>COUNTIF($B$6:$B$108,$R9)</f>
        <v>8</v>
      </c>
      <c r="T9" s="31">
        <f>SUMIF($B$6:$B$108,$R9,$J$6:$J$108)</f>
        <v>74</v>
      </c>
      <c r="U9" s="31">
        <f>SUMIF($B$6:$B$108,$R9,$K$6:$K$108)</f>
        <v>29.6</v>
      </c>
      <c r="V9" s="31">
        <f>SUMIF($B$6:$B$108,$R9,$L$6:$L$108)</f>
        <v>44.4</v>
      </c>
      <c r="W9" s="31" t="s">
        <v>2770</v>
      </c>
      <c r="X9" s="159">
        <f>U9+V9</f>
        <v>74</v>
      </c>
    </row>
    <row r="10" spans="1:25">
      <c r="A10" s="50" t="s">
        <v>1828</v>
      </c>
      <c r="B10" s="6" t="s">
        <v>189</v>
      </c>
      <c r="C10" s="6" t="s">
        <v>1829</v>
      </c>
      <c r="D10" s="12" t="s">
        <v>1804</v>
      </c>
      <c r="E10" s="6" t="s">
        <v>1830</v>
      </c>
      <c r="F10" s="6" t="s">
        <v>1831</v>
      </c>
      <c r="G10" s="154" t="s">
        <v>1832</v>
      </c>
      <c r="H10" s="12" t="s">
        <v>1808</v>
      </c>
      <c r="I10" s="12" t="s">
        <v>1809</v>
      </c>
      <c r="J10" s="171">
        <v>4</v>
      </c>
      <c r="K10" s="169">
        <v>1.6</v>
      </c>
      <c r="L10" s="169">
        <v>2.4</v>
      </c>
      <c r="M10" s="12" t="s">
        <v>2176</v>
      </c>
      <c r="N10" s="12" t="s">
        <v>1810</v>
      </c>
      <c r="O10" s="154" t="s">
        <v>1811</v>
      </c>
      <c r="P10" s="156" t="s">
        <v>2177</v>
      </c>
      <c r="R10" s="23" t="s">
        <v>201</v>
      </c>
      <c r="S10" s="31">
        <f>COUNTIF($B$6:$B$108,$R10)</f>
        <v>13</v>
      </c>
      <c r="T10" s="31">
        <f>SUMIF($B$6:$B$108,$R10,$J$6:$J$108)</f>
        <v>138</v>
      </c>
      <c r="U10" s="31">
        <f>SUMIF($B$6:$B$108,$R10,$K$6:$K$108)</f>
        <v>55.2</v>
      </c>
      <c r="V10" s="31">
        <f>SUMIF($B$6:$B$108,$R10,$L$6:$L$108)</f>
        <v>82.8</v>
      </c>
      <c r="W10" s="31" t="s">
        <v>2770</v>
      </c>
      <c r="X10" s="159">
        <f>U10+V10</f>
        <v>138</v>
      </c>
    </row>
    <row r="11" spans="1:25">
      <c r="A11" s="50" t="s">
        <v>1833</v>
      </c>
      <c r="B11" s="6" t="s">
        <v>189</v>
      </c>
      <c r="C11" s="6" t="s">
        <v>1834</v>
      </c>
      <c r="D11" s="12" t="s">
        <v>1804</v>
      </c>
      <c r="E11" s="6" t="s">
        <v>1835</v>
      </c>
      <c r="F11" s="6" t="s">
        <v>1836</v>
      </c>
      <c r="G11" s="154" t="s">
        <v>1802</v>
      </c>
      <c r="H11" s="12" t="s">
        <v>196</v>
      </c>
      <c r="I11" s="12" t="s">
        <v>1816</v>
      </c>
      <c r="J11" s="171">
        <v>9</v>
      </c>
      <c r="K11" s="169">
        <v>3.6</v>
      </c>
      <c r="L11" s="169">
        <v>5.4</v>
      </c>
      <c r="M11" s="12" t="s">
        <v>2176</v>
      </c>
      <c r="N11" s="12" t="s">
        <v>1817</v>
      </c>
      <c r="O11" s="154" t="s">
        <v>1811</v>
      </c>
      <c r="P11" s="156" t="s">
        <v>2177</v>
      </c>
      <c r="R11" s="23" t="s">
        <v>206</v>
      </c>
      <c r="S11" s="31">
        <f>COUNTIF($B$6:$B$108,$R11)</f>
        <v>15</v>
      </c>
      <c r="T11" s="31">
        <f>SUMIF($B$6:$B$108,$R11,$J$6:$J$108)</f>
        <v>156</v>
      </c>
      <c r="U11" s="31">
        <f>SUMIF($B$6:$B$108,$R11,$K$6:$K$108)</f>
        <v>62.400000000000006</v>
      </c>
      <c r="V11" s="31">
        <f>SUMIF($B$6:$B$108,$R11,$L$6:$L$108)</f>
        <v>93.600000000000023</v>
      </c>
      <c r="W11" s="31" t="s">
        <v>2770</v>
      </c>
      <c r="X11" s="159">
        <f>U11+V11</f>
        <v>156.00000000000003</v>
      </c>
    </row>
    <row r="12" spans="1:25">
      <c r="A12" s="50" t="s">
        <v>1837</v>
      </c>
      <c r="B12" s="6" t="s">
        <v>189</v>
      </c>
      <c r="C12" s="6" t="s">
        <v>1838</v>
      </c>
      <c r="D12" s="12" t="s">
        <v>1804</v>
      </c>
      <c r="E12" s="6" t="s">
        <v>1839</v>
      </c>
      <c r="F12" s="6" t="s">
        <v>1840</v>
      </c>
      <c r="G12" s="154" t="s">
        <v>1802</v>
      </c>
      <c r="H12" s="12" t="s">
        <v>1808</v>
      </c>
      <c r="I12" s="12" t="s">
        <v>1809</v>
      </c>
      <c r="J12" s="171">
        <v>4</v>
      </c>
      <c r="K12" s="169">
        <v>1.6</v>
      </c>
      <c r="L12" s="169">
        <v>2.4</v>
      </c>
      <c r="M12" s="12" t="s">
        <v>2176</v>
      </c>
      <c r="N12" s="12" t="s">
        <v>1810</v>
      </c>
      <c r="O12" s="154" t="s">
        <v>1811</v>
      </c>
      <c r="P12" s="156" t="s">
        <v>2177</v>
      </c>
      <c r="R12" s="23" t="s">
        <v>209</v>
      </c>
      <c r="S12" s="31">
        <f>COUNTIF($B$6:$B$108,$R12)</f>
        <v>12</v>
      </c>
      <c r="T12" s="31">
        <f>SUMIF($B$6:$B$108,$R12,$J$6:$J$108)</f>
        <v>102</v>
      </c>
      <c r="U12" s="31">
        <f>SUMIF($B$6:$B$108,$R12,$K$6:$K$108)</f>
        <v>40.800000000000004</v>
      </c>
      <c r="V12" s="31">
        <f>SUMIF($B$6:$B$108,$R12,$L$6:$L$108)</f>
        <v>61.199999999999989</v>
      </c>
      <c r="W12" s="31" t="s">
        <v>2770</v>
      </c>
      <c r="X12" s="159">
        <f>U12+V12</f>
        <v>102</v>
      </c>
    </row>
    <row r="13" spans="1:25">
      <c r="A13" s="50" t="s">
        <v>1841</v>
      </c>
      <c r="B13" s="6" t="s">
        <v>189</v>
      </c>
      <c r="C13" s="6" t="s">
        <v>1842</v>
      </c>
      <c r="D13" s="12" t="s">
        <v>1843</v>
      </c>
      <c r="E13" s="6" t="s">
        <v>1844</v>
      </c>
      <c r="F13" s="6" t="s">
        <v>1845</v>
      </c>
      <c r="G13" s="154" t="s">
        <v>1846</v>
      </c>
      <c r="H13" s="12" t="s">
        <v>190</v>
      </c>
      <c r="I13" s="12" t="s">
        <v>1816</v>
      </c>
      <c r="J13" s="171">
        <v>12</v>
      </c>
      <c r="K13" s="169">
        <v>4.8</v>
      </c>
      <c r="L13" s="169">
        <v>7.2</v>
      </c>
      <c r="M13" s="12" t="s">
        <v>2176</v>
      </c>
      <c r="N13" s="12" t="s">
        <v>1817</v>
      </c>
      <c r="O13" s="154" t="s">
        <v>1811</v>
      </c>
      <c r="P13" s="156" t="s">
        <v>2177</v>
      </c>
      <c r="R13" s="23" t="s">
        <v>2084</v>
      </c>
      <c r="S13" s="31">
        <f>COUNTIF($B$6:$B$108,$R13)</f>
        <v>3</v>
      </c>
      <c r="T13" s="31">
        <f>SUMIF($B$6:$B$108,$R13,$J$6:$J$108)</f>
        <v>48</v>
      </c>
      <c r="U13" s="31">
        <f>SUMIF($B$6:$B$108,$R13,$K$6:$K$108)</f>
        <v>19.2</v>
      </c>
      <c r="V13" s="31">
        <f>SUMIF($B$6:$B$108,$R13,$L$6:$L$108)</f>
        <v>28.8</v>
      </c>
      <c r="W13" s="31" t="s">
        <v>2770</v>
      </c>
      <c r="X13" s="159">
        <f>U13+V13</f>
        <v>48</v>
      </c>
    </row>
    <row r="14" spans="1:25">
      <c r="A14" s="50" t="s">
        <v>2179</v>
      </c>
      <c r="B14" s="6" t="s">
        <v>189</v>
      </c>
      <c r="C14" s="6" t="s">
        <v>2180</v>
      </c>
      <c r="D14" s="12" t="s">
        <v>1922</v>
      </c>
      <c r="E14" s="6" t="s">
        <v>2181</v>
      </c>
      <c r="F14" s="6" t="s">
        <v>2182</v>
      </c>
      <c r="G14" s="154" t="s">
        <v>1802</v>
      </c>
      <c r="H14" s="12" t="s">
        <v>1808</v>
      </c>
      <c r="I14" s="12" t="s">
        <v>1827</v>
      </c>
      <c r="J14" s="171">
        <v>18</v>
      </c>
      <c r="K14" s="169">
        <v>7.2</v>
      </c>
      <c r="L14" s="169">
        <v>10.8</v>
      </c>
      <c r="M14" s="12" t="s">
        <v>2183</v>
      </c>
      <c r="N14" s="12" t="s">
        <v>2184</v>
      </c>
      <c r="O14" s="154" t="s">
        <v>2185</v>
      </c>
      <c r="P14" s="156" t="s">
        <v>2186</v>
      </c>
      <c r="R14" s="23" t="s">
        <v>2092</v>
      </c>
      <c r="S14" s="31">
        <f>COUNTIF($B$6:$B$108,$R14)</f>
        <v>9</v>
      </c>
      <c r="T14" s="31">
        <f>SUMIF($B$6:$B$108,$R14,$J$6:$J$108)</f>
        <v>102</v>
      </c>
      <c r="U14" s="31">
        <f>SUMIF($B$6:$B$108,$R14,$K$6:$K$108)</f>
        <v>40.800000000000004</v>
      </c>
      <c r="V14" s="31">
        <f>SUMIF($B$6:$B$108,$R14,$L$6:$L$108)</f>
        <v>61.2</v>
      </c>
      <c r="W14" s="31" t="s">
        <v>2770</v>
      </c>
      <c r="X14" s="159">
        <f>U14+V14</f>
        <v>102</v>
      </c>
    </row>
    <row r="15" spans="1:25">
      <c r="A15" s="50" t="s">
        <v>2187</v>
      </c>
      <c r="B15" s="6" t="s">
        <v>189</v>
      </c>
      <c r="C15" s="6" t="s">
        <v>2188</v>
      </c>
      <c r="D15" s="12" t="s">
        <v>1804</v>
      </c>
      <c r="E15" s="6" t="s">
        <v>2189</v>
      </c>
      <c r="F15" s="6" t="s">
        <v>2190</v>
      </c>
      <c r="G15" s="154" t="s">
        <v>1812</v>
      </c>
      <c r="H15" s="12" t="s">
        <v>1808</v>
      </c>
      <c r="I15" s="12" t="s">
        <v>1816</v>
      </c>
      <c r="J15" s="171">
        <v>10</v>
      </c>
      <c r="K15" s="169">
        <v>4</v>
      </c>
      <c r="L15" s="169">
        <v>6</v>
      </c>
      <c r="M15" s="12" t="s">
        <v>2176</v>
      </c>
      <c r="N15" s="12" t="s">
        <v>1810</v>
      </c>
      <c r="O15" s="154" t="s">
        <v>2185</v>
      </c>
      <c r="P15" s="156" t="s">
        <v>2191</v>
      </c>
      <c r="R15" s="23" t="s">
        <v>842</v>
      </c>
      <c r="S15" s="31">
        <f>COUNTIF($B$6:$B$108,$R15)</f>
        <v>11</v>
      </c>
      <c r="T15" s="31">
        <f>SUMIF($B$6:$B$108,$R15,$J$6:$J$108)</f>
        <v>110</v>
      </c>
      <c r="U15" s="31">
        <f>SUMIF($B$6:$B$108,$R15,$K$6:$K$108)</f>
        <v>44</v>
      </c>
      <c r="V15" s="31">
        <f>SUMIF($B$6:$B$108,$R15,$L$6:$L$108)</f>
        <v>66</v>
      </c>
      <c r="W15" s="31" t="s">
        <v>2770</v>
      </c>
      <c r="X15" s="159">
        <f>U15+V15</f>
        <v>110</v>
      </c>
    </row>
    <row r="16" spans="1:25">
      <c r="A16" s="50" t="s">
        <v>1847</v>
      </c>
      <c r="B16" s="6" t="s">
        <v>198</v>
      </c>
      <c r="C16" s="6" t="s">
        <v>1848</v>
      </c>
      <c r="D16" s="12" t="s">
        <v>1849</v>
      </c>
      <c r="E16" s="6" t="s">
        <v>1850</v>
      </c>
      <c r="F16" s="6" t="s">
        <v>1851</v>
      </c>
      <c r="G16" s="154" t="s">
        <v>1852</v>
      </c>
      <c r="H16" s="12" t="s">
        <v>1808</v>
      </c>
      <c r="I16" s="12" t="s">
        <v>1816</v>
      </c>
      <c r="J16" s="171">
        <v>10</v>
      </c>
      <c r="K16" s="169">
        <v>4</v>
      </c>
      <c r="L16" s="169">
        <v>6</v>
      </c>
      <c r="M16" s="12" t="s">
        <v>2176</v>
      </c>
      <c r="N16" s="12" t="s">
        <v>1810</v>
      </c>
      <c r="O16" s="154" t="s">
        <v>1811</v>
      </c>
      <c r="P16" s="156" t="s">
        <v>2177</v>
      </c>
      <c r="R16" s="23" t="s">
        <v>2320</v>
      </c>
      <c r="S16" s="31" t="s">
        <v>1808</v>
      </c>
      <c r="T16" s="31">
        <v>0</v>
      </c>
      <c r="U16" s="31">
        <v>0</v>
      </c>
      <c r="V16" s="31">
        <v>0</v>
      </c>
      <c r="W16" s="31" t="s">
        <v>2770</v>
      </c>
      <c r="X16" s="159">
        <f>U16+V16</f>
        <v>0</v>
      </c>
    </row>
    <row r="17" spans="1:24">
      <c r="A17" s="50" t="s">
        <v>1853</v>
      </c>
      <c r="B17" s="6" t="s">
        <v>198</v>
      </c>
      <c r="C17" s="6" t="s">
        <v>1854</v>
      </c>
      <c r="D17" s="12" t="s">
        <v>1855</v>
      </c>
      <c r="E17" s="6" t="s">
        <v>1856</v>
      </c>
      <c r="F17" s="6" t="s">
        <v>1857</v>
      </c>
      <c r="G17" s="154" t="s">
        <v>1822</v>
      </c>
      <c r="H17" s="12" t="s">
        <v>193</v>
      </c>
      <c r="I17" s="12" t="s">
        <v>1816</v>
      </c>
      <c r="J17" s="171">
        <v>11</v>
      </c>
      <c r="K17" s="169">
        <v>4.4000000000000004</v>
      </c>
      <c r="L17" s="169">
        <v>6.6</v>
      </c>
      <c r="M17" s="12" t="s">
        <v>2176</v>
      </c>
      <c r="N17" s="12" t="s">
        <v>1817</v>
      </c>
      <c r="O17" s="154" t="s">
        <v>1811</v>
      </c>
      <c r="P17" s="156" t="s">
        <v>2177</v>
      </c>
      <c r="R17" s="25" t="s">
        <v>4</v>
      </c>
      <c r="S17" s="32">
        <f>SUM(S6:S16)</f>
        <v>103</v>
      </c>
      <c r="T17" s="32">
        <f>SUM(T6:T16)</f>
        <v>1044</v>
      </c>
      <c r="U17" s="32">
        <f>SUM(U6:U16)</f>
        <v>417.60000000000008</v>
      </c>
      <c r="V17" s="32">
        <f>SUM(V6:V16)</f>
        <v>626.4</v>
      </c>
      <c r="W17" s="32">
        <f>'WBS(テスト)'!$C$60</f>
        <v>363</v>
      </c>
      <c r="X17" s="160">
        <f>SUM(X6:X16)</f>
        <v>1044</v>
      </c>
    </row>
    <row r="18" spans="1:24">
      <c r="A18" s="50" t="s">
        <v>1858</v>
      </c>
      <c r="B18" s="6" t="s">
        <v>198</v>
      </c>
      <c r="C18" s="6" t="s">
        <v>1859</v>
      </c>
      <c r="D18" s="12" t="s">
        <v>1860</v>
      </c>
      <c r="E18" s="6" t="s">
        <v>1861</v>
      </c>
      <c r="F18" s="6" t="s">
        <v>1862</v>
      </c>
      <c r="G18" s="154" t="s">
        <v>1847</v>
      </c>
      <c r="H18" s="12" t="s">
        <v>199</v>
      </c>
      <c r="I18" s="12" t="s">
        <v>1827</v>
      </c>
      <c r="J18" s="171">
        <v>22</v>
      </c>
      <c r="K18" s="169">
        <v>8.8000000000000007</v>
      </c>
      <c r="L18" s="169">
        <v>13.2</v>
      </c>
      <c r="M18" s="12" t="s">
        <v>2176</v>
      </c>
      <c r="N18" s="12" t="s">
        <v>1817</v>
      </c>
      <c r="O18" s="154" t="s">
        <v>1811</v>
      </c>
      <c r="P18" s="156" t="s">
        <v>2177</v>
      </c>
      <c r="R18" s="1"/>
      <c r="S18" s="1"/>
      <c r="T18" s="1"/>
      <c r="U18" s="1"/>
      <c r="V18" s="1"/>
      <c r="W18" s="1"/>
      <c r="X18" s="1"/>
    </row>
    <row r="19" spans="1:24">
      <c r="A19" s="50" t="s">
        <v>1863</v>
      </c>
      <c r="B19" s="6" t="s">
        <v>198</v>
      </c>
      <c r="C19" s="6" t="s">
        <v>1864</v>
      </c>
      <c r="D19" s="12" t="s">
        <v>1865</v>
      </c>
      <c r="E19" s="6" t="s">
        <v>1866</v>
      </c>
      <c r="F19" s="6" t="s">
        <v>1867</v>
      </c>
      <c r="G19" s="154" t="s">
        <v>1868</v>
      </c>
      <c r="H19" s="12" t="s">
        <v>199</v>
      </c>
      <c r="I19" s="12" t="s">
        <v>1827</v>
      </c>
      <c r="J19" s="171">
        <v>22</v>
      </c>
      <c r="K19" s="169">
        <v>8.8000000000000007</v>
      </c>
      <c r="L19" s="169">
        <v>13.2</v>
      </c>
      <c r="M19" s="12" t="s">
        <v>2176</v>
      </c>
      <c r="N19" s="12" t="s">
        <v>1817</v>
      </c>
      <c r="O19" s="154" t="s">
        <v>1811</v>
      </c>
      <c r="P19" s="156" t="s">
        <v>2177</v>
      </c>
      <c r="R19" s="2" t="s">
        <v>2321</v>
      </c>
      <c r="S19" s="1"/>
      <c r="T19" s="1"/>
      <c r="U19" s="1"/>
      <c r="V19" s="1"/>
      <c r="W19" s="1"/>
      <c r="X19" s="1"/>
    </row>
    <row r="20" spans="1:24">
      <c r="A20" s="50" t="s">
        <v>1869</v>
      </c>
      <c r="B20" s="6" t="s">
        <v>198</v>
      </c>
      <c r="C20" s="6" t="s">
        <v>1870</v>
      </c>
      <c r="D20" s="12" t="s">
        <v>1860</v>
      </c>
      <c r="E20" s="6" t="s">
        <v>1871</v>
      </c>
      <c r="F20" s="6" t="s">
        <v>1872</v>
      </c>
      <c r="G20" s="154" t="s">
        <v>1873</v>
      </c>
      <c r="H20" s="12" t="s">
        <v>1808</v>
      </c>
      <c r="I20" s="12" t="s">
        <v>1816</v>
      </c>
      <c r="J20" s="171">
        <v>12</v>
      </c>
      <c r="K20" s="169">
        <v>4.8</v>
      </c>
      <c r="L20" s="169">
        <v>7.2</v>
      </c>
      <c r="M20" s="12" t="s">
        <v>2176</v>
      </c>
      <c r="N20" s="12" t="s">
        <v>1810</v>
      </c>
      <c r="O20" s="154" t="s">
        <v>1811</v>
      </c>
      <c r="P20" s="156" t="s">
        <v>2177</v>
      </c>
      <c r="R20" s="176" t="s">
        <v>2322</v>
      </c>
      <c r="S20" s="177" t="s">
        <v>2323</v>
      </c>
      <c r="T20" s="178" t="s">
        <v>2324</v>
      </c>
      <c r="U20" s="1"/>
      <c r="V20" s="1"/>
      <c r="W20" s="1"/>
      <c r="X20" s="1"/>
    </row>
    <row r="21" spans="1:24">
      <c r="A21" s="50" t="s">
        <v>1874</v>
      </c>
      <c r="B21" s="6" t="s">
        <v>198</v>
      </c>
      <c r="C21" s="6" t="s">
        <v>1875</v>
      </c>
      <c r="D21" s="12" t="s">
        <v>1876</v>
      </c>
      <c r="E21" s="6" t="s">
        <v>1877</v>
      </c>
      <c r="F21" s="6" t="s">
        <v>1878</v>
      </c>
      <c r="G21" s="154" t="s">
        <v>1869</v>
      </c>
      <c r="H21" s="12" t="s">
        <v>1808</v>
      </c>
      <c r="I21" s="12" t="s">
        <v>1816</v>
      </c>
      <c r="J21" s="171">
        <v>10</v>
      </c>
      <c r="K21" s="169">
        <v>4</v>
      </c>
      <c r="L21" s="169">
        <v>6</v>
      </c>
      <c r="M21" s="164" t="s">
        <v>2176</v>
      </c>
      <c r="N21" s="12" t="s">
        <v>1810</v>
      </c>
      <c r="O21" s="154" t="s">
        <v>1811</v>
      </c>
      <c r="P21" s="156" t="s">
        <v>2177</v>
      </c>
      <c r="R21" s="23" t="s">
        <v>2325</v>
      </c>
      <c r="S21" s="31">
        <v>244</v>
      </c>
      <c r="T21" s="29" t="s">
        <v>2581</v>
      </c>
      <c r="U21" s="1"/>
      <c r="V21" s="1"/>
      <c r="W21" s="1"/>
      <c r="X21" s="1"/>
    </row>
    <row r="22" spans="1:24">
      <c r="A22" s="50" t="s">
        <v>1879</v>
      </c>
      <c r="B22" s="6" t="s">
        <v>198</v>
      </c>
      <c r="C22" s="6" t="s">
        <v>1880</v>
      </c>
      <c r="D22" s="12" t="s">
        <v>1824</v>
      </c>
      <c r="E22" s="6" t="s">
        <v>1881</v>
      </c>
      <c r="F22" s="6" t="s">
        <v>1882</v>
      </c>
      <c r="G22" s="154" t="s">
        <v>1883</v>
      </c>
      <c r="H22" s="12" t="s">
        <v>193</v>
      </c>
      <c r="I22" s="12" t="s">
        <v>1816</v>
      </c>
      <c r="J22" s="171">
        <v>11</v>
      </c>
      <c r="K22" s="169">
        <v>4.4000000000000004</v>
      </c>
      <c r="L22" s="169">
        <v>6.6</v>
      </c>
      <c r="M22" s="164" t="s">
        <v>2176</v>
      </c>
      <c r="N22" s="165" t="s">
        <v>1817</v>
      </c>
      <c r="O22" s="154" t="s">
        <v>1811</v>
      </c>
      <c r="P22" s="156" t="s">
        <v>2177</v>
      </c>
      <c r="R22" s="23" t="s">
        <v>2326</v>
      </c>
      <c r="S22" s="31">
        <f>U17</f>
        <v>417.60000000000008</v>
      </c>
      <c r="T22" s="29" t="s">
        <v>2346</v>
      </c>
      <c r="U22" s="1"/>
      <c r="V22" s="1"/>
      <c r="W22" s="1"/>
      <c r="X22" s="1"/>
    </row>
    <row r="23" spans="1:24">
      <c r="A23" s="50" t="s">
        <v>1884</v>
      </c>
      <c r="B23" s="6" t="s">
        <v>198</v>
      </c>
      <c r="C23" s="6" t="s">
        <v>1885</v>
      </c>
      <c r="D23" s="12" t="s">
        <v>1860</v>
      </c>
      <c r="E23" s="6" t="s">
        <v>1886</v>
      </c>
      <c r="F23" s="6" t="s">
        <v>1887</v>
      </c>
      <c r="G23" s="154" t="s">
        <v>1888</v>
      </c>
      <c r="H23" s="12" t="s">
        <v>1808</v>
      </c>
      <c r="I23" s="12" t="s">
        <v>1816</v>
      </c>
      <c r="J23" s="171">
        <v>12</v>
      </c>
      <c r="K23" s="169">
        <v>4.8</v>
      </c>
      <c r="L23" s="169">
        <v>7.2</v>
      </c>
      <c r="M23" s="164" t="s">
        <v>2176</v>
      </c>
      <c r="N23" s="165" t="s">
        <v>1810</v>
      </c>
      <c r="O23" s="154" t="s">
        <v>1811</v>
      </c>
      <c r="P23" s="156" t="s">
        <v>2177</v>
      </c>
      <c r="R23" s="23" t="s">
        <v>2327</v>
      </c>
      <c r="S23" s="31">
        <f>V17</f>
        <v>626.4</v>
      </c>
      <c r="T23" s="29" t="s">
        <v>2347</v>
      </c>
      <c r="U23" s="1"/>
      <c r="V23" s="1"/>
      <c r="W23" s="1"/>
      <c r="X23" s="1"/>
    </row>
    <row r="24" spans="1:24">
      <c r="A24" s="50" t="s">
        <v>2192</v>
      </c>
      <c r="B24" s="6" t="s">
        <v>198</v>
      </c>
      <c r="C24" s="6" t="s">
        <v>2193</v>
      </c>
      <c r="D24" s="12" t="s">
        <v>1860</v>
      </c>
      <c r="E24" s="6" t="s">
        <v>2194</v>
      </c>
      <c r="F24" s="6" t="s">
        <v>2195</v>
      </c>
      <c r="G24" s="154" t="s">
        <v>1869</v>
      </c>
      <c r="H24" s="12" t="s">
        <v>1808</v>
      </c>
      <c r="I24" s="12" t="s">
        <v>1816</v>
      </c>
      <c r="J24" s="171">
        <v>9</v>
      </c>
      <c r="K24" s="169">
        <v>3.6</v>
      </c>
      <c r="L24" s="169">
        <v>5.4</v>
      </c>
      <c r="M24" s="164" t="s">
        <v>2176</v>
      </c>
      <c r="N24" s="166" t="s">
        <v>1810</v>
      </c>
      <c r="O24" s="154" t="s">
        <v>2185</v>
      </c>
      <c r="P24" s="156" t="s">
        <v>518</v>
      </c>
      <c r="R24" s="23" t="s">
        <v>2328</v>
      </c>
      <c r="S24" s="31">
        <f>'WBS(テスト)'!$C$60</f>
        <v>363</v>
      </c>
      <c r="T24" s="29" t="s">
        <v>2773</v>
      </c>
      <c r="U24" s="1"/>
      <c r="V24" s="1"/>
      <c r="W24" s="1"/>
      <c r="X24" s="1"/>
    </row>
    <row r="25" spans="1:24">
      <c r="A25" s="50" t="s">
        <v>2196</v>
      </c>
      <c r="B25" s="6" t="s">
        <v>198</v>
      </c>
      <c r="C25" s="6" t="s">
        <v>2197</v>
      </c>
      <c r="D25" s="12" t="s">
        <v>1860</v>
      </c>
      <c r="E25" s="6" t="s">
        <v>2198</v>
      </c>
      <c r="F25" s="6" t="s">
        <v>2199</v>
      </c>
      <c r="G25" s="154" t="s">
        <v>1863</v>
      </c>
      <c r="H25" s="12" t="s">
        <v>1808</v>
      </c>
      <c r="I25" s="12" t="s">
        <v>1816</v>
      </c>
      <c r="J25" s="171">
        <v>9</v>
      </c>
      <c r="K25" s="169">
        <v>3.6</v>
      </c>
      <c r="L25" s="169">
        <v>5.4</v>
      </c>
      <c r="M25" s="164" t="s">
        <v>2176</v>
      </c>
      <c r="N25" s="166" t="s">
        <v>1810</v>
      </c>
      <c r="O25" s="154" t="s">
        <v>2185</v>
      </c>
      <c r="P25" s="156" t="s">
        <v>517</v>
      </c>
      <c r="R25" s="174" t="s">
        <v>2329</v>
      </c>
      <c r="S25" s="161">
        <f>S22+S23+S24</f>
        <v>1407</v>
      </c>
      <c r="T25" s="175"/>
      <c r="U25" s="1"/>
      <c r="V25" s="1"/>
      <c r="W25" s="1"/>
      <c r="X25" s="1"/>
    </row>
    <row r="26" spans="1:24">
      <c r="A26" s="50" t="s">
        <v>2200</v>
      </c>
      <c r="B26" s="6" t="s">
        <v>198</v>
      </c>
      <c r="C26" s="6" t="s">
        <v>2201</v>
      </c>
      <c r="D26" s="12" t="s">
        <v>1922</v>
      </c>
      <c r="E26" s="6" t="s">
        <v>2202</v>
      </c>
      <c r="F26" s="6" t="s">
        <v>2203</v>
      </c>
      <c r="G26" s="154" t="s">
        <v>1858</v>
      </c>
      <c r="H26" s="12" t="s">
        <v>1808</v>
      </c>
      <c r="I26" s="12" t="s">
        <v>1809</v>
      </c>
      <c r="J26" s="171">
        <v>6</v>
      </c>
      <c r="K26" s="169">
        <v>2.4</v>
      </c>
      <c r="L26" s="169">
        <v>3.6</v>
      </c>
      <c r="M26" s="164" t="s">
        <v>2176</v>
      </c>
      <c r="N26" s="166" t="s">
        <v>1810</v>
      </c>
      <c r="O26" s="154" t="s">
        <v>2185</v>
      </c>
      <c r="P26" s="156" t="s">
        <v>516</v>
      </c>
      <c r="R26" s="25" t="s">
        <v>2330</v>
      </c>
      <c r="S26" s="32">
        <f>S21+S25</f>
        <v>1651</v>
      </c>
      <c r="T26" s="179"/>
      <c r="U26" s="1" t="str">
        <f>IF(AND(ROUND(S25,0)=1244,ROUND(S26,0)=1488),"✓ レポート§9と一致","⚠ 不一致")</f>
        <v>⚠ 不一致</v>
      </c>
      <c r="V26" s="1"/>
      <c r="W26" s="1"/>
      <c r="X26" s="1"/>
    </row>
    <row r="27" spans="1:24">
      <c r="A27" s="50" t="s">
        <v>1889</v>
      </c>
      <c r="B27" s="6" t="s">
        <v>649</v>
      </c>
      <c r="C27" s="6" t="s">
        <v>1890</v>
      </c>
      <c r="D27" s="12" t="s">
        <v>1891</v>
      </c>
      <c r="E27" s="6" t="s">
        <v>1892</v>
      </c>
      <c r="F27" s="6" t="s">
        <v>1893</v>
      </c>
      <c r="G27" s="154" t="s">
        <v>1818</v>
      </c>
      <c r="H27" s="12" t="s">
        <v>1808</v>
      </c>
      <c r="I27" s="12" t="s">
        <v>1816</v>
      </c>
      <c r="J27" s="171">
        <v>10</v>
      </c>
      <c r="K27" s="169">
        <v>4</v>
      </c>
      <c r="L27" s="169">
        <v>6</v>
      </c>
      <c r="M27" s="164" t="s">
        <v>2176</v>
      </c>
      <c r="N27" s="166" t="s">
        <v>1810</v>
      </c>
      <c r="O27" s="154" t="s">
        <v>1811</v>
      </c>
      <c r="P27" s="156" t="s">
        <v>2177</v>
      </c>
    </row>
    <row r="28" spans="1:24">
      <c r="A28" s="50" t="s">
        <v>1894</v>
      </c>
      <c r="B28" s="6" t="s">
        <v>649</v>
      </c>
      <c r="C28" s="6" t="s">
        <v>1895</v>
      </c>
      <c r="D28" s="12" t="s">
        <v>1896</v>
      </c>
      <c r="E28" s="6" t="s">
        <v>1897</v>
      </c>
      <c r="F28" s="6" t="s">
        <v>2204</v>
      </c>
      <c r="G28" s="154" t="s">
        <v>1889</v>
      </c>
      <c r="H28" s="12" t="s">
        <v>1808</v>
      </c>
      <c r="I28" s="12" t="s">
        <v>1809</v>
      </c>
      <c r="J28" s="171">
        <v>5</v>
      </c>
      <c r="K28" s="169">
        <v>2</v>
      </c>
      <c r="L28" s="169">
        <v>3</v>
      </c>
      <c r="M28" s="12" t="s">
        <v>2176</v>
      </c>
      <c r="N28" s="12" t="s">
        <v>1810</v>
      </c>
      <c r="O28" s="154" t="s">
        <v>1811</v>
      </c>
      <c r="P28" s="156" t="s">
        <v>2177</v>
      </c>
      <c r="R28" s="173" t="s">
        <v>2331</v>
      </c>
    </row>
    <row r="29" spans="1:24">
      <c r="A29" s="50" t="s">
        <v>1898</v>
      </c>
      <c r="B29" s="6" t="s">
        <v>649</v>
      </c>
      <c r="C29" s="6" t="s">
        <v>1899</v>
      </c>
      <c r="D29" s="12" t="s">
        <v>1900</v>
      </c>
      <c r="E29" s="6" t="s">
        <v>1901</v>
      </c>
      <c r="F29" s="6" t="s">
        <v>2205</v>
      </c>
      <c r="G29" s="154" t="s">
        <v>1902</v>
      </c>
      <c r="H29" s="12" t="s">
        <v>1808</v>
      </c>
      <c r="I29" s="12" t="s">
        <v>1816</v>
      </c>
      <c r="J29" s="171">
        <v>12</v>
      </c>
      <c r="K29" s="169">
        <v>4.8</v>
      </c>
      <c r="L29" s="169">
        <v>7.2</v>
      </c>
      <c r="M29" s="12" t="s">
        <v>2176</v>
      </c>
      <c r="N29" s="12" t="s">
        <v>1810</v>
      </c>
      <c r="O29" s="154" t="s">
        <v>1811</v>
      </c>
      <c r="P29" s="156" t="s">
        <v>2177</v>
      </c>
      <c r="R29" s="58" t="s">
        <v>2332</v>
      </c>
      <c r="S29" s="59" t="s">
        <v>2333</v>
      </c>
    </row>
    <row r="30" spans="1:24">
      <c r="A30" s="50" t="s">
        <v>1903</v>
      </c>
      <c r="B30" s="6" t="s">
        <v>649</v>
      </c>
      <c r="C30" s="6" t="s">
        <v>1904</v>
      </c>
      <c r="D30" s="12" t="s">
        <v>1860</v>
      </c>
      <c r="E30" s="6" t="s">
        <v>1905</v>
      </c>
      <c r="F30" s="6" t="s">
        <v>1906</v>
      </c>
      <c r="G30" s="154" t="s">
        <v>1907</v>
      </c>
      <c r="H30" s="12" t="s">
        <v>1808</v>
      </c>
      <c r="I30" s="12" t="s">
        <v>1816</v>
      </c>
      <c r="J30" s="171">
        <v>12</v>
      </c>
      <c r="K30" s="169">
        <v>4.8</v>
      </c>
      <c r="L30" s="169">
        <v>7.2</v>
      </c>
      <c r="M30" s="12" t="s">
        <v>2176</v>
      </c>
      <c r="N30" s="12" t="s">
        <v>1810</v>
      </c>
      <c r="O30" s="154" t="s">
        <v>1811</v>
      </c>
      <c r="P30" s="156" t="s">
        <v>2177</v>
      </c>
      <c r="R30" s="58" t="s">
        <v>2334</v>
      </c>
      <c r="S30" s="59" t="s">
        <v>2335</v>
      </c>
    </row>
    <row r="31" spans="1:24" ht="34">
      <c r="A31" s="50" t="s">
        <v>1908</v>
      </c>
      <c r="B31" s="6" t="s">
        <v>649</v>
      </c>
      <c r="C31" s="6" t="s">
        <v>1909</v>
      </c>
      <c r="D31" s="12" t="s">
        <v>1860</v>
      </c>
      <c r="E31" s="6" t="s">
        <v>1910</v>
      </c>
      <c r="F31" s="6" t="s">
        <v>1911</v>
      </c>
      <c r="G31" s="154" t="s">
        <v>1912</v>
      </c>
      <c r="H31" s="12" t="s">
        <v>1808</v>
      </c>
      <c r="I31" s="12" t="s">
        <v>1809</v>
      </c>
      <c r="J31" s="171">
        <v>5</v>
      </c>
      <c r="K31" s="169">
        <v>2</v>
      </c>
      <c r="L31" s="169">
        <v>3</v>
      </c>
      <c r="M31" s="12" t="s">
        <v>2176</v>
      </c>
      <c r="N31" s="12" t="s">
        <v>1810</v>
      </c>
      <c r="O31" s="154" t="s">
        <v>1811</v>
      </c>
      <c r="P31" s="156" t="s">
        <v>2177</v>
      </c>
      <c r="R31" s="58" t="s">
        <v>2336</v>
      </c>
      <c r="S31" s="59" t="s">
        <v>2337</v>
      </c>
    </row>
    <row r="32" spans="1:24" ht="34">
      <c r="A32" s="50" t="s">
        <v>1913</v>
      </c>
      <c r="B32" s="6" t="s">
        <v>649</v>
      </c>
      <c r="C32" s="6" t="s">
        <v>1914</v>
      </c>
      <c r="D32" s="12" t="s">
        <v>1915</v>
      </c>
      <c r="E32" s="6" t="s">
        <v>1916</v>
      </c>
      <c r="F32" s="6" t="s">
        <v>1917</v>
      </c>
      <c r="G32" s="154" t="s">
        <v>1918</v>
      </c>
      <c r="H32" s="12" t="s">
        <v>1808</v>
      </c>
      <c r="I32" s="12" t="s">
        <v>1816</v>
      </c>
      <c r="J32" s="171">
        <v>10</v>
      </c>
      <c r="K32" s="169">
        <v>4</v>
      </c>
      <c r="L32" s="169">
        <v>6</v>
      </c>
      <c r="M32" s="12" t="s">
        <v>2176</v>
      </c>
      <c r="N32" s="12" t="s">
        <v>1919</v>
      </c>
      <c r="O32" s="154" t="s">
        <v>1811</v>
      </c>
      <c r="P32" s="156" t="s">
        <v>2177</v>
      </c>
      <c r="R32" s="58" t="s">
        <v>2338</v>
      </c>
      <c r="S32" s="59" t="s">
        <v>2339</v>
      </c>
    </row>
    <row r="33" spans="1:19">
      <c r="A33" s="50" t="s">
        <v>1920</v>
      </c>
      <c r="B33" s="6" t="s">
        <v>649</v>
      </c>
      <c r="C33" s="6" t="s">
        <v>1921</v>
      </c>
      <c r="D33" s="12" t="s">
        <v>1922</v>
      </c>
      <c r="E33" s="6" t="s">
        <v>1923</v>
      </c>
      <c r="F33" s="6" t="s">
        <v>1924</v>
      </c>
      <c r="G33" s="154" t="s">
        <v>1894</v>
      </c>
      <c r="H33" s="12" t="s">
        <v>1808</v>
      </c>
      <c r="I33" s="12" t="s">
        <v>1809</v>
      </c>
      <c r="J33" s="171">
        <v>3</v>
      </c>
      <c r="K33" s="169">
        <v>1.2</v>
      </c>
      <c r="L33" s="169">
        <v>1.8</v>
      </c>
      <c r="M33" s="12" t="s">
        <v>2176</v>
      </c>
      <c r="N33" s="12" t="s">
        <v>1925</v>
      </c>
      <c r="O33" s="154" t="s">
        <v>1811</v>
      </c>
      <c r="P33" s="156" t="s">
        <v>2177</v>
      </c>
      <c r="R33" s="58" t="s">
        <v>2340</v>
      </c>
      <c r="S33" s="59" t="s">
        <v>2341</v>
      </c>
    </row>
    <row r="34" spans="1:19">
      <c r="A34" s="50" t="s">
        <v>1926</v>
      </c>
      <c r="B34" s="6" t="s">
        <v>649</v>
      </c>
      <c r="C34" s="6" t="s">
        <v>1927</v>
      </c>
      <c r="D34" s="12" t="s">
        <v>1896</v>
      </c>
      <c r="E34" s="6" t="s">
        <v>1928</v>
      </c>
      <c r="F34" s="6" t="s">
        <v>1929</v>
      </c>
      <c r="G34" s="154" t="s">
        <v>1902</v>
      </c>
      <c r="H34" s="12" t="s">
        <v>1808</v>
      </c>
      <c r="I34" s="12" t="s">
        <v>1809</v>
      </c>
      <c r="J34" s="171">
        <v>4</v>
      </c>
      <c r="K34" s="169">
        <v>1.6</v>
      </c>
      <c r="L34" s="169">
        <v>2.4</v>
      </c>
      <c r="M34" s="12" t="s">
        <v>2176</v>
      </c>
      <c r="N34" s="12" t="s">
        <v>1817</v>
      </c>
      <c r="O34" s="154" t="s">
        <v>1811</v>
      </c>
      <c r="P34" s="156" t="s">
        <v>2177</v>
      </c>
      <c r="R34" s="58" t="s">
        <v>2342</v>
      </c>
      <c r="S34" s="59" t="s">
        <v>2343</v>
      </c>
    </row>
    <row r="35" spans="1:19">
      <c r="A35" s="50" t="s">
        <v>1930</v>
      </c>
      <c r="B35" s="6" t="s">
        <v>649</v>
      </c>
      <c r="C35" s="6" t="s">
        <v>1028</v>
      </c>
      <c r="D35" s="12" t="s">
        <v>1931</v>
      </c>
      <c r="E35" s="6" t="s">
        <v>1932</v>
      </c>
      <c r="F35" s="6" t="s">
        <v>1933</v>
      </c>
      <c r="G35" s="154" t="s">
        <v>1889</v>
      </c>
      <c r="H35" s="12" t="s">
        <v>1808</v>
      </c>
      <c r="I35" s="12" t="s">
        <v>1809</v>
      </c>
      <c r="J35" s="171">
        <v>5</v>
      </c>
      <c r="K35" s="169">
        <v>2</v>
      </c>
      <c r="L35" s="169">
        <v>3</v>
      </c>
      <c r="M35" s="12" t="s">
        <v>2176</v>
      </c>
      <c r="N35" s="12" t="s">
        <v>1810</v>
      </c>
      <c r="O35" s="154" t="s">
        <v>1934</v>
      </c>
      <c r="P35" s="156" t="s">
        <v>2177</v>
      </c>
      <c r="R35" s="58" t="s">
        <v>2344</v>
      </c>
      <c r="S35" s="59" t="s">
        <v>2345</v>
      </c>
    </row>
    <row r="36" spans="1:19">
      <c r="A36" s="50" t="s">
        <v>1935</v>
      </c>
      <c r="B36" s="6" t="s">
        <v>649</v>
      </c>
      <c r="C36" s="6" t="s">
        <v>1029</v>
      </c>
      <c r="D36" s="12" t="s">
        <v>1804</v>
      </c>
      <c r="E36" s="6" t="s">
        <v>1936</v>
      </c>
      <c r="F36" s="6" t="s">
        <v>1937</v>
      </c>
      <c r="G36" s="154" t="s">
        <v>1898</v>
      </c>
      <c r="H36" s="12" t="s">
        <v>1808</v>
      </c>
      <c r="I36" s="12" t="s">
        <v>1809</v>
      </c>
      <c r="J36" s="171">
        <v>4</v>
      </c>
      <c r="K36" s="169">
        <v>1.6</v>
      </c>
      <c r="L36" s="169">
        <v>2.4</v>
      </c>
      <c r="M36" s="12" t="s">
        <v>2176</v>
      </c>
      <c r="N36" s="12" t="s">
        <v>1810</v>
      </c>
      <c r="O36" s="154" t="s">
        <v>1934</v>
      </c>
      <c r="P36" s="156" t="s">
        <v>2177</v>
      </c>
    </row>
    <row r="37" spans="1:19">
      <c r="A37" s="50" t="s">
        <v>2206</v>
      </c>
      <c r="B37" s="6" t="s">
        <v>649</v>
      </c>
      <c r="C37" s="6" t="s">
        <v>2207</v>
      </c>
      <c r="D37" s="12" t="s">
        <v>1922</v>
      </c>
      <c r="E37" s="6" t="s">
        <v>2208</v>
      </c>
      <c r="F37" s="6" t="s">
        <v>2209</v>
      </c>
      <c r="G37" s="154" t="s">
        <v>1935</v>
      </c>
      <c r="H37" s="12" t="s">
        <v>1808</v>
      </c>
      <c r="I37" s="12" t="s">
        <v>1809</v>
      </c>
      <c r="J37" s="171">
        <v>4</v>
      </c>
      <c r="K37" s="169">
        <v>1.6</v>
      </c>
      <c r="L37" s="169">
        <v>2.4</v>
      </c>
      <c r="M37" s="12" t="s">
        <v>2176</v>
      </c>
      <c r="N37" s="12" t="s">
        <v>1810</v>
      </c>
      <c r="O37" s="154" t="s">
        <v>2185</v>
      </c>
      <c r="P37" s="156" t="s">
        <v>1030</v>
      </c>
    </row>
    <row r="38" spans="1:19">
      <c r="A38" s="50" t="s">
        <v>1938</v>
      </c>
      <c r="B38" s="6" t="s">
        <v>519</v>
      </c>
      <c r="C38" s="6" t="s">
        <v>1939</v>
      </c>
      <c r="D38" s="12" t="s">
        <v>1804</v>
      </c>
      <c r="E38" s="6" t="s">
        <v>1940</v>
      </c>
      <c r="F38" s="6" t="s">
        <v>1941</v>
      </c>
      <c r="G38" s="154" t="s">
        <v>1828</v>
      </c>
      <c r="H38" s="12" t="s">
        <v>1808</v>
      </c>
      <c r="I38" s="12" t="s">
        <v>1809</v>
      </c>
      <c r="J38" s="171">
        <v>5</v>
      </c>
      <c r="K38" s="169">
        <v>2</v>
      </c>
      <c r="L38" s="169">
        <v>3</v>
      </c>
      <c r="M38" s="12" t="s">
        <v>2176</v>
      </c>
      <c r="N38" s="12" t="s">
        <v>1810</v>
      </c>
      <c r="O38" s="154" t="s">
        <v>1811</v>
      </c>
      <c r="P38" s="156" t="s">
        <v>2177</v>
      </c>
    </row>
    <row r="39" spans="1:19">
      <c r="A39" s="50" t="s">
        <v>1942</v>
      </c>
      <c r="B39" s="6" t="s">
        <v>519</v>
      </c>
      <c r="C39" s="6" t="s">
        <v>1943</v>
      </c>
      <c r="D39" s="12" t="s">
        <v>1804</v>
      </c>
      <c r="E39" s="6" t="s">
        <v>1944</v>
      </c>
      <c r="F39" s="6" t="s">
        <v>1945</v>
      </c>
      <c r="G39" s="154" t="s">
        <v>1938</v>
      </c>
      <c r="H39" s="12" t="s">
        <v>1808</v>
      </c>
      <c r="I39" s="12" t="s">
        <v>1816</v>
      </c>
      <c r="J39" s="171">
        <v>8</v>
      </c>
      <c r="K39" s="169">
        <v>3.2</v>
      </c>
      <c r="L39" s="169">
        <v>4.8</v>
      </c>
      <c r="M39" s="12" t="s">
        <v>2176</v>
      </c>
      <c r="N39" s="12" t="s">
        <v>1810</v>
      </c>
      <c r="O39" s="154" t="s">
        <v>1811</v>
      </c>
      <c r="P39" s="156" t="s">
        <v>2177</v>
      </c>
    </row>
    <row r="40" spans="1:19">
      <c r="A40" s="50" t="s">
        <v>1946</v>
      </c>
      <c r="B40" s="6" t="s">
        <v>519</v>
      </c>
      <c r="C40" s="6" t="s">
        <v>1947</v>
      </c>
      <c r="D40" s="12" t="s">
        <v>1876</v>
      </c>
      <c r="E40" s="6" t="s">
        <v>1948</v>
      </c>
      <c r="F40" s="6" t="s">
        <v>1949</v>
      </c>
      <c r="G40" s="154" t="s">
        <v>1950</v>
      </c>
      <c r="H40" s="12" t="s">
        <v>1808</v>
      </c>
      <c r="I40" s="12" t="s">
        <v>1816</v>
      </c>
      <c r="J40" s="171">
        <v>12</v>
      </c>
      <c r="K40" s="169">
        <v>4.8</v>
      </c>
      <c r="L40" s="169">
        <v>7.2</v>
      </c>
      <c r="M40" s="12" t="s">
        <v>2176</v>
      </c>
      <c r="N40" s="12" t="s">
        <v>1810</v>
      </c>
      <c r="O40" s="154" t="s">
        <v>1811</v>
      </c>
      <c r="P40" s="156" t="s">
        <v>2177</v>
      </c>
    </row>
    <row r="41" spans="1:19">
      <c r="A41" s="50" t="s">
        <v>1951</v>
      </c>
      <c r="B41" s="6" t="s">
        <v>519</v>
      </c>
      <c r="C41" s="6" t="s">
        <v>1952</v>
      </c>
      <c r="D41" s="12" t="s">
        <v>1804</v>
      </c>
      <c r="E41" s="6" t="s">
        <v>1953</v>
      </c>
      <c r="F41" s="6" t="s">
        <v>1954</v>
      </c>
      <c r="G41" s="154" t="s">
        <v>1955</v>
      </c>
      <c r="H41" s="12" t="s">
        <v>1808</v>
      </c>
      <c r="I41" s="12" t="s">
        <v>1809</v>
      </c>
      <c r="J41" s="171">
        <v>5</v>
      </c>
      <c r="K41" s="169">
        <v>2</v>
      </c>
      <c r="L41" s="169">
        <v>3</v>
      </c>
      <c r="M41" s="12" t="s">
        <v>2176</v>
      </c>
      <c r="N41" s="12" t="s">
        <v>1810</v>
      </c>
      <c r="O41" s="154" t="s">
        <v>1811</v>
      </c>
      <c r="P41" s="156" t="s">
        <v>2177</v>
      </c>
    </row>
    <row r="42" spans="1:19">
      <c r="A42" s="50" t="s">
        <v>1912</v>
      </c>
      <c r="B42" s="6" t="s">
        <v>519</v>
      </c>
      <c r="C42" s="6" t="s">
        <v>1956</v>
      </c>
      <c r="D42" s="12" t="s">
        <v>1957</v>
      </c>
      <c r="E42" s="6" t="s">
        <v>1958</v>
      </c>
      <c r="F42" s="6" t="s">
        <v>1959</v>
      </c>
      <c r="G42" s="154" t="s">
        <v>1938</v>
      </c>
      <c r="H42" s="12" t="s">
        <v>1808</v>
      </c>
      <c r="I42" s="12" t="s">
        <v>1816</v>
      </c>
      <c r="J42" s="171">
        <v>10</v>
      </c>
      <c r="K42" s="169">
        <v>4</v>
      </c>
      <c r="L42" s="169">
        <v>6</v>
      </c>
      <c r="M42" s="12" t="s">
        <v>2176</v>
      </c>
      <c r="N42" s="12" t="s">
        <v>1810</v>
      </c>
      <c r="O42" s="154" t="s">
        <v>1811</v>
      </c>
      <c r="P42" s="156" t="s">
        <v>2177</v>
      </c>
    </row>
    <row r="43" spans="1:19">
      <c r="A43" s="50" t="s">
        <v>1960</v>
      </c>
      <c r="B43" s="6" t="s">
        <v>519</v>
      </c>
      <c r="C43" s="6" t="s">
        <v>1063</v>
      </c>
      <c r="D43" s="12" t="s">
        <v>1860</v>
      </c>
      <c r="E43" s="6" t="s">
        <v>1961</v>
      </c>
      <c r="F43" s="6" t="s">
        <v>1962</v>
      </c>
      <c r="G43" s="154" t="s">
        <v>1963</v>
      </c>
      <c r="H43" s="12" t="s">
        <v>1040</v>
      </c>
      <c r="I43" s="12" t="s">
        <v>1827</v>
      </c>
      <c r="J43" s="171">
        <v>20</v>
      </c>
      <c r="K43" s="169">
        <v>8</v>
      </c>
      <c r="L43" s="169">
        <v>12</v>
      </c>
      <c r="M43" s="12" t="s">
        <v>2176</v>
      </c>
      <c r="N43" s="12" t="s">
        <v>1817</v>
      </c>
      <c r="O43" s="154" t="s">
        <v>1934</v>
      </c>
      <c r="P43" s="156" t="s">
        <v>2177</v>
      </c>
    </row>
    <row r="44" spans="1:19">
      <c r="A44" s="50" t="s">
        <v>1964</v>
      </c>
      <c r="B44" s="6" t="s">
        <v>519</v>
      </c>
      <c r="C44" s="6" t="s">
        <v>1965</v>
      </c>
      <c r="D44" s="12" t="s">
        <v>1804</v>
      </c>
      <c r="E44" s="6" t="s">
        <v>1966</v>
      </c>
      <c r="F44" s="6" t="s">
        <v>2776</v>
      </c>
      <c r="G44" s="154" t="s">
        <v>1967</v>
      </c>
      <c r="H44" s="12" t="s">
        <v>1808</v>
      </c>
      <c r="I44" s="12" t="s">
        <v>1816</v>
      </c>
      <c r="J44" s="171">
        <v>10</v>
      </c>
      <c r="K44" s="169">
        <v>4</v>
      </c>
      <c r="L44" s="169">
        <v>6</v>
      </c>
      <c r="M44" s="12" t="s">
        <v>2176</v>
      </c>
      <c r="N44" s="12" t="s">
        <v>1810</v>
      </c>
      <c r="O44" s="154" t="s">
        <v>1934</v>
      </c>
      <c r="P44" s="156" t="s">
        <v>2177</v>
      </c>
    </row>
    <row r="45" spans="1:19">
      <c r="A45" s="50" t="s">
        <v>2210</v>
      </c>
      <c r="B45" s="6" t="s">
        <v>519</v>
      </c>
      <c r="C45" s="6" t="s">
        <v>2211</v>
      </c>
      <c r="D45" s="12" t="s">
        <v>1992</v>
      </c>
      <c r="E45" s="6" t="s">
        <v>2212</v>
      </c>
      <c r="F45" s="6" t="s">
        <v>2213</v>
      </c>
      <c r="G45" s="154" t="s">
        <v>1938</v>
      </c>
      <c r="H45" s="12" t="s">
        <v>1808</v>
      </c>
      <c r="I45" s="12" t="s">
        <v>1809</v>
      </c>
      <c r="J45" s="171">
        <v>4</v>
      </c>
      <c r="K45" s="169">
        <v>1.6</v>
      </c>
      <c r="L45" s="169">
        <v>2.4</v>
      </c>
      <c r="M45" s="12" t="s">
        <v>2183</v>
      </c>
      <c r="N45" s="12" t="s">
        <v>2214</v>
      </c>
      <c r="O45" s="154" t="s">
        <v>2185</v>
      </c>
      <c r="P45" s="156" t="s">
        <v>1025</v>
      </c>
    </row>
    <row r="46" spans="1:19">
      <c r="A46" s="50" t="s">
        <v>1807</v>
      </c>
      <c r="B46" s="6" t="s">
        <v>201</v>
      </c>
      <c r="C46" s="6" t="s">
        <v>1968</v>
      </c>
      <c r="D46" s="12" t="s">
        <v>1849</v>
      </c>
      <c r="E46" s="6" t="s">
        <v>1969</v>
      </c>
      <c r="F46" s="6" t="s">
        <v>1970</v>
      </c>
      <c r="G46" s="154" t="s">
        <v>1971</v>
      </c>
      <c r="H46" s="12" t="s">
        <v>1808</v>
      </c>
      <c r="I46" s="12" t="s">
        <v>1816</v>
      </c>
      <c r="J46" s="171">
        <v>12</v>
      </c>
      <c r="K46" s="169">
        <v>4.8</v>
      </c>
      <c r="L46" s="169">
        <v>7.2</v>
      </c>
      <c r="M46" s="12" t="s">
        <v>2176</v>
      </c>
      <c r="N46" s="12" t="s">
        <v>1810</v>
      </c>
      <c r="O46" s="154" t="s">
        <v>1811</v>
      </c>
      <c r="P46" s="156" t="s">
        <v>2177</v>
      </c>
    </row>
    <row r="47" spans="1:19">
      <c r="A47" s="50" t="s">
        <v>1846</v>
      </c>
      <c r="B47" s="6" t="s">
        <v>201</v>
      </c>
      <c r="C47" s="6" t="s">
        <v>1972</v>
      </c>
      <c r="D47" s="12" t="s">
        <v>1849</v>
      </c>
      <c r="E47" s="6" t="s">
        <v>1973</v>
      </c>
      <c r="F47" s="6" t="s">
        <v>1974</v>
      </c>
      <c r="G47" s="154" t="s">
        <v>1807</v>
      </c>
      <c r="H47" s="12" t="s">
        <v>190</v>
      </c>
      <c r="I47" s="12" t="s">
        <v>1827</v>
      </c>
      <c r="J47" s="171">
        <v>24</v>
      </c>
      <c r="K47" s="169">
        <v>9.6</v>
      </c>
      <c r="L47" s="169">
        <v>14.4</v>
      </c>
      <c r="M47" s="12" t="s">
        <v>2176</v>
      </c>
      <c r="N47" s="12" t="s">
        <v>1817</v>
      </c>
      <c r="O47" s="154" t="s">
        <v>1811</v>
      </c>
      <c r="P47" s="156" t="s">
        <v>2177</v>
      </c>
    </row>
    <row r="48" spans="1:19">
      <c r="A48" s="50" t="s">
        <v>1852</v>
      </c>
      <c r="B48" s="6" t="s">
        <v>201</v>
      </c>
      <c r="C48" s="6" t="s">
        <v>1975</v>
      </c>
      <c r="D48" s="12" t="s">
        <v>1849</v>
      </c>
      <c r="E48" s="6" t="s">
        <v>1976</v>
      </c>
      <c r="F48" s="6" t="s">
        <v>2215</v>
      </c>
      <c r="G48" s="154" t="s">
        <v>1977</v>
      </c>
      <c r="H48" s="12" t="s">
        <v>1808</v>
      </c>
      <c r="I48" s="12" t="s">
        <v>1816</v>
      </c>
      <c r="J48" s="171">
        <v>12</v>
      </c>
      <c r="K48" s="169">
        <v>4.8</v>
      </c>
      <c r="L48" s="169">
        <v>7.2</v>
      </c>
      <c r="M48" s="12" t="s">
        <v>2176</v>
      </c>
      <c r="N48" s="12" t="s">
        <v>1810</v>
      </c>
      <c r="O48" s="154" t="s">
        <v>1811</v>
      </c>
      <c r="P48" s="156" t="s">
        <v>2177</v>
      </c>
    </row>
    <row r="49" spans="1:16">
      <c r="A49" s="50" t="s">
        <v>1978</v>
      </c>
      <c r="B49" s="6" t="s">
        <v>201</v>
      </c>
      <c r="C49" s="6" t="s">
        <v>1979</v>
      </c>
      <c r="D49" s="12" t="s">
        <v>1849</v>
      </c>
      <c r="E49" s="6" t="s">
        <v>1980</v>
      </c>
      <c r="F49" s="6" t="s">
        <v>1981</v>
      </c>
      <c r="G49" s="154" t="s">
        <v>1807</v>
      </c>
      <c r="H49" s="12" t="s">
        <v>204</v>
      </c>
      <c r="I49" s="12" t="s">
        <v>1816</v>
      </c>
      <c r="J49" s="171">
        <v>13</v>
      </c>
      <c r="K49" s="169">
        <v>5.2</v>
      </c>
      <c r="L49" s="169">
        <v>7.8</v>
      </c>
      <c r="M49" s="12" t="s">
        <v>2176</v>
      </c>
      <c r="N49" s="12" t="s">
        <v>1817</v>
      </c>
      <c r="O49" s="154" t="s">
        <v>1811</v>
      </c>
      <c r="P49" s="156" t="s">
        <v>2177</v>
      </c>
    </row>
    <row r="50" spans="1:16">
      <c r="A50" s="50" t="s">
        <v>1982</v>
      </c>
      <c r="B50" s="6" t="s">
        <v>201</v>
      </c>
      <c r="C50" s="6" t="s">
        <v>1983</v>
      </c>
      <c r="D50" s="12" t="s">
        <v>1849</v>
      </c>
      <c r="E50" s="6" t="s">
        <v>1984</v>
      </c>
      <c r="F50" s="6" t="s">
        <v>2216</v>
      </c>
      <c r="G50" s="154" t="s">
        <v>1846</v>
      </c>
      <c r="H50" s="12" t="s">
        <v>1808</v>
      </c>
      <c r="I50" s="12" t="s">
        <v>1816</v>
      </c>
      <c r="J50" s="171">
        <v>12</v>
      </c>
      <c r="K50" s="169">
        <v>4.8</v>
      </c>
      <c r="L50" s="169">
        <v>7.2</v>
      </c>
      <c r="M50" s="12" t="s">
        <v>2176</v>
      </c>
      <c r="N50" s="12" t="s">
        <v>1810</v>
      </c>
      <c r="O50" s="154" t="s">
        <v>1811</v>
      </c>
      <c r="P50" s="156" t="s">
        <v>2177</v>
      </c>
    </row>
    <row r="51" spans="1:16">
      <c r="A51" s="50" t="s">
        <v>1985</v>
      </c>
      <c r="B51" s="6" t="s">
        <v>201</v>
      </c>
      <c r="C51" s="6" t="s">
        <v>1986</v>
      </c>
      <c r="D51" s="12" t="s">
        <v>1849</v>
      </c>
      <c r="E51" s="6" t="s">
        <v>1987</v>
      </c>
      <c r="F51" s="6" t="s">
        <v>1988</v>
      </c>
      <c r="G51" s="154" t="s">
        <v>1989</v>
      </c>
      <c r="H51" s="12" t="s">
        <v>1808</v>
      </c>
      <c r="I51" s="12" t="s">
        <v>1816</v>
      </c>
      <c r="J51" s="171">
        <v>10</v>
      </c>
      <c r="K51" s="169">
        <v>4</v>
      </c>
      <c r="L51" s="169">
        <v>6</v>
      </c>
      <c r="M51" s="12" t="s">
        <v>2176</v>
      </c>
      <c r="N51" s="12" t="s">
        <v>1810</v>
      </c>
      <c r="O51" s="154" t="s">
        <v>1811</v>
      </c>
      <c r="P51" s="156" t="s">
        <v>2177</v>
      </c>
    </row>
    <row r="52" spans="1:16">
      <c r="A52" s="50" t="s">
        <v>1990</v>
      </c>
      <c r="B52" s="6" t="s">
        <v>201</v>
      </c>
      <c r="C52" s="6" t="s">
        <v>1991</v>
      </c>
      <c r="D52" s="12" t="s">
        <v>1992</v>
      </c>
      <c r="E52" s="6" t="s">
        <v>1993</v>
      </c>
      <c r="F52" s="6" t="s">
        <v>1994</v>
      </c>
      <c r="G52" s="154" t="s">
        <v>1807</v>
      </c>
      <c r="H52" s="12" t="s">
        <v>204</v>
      </c>
      <c r="I52" s="12" t="s">
        <v>1816</v>
      </c>
      <c r="J52" s="171">
        <v>12</v>
      </c>
      <c r="K52" s="169">
        <v>4.8</v>
      </c>
      <c r="L52" s="169">
        <v>7.2</v>
      </c>
      <c r="M52" s="12" t="s">
        <v>2176</v>
      </c>
      <c r="N52" s="12" t="s">
        <v>1817</v>
      </c>
      <c r="O52" s="154" t="s">
        <v>1811</v>
      </c>
      <c r="P52" s="156" t="s">
        <v>2177</v>
      </c>
    </row>
    <row r="53" spans="1:16">
      <c r="A53" s="50" t="s">
        <v>1995</v>
      </c>
      <c r="B53" s="6" t="s">
        <v>201</v>
      </c>
      <c r="C53" s="6" t="s">
        <v>1996</v>
      </c>
      <c r="D53" s="12" t="s">
        <v>1997</v>
      </c>
      <c r="E53" s="6" t="s">
        <v>1998</v>
      </c>
      <c r="F53" s="6" t="s">
        <v>1999</v>
      </c>
      <c r="G53" s="154" t="s">
        <v>1978</v>
      </c>
      <c r="H53" s="12" t="s">
        <v>1808</v>
      </c>
      <c r="I53" s="12" t="s">
        <v>1809</v>
      </c>
      <c r="J53" s="171">
        <v>5</v>
      </c>
      <c r="K53" s="169">
        <v>2</v>
      </c>
      <c r="L53" s="169">
        <v>3</v>
      </c>
      <c r="M53" s="12" t="s">
        <v>2176</v>
      </c>
      <c r="N53" s="12" t="s">
        <v>1810</v>
      </c>
      <c r="O53" s="154" t="s">
        <v>1811</v>
      </c>
      <c r="P53" s="156" t="s">
        <v>2177</v>
      </c>
    </row>
    <row r="54" spans="1:16">
      <c r="A54" s="50" t="s">
        <v>2000</v>
      </c>
      <c r="B54" s="6" t="s">
        <v>201</v>
      </c>
      <c r="C54" s="6" t="s">
        <v>2001</v>
      </c>
      <c r="D54" s="12" t="s">
        <v>2002</v>
      </c>
      <c r="E54" s="6" t="s">
        <v>2003</v>
      </c>
      <c r="F54" s="6" t="s">
        <v>2004</v>
      </c>
      <c r="G54" s="154" t="s">
        <v>1807</v>
      </c>
      <c r="H54" s="12" t="s">
        <v>1808</v>
      </c>
      <c r="I54" s="12" t="s">
        <v>1809</v>
      </c>
      <c r="J54" s="171">
        <v>5</v>
      </c>
      <c r="K54" s="169">
        <v>2</v>
      </c>
      <c r="L54" s="169">
        <v>3</v>
      </c>
      <c r="M54" s="12" t="s">
        <v>2176</v>
      </c>
      <c r="N54" s="12" t="s">
        <v>1810</v>
      </c>
      <c r="O54" s="154" t="s">
        <v>1811</v>
      </c>
      <c r="P54" s="156" t="s">
        <v>2177</v>
      </c>
    </row>
    <row r="55" spans="1:16">
      <c r="A55" s="50" t="s">
        <v>2005</v>
      </c>
      <c r="B55" s="6" t="s">
        <v>201</v>
      </c>
      <c r="C55" s="6" t="s">
        <v>2006</v>
      </c>
      <c r="D55" s="12" t="s">
        <v>1997</v>
      </c>
      <c r="E55" s="6" t="s">
        <v>2007</v>
      </c>
      <c r="F55" s="6" t="s">
        <v>2008</v>
      </c>
      <c r="G55" s="154" t="s">
        <v>2009</v>
      </c>
      <c r="H55" s="12" t="s">
        <v>1808</v>
      </c>
      <c r="I55" s="12" t="s">
        <v>1816</v>
      </c>
      <c r="J55" s="171">
        <v>9</v>
      </c>
      <c r="K55" s="169">
        <v>3.6</v>
      </c>
      <c r="L55" s="169">
        <v>5.4</v>
      </c>
      <c r="M55" s="12" t="s">
        <v>2176</v>
      </c>
      <c r="N55" s="12" t="s">
        <v>1817</v>
      </c>
      <c r="O55" s="154" t="s">
        <v>1934</v>
      </c>
      <c r="P55" s="156" t="s">
        <v>2177</v>
      </c>
    </row>
    <row r="56" spans="1:16">
      <c r="A56" s="50" t="s">
        <v>2217</v>
      </c>
      <c r="B56" s="6" t="s">
        <v>201</v>
      </c>
      <c r="C56" s="6" t="s">
        <v>2218</v>
      </c>
      <c r="D56" s="12" t="s">
        <v>1849</v>
      </c>
      <c r="E56" s="6" t="s">
        <v>2219</v>
      </c>
      <c r="F56" s="6" t="s">
        <v>2220</v>
      </c>
      <c r="G56" s="154" t="s">
        <v>1982</v>
      </c>
      <c r="H56" s="12" t="s">
        <v>1808</v>
      </c>
      <c r="I56" s="12" t="s">
        <v>1816</v>
      </c>
      <c r="J56" s="171">
        <v>10</v>
      </c>
      <c r="K56" s="169">
        <v>4</v>
      </c>
      <c r="L56" s="169">
        <v>6</v>
      </c>
      <c r="M56" s="12" t="s">
        <v>2176</v>
      </c>
      <c r="N56" s="12" t="s">
        <v>1810</v>
      </c>
      <c r="O56" s="154" t="s">
        <v>2185</v>
      </c>
      <c r="P56" s="156" t="s">
        <v>2221</v>
      </c>
    </row>
    <row r="57" spans="1:16">
      <c r="A57" s="50" t="s">
        <v>2222</v>
      </c>
      <c r="B57" s="6" t="s">
        <v>201</v>
      </c>
      <c r="C57" s="6" t="s">
        <v>2223</v>
      </c>
      <c r="D57" s="12" t="s">
        <v>1849</v>
      </c>
      <c r="E57" s="6" t="s">
        <v>2224</v>
      </c>
      <c r="F57" s="6" t="s">
        <v>2225</v>
      </c>
      <c r="G57" s="154" t="s">
        <v>1807</v>
      </c>
      <c r="H57" s="12" t="s">
        <v>1808</v>
      </c>
      <c r="I57" s="12" t="s">
        <v>1809</v>
      </c>
      <c r="J57" s="171">
        <v>6</v>
      </c>
      <c r="K57" s="169">
        <v>2.4</v>
      </c>
      <c r="L57" s="169">
        <v>3.6</v>
      </c>
      <c r="M57" s="12" t="s">
        <v>2176</v>
      </c>
      <c r="N57" s="12" t="s">
        <v>1810</v>
      </c>
      <c r="O57" s="154" t="s">
        <v>2185</v>
      </c>
      <c r="P57" s="156" t="s">
        <v>2226</v>
      </c>
    </row>
    <row r="58" spans="1:16">
      <c r="A58" s="50" t="s">
        <v>2227</v>
      </c>
      <c r="B58" s="6" t="s">
        <v>201</v>
      </c>
      <c r="C58" s="6" t="s">
        <v>2228</v>
      </c>
      <c r="D58" s="12" t="s">
        <v>1849</v>
      </c>
      <c r="E58" s="6" t="s">
        <v>2229</v>
      </c>
      <c r="F58" s="6" t="s">
        <v>2230</v>
      </c>
      <c r="G58" s="154" t="s">
        <v>1807</v>
      </c>
      <c r="H58" s="12" t="s">
        <v>1808</v>
      </c>
      <c r="I58" s="12" t="s">
        <v>1809</v>
      </c>
      <c r="J58" s="171">
        <v>8</v>
      </c>
      <c r="K58" s="169">
        <v>3.2</v>
      </c>
      <c r="L58" s="169">
        <v>4.8</v>
      </c>
      <c r="M58" s="12" t="s">
        <v>2176</v>
      </c>
      <c r="N58" s="12" t="s">
        <v>1810</v>
      </c>
      <c r="O58" s="154" t="s">
        <v>2185</v>
      </c>
      <c r="P58" s="156" t="s">
        <v>2231</v>
      </c>
    </row>
    <row r="59" spans="1:16">
      <c r="A59" s="50" t="s">
        <v>2010</v>
      </c>
      <c r="B59" s="6" t="s">
        <v>206</v>
      </c>
      <c r="C59" s="6" t="s">
        <v>2011</v>
      </c>
      <c r="D59" s="12" t="s">
        <v>1849</v>
      </c>
      <c r="E59" s="6" t="s">
        <v>2012</v>
      </c>
      <c r="F59" s="6" t="s">
        <v>2013</v>
      </c>
      <c r="G59" s="154" t="s">
        <v>1807</v>
      </c>
      <c r="H59" s="12" t="s">
        <v>1808</v>
      </c>
      <c r="I59" s="12" t="s">
        <v>1816</v>
      </c>
      <c r="J59" s="171">
        <v>12</v>
      </c>
      <c r="K59" s="169">
        <v>4.8</v>
      </c>
      <c r="L59" s="169">
        <v>7.2</v>
      </c>
      <c r="M59" s="12" t="s">
        <v>2176</v>
      </c>
      <c r="N59" s="12" t="s">
        <v>1810</v>
      </c>
      <c r="O59" s="154" t="s">
        <v>1811</v>
      </c>
      <c r="P59" s="156" t="s">
        <v>2177</v>
      </c>
    </row>
    <row r="60" spans="1:16">
      <c r="A60" s="50" t="s">
        <v>2014</v>
      </c>
      <c r="B60" s="6" t="s">
        <v>206</v>
      </c>
      <c r="C60" s="6" t="s">
        <v>2015</v>
      </c>
      <c r="D60" s="12" t="s">
        <v>1876</v>
      </c>
      <c r="E60" s="6" t="s">
        <v>2016</v>
      </c>
      <c r="F60" s="6" t="s">
        <v>2017</v>
      </c>
      <c r="G60" s="154" t="s">
        <v>2018</v>
      </c>
      <c r="H60" s="12" t="s">
        <v>1808</v>
      </c>
      <c r="I60" s="12" t="s">
        <v>1809</v>
      </c>
      <c r="J60" s="171">
        <v>6</v>
      </c>
      <c r="K60" s="169">
        <v>2.4</v>
      </c>
      <c r="L60" s="169">
        <v>3.6</v>
      </c>
      <c r="M60" s="12" t="s">
        <v>2176</v>
      </c>
      <c r="N60" s="12" t="s">
        <v>1810</v>
      </c>
      <c r="O60" s="154" t="s">
        <v>1811</v>
      </c>
      <c r="P60" s="156" t="s">
        <v>2177</v>
      </c>
    </row>
    <row r="61" spans="1:16">
      <c r="A61" s="50" t="s">
        <v>2019</v>
      </c>
      <c r="B61" s="6" t="s">
        <v>206</v>
      </c>
      <c r="C61" s="6" t="s">
        <v>2020</v>
      </c>
      <c r="D61" s="12" t="s">
        <v>1860</v>
      </c>
      <c r="E61" s="6" t="s">
        <v>2021</v>
      </c>
      <c r="F61" s="6" t="s">
        <v>2022</v>
      </c>
      <c r="G61" s="154" t="s">
        <v>2023</v>
      </c>
      <c r="H61" s="12" t="s">
        <v>1808</v>
      </c>
      <c r="I61" s="12" t="s">
        <v>1827</v>
      </c>
      <c r="J61" s="171">
        <v>22</v>
      </c>
      <c r="K61" s="169">
        <v>8.8000000000000007</v>
      </c>
      <c r="L61" s="169">
        <v>13.2</v>
      </c>
      <c r="M61" s="12" t="s">
        <v>2176</v>
      </c>
      <c r="N61" s="12" t="s">
        <v>1810</v>
      </c>
      <c r="O61" s="154" t="s">
        <v>1811</v>
      </c>
      <c r="P61" s="156" t="s">
        <v>2177</v>
      </c>
    </row>
    <row r="62" spans="1:16">
      <c r="A62" s="50" t="s">
        <v>2024</v>
      </c>
      <c r="B62" s="6" t="s">
        <v>206</v>
      </c>
      <c r="C62" s="6" t="s">
        <v>2025</v>
      </c>
      <c r="D62" s="12" t="s">
        <v>2026</v>
      </c>
      <c r="E62" s="6" t="s">
        <v>2027</v>
      </c>
      <c r="F62" s="6" t="s">
        <v>2028</v>
      </c>
      <c r="G62" s="154" t="s">
        <v>2029</v>
      </c>
      <c r="H62" s="12" t="s">
        <v>1808</v>
      </c>
      <c r="I62" s="12" t="s">
        <v>1816</v>
      </c>
      <c r="J62" s="171">
        <v>12</v>
      </c>
      <c r="K62" s="169">
        <v>4.8</v>
      </c>
      <c r="L62" s="169">
        <v>7.2</v>
      </c>
      <c r="M62" s="12" t="s">
        <v>2176</v>
      </c>
      <c r="N62" s="12" t="s">
        <v>1810</v>
      </c>
      <c r="O62" s="154" t="s">
        <v>1811</v>
      </c>
      <c r="P62" s="156" t="s">
        <v>2177</v>
      </c>
    </row>
    <row r="63" spans="1:16">
      <c r="A63" s="50" t="s">
        <v>2030</v>
      </c>
      <c r="B63" s="6" t="s">
        <v>206</v>
      </c>
      <c r="C63" s="6" t="s">
        <v>2031</v>
      </c>
      <c r="D63" s="12" t="s">
        <v>1849</v>
      </c>
      <c r="E63" s="6" t="s">
        <v>2032</v>
      </c>
      <c r="F63" s="6" t="s">
        <v>2033</v>
      </c>
      <c r="G63" s="154" t="s">
        <v>2034</v>
      </c>
      <c r="H63" s="12" t="s">
        <v>1808</v>
      </c>
      <c r="I63" s="12" t="s">
        <v>1809</v>
      </c>
      <c r="J63" s="171">
        <v>5</v>
      </c>
      <c r="K63" s="169">
        <v>2</v>
      </c>
      <c r="L63" s="169">
        <v>3</v>
      </c>
      <c r="M63" s="12" t="s">
        <v>2176</v>
      </c>
      <c r="N63" s="12" t="s">
        <v>1810</v>
      </c>
      <c r="O63" s="154" t="s">
        <v>1811</v>
      </c>
      <c r="P63" s="156" t="s">
        <v>2177</v>
      </c>
    </row>
    <row r="64" spans="1:16">
      <c r="A64" s="50" t="s">
        <v>2035</v>
      </c>
      <c r="B64" s="6" t="s">
        <v>206</v>
      </c>
      <c r="C64" s="6" t="s">
        <v>2036</v>
      </c>
      <c r="D64" s="12" t="s">
        <v>1992</v>
      </c>
      <c r="E64" s="6" t="s">
        <v>2037</v>
      </c>
      <c r="F64" s="6" t="s">
        <v>2038</v>
      </c>
      <c r="G64" s="154" t="s">
        <v>2039</v>
      </c>
      <c r="H64" s="12" t="s">
        <v>1808</v>
      </c>
      <c r="I64" s="12" t="s">
        <v>1827</v>
      </c>
      <c r="J64" s="171">
        <v>22</v>
      </c>
      <c r="K64" s="169">
        <v>8.8000000000000007</v>
      </c>
      <c r="L64" s="169">
        <v>13.2</v>
      </c>
      <c r="M64" s="12" t="s">
        <v>2176</v>
      </c>
      <c r="N64" s="12" t="s">
        <v>1810</v>
      </c>
      <c r="O64" s="154" t="s">
        <v>1811</v>
      </c>
      <c r="P64" s="156" t="s">
        <v>2177</v>
      </c>
    </row>
    <row r="65" spans="1:16">
      <c r="A65" s="50" t="s">
        <v>2040</v>
      </c>
      <c r="B65" s="6" t="s">
        <v>206</v>
      </c>
      <c r="C65" s="6" t="s">
        <v>2041</v>
      </c>
      <c r="D65" s="12" t="s">
        <v>1849</v>
      </c>
      <c r="E65" s="6" t="s">
        <v>2042</v>
      </c>
      <c r="F65" s="6" t="s">
        <v>2043</v>
      </c>
      <c r="G65" s="154" t="s">
        <v>1852</v>
      </c>
      <c r="H65" s="12" t="s">
        <v>1808</v>
      </c>
      <c r="I65" s="12" t="s">
        <v>1816</v>
      </c>
      <c r="J65" s="171">
        <v>10</v>
      </c>
      <c r="K65" s="169">
        <v>4</v>
      </c>
      <c r="L65" s="169">
        <v>6</v>
      </c>
      <c r="M65" s="12" t="s">
        <v>2176</v>
      </c>
      <c r="N65" s="12" t="s">
        <v>1810</v>
      </c>
      <c r="O65" s="154" t="s">
        <v>1811</v>
      </c>
      <c r="P65" s="156" t="s">
        <v>2177</v>
      </c>
    </row>
    <row r="66" spans="1:16">
      <c r="A66" s="50" t="s">
        <v>2044</v>
      </c>
      <c r="B66" s="6" t="s">
        <v>206</v>
      </c>
      <c r="C66" s="6" t="s">
        <v>2045</v>
      </c>
      <c r="D66" s="12" t="s">
        <v>1804</v>
      </c>
      <c r="E66" s="6" t="s">
        <v>2046</v>
      </c>
      <c r="F66" s="6" t="s">
        <v>2047</v>
      </c>
      <c r="G66" s="154" t="s">
        <v>1802</v>
      </c>
      <c r="H66" s="12" t="s">
        <v>1808</v>
      </c>
      <c r="I66" s="12" t="s">
        <v>1809</v>
      </c>
      <c r="J66" s="171">
        <v>5</v>
      </c>
      <c r="K66" s="169">
        <v>2</v>
      </c>
      <c r="L66" s="169">
        <v>3</v>
      </c>
      <c r="M66" s="12" t="s">
        <v>2176</v>
      </c>
      <c r="N66" s="12" t="s">
        <v>1810</v>
      </c>
      <c r="O66" s="154" t="s">
        <v>1811</v>
      </c>
      <c r="P66" s="156" t="s">
        <v>2177</v>
      </c>
    </row>
    <row r="67" spans="1:16">
      <c r="A67" s="50" t="s">
        <v>2048</v>
      </c>
      <c r="B67" s="6" t="s">
        <v>206</v>
      </c>
      <c r="C67" s="6" t="s">
        <v>2049</v>
      </c>
      <c r="D67" s="12" t="s">
        <v>2050</v>
      </c>
      <c r="E67" s="6" t="s">
        <v>2051</v>
      </c>
      <c r="F67" s="6" t="s">
        <v>2052</v>
      </c>
      <c r="G67" s="154" t="s">
        <v>1978</v>
      </c>
      <c r="H67" s="12" t="s">
        <v>1808</v>
      </c>
      <c r="I67" s="12" t="s">
        <v>1816</v>
      </c>
      <c r="J67" s="171">
        <v>9</v>
      </c>
      <c r="K67" s="169">
        <v>3.6</v>
      </c>
      <c r="L67" s="169">
        <v>5.4</v>
      </c>
      <c r="M67" s="12" t="s">
        <v>2176</v>
      </c>
      <c r="N67" s="12" t="s">
        <v>1810</v>
      </c>
      <c r="O67" s="154" t="s">
        <v>1811</v>
      </c>
      <c r="P67" s="156" t="s">
        <v>2177</v>
      </c>
    </row>
    <row r="68" spans="1:16">
      <c r="A68" s="50" t="s">
        <v>2053</v>
      </c>
      <c r="B68" s="6" t="s">
        <v>206</v>
      </c>
      <c r="C68" s="6" t="s">
        <v>2054</v>
      </c>
      <c r="D68" s="12" t="s">
        <v>1865</v>
      </c>
      <c r="E68" s="6" t="s">
        <v>2055</v>
      </c>
      <c r="F68" s="6" t="s">
        <v>2056</v>
      </c>
      <c r="G68" s="154" t="s">
        <v>2057</v>
      </c>
      <c r="H68" s="12" t="s">
        <v>1808</v>
      </c>
      <c r="I68" s="12" t="s">
        <v>1816</v>
      </c>
      <c r="J68" s="171">
        <v>10</v>
      </c>
      <c r="K68" s="169">
        <v>4</v>
      </c>
      <c r="L68" s="169">
        <v>6</v>
      </c>
      <c r="M68" s="12" t="s">
        <v>2176</v>
      </c>
      <c r="N68" s="12" t="s">
        <v>1810</v>
      </c>
      <c r="O68" s="154" t="s">
        <v>1934</v>
      </c>
      <c r="P68" s="156" t="s">
        <v>2177</v>
      </c>
    </row>
    <row r="69" spans="1:16">
      <c r="A69" s="50" t="s">
        <v>2058</v>
      </c>
      <c r="B69" s="6" t="s">
        <v>206</v>
      </c>
      <c r="C69" s="6" t="s">
        <v>1039</v>
      </c>
      <c r="D69" s="12" t="s">
        <v>2059</v>
      </c>
      <c r="E69" s="6" t="s">
        <v>2060</v>
      </c>
      <c r="F69" s="6" t="s">
        <v>2061</v>
      </c>
      <c r="G69" s="154" t="s">
        <v>1907</v>
      </c>
      <c r="H69" s="12" t="s">
        <v>1808</v>
      </c>
      <c r="I69" s="12" t="s">
        <v>1809</v>
      </c>
      <c r="J69" s="171">
        <v>5</v>
      </c>
      <c r="K69" s="169">
        <v>2</v>
      </c>
      <c r="L69" s="169">
        <v>3</v>
      </c>
      <c r="M69" s="12" t="s">
        <v>2176</v>
      </c>
      <c r="N69" s="12" t="s">
        <v>1817</v>
      </c>
      <c r="O69" s="154" t="s">
        <v>1934</v>
      </c>
      <c r="P69" s="156" t="s">
        <v>2177</v>
      </c>
    </row>
    <row r="70" spans="1:16">
      <c r="A70" s="50" t="s">
        <v>2232</v>
      </c>
      <c r="B70" s="6" t="s">
        <v>206</v>
      </c>
      <c r="C70" s="6" t="s">
        <v>2233</v>
      </c>
      <c r="D70" s="12" t="s">
        <v>1865</v>
      </c>
      <c r="E70" s="6" t="s">
        <v>2234</v>
      </c>
      <c r="F70" s="6" t="s">
        <v>2235</v>
      </c>
      <c r="G70" s="154" t="s">
        <v>2010</v>
      </c>
      <c r="H70" s="12" t="s">
        <v>1808</v>
      </c>
      <c r="I70" s="12" t="s">
        <v>1816</v>
      </c>
      <c r="J70" s="171">
        <v>10</v>
      </c>
      <c r="K70" s="169">
        <v>4</v>
      </c>
      <c r="L70" s="169">
        <v>6</v>
      </c>
      <c r="M70" s="12" t="s">
        <v>2176</v>
      </c>
      <c r="N70" s="12" t="s">
        <v>1810</v>
      </c>
      <c r="O70" s="154" t="s">
        <v>2185</v>
      </c>
      <c r="P70" s="156" t="s">
        <v>688</v>
      </c>
    </row>
    <row r="71" spans="1:16">
      <c r="A71" s="50" t="s">
        <v>2236</v>
      </c>
      <c r="B71" s="6" t="s">
        <v>206</v>
      </c>
      <c r="C71" s="6" t="s">
        <v>2237</v>
      </c>
      <c r="D71" s="12" t="s">
        <v>2120</v>
      </c>
      <c r="E71" s="6" t="s">
        <v>2238</v>
      </c>
      <c r="F71" s="6" t="s">
        <v>2239</v>
      </c>
      <c r="G71" s="154" t="s">
        <v>2088</v>
      </c>
      <c r="H71" s="12" t="s">
        <v>1808</v>
      </c>
      <c r="I71" s="12" t="s">
        <v>1816</v>
      </c>
      <c r="J71" s="171">
        <v>9</v>
      </c>
      <c r="K71" s="169">
        <v>3.6</v>
      </c>
      <c r="L71" s="169">
        <v>5.4</v>
      </c>
      <c r="M71" s="12" t="s">
        <v>2176</v>
      </c>
      <c r="N71" s="12" t="s">
        <v>1810</v>
      </c>
      <c r="O71" s="154" t="s">
        <v>2185</v>
      </c>
      <c r="P71" s="156" t="s">
        <v>2240</v>
      </c>
    </row>
    <row r="72" spans="1:16">
      <c r="A72" s="50" t="s">
        <v>2241</v>
      </c>
      <c r="B72" s="6" t="s">
        <v>206</v>
      </c>
      <c r="C72" s="6" t="s">
        <v>2242</v>
      </c>
      <c r="D72" s="12" t="s">
        <v>1957</v>
      </c>
      <c r="E72" s="6" t="s">
        <v>2243</v>
      </c>
      <c r="F72" s="6" t="s">
        <v>2244</v>
      </c>
      <c r="G72" s="154" t="s">
        <v>2035</v>
      </c>
      <c r="H72" s="12" t="s">
        <v>1808</v>
      </c>
      <c r="I72" s="12" t="s">
        <v>1816</v>
      </c>
      <c r="J72" s="171">
        <v>9</v>
      </c>
      <c r="K72" s="169">
        <v>3.6</v>
      </c>
      <c r="L72" s="169">
        <v>5.4</v>
      </c>
      <c r="M72" s="12" t="s">
        <v>2176</v>
      </c>
      <c r="N72" s="12" t="s">
        <v>1810</v>
      </c>
      <c r="O72" s="154" t="s">
        <v>2185</v>
      </c>
      <c r="P72" s="156" t="s">
        <v>2245</v>
      </c>
    </row>
    <row r="73" spans="1:16">
      <c r="A73" s="50" t="s">
        <v>2246</v>
      </c>
      <c r="B73" s="6" t="s">
        <v>206</v>
      </c>
      <c r="C73" s="6" t="s">
        <v>2247</v>
      </c>
      <c r="D73" s="12" t="s">
        <v>1843</v>
      </c>
      <c r="E73" s="6" t="s">
        <v>2248</v>
      </c>
      <c r="F73" s="6" t="s">
        <v>2249</v>
      </c>
      <c r="G73" s="154" t="s">
        <v>2040</v>
      </c>
      <c r="H73" s="12" t="s">
        <v>1808</v>
      </c>
      <c r="I73" s="12" t="s">
        <v>1816</v>
      </c>
      <c r="J73" s="171">
        <v>10</v>
      </c>
      <c r="K73" s="169">
        <v>4</v>
      </c>
      <c r="L73" s="169">
        <v>6</v>
      </c>
      <c r="M73" s="12" t="s">
        <v>2176</v>
      </c>
      <c r="N73" s="12" t="s">
        <v>1810</v>
      </c>
      <c r="O73" s="154" t="s">
        <v>2185</v>
      </c>
      <c r="P73" s="156" t="s">
        <v>689</v>
      </c>
    </row>
    <row r="74" spans="1:16">
      <c r="A74" s="50" t="s">
        <v>2062</v>
      </c>
      <c r="B74" s="6" t="s">
        <v>209</v>
      </c>
      <c r="C74" s="6" t="s">
        <v>2063</v>
      </c>
      <c r="D74" s="12" t="s">
        <v>1997</v>
      </c>
      <c r="E74" s="6" t="s">
        <v>2064</v>
      </c>
      <c r="F74" s="6" t="s">
        <v>2065</v>
      </c>
      <c r="G74" s="154" t="s">
        <v>2066</v>
      </c>
      <c r="H74" s="12" t="s">
        <v>1808</v>
      </c>
      <c r="I74" s="12" t="s">
        <v>1816</v>
      </c>
      <c r="J74" s="171">
        <v>10</v>
      </c>
      <c r="K74" s="169">
        <v>4</v>
      </c>
      <c r="L74" s="169">
        <v>6</v>
      </c>
      <c r="M74" s="12" t="s">
        <v>2176</v>
      </c>
      <c r="N74" s="12" t="s">
        <v>1810</v>
      </c>
      <c r="O74" s="154" t="s">
        <v>1811</v>
      </c>
      <c r="P74" s="156" t="s">
        <v>2177</v>
      </c>
    </row>
    <row r="75" spans="1:16">
      <c r="A75" s="50" t="s">
        <v>2067</v>
      </c>
      <c r="B75" s="6" t="s">
        <v>209</v>
      </c>
      <c r="C75" s="6" t="s">
        <v>2068</v>
      </c>
      <c r="D75" s="12" t="s">
        <v>1992</v>
      </c>
      <c r="E75" s="6" t="s">
        <v>2069</v>
      </c>
      <c r="F75" s="6" t="s">
        <v>2070</v>
      </c>
      <c r="G75" s="154" t="s">
        <v>1846</v>
      </c>
      <c r="H75" s="12" t="s">
        <v>210</v>
      </c>
      <c r="I75" s="12" t="s">
        <v>1816</v>
      </c>
      <c r="J75" s="171">
        <v>12</v>
      </c>
      <c r="K75" s="169">
        <v>4.8</v>
      </c>
      <c r="L75" s="169">
        <v>7.2</v>
      </c>
      <c r="M75" s="12" t="s">
        <v>2176</v>
      </c>
      <c r="N75" s="12" t="s">
        <v>1817</v>
      </c>
      <c r="O75" s="154" t="s">
        <v>1811</v>
      </c>
      <c r="P75" s="156" t="s">
        <v>2177</v>
      </c>
    </row>
    <row r="76" spans="1:16">
      <c r="A76" s="50" t="s">
        <v>2071</v>
      </c>
      <c r="B76" s="6" t="s">
        <v>209</v>
      </c>
      <c r="C76" s="6" t="s">
        <v>2072</v>
      </c>
      <c r="D76" s="12" t="s">
        <v>1849</v>
      </c>
      <c r="E76" s="6" t="s">
        <v>2073</v>
      </c>
      <c r="F76" s="6" t="s">
        <v>2074</v>
      </c>
      <c r="G76" s="154" t="s">
        <v>1852</v>
      </c>
      <c r="H76" s="12" t="s">
        <v>1808</v>
      </c>
      <c r="I76" s="12" t="s">
        <v>1816</v>
      </c>
      <c r="J76" s="171">
        <v>12</v>
      </c>
      <c r="K76" s="169">
        <v>4.8</v>
      </c>
      <c r="L76" s="169">
        <v>7.2</v>
      </c>
      <c r="M76" s="12" t="s">
        <v>2176</v>
      </c>
      <c r="N76" s="12" t="s">
        <v>1810</v>
      </c>
      <c r="O76" s="154" t="s">
        <v>1811</v>
      </c>
      <c r="P76" s="156" t="s">
        <v>2177</v>
      </c>
    </row>
    <row r="77" spans="1:16">
      <c r="A77" s="50" t="s">
        <v>2075</v>
      </c>
      <c r="B77" s="6" t="s">
        <v>209</v>
      </c>
      <c r="C77" s="6" t="s">
        <v>2076</v>
      </c>
      <c r="D77" s="12" t="s">
        <v>1915</v>
      </c>
      <c r="E77" s="6" t="s">
        <v>2077</v>
      </c>
      <c r="F77" s="6" t="s">
        <v>2250</v>
      </c>
      <c r="G77" s="154" t="s">
        <v>2078</v>
      </c>
      <c r="H77" s="12" t="s">
        <v>1808</v>
      </c>
      <c r="I77" s="12" t="s">
        <v>1816</v>
      </c>
      <c r="J77" s="171">
        <v>15</v>
      </c>
      <c r="K77" s="169">
        <v>6</v>
      </c>
      <c r="L77" s="169">
        <v>9</v>
      </c>
      <c r="M77" s="12" t="s">
        <v>2176</v>
      </c>
      <c r="N77" s="12" t="s">
        <v>1810</v>
      </c>
      <c r="O77" s="154" t="s">
        <v>1811</v>
      </c>
      <c r="P77" s="156" t="s">
        <v>2177</v>
      </c>
    </row>
    <row r="78" spans="1:16">
      <c r="A78" s="50" t="s">
        <v>2079</v>
      </c>
      <c r="B78" s="6" t="s">
        <v>209</v>
      </c>
      <c r="C78" s="6" t="s">
        <v>2080</v>
      </c>
      <c r="D78" s="12" t="s">
        <v>1992</v>
      </c>
      <c r="E78" s="6" t="s">
        <v>2081</v>
      </c>
      <c r="F78" s="6" t="s">
        <v>2082</v>
      </c>
      <c r="G78" s="154" t="s">
        <v>2083</v>
      </c>
      <c r="H78" s="12" t="s">
        <v>1808</v>
      </c>
      <c r="I78" s="12" t="s">
        <v>1809</v>
      </c>
      <c r="J78" s="171">
        <v>5</v>
      </c>
      <c r="K78" s="169">
        <v>2</v>
      </c>
      <c r="L78" s="169">
        <v>3</v>
      </c>
      <c r="M78" s="12" t="s">
        <v>2176</v>
      </c>
      <c r="N78" s="12" t="s">
        <v>1810</v>
      </c>
      <c r="O78" s="154" t="s">
        <v>1811</v>
      </c>
      <c r="P78" s="156" t="s">
        <v>2177</v>
      </c>
    </row>
    <row r="79" spans="1:16">
      <c r="A79" s="50" t="s">
        <v>2251</v>
      </c>
      <c r="B79" s="6" t="s">
        <v>209</v>
      </c>
      <c r="C79" s="6" t="s">
        <v>2252</v>
      </c>
      <c r="D79" s="12" t="s">
        <v>1849</v>
      </c>
      <c r="E79" s="6" t="s">
        <v>2253</v>
      </c>
      <c r="F79" s="6" t="s">
        <v>2254</v>
      </c>
      <c r="G79" s="154" t="s">
        <v>1846</v>
      </c>
      <c r="H79" s="12" t="s">
        <v>1808</v>
      </c>
      <c r="I79" s="12" t="s">
        <v>1809</v>
      </c>
      <c r="J79" s="171">
        <v>5</v>
      </c>
      <c r="K79" s="169">
        <v>2</v>
      </c>
      <c r="L79" s="169">
        <v>3</v>
      </c>
      <c r="M79" s="12" t="s">
        <v>2176</v>
      </c>
      <c r="N79" s="12" t="s">
        <v>1810</v>
      </c>
      <c r="O79" s="154" t="s">
        <v>2185</v>
      </c>
      <c r="P79" s="156" t="s">
        <v>729</v>
      </c>
    </row>
    <row r="80" spans="1:16">
      <c r="A80" s="50" t="s">
        <v>2255</v>
      </c>
      <c r="B80" s="6" t="s">
        <v>209</v>
      </c>
      <c r="C80" s="6" t="s">
        <v>2256</v>
      </c>
      <c r="D80" s="12" t="s">
        <v>1997</v>
      </c>
      <c r="E80" s="6" t="s">
        <v>2257</v>
      </c>
      <c r="F80" s="6" t="s">
        <v>2258</v>
      </c>
      <c r="G80" s="154" t="s">
        <v>1852</v>
      </c>
      <c r="H80" s="12" t="s">
        <v>1808</v>
      </c>
      <c r="I80" s="12" t="s">
        <v>1809</v>
      </c>
      <c r="J80" s="171">
        <v>8</v>
      </c>
      <c r="K80" s="169">
        <v>3.2</v>
      </c>
      <c r="L80" s="169">
        <v>4.8</v>
      </c>
      <c r="M80" s="12" t="s">
        <v>2176</v>
      </c>
      <c r="N80" s="12" t="s">
        <v>1810</v>
      </c>
      <c r="O80" s="154" t="s">
        <v>2185</v>
      </c>
      <c r="P80" s="156" t="s">
        <v>730</v>
      </c>
    </row>
    <row r="81" spans="1:16">
      <c r="A81" s="50" t="s">
        <v>2259</v>
      </c>
      <c r="B81" s="6" t="s">
        <v>209</v>
      </c>
      <c r="C81" s="6" t="s">
        <v>2260</v>
      </c>
      <c r="D81" s="12" t="s">
        <v>1992</v>
      </c>
      <c r="E81" s="6" t="s">
        <v>2261</v>
      </c>
      <c r="F81" s="6" t="s">
        <v>2262</v>
      </c>
      <c r="G81" s="154" t="s">
        <v>2088</v>
      </c>
      <c r="H81" s="12" t="s">
        <v>1808</v>
      </c>
      <c r="I81" s="12" t="s">
        <v>1809</v>
      </c>
      <c r="J81" s="171">
        <v>8</v>
      </c>
      <c r="K81" s="169">
        <v>3.2</v>
      </c>
      <c r="L81" s="169">
        <v>4.8</v>
      </c>
      <c r="M81" s="12" t="s">
        <v>2176</v>
      </c>
      <c r="N81" s="12" t="s">
        <v>1810</v>
      </c>
      <c r="O81" s="154" t="s">
        <v>2185</v>
      </c>
      <c r="P81" s="156" t="s">
        <v>731</v>
      </c>
    </row>
    <row r="82" spans="1:16">
      <c r="A82" s="50" t="s">
        <v>2263</v>
      </c>
      <c r="B82" s="6" t="s">
        <v>209</v>
      </c>
      <c r="C82" s="6" t="s">
        <v>2264</v>
      </c>
      <c r="D82" s="12" t="s">
        <v>1957</v>
      </c>
      <c r="E82" s="6" t="s">
        <v>2265</v>
      </c>
      <c r="F82" s="6" t="s">
        <v>2266</v>
      </c>
      <c r="G82" s="154" t="s">
        <v>2067</v>
      </c>
      <c r="H82" s="12" t="s">
        <v>1808</v>
      </c>
      <c r="I82" s="12" t="s">
        <v>1809</v>
      </c>
      <c r="J82" s="171">
        <v>6</v>
      </c>
      <c r="K82" s="169">
        <v>2.4</v>
      </c>
      <c r="L82" s="169">
        <v>3.6</v>
      </c>
      <c r="M82" s="12" t="s">
        <v>2176</v>
      </c>
      <c r="N82" s="12" t="s">
        <v>1810</v>
      </c>
      <c r="O82" s="154" t="s">
        <v>2185</v>
      </c>
      <c r="P82" s="156" t="s">
        <v>734</v>
      </c>
    </row>
    <row r="83" spans="1:16">
      <c r="A83" s="50" t="s">
        <v>2267</v>
      </c>
      <c r="B83" s="6" t="s">
        <v>209</v>
      </c>
      <c r="C83" s="6" t="s">
        <v>2268</v>
      </c>
      <c r="D83" s="12" t="s">
        <v>1849</v>
      </c>
      <c r="E83" s="6" t="s">
        <v>2269</v>
      </c>
      <c r="F83" s="6" t="s">
        <v>2270</v>
      </c>
      <c r="G83" s="154" t="s">
        <v>2071</v>
      </c>
      <c r="H83" s="12" t="s">
        <v>1808</v>
      </c>
      <c r="I83" s="12" t="s">
        <v>1816</v>
      </c>
      <c r="J83" s="171">
        <v>10</v>
      </c>
      <c r="K83" s="169">
        <v>4</v>
      </c>
      <c r="L83" s="169">
        <v>6</v>
      </c>
      <c r="M83" s="12" t="s">
        <v>2176</v>
      </c>
      <c r="N83" s="12" t="s">
        <v>1810</v>
      </c>
      <c r="O83" s="154" t="s">
        <v>2185</v>
      </c>
      <c r="P83" s="156" t="s">
        <v>2271</v>
      </c>
    </row>
    <row r="84" spans="1:16">
      <c r="A84" s="50" t="s">
        <v>2272</v>
      </c>
      <c r="B84" s="6" t="s">
        <v>209</v>
      </c>
      <c r="C84" s="6" t="s">
        <v>2273</v>
      </c>
      <c r="D84" s="12" t="s">
        <v>1860</v>
      </c>
      <c r="E84" s="6" t="s">
        <v>2274</v>
      </c>
      <c r="F84" s="6" t="s">
        <v>2275</v>
      </c>
      <c r="G84" s="154" t="s">
        <v>2276</v>
      </c>
      <c r="H84" s="12" t="s">
        <v>1808</v>
      </c>
      <c r="I84" s="12" t="s">
        <v>1809</v>
      </c>
      <c r="J84" s="171">
        <v>8</v>
      </c>
      <c r="K84" s="169">
        <v>3.2</v>
      </c>
      <c r="L84" s="169">
        <v>4.8</v>
      </c>
      <c r="M84" s="12" t="s">
        <v>2176</v>
      </c>
      <c r="N84" s="12" t="s">
        <v>1810</v>
      </c>
      <c r="O84" s="154" t="s">
        <v>2185</v>
      </c>
      <c r="P84" s="156" t="s">
        <v>2277</v>
      </c>
    </row>
    <row r="85" spans="1:16">
      <c r="A85" s="50" t="s">
        <v>2278</v>
      </c>
      <c r="B85" s="6" t="s">
        <v>209</v>
      </c>
      <c r="C85" s="6" t="s">
        <v>2279</v>
      </c>
      <c r="D85" s="12" t="s">
        <v>1957</v>
      </c>
      <c r="E85" s="6" t="s">
        <v>2280</v>
      </c>
      <c r="F85" s="6" t="s">
        <v>2281</v>
      </c>
      <c r="G85" s="154" t="s">
        <v>2067</v>
      </c>
      <c r="H85" s="12" t="s">
        <v>1808</v>
      </c>
      <c r="I85" s="12" t="s">
        <v>1809</v>
      </c>
      <c r="J85" s="171">
        <v>3</v>
      </c>
      <c r="K85" s="169">
        <v>1.2</v>
      </c>
      <c r="L85" s="169">
        <v>1.8</v>
      </c>
      <c r="M85" s="12" t="s">
        <v>2176</v>
      </c>
      <c r="N85" s="12" t="s">
        <v>1810</v>
      </c>
      <c r="O85" s="154" t="s">
        <v>2185</v>
      </c>
      <c r="P85" s="156" t="s">
        <v>2282</v>
      </c>
    </row>
    <row r="86" spans="1:16">
      <c r="A86" s="50" t="s">
        <v>1971</v>
      </c>
      <c r="B86" s="6" t="s">
        <v>2084</v>
      </c>
      <c r="C86" s="6" t="s">
        <v>2085</v>
      </c>
      <c r="D86" s="12" t="s">
        <v>1849</v>
      </c>
      <c r="E86" s="6" t="s">
        <v>2086</v>
      </c>
      <c r="F86" s="6" t="s">
        <v>2087</v>
      </c>
      <c r="G86" s="154" t="s">
        <v>1808</v>
      </c>
      <c r="H86" s="12" t="s">
        <v>1808</v>
      </c>
      <c r="I86" s="12" t="s">
        <v>1827</v>
      </c>
      <c r="J86" s="171">
        <v>22</v>
      </c>
      <c r="K86" s="169">
        <v>8.8000000000000007</v>
      </c>
      <c r="L86" s="169">
        <v>13.2</v>
      </c>
      <c r="M86" s="12" t="s">
        <v>2176</v>
      </c>
      <c r="N86" s="12" t="s">
        <v>1810</v>
      </c>
      <c r="O86" s="154" t="s">
        <v>1811</v>
      </c>
      <c r="P86" s="156" t="s">
        <v>2177</v>
      </c>
    </row>
    <row r="87" spans="1:16">
      <c r="A87" s="50" t="s">
        <v>2088</v>
      </c>
      <c r="B87" s="6" t="s">
        <v>2084</v>
      </c>
      <c r="C87" s="6" t="s">
        <v>2089</v>
      </c>
      <c r="D87" s="12" t="s">
        <v>1849</v>
      </c>
      <c r="E87" s="6" t="s">
        <v>2090</v>
      </c>
      <c r="F87" s="6" t="s">
        <v>2091</v>
      </c>
      <c r="G87" s="154" t="s">
        <v>1971</v>
      </c>
      <c r="H87" s="12" t="s">
        <v>1808</v>
      </c>
      <c r="I87" s="12" t="s">
        <v>1816</v>
      </c>
      <c r="J87" s="171">
        <v>14</v>
      </c>
      <c r="K87" s="169">
        <v>5.6</v>
      </c>
      <c r="L87" s="169">
        <v>8.4</v>
      </c>
      <c r="M87" s="12" t="s">
        <v>2176</v>
      </c>
      <c r="N87" s="12" t="s">
        <v>1810</v>
      </c>
      <c r="O87" s="154" t="s">
        <v>1811</v>
      </c>
      <c r="P87" s="156" t="s">
        <v>2177</v>
      </c>
    </row>
    <row r="88" spans="1:16">
      <c r="A88" s="50" t="s">
        <v>2283</v>
      </c>
      <c r="B88" s="6" t="s">
        <v>2084</v>
      </c>
      <c r="C88" s="6" t="s">
        <v>2284</v>
      </c>
      <c r="D88" s="12" t="s">
        <v>1849</v>
      </c>
      <c r="E88" s="6" t="s">
        <v>2285</v>
      </c>
      <c r="F88" s="6" t="s">
        <v>2286</v>
      </c>
      <c r="G88" s="154" t="s">
        <v>2088</v>
      </c>
      <c r="H88" s="12" t="s">
        <v>1808</v>
      </c>
      <c r="I88" s="12" t="s">
        <v>1816</v>
      </c>
      <c r="J88" s="171">
        <v>12</v>
      </c>
      <c r="K88" s="169">
        <v>4.8</v>
      </c>
      <c r="L88" s="169">
        <v>7.2</v>
      </c>
      <c r="M88" s="12" t="s">
        <v>2176</v>
      </c>
      <c r="N88" s="12" t="s">
        <v>1810</v>
      </c>
      <c r="O88" s="154" t="s">
        <v>2185</v>
      </c>
      <c r="P88" s="156" t="s">
        <v>812</v>
      </c>
    </row>
    <row r="89" spans="1:16">
      <c r="A89" s="50" t="s">
        <v>2066</v>
      </c>
      <c r="B89" s="6" t="s">
        <v>2092</v>
      </c>
      <c r="C89" s="6" t="s">
        <v>2093</v>
      </c>
      <c r="D89" s="12" t="s">
        <v>2094</v>
      </c>
      <c r="E89" s="6" t="s">
        <v>2095</v>
      </c>
      <c r="F89" s="6" t="s">
        <v>2096</v>
      </c>
      <c r="G89" s="154" t="s">
        <v>1846</v>
      </c>
      <c r="H89" s="12" t="s">
        <v>1808</v>
      </c>
      <c r="I89" s="12" t="s">
        <v>1816</v>
      </c>
      <c r="J89" s="171">
        <v>13</v>
      </c>
      <c r="K89" s="169">
        <v>5.2</v>
      </c>
      <c r="L89" s="169">
        <v>7.8</v>
      </c>
      <c r="M89" s="12" t="s">
        <v>2176</v>
      </c>
      <c r="N89" s="12" t="s">
        <v>1810</v>
      </c>
      <c r="O89" s="154" t="s">
        <v>1811</v>
      </c>
      <c r="P89" s="156" t="s">
        <v>2177</v>
      </c>
    </row>
    <row r="90" spans="1:16">
      <c r="A90" s="50" t="s">
        <v>2029</v>
      </c>
      <c r="B90" s="6" t="s">
        <v>2092</v>
      </c>
      <c r="C90" s="6" t="s">
        <v>2097</v>
      </c>
      <c r="D90" s="12" t="s">
        <v>1849</v>
      </c>
      <c r="E90" s="6" t="s">
        <v>2098</v>
      </c>
      <c r="F90" s="6" t="s">
        <v>2099</v>
      </c>
      <c r="G90" s="154" t="s">
        <v>2100</v>
      </c>
      <c r="H90" s="12" t="s">
        <v>1808</v>
      </c>
      <c r="I90" s="12" t="s">
        <v>1816</v>
      </c>
      <c r="J90" s="171">
        <v>13</v>
      </c>
      <c r="K90" s="169">
        <v>5.2</v>
      </c>
      <c r="L90" s="169">
        <v>7.8</v>
      </c>
      <c r="M90" s="12" t="s">
        <v>2176</v>
      </c>
      <c r="N90" s="12" t="s">
        <v>1810</v>
      </c>
      <c r="O90" s="154" t="s">
        <v>1811</v>
      </c>
      <c r="P90" s="156" t="s">
        <v>2177</v>
      </c>
    </row>
    <row r="91" spans="1:16">
      <c r="A91" s="50" t="s">
        <v>2101</v>
      </c>
      <c r="B91" s="6" t="s">
        <v>2092</v>
      </c>
      <c r="C91" s="6" t="s">
        <v>2102</v>
      </c>
      <c r="D91" s="12" t="s">
        <v>1957</v>
      </c>
      <c r="E91" s="6" t="s">
        <v>2103</v>
      </c>
      <c r="F91" s="6" t="s">
        <v>2287</v>
      </c>
      <c r="G91" s="154" t="s">
        <v>2104</v>
      </c>
      <c r="H91" s="12" t="s">
        <v>1808</v>
      </c>
      <c r="I91" s="12" t="s">
        <v>1827</v>
      </c>
      <c r="J91" s="171">
        <v>25</v>
      </c>
      <c r="K91" s="169">
        <v>10</v>
      </c>
      <c r="L91" s="169">
        <v>15</v>
      </c>
      <c r="M91" s="12" t="s">
        <v>2176</v>
      </c>
      <c r="N91" s="12" t="s">
        <v>1810</v>
      </c>
      <c r="O91" s="154" t="s">
        <v>1811</v>
      </c>
      <c r="P91" s="156" t="s">
        <v>2177</v>
      </c>
    </row>
    <row r="92" spans="1:16">
      <c r="A92" s="50" t="s">
        <v>2105</v>
      </c>
      <c r="B92" s="6" t="s">
        <v>2092</v>
      </c>
      <c r="C92" s="6" t="s">
        <v>2106</v>
      </c>
      <c r="D92" s="12" t="s">
        <v>1865</v>
      </c>
      <c r="E92" s="6" t="s">
        <v>2107</v>
      </c>
      <c r="F92" s="6" t="s">
        <v>2108</v>
      </c>
      <c r="G92" s="154" t="s">
        <v>2109</v>
      </c>
      <c r="H92" s="12" t="s">
        <v>1808</v>
      </c>
      <c r="I92" s="12" t="s">
        <v>1816</v>
      </c>
      <c r="J92" s="171">
        <v>12</v>
      </c>
      <c r="K92" s="169">
        <v>4.8</v>
      </c>
      <c r="L92" s="169">
        <v>7.2</v>
      </c>
      <c r="M92" s="12" t="s">
        <v>2176</v>
      </c>
      <c r="N92" s="12" t="s">
        <v>1810</v>
      </c>
      <c r="O92" s="154" t="s">
        <v>1811</v>
      </c>
      <c r="P92" s="156" t="s">
        <v>2177</v>
      </c>
    </row>
    <row r="93" spans="1:16">
      <c r="A93" s="50" t="s">
        <v>2110</v>
      </c>
      <c r="B93" s="6" t="s">
        <v>2092</v>
      </c>
      <c r="C93" s="6" t="s">
        <v>2111</v>
      </c>
      <c r="D93" s="12" t="s">
        <v>1865</v>
      </c>
      <c r="E93" s="6" t="s">
        <v>2112</v>
      </c>
      <c r="F93" s="6" t="s">
        <v>2113</v>
      </c>
      <c r="G93" s="154" t="s">
        <v>2066</v>
      </c>
      <c r="H93" s="12" t="s">
        <v>1808</v>
      </c>
      <c r="I93" s="12" t="s">
        <v>1816</v>
      </c>
      <c r="J93" s="171">
        <v>11</v>
      </c>
      <c r="K93" s="169">
        <v>4.4000000000000004</v>
      </c>
      <c r="L93" s="169">
        <v>6.6</v>
      </c>
      <c r="M93" s="12" t="s">
        <v>2176</v>
      </c>
      <c r="N93" s="12" t="s">
        <v>1810</v>
      </c>
      <c r="O93" s="154" t="s">
        <v>1811</v>
      </c>
      <c r="P93" s="156" t="s">
        <v>2177</v>
      </c>
    </row>
    <row r="94" spans="1:16">
      <c r="A94" s="50" t="s">
        <v>2114</v>
      </c>
      <c r="B94" s="6" t="s">
        <v>2092</v>
      </c>
      <c r="C94" s="6" t="s">
        <v>1038</v>
      </c>
      <c r="D94" s="12" t="s">
        <v>2059</v>
      </c>
      <c r="E94" s="6" t="s">
        <v>2115</v>
      </c>
      <c r="F94" s="6" t="s">
        <v>2116</v>
      </c>
      <c r="G94" s="154" t="s">
        <v>2117</v>
      </c>
      <c r="H94" s="12" t="s">
        <v>1808</v>
      </c>
      <c r="I94" s="12" t="s">
        <v>1816</v>
      </c>
      <c r="J94" s="171">
        <v>10</v>
      </c>
      <c r="K94" s="169">
        <v>4</v>
      </c>
      <c r="L94" s="169">
        <v>6</v>
      </c>
      <c r="M94" s="12" t="s">
        <v>2176</v>
      </c>
      <c r="N94" s="12" t="s">
        <v>1810</v>
      </c>
      <c r="O94" s="154" t="s">
        <v>1934</v>
      </c>
      <c r="P94" s="156" t="s">
        <v>2177</v>
      </c>
    </row>
    <row r="95" spans="1:16">
      <c r="A95" s="50" t="s">
        <v>2118</v>
      </c>
      <c r="B95" s="6" t="s">
        <v>2092</v>
      </c>
      <c r="C95" s="6" t="s">
        <v>2119</v>
      </c>
      <c r="D95" s="12" t="s">
        <v>2120</v>
      </c>
      <c r="E95" s="6" t="s">
        <v>2121</v>
      </c>
      <c r="F95" s="6" t="s">
        <v>2122</v>
      </c>
      <c r="G95" s="154" t="s">
        <v>1971</v>
      </c>
      <c r="H95" s="12" t="s">
        <v>1808</v>
      </c>
      <c r="I95" s="12" t="s">
        <v>1809</v>
      </c>
      <c r="J95" s="171">
        <v>5</v>
      </c>
      <c r="K95" s="169">
        <v>2</v>
      </c>
      <c r="L95" s="169">
        <v>3</v>
      </c>
      <c r="M95" s="12" t="s">
        <v>2176</v>
      </c>
      <c r="N95" s="12" t="s">
        <v>1810</v>
      </c>
      <c r="O95" s="154" t="s">
        <v>1934</v>
      </c>
      <c r="P95" s="156" t="s">
        <v>2177</v>
      </c>
    </row>
    <row r="96" spans="1:16">
      <c r="A96" s="50" t="s">
        <v>2288</v>
      </c>
      <c r="B96" s="6" t="s">
        <v>2092</v>
      </c>
      <c r="C96" s="6" t="s">
        <v>2289</v>
      </c>
      <c r="D96" s="12" t="s">
        <v>2094</v>
      </c>
      <c r="E96" s="6" t="s">
        <v>2290</v>
      </c>
      <c r="F96" s="6" t="s">
        <v>2291</v>
      </c>
      <c r="G96" s="154" t="s">
        <v>2066</v>
      </c>
      <c r="H96" s="12" t="s">
        <v>1808</v>
      </c>
      <c r="I96" s="12" t="s">
        <v>1809</v>
      </c>
      <c r="J96" s="171">
        <v>8</v>
      </c>
      <c r="K96" s="169">
        <v>3.2</v>
      </c>
      <c r="L96" s="169">
        <v>4.8</v>
      </c>
      <c r="M96" s="12" t="s">
        <v>2176</v>
      </c>
      <c r="N96" s="12" t="s">
        <v>1810</v>
      </c>
      <c r="O96" s="154" t="s">
        <v>2185</v>
      </c>
      <c r="P96" s="156" t="s">
        <v>2292</v>
      </c>
    </row>
    <row r="97" spans="1:16">
      <c r="A97" s="50" t="s">
        <v>2293</v>
      </c>
      <c r="B97" s="6" t="s">
        <v>2092</v>
      </c>
      <c r="C97" s="6" t="s">
        <v>2294</v>
      </c>
      <c r="D97" s="12" t="s">
        <v>1957</v>
      </c>
      <c r="E97" s="6" t="s">
        <v>2295</v>
      </c>
      <c r="F97" s="6" t="s">
        <v>2296</v>
      </c>
      <c r="G97" s="154" t="s">
        <v>2029</v>
      </c>
      <c r="H97" s="12" t="s">
        <v>1808</v>
      </c>
      <c r="I97" s="12" t="s">
        <v>1809</v>
      </c>
      <c r="J97" s="171">
        <v>5</v>
      </c>
      <c r="K97" s="169">
        <v>2</v>
      </c>
      <c r="L97" s="169">
        <v>3</v>
      </c>
      <c r="M97" s="12" t="s">
        <v>2176</v>
      </c>
      <c r="N97" s="12" t="s">
        <v>2297</v>
      </c>
      <c r="O97" s="154" t="s">
        <v>2185</v>
      </c>
      <c r="P97" s="156" t="s">
        <v>2298</v>
      </c>
    </row>
    <row r="98" spans="1:16">
      <c r="A98" s="50" t="s">
        <v>2123</v>
      </c>
      <c r="B98" s="6" t="s">
        <v>842</v>
      </c>
      <c r="C98" s="6" t="s">
        <v>2124</v>
      </c>
      <c r="D98" s="12" t="s">
        <v>2125</v>
      </c>
      <c r="E98" s="6" t="s">
        <v>2126</v>
      </c>
      <c r="F98" s="6" t="s">
        <v>2127</v>
      </c>
      <c r="G98" s="154" t="s">
        <v>2128</v>
      </c>
      <c r="H98" s="12" t="s">
        <v>1808</v>
      </c>
      <c r="I98" s="12" t="s">
        <v>1816</v>
      </c>
      <c r="J98" s="171">
        <v>14</v>
      </c>
      <c r="K98" s="169">
        <v>5.6</v>
      </c>
      <c r="L98" s="169">
        <v>8.4</v>
      </c>
      <c r="M98" s="12" t="s">
        <v>2176</v>
      </c>
      <c r="N98" s="12" t="s">
        <v>1810</v>
      </c>
      <c r="O98" s="154" t="s">
        <v>1811</v>
      </c>
      <c r="P98" s="156" t="s">
        <v>2177</v>
      </c>
    </row>
    <row r="99" spans="1:16">
      <c r="A99" s="50" t="s">
        <v>1907</v>
      </c>
      <c r="B99" s="6" t="s">
        <v>842</v>
      </c>
      <c r="C99" s="6" t="s">
        <v>2129</v>
      </c>
      <c r="D99" s="12" t="s">
        <v>1860</v>
      </c>
      <c r="E99" s="6" t="s">
        <v>2130</v>
      </c>
      <c r="F99" s="6" t="s">
        <v>2299</v>
      </c>
      <c r="G99" s="154" t="s">
        <v>2131</v>
      </c>
      <c r="H99" s="12" t="s">
        <v>1808</v>
      </c>
      <c r="I99" s="12" t="s">
        <v>1827</v>
      </c>
      <c r="J99" s="171">
        <v>24</v>
      </c>
      <c r="K99" s="169">
        <v>9.6</v>
      </c>
      <c r="L99" s="169">
        <v>14.4</v>
      </c>
      <c r="M99" s="12" t="s">
        <v>2176</v>
      </c>
      <c r="N99" s="12" t="s">
        <v>1810</v>
      </c>
      <c r="O99" s="154" t="s">
        <v>1811</v>
      </c>
      <c r="P99" s="156" t="s">
        <v>2177</v>
      </c>
    </row>
    <row r="100" spans="1:16">
      <c r="A100" s="50" t="s">
        <v>2132</v>
      </c>
      <c r="B100" s="6" t="s">
        <v>842</v>
      </c>
      <c r="C100" s="6" t="s">
        <v>2133</v>
      </c>
      <c r="D100" s="12" t="s">
        <v>1860</v>
      </c>
      <c r="E100" s="6" t="s">
        <v>2134</v>
      </c>
      <c r="F100" s="6" t="s">
        <v>2135</v>
      </c>
      <c r="G100" s="154" t="s">
        <v>1907</v>
      </c>
      <c r="H100" s="12" t="s">
        <v>1808</v>
      </c>
      <c r="I100" s="12" t="s">
        <v>1816</v>
      </c>
      <c r="J100" s="171">
        <v>12</v>
      </c>
      <c r="K100" s="169">
        <v>4.8</v>
      </c>
      <c r="L100" s="169">
        <v>7.2</v>
      </c>
      <c r="M100" s="12" t="s">
        <v>2176</v>
      </c>
      <c r="N100" s="12" t="s">
        <v>1810</v>
      </c>
      <c r="O100" s="154" t="s">
        <v>1811</v>
      </c>
      <c r="P100" s="156" t="s">
        <v>2177</v>
      </c>
    </row>
    <row r="101" spans="1:16">
      <c r="A101" s="50" t="s">
        <v>2136</v>
      </c>
      <c r="B101" s="6" t="s">
        <v>842</v>
      </c>
      <c r="C101" s="6" t="s">
        <v>2137</v>
      </c>
      <c r="D101" s="12" t="s">
        <v>2138</v>
      </c>
      <c r="E101" s="6" t="s">
        <v>2139</v>
      </c>
      <c r="F101" s="6" t="s">
        <v>2140</v>
      </c>
      <c r="G101" s="154" t="s">
        <v>1868</v>
      </c>
      <c r="H101" s="12" t="s">
        <v>1808</v>
      </c>
      <c r="I101" s="12" t="s">
        <v>1816</v>
      </c>
      <c r="J101" s="171">
        <v>14</v>
      </c>
      <c r="K101" s="169">
        <v>5.6</v>
      </c>
      <c r="L101" s="169">
        <v>8.4</v>
      </c>
      <c r="M101" s="12" t="s">
        <v>2176</v>
      </c>
      <c r="N101" s="12" t="s">
        <v>1817</v>
      </c>
      <c r="O101" s="154" t="s">
        <v>1811</v>
      </c>
      <c r="P101" s="156" t="s">
        <v>2177</v>
      </c>
    </row>
    <row r="102" spans="1:16">
      <c r="A102" s="50" t="s">
        <v>2141</v>
      </c>
      <c r="B102" s="6" t="s">
        <v>842</v>
      </c>
      <c r="C102" s="6" t="s">
        <v>2142</v>
      </c>
      <c r="D102" s="12" t="s">
        <v>1957</v>
      </c>
      <c r="E102" s="6" t="s">
        <v>2143</v>
      </c>
      <c r="F102" s="6" t="s">
        <v>2144</v>
      </c>
      <c r="G102" s="154" t="s">
        <v>1874</v>
      </c>
      <c r="H102" s="12" t="s">
        <v>1808</v>
      </c>
      <c r="I102" s="12" t="s">
        <v>1809</v>
      </c>
      <c r="J102" s="171">
        <v>5</v>
      </c>
      <c r="K102" s="169">
        <v>2</v>
      </c>
      <c r="L102" s="169">
        <v>3</v>
      </c>
      <c r="M102" s="12" t="s">
        <v>2176</v>
      </c>
      <c r="N102" s="12" t="s">
        <v>1817</v>
      </c>
      <c r="O102" s="154" t="s">
        <v>1811</v>
      </c>
      <c r="P102" s="156" t="s">
        <v>2177</v>
      </c>
    </row>
    <row r="103" spans="1:16">
      <c r="A103" s="50" t="s">
        <v>2145</v>
      </c>
      <c r="B103" s="6" t="s">
        <v>842</v>
      </c>
      <c r="C103" s="6" t="s">
        <v>2146</v>
      </c>
      <c r="D103" s="12" t="s">
        <v>2138</v>
      </c>
      <c r="E103" s="6" t="s">
        <v>2147</v>
      </c>
      <c r="F103" s="6" t="s">
        <v>2148</v>
      </c>
      <c r="G103" s="154" t="s">
        <v>1963</v>
      </c>
      <c r="H103" s="12" t="s">
        <v>1808</v>
      </c>
      <c r="I103" s="12" t="s">
        <v>1809</v>
      </c>
      <c r="J103" s="171">
        <v>6</v>
      </c>
      <c r="K103" s="169">
        <v>2.4</v>
      </c>
      <c r="L103" s="169">
        <v>3.6</v>
      </c>
      <c r="M103" s="12" t="s">
        <v>2176</v>
      </c>
      <c r="N103" s="12" t="s">
        <v>1810</v>
      </c>
      <c r="O103" s="154" t="s">
        <v>1811</v>
      </c>
      <c r="P103" s="156" t="s">
        <v>2177</v>
      </c>
    </row>
    <row r="104" spans="1:16">
      <c r="A104" s="50" t="s">
        <v>2149</v>
      </c>
      <c r="B104" s="6" t="s">
        <v>842</v>
      </c>
      <c r="C104" s="6" t="s">
        <v>2150</v>
      </c>
      <c r="D104" s="12" t="s">
        <v>1957</v>
      </c>
      <c r="E104" s="6" t="s">
        <v>2151</v>
      </c>
      <c r="F104" s="6" t="s">
        <v>2152</v>
      </c>
      <c r="G104" s="154" t="s">
        <v>1874</v>
      </c>
      <c r="H104" s="12" t="s">
        <v>1808</v>
      </c>
      <c r="I104" s="12" t="s">
        <v>1809</v>
      </c>
      <c r="J104" s="171">
        <v>4</v>
      </c>
      <c r="K104" s="169">
        <v>1.6</v>
      </c>
      <c r="L104" s="169">
        <v>2.4</v>
      </c>
      <c r="M104" s="12" t="s">
        <v>2176</v>
      </c>
      <c r="N104" s="12" t="s">
        <v>1817</v>
      </c>
      <c r="O104" s="154" t="s">
        <v>1934</v>
      </c>
      <c r="P104" s="156" t="s">
        <v>2177</v>
      </c>
    </row>
    <row r="105" spans="1:16">
      <c r="A105" s="50" t="s">
        <v>2300</v>
      </c>
      <c r="B105" s="6" t="s">
        <v>842</v>
      </c>
      <c r="C105" s="6" t="s">
        <v>2301</v>
      </c>
      <c r="D105" s="12" t="s">
        <v>1957</v>
      </c>
      <c r="E105" s="6" t="s">
        <v>2302</v>
      </c>
      <c r="F105" s="6" t="s">
        <v>2303</v>
      </c>
      <c r="G105" s="154" t="s">
        <v>2123</v>
      </c>
      <c r="H105" s="12" t="s">
        <v>1808</v>
      </c>
      <c r="I105" s="12" t="s">
        <v>1816</v>
      </c>
      <c r="J105" s="171">
        <v>12</v>
      </c>
      <c r="K105" s="169">
        <v>4.8</v>
      </c>
      <c r="L105" s="169">
        <v>7.2</v>
      </c>
      <c r="M105" s="12" t="s">
        <v>2176</v>
      </c>
      <c r="N105" s="12" t="s">
        <v>1810</v>
      </c>
      <c r="O105" s="154" t="s">
        <v>2185</v>
      </c>
      <c r="P105" s="156" t="s">
        <v>846</v>
      </c>
    </row>
    <row r="106" spans="1:16">
      <c r="A106" s="50" t="s">
        <v>2304</v>
      </c>
      <c r="B106" s="6" t="s">
        <v>842</v>
      </c>
      <c r="C106" s="6" t="s">
        <v>2305</v>
      </c>
      <c r="D106" s="12" t="s">
        <v>1922</v>
      </c>
      <c r="E106" s="6" t="s">
        <v>2306</v>
      </c>
      <c r="F106" s="6" t="s">
        <v>2307</v>
      </c>
      <c r="G106" s="154" t="s">
        <v>2123</v>
      </c>
      <c r="H106" s="12" t="s">
        <v>1808</v>
      </c>
      <c r="I106" s="12" t="s">
        <v>1809</v>
      </c>
      <c r="J106" s="171">
        <v>5</v>
      </c>
      <c r="K106" s="169">
        <v>2</v>
      </c>
      <c r="L106" s="169">
        <v>3</v>
      </c>
      <c r="M106" s="12" t="s">
        <v>2176</v>
      </c>
      <c r="N106" s="12" t="s">
        <v>1810</v>
      </c>
      <c r="O106" s="154" t="s">
        <v>2185</v>
      </c>
      <c r="P106" s="156" t="s">
        <v>847</v>
      </c>
    </row>
    <row r="107" spans="1:16">
      <c r="A107" s="50" t="s">
        <v>2308</v>
      </c>
      <c r="B107" s="6" t="s">
        <v>842</v>
      </c>
      <c r="C107" s="6" t="s">
        <v>2309</v>
      </c>
      <c r="D107" s="12" t="s">
        <v>1804</v>
      </c>
      <c r="E107" s="6" t="s">
        <v>2310</v>
      </c>
      <c r="F107" s="6" t="s">
        <v>2311</v>
      </c>
      <c r="G107" s="154" t="s">
        <v>1907</v>
      </c>
      <c r="H107" s="12" t="s">
        <v>1808</v>
      </c>
      <c r="I107" s="12" t="s">
        <v>1809</v>
      </c>
      <c r="J107" s="171">
        <v>6</v>
      </c>
      <c r="K107" s="169">
        <v>2.4</v>
      </c>
      <c r="L107" s="169">
        <v>3.6</v>
      </c>
      <c r="M107" s="12" t="s">
        <v>2176</v>
      </c>
      <c r="N107" s="12" t="s">
        <v>1810</v>
      </c>
      <c r="O107" s="154" t="s">
        <v>2185</v>
      </c>
      <c r="P107" s="156" t="s">
        <v>2312</v>
      </c>
    </row>
    <row r="108" spans="1:16">
      <c r="A108" s="257" t="s">
        <v>2313</v>
      </c>
      <c r="B108" s="8" t="s">
        <v>842</v>
      </c>
      <c r="C108" s="8" t="s">
        <v>2314</v>
      </c>
      <c r="D108" s="13" t="s">
        <v>1824</v>
      </c>
      <c r="E108" s="8" t="s">
        <v>4676</v>
      </c>
      <c r="F108" s="8" t="s">
        <v>4677</v>
      </c>
      <c r="G108" s="155" t="s">
        <v>2136</v>
      </c>
      <c r="H108" s="13" t="s">
        <v>1808</v>
      </c>
      <c r="I108" s="13" t="s">
        <v>1809</v>
      </c>
      <c r="J108" s="172">
        <v>8</v>
      </c>
      <c r="K108" s="170">
        <v>3.2</v>
      </c>
      <c r="L108" s="170">
        <v>4.8</v>
      </c>
      <c r="M108" s="13" t="s">
        <v>2183</v>
      </c>
      <c r="N108" s="13" t="s">
        <v>4674</v>
      </c>
      <c r="O108" s="155" t="s">
        <v>2185</v>
      </c>
      <c r="P108" s="157" t="s">
        <v>4675</v>
      </c>
    </row>
  </sheetData>
  <autoFilter ref="A5:P108" xr:uid="{299E7693-5B40-0444-B227-D6033B94776C}"/>
  <phoneticPr fontId="2"/>
  <conditionalFormatting sqref="A6:P108">
    <cfRule type="expression" dxfId="43" priority="1">
      <formula>$M6="🟡 将来・条件付"</formula>
    </cfRule>
  </conditionalFormatting>
  <conditionalFormatting sqref="A6:P108">
    <cfRule type="expression" dxfId="42" priority="2">
      <formula>$O6="v1.2（2026-08-12 GAP監査）"</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G60"/>
  <sheetViews>
    <sheetView workbookViewId="0">
      <pane ySplit="5" topLeftCell="A6" activePane="bottomLeft" state="frozen"/>
      <selection activeCell="C1" sqref="C1"/>
      <selection pane="bottomLeft" activeCell="E31" sqref="E31"/>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9" max="9" width="24.28515625" customWidth="1"/>
    <col min="10" max="11" width="11.42578125" customWidth="1"/>
    <col min="12" max="12" width="32.85546875" customWidth="1"/>
  </cols>
  <sheetData>
    <row r="1" spans="1:7" ht="25">
      <c r="A1" s="48" t="s">
        <v>2582</v>
      </c>
    </row>
    <row r="2" spans="1:7">
      <c r="A2" s="3" t="s">
        <v>2583</v>
      </c>
    </row>
    <row r="3" spans="1:7">
      <c r="A3" s="55" t="s">
        <v>2584</v>
      </c>
    </row>
    <row r="5" spans="1:7" ht="24" customHeight="1">
      <c r="A5" s="196" t="s">
        <v>1</v>
      </c>
      <c r="B5" s="197" t="s">
        <v>6</v>
      </c>
      <c r="C5" s="197" t="s">
        <v>2576</v>
      </c>
      <c r="D5" s="197" t="s">
        <v>2585</v>
      </c>
      <c r="E5" s="197" t="s">
        <v>2323</v>
      </c>
      <c r="F5" s="197" t="s">
        <v>2586</v>
      </c>
      <c r="G5" s="198" t="s">
        <v>2553</v>
      </c>
    </row>
    <row r="6" spans="1:7">
      <c r="A6" s="5" t="s">
        <v>2587</v>
      </c>
      <c r="B6" s="187" t="s">
        <v>2588</v>
      </c>
      <c r="C6" s="6" t="s">
        <v>2589</v>
      </c>
      <c r="D6" s="209" t="s">
        <v>2590</v>
      </c>
      <c r="E6" s="167">
        <v>6</v>
      </c>
      <c r="F6" s="189" t="s">
        <v>2591</v>
      </c>
      <c r="G6" s="199" t="s">
        <v>2592</v>
      </c>
    </row>
    <row r="7" spans="1:7">
      <c r="A7" s="5" t="s">
        <v>2587</v>
      </c>
      <c r="B7" s="187" t="s">
        <v>2593</v>
      </c>
      <c r="C7" s="6" t="s">
        <v>2594</v>
      </c>
      <c r="D7" s="209" t="s">
        <v>2595</v>
      </c>
      <c r="E7" s="167">
        <v>6</v>
      </c>
      <c r="F7" s="189" t="s">
        <v>2596</v>
      </c>
      <c r="G7" s="199" t="s">
        <v>2592</v>
      </c>
    </row>
    <row r="8" spans="1:7">
      <c r="A8" s="5" t="s">
        <v>2587</v>
      </c>
      <c r="B8" s="187" t="s">
        <v>2597</v>
      </c>
      <c r="C8" s="6" t="s">
        <v>2598</v>
      </c>
      <c r="D8" s="209" t="s">
        <v>2599</v>
      </c>
      <c r="E8" s="167">
        <v>6</v>
      </c>
      <c r="F8" s="189" t="s">
        <v>2600</v>
      </c>
      <c r="G8" s="199" t="s">
        <v>2592</v>
      </c>
    </row>
    <row r="9" spans="1:7">
      <c r="A9" s="5" t="s">
        <v>2587</v>
      </c>
      <c r="B9" s="187" t="s">
        <v>2601</v>
      </c>
      <c r="C9" s="6" t="s">
        <v>2602</v>
      </c>
      <c r="D9" s="209" t="s">
        <v>2603</v>
      </c>
      <c r="E9" s="167">
        <v>5</v>
      </c>
      <c r="F9" s="189" t="s">
        <v>2604</v>
      </c>
      <c r="G9" s="199" t="s">
        <v>2592</v>
      </c>
    </row>
    <row r="10" spans="1:7">
      <c r="A10" s="5" t="s">
        <v>2587</v>
      </c>
      <c r="B10" s="187" t="s">
        <v>2605</v>
      </c>
      <c r="C10" s="6" t="s">
        <v>2606</v>
      </c>
      <c r="D10" s="209" t="s">
        <v>2607</v>
      </c>
      <c r="E10" s="167">
        <v>5</v>
      </c>
      <c r="F10" s="189" t="s">
        <v>2608</v>
      </c>
      <c r="G10" s="199" t="s">
        <v>2592</v>
      </c>
    </row>
    <row r="11" spans="1:7">
      <c r="A11" s="5" t="s">
        <v>2587</v>
      </c>
      <c r="B11" s="187" t="s">
        <v>2609</v>
      </c>
      <c r="C11" s="6" t="s">
        <v>2610</v>
      </c>
      <c r="D11" s="209" t="s">
        <v>2611</v>
      </c>
      <c r="E11" s="167">
        <v>6</v>
      </c>
      <c r="F11" s="189" t="s">
        <v>2612</v>
      </c>
      <c r="G11" s="199" t="s">
        <v>2592</v>
      </c>
    </row>
    <row r="12" spans="1:7">
      <c r="A12" s="5" t="s">
        <v>2587</v>
      </c>
      <c r="B12" s="187" t="s">
        <v>2613</v>
      </c>
      <c r="C12" s="6" t="s">
        <v>2614</v>
      </c>
      <c r="D12" s="209" t="s">
        <v>2615</v>
      </c>
      <c r="E12" s="167">
        <v>4</v>
      </c>
      <c r="F12" s="189" t="s">
        <v>2616</v>
      </c>
      <c r="G12" s="199" t="s">
        <v>2592</v>
      </c>
    </row>
    <row r="13" spans="1:7">
      <c r="A13" s="5" t="s">
        <v>2617</v>
      </c>
      <c r="B13" s="187" t="s">
        <v>2618</v>
      </c>
      <c r="C13" s="6" t="s">
        <v>2619</v>
      </c>
      <c r="D13" s="209" t="s">
        <v>2620</v>
      </c>
      <c r="E13" s="167">
        <v>12</v>
      </c>
      <c r="F13" s="189" t="s">
        <v>2621</v>
      </c>
      <c r="G13" s="199" t="s">
        <v>2592</v>
      </c>
    </row>
    <row r="14" spans="1:7">
      <c r="A14" s="5" t="s">
        <v>2617</v>
      </c>
      <c r="B14" s="187" t="s">
        <v>2622</v>
      </c>
      <c r="C14" s="6" t="s">
        <v>2623</v>
      </c>
      <c r="D14" s="209" t="s">
        <v>2624</v>
      </c>
      <c r="E14" s="167">
        <v>10</v>
      </c>
      <c r="F14" s="189" t="s">
        <v>2625</v>
      </c>
      <c r="G14" s="199" t="s">
        <v>2592</v>
      </c>
    </row>
    <row r="15" spans="1:7">
      <c r="A15" s="5" t="s">
        <v>2617</v>
      </c>
      <c r="B15" s="187" t="s">
        <v>2626</v>
      </c>
      <c r="C15" s="6" t="s">
        <v>2627</v>
      </c>
      <c r="D15" s="209" t="s">
        <v>2628</v>
      </c>
      <c r="E15" s="167">
        <v>12</v>
      </c>
      <c r="F15" s="189" t="s">
        <v>2629</v>
      </c>
      <c r="G15" s="199" t="s">
        <v>2592</v>
      </c>
    </row>
    <row r="16" spans="1:7">
      <c r="A16" s="5" t="s">
        <v>2617</v>
      </c>
      <c r="B16" s="187" t="s">
        <v>2630</v>
      </c>
      <c r="C16" s="6" t="s">
        <v>2631</v>
      </c>
      <c r="D16" s="209" t="s">
        <v>2632</v>
      </c>
      <c r="E16" s="167">
        <v>10</v>
      </c>
      <c r="F16" s="189" t="s">
        <v>2633</v>
      </c>
      <c r="G16" s="199" t="s">
        <v>2592</v>
      </c>
    </row>
    <row r="17" spans="1:7">
      <c r="A17" s="5" t="s">
        <v>2617</v>
      </c>
      <c r="B17" s="187" t="s">
        <v>2634</v>
      </c>
      <c r="C17" s="6" t="s">
        <v>2635</v>
      </c>
      <c r="D17" s="209" t="s">
        <v>2636</v>
      </c>
      <c r="E17" s="167">
        <v>12</v>
      </c>
      <c r="F17" s="189" t="s">
        <v>2577</v>
      </c>
      <c r="G17" s="199" t="s">
        <v>2592</v>
      </c>
    </row>
    <row r="18" spans="1:7">
      <c r="A18" s="5" t="s">
        <v>2617</v>
      </c>
      <c r="B18" s="187" t="s">
        <v>2637</v>
      </c>
      <c r="C18" s="6" t="s">
        <v>2638</v>
      </c>
      <c r="D18" s="209" t="s">
        <v>2639</v>
      </c>
      <c r="E18" s="167">
        <v>8</v>
      </c>
      <c r="F18" s="189" t="s">
        <v>2578</v>
      </c>
      <c r="G18" s="199" t="s">
        <v>2592</v>
      </c>
    </row>
    <row r="19" spans="1:7">
      <c r="A19" s="5" t="s">
        <v>2617</v>
      </c>
      <c r="B19" s="187" t="s">
        <v>2640</v>
      </c>
      <c r="C19" s="6" t="s">
        <v>2641</v>
      </c>
      <c r="D19" s="209" t="s">
        <v>2642</v>
      </c>
      <c r="E19" s="167">
        <v>12</v>
      </c>
      <c r="F19" s="189" t="s">
        <v>2643</v>
      </c>
      <c r="G19" s="199" t="s">
        <v>2592</v>
      </c>
    </row>
    <row r="20" spans="1:7">
      <c r="A20" s="5" t="s">
        <v>2617</v>
      </c>
      <c r="B20" s="187" t="s">
        <v>2644</v>
      </c>
      <c r="C20" s="6" t="s">
        <v>2645</v>
      </c>
      <c r="D20" s="209" t="s">
        <v>2646</v>
      </c>
      <c r="E20" s="167">
        <v>6</v>
      </c>
      <c r="F20" s="189" t="s">
        <v>2647</v>
      </c>
      <c r="G20" s="199" t="s">
        <v>2592</v>
      </c>
    </row>
    <row r="21" spans="1:7">
      <c r="A21" s="5" t="s">
        <v>2617</v>
      </c>
      <c r="B21" s="187" t="s">
        <v>2648</v>
      </c>
      <c r="C21" s="6" t="s">
        <v>2649</v>
      </c>
      <c r="D21" s="209" t="s">
        <v>2650</v>
      </c>
      <c r="E21" s="167">
        <v>5</v>
      </c>
      <c r="F21" s="189" t="s">
        <v>2651</v>
      </c>
      <c r="G21" s="199" t="s">
        <v>2592</v>
      </c>
    </row>
    <row r="22" spans="1:7">
      <c r="A22" s="5" t="s">
        <v>2652</v>
      </c>
      <c r="B22" s="187" t="s">
        <v>2653</v>
      </c>
      <c r="C22" s="6" t="s">
        <v>2654</v>
      </c>
      <c r="D22" s="209" t="s">
        <v>2655</v>
      </c>
      <c r="E22" s="167">
        <v>10</v>
      </c>
      <c r="F22" s="189" t="s">
        <v>2656</v>
      </c>
      <c r="G22" s="199" t="s">
        <v>1113</v>
      </c>
    </row>
    <row r="23" spans="1:7">
      <c r="A23" s="5" t="s">
        <v>2652</v>
      </c>
      <c r="B23" s="187" t="s">
        <v>2657</v>
      </c>
      <c r="C23" s="6" t="s">
        <v>2658</v>
      </c>
      <c r="D23" s="209" t="s">
        <v>2659</v>
      </c>
      <c r="E23" s="167">
        <v>8</v>
      </c>
      <c r="F23" s="189" t="s">
        <v>2660</v>
      </c>
      <c r="G23" s="199" t="s">
        <v>1113</v>
      </c>
    </row>
    <row r="24" spans="1:7">
      <c r="A24" s="5" t="s">
        <v>2652</v>
      </c>
      <c r="B24" s="187" t="s">
        <v>2661</v>
      </c>
      <c r="C24" s="6" t="s">
        <v>2662</v>
      </c>
      <c r="D24" s="209" t="s">
        <v>2663</v>
      </c>
      <c r="E24" s="167">
        <v>12</v>
      </c>
      <c r="F24" s="189" t="s">
        <v>2664</v>
      </c>
      <c r="G24" s="199" t="s">
        <v>1113</v>
      </c>
    </row>
    <row r="25" spans="1:7">
      <c r="A25" s="5" t="s">
        <v>2652</v>
      </c>
      <c r="B25" s="187" t="s">
        <v>2665</v>
      </c>
      <c r="C25" s="6" t="s">
        <v>2666</v>
      </c>
      <c r="D25" s="209" t="s">
        <v>2667</v>
      </c>
      <c r="E25" s="167">
        <v>8</v>
      </c>
      <c r="F25" s="189" t="s">
        <v>2668</v>
      </c>
      <c r="G25" s="199" t="s">
        <v>1113</v>
      </c>
    </row>
    <row r="26" spans="1:7">
      <c r="A26" s="5" t="s">
        <v>2669</v>
      </c>
      <c r="B26" s="187" t="s">
        <v>2670</v>
      </c>
      <c r="C26" s="6" t="s">
        <v>2671</v>
      </c>
      <c r="D26" s="209" t="s">
        <v>2672</v>
      </c>
      <c r="E26" s="167">
        <v>18</v>
      </c>
      <c r="F26" s="189" t="s">
        <v>2673</v>
      </c>
      <c r="G26" s="199" t="s">
        <v>2592</v>
      </c>
    </row>
    <row r="27" spans="1:7">
      <c r="A27" s="5" t="s">
        <v>2669</v>
      </c>
      <c r="B27" s="187" t="s">
        <v>2674</v>
      </c>
      <c r="C27" s="6" t="s">
        <v>2675</v>
      </c>
      <c r="D27" s="209" t="s">
        <v>2676</v>
      </c>
      <c r="E27" s="167">
        <v>14</v>
      </c>
      <c r="F27" s="189" t="s">
        <v>2677</v>
      </c>
      <c r="G27" s="199" t="s">
        <v>2592</v>
      </c>
    </row>
    <row r="28" spans="1:7">
      <c r="A28" s="5" t="s">
        <v>2669</v>
      </c>
      <c r="B28" s="187" t="s">
        <v>2678</v>
      </c>
      <c r="C28" s="6" t="s">
        <v>2679</v>
      </c>
      <c r="D28" s="209" t="s">
        <v>2680</v>
      </c>
      <c r="E28" s="167">
        <v>12</v>
      </c>
      <c r="F28" s="189" t="s">
        <v>2681</v>
      </c>
      <c r="G28" s="199" t="s">
        <v>2592</v>
      </c>
    </row>
    <row r="29" spans="1:7">
      <c r="A29" s="5" t="s">
        <v>2669</v>
      </c>
      <c r="B29" s="187" t="s">
        <v>2682</v>
      </c>
      <c r="C29" s="6" t="s">
        <v>2683</v>
      </c>
      <c r="D29" s="209" t="s">
        <v>2684</v>
      </c>
      <c r="E29" s="167">
        <v>8</v>
      </c>
      <c r="F29" s="189" t="s">
        <v>2685</v>
      </c>
      <c r="G29" s="199" t="s">
        <v>2592</v>
      </c>
    </row>
    <row r="30" spans="1:7">
      <c r="A30" s="5" t="s">
        <v>2669</v>
      </c>
      <c r="B30" s="187" t="s">
        <v>2686</v>
      </c>
      <c r="C30" s="6" t="s">
        <v>2687</v>
      </c>
      <c r="D30" s="209" t="s">
        <v>2688</v>
      </c>
      <c r="E30" s="167">
        <v>6</v>
      </c>
      <c r="F30" s="189" t="s">
        <v>2689</v>
      </c>
      <c r="G30" s="199" t="s">
        <v>2592</v>
      </c>
    </row>
    <row r="31" spans="1:7">
      <c r="A31" s="5" t="s">
        <v>2669</v>
      </c>
      <c r="B31" s="187" t="s">
        <v>2690</v>
      </c>
      <c r="C31" s="6" t="s">
        <v>2691</v>
      </c>
      <c r="D31" s="209" t="s">
        <v>2692</v>
      </c>
      <c r="E31" s="167">
        <v>6</v>
      </c>
      <c r="F31" s="189" t="s">
        <v>2693</v>
      </c>
      <c r="G31" s="199" t="s">
        <v>2592</v>
      </c>
    </row>
    <row r="32" spans="1:7">
      <c r="A32" s="5" t="s">
        <v>2694</v>
      </c>
      <c r="B32" s="187" t="s">
        <v>2695</v>
      </c>
      <c r="C32" s="6" t="s">
        <v>2696</v>
      </c>
      <c r="D32" s="209" t="s">
        <v>2697</v>
      </c>
      <c r="E32" s="167">
        <v>12</v>
      </c>
      <c r="F32" s="189" t="s">
        <v>2698</v>
      </c>
      <c r="G32" s="199" t="s">
        <v>2592</v>
      </c>
    </row>
    <row r="33" spans="1:7">
      <c r="A33" s="5" t="s">
        <v>2694</v>
      </c>
      <c r="B33" s="187" t="s">
        <v>2699</v>
      </c>
      <c r="C33" s="6" t="s">
        <v>2700</v>
      </c>
      <c r="D33" s="209" t="s">
        <v>2701</v>
      </c>
      <c r="E33" s="167">
        <v>8</v>
      </c>
      <c r="F33" s="189" t="s">
        <v>2702</v>
      </c>
      <c r="G33" s="199" t="s">
        <v>2592</v>
      </c>
    </row>
    <row r="34" spans="1:7">
      <c r="A34" s="5" t="s">
        <v>2694</v>
      </c>
      <c r="B34" s="187" t="s">
        <v>2703</v>
      </c>
      <c r="C34" s="6" t="s">
        <v>2704</v>
      </c>
      <c r="D34" s="209" t="s">
        <v>2705</v>
      </c>
      <c r="E34" s="167">
        <v>8</v>
      </c>
      <c r="F34" s="189" t="s">
        <v>2706</v>
      </c>
      <c r="G34" s="199" t="s">
        <v>2592</v>
      </c>
    </row>
    <row r="35" spans="1:7">
      <c r="A35" s="5" t="s">
        <v>2694</v>
      </c>
      <c r="B35" s="187" t="s">
        <v>2707</v>
      </c>
      <c r="C35" s="6" t="s">
        <v>2708</v>
      </c>
      <c r="D35" s="209" t="s">
        <v>2709</v>
      </c>
      <c r="E35" s="167">
        <v>6</v>
      </c>
      <c r="F35" s="189" t="s">
        <v>2710</v>
      </c>
      <c r="G35" s="199" t="s">
        <v>2592</v>
      </c>
    </row>
    <row r="36" spans="1:7">
      <c r="A36" s="5" t="s">
        <v>2694</v>
      </c>
      <c r="B36" s="187" t="s">
        <v>2711</v>
      </c>
      <c r="C36" s="6" t="s">
        <v>2712</v>
      </c>
      <c r="D36" s="209" t="s">
        <v>2713</v>
      </c>
      <c r="E36" s="167">
        <v>6</v>
      </c>
      <c r="F36" s="189" t="s">
        <v>2714</v>
      </c>
      <c r="G36" s="199" t="s">
        <v>2592</v>
      </c>
    </row>
    <row r="37" spans="1:7">
      <c r="A37" s="5" t="s">
        <v>2715</v>
      </c>
      <c r="B37" s="187" t="s">
        <v>2716</v>
      </c>
      <c r="C37" s="6" t="s">
        <v>2717</v>
      </c>
      <c r="D37" s="209" t="s">
        <v>2718</v>
      </c>
      <c r="E37" s="167">
        <v>15</v>
      </c>
      <c r="F37" s="189" t="s">
        <v>2719</v>
      </c>
      <c r="G37" s="199" t="s">
        <v>1113</v>
      </c>
    </row>
    <row r="38" spans="1:7">
      <c r="A38" s="5" t="s">
        <v>2715</v>
      </c>
      <c r="B38" s="187" t="s">
        <v>2720</v>
      </c>
      <c r="C38" s="6" t="s">
        <v>2721</v>
      </c>
      <c r="D38" s="209" t="s">
        <v>2722</v>
      </c>
      <c r="E38" s="167">
        <v>8</v>
      </c>
      <c r="F38" s="189" t="s">
        <v>2723</v>
      </c>
      <c r="G38" s="199" t="s">
        <v>2592</v>
      </c>
    </row>
    <row r="39" spans="1:7">
      <c r="A39" s="5" t="s">
        <v>2715</v>
      </c>
      <c r="B39" s="187" t="s">
        <v>2724</v>
      </c>
      <c r="C39" s="6" t="s">
        <v>2725</v>
      </c>
      <c r="D39" s="209" t="s">
        <v>2726</v>
      </c>
      <c r="E39" s="167">
        <v>6</v>
      </c>
      <c r="F39" s="189" t="s">
        <v>2727</v>
      </c>
      <c r="G39" s="199" t="s">
        <v>2592</v>
      </c>
    </row>
    <row r="40" spans="1:7">
      <c r="A40" s="5" t="s">
        <v>2715</v>
      </c>
      <c r="B40" s="187" t="s">
        <v>2728</v>
      </c>
      <c r="C40" s="6" t="s">
        <v>2729</v>
      </c>
      <c r="D40" s="209" t="s">
        <v>2730</v>
      </c>
      <c r="E40" s="167">
        <v>5</v>
      </c>
      <c r="F40" s="189" t="s">
        <v>2731</v>
      </c>
      <c r="G40" s="199" t="s">
        <v>2592</v>
      </c>
    </row>
    <row r="41" spans="1:7">
      <c r="A41" s="5" t="s">
        <v>2715</v>
      </c>
      <c r="B41" s="187" t="s">
        <v>2732</v>
      </c>
      <c r="C41" s="6" t="s">
        <v>2733</v>
      </c>
      <c r="D41" s="209" t="s">
        <v>2734</v>
      </c>
      <c r="E41" s="167">
        <v>4</v>
      </c>
      <c r="F41" s="189" t="s">
        <v>2735</v>
      </c>
      <c r="G41" s="199" t="s">
        <v>2592</v>
      </c>
    </row>
    <row r="42" spans="1:7">
      <c r="A42" s="5" t="s">
        <v>2736</v>
      </c>
      <c r="B42" s="187" t="s">
        <v>2737</v>
      </c>
      <c r="C42" s="6" t="s">
        <v>2738</v>
      </c>
      <c r="D42" s="209" t="s">
        <v>2739</v>
      </c>
      <c r="E42" s="167">
        <v>10</v>
      </c>
      <c r="F42" s="189" t="s">
        <v>2740</v>
      </c>
      <c r="G42" s="199" t="s">
        <v>2592</v>
      </c>
    </row>
    <row r="43" spans="1:7">
      <c r="A43" s="5" t="s">
        <v>2736</v>
      </c>
      <c r="B43" s="187" t="s">
        <v>2741</v>
      </c>
      <c r="C43" s="6" t="s">
        <v>2742</v>
      </c>
      <c r="D43" s="209" t="s">
        <v>2743</v>
      </c>
      <c r="E43" s="167">
        <v>12</v>
      </c>
      <c r="F43" s="189" t="s">
        <v>2744</v>
      </c>
      <c r="G43" s="199" t="s">
        <v>2592</v>
      </c>
    </row>
    <row r="44" spans="1:7">
      <c r="A44" s="5" t="s">
        <v>2736</v>
      </c>
      <c r="B44" s="187" t="s">
        <v>2745</v>
      </c>
      <c r="C44" s="6" t="s">
        <v>2746</v>
      </c>
      <c r="D44" s="209" t="s">
        <v>2747</v>
      </c>
      <c r="E44" s="167">
        <v>8</v>
      </c>
      <c r="F44" s="189" t="s">
        <v>2748</v>
      </c>
      <c r="G44" s="199" t="s">
        <v>2592</v>
      </c>
    </row>
    <row r="45" spans="1:7">
      <c r="A45" s="5" t="s">
        <v>2736</v>
      </c>
      <c r="B45" s="187" t="s">
        <v>2749</v>
      </c>
      <c r="C45" s="6" t="s">
        <v>2750</v>
      </c>
      <c r="D45" s="209" t="s">
        <v>2751</v>
      </c>
      <c r="E45" s="167">
        <v>6</v>
      </c>
      <c r="F45" s="189" t="s">
        <v>2752</v>
      </c>
      <c r="G45" s="199" t="s">
        <v>2592</v>
      </c>
    </row>
    <row r="46" spans="1:7">
      <c r="A46" s="5" t="s">
        <v>2753</v>
      </c>
      <c r="B46" s="187" t="s">
        <v>2754</v>
      </c>
      <c r="C46" s="6" t="s">
        <v>2755</v>
      </c>
      <c r="D46" s="209" t="s">
        <v>2756</v>
      </c>
      <c r="E46" s="167">
        <v>8</v>
      </c>
      <c r="F46" s="189" t="s">
        <v>2757</v>
      </c>
      <c r="G46" s="199" t="s">
        <v>2592</v>
      </c>
    </row>
    <row r="47" spans="1:7">
      <c r="A47" s="5" t="s">
        <v>2753</v>
      </c>
      <c r="B47" s="187" t="s">
        <v>2758</v>
      </c>
      <c r="C47" s="6" t="s">
        <v>2759</v>
      </c>
      <c r="D47" s="209" t="s">
        <v>2760</v>
      </c>
      <c r="E47" s="167">
        <v>6</v>
      </c>
      <c r="F47" s="189" t="s">
        <v>2761</v>
      </c>
      <c r="G47" s="199" t="s">
        <v>2592</v>
      </c>
    </row>
    <row r="48" spans="1:7">
      <c r="A48" s="7" t="s">
        <v>2753</v>
      </c>
      <c r="B48" s="188" t="s">
        <v>2762</v>
      </c>
      <c r="C48" s="8" t="s">
        <v>2763</v>
      </c>
      <c r="D48" s="210" t="s">
        <v>2764</v>
      </c>
      <c r="E48" s="168">
        <v>8</v>
      </c>
      <c r="F48" s="190" t="s">
        <v>2765</v>
      </c>
      <c r="G48" s="200" t="s">
        <v>2592</v>
      </c>
    </row>
    <row r="50" spans="1:6">
      <c r="A50" s="173" t="s">
        <v>2767</v>
      </c>
    </row>
    <row r="51" spans="1:6">
      <c r="A51" s="201" t="s">
        <v>1</v>
      </c>
      <c r="B51" s="202" t="s">
        <v>2579</v>
      </c>
      <c r="C51" s="202" t="s">
        <v>2768</v>
      </c>
      <c r="D51" s="202" t="s">
        <v>2769</v>
      </c>
      <c r="E51" s="203" t="s">
        <v>2567</v>
      </c>
    </row>
    <row r="52" spans="1:6">
      <c r="A52" s="23" t="s">
        <v>2587</v>
      </c>
      <c r="B52" s="31">
        <f>COUNTIF($A$6:$A$48,$A52)</f>
        <v>7</v>
      </c>
      <c r="C52" s="31">
        <f>SUMIF($A$6:$A$48,$A52,$E$6:$E$48)</f>
        <v>38</v>
      </c>
      <c r="D52" s="31">
        <v>38</v>
      </c>
      <c r="E52" s="159"/>
    </row>
    <row r="53" spans="1:6">
      <c r="A53" s="23" t="s">
        <v>2617</v>
      </c>
      <c r="B53" s="31">
        <f>COUNTIF($A$6:$A$48,$A53)</f>
        <v>9</v>
      </c>
      <c r="C53" s="31">
        <f>SUMIF($A$6:$A$48,$A53,$E$6:$E$48)</f>
        <v>87</v>
      </c>
      <c r="D53" s="31">
        <v>87</v>
      </c>
      <c r="E53" s="159"/>
    </row>
    <row r="54" spans="1:6">
      <c r="A54" s="23" t="s">
        <v>2652</v>
      </c>
      <c r="B54" s="31">
        <f>COUNTIF($A$6:$A$48,$A54)</f>
        <v>4</v>
      </c>
      <c r="C54" s="31">
        <f>SUMIF($A$6:$A$48,$A54,$E$6:$E$48)</f>
        <v>38</v>
      </c>
      <c r="D54" s="31">
        <v>38</v>
      </c>
      <c r="E54" s="159"/>
    </row>
    <row r="55" spans="1:6">
      <c r="A55" s="23" t="s">
        <v>2669</v>
      </c>
      <c r="B55" s="31">
        <f>COUNTIF($A$6:$A$48,$A55)</f>
        <v>6</v>
      </c>
      <c r="C55" s="31">
        <f>SUMIF($A$6:$A$48,$A55,$E$6:$E$48)</f>
        <v>64</v>
      </c>
      <c r="D55" s="31">
        <v>64</v>
      </c>
      <c r="E55" s="159"/>
    </row>
    <row r="56" spans="1:6">
      <c r="A56" s="23" t="s">
        <v>2694</v>
      </c>
      <c r="B56" s="31">
        <f>COUNTIF($A$6:$A$48,$A56)</f>
        <v>5</v>
      </c>
      <c r="C56" s="31">
        <f>SUMIF($A$6:$A$48,$A56,$E$6:$E$48)</f>
        <v>40</v>
      </c>
      <c r="D56" s="31">
        <v>40</v>
      </c>
      <c r="E56" s="159"/>
    </row>
    <row r="57" spans="1:6">
      <c r="A57" s="23" t="s">
        <v>2715</v>
      </c>
      <c r="B57" s="31">
        <f>COUNTIF($A$6:$A$48,$A57)</f>
        <v>5</v>
      </c>
      <c r="C57" s="31">
        <f>SUMIF($A$6:$A$48,$A57,$E$6:$E$48)</f>
        <v>38</v>
      </c>
      <c r="D57" s="31">
        <v>38</v>
      </c>
      <c r="E57" s="159"/>
    </row>
    <row r="58" spans="1:6">
      <c r="A58" s="23" t="s">
        <v>2736</v>
      </c>
      <c r="B58" s="31">
        <f>COUNTIF($A$6:$A$48,$A58)</f>
        <v>4</v>
      </c>
      <c r="C58" s="31">
        <f>SUMIF($A$6:$A$48,$A58,$E$6:$E$48)</f>
        <v>36</v>
      </c>
      <c r="D58" s="31">
        <v>36</v>
      </c>
      <c r="E58" s="159"/>
    </row>
    <row r="59" spans="1:6">
      <c r="A59" s="23" t="s">
        <v>2753</v>
      </c>
      <c r="B59" s="31">
        <f>COUNTIF($A$6:$A$48,$A59)</f>
        <v>3</v>
      </c>
      <c r="C59" s="31">
        <f>SUMIF($A$6:$A$48,$A59,$E$6:$E$48)</f>
        <v>22</v>
      </c>
      <c r="D59" s="31">
        <v>22</v>
      </c>
      <c r="E59" s="159"/>
    </row>
    <row r="60" spans="1:6">
      <c r="A60" s="25" t="s">
        <v>4</v>
      </c>
      <c r="B60" s="32">
        <f>SUM(B52:B59)</f>
        <v>43</v>
      </c>
      <c r="C60" s="32">
        <f>SUM(C52:C59)</f>
        <v>363</v>
      </c>
      <c r="D60" s="32">
        <f>SUM(D52:D59)</f>
        <v>363</v>
      </c>
      <c r="E60" s="160">
        <f>SUM(E52:E59)</f>
        <v>0</v>
      </c>
      <c r="F60" s="16" t="str">
        <f>IF(AND(B60=COUNTA($B$6:$B$48),C60=363,E60=0),"✓ 43項目・363人日・差分0で一致","⚠ 不一致")</f>
        <v>✓ 43項目・363人日・差分0で一致</v>
      </c>
    </row>
  </sheetData>
  <autoFilter ref="A5:G48" xr:uid="{513185A0-2764-294B-9250-00ECB5CCB839}"/>
  <phoneticPr fontId="2"/>
  <conditionalFormatting sqref="A6:G48">
    <cfRule type="expression" dxfId="41" priority="1">
      <formula>$G6="外部待ち"</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52" t="s">
        <v>4507</v>
      </c>
    </row>
    <row r="2" spans="1:1">
      <c r="A2" s="34" t="s">
        <v>4508</v>
      </c>
    </row>
    <row r="3" spans="1:1">
      <c r="A3" s="34" t="s">
        <v>4509</v>
      </c>
    </row>
    <row r="4" spans="1:1">
      <c r="A4" s="34"/>
    </row>
    <row r="5" spans="1:1">
      <c r="A5" s="85" t="s">
        <v>4510</v>
      </c>
    </row>
    <row r="6" spans="1:1">
      <c r="A6" s="254" t="s">
        <v>4511</v>
      </c>
    </row>
    <row r="7" spans="1:1">
      <c r="A7" s="254" t="s">
        <v>4512</v>
      </c>
    </row>
    <row r="8" spans="1:1">
      <c r="A8" s="254" t="s">
        <v>4513</v>
      </c>
    </row>
    <row r="9" spans="1:1">
      <c r="A9" s="254" t="s">
        <v>4514</v>
      </c>
    </row>
    <row r="10" spans="1:1">
      <c r="A10" s="254"/>
    </row>
    <row r="11" spans="1:1">
      <c r="A11" s="254" t="s">
        <v>4515</v>
      </c>
    </row>
    <row r="12" spans="1:1">
      <c r="A12" s="254" t="s">
        <v>4516</v>
      </c>
    </row>
    <row r="13" spans="1:1">
      <c r="A13" s="254" t="s">
        <v>4517</v>
      </c>
    </row>
    <row r="14" spans="1:1">
      <c r="A14" s="254" t="s">
        <v>4518</v>
      </c>
    </row>
    <row r="15" spans="1:1">
      <c r="A15" s="254" t="s">
        <v>4519</v>
      </c>
    </row>
    <row r="16" spans="1:1">
      <c r="A16" s="254"/>
    </row>
    <row r="17" spans="1:1">
      <c r="A17" s="254" t="s">
        <v>4520</v>
      </c>
    </row>
    <row r="18" spans="1:1">
      <c r="A18" s="254" t="s">
        <v>4521</v>
      </c>
    </row>
    <row r="19" spans="1:1">
      <c r="A19" s="254"/>
    </row>
    <row r="20" spans="1:1">
      <c r="A20" s="254" t="s">
        <v>4522</v>
      </c>
    </row>
    <row r="21" spans="1:1">
      <c r="A21" s="254" t="s">
        <v>4513</v>
      </c>
    </row>
    <row r="22" spans="1:1">
      <c r="A22" s="254" t="s">
        <v>4523</v>
      </c>
    </row>
    <row r="23" spans="1:1">
      <c r="A23" s="254" t="s">
        <v>4524</v>
      </c>
    </row>
    <row r="24" spans="1:1">
      <c r="A24" s="254"/>
    </row>
    <row r="25" spans="1:1">
      <c r="A25" s="254" t="s">
        <v>4525</v>
      </c>
    </row>
    <row r="26" spans="1:1">
      <c r="A26" s="254"/>
    </row>
    <row r="27" spans="1:1">
      <c r="A27" s="254" t="s">
        <v>4526</v>
      </c>
    </row>
    <row r="28" spans="1:1">
      <c r="A28" s="254" t="s">
        <v>4527</v>
      </c>
    </row>
    <row r="29" spans="1:1">
      <c r="A29" s="254" t="s">
        <v>4528</v>
      </c>
    </row>
    <row r="30" spans="1:1">
      <c r="A30" s="254" t="s">
        <v>4529</v>
      </c>
    </row>
    <row r="31" spans="1:1">
      <c r="A31" s="254" t="s">
        <v>4530</v>
      </c>
    </row>
    <row r="32" spans="1:1">
      <c r="A32" s="254" t="s">
        <v>4531</v>
      </c>
    </row>
    <row r="33" spans="1:1">
      <c r="A33" s="254" t="s">
        <v>4532</v>
      </c>
    </row>
    <row r="34" spans="1:1">
      <c r="A34" s="254" t="s">
        <v>4533</v>
      </c>
    </row>
    <row r="35" spans="1:1">
      <c r="A35" s="254" t="s">
        <v>4534</v>
      </c>
    </row>
    <row r="36" spans="1:1">
      <c r="A36" s="254"/>
    </row>
    <row r="37" spans="1:1">
      <c r="A37" s="254" t="s">
        <v>4535</v>
      </c>
    </row>
    <row r="38" spans="1:1">
      <c r="A38" s="254" t="s">
        <v>4536</v>
      </c>
    </row>
    <row r="39" spans="1:1">
      <c r="A39" s="254" t="s">
        <v>4537</v>
      </c>
    </row>
    <row r="40" spans="1:1">
      <c r="A40" s="254" t="s">
        <v>4538</v>
      </c>
    </row>
    <row r="41" spans="1:1">
      <c r="A41" s="254" t="s">
        <v>4539</v>
      </c>
    </row>
    <row r="42" spans="1:1">
      <c r="A42" s="254" t="s">
        <v>4540</v>
      </c>
    </row>
    <row r="43" spans="1:1">
      <c r="A43" s="254" t="s">
        <v>4541</v>
      </c>
    </row>
    <row r="44" spans="1:1">
      <c r="A44" s="254" t="s">
        <v>4542</v>
      </c>
    </row>
    <row r="45" spans="1:1">
      <c r="A45" s="254"/>
    </row>
    <row r="46" spans="1:1">
      <c r="A46" s="254" t="s">
        <v>4543</v>
      </c>
    </row>
    <row r="47" spans="1:1">
      <c r="A47" s="254" t="s">
        <v>4544</v>
      </c>
    </row>
    <row r="48" spans="1:1">
      <c r="A48" s="254" t="s">
        <v>4545</v>
      </c>
    </row>
    <row r="49" spans="1:1">
      <c r="A49" s="254" t="s">
        <v>4546</v>
      </c>
    </row>
    <row r="50" spans="1:1">
      <c r="A50" s="254" t="s">
        <v>4547</v>
      </c>
    </row>
    <row r="51" spans="1:1">
      <c r="A51" s="254" t="s">
        <v>4548</v>
      </c>
    </row>
    <row r="52" spans="1:1">
      <c r="A52" s="254" t="s">
        <v>4549</v>
      </c>
    </row>
    <row r="53" spans="1:1">
      <c r="A53" s="254" t="s">
        <v>4550</v>
      </c>
    </row>
    <row r="54" spans="1:1">
      <c r="A54" s="254" t="s">
        <v>4551</v>
      </c>
    </row>
    <row r="55" spans="1:1">
      <c r="A55" s="254" t="s">
        <v>4552</v>
      </c>
    </row>
    <row r="56" spans="1:1">
      <c r="A56" s="254" t="s">
        <v>4553</v>
      </c>
    </row>
    <row r="57" spans="1:1">
      <c r="A57" s="254" t="s">
        <v>4554</v>
      </c>
    </row>
    <row r="58" spans="1:1">
      <c r="A58" s="254" t="s">
        <v>4555</v>
      </c>
    </row>
    <row r="59" spans="1:1">
      <c r="A59" s="254" t="s">
        <v>4556</v>
      </c>
    </row>
    <row r="60" spans="1:1">
      <c r="A60" s="254" t="s">
        <v>4557</v>
      </c>
    </row>
    <row r="61" spans="1:1">
      <c r="A61" s="254" t="s">
        <v>4558</v>
      </c>
    </row>
    <row r="62" spans="1:1">
      <c r="A62" s="254" t="s">
        <v>4559</v>
      </c>
    </row>
    <row r="63" spans="1:1">
      <c r="A63" s="254" t="s">
        <v>4552</v>
      </c>
    </row>
    <row r="64" spans="1:1">
      <c r="A64" s="254" t="s">
        <v>4560</v>
      </c>
    </row>
    <row r="65" spans="1:1">
      <c r="A65" s="254"/>
    </row>
    <row r="66" spans="1:1">
      <c r="A66" s="254" t="s">
        <v>4561</v>
      </c>
    </row>
    <row r="67" spans="1:1">
      <c r="A67" s="254" t="s">
        <v>4562</v>
      </c>
    </row>
    <row r="68" spans="1:1">
      <c r="A68" s="254" t="s">
        <v>4563</v>
      </c>
    </row>
    <row r="69" spans="1:1">
      <c r="A69" s="254" t="s">
        <v>4564</v>
      </c>
    </row>
    <row r="70" spans="1:1">
      <c r="A70" s="254" t="s">
        <v>4565</v>
      </c>
    </row>
    <row r="71" spans="1:1">
      <c r="A71" s="254" t="s">
        <v>4566</v>
      </c>
    </row>
    <row r="72" spans="1:1">
      <c r="A72" s="254" t="s">
        <v>4567</v>
      </c>
    </row>
    <row r="73" spans="1:1">
      <c r="A73" s="254" t="s">
        <v>4568</v>
      </c>
    </row>
    <row r="74" spans="1:1">
      <c r="A74" s="254" t="s">
        <v>4569</v>
      </c>
    </row>
    <row r="75" spans="1:1">
      <c r="A75" s="254"/>
    </row>
    <row r="76" spans="1:1">
      <c r="A76" s="254" t="s">
        <v>4570</v>
      </c>
    </row>
    <row r="77" spans="1:1">
      <c r="A77" s="254" t="s">
        <v>4571</v>
      </c>
    </row>
    <row r="78" spans="1:1">
      <c r="A78" s="254" t="s">
        <v>4572</v>
      </c>
    </row>
    <row r="79" spans="1:1">
      <c r="A79" s="254" t="s">
        <v>4573</v>
      </c>
    </row>
    <row r="80" spans="1:1">
      <c r="A80" s="254" t="s">
        <v>4574</v>
      </c>
    </row>
    <row r="81" spans="1:1">
      <c r="A81" s="254" t="s">
        <v>4575</v>
      </c>
    </row>
    <row r="82" spans="1:1">
      <c r="A82" s="254"/>
    </row>
    <row r="83" spans="1:1">
      <c r="A83" s="254" t="s">
        <v>4576</v>
      </c>
    </row>
    <row r="84" spans="1:1">
      <c r="A84" s="254" t="s">
        <v>4577</v>
      </c>
    </row>
    <row r="85" spans="1:1">
      <c r="A85" s="254"/>
    </row>
    <row r="86" spans="1:1">
      <c r="A86" s="254" t="s">
        <v>4578</v>
      </c>
    </row>
    <row r="87" spans="1:1">
      <c r="A87" s="254" t="s">
        <v>4579</v>
      </c>
    </row>
    <row r="88" spans="1:1">
      <c r="A88" s="254"/>
    </row>
    <row r="89" spans="1:1">
      <c r="A89" s="254" t="s">
        <v>4580</v>
      </c>
    </row>
    <row r="90" spans="1:1">
      <c r="A90" s="254" t="s">
        <v>4581</v>
      </c>
    </row>
    <row r="91" spans="1:1">
      <c r="A91" s="254" t="s">
        <v>4582</v>
      </c>
    </row>
    <row r="92" spans="1:1">
      <c r="A92" s="254" t="s">
        <v>4583</v>
      </c>
    </row>
    <row r="93" spans="1:1">
      <c r="A93" s="254" t="s">
        <v>4584</v>
      </c>
    </row>
    <row r="94" spans="1:1">
      <c r="A94" s="254" t="s">
        <v>4585</v>
      </c>
    </row>
    <row r="95" spans="1:1">
      <c r="A95" s="254" t="s">
        <v>4586</v>
      </c>
    </row>
    <row r="96" spans="1:1">
      <c r="A96" s="254" t="s">
        <v>4587</v>
      </c>
    </row>
    <row r="97" spans="1:1">
      <c r="A97" s="254" t="s">
        <v>4588</v>
      </c>
    </row>
    <row r="98" spans="1:1">
      <c r="A98" s="254" t="s">
        <v>4589</v>
      </c>
    </row>
    <row r="99" spans="1:1">
      <c r="A99" s="254" t="s">
        <v>4586</v>
      </c>
    </row>
    <row r="100" spans="1:1">
      <c r="A100" s="254" t="s">
        <v>4590</v>
      </c>
    </row>
    <row r="101" spans="1:1">
      <c r="A101" s="254" t="s">
        <v>4591</v>
      </c>
    </row>
    <row r="102" spans="1:1">
      <c r="A102" s="254" t="s">
        <v>4592</v>
      </c>
    </row>
    <row r="103" spans="1:1">
      <c r="A103" s="254" t="s">
        <v>4593</v>
      </c>
    </row>
    <row r="104" spans="1:1">
      <c r="A104" s="254" t="s">
        <v>4594</v>
      </c>
    </row>
    <row r="105" spans="1:1">
      <c r="A105" s="254" t="s">
        <v>4595</v>
      </c>
    </row>
    <row r="106" spans="1:1">
      <c r="A106" s="254" t="s">
        <v>4596</v>
      </c>
    </row>
    <row r="107" spans="1:1">
      <c r="A107" s="254" t="s">
        <v>4597</v>
      </c>
    </row>
    <row r="108" spans="1:1">
      <c r="A108" s="254" t="s">
        <v>4598</v>
      </c>
    </row>
    <row r="109" spans="1:1">
      <c r="A109" s="254"/>
    </row>
    <row r="110" spans="1:1">
      <c r="A110" s="254" t="s">
        <v>4599</v>
      </c>
    </row>
    <row r="111" spans="1:1">
      <c r="A111" s="254" t="s">
        <v>4600</v>
      </c>
    </row>
    <row r="112" spans="1:1">
      <c r="A112" s="254" t="s">
        <v>4601</v>
      </c>
    </row>
    <row r="113" spans="1:1">
      <c r="A113" s="254" t="s">
        <v>4602</v>
      </c>
    </row>
    <row r="114" spans="1:1">
      <c r="A114" s="254" t="s">
        <v>4603</v>
      </c>
    </row>
    <row r="115" spans="1:1">
      <c r="A115" s="254" t="s">
        <v>4604</v>
      </c>
    </row>
    <row r="116" spans="1:1">
      <c r="A116" s="254" t="s">
        <v>4605</v>
      </c>
    </row>
    <row r="117" spans="1:1">
      <c r="A117" s="254" t="s">
        <v>4606</v>
      </c>
    </row>
    <row r="118" spans="1:1">
      <c r="A118" s="254" t="s">
        <v>4607</v>
      </c>
    </row>
    <row r="119" spans="1:1">
      <c r="A119" s="254" t="s">
        <v>4608</v>
      </c>
    </row>
    <row r="120" spans="1:1">
      <c r="A120" s="254" t="s">
        <v>4609</v>
      </c>
    </row>
    <row r="121" spans="1:1">
      <c r="A121" s="254" t="s">
        <v>4610</v>
      </c>
    </row>
    <row r="122" spans="1:1">
      <c r="A122" s="254" t="s">
        <v>4611</v>
      </c>
    </row>
    <row r="123" spans="1:1">
      <c r="A123" s="254" t="s">
        <v>4612</v>
      </c>
    </row>
    <row r="124" spans="1:1">
      <c r="A124" s="254"/>
    </row>
    <row r="125" spans="1:1">
      <c r="A125" s="254" t="s">
        <v>4613</v>
      </c>
    </row>
    <row r="126" spans="1:1">
      <c r="A126" s="254" t="s">
        <v>4614</v>
      </c>
    </row>
    <row r="127" spans="1:1">
      <c r="A127" s="254"/>
    </row>
    <row r="128" spans="1:1">
      <c r="A128" s="254" t="s">
        <v>4615</v>
      </c>
    </row>
    <row r="129" spans="1:1">
      <c r="A129" s="254" t="s">
        <v>4616</v>
      </c>
    </row>
    <row r="131" spans="1:1">
      <c r="A131" s="255" t="s">
        <v>4617</v>
      </c>
    </row>
    <row r="133" spans="1:1">
      <c r="A133" s="253" t="s">
        <v>4618</v>
      </c>
    </row>
    <row r="134" spans="1:1">
      <c r="A134" s="253" t="s">
        <v>4619</v>
      </c>
    </row>
    <row r="135" spans="1:1">
      <c r="A135" s="253" t="s">
        <v>4620</v>
      </c>
    </row>
    <row r="136" spans="1:1">
      <c r="A136" s="253" t="s">
        <v>4621</v>
      </c>
    </row>
    <row r="137" spans="1:1">
      <c r="A137" s="253" t="s">
        <v>4622</v>
      </c>
    </row>
    <row r="138" spans="1:1">
      <c r="A138" s="253" t="s">
        <v>4623</v>
      </c>
    </row>
    <row r="139" spans="1:1">
      <c r="A139" s="253" t="s">
        <v>4624</v>
      </c>
    </row>
    <row r="140" spans="1:1">
      <c r="A140" s="253"/>
    </row>
    <row r="141" spans="1:1">
      <c r="A141" s="253" t="s">
        <v>4625</v>
      </c>
    </row>
    <row r="142" spans="1:1">
      <c r="A142" s="253" t="s">
        <v>4626</v>
      </c>
    </row>
    <row r="143" spans="1:1">
      <c r="A143" s="253" t="s">
        <v>4627</v>
      </c>
    </row>
    <row r="144" spans="1:1">
      <c r="A144" s="253" t="s">
        <v>4628</v>
      </c>
    </row>
    <row r="145" spans="1:1">
      <c r="A145" s="253" t="s">
        <v>4629</v>
      </c>
    </row>
    <row r="146" spans="1:1">
      <c r="A146" s="253" t="s">
        <v>4630</v>
      </c>
    </row>
    <row r="147" spans="1:1">
      <c r="A147" s="253" t="s">
        <v>4631</v>
      </c>
    </row>
    <row r="148" spans="1:1">
      <c r="A148" s="253" t="s">
        <v>4632</v>
      </c>
    </row>
    <row r="149" spans="1:1">
      <c r="A149" s="253" t="s">
        <v>4633</v>
      </c>
    </row>
    <row r="150" spans="1:1">
      <c r="A150" s="253" t="s">
        <v>4634</v>
      </c>
    </row>
    <row r="151" spans="1:1">
      <c r="A151" s="253" t="s">
        <v>4635</v>
      </c>
    </row>
    <row r="152" spans="1:1">
      <c r="A152" s="253" t="s">
        <v>4636</v>
      </c>
    </row>
    <row r="153" spans="1:1">
      <c r="A153" s="253" t="s">
        <v>4637</v>
      </c>
    </row>
    <row r="154" spans="1:1">
      <c r="A154" s="253" t="s">
        <v>4638</v>
      </c>
    </row>
    <row r="155" spans="1:1">
      <c r="A155" s="253" t="s">
        <v>4631</v>
      </c>
    </row>
    <row r="156" spans="1:1">
      <c r="A156" s="253" t="s">
        <v>4639</v>
      </c>
    </row>
    <row r="157" spans="1:1">
      <c r="A157" s="253" t="s">
        <v>4640</v>
      </c>
    </row>
    <row r="158" spans="1:1">
      <c r="A158" s="253" t="s">
        <v>4641</v>
      </c>
    </row>
    <row r="159" spans="1:1">
      <c r="A159" s="253" t="s">
        <v>4642</v>
      </c>
    </row>
    <row r="160" spans="1:1">
      <c r="A160" s="253" t="s">
        <v>4643</v>
      </c>
    </row>
    <row r="161" spans="1:1">
      <c r="A161" s="253" t="s">
        <v>4644</v>
      </c>
    </row>
    <row r="162" spans="1:1">
      <c r="A162" s="253" t="s">
        <v>4645</v>
      </c>
    </row>
    <row r="163" spans="1:1">
      <c r="A163" s="253" t="s">
        <v>4646</v>
      </c>
    </row>
    <row r="164" spans="1:1">
      <c r="A164" s="253" t="s">
        <v>4647</v>
      </c>
    </row>
    <row r="165" spans="1:1">
      <c r="A165" s="253" t="s">
        <v>4648</v>
      </c>
    </row>
    <row r="166" spans="1:1">
      <c r="A166" s="253" t="s">
        <v>4649</v>
      </c>
    </row>
    <row r="167" spans="1:1">
      <c r="A167" s="253" t="s">
        <v>4650</v>
      </c>
    </row>
    <row r="168" spans="1:1">
      <c r="A168" s="253" t="s">
        <v>4651</v>
      </c>
    </row>
    <row r="169" spans="1:1">
      <c r="A169" s="253" t="s">
        <v>4652</v>
      </c>
    </row>
    <row r="172" spans="1:1">
      <c r="A172" s="64" t="s">
        <v>4653</v>
      </c>
    </row>
    <row r="173" spans="1:1">
      <c r="A173" s="65" t="s">
        <v>4654</v>
      </c>
    </row>
    <row r="174" spans="1:1">
      <c r="A174" s="65" t="s">
        <v>4655</v>
      </c>
    </row>
    <row r="175" spans="1:1">
      <c r="A175" s="65" t="s">
        <v>4656</v>
      </c>
    </row>
    <row r="176" spans="1:1">
      <c r="A176" s="65" t="s">
        <v>4657</v>
      </c>
    </row>
    <row r="177" spans="1:1">
      <c r="A177" s="65" t="s">
        <v>4658</v>
      </c>
    </row>
    <row r="178" spans="1:1">
      <c r="A178" s="65" t="s">
        <v>4659</v>
      </c>
    </row>
  </sheetData>
  <phoneticPr fontId="2"/>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13</vt:i4>
      </vt:variant>
    </vt:vector>
  </HeadingPairs>
  <TitlesOfParts>
    <vt:vector size="13"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lpstr>Git照合スクリプト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2026-08-16T23:28:10Z</dcterms:modified>
</cp:coreProperties>
</file>