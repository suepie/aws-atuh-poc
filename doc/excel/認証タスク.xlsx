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1C81D8D-0ABB-7E41-928B-CE45263B8D6C}" xr6:coauthVersionLast="47" xr6:coauthVersionMax="47" xr10:uidLastSave="{00000000-0000-0000-0000-000000000000}"/>
  <bookViews>
    <workbookView xWindow="-2480" yWindow="-21600" windowWidth="38400" windowHeight="21600" activeTab="2" xr2:uid="{B021B529-7D79-6D49-8055-5FE1DF3A55F9}"/>
  </bookViews>
  <sheets>
    <sheet name="ダッシュボード" sheetId="7" r:id="rId1"/>
    <sheet name="サマリー" sheetId="2" r:id="rId2"/>
    <sheet name="進捗一覧" sheetId="1" r:id="rId3"/>
    <sheet name="設計決定一覧" sheetId="3" r:id="rId4"/>
    <sheet name="要件→設計" sheetId="4" r:id="rId5"/>
    <sheet name="設計→要件" sheetId="5" r:id="rId6"/>
    <sheet name="ADR一覧" sheetId="6" r:id="rId7"/>
    <sheet name="WBS(基本設計)" sheetId="9" r:id="rId8"/>
    <sheet name="WBS(詳細設計_製造)" sheetId="8" r:id="rId9"/>
    <sheet name="WBS(テスト)" sheetId="10" r:id="rId10"/>
  </sheets>
  <definedNames>
    <definedName name="_xlnm._FilterDatabase" localSheetId="6" hidden="1">ADR一覧!$A$5:$E$72</definedName>
    <definedName name="_xlnm._FilterDatabase" localSheetId="9" hidden="1">'WBS(テスト)'!$A$5:$G$48</definedName>
    <definedName name="_xlnm._FilterDatabase" localSheetId="7" hidden="1">'WBS(基本設計)'!$A$5:$I$91</definedName>
    <definedName name="_xlnm._FilterDatabase" localSheetId="8" hidden="1">'WBS(詳細設計_製造)'!$A$5:$P$108</definedName>
    <definedName name="_xlnm._FilterDatabase" localSheetId="2" hidden="1">進捗一覧!$A$6:$M$292</definedName>
    <definedName name="_xlnm._FilterDatabase" localSheetId="5" hidden="1">設計→要件!$A$5:$F$55</definedName>
    <definedName name="_xlnm._FilterDatabase" localSheetId="3" hidden="1">設計決定一覧!$A$4:$E$189</definedName>
    <definedName name="_xlnm._FilterDatabase" localSheetId="4"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4" i="8" l="1"/>
  <c r="X17" i="8"/>
  <c r="X16" i="8"/>
  <c r="X15" i="8"/>
  <c r="X14" i="8"/>
  <c r="X13" i="8"/>
  <c r="X12" i="8"/>
  <c r="X11" i="8"/>
  <c r="X10" i="8"/>
  <c r="X9" i="8"/>
  <c r="X8" i="8"/>
  <c r="X7" i="8"/>
  <c r="X6" i="8"/>
  <c r="W17" i="8"/>
  <c r="F43" i="7"/>
  <c r="D41" i="7"/>
  <c r="B41" i="7"/>
  <c r="B42" i="7" s="1"/>
  <c r="F60" i="10"/>
  <c r="B60" i="10"/>
  <c r="C60" i="10"/>
  <c r="E60" i="10"/>
  <c r="B52" i="10"/>
  <c r="C52" i="10"/>
  <c r="B53" i="10"/>
  <c r="C53" i="10"/>
  <c r="B54" i="10"/>
  <c r="C54" i="10"/>
  <c r="B55" i="10"/>
  <c r="C55" i="10"/>
  <c r="B56" i="10"/>
  <c r="C56" i="10"/>
  <c r="B57" i="10"/>
  <c r="C57" i="10"/>
  <c r="B58" i="10"/>
  <c r="C58" i="10"/>
  <c r="B59" i="10"/>
  <c r="C59" i="10"/>
  <c r="D40" i="7"/>
  <c r="D39" i="7"/>
  <c r="D38" i="7"/>
  <c r="B40" i="7"/>
  <c r="B39" i="7"/>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L17" i="7"/>
  <c r="L16" i="7"/>
  <c r="K17" i="7"/>
  <c r="K16" i="7"/>
  <c r="D16" i="7"/>
  <c r="E16" i="7"/>
  <c r="F16" i="7"/>
  <c r="G16" i="7"/>
  <c r="D17" i="7"/>
  <c r="E17" i="7"/>
  <c r="F17" i="7"/>
  <c r="G17" i="7"/>
  <c r="D18" i="7"/>
  <c r="E18" i="7"/>
  <c r="F18" i="7"/>
  <c r="G18" i="7"/>
  <c r="D19" i="7"/>
  <c r="E19" i="7"/>
  <c r="F19" i="7"/>
  <c r="G19" i="7"/>
  <c r="D20" i="7"/>
  <c r="E20" i="7"/>
  <c r="F20" i="7"/>
  <c r="G20" i="7"/>
  <c r="D21" i="7"/>
  <c r="E21" i="7"/>
  <c r="F21" i="7"/>
  <c r="G21" i="7"/>
  <c r="D22" i="7"/>
  <c r="E22" i="7"/>
  <c r="F22" i="7"/>
  <c r="G22" i="7"/>
  <c r="D23" i="7"/>
  <c r="E23" i="7"/>
  <c r="F23" i="7"/>
  <c r="G23" i="7"/>
  <c r="D24" i="7"/>
  <c r="E24" i="7"/>
  <c r="F24" i="7"/>
  <c r="G24" i="7"/>
  <c r="D25" i="7"/>
  <c r="E25" i="7"/>
  <c r="F25" i="7"/>
  <c r="G25" i="7"/>
  <c r="D26" i="7"/>
  <c r="E26" i="7"/>
  <c r="F26" i="7"/>
  <c r="G26" i="7"/>
  <c r="D27" i="7"/>
  <c r="E27" i="7"/>
  <c r="F27" i="7"/>
  <c r="G27" i="7"/>
  <c r="D28" i="7"/>
  <c r="E28" i="7"/>
  <c r="F28" i="7"/>
  <c r="G28" i="7"/>
  <c r="D29" i="7"/>
  <c r="E29" i="7"/>
  <c r="F29" i="7"/>
  <c r="G29" i="7"/>
  <c r="D30" i="7"/>
  <c r="E30" i="7"/>
  <c r="F30" i="7"/>
  <c r="G30" i="7"/>
  <c r="D31" i="7"/>
  <c r="E31" i="7"/>
  <c r="F31" i="7"/>
  <c r="G31" i="7"/>
  <c r="D32" i="7"/>
  <c r="E32" i="7"/>
  <c r="F32" i="7"/>
  <c r="G32" i="7"/>
  <c r="B16" i="7"/>
  <c r="C16" i="7"/>
  <c r="B17" i="7"/>
  <c r="C17" i="7"/>
  <c r="B18" i="7"/>
  <c r="C18" i="7"/>
  <c r="B19" i="7"/>
  <c r="C19" i="7"/>
  <c r="B20" i="7"/>
  <c r="C20" i="7"/>
  <c r="B21" i="7"/>
  <c r="C21" i="7"/>
  <c r="B22" i="7"/>
  <c r="C22" i="7"/>
  <c r="B23" i="7"/>
  <c r="C23" i="7"/>
  <c r="B24" i="7"/>
  <c r="C24" i="7"/>
  <c r="B25" i="7"/>
  <c r="C25" i="7"/>
  <c r="B26" i="7"/>
  <c r="C26" i="7"/>
  <c r="B27" i="7"/>
  <c r="C27" i="7"/>
  <c r="B28" i="7"/>
  <c r="C28" i="7"/>
  <c r="B29" i="7"/>
  <c r="C29" i="7"/>
  <c r="B30" i="7"/>
  <c r="C30" i="7"/>
  <c r="B31" i="7"/>
  <c r="C31" i="7"/>
  <c r="B32" i="7"/>
  <c r="C32" i="7"/>
  <c r="F12" i="7"/>
  <c r="G12" i="7" s="1"/>
  <c r="F11" i="7"/>
  <c r="G11" i="7" s="1"/>
  <c r="F10" i="7"/>
  <c r="G10" i="7" s="1"/>
  <c r="B9" i="7"/>
  <c r="A9" i="7"/>
  <c r="A6" i="7"/>
  <c r="I5" i="7"/>
  <c r="E5" i="7"/>
  <c r="A5" i="7"/>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B68" i="2"/>
  <c r="B69" i="2"/>
  <c r="B70" i="2"/>
  <c r="B71" i="2"/>
  <c r="B72" i="2"/>
  <c r="B67" i="2"/>
  <c r="B73" i="2" s="1"/>
  <c r="C62" i="2"/>
  <c r="B62" i="2"/>
  <c r="B57" i="2"/>
  <c r="C57" i="2" s="1"/>
  <c r="B58" i="2"/>
  <c r="C58" i="2" s="1"/>
  <c r="B59" i="2"/>
  <c r="C59" i="2" s="1"/>
  <c r="B60" i="2"/>
  <c r="C60" i="2" s="1"/>
  <c r="B61" i="2"/>
  <c r="C61" i="2" s="1"/>
  <c r="K18" i="7" l="1"/>
  <c r="N18" i="7" s="1"/>
  <c r="L18" i="7"/>
  <c r="B13" i="2"/>
  <c r="H13" i="2" s="1"/>
  <c r="B43" i="7"/>
  <c r="S25" i="8"/>
  <c r="S26" i="8" s="1"/>
  <c r="U26" i="8" s="1"/>
  <c r="F13" i="2"/>
  <c r="G13" i="2"/>
  <c r="E13" i="2"/>
  <c r="D13" i="2"/>
  <c r="C13" i="2"/>
  <c r="E62" i="2"/>
  <c r="G33" i="7"/>
  <c r="F33" i="7"/>
  <c r="E33" i="7"/>
  <c r="D33" i="7"/>
  <c r="C33" i="7"/>
  <c r="B33" i="7"/>
  <c r="E73" i="2"/>
  <c r="C70" i="2"/>
  <c r="C71" i="2"/>
  <c r="C68" i="2"/>
  <c r="C69" i="2"/>
  <c r="C72" i="2"/>
  <c r="C73" i="2"/>
  <c r="C67" i="2"/>
  <c r="D60" i="10"/>
</calcChain>
</file>

<file path=xl/sharedStrings.xml><?xml version="1.0" encoding="utf-8"?>
<sst xmlns="http://schemas.openxmlformats.org/spreadsheetml/2006/main" count="8522" uniqueCount="3765">
  <si>
    <t>認証基盤 要件定義・基本設計 進捗一覧</t>
  </si>
  <si>
    <t>出典リポジトリ</t>
  </si>
  <si>
    <t>github.com/suepie/aws-atuh-poc  doc/requirements + doc/basic-design</t>
  </si>
  <si>
    <t>コミットSHA</t>
  </si>
  <si>
    <t>位置づけ</t>
  </si>
  <si>
    <t>本表はGitドキュメントからの派生ビュー（読み取り専用スナップショット）。SSOTはGit側。判断・更新はGitで行い、本表は俯瞰用。</t>
  </si>
  <si>
    <t>区分</t>
  </si>
  <si>
    <t>総数</t>
  </si>
  <si>
    <t>確定</t>
  </si>
  <si>
    <t>検討中</t>
  </si>
  <si>
    <t>未着手</t>
  </si>
  <si>
    <t>機能要件</t>
  </si>
  <si>
    <t>非機能要件</t>
  </si>
  <si>
    <t>合計</t>
  </si>
  <si>
    <t>大項目</t>
  </si>
  <si>
    <t>小項目</t>
  </si>
  <si>
    <t>ID</t>
  </si>
  <si>
    <t>概要</t>
  </si>
  <si>
    <t>決定内容・残論点</t>
  </si>
  <si>
    <t>出典</t>
  </si>
  <si>
    <t>FR-AUTH 認証フロー/Grant Type</t>
  </si>
  <si>
    <t>FR-AUTH-001</t>
  </si>
  <si>
    <t>Must｜Cognito=Hosted UI / Keycloak=Realm Login Page。PoC検証済</t>
  </si>
  <si>
    <t>requirements/functional-requirements.md §1.1</t>
  </si>
  <si>
    <t>FR-AUTH-002</t>
  </si>
  <si>
    <t>Must｜両者Public Client対応。PoC Phase 1,4,5,6,7で検証済</t>
  </si>
  <si>
    <t>FR-AUTH-003</t>
  </si>
  <si>
    <t>Must｜両者Confidential Client対応。PoC未検証のため承認要</t>
  </si>
  <si>
    <t>FR-AUTH-004</t>
  </si>
  <si>
    <t>Must｜Cognito=Resource Server+custom scope必要 / Keycloak=Service Account。PoC未検証</t>
  </si>
  <si>
    <t>FR-AUTH-005</t>
  </si>
  <si>
    <t>TBD｜Cognito非対応 / Keycloakネイティブ。★Keycloak必須要因。ヒアリング優先度2</t>
  </si>
  <si>
    <t>FR-AUTH-006</t>
  </si>
  <si>
    <t>Device Code Flow</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</si>
  <si>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</si>
  <si>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</si>
  <si>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</si>
  <si>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</si>
  <si>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</si>
  <si>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</si>
  <si>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</si>
  <si>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</si>
  <si>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</si>
  <si>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</si>
  <si>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</si>
  <si>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</si>
  <si>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</si>
  <si>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</si>
  <si>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</si>
  <si>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</si>
  <si>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</si>
  <si>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</si>
  <si>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</si>
  <si>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</si>
  <si>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</si>
  <si>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</si>
  <si>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</si>
  <si>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</si>
  <si>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</si>
  <si>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</si>
  <si>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</si>
  <si>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</si>
  <si>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</si>
  <si>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</si>
  <si>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</si>
  <si>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</si>
  <si>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</si>
  <si>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</si>
  <si>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</si>
  <si>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</si>
  <si>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</si>
  <si>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</si>
  <si>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</si>
  <si>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</si>
  <si>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</si>
  <si>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</si>
  <si>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</si>
  <si>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</si>
  <si>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</si>
  <si>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</si>
  <si>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</si>
  <si>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</si>
  <si>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</si>
  <si>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</si>
  <si>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</si>
  <si>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</si>
  <si>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</si>
  <si>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</si>
  <si>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</si>
  <si>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</si>
  <si>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</si>
  <si>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</si>
  <si>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</si>
  <si>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</si>
  <si>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</si>
  <si>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</si>
  <si>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</si>
  <si>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</si>
  <si>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</si>
  <si>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</si>
  <si>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</si>
  <si>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</si>
  <si>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</si>
  <si>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</si>
  <si>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</si>
  <si>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</si>
  <si>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</si>
  <si>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</si>
  <si>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</si>
  <si>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</si>
  <si>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</si>
  <si>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</si>
  <si>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</si>
  <si>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</si>
  <si>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</si>
  <si>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</si>
  <si>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</si>
  <si>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</si>
  <si>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</si>
  <si>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</si>
  <si>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</si>
  <si>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</si>
  <si>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</si>
  <si>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</si>
  <si>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</si>
  <si>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</si>
  <si>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</si>
  <si>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</si>
  <si>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</si>
  <si>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</si>
  <si>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</si>
  <si>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</si>
  <si>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</si>
  <si>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</si>
  <si>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</si>
  <si>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</si>
  <si>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</si>
  <si>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</si>
  <si>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</si>
  <si>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</si>
  <si>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</si>
  <si>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</si>
  <si>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</si>
  <si>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</si>
  <si>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</si>
  <si>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</si>
  <si>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</si>
  <si>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</si>
  <si>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</si>
  <si>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</si>
  <si>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</si>
  <si>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</si>
  <si>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</si>
  <si>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</si>
  <si>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</si>
  <si>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</si>
  <si>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</si>
  <si>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</si>
  <si>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</si>
  <si>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</si>
  <si>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</si>
  <si>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</si>
  <si>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</si>
  <si>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</si>
  <si>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</si>
  <si>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</si>
  <si>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</si>
  <si>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</si>
  <si>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</si>
  <si>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</si>
  <si>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</si>
  <si>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</si>
  <si>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</si>
  <si>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</si>
  <si>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</si>
  <si>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</si>
  <si>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</si>
  <si>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</si>
  <si>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</si>
  <si>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</si>
  <si>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</si>
  <si>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</si>
  <si>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</si>
  <si>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</si>
  <si>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</si>
  <si>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</si>
  <si>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</si>
  <si>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</si>
  <si>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</si>
  <si>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</si>
  <si>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</si>
  <si>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</si>
  <si>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</si>
  <si>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</si>
  <si>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</si>
  <si>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</si>
  <si>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</si>
  <si>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</si>
  <si>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</si>
  <si>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</si>
  <si>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</si>
  <si>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</si>
  <si>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</si>
  <si>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</si>
  <si>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</si>
  <si>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</si>
  <si>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</si>
  <si>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</si>
  <si>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</si>
  <si>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</si>
  <si>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</si>
  <si>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</si>
  <si>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</si>
  <si>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</si>
  <si>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</si>
  <si>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</si>
  <si>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</si>
  <si>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</si>
  <si>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</si>
  <si>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</si>
  <si>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</si>
  <si>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</si>
  <si>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</si>
  <si>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</si>
  <si>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</si>
  <si>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</si>
  <si>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</si>
  <si>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</si>
  <si>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</si>
  <si>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</si>
  <si>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</si>
  <si>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</si>
  <si>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</si>
  <si>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</si>
  <si>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</si>
  <si>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</si>
  <si>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</si>
  <si>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</si>
  <si>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</si>
  <si>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</si>
  <si>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</si>
  <si>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</si>
  <si>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</si>
  <si>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</si>
  <si>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</si>
  <si>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</si>
  <si>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</si>
  <si>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</si>
  <si>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</si>
  <si>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</si>
  <si>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</si>
  <si>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</si>
  <si>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requirements/functional-requirements.md §7.1</t>
  </si>
  <si>
    <t>FR-ADMIN-002</t>
  </si>
  <si>
    <t>テナント追加・削除</t>
  </si>
  <si>
    <t>Must｜Cognito=User Pool単位/Group / Keycloak=Realm単位/IdP単位。PoCは設計のみ</t>
  </si>
  <si>
    <t>FR-ADMIN-003</t>
  </si>
  <si>
    <t>IdP追加・削除・更新</t>
  </si>
  <si>
    <t>FR-ADMIN-004</t>
  </si>
  <si>
    <t>クライアント（App）管理</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</si>
  <si>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</si>
  <si>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</si>
  <si>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</si>
  <si>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</si>
  <si>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</si>
  <si>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</si>
  <si>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</si>
  <si>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</si>
  <si>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</si>
  <si>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</si>
  <si>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</si>
  <si>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</si>
  <si>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</si>
  <si>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</si>
  <si>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</si>
  <si>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</si>
  <si>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</si>
  <si>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</si>
  <si>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</si>
  <si>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</si>
  <si>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</si>
  <si>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FR-ADMIN-011</t>
  </si>
  <si>
    <t>テナント管理者の委譲（顧客の自社運用）</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</si>
  <si>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</si>
  <si>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</si>
  <si>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</si>
  <si>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</si>
  <si>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</si>
  <si>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</si>
  <si>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</si>
  <si>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</si>
  <si>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</si>
  <si>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</si>
  <si>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</si>
  <si>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</si>
  <si>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</si>
  <si>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</si>
  <si>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</si>
  <si>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</si>
  <si>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</si>
  <si>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</si>
  <si>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</si>
  <si>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</si>
  <si>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</si>
  <si>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</si>
  <si>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</si>
  <si>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</si>
  <si>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</si>
  <si>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</si>
  <si>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</si>
  <si>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</si>
  <si>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</si>
  <si>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</si>
  <si>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</si>
  <si>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</si>
  <si>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</si>
  <si>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</si>
  <si>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</si>
  <si>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</si>
  <si>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</si>
  <si>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</si>
  <si>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</si>
  <si>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</si>
  <si>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</si>
  <si>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</si>
  <si>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</si>
  <si>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</si>
  <si>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</si>
  <si>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</si>
  <si>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</si>
  <si>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</si>
  <si>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</si>
  <si>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</si>
  <si>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</si>
  <si>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</si>
  <si>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</si>
  <si>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</si>
  <si>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</si>
  <si>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</si>
  <si>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</si>
  <si>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</si>
  <si>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</si>
  <si>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</si>
  <si>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</si>
  <si>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</si>
  <si>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</si>
  <si>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</si>
  <si>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</si>
  <si>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</si>
  <si>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</si>
  <si>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</si>
  <si>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</si>
  <si>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</si>
  <si>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</si>
  <si>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</si>
  <si>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</si>
  <si>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</si>
  <si>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</si>
  <si>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</si>
  <si>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</si>
  <si>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</si>
  <si>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</si>
  <si>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</si>
  <si>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</si>
  <si>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</si>
  <si>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</si>
  <si>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</si>
  <si>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</si>
  <si>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</si>
  <si>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</si>
  <si>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</si>
  <si>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</si>
  <si>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</si>
  <si>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</si>
  <si>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</si>
  <si>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</si>
  <si>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</si>
  <si>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</si>
  <si>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</si>
  <si>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</si>
  <si>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</si>
  <si>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</si>
  <si>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</si>
  <si>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</si>
  <si>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</si>
  <si>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</si>
  <si>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</si>
  <si>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</si>
  <si>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</si>
  <si>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</si>
  <si>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</si>
  <si>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</si>
  <si>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</si>
  <si>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</si>
  <si>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</si>
  <si>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</si>
  <si>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</si>
  <si>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</si>
  <si>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</si>
  <si>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</si>
  <si>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</si>
  <si>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</si>
  <si>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</si>
  <si>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</si>
  <si>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</si>
  <si>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</si>
  <si>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</si>
  <si>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</si>
  <si>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</si>
  <si>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</si>
  <si>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</si>
  <si>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</si>
  <si>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</si>
  <si>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</si>
  <si>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</si>
  <si>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</si>
  <si>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</si>
  <si>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</si>
  <si>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</si>
  <si>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</si>
  <si>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</si>
  <si>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</si>
  <si>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</si>
  <si>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</si>
  <si>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</si>
  <si>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</si>
  <si>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</si>
  <si>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</si>
  <si>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</si>
  <si>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</si>
  <si>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</si>
  <si>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</si>
  <si>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</si>
  <si>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</si>
  <si>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</si>
  <si>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</si>
  <si>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</si>
  <si>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</si>
  <si>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</si>
  <si>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</si>
  <si>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</si>
  <si>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</si>
  <si>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</si>
  <si>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</si>
  <si>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</si>
  <si>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</si>
  <si>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</si>
  <si>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</si>
  <si>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</si>
  <si>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</si>
  <si>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</si>
  <si>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</si>
  <si>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</si>
  <si>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</si>
  <si>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</si>
  <si>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</si>
  <si>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</si>
  <si>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</si>
  <si>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</si>
  <si>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</si>
  <si>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</si>
  <si>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</si>
  <si>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</si>
  <si>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</si>
  <si>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</si>
  <si>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</si>
  <si>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</si>
  <si>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</si>
  <si>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</si>
  <si>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</si>
  <si>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</si>
  <si>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</si>
  <si>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</si>
  <si>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</si>
  <si>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</si>
  <si>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</si>
  <si>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</si>
  <si>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</si>
  <si>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</si>
  <si>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</si>
  <si>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</si>
  <si>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</si>
  <si>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</si>
  <si>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</si>
  <si>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</si>
  <si>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</si>
  <si>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</si>
  <si>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</si>
  <si>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</si>
  <si>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</si>
  <si>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</si>
  <si>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</si>
  <si>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</si>
  <si>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</si>
  <si>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</si>
  <si>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</si>
  <si>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</si>
  <si>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</si>
  <si>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</si>
  <si>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</si>
  <si>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</si>
  <si>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</si>
  <si>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</si>
  <si>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</si>
  <si>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</si>
  <si>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</si>
  <si>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</si>
  <si>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</si>
  <si>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</si>
  <si>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</si>
  <si>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</si>
  <si>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</si>
  <si>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</si>
  <si>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</si>
  <si>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</si>
  <si>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</si>
  <si>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</si>
  <si>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</si>
  <si>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</si>
  <si>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</si>
  <si>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</si>
  <si>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</si>
  <si>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</si>
  <si>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</si>
  <si>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</si>
  <si>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</si>
  <si>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</si>
  <si>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</si>
  <si>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</si>
  <si>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</si>
  <si>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</si>
  <si>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</si>
  <si>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</si>
  <si>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</si>
  <si>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</si>
  <si>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</si>
  <si>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</si>
  <si>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</si>
  <si>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</si>
  <si>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</si>
  <si>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</si>
  <si>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</si>
  <si>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</si>
  <si>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</si>
  <si>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</si>
  <si>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</si>
  <si>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</si>
  <si>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</si>
  <si>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</si>
  <si>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</si>
  <si>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</si>
  <si>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</si>
  <si>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</si>
  <si>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</si>
  <si>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</si>
  <si>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</si>
  <si>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</si>
  <si>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</si>
  <si>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</si>
  <si>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</si>
  <si>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</si>
  <si>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</si>
  <si>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</si>
  <si>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</si>
  <si>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</si>
  <si>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</si>
  <si>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</si>
  <si>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</si>
  <si>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</si>
  <si>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</si>
  <si>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</si>
  <si>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</si>
  <si>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</si>
  <si>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</si>
  <si>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</si>
  <si>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</si>
  <si>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</si>
  <si>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</si>
  <si>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</si>
  <si>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</si>
  <si>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</si>
  <si>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</si>
  <si>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</si>
  <si>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</si>
  <si>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</si>
  <si>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</si>
  <si>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</si>
  <si>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</si>
  <si>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</si>
  <si>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</si>
  <si>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</si>
  <si>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</si>
  <si>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</si>
  <si>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</si>
  <si>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</si>
  <si>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</si>
  <si>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</si>
  <si>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</si>
  <si>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</si>
  <si>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</si>
  <si>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</si>
  <si>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</si>
  <si>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</si>
  <si>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</si>
  <si>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</si>
  <si>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</si>
  <si>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</si>
  <si>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</si>
  <si>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</si>
  <si>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</si>
  <si>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</si>
  <si>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</si>
  <si>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</si>
  <si>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</si>
  <si>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</si>
  <si>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</si>
  <si>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</si>
  <si>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</si>
  <si>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</si>
  <si>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</si>
  <si>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</si>
  <si>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</si>
  <si>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</si>
  <si>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</si>
  <si>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</si>
  <si>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</si>
  <si>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</si>
  <si>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</si>
  <si>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</si>
  <si>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</si>
  <si>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</si>
  <si>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</si>
  <si>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</si>
  <si>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</si>
  <si>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</si>
  <si>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</si>
  <si>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</si>
  <si>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</si>
  <si>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</si>
  <si>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</si>
  <si>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</si>
  <si>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</si>
  <si>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</si>
  <si>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</si>
  <si>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</si>
  <si>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</si>
  <si>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</si>
  <si>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</si>
  <si>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</si>
  <si>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</si>
  <si>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</si>
  <si>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</si>
  <si>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</si>
  <si>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</si>
  <si>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</si>
  <si>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</si>
  <si>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</si>
  <si>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</si>
  <si>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</si>
  <si>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</si>
  <si>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</si>
  <si>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</si>
  <si>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</si>
  <si>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</si>
  <si>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</si>
  <si>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</si>
  <si>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</si>
  <si>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</si>
  <si>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</si>
  <si>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</si>
  <si>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</si>
  <si>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</si>
  <si>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</si>
  <si>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</si>
  <si>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</si>
  <si>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</si>
  <si>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</si>
  <si>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</si>
  <si>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</si>
  <si>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</si>
  <si>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</si>
  <si>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</si>
  <si>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</si>
  <si>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</si>
  <si>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</si>
  <si>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</si>
  <si>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</si>
  <si>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</si>
  <si>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</si>
  <si>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</si>
  <si>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</si>
  <si>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</si>
  <si>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</si>
  <si>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</si>
  <si>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</si>
  <si>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</si>
  <si>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</si>
  <si>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</si>
  <si>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</si>
  <si>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</si>
  <si>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</si>
  <si>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</si>
  <si>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</si>
  <si>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</si>
  <si>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</si>
  <si>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</si>
  <si>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</si>
  <si>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</si>
  <si>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</si>
  <si>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</si>
  <si>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</si>
  <si>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</si>
  <si>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</si>
  <si>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</si>
  <si>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</si>
  <si>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</si>
  <si>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</si>
  <si>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</si>
  <si>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</si>
  <si>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</si>
  <si>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</si>
  <si>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</si>
  <si>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</si>
  <si>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</si>
  <si>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</si>
  <si>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</si>
  <si>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</si>
  <si>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</si>
  <si>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</si>
  <si>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</si>
  <si>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</si>
  <si>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</si>
  <si>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</si>
  <si>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</si>
  <si>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</si>
  <si>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</si>
  <si>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</si>
  <si>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</si>
  <si>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</si>
  <si>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</si>
  <si>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</si>
  <si>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</si>
  <si>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</si>
  <si>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</si>
  <si>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</si>
  <si>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</si>
  <si>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</si>
  <si>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</si>
  <si>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</si>
  <si>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</si>
  <si>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</si>
  <si>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</si>
  <si>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</si>
  <si>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</si>
  <si>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</si>
  <si>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</si>
  <si>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</si>
  <si>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</si>
  <si>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</si>
  <si>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</si>
  <si>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</si>
  <si>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</si>
  <si>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</si>
  <si>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</si>
  <si>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</si>
  <si>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</si>
  <si>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</si>
  <si>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</si>
  <si>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</si>
  <si>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</si>
  <si>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</si>
  <si>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</si>
  <si>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</si>
  <si>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</si>
  <si>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</si>
  <si>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</si>
  <si>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</si>
  <si>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</si>
  <si>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</si>
  <si>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</si>
  <si>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</si>
  <si>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</si>
  <si>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</si>
  <si>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</si>
  <si>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</si>
  <si>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</si>
  <si>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</si>
  <si>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</si>
  <si>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</si>
  <si>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</si>
  <si>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</si>
  <si>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</si>
  <si>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</si>
  <si>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</si>
  <si>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</si>
  <si>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</si>
  <si>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</si>
  <si>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</si>
  <si>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</si>
  <si>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</si>
  <si>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</si>
  <si>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</si>
  <si>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</si>
  <si>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</si>
  <si>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</si>
  <si>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</si>
  <si>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</si>
  <si>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</si>
  <si>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</si>
  <si>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</si>
  <si>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</si>
  <si>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</si>
  <si>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</si>
  <si>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</si>
  <si>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</si>
  <si>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</si>
  <si>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</si>
  <si>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</si>
  <si>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</si>
  <si>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</si>
  <si>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</si>
  <si>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</si>
  <si>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</si>
  <si>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</si>
  <si>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</si>
  <si>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</si>
  <si>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</si>
  <si>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</si>
  <si>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</si>
  <si>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</si>
  <si>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</si>
  <si>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</si>
  <si>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</si>
  <si>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</si>
  <si>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</si>
  <si>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</si>
  <si>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</si>
  <si>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</si>
  <si>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</si>
  <si>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</si>
  <si>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</si>
  <si>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</si>
  <si>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</si>
  <si>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</si>
  <si>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</si>
  <si>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</si>
  <si>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</si>
  <si>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</si>
  <si>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</si>
  <si>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</si>
  <si>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</si>
  <si>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</si>
  <si>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</si>
  <si>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</si>
  <si>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</si>
  <si>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</si>
  <si>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</si>
  <si>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</si>
  <si>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</si>
  <si>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</si>
  <si>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</si>
  <si>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</si>
  <si>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</si>
  <si>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</si>
  <si>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</si>
  <si>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</si>
  <si>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</si>
  <si>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</si>
  <si>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</si>
  <si>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</si>
  <si>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</si>
  <si>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</si>
  <si>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</si>
  <si>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</si>
  <si>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</si>
  <si>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</si>
  <si>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</si>
  <si>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</si>
  <si>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</si>
  <si>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</si>
  <si>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</si>
  <si>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</si>
  <si>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</si>
  <si>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</si>
  <si>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</si>
  <si>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</si>
  <si>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</si>
  <si>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</si>
  <si>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</si>
  <si>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</si>
  <si>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</si>
  <si>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</si>
  <si>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</si>
  <si>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</si>
  <si>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</si>
  <si>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</si>
  <si>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</si>
  <si>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</si>
  <si>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</si>
  <si>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</si>
  <si>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</si>
  <si>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</si>
  <si>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</si>
  <si>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</si>
  <si>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</si>
  <si>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</si>
  <si>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</si>
  <si>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</si>
  <si>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</si>
  <si>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</si>
  <si>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</si>
  <si>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</si>
  <si>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</si>
  <si>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</si>
  <si>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</si>
  <si>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</si>
  <si>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</si>
  <si>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</si>
  <si>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</si>
  <si>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</si>
  <si>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本表はGitからの派生ビュー（読み取り専用）。SSOTはGit側。</t>
  </si>
  <si>
    <t>② 系統別 内訳</t>
  </si>
  <si>
    <t>系統</t>
  </si>
  <si>
    <t>IDパターン</t>
  </si>
  <si>
    <t>FR-AUTH 認証フロー/Grant Type・PW管理</t>
  </si>
  <si>
    <t>FR-FED フェデレーション</t>
  </si>
  <si>
    <t>FR-MFA 多要素認証</t>
  </si>
  <si>
    <t>FR-SSO SSO・ログアウト・セッション</t>
  </si>
  <si>
    <t>FR-AUTHZ 認可</t>
  </si>
  <si>
    <t>FR-USER ユーザー管理</t>
  </si>
  <si>
    <t>FR-ADMIN 管理機能</t>
  </si>
  <si>
    <t>FR-INT 連携・標準準拠</t>
  </si>
  <si>
    <t>NFR-PERF 性能</t>
  </si>
  <si>
    <t>NFR-SCL スケーラビリティ</t>
  </si>
  <si>
    <t>NFR-SEC セキュリティ</t>
  </si>
  <si>
    <t>NFR-OPS 運用・監視</t>
  </si>
  <si>
    <t>NFR-COMP コンプライアンス</t>
  </si>
  <si>
    <t>NFR-MIG 移行</t>
  </si>
  <si>
    <t>A. PoC・技術ゲート実測（調査87人日）</t>
  </si>
  <si>
    <t>B. 他組織・エッジ連携確定（検討22人日）</t>
  </si>
  <si>
    <t>C. 設計是正・文書整合（検討17人日）</t>
  </si>
  <si>
    <t>D. 未確定設計の合同確定（検討50人日）</t>
  </si>
  <si>
    <t>E. 新規検討領域（調査10+検討23人日）</t>
  </si>
  <si>
    <t>F. ヒアリング・契約・法務（検討13人日）</t>
  </si>
  <si>
    <t>G. 運用実体化（検討22人日）</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</si>
  <si>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</si>
  <si>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</si>
  <si>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</si>
  <si>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</si>
  <si>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</si>
  <si>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</si>
  <si>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</si>
  <si>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</si>
  <si>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</si>
  <si>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</si>
  <si>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</si>
  <si>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</si>
  <si>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</si>
  <si>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</si>
  <si>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</si>
  <si>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</si>
  <si>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</si>
  <si>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</si>
  <si>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</si>
  <si>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</si>
  <si>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</si>
  <si>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</si>
  <si>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</si>
  <si>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</si>
  <si>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</si>
  <si>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</si>
  <si>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</si>
  <si>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決めること（平易な説明）</t>
  </si>
  <si>
    <t>サーバー側で画面を組み立てるWebアプリのログイン方式をどうするか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</si>
  <si>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</si>
  <si>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</si>
  <si>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</si>
  <si>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</si>
  <si>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</si>
  <si>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</si>
  <si>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</si>
  <si>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</si>
  <si>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</si>
  <si>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</si>
  <si>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</si>
  <si>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</si>
  <si>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</si>
  <si>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</si>
  <si>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</si>
  <si>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</si>
  <si>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</si>
  <si>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</si>
  <si>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</si>
  <si>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</si>
  <si>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</si>
  <si>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</si>
  <si>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</si>
  <si>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</si>
  <si>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</si>
  <si>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</si>
  <si>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</si>
  <si>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</si>
  <si>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</si>
  <si>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</si>
  <si>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</si>
  <si>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</si>
  <si>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</si>
  <si>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</si>
  <si>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</si>
  <si>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</si>
  <si>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</si>
  <si>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</si>
  <si>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</si>
  <si>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</si>
  <si>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</si>
  <si>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</si>
  <si>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</si>
  <si>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</si>
  <si>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</si>
  <si>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</si>
  <si>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</si>
  <si>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</si>
  <si>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</si>
  <si>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</si>
  <si>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</si>
  <si>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</si>
  <si>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</si>
  <si>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</si>
  <si>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</si>
  <si>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</si>
  <si>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</si>
  <si>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</si>
  <si>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</si>
  <si>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</si>
  <si>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</si>
  <si>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</si>
  <si>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</si>
  <si>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</si>
  <si>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</si>
  <si>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</si>
  <si>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</si>
  <si>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</si>
  <si>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</si>
  <si>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</si>
  <si>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</si>
  <si>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</si>
  <si>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</si>
  <si>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</si>
  <si>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</si>
  <si>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</si>
  <si>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</si>
  <si>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</si>
  <si>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</si>
  <si>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</si>
  <si>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</si>
  <si>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</si>
  <si>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</si>
  <si>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</si>
  <si>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</si>
  <si>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</si>
  <si>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</si>
  <si>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</si>
  <si>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</si>
  <si>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</si>
  <si>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</si>
  <si>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</si>
  <si>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</si>
  <si>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</si>
  <si>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</si>
  <si>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</si>
  <si>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</si>
  <si>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</si>
  <si>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</si>
  <si>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</si>
  <si>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</si>
  <si>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</si>
  <si>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</si>
  <si>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</si>
  <si>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</si>
  <si>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</si>
  <si>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</si>
  <si>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</si>
  <si>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</si>
  <si>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</si>
  <si>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</si>
  <si>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</si>
  <si>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</si>
  <si>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</si>
  <si>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</si>
  <si>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</si>
  <si>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</si>
  <si>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</si>
  <si>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</si>
  <si>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</si>
  <si>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</si>
  <si>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</si>
  <si>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</si>
  <si>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</si>
  <si>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</si>
  <si>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</si>
  <si>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</si>
  <si>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</si>
  <si>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</si>
  <si>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</si>
  <si>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</si>
  <si>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</si>
  <si>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</si>
  <si>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</si>
  <si>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</si>
  <si>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</si>
  <si>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</si>
  <si>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</si>
  <si>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</si>
  <si>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</si>
  <si>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</si>
  <si>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</si>
  <si>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</si>
  <si>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</si>
  <si>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</si>
  <si>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</si>
  <si>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</si>
  <si>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</si>
  <si>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</si>
  <si>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</si>
  <si>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</si>
  <si>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</si>
  <si>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</si>
  <si>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</si>
  <si>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</si>
  <si>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</si>
  <si>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</si>
  <si>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</si>
  <si>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</si>
  <si>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</si>
  <si>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</si>
  <si>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</si>
  <si>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</si>
  <si>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</si>
  <si>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</si>
  <si>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</si>
  <si>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</si>
  <si>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</si>
  <si>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</si>
  <si>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</si>
  <si>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</si>
  <si>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</si>
  <si>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</si>
  <si>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</si>
  <si>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</si>
  <si>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</si>
  <si>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</si>
  <si>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</si>
  <si>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</si>
  <si>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</si>
  <si>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</si>
  <si>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</si>
  <si>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</si>
  <si>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</si>
  <si>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</si>
  <si>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</si>
  <si>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</si>
  <si>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</si>
  <si>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</si>
  <si>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</si>
  <si>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</si>
  <si>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</si>
  <si>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</si>
  <si>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</si>
  <si>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</si>
  <si>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</si>
  <si>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</si>
  <si>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</si>
  <si>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</si>
  <si>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</si>
  <si>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</si>
  <si>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</si>
  <si>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</si>
  <si>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</si>
  <si>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</si>
  <si>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</si>
  <si>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</si>
  <si>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</si>
  <si>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</si>
  <si>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</si>
  <si>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</si>
  <si>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</si>
  <si>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</si>
  <si>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</si>
  <si>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</si>
  <si>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</si>
  <si>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</si>
  <si>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</si>
  <si>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</si>
  <si>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</si>
  <si>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</si>
  <si>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</si>
  <si>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</si>
  <si>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</si>
  <si>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</si>
  <si>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</si>
  <si>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</si>
  <si>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</si>
  <si>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</si>
  <si>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</si>
  <si>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</si>
  <si>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</si>
  <si>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</si>
  <si>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</si>
  <si>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</si>
  <si>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</si>
  <si>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</si>
  <si>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</si>
  <si>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</si>
  <si>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</si>
  <si>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</si>
  <si>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</si>
  <si>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</si>
  <si>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</si>
  <si>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</si>
  <si>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</si>
  <si>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</si>
  <si>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</si>
  <si>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</si>
  <si>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</si>
  <si>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</si>
  <si>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</si>
  <si>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</si>
  <si>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</si>
  <si>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</si>
  <si>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</si>
  <si>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</si>
  <si>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</si>
  <si>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</si>
  <si>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</si>
  <si>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</si>
  <si>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</si>
  <si>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</si>
  <si>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</si>
  <si>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</si>
  <si>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</si>
  <si>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</si>
  <si>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</si>
  <si>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</si>
  <si>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</si>
  <si>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</si>
  <si>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</si>
  <si>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</si>
  <si>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</si>
  <si>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</si>
  <si>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</si>
  <si>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</si>
  <si>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</si>
  <si>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</si>
  <si>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</si>
  <si>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</si>
  <si>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</si>
  <si>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</si>
  <si>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</si>
  <si>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</si>
  <si>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</si>
  <si>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</si>
  <si>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</si>
  <si>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</si>
  <si>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</si>
  <si>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</si>
  <si>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</si>
  <si>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</si>
  <si>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</si>
  <si>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</si>
  <si>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</si>
  <si>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</si>
  <si>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</si>
  <si>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</si>
  <si>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</si>
  <si>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</si>
  <si>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</si>
  <si>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</si>
  <si>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</si>
  <si>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</si>
  <si>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</si>
  <si>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</si>
  <si>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</si>
  <si>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</si>
  <si>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</si>
  <si>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</si>
  <si>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</si>
  <si>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</si>
  <si>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</si>
  <si>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</si>
  <si>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</si>
  <si>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</si>
  <si>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</si>
  <si>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</si>
  <si>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</si>
  <si>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</si>
  <si>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</si>
  <si>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</si>
  <si>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</si>
  <si>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</si>
  <si>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</si>
  <si>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</si>
  <si>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</si>
  <si>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</si>
  <si>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</si>
  <si>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</si>
  <si>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</si>
  <si>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</si>
  <si>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</si>
  <si>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</si>
  <si>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</si>
  <si>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</si>
  <si>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</si>
  <si>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</si>
  <si>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</si>
  <si>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</si>
  <si>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</si>
  <si>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</si>
  <si>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</si>
  <si>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</si>
  <si>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</si>
  <si>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</si>
  <si>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</si>
  <si>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</si>
  <si>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</si>
  <si>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</si>
  <si>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</si>
  <si>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</si>
  <si>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</si>
  <si>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</si>
  <si>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</si>
  <si>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</si>
  <si>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</si>
  <si>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</si>
  <si>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</si>
  <si>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</si>
  <si>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</si>
  <si>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</si>
  <si>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</si>
  <si>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</si>
  <si>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</si>
  <si>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</si>
  <si>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</si>
  <si>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</si>
  <si>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</si>
  <si>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</si>
  <si>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</si>
  <si>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</si>
  <si>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</si>
  <si>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</si>
  <si>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</si>
  <si>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</si>
  <si>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</si>
  <si>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</si>
  <si>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</si>
  <si>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</si>
  <si>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</si>
  <si>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</si>
  <si>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</si>
  <si>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</si>
  <si>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</si>
  <si>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</si>
  <si>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</si>
  <si>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</si>
  <si>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</si>
  <si>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</si>
  <si>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</si>
  <si>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</si>
  <si>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</si>
  <si>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</si>
  <si>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</si>
  <si>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</si>
  <si>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</si>
  <si>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</si>
  <si>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</si>
  <si>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</si>
  <si>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</si>
  <si>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</si>
  <si>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</si>
  <si>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</si>
  <si>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</si>
  <si>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</si>
  <si>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</si>
  <si>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</si>
  <si>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</si>
  <si>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</si>
  <si>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</si>
  <si>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</si>
  <si>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</si>
  <si>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</si>
  <si>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</si>
  <si>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</si>
  <si>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</si>
  <si>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</si>
  <si>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</si>
  <si>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</si>
  <si>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</si>
  <si>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</si>
  <si>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</si>
  <si>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</si>
  <si>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</si>
  <si>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</si>
  <si>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</si>
  <si>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</si>
  <si>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</si>
  <si>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</si>
  <si>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</si>
  <si>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</si>
  <si>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</si>
  <si>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</si>
  <si>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</si>
  <si>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</si>
  <si>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</si>
  <si>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</si>
  <si>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</si>
  <si>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</si>
  <si>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</si>
  <si>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</si>
  <si>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</si>
  <si>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</si>
  <si>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</si>
  <si>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</si>
  <si>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</si>
  <si>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</si>
  <si>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</si>
  <si>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</si>
  <si>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</si>
  <si>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</si>
  <si>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</si>
  <si>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</si>
  <si>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</si>
  <si>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</si>
  <si>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</si>
  <si>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</si>
  <si>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</si>
  <si>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</si>
  <si>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</si>
  <si>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</si>
  <si>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</si>
  <si>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</si>
  <si>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</si>
  <si>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</si>
  <si>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</si>
  <si>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</si>
  <si>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</si>
  <si>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</si>
  <si>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</si>
  <si>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</si>
  <si>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</si>
  <si>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</si>
  <si>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</si>
  <si>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</si>
  <si>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</si>
  <si>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</si>
  <si>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</si>
  <si>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</si>
  <si>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</si>
  <si>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</si>
  <si>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</si>
  <si>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</si>
  <si>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</si>
  <si>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</si>
  <si>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</si>
  <si>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</si>
  <si>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</si>
  <si>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</si>
  <si>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</si>
  <si>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</si>
  <si>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</si>
  <si>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</si>
  <si>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</si>
  <si>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</si>
  <si>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</si>
  <si>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</si>
  <si>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</si>
  <si>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</si>
  <si>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</si>
  <si>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</si>
  <si>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</si>
  <si>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</si>
  <si>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</si>
  <si>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</si>
  <si>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</si>
  <si>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</si>
  <si>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</si>
  <si>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</si>
  <si>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</si>
  <si>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</si>
  <si>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</si>
  <si>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</si>
  <si>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</si>
  <si>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</si>
  <si>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</si>
  <si>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</si>
  <si>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</si>
  <si>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</si>
  <si>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</si>
  <si>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</si>
  <si>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</si>
  <si>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</si>
  <si>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</si>
  <si>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</si>
  <si>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</si>
  <si>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</si>
  <si>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</si>
  <si>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</si>
  <si>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</si>
  <si>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</si>
  <si>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</si>
  <si>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</si>
  <si>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</si>
  <si>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</si>
  <si>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</si>
  <si>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</si>
  <si>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</si>
  <si>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</si>
  <si>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</si>
  <si>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</si>
  <si>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</si>
  <si>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</si>
  <si>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</si>
  <si>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</si>
  <si>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</si>
  <si>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</si>
  <si>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</si>
  <si>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</si>
  <si>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</si>
  <si>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</si>
  <si>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</si>
  <si>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</si>
  <si>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</si>
  <si>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</si>
  <si>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</si>
  <si>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</si>
  <si>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</si>
  <si>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</si>
  <si>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</si>
  <si>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</si>
  <si>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</si>
  <si>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</si>
  <si>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</si>
  <si>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</si>
  <si>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</si>
  <si>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</si>
  <si>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</si>
  <si>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</si>
  <si>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</si>
  <si>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</si>
  <si>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</si>
  <si>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</si>
  <si>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</si>
  <si>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</si>
  <si>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</si>
  <si>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</si>
  <si>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</si>
  <si>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</si>
  <si>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</si>
  <si>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</si>
  <si>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</si>
  <si>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</si>
  <si>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</si>
  <si>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</si>
  <si>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</si>
  <si>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</si>
  <si>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</si>
  <si>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</si>
  <si>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</si>
  <si>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</si>
  <si>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</si>
  <si>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</si>
  <si>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</si>
  <si>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</si>
  <si>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</si>
  <si>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</si>
  <si>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</si>
  <si>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</si>
  <si>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</si>
  <si>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</si>
  <si>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</si>
  <si>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</si>
  <si>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</si>
  <si>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</si>
  <si>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</si>
  <si>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</si>
  <si>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</si>
  <si>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</si>
  <si>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</si>
  <si>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</si>
  <si>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</si>
  <si>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</si>
  <si>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</si>
  <si>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</si>
  <si>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</si>
  <si>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</si>
  <si>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</si>
  <si>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</si>
  <si>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</si>
  <si>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</si>
  <si>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</si>
  <si>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</si>
  <si>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</si>
  <si>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</si>
  <si>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</si>
  <si>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</si>
  <si>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</si>
  <si>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</si>
  <si>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</si>
  <si>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</si>
  <si>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</si>
  <si>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</si>
  <si>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</si>
  <si>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</si>
  <si>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</si>
  <si>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</si>
  <si>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</si>
  <si>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</si>
  <si>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</si>
  <si>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</si>
  <si>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</si>
  <si>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</si>
  <si>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</si>
  <si>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</si>
  <si>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</si>
  <si>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</si>
  <si>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</si>
  <si>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</si>
  <si>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</si>
  <si>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</si>
  <si>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</si>
  <si>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</si>
  <si>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</si>
  <si>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</si>
  <si>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</si>
  <si>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</si>
  <si>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</si>
  <si>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</si>
  <si>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</si>
  <si>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</si>
  <si>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</si>
  <si>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</si>
  <si>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</si>
  <si>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</si>
  <si>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</si>
  <si>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</si>
  <si>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</si>
  <si>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</si>
  <si>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</si>
  <si>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</si>
  <si>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</si>
  <si>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</si>
  <si>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</si>
  <si>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</si>
  <si>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</si>
  <si>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</si>
  <si>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</si>
  <si>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</si>
  <si>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</si>
  <si>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</si>
  <si>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</si>
  <si>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</si>
  <si>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</si>
  <si>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</si>
  <si>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</si>
  <si>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</si>
  <si>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</si>
  <si>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</si>
  <si>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</si>
  <si>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</si>
  <si>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</si>
  <si>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</si>
  <si>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</si>
  <si>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</si>
  <si>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</si>
  <si>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</si>
  <si>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</si>
  <si>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</si>
  <si>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</si>
  <si>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</si>
  <si>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</si>
  <si>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</si>
  <si>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</si>
  <si>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</si>
  <si>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</si>
  <si>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</si>
  <si>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</si>
  <si>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</si>
  <si>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</si>
  <si>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</si>
  <si>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</si>
  <si>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</si>
  <si>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</si>
  <si>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</si>
  <si>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</si>
  <si>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</si>
  <si>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</si>
  <si>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</si>
  <si>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</si>
  <si>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</si>
  <si>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</si>
  <si>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</si>
  <si>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</si>
  <si>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</si>
  <si>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</si>
  <si>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</si>
  <si>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</si>
  <si>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</si>
  <si>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</si>
  <si>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</si>
  <si>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</si>
  <si>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</si>
  <si>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</si>
  <si>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</si>
  <si>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</si>
  <si>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</si>
  <si>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</si>
  <si>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</si>
  <si>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</si>
  <si>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</si>
  <si>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</si>
  <si>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</si>
  <si>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</si>
  <si>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</si>
  <si>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</si>
  <si>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</si>
  <si>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</si>
  <si>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</si>
  <si>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</si>
  <si>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</si>
  <si>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</si>
  <si>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</si>
  <si>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</si>
  <si>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</si>
  <si>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</si>
  <si>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</si>
  <si>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</si>
  <si>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</si>
  <si>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</si>
  <si>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</si>
  <si>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</si>
  <si>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</si>
  <si>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</si>
  <si>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</si>
  <si>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</si>
  <si>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</si>
  <si>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</si>
  <si>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</si>
  <si>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</si>
  <si>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</si>
  <si>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</si>
  <si>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</si>
  <si>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</si>
  <si>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</si>
  <si>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</si>
  <si>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</si>
  <si>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</si>
  <si>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</si>
  <si>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</si>
  <si>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</si>
  <si>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</si>
  <si>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</si>
  <si>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</si>
  <si>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</si>
  <si>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</si>
  <si>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</si>
  <si>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</si>
  <si>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</si>
  <si>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</si>
  <si>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</si>
  <si>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</si>
  <si>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</si>
  <si>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</si>
  <si>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</si>
  <si>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</si>
  <si>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</si>
  <si>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</si>
  <si>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</si>
  <si>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</si>
  <si>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</si>
  <si>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</si>
  <si>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</si>
  <si>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</si>
  <si>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</si>
  <si>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</si>
  <si>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</si>
  <si>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</si>
  <si>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</si>
  <si>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</si>
  <si>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</si>
  <si>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</si>
  <si>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</si>
  <si>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</si>
  <si>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</si>
  <si>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</si>
  <si>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</si>
  <si>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</si>
  <si>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</si>
  <si>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</si>
  <si>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</si>
  <si>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</si>
  <si>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</si>
  <si>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</si>
  <si>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</si>
  <si>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</si>
  <si>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</si>
  <si>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</si>
  <si>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</si>
  <si>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</si>
  <si>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</si>
  <si>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</si>
  <si>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r>
      <t>根拠が</t>
    </r>
    <r>
      <rPr>
        <sz val="9"/>
        <color theme="1"/>
        <rFont val="游ゴシック"/>
        <family val="2"/>
        <charset val="128"/>
      </rPr>
      <t>辩</t>
    </r>
    <r>
      <rPr>
        <sz val="9"/>
        <color theme="1"/>
        <rFont val="Meiryo UI"/>
        <family val="2"/>
        <charset val="128"/>
      </rPr>
      <t>できる。確認不要</t>
    </r>
  </si>
  <si>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</si>
  <si>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</si>
  <si>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</si>
  <si>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</si>
  <si>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</si>
  <si>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</si>
  <si>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</si>
  <si>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</si>
  <si>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</si>
  <si>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</si>
  <si>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</si>
  <si>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</si>
  <si>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</si>
  <si>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</si>
  <si>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</si>
  <si>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</si>
  <si>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</si>
  <si>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</si>
  <si>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2026-08-12 追加。第2段階（製品標準の配信側へ移行）へ進めるかの判定材料。1000万規模でのイベント配信性能も測定対象。あわせて顧客確認 B-CAEP-1（顧客側ID基盤の送信可否／受け取り側への配布範囲）が必要</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</si>
  <si>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</si>
  <si>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</si>
  <si>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</si>
  <si>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</si>
  <si>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</si>
  <si>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</si>
  <si>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</si>
  <si>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</si>
  <si>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</si>
  <si>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</si>
  <si>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</si>
  <si>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</si>
  <si>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</si>
  <si>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</si>
  <si>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</si>
  <si>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</si>
  <si>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</si>
  <si>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</si>
  <si>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</si>
  <si>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</si>
  <si>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</si>
  <si>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</si>
  <si>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</si>
  <si>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</si>
  <si>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最優先。回答により第3段階（顧客側からの失効受信）の要否と、第1段階の適用対象アプリの範囲が決まる。関連=D-U5-09 / ADR-065 / ゲート G-SSF</t>
  </si>
  <si>
    <t>requirements/hearing-checklist.md §5.6</t>
  </si>
  <si>
    <t>テナント隔離</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</si>
  <si>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</si>
  <si>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</si>
  <si>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</si>
  <si>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最優先。単一領域構成は資源・障害の隔離を自動的には伴わないため、隔離を契約として明文化する前提となる。関連=D-U6-14</t>
  </si>
  <si>
    <t>非人間ID</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</si>
  <si>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</si>
  <si>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</si>
  <si>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</si>
  <si>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</si>
  <si>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</si>
  <si>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</si>
  <si>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</si>
  <si>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</si>
  <si>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</si>
  <si>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</si>
  <si>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</si>
  <si>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</si>
  <si>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</si>
  <si>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</si>
  <si>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</si>
  <si>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</si>
  <si>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</si>
  <si>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</si>
  <si>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</si>
  <si>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</si>
  <si>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</si>
  <si>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過剰な権限や孤立した権限を定期的に是正する枠組みの分担を決める</t>
  </si>
  <si>
    <t>関連=D-U9-20 / ADR-067。既定案=基盤運用者は四半期、顧客テナント管理者は半期、アプリ権限は年次、非人間IDは四半期</t>
  </si>
  <si>
    <t>認可ログ</t>
  </si>
  <si>
    <t>B-AUTHZLOG-1</t>
  </si>
  <si>
    <t>監査人が求める認可証跡の粒度と保持期間</t>
  </si>
  <si>
    <t>「なぜ許可したか」をどこまで記録するかを決める。全件記録は量が律速になる</t>
  </si>
  <si>
    <t>関連=D-U9-20 / ADR-067。既定案=拒否は全件、高権限操作の許可も全件、一般の読み取りは集約</t>
  </si>
  <si>
    <t>登録手続き</t>
  </si>
  <si>
    <t>B-ENROLL-1</t>
  </si>
  <si>
    <t>2台目以降の認証手段の登録に、どこまでの再確認を求めるか</t>
  </si>
  <si>
    <t>盗んだパスワードで攻撃者が自分の認証器を登録し正規利用者を締め出す手口への対策レベルを決める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</si>
  <si>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</si>
  <si>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</si>
  <si>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</si>
  <si>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</si>
  <si>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メールによる追加確認を不採用としたため、メール経由のリセット経路が存在しない状況での復旧手段を決める</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</si>
  <si>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</si>
  <si>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</si>
  <si>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</si>
  <si>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</si>
  <si>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属性の受け渡し・越境・利用目的に対する同意をどこまで形式的に管理するかを決める</t>
  </si>
  <si>
    <t>関連=D-U7-21。既定案=自社が主体のサービスのため同意画面はオフ運用可としつつ、越境や第三者提供が絡む顧客には必須</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</si>
  <si>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</si>
  <si>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</si>
  <si>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</si>
  <si>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</si>
  <si>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</si>
  <si>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</si>
  <si>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</si>
  <si>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</si>
  <si>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人ではないが人の代理で動く主体を、どのIDとして発行し統制するかを決める</t>
  </si>
  <si>
    <t>姿勢のみで今回は実装なし。関連=D-U5-12（委譲制御）/ ADR-066（非人間ID台帳の種別拡張で受ける）</t>
  </si>
  <si>
    <t>B-FAPI-1</t>
  </si>
  <si>
    <t>金融グレードの仕様準拠を求める顧客が存在するか</t>
  </si>
  <si>
    <t>要求内容の事前登録・要求の署名・送信者拘束を必須化するかの判断材料</t>
  </si>
  <si>
    <t>姿勢のみで今回は実装なし。関連=D-U5-13。該当顧客が出た時点で必須化する条件付き採用</t>
  </si>
  <si>
    <t>B-IPSIE-1</t>
  </si>
  <si>
    <t>企業向け相互運用プロファイルへの準拠を求められるか</t>
  </si>
  <si>
    <t>業界標準の相互運用プロファイルにどこまで合わせるかの姿勢を決める</t>
  </si>
  <si>
    <t>姿勢のみで今回は実装なし。設計単元の作業分解でも「姿勢のみ・実装なし・回答待ち」と整理されている</t>
  </si>
  <si>
    <t>出典: github.com/suepie/aws-atuh-poc（doc/requirements + doc/basic-design + doc/adr）/ commit 9511a58 / 明細は「進捗一覧」「設計決定一覧」参照</t>
  </si>
  <si>
    <t>9511a588380a5518ae08d25795cc1a23e074c8ad（2026-08-12 網羅性再監査 反映後）</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</si>
  <si>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</si>
  <si>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</si>
  <si>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</si>
  <si>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</si>
  <si>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推奨値を設定済み。顧客の承認待ち</t>
  </si>
  <si>
    <t>外部待ち</t>
  </si>
  <si>
    <t>顧客ヒアリングの回答待ち（推奨値も未設定）</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</si>
  <si>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</si>
  <si>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</si>
  <si>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</si>
  <si>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</si>
  <si>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</si>
  <si>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</si>
  <si>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</si>
  <si>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</si>
  <si>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</si>
  <si>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</si>
  <si>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</si>
  <si>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</si>
  <si>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</si>
  <si>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</si>
  <si>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</si>
  <si>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暫定値で凍結し設計を継続中。確定は実測または顧客回答待ち</t>
  </si>
  <si>
    <t>検証ゲート</t>
  </si>
  <si>
    <t>自社で実施する検証。着手可能</t>
  </si>
  <si>
    <t>他組織・法務の回答待ち</t>
  </si>
  <si>
    <t>スコープ外として決着済み</t>
  </si>
  <si>
    <t>設計タスク</t>
  </si>
  <si>
    <t>自社で完結する設計・検証タスク。着手可能</t>
  </si>
  <si>
    <t>他組織・顧客・法務の回答待ち（自社の準備は着手可能）</t>
  </si>
  <si>
    <t>全般・プロジェクト進行</t>
  </si>
  <si>
    <t>顧客確認</t>
  </si>
  <si>
    <t>顧客ヒアリングの回答待ち</t>
  </si>
  <si>
    <t>技術領域</t>
  </si>
  <si>
    <t>種別</t>
  </si>
  <si>
    <t>状況（5区分）</t>
  </si>
  <si>
    <t>進捗が低い理由</t>
  </si>
  <si>
    <t>認証基盤 要件定義・基本設計 ダッシュボード</t>
  </si>
  <si>
    <t>Git（github.com/suepie/aws-atuh-poc, commit 9511a58）からの派生ビュー。判断・更新はGit側で行い、本ファイルは俯瞰専用の読み取りスナップショットです。</t>
  </si>
  <si>
    <t>①決まったこと</t>
  </si>
  <si>
    <t>②これから社内で決めること</t>
  </si>
  <si>
    <t>③外部に依存すること</t>
  </si>
  <si>
    <t>件</t>
  </si>
  <si>
    <t>自社だけで判断・検証できる。今すぐ着手可能</t>
  </si>
  <si>
    <t>顧客・他組織・法務の回答が要る。待ち＝遅れではない</t>
  </si>
  <si>
    <t>詰め切りに必要な残数（②＋③）</t>
  </si>
  <si>
    <t>詳細設計に着手する前提の3ゲート</t>
  </si>
  <si>
    <t>ゲート</t>
  </si>
  <si>
    <t>残</t>
  </si>
  <si>
    <t>信号</t>
  </si>
  <si>
    <t>内容</t>
  </si>
  <si>
    <t>① 技術検証（自社実測）</t>
  </si>
  <si>
    <t>② 他組織の要求仕様回答</t>
  </si>
  <si>
    <t>③ 顧客ヒアリング回答</t>
  </si>
  <si>
    <t>自社で実施する実機検証。他者を待たずに着手できる</t>
  </si>
  <si>
    <t>インターネット出入口を管理する他組織への要求と回答</t>
  </si>
  <si>
    <t>顧客への質問状。全127項目中の未回答が主因</t>
  </si>
  <si>
    <t>技術領域別の内訳</t>
  </si>
  <si>
    <t>方向性確定</t>
  </si>
  <si>
    <t>規模と目標値が顧客回答待ちのため。設計は上限10Mで凍結し先行している</t>
  </si>
  <si>
    <t>稼働率と復旧目標が顧客合意待ち。設計側は手動復旧14日で確定済み</t>
  </si>
  <si>
    <t>対象法令と認証取得の要否が顧客回答待ち。多くは提案書側・別枠組み側で扱う</t>
  </si>
  <si>
    <t>体制・工数の合意と手順書の執筆が残るため。方式は決定済み</t>
  </si>
  <si>
    <t>費用は提案書側の文書で扱う方針のため、技術設計側には決定を置いていない</t>
  </si>
  <si>
    <t>現行システムの実態（利用者数・パスワード方式）が顧客回答待ち</t>
  </si>
  <si>
    <t>質問状の発行と回答反映が主。外部リードタイムが律速</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</si>
  <si>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</si>
  <si>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</si>
  <si>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</si>
  <si>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</si>
  <si>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</si>
  <si>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</si>
  <si>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</si>
  <si>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</si>
  <si>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</si>
  <si>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</si>
  <si>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</si>
  <si>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</si>
  <si>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</si>
  <si>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</si>
  <si>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</si>
  <si>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</si>
  <si>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</si>
  <si>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</si>
  <si>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</si>
  <si>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</si>
  <si>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</si>
  <si>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</si>
  <si>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</si>
  <si>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</si>
  <si>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</si>
  <si>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</si>
  <si>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</si>
  <si>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</si>
  <si>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</si>
  <si>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</si>
  <si>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</si>
  <si>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</si>
  <si>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</si>
  <si>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</si>
  <si>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</si>
  <si>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</si>
  <si>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</si>
  <si>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</si>
  <si>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</si>
  <si>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</si>
  <si>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</si>
  <si>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</si>
  <si>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</si>
  <si>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</si>
  <si>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</si>
  <si>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</si>
  <si>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</si>
  <si>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</si>
  <si>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</si>
  <si>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</si>
  <si>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</si>
  <si>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</si>
  <si>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</si>
  <si>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</si>
  <si>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</si>
  <si>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</si>
  <si>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</si>
  <si>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</si>
  <si>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</si>
  <si>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</si>
  <si>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</si>
  <si>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</si>
  <si>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</si>
  <si>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</si>
  <si>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</si>
  <si>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</si>
  <si>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</si>
  <si>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</si>
  <si>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</si>
  <si>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</si>
  <si>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</si>
  <si>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</si>
  <si>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</si>
  <si>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</si>
  <si>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</si>
  <si>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</si>
  <si>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</si>
  <si>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</si>
  <si>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</si>
  <si>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</si>
  <si>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</si>
  <si>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</si>
  <si>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</si>
  <si>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</si>
  <si>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</si>
  <si>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</si>
  <si>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</si>
  <si>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</si>
  <si>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</si>
  <si>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</si>
  <si>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</si>
  <si>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</si>
  <si>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</si>
  <si>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</si>
  <si>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</si>
  <si>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</si>
  <si>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</si>
  <si>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</si>
  <si>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</si>
  <si>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</si>
  <si>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</si>
  <si>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</si>
  <si>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</si>
  <si>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</si>
  <si>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</si>
  <si>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</si>
  <si>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</si>
  <si>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</si>
  <si>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</si>
  <si>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</si>
  <si>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</si>
  <si>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</si>
  <si>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</si>
  <si>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</si>
  <si>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</si>
  <si>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</si>
  <si>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</si>
  <si>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</si>
  <si>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</si>
  <si>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</si>
  <si>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</si>
  <si>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</si>
  <si>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</si>
  <si>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</si>
  <si>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</si>
  <si>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</si>
  <si>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</si>
  <si>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</si>
  <si>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</si>
  <si>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</si>
  <si>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</si>
  <si>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</si>
  <si>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</si>
  <si>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</si>
  <si>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</si>
  <si>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</si>
  <si>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</si>
  <si>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</si>
  <si>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</si>
  <si>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</si>
  <si>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</si>
  <si>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</si>
  <si>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</si>
  <si>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</si>
  <si>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</si>
  <si>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</si>
  <si>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</si>
  <si>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</si>
  <si>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</si>
  <si>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</si>
  <si>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</si>
  <si>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</si>
  <si>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</si>
  <si>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</si>
  <si>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</si>
  <si>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</si>
  <si>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</si>
  <si>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</si>
  <si>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</si>
  <si>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</si>
  <si>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</si>
  <si>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</si>
  <si>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</si>
  <si>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</si>
  <si>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</si>
  <si>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</si>
  <si>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</si>
  <si>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</si>
  <si>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</si>
  <si>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</si>
  <si>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</si>
  <si>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</si>
  <si>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</si>
  <si>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</si>
  <si>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</si>
  <si>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</si>
  <si>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</si>
  <si>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</si>
  <si>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</si>
  <si>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</si>
  <si>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</si>
  <si>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</si>
  <si>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</si>
  <si>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</si>
  <si>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</si>
  <si>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</si>
  <si>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</si>
  <si>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</si>
  <si>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</si>
  <si>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</si>
  <si>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</si>
  <si>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</si>
  <si>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</si>
  <si>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</si>
  <si>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</si>
  <si>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</si>
  <si>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</si>
  <si>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</si>
  <si>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</si>
  <si>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</si>
  <si>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</si>
  <si>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</si>
  <si>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</si>
  <si>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</si>
  <si>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</si>
  <si>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</si>
  <si>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</si>
  <si>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</si>
  <si>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</si>
  <si>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</si>
  <si>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</si>
  <si>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</si>
  <si>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</si>
  <si>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</si>
  <si>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</si>
  <si>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</si>
  <si>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</si>
  <si>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</si>
  <si>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</si>
  <si>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</si>
  <si>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</si>
  <si>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</si>
  <si>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</si>
  <si>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</si>
  <si>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</si>
  <si>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</si>
  <si>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</si>
  <si>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</si>
  <si>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</si>
  <si>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</si>
  <si>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</si>
  <si>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</si>
  <si>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</si>
  <si>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</si>
  <si>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</si>
  <si>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</si>
  <si>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</si>
  <si>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</si>
  <si>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</si>
  <si>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</si>
  <si>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</si>
  <si>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</si>
  <si>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</si>
  <si>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</si>
  <si>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</si>
  <si>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</si>
  <si>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</si>
  <si>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</si>
  <si>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</si>
  <si>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</si>
  <si>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</si>
  <si>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</si>
  <si>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</si>
  <si>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</si>
  <si>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</si>
  <si>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</si>
  <si>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</si>
  <si>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</si>
  <si>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</si>
  <si>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</si>
  <si>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</si>
  <si>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</si>
  <si>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</si>
  <si>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</si>
  <si>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</si>
  <si>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</si>
  <si>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</si>
  <si>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</si>
  <si>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</si>
  <si>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</si>
  <si>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</si>
  <si>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</si>
  <si>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</si>
  <si>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</si>
  <si>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</si>
  <si>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</si>
  <si>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</si>
  <si>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</si>
  <si>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</si>
  <si>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</si>
  <si>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</si>
  <si>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</si>
  <si>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</si>
  <si>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</si>
  <si>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</si>
  <si>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</si>
  <si>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</si>
  <si>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</si>
  <si>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</si>
  <si>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</si>
  <si>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</si>
  <si>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</si>
  <si>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</si>
  <si>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</si>
  <si>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</si>
  <si>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</si>
  <si>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</si>
  <si>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</si>
  <si>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</si>
  <si>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</si>
  <si>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</si>
  <si>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</si>
  <si>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</si>
  <si>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</si>
  <si>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</si>
  <si>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</si>
  <si>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</si>
  <si>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</si>
  <si>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</si>
  <si>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</si>
  <si>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</si>
  <si>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</si>
  <si>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</si>
  <si>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</si>
  <si>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</si>
  <si>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</si>
  <si>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</si>
  <si>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</si>
  <si>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</si>
  <si>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</si>
  <si>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</si>
  <si>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</si>
  <si>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</si>
  <si>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</si>
  <si>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</si>
  <si>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</si>
  <si>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</si>
  <si>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</si>
  <si>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</si>
  <si>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</si>
  <si>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</si>
  <si>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</si>
  <si>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</si>
  <si>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</si>
  <si>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</si>
  <si>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</si>
  <si>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</si>
  <si>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</si>
  <si>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</si>
  <si>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</si>
  <si>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</si>
  <si>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</si>
  <si>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</si>
  <si>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</si>
  <si>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</si>
  <si>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</si>
  <si>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</si>
  <si>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</si>
  <si>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</si>
  <si>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</si>
  <si>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</si>
  <si>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</si>
  <si>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</si>
  <si>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</si>
  <si>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</si>
  <si>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</si>
  <si>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</si>
  <si>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</si>
  <si>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</si>
  <si>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</si>
  <si>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</si>
  <si>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</si>
  <si>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</si>
  <si>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</si>
  <si>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</si>
  <si>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</si>
  <si>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</si>
  <si>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</si>
  <si>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</si>
  <si>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</si>
  <si>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</si>
  <si>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</si>
  <si>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</si>
  <si>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</si>
  <si>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</si>
  <si>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</si>
  <si>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</si>
  <si>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</si>
  <si>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</si>
  <si>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</si>
  <si>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</si>
  <si>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</si>
  <si>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</si>
  <si>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</si>
  <si>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</si>
  <si>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</si>
  <si>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</si>
  <si>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</si>
  <si>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</si>
  <si>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</si>
  <si>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</si>
  <si>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</si>
  <si>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</si>
  <si>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</si>
  <si>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</si>
  <si>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</si>
  <si>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</si>
  <si>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</si>
  <si>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</si>
  <si>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</si>
  <si>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</si>
  <si>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</si>
  <si>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</si>
  <si>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</si>
  <si>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</si>
  <si>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</si>
  <si>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</si>
  <si>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</si>
  <si>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</si>
  <si>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</si>
  <si>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</si>
  <si>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</si>
  <si>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</si>
  <si>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</si>
  <si>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</si>
  <si>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</si>
  <si>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</si>
  <si>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</si>
  <si>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</si>
  <si>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</si>
  <si>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</si>
  <si>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</si>
  <si>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</si>
  <si>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</si>
  <si>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</si>
  <si>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</si>
  <si>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</si>
  <si>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</si>
  <si>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</si>
  <si>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</si>
  <si>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</si>
  <si>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</si>
  <si>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</si>
  <si>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</si>
  <si>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</si>
  <si>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</si>
  <si>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</si>
  <si>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</si>
  <si>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</si>
  <si>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</si>
  <si>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</si>
  <si>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</si>
  <si>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</si>
  <si>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</si>
  <si>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</si>
  <si>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</si>
  <si>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</si>
  <si>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</si>
  <si>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</si>
  <si>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</si>
  <si>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</si>
  <si>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</si>
  <si>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</si>
  <si>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</si>
  <si>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</si>
  <si>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</si>
  <si>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</si>
  <si>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</si>
  <si>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</si>
  <si>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</si>
  <si>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</si>
  <si>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</si>
  <si>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</si>
  <si>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</si>
  <si>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</si>
  <si>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</si>
  <si>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</si>
  <si>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</si>
  <si>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</si>
  <si>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</si>
  <si>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</si>
  <si>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</si>
  <si>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</si>
  <si>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</si>
  <si>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</si>
  <si>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</si>
  <si>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</si>
  <si>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</si>
  <si>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</si>
  <si>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</si>
  <si>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</si>
  <si>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</si>
  <si>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</si>
  <si>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</si>
  <si>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</si>
  <si>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</si>
  <si>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</si>
  <si>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</si>
  <si>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</si>
  <si>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</si>
  <si>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</si>
  <si>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</si>
  <si>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</si>
  <si>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</si>
  <si>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</si>
  <si>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</si>
  <si>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</si>
  <si>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</si>
  <si>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</si>
  <si>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</si>
  <si>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</si>
  <si>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</si>
  <si>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</si>
  <si>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</si>
  <si>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</si>
  <si>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</si>
  <si>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</si>
  <si>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</si>
  <si>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</si>
  <si>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</si>
  <si>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</si>
  <si>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</si>
  <si>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</si>
  <si>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</si>
  <si>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</si>
  <si>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</si>
  <si>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</si>
  <si>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</si>
  <si>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</si>
  <si>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</si>
  <si>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</si>
  <si>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</si>
  <si>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</si>
  <si>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</si>
  <si>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</si>
  <si>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</si>
  <si>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</si>
  <si>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</si>
  <si>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</si>
  <si>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</si>
  <si>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</si>
  <si>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</si>
  <si>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</si>
  <si>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</si>
  <si>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</si>
  <si>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</si>
  <si>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</si>
  <si>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</si>
  <si>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</si>
  <si>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</si>
  <si>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</si>
  <si>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</si>
  <si>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</si>
  <si>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</si>
  <si>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</si>
  <si>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</si>
  <si>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</si>
  <si>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</si>
  <si>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</si>
  <si>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</si>
  <si>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</si>
  <si>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</si>
  <si>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</si>
  <si>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</si>
  <si>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</si>
  <si>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</si>
  <si>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</si>
  <si>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</si>
  <si>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</si>
  <si>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</si>
  <si>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</si>
  <si>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</si>
  <si>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</si>
  <si>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</si>
  <si>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</si>
  <si>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</si>
  <si>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</si>
  <si>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</si>
  <si>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</si>
  <si>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</si>
  <si>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</si>
  <si>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</si>
  <si>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</si>
  <si>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</si>
  <si>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</si>
  <si>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</si>
  <si>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</si>
  <si>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</si>
  <si>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</si>
  <si>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</si>
  <si>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</si>
  <si>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</si>
  <si>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</si>
  <si>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</si>
  <si>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</si>
  <si>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</si>
  <si>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</si>
  <si>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</si>
  <si>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</si>
  <si>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</si>
  <si>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</si>
  <si>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</si>
  <si>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</si>
  <si>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</si>
  <si>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</si>
  <si>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</si>
  <si>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</si>
  <si>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</si>
  <si>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</si>
  <si>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</si>
  <si>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</si>
  <si>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</si>
  <si>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</si>
  <si>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</si>
  <si>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</si>
  <si>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</si>
  <si>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</si>
  <si>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</si>
  <si>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</si>
  <si>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</si>
  <si>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</si>
  <si>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</si>
  <si>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</si>
  <si>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</si>
  <si>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</si>
  <si>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</si>
  <si>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</si>
  <si>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</si>
  <si>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</si>
  <si>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</si>
  <si>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</si>
  <si>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</si>
  <si>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</si>
  <si>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</si>
  <si>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</si>
  <si>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</si>
  <si>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</si>
  <si>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</si>
  <si>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</si>
  <si>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</si>
  <si>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</si>
  <si>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</si>
  <si>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</si>
  <si>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</si>
  <si>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</si>
  <si>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</si>
  <si>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</si>
  <si>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</si>
  <si>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</si>
  <si>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</si>
  <si>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</si>
  <si>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</si>
  <si>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</si>
  <si>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</si>
  <si>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</si>
  <si>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</si>
  <si>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</si>
  <si>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</si>
  <si>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</si>
  <si>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旧・決定状況</t>
  </si>
  <si>
    <t>① 種別別の進捗（状況は5区分）</t>
  </si>
  <si>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</si>
  <si>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</si>
  <si>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</si>
  <si>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</si>
  <si>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</si>
  <si>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</si>
  <si>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</si>
  <si>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</si>
  <si>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</si>
  <si>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</si>
  <si>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</si>
  <si>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</si>
  <si>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</si>
  <si>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</si>
  <si>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</si>
  <si>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</si>
  <si>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</si>
  <si>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</si>
  <si>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</si>
  <si>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</si>
  <si>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</si>
  <si>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</si>
  <si>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</si>
  <si>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</si>
  <si>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</si>
  <si>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</si>
  <si>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</si>
  <si>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</si>
  <si>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</si>
  <si>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</si>
  <si>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</si>
  <si>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</si>
  <si>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</si>
  <si>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</si>
  <si>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</si>
  <si>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</si>
  <si>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</si>
  <si>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</si>
  <si>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</si>
  <si>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</si>
  <si>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</si>
  <si>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</si>
  <si>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</si>
  <si>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</si>
  <si>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</si>
  <si>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</si>
  <si>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</si>
  <si>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</si>
  <si>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</si>
  <si>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</si>
  <si>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</si>
  <si>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</si>
  <si>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</si>
  <si>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</si>
  <si>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</si>
  <si>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</si>
  <si>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</si>
  <si>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</si>
  <si>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</si>
  <si>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</si>
  <si>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</si>
  <si>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</si>
  <si>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</si>
  <si>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</si>
  <si>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</si>
  <si>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</si>
  <si>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</si>
  <si>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</si>
  <si>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</si>
  <si>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</si>
  <si>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</si>
  <si>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</si>
  <si>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</si>
  <si>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</si>
  <si>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</si>
  <si>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</si>
  <si>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</si>
  <si>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</si>
  <si>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</si>
  <si>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</si>
  <si>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</si>
  <si>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</si>
  <si>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</si>
  <si>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</si>
  <si>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</si>
  <si>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</si>
  <si>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</si>
  <si>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</si>
  <si>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</si>
  <si>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</si>
  <si>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</si>
  <si>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</si>
  <si>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</si>
  <si>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</si>
  <si>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</si>
  <si>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</si>
  <si>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</si>
  <si>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</si>
  <si>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</si>
  <si>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</si>
  <si>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</si>
  <si>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</si>
  <si>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</si>
  <si>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</si>
  <si>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</si>
  <si>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</si>
  <si>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</si>
  <si>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</si>
  <si>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</si>
  <si>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</si>
  <si>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</si>
  <si>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</si>
  <si>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</si>
  <si>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</si>
  <si>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</si>
  <si>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</si>
  <si>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</si>
  <si>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</si>
  <si>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</si>
  <si>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</si>
  <si>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</si>
  <si>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</si>
  <si>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</si>
  <si>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</si>
  <si>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</si>
  <si>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</si>
  <si>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</si>
  <si>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</si>
  <si>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</si>
  <si>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</si>
  <si>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</si>
  <si>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</si>
  <si>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</si>
  <si>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</si>
  <si>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</si>
  <si>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</si>
  <si>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</si>
  <si>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</si>
  <si>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</si>
  <si>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</si>
  <si>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</si>
  <si>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</si>
  <si>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</si>
  <si>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</si>
  <si>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</si>
  <si>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</si>
  <si>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</si>
  <si>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</si>
  <si>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</si>
  <si>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</si>
  <si>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</si>
  <si>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</si>
  <si>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</si>
  <si>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</si>
  <si>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</si>
  <si>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</si>
  <si>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</si>
  <si>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</si>
  <si>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</si>
  <si>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</si>
  <si>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</si>
  <si>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</si>
  <si>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</si>
  <si>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</si>
  <si>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</si>
  <si>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</si>
  <si>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</si>
  <si>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</si>
  <si>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</si>
  <si>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</si>
  <si>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</si>
  <si>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</si>
  <si>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</si>
  <si>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</si>
  <si>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</si>
  <si>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</si>
  <si>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</si>
  <si>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</si>
  <si>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</si>
  <si>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</si>
  <si>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</si>
  <si>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</si>
  <si>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</si>
  <si>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</si>
  <si>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</si>
  <si>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</si>
  <si>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</si>
  <si>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</si>
  <si>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</si>
  <si>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</si>
  <si>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</si>
  <si>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</si>
  <si>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</si>
  <si>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</si>
  <si>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</si>
  <si>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</si>
  <si>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</si>
  <si>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</si>
  <si>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</si>
  <si>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</si>
  <si>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</si>
  <si>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</si>
  <si>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</si>
  <si>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</si>
  <si>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</si>
  <si>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</si>
  <si>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</si>
  <si>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</si>
  <si>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</si>
  <si>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</si>
  <si>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</si>
  <si>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</si>
  <si>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</si>
  <si>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</si>
  <si>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</si>
  <si>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</si>
  <si>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</si>
  <si>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</si>
  <si>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</si>
  <si>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</si>
  <si>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</si>
  <si>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</si>
  <si>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</si>
  <si>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</si>
  <si>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</si>
  <si>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</si>
  <si>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</si>
  <si>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</si>
  <si>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</si>
  <si>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</si>
  <si>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</si>
  <si>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</si>
  <si>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</si>
  <si>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</si>
  <si>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</si>
  <si>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</si>
  <si>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</si>
  <si>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</si>
  <si>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</si>
  <si>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</si>
  <si>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</si>
  <si>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</si>
  <si>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</si>
  <si>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</si>
  <si>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</si>
  <si>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</si>
  <si>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</si>
  <si>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</si>
  <si>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</si>
  <si>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</si>
  <si>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</si>
  <si>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</si>
  <si>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</si>
  <si>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</si>
  <si>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</si>
  <si>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</si>
  <si>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</si>
  <si>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</si>
  <si>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</si>
  <si>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</si>
  <si>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</si>
  <si>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</si>
  <si>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</si>
  <si>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</si>
  <si>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</si>
  <si>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</si>
  <si>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</si>
  <si>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</si>
  <si>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</si>
  <si>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</si>
  <si>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</si>
  <si>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</si>
  <si>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</si>
  <si>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</si>
  <si>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</si>
  <si>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</si>
  <si>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</si>
  <si>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</si>
  <si>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</si>
  <si>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</si>
  <si>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</si>
  <si>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</si>
  <si>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</si>
  <si>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</si>
  <si>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</si>
  <si>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</si>
  <si>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</si>
  <si>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</si>
  <si>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</si>
  <si>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</si>
  <si>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</si>
  <si>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</si>
  <si>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</si>
  <si>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</si>
  <si>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</si>
  <si>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</si>
  <si>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</si>
  <si>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</si>
  <si>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</si>
  <si>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</si>
  <si>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</si>
  <si>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</si>
  <si>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</si>
  <si>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</si>
  <si>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</si>
  <si>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</si>
  <si>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</si>
  <si>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</si>
  <si>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</si>
  <si>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</si>
  <si>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</si>
  <si>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</si>
  <si>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</si>
  <si>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</si>
  <si>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</si>
  <si>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</si>
  <si>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</si>
  <si>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</si>
  <si>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</si>
  <si>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</si>
  <si>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</si>
  <si>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</si>
  <si>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</si>
  <si>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</si>
  <si>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</si>
  <si>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</si>
  <si>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</si>
  <si>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</si>
  <si>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</si>
  <si>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</si>
  <si>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</si>
  <si>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</si>
  <si>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</si>
  <si>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</si>
  <si>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</si>
  <si>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</si>
  <si>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</si>
  <si>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</si>
  <si>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</si>
  <si>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</si>
  <si>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</si>
  <si>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</si>
  <si>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</si>
  <si>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</si>
  <si>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</si>
  <si>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</si>
  <si>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</si>
  <si>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</si>
  <si>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</si>
  <si>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</si>
  <si>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</si>
  <si>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</si>
  <si>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</si>
  <si>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</si>
  <si>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</si>
  <si>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</si>
  <si>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</si>
  <si>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</si>
  <si>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</si>
  <si>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</si>
  <si>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</si>
  <si>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</si>
  <si>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</si>
  <si>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</si>
  <si>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</si>
  <si>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</si>
  <si>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</si>
  <si>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</si>
  <si>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</si>
  <si>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</si>
  <si>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</si>
  <si>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</si>
  <si>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</si>
  <si>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</si>
  <si>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</si>
  <si>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</si>
  <si>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</si>
  <si>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</si>
  <si>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</si>
  <si>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</si>
  <si>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</si>
  <si>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</si>
  <si>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</si>
  <si>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</si>
  <si>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</si>
  <si>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</si>
  <si>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</si>
  <si>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</si>
  <si>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要件定義</t>
  </si>
  <si>
    <t>基本設計</t>
  </si>
  <si>
    <t>フェーズ別の残り</t>
  </si>
  <si>
    <t>残り（検討中＋外部待ち）</t>
  </si>
  <si>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</si>
  <si>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</si>
  <si>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</si>
  <si>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</si>
  <si>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</si>
  <si>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</si>
  <si>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</si>
  <si>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</si>
  <si>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</si>
  <si>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</si>
  <si>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</si>
  <si>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</si>
  <si>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</si>
  <si>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</si>
  <si>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</si>
  <si>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</si>
  <si>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</si>
  <si>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</si>
  <si>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</si>
  <si>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</si>
  <si>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</si>
  <si>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</si>
  <si>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</si>
  <si>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</si>
  <si>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</si>
  <si>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</si>
  <si>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</si>
  <si>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</si>
  <si>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</si>
  <si>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</si>
  <si>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</si>
  <si>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</si>
  <si>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</si>
  <si>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</si>
  <si>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</si>
  <si>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</si>
  <si>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</si>
  <si>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</si>
  <si>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</si>
  <si>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</si>
  <si>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</si>
  <si>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</si>
  <si>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</si>
  <si>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</si>
  <si>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</si>
  <si>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</si>
  <si>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</si>
  <si>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</si>
  <si>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</si>
  <si>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</si>
  <si>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</si>
  <si>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</si>
  <si>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</si>
  <si>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</si>
  <si>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</si>
  <si>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</si>
  <si>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</si>
  <si>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</si>
  <si>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</si>
  <si>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</si>
  <si>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</si>
  <si>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</si>
  <si>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</si>
  <si>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</si>
  <si>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</si>
  <si>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</si>
  <si>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</si>
  <si>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</si>
  <si>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</si>
  <si>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</si>
  <si>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</si>
  <si>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</si>
  <si>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</si>
  <si>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</si>
  <si>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</si>
  <si>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</si>
  <si>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</si>
  <si>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</si>
  <si>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</si>
  <si>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</si>
  <si>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</si>
  <si>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</si>
  <si>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</si>
  <si>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</si>
  <si>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</si>
  <si>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</si>
  <si>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</si>
  <si>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</si>
  <si>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</si>
  <si>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</si>
  <si>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</si>
  <si>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</si>
  <si>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</si>
  <si>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</si>
  <si>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</si>
  <si>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</si>
  <si>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</si>
  <si>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</si>
  <si>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</si>
  <si>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</si>
  <si>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</si>
  <si>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</si>
  <si>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</si>
  <si>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</si>
  <si>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</si>
  <si>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</si>
  <si>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</si>
  <si>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</si>
  <si>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</si>
  <si>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</si>
  <si>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</si>
  <si>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</si>
  <si>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</si>
  <si>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</si>
  <si>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</si>
  <si>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</si>
  <si>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</si>
  <si>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</si>
  <si>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</si>
  <si>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</si>
  <si>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</si>
  <si>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</si>
  <si>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</si>
  <si>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</si>
  <si>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</si>
  <si>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</si>
  <si>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</si>
  <si>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</si>
  <si>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</si>
  <si>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</si>
  <si>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</si>
  <si>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</si>
  <si>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</si>
  <si>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</si>
  <si>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</si>
  <si>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</si>
  <si>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</si>
  <si>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</si>
  <si>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</si>
  <si>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</si>
  <si>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</si>
  <si>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</si>
  <si>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</si>
  <si>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</si>
  <si>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</si>
  <si>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</si>
  <si>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</si>
  <si>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</si>
  <si>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</si>
  <si>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</si>
  <si>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</si>
  <si>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</si>
  <si>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</si>
  <si>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</si>
  <si>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</si>
  <si>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</si>
  <si>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</si>
  <si>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旧方式を維持する場合のみ追加</t>
  </si>
  <si>
    <t>旧方式の利用者が再設定なしで移行できる</t>
  </si>
  <si>
    <t>🟡 将来（条件付）</t>
  </si>
  <si>
    <t>§10.4.2</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</si>
  <si>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</si>
  <si>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</si>
  <si>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</si>
  <si>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</si>
  <si>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</si>
  <si>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</si>
  <si>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</si>
  <si>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</si>
  <si>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</si>
  <si>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</si>
  <si>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</si>
  <si>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</si>
  <si>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</si>
  <si>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</si>
  <si>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</si>
  <si>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</si>
  <si>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</si>
  <si>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</si>
  <si>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</si>
  <si>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</si>
  <si>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</si>
  <si>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</si>
  <si>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</si>
  <si>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</si>
  <si>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</si>
  <si>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</si>
  <si>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</si>
  <si>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</si>
  <si>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</si>
  <si>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</si>
  <si>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</si>
  <si>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</si>
  <si>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</si>
  <si>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</si>
  <si>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</si>
  <si>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</si>
  <si>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</si>
  <si>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</si>
  <si>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</si>
  <si>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</si>
  <si>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</si>
  <si>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</si>
  <si>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</si>
  <si>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</si>
  <si>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</si>
  <si>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</si>
  <si>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</si>
  <si>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</si>
  <si>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</si>
  <si>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</si>
  <si>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</si>
  <si>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</si>
  <si>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</si>
  <si>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</si>
  <si>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</si>
  <si>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</si>
  <si>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</si>
  <si>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</si>
  <si>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</si>
  <si>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</si>
  <si>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</si>
  <si>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</si>
  <si>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</si>
  <si>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</si>
  <si>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</si>
  <si>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</si>
  <si>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</si>
  <si>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</si>
  <si>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</si>
  <si>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</si>
  <si>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</si>
  <si>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</si>
  <si>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</si>
  <si>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</si>
  <si>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</si>
  <si>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</si>
  <si>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</si>
  <si>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</si>
  <si>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</si>
  <si>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</si>
  <si>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</si>
  <si>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</si>
  <si>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</si>
  <si>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</si>
  <si>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</si>
  <si>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</si>
  <si>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</si>
  <si>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</si>
  <si>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</si>
  <si>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</si>
  <si>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</si>
  <si>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</si>
  <si>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</si>
  <si>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</si>
  <si>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</si>
  <si>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</si>
  <si>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</si>
  <si>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</si>
  <si>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</si>
  <si>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</si>
  <si>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</si>
  <si>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</si>
  <si>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</si>
  <si>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</si>
  <si>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</si>
  <si>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</si>
  <si>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</si>
  <si>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</si>
  <si>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</si>
  <si>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</si>
  <si>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</si>
  <si>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</si>
  <si>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</si>
  <si>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</si>
  <si>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</si>
  <si>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</si>
  <si>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</si>
  <si>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</si>
  <si>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</si>
  <si>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</si>
  <si>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</si>
  <si>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</si>
  <si>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</si>
  <si>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</si>
  <si>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</si>
  <si>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</si>
  <si>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</si>
  <si>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</si>
  <si>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</si>
  <si>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</si>
  <si>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</si>
  <si>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</si>
  <si>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</si>
  <si>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</si>
  <si>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</si>
  <si>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</si>
  <si>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</si>
  <si>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</si>
  <si>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</si>
  <si>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</si>
  <si>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</si>
  <si>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</si>
  <si>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</si>
  <si>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</si>
  <si>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</si>
  <si>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</si>
  <si>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</si>
  <si>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</si>
  <si>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</si>
  <si>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</si>
  <si>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</si>
  <si>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</si>
  <si>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</si>
  <si>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</si>
  <si>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</si>
  <si>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</si>
  <si>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</si>
  <si>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</si>
  <si>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</si>
  <si>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</si>
  <si>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</si>
  <si>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</si>
  <si>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</si>
  <si>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</si>
  <si>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</si>
  <si>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</si>
  <si>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</si>
  <si>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</si>
  <si>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</si>
  <si>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</si>
  <si>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</si>
  <si>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</si>
  <si>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</si>
  <si>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</si>
  <si>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</si>
  <si>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</si>
  <si>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</si>
  <si>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</si>
  <si>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</si>
  <si>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</si>
  <si>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</si>
  <si>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</si>
  <si>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</si>
  <si>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</si>
  <si>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</si>
  <si>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</si>
  <si>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</si>
  <si>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</si>
  <si>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</si>
  <si>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</si>
  <si>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</si>
  <si>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</si>
  <si>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</si>
  <si>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</si>
  <si>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</si>
  <si>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</si>
  <si>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</si>
  <si>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</si>
  <si>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</si>
  <si>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</si>
  <si>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</si>
  <si>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</si>
  <si>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</si>
  <si>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</si>
  <si>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</si>
  <si>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</si>
  <si>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</si>
  <si>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</si>
  <si>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</si>
  <si>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</si>
  <si>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</si>
  <si>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</si>
  <si>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</si>
  <si>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</si>
  <si>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</si>
  <si>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</si>
  <si>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</si>
  <si>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</si>
  <si>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</si>
  <si>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</si>
  <si>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</si>
  <si>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</si>
  <si>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</si>
  <si>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</si>
  <si>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</si>
  <si>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</si>
  <si>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</si>
  <si>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ADR-063。仲介は共有1つとし、権限系・ID対応表・射影はブランド側に配置。仲介は権限系を持たない。今回は1ブランドで、物理的なブランド別分割は将来。不変条件4点（識別子はグローバルに安定／ブランド識別子を一級キー／ブランド跨ぎの結合を作らない／仲介は共有関心のみ）。★先行判断=単一領域かブランド別領域かをU2・U6の着手前に確定する必要がある。影響=U2/U3/U6/U9</t>
  </si>
  <si>
    <t>方針は確定済み。ただし着手前の先行判断が残る</t>
  </si>
  <si>
    <t>ブランド隔離の単位</t>
  </si>
  <si>
    <t>P-BRAND-1</t>
  </si>
  <si>
    <t>adr/063-brand-unit-architecture.md</t>
  </si>
  <si>
    <t>管理コントロールプレーン（利用者管理API）をクラスタ常駐にするか関数実行にするか。認証製品の管理APIへの到達方式をどうするか</t>
  </si>
  <si>
    <t>管理APIの実行形態と到達方式</t>
  </si>
  <si>
    <t>ADR-062。管理APIは関数実行で確定。決め手は認証製品（最優先）と管理ツール（次位）を別の障害ドメインに分離すること。入口はAPI入口サービスのネイティブ統合、認証製品の管理APIへは内部限定の接続点（インターネット非露出＋通信元をSG限定＋通信暗号化＋アプリ層認証）。ブランド側を主役とし、中央には影ユーザ制御のみを置く（ADR-063）。残論点=内部接続点の証明書基盤、最小権限クライアント、起動遅延の緩和。影響=U6/U7/U9/U10</t>
  </si>
  <si>
    <t>方針は確定済み。実装面の残論点3点あり</t>
  </si>
  <si>
    <t>管理コントロールプレーン</t>
  </si>
  <si>
    <t>D-IDMAPI-1</t>
  </si>
  <si>
    <t>adr/062-idm-api-execution-form-lambda.md</t>
  </si>
  <si>
    <t>利用者の無効化（削除）を仲介側の影ユーザへどう確実に伝播させるか。再有効化も同じ確実さで対称に扱うか</t>
  </si>
  <si>
    <t>無効化の影ユーザへの確実な伝播</t>
  </si>
  <si>
    <t>ADR-064。自社受け皿側の停止処理をトリガーに、同一トランザクションで送信記録を書き、必達の中継を経て中央の影ユーザ制御が仲介側を無効化する（無効化＋発行時刻以前の無効化＋セッション取消）。数分間隔で突合。再有効化も対称に扱う（復活すれば影ユーザも有効化）。顧客側ID基盤の利用者は自動同期の削除要求または90日休眠バッチで処理。今回は停止処理までで、物理削除は次段階。影響=U3/U8/U9</t>
  </si>
  <si>
    <t>削除・停止の伝播</t>
  </si>
  <si>
    <t>D-DEPROV-1</t>
  </si>
  <si>
    <t>adr/064-deprovisioning-propagation-outbox.md</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</si>
  <si>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</si>
  <si>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</si>
  <si>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</si>
  <si>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顧客・監査人の要求水準の確認待ち</t>
  </si>
  <si>
    <t>管理操作ログ</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</si>
  <si>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</si>
  <si>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</si>
  <si>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</si>
  <si>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Should｜Cognito=AdminDeleteUser / Keycloak=Cascade Delete。PoC未検証。【2026-08 決定を反映】削除の伝播は取りこぼし防止方式で必達（ADR-064、D-DEPROV-1）。再有効化も対称に扱う</t>
  </si>
  <si>
    <t>(TBD)｜Cognito=AdminDeleteUser / Keycloak=Cascade Delete。基本設計は3段階削除。【2026-08 決定を反映】削除の伝播は取りこぼし防止方式で必達（ADR-064、D-DEPROV-1）。再有効化も対称に扱う</t>
  </si>
  <si>
    <t>検討4人日。削除連鎖=L1 Soft Delete→SAML拒否でL2遮断・sys_user残置。依存=B-SN群（暫定で骨子可）。包含=U10 §10.4, D-U10-06, B-SN-9/10/18/19。【2026-08 決定を反映】削除の伝播は取りこぼし防止方式で必達（ADR-064、D-DEPROV-1）。再有効化も対称に扱う</t>
  </si>
  <si>
    <t>方針は確定済み。サービス間認可の再定義が残る</t>
  </si>
  <si>
    <t>機能要件91＋非機能要件88＋顧客確認16。残りは主に顧客ヒアリング回答待ち</t>
  </si>
  <si>
    <t>前提21＋検証ゲート11＋設計タスク59。基本設計を閉じるまでの残作業</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</si>
  <si>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</si>
  <si>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</si>
  <si>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</si>
  <si>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</si>
  <si>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</si>
  <si>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</si>
  <si>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</si>
  <si>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</si>
  <si>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</si>
  <si>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</si>
  <si>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</si>
  <si>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</si>
  <si>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</si>
  <si>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</si>
  <si>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</si>
  <si>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</si>
  <si>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</si>
  <si>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</si>
  <si>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</si>
  <si>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</si>
  <si>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</si>
  <si>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</si>
  <si>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</si>
  <si>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</si>
  <si>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</si>
  <si>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</si>
  <si>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</si>
  <si>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</si>
  <si>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</si>
  <si>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</si>
  <si>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</si>
  <si>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</si>
  <si>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</si>
  <si>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</si>
  <si>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</si>
  <si>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</si>
  <si>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工程別の工数（3つのWBSシートの合計）</t>
  </si>
  <si>
    <t>明細シート</t>
  </si>
  <si>
    <t>スコープ</t>
  </si>
  <si>
    <t>WBS(基本設計)</t>
  </si>
  <si>
    <t>設計を閉じるための調査・検討。DUに配分しない横断作業で大半が進行中</t>
  </si>
  <si>
    <t>WBS(詳細設計_製造)</t>
  </si>
  <si>
    <t>DU単位。1,044×40%。コード管理・設定・文書系は③とほぼ同一作業</t>
  </si>
  <si>
    <t>DU単位。1,044×60%。独自機能・アプリ系は③が厚め</t>
  </si>
  <si>
    <t>WBS(テスト)</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</si>
  <si>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</si>
  <si>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</si>
  <si>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</si>
  <si>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</si>
  <si>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</si>
  <si>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</si>
  <si>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</si>
  <si>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</si>
  <si>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</si>
  <si>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</si>
  <si>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</si>
  <si>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</si>
  <si>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</si>
  <si>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</si>
  <si>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</si>
  <si>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</si>
  <si>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</si>
  <si>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</si>
  <si>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</si>
  <si>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</si>
  <si>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</si>
  <si>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</si>
  <si>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</si>
  <si>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</si>
  <si>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</si>
  <si>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</si>
  <si>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</si>
  <si>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</si>
  <si>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</si>
  <si>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</si>
  <si>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</si>
  <si>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</si>
  <si>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</si>
  <si>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</si>
  <si>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</si>
  <si>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</si>
  <si>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</si>
  <si>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</si>
  <si>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</si>
  <si>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</si>
  <si>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</si>
  <si>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</si>
  <si>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</si>
  <si>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</si>
  <si>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</si>
  <si>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</si>
  <si>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</si>
  <si>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</si>
  <si>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</si>
  <si>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</si>
  <si>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</si>
  <si>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</si>
  <si>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</si>
  <si>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</si>
  <si>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</si>
  <si>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</si>
  <si>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</si>
  <si>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</si>
  <si>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</si>
  <si>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</si>
  <si>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</si>
  <si>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</si>
  <si>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</si>
  <si>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</si>
  <si>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</si>
  <si>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</si>
  <si>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</si>
  <si>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</si>
  <si>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</si>
  <si>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</si>
  <si>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</si>
  <si>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</si>
  <si>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</si>
  <si>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</si>
  <si>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</si>
  <si>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</si>
  <si>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</si>
  <si>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</si>
  <si>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</si>
  <si>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</si>
  <si>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</si>
  <si>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</si>
  <si>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</si>
  <si>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</si>
  <si>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</si>
  <si>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</si>
  <si>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</si>
  <si>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</si>
  <si>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</si>
  <si>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</si>
  <si>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</si>
  <si>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</si>
  <si>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</si>
  <si>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</si>
  <si>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</si>
  <si>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</si>
  <si>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</si>
  <si>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</si>
  <si>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</si>
  <si>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</si>
  <si>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</si>
  <si>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</si>
  <si>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</si>
  <si>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</si>
  <si>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</si>
  <si>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</si>
  <si>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</si>
  <si>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</si>
  <si>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</si>
  <si>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</si>
  <si>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</si>
  <si>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</si>
  <si>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</si>
  <si>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</si>
  <si>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</si>
  <si>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</si>
  <si>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</si>
  <si>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</si>
  <si>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</si>
  <si>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</si>
  <si>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</si>
  <si>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</si>
  <si>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</si>
  <si>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</si>
  <si>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</si>
  <si>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</si>
  <si>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</si>
  <si>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</si>
  <si>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</si>
  <si>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</si>
  <si>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</si>
  <si>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</si>
  <si>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</si>
  <si>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</si>
  <si>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</si>
  <si>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</si>
  <si>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</si>
  <si>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</si>
  <si>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</si>
  <si>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</si>
  <si>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</si>
  <si>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</si>
  <si>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</si>
  <si>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</si>
  <si>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</si>
  <si>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</si>
  <si>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</si>
  <si>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</si>
  <si>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</si>
  <si>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</si>
  <si>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</si>
  <si>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</si>
  <si>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</si>
  <si>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</si>
  <si>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</si>
  <si>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</si>
  <si>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</si>
  <si>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</si>
  <si>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</si>
  <si>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</si>
  <si>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</si>
  <si>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</si>
  <si>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</si>
  <si>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</si>
  <si>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</si>
  <si>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</si>
  <si>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</si>
  <si>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</si>
  <si>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</si>
  <si>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</si>
  <si>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</si>
  <si>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</si>
  <si>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</si>
  <si>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</si>
  <si>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</si>
  <si>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</si>
  <si>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</si>
  <si>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</si>
  <si>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</si>
  <si>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</si>
  <si>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</si>
  <si>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</si>
  <si>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</si>
  <si>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</si>
  <si>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</si>
  <si>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</si>
  <si>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</si>
  <si>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</si>
  <si>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結合・E2E・実機統合・負荷・災害復旧・セキュリティ・運用・受入のフルスコープ。PoCゲートと重複する分もフル再計上（旧200から上方修正）</t>
  </si>
  <si>
    <t>★注意: 00a §6 の「構築＋テスト 325〜455人日」は詳細設計を含まない別スコープの見積り。上記の1,651人日とは別系統のため、二重に足さないこと（比較する場合はどちらか一方に寄せる）</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</si>
  <si>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</si>
  <si>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</si>
  <si>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</si>
  <si>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</si>
  <si>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</si>
  <si>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</si>
  <si>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</si>
  <si>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</si>
  <si>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</si>
  <si>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</si>
  <si>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</si>
  <si>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</si>
  <si>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</si>
  <si>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</si>
  <si>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</si>
  <si>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</si>
  <si>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</si>
  <si>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できるので確定とする</t>
    <rPh sb="5" eb="7">
      <t>カクテイ</t>
    </rPh>
    <phoneticPr fontId="2"/>
  </si>
  <si>
    <t>スコープ外とする（本認証基盤ではなくアプリで実施）</t>
    <rPh sb="4" eb="5">
      <t xml:space="preserve">ガイ </t>
    </rPh>
    <rPh sb="12" eb="14">
      <t>ホンニンショウ</t>
    </rPh>
    <phoneticPr fontId="2"/>
  </si>
  <si>
    <t>ヒアリングが必要（アプリチームに対して）</t>
    <phoneticPr fontId="2"/>
  </si>
  <si>
    <t>不要</t>
    <rPh sb="0" eb="2">
      <t>フヨウ</t>
    </rPh>
    <phoneticPr fontId="2"/>
  </si>
  <si>
    <t>決まってるのでOK</t>
    <rPh sb="0" eb="1">
      <t>キマッテ</t>
    </rPh>
    <phoneticPr fontId="2"/>
  </si>
  <si>
    <t>ヒアリングが必要（顧客に対して）</t>
  </si>
  <si>
    <t>ヒアリングが必要（顧客に対して）</t>
    <rPh sb="9" eb="11">
      <t>コキャク</t>
    </rPh>
    <phoneticPr fontId="2"/>
  </si>
  <si>
    <t>ヒアリングが必要（顧客に対して）</t>
    <phoneticPr fontId="2"/>
  </si>
  <si>
    <t>別途資料で説明してヒアリング</t>
  </si>
  <si>
    <t>別途資料で説明してヒアリング</t>
    <rPh sb="2" eb="4">
      <t>ベット</t>
    </rPh>
    <phoneticPr fontId="2"/>
  </si>
  <si>
    <t>不要で確定</t>
    <rPh sb="0" eb="2">
      <t>フヨウ</t>
    </rPh>
    <phoneticPr fontId="2"/>
  </si>
  <si>
    <t>ヒアリングが必要（顧客に対して）</t>
    <rPh sb="5" eb="7">
      <t>トウゴウ</t>
    </rPh>
    <phoneticPr fontId="2"/>
  </si>
  <si>
    <t>JITとSCIM併用（意図が違ったら指摘して）</t>
    <rPh sb="8" eb="10">
      <t>ヘイヨウ</t>
    </rPh>
    <rPh sb="11" eb="13">
      <t>イトガチガテ</t>
    </rPh>
    <phoneticPr fontId="2"/>
  </si>
  <si>
    <t>統一JWTの形式の話であればようヒアリング</t>
    <rPh sb="0" eb="2">
      <t>トウイテゥ</t>
    </rPh>
    <rPh sb="6" eb="8">
      <t>ノケイシキ</t>
    </rPh>
    <phoneticPr fontId="2"/>
  </si>
  <si>
    <t>Must｜Cognito=個別実装 / Keycloak=Conditional OTP。PoC Phase 7（Keycloakのみ）。MFA責務は外部IdP側に寄せる方針(ADR-009)</t>
    <phoneticPr fontId="2"/>
  </si>
  <si>
    <t>OKで確定</t>
    <phoneticPr fontId="2"/>
  </si>
  <si>
    <t>不要で確定</t>
    <rPh sb="0" eb="2">
      <t>フヨウ</t>
    </rPh>
    <rPh sb="3" eb="4">
      <t>カクテイ</t>
    </rPh>
    <phoneticPr fontId="2"/>
  </si>
  <si>
    <t>必要</t>
    <rPh sb="0" eb="2">
      <t>ヒツヨウ</t>
    </rPh>
    <phoneticPr fontId="2"/>
  </si>
  <si>
    <t>確定</t>
    <rPh sb="0" eb="2">
      <t>カクテイ</t>
    </rPh>
    <phoneticPr fontId="2"/>
  </si>
  <si>
    <t>何言ってるか解説して</t>
    <rPh sb="0" eb="2">
      <t>ナニイテ</t>
    </rPh>
    <phoneticPr fontId="2"/>
  </si>
  <si>
    <t>あったとしてもアプリが判断するので対応しない</t>
    <rPh sb="11" eb="13">
      <t>ハンダn</t>
    </rPh>
    <rPh sb="17" eb="19">
      <t>タイオウ</t>
    </rPh>
    <phoneticPr fontId="2"/>
  </si>
  <si>
    <t>役割分担で決定するが未定</t>
    <rPh sb="2" eb="4">
      <t>ヤクワリ</t>
    </rPh>
    <phoneticPr fontId="2"/>
  </si>
  <si>
    <t>無効化するはずなのでその復旧をすればいい認識</t>
    <rPh sb="12" eb="14">
      <t>ムコウ</t>
    </rPh>
    <phoneticPr fontId="2"/>
  </si>
  <si>
    <t>あるで確定</t>
    <phoneticPr fontId="2"/>
  </si>
  <si>
    <t>SCIMとJIT併用で決定</t>
    <rPh sb="8" eb="10">
      <t>ヘイヨウ</t>
    </rPh>
    <phoneticPr fontId="2"/>
  </si>
  <si>
    <t>これで良い</t>
    <phoneticPr fontId="2"/>
  </si>
  <si>
    <t>Must｜Cognito=AWS Console / Keycloak=Admin Console。PoC Phase 6検証済</t>
    <phoneticPr fontId="2"/>
  </si>
  <si>
    <t>Must｜両者Console/Terraform対応。PoC Phase 2,5,7検証済</t>
    <phoneticPr fontId="2"/>
  </si>
  <si>
    <t>Must｜Cognito=App Client / Keycloak=Client。PoC検証済</t>
    <phoneticPr fontId="2"/>
  </si>
  <si>
    <t>Realm分離はしない。Organizationsで分離</t>
    <rPh sb="5" eb="7">
      <t>ブンリ</t>
    </rPh>
    <phoneticPr fontId="2"/>
  </si>
  <si>
    <t>管理画面の操作権限をどこまで分ける必要があるか</t>
    <phoneticPr fontId="2"/>
  </si>
  <si>
    <t>Should｜Cognito=AWS IAM必要 / Keycloak=Realm-level Admin。未検証</t>
    <phoneticPr fontId="2"/>
  </si>
  <si>
    <t>Must｜Cognito=IAM / Keycloak=Realm Admin Roles。PoCはデフォルト</t>
    <phoneticPr fontId="2"/>
  </si>
  <si>
    <t>OIDCで良い</t>
    <phoneticPr fontId="2"/>
  </si>
  <si>
    <t>.well-knownの話であれば必要</t>
    <phoneticPr fontId="2"/>
  </si>
  <si>
    <t>IdPへの通信でSAMLは想定しているがアプリがわとブローカーの通信はOIDC</t>
    <rPh sb="13" eb="15">
      <t>ソウテイ</t>
    </rPh>
    <phoneticPr fontId="2"/>
  </si>
  <si>
    <t>JWKSのエンドポイントの話であれば公開は必要。（APIGWのネイティブが外出しなので</t>
    <rPh sb="18" eb="20">
      <t>コウカ</t>
    </rPh>
    <phoneticPr fontId="2"/>
  </si>
  <si>
    <t>記載通り確定</t>
    <rPh sb="0" eb="3">
      <t>キサイ</t>
    </rPh>
    <phoneticPr fontId="2"/>
  </si>
  <si>
    <t>なしで確定</t>
    <phoneticPr fontId="2"/>
  </si>
  <si>
    <t>必須で確定</t>
    <rPh sb="0" eb="2">
      <t>ヒッス</t>
    </rPh>
    <phoneticPr fontId="2"/>
  </si>
  <si>
    <t>Webhookイベント通知（user.created等）</t>
    <phoneticPr fontId="2"/>
  </si>
  <si>
    <t>記載通りの方法で確定だが、IdP側の専用アプリ（誰が作るか未定）でラップして公開</t>
    <rPh sb="0" eb="3">
      <t>キサイ</t>
    </rPh>
    <rPh sb="3" eb="4">
      <t>リn</t>
    </rPh>
    <rPh sb="5" eb="7">
      <t>ホウ</t>
    </rPh>
    <rPh sb="8" eb="10">
      <t>カクテイ</t>
    </rPh>
    <rPh sb="18" eb="20">
      <t>センヨウ</t>
    </rPh>
    <rPh sb="24" eb="25">
      <t>ダレ</t>
    </rPh>
    <phoneticPr fontId="2"/>
  </si>
  <si>
    <t>別途資料で説明してヒアリング。認証基盤からアプリに何か通知が必要か。必要な場合は作り込みが必要</t>
    <rPh sb="15" eb="19">
      <t>ニンショウ</t>
    </rPh>
    <rPh sb="25" eb="26">
      <t>アプリニナニ</t>
    </rPh>
    <rPh sb="34" eb="36">
      <t>ヒツヨウ</t>
    </rPh>
    <rPh sb="40" eb="41">
      <t>ツクリ</t>
    </rPh>
    <phoneticPr fontId="2"/>
  </si>
  <si>
    <t>なるべくやりたいがどのようにするかは検討</t>
    <phoneticPr fontId="2"/>
  </si>
  <si>
    <t>結局レスポンスの性能なので意味ないと思う</t>
    <rPh sb="0" eb="2">
      <t>ケッキョク</t>
    </rPh>
    <rPh sb="8" eb="10">
      <t>レスポンスノセイノウ</t>
    </rPh>
    <phoneticPr fontId="2"/>
  </si>
  <si>
    <t>Keycloakだとどうなるか不明</t>
    <rPh sb="15" eb="17">
      <t>フメイ</t>
    </rPh>
    <phoneticPr fontId="2"/>
  </si>
  <si>
    <t>アプリ対応と基盤のTTLと合わせないとダメなので要確認</t>
    <rPh sb="6" eb="8">
      <t>キバンノ</t>
    </rPh>
    <phoneticPr fontId="2"/>
  </si>
  <si>
    <t>設計で対応</t>
    <rPh sb="0" eb="2">
      <t>セッケイ</t>
    </rPh>
    <phoneticPr fontId="2"/>
  </si>
  <si>
    <t>(D)TLS 1.2+｜Cognito=AWS強制 / Keycloak=ACM+ALB設定要</t>
    <phoneticPr fontId="2"/>
  </si>
  <si>
    <t>必須で確定</t>
    <rPh sb="0" eb="1">
      <t>ヒッスデク</t>
    </rPh>
    <phoneticPr fontId="2"/>
  </si>
  <si>
    <t>内部で確認</t>
    <rPh sb="0" eb="2">
      <t>ナイブ</t>
    </rPh>
    <phoneticPr fontId="2"/>
  </si>
  <si>
    <t>ネットワーク監査アカウントで必須で確定</t>
    <rPh sb="6" eb="8">
      <t>ネットワークカンサ</t>
    </rPh>
    <phoneticPr fontId="2"/>
  </si>
  <si>
    <t>admin封鎖で確定</t>
    <rPh sb="5" eb="7">
      <t>フウサ</t>
    </rPh>
    <phoneticPr fontId="2"/>
  </si>
  <si>
    <t>確定でOK</t>
    <rPh sb="0" eb="2">
      <t>カクテイ</t>
    </rPh>
    <phoneticPr fontId="2"/>
  </si>
  <si>
    <t>(D)必須｜Cognito=User Pool別リージョン / Keycloak=Aurora Cross-Region Replica。基本設計でRealm Export全廃→復元2経路に変更</t>
    <phoneticPr fontId="2"/>
  </si>
  <si>
    <t>方向性確定（条件付き）</t>
    <phoneticPr fontId="2"/>
  </si>
  <si>
    <t>顧客追加の作業を何営業日で完了させるか</t>
    <phoneticPr fontId="2"/>
  </si>
  <si>
    <t>別途資料で説明してヒアリング(HCPが問題である。海外の越境</t>
    <rPh sb="25" eb="27">
      <t>カイガイ</t>
    </rPh>
    <phoneticPr fontId="2"/>
  </si>
  <si>
    <t>GDPR / CCPA（海外展開時）</t>
    <phoneticPr fontId="2"/>
  </si>
  <si>
    <t>不要の認識だが改めてヒアリング</t>
    <rPh sb="0" eb="2">
      <t>フヨウノン</t>
    </rPh>
    <phoneticPr fontId="2"/>
  </si>
  <si>
    <t>国内限定だが、HCPは別になるかも？</t>
    <rPh sb="0" eb="4">
      <t>コクナイ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</si>
</sst>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80" formatCode="0.0"/>
    <numFmt numFmtId="181" formatCode="#,##0.0"/>
  </numFmts>
  <fonts count="58">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i/>
      <sz val="10"/>
      <color rgb="FFFF0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808080"/>
      <name val="Meiryo UI"/>
      <family val="2"/>
      <charset val="128"/>
    </font>
    <font>
      <sz val="9"/>
      <color theme="1"/>
      <name val="游ゴシック"/>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sz val="8"/>
      <color rgb="FF843C0C"/>
      <name val="Meiryo UI"/>
      <family val="2"/>
      <charset val="128"/>
    </font>
    <font>
      <sz val="8"/>
      <color rgb="FFBFBFBF"/>
      <name val="Meiryo UI"/>
      <family val="2"/>
      <charset val="128"/>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s>
  <fills count="5">
    <fill>
      <patternFill patternType="none"/>
    </fill>
    <fill>
      <patternFill patternType="gray125"/>
    </fill>
    <fill>
      <patternFill patternType="solid">
        <fgColor rgb="FF1F3864"/>
        <bgColor indexed="64"/>
      </patternFill>
    </fill>
    <fill>
      <patternFill patternType="solid">
        <fgColor rgb="FF375623"/>
        <bgColor indexed="64"/>
      </patternFill>
    </fill>
    <fill>
      <patternFill patternType="solid">
        <fgColor rgb="FF7030A0"/>
        <bgColor indexed="64"/>
      </patternFill>
    </fill>
  </fills>
  <borders count="20">
    <border>
      <left/>
      <right/>
      <top/>
      <bottom/>
      <diagonal/>
    </border>
    <border>
      <left/>
      <right style="thin">
        <color auto="1"/>
      </right>
      <top style="thin">
        <color rgb="FFD9D9D9"/>
      </top>
      <bottom style="thin">
        <color rgb="FFD9D9D9"/>
      </bottom>
      <diagonal/>
    </border>
    <border>
      <left style="thin">
        <color auto="1"/>
      </left>
      <right style="thin">
        <color auto="1"/>
      </right>
      <top style="thin">
        <color rgb="FFD9D9D9"/>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right style="thin">
        <color auto="1"/>
      </right>
      <top style="thin">
        <color auto="1"/>
      </top>
      <bottom style="thin">
        <color rgb="FFD9D9D9"/>
      </bottom>
      <diagonal/>
    </border>
    <border>
      <left/>
      <right style="thin">
        <color auto="1"/>
      </right>
      <top style="thin">
        <color rgb="FFD9D9D9"/>
      </top>
      <bottom style="thin">
        <color auto="1"/>
      </bottom>
      <diagonal/>
    </border>
    <border>
      <left style="thin">
        <color auto="1"/>
      </left>
      <right style="thin">
        <color auto="1"/>
      </right>
      <top style="thin">
        <color auto="1"/>
      </top>
      <bottom style="thin">
        <color rgb="FFD9D9D9"/>
      </bottom>
      <diagonal/>
    </border>
    <border>
      <left style="thin">
        <color auto="1"/>
      </left>
      <right style="thin">
        <color auto="1"/>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20">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5" xfId="0" applyFont="1" applyBorder="1" applyAlignment="1">
      <alignment vertical="top"/>
    </xf>
    <xf numFmtId="0" fontId="3" fillId="0" borderId="6" xfId="0" applyFont="1" applyBorder="1" applyAlignment="1">
      <alignment vertical="top"/>
    </xf>
    <xf numFmtId="0" fontId="3" fillId="0" borderId="9" xfId="0" applyFont="1" applyBorder="1" applyAlignment="1">
      <alignment vertical="top"/>
    </xf>
    <xf numFmtId="0" fontId="3" fillId="0" borderId="10" xfId="0" applyFont="1" applyBorder="1" applyAlignment="1">
      <alignment vertical="top"/>
    </xf>
    <xf numFmtId="0" fontId="6" fillId="2" borderId="12" xfId="0" applyFont="1" applyFill="1" applyBorder="1" applyAlignment="1">
      <alignment horizontal="center" vertical="top"/>
    </xf>
    <xf numFmtId="0" fontId="6" fillId="2" borderId="13" xfId="0" applyFont="1" applyFill="1" applyBorder="1" applyAlignment="1">
      <alignment horizontal="center" vertical="top"/>
    </xf>
    <xf numFmtId="0" fontId="6" fillId="2" borderId="14" xfId="0" applyFont="1" applyFill="1" applyBorder="1" applyAlignment="1">
      <alignment horizontal="center" vertical="top"/>
    </xf>
    <xf numFmtId="0" fontId="3" fillId="0" borderId="6" xfId="0" applyFont="1" applyBorder="1" applyAlignment="1">
      <alignment horizontal="center" vertical="top"/>
    </xf>
    <xf numFmtId="0" fontId="3" fillId="0" borderId="10" xfId="0" applyFont="1" applyBorder="1" applyAlignment="1">
      <alignment horizontal="center" vertical="top"/>
    </xf>
    <xf numFmtId="0" fontId="8" fillId="0" borderId="7" xfId="0" applyFont="1" applyBorder="1" applyAlignment="1">
      <alignment vertical="top"/>
    </xf>
    <xf numFmtId="0" fontId="8" fillId="0" borderId="11" xfId="0" applyFont="1" applyBorder="1" applyAlignment="1">
      <alignment vertical="top"/>
    </xf>
    <xf numFmtId="0" fontId="13" fillId="0" borderId="0" xfId="0" applyFont="1">
      <alignment vertical="center"/>
    </xf>
    <xf numFmtId="0" fontId="7" fillId="2" borderId="12" xfId="0" applyFont="1" applyFill="1" applyBorder="1" applyAlignment="1">
      <alignment horizontal="center" vertical="center"/>
    </xf>
    <xf numFmtId="0" fontId="7" fillId="2" borderId="13" xfId="0" applyFont="1" applyFill="1" applyBorder="1" applyAlignment="1">
      <alignment horizontal="center" vertical="center"/>
    </xf>
    <xf numFmtId="0" fontId="7" fillId="2" borderId="14" xfId="0" applyFont="1" applyFill="1" applyBorder="1" applyAlignment="1">
      <alignment horizontal="center" vertical="center"/>
    </xf>
    <xf numFmtId="0" fontId="6" fillId="2" borderId="12" xfId="0" applyFont="1" applyFill="1" applyBorder="1" applyAlignment="1">
      <alignment horizontal="center" vertical="center"/>
    </xf>
    <xf numFmtId="0" fontId="6" fillId="2" borderId="13" xfId="0" applyFont="1" applyFill="1" applyBorder="1" applyAlignment="1">
      <alignment horizontal="center" vertical="center"/>
    </xf>
    <xf numFmtId="0" fontId="6" fillId="2" borderId="14" xfId="0" applyFont="1" applyFill="1" applyBorder="1" applyAlignment="1">
      <alignment horizontal="center" vertical="center"/>
    </xf>
    <xf numFmtId="0" fontId="3" fillId="0" borderId="5" xfId="0" applyFont="1" applyBorder="1">
      <alignment vertical="center"/>
    </xf>
    <xf numFmtId="0" fontId="3" fillId="0" borderId="6" xfId="0" applyFont="1" applyBorder="1">
      <alignment vertical="center"/>
    </xf>
    <xf numFmtId="0" fontId="4" fillId="0" borderId="9" xfId="0" applyFont="1" applyBorder="1">
      <alignment vertical="center"/>
    </xf>
    <xf numFmtId="0" fontId="4" fillId="0" borderId="10" xfId="0" applyFont="1" applyBorder="1">
      <alignment vertical="center"/>
    </xf>
    <xf numFmtId="0" fontId="3" fillId="0" borderId="9" xfId="0" applyFont="1" applyBorder="1">
      <alignment vertical="center"/>
    </xf>
    <xf numFmtId="0" fontId="3" fillId="0" borderId="7" xfId="0" applyFont="1" applyBorder="1">
      <alignment vertical="center"/>
    </xf>
    <xf numFmtId="0" fontId="3" fillId="0" borderId="11" xfId="0" applyFont="1" applyBorder="1">
      <alignment vertical="center"/>
    </xf>
    <xf numFmtId="0" fontId="3" fillId="0" borderId="6" xfId="0" applyFont="1" applyBorder="1" applyAlignment="1">
      <alignment horizontal="center" vertical="center"/>
    </xf>
    <xf numFmtId="0" fontId="4" fillId="0" borderId="10"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2" xfId="0" applyFont="1" applyFill="1" applyBorder="1" applyAlignment="1">
      <alignment horizontal="center" vertical="center"/>
    </xf>
    <xf numFmtId="0" fontId="19" fillId="2" borderId="13" xfId="0" applyFont="1" applyFill="1" applyBorder="1" applyAlignment="1">
      <alignment horizontal="center" vertical="center"/>
    </xf>
    <xf numFmtId="0" fontId="19" fillId="2" borderId="14" xfId="0" applyFont="1" applyFill="1" applyBorder="1" applyAlignment="1">
      <alignment horizontal="center" vertical="center"/>
    </xf>
    <xf numFmtId="0" fontId="20" fillId="0" borderId="6" xfId="0" applyFont="1" applyBorder="1" applyAlignment="1">
      <alignment vertical="top"/>
    </xf>
    <xf numFmtId="0" fontId="20" fillId="0" borderId="6" xfId="0" applyFont="1" applyBorder="1" applyAlignment="1">
      <alignment horizontal="left" vertical="top"/>
    </xf>
    <xf numFmtId="0" fontId="20" fillId="0" borderId="6" xfId="0" applyFont="1" applyBorder="1" applyAlignment="1">
      <alignment horizontal="center" vertical="top"/>
    </xf>
    <xf numFmtId="0" fontId="21" fillId="0" borderId="7" xfId="0" applyFont="1" applyBorder="1" applyAlignment="1">
      <alignment vertical="top"/>
    </xf>
    <xf numFmtId="0" fontId="20" fillId="0" borderId="10" xfId="0" applyFont="1" applyBorder="1" applyAlignment="1">
      <alignment vertical="top"/>
    </xf>
    <xf numFmtId="0" fontId="20" fillId="0" borderId="10" xfId="0" applyFont="1" applyBorder="1" applyAlignment="1">
      <alignment horizontal="left" vertical="top"/>
    </xf>
    <xf numFmtId="0" fontId="20" fillId="0" borderId="10" xfId="0" applyFont="1" applyBorder="1" applyAlignment="1">
      <alignment horizontal="center" vertical="top"/>
    </xf>
    <xf numFmtId="0" fontId="21" fillId="0" borderId="11" xfId="0" applyFont="1" applyBorder="1" applyAlignment="1">
      <alignment vertical="top"/>
    </xf>
    <xf numFmtId="0" fontId="20" fillId="0" borderId="6" xfId="0" applyFont="1" applyBorder="1" applyAlignment="1">
      <alignment vertical="top" wrapText="1"/>
    </xf>
    <xf numFmtId="0" fontId="20" fillId="0" borderId="10" xfId="0" applyFont="1" applyBorder="1" applyAlignment="1">
      <alignment vertical="top" wrapText="1"/>
    </xf>
    <xf numFmtId="0" fontId="26" fillId="0" borderId="0" xfId="0" applyFont="1">
      <alignment vertical="center"/>
    </xf>
    <xf numFmtId="0" fontId="11" fillId="0" borderId="0" xfId="0" applyFont="1">
      <alignment vertical="center"/>
    </xf>
    <xf numFmtId="0" fontId="4" fillId="0" borderId="5" xfId="0" applyFont="1" applyBorder="1" applyAlignment="1">
      <alignment vertical="top"/>
    </xf>
    <xf numFmtId="0" fontId="4" fillId="0" borderId="9" xfId="0" applyFont="1" applyBorder="1" applyAlignment="1">
      <alignment vertical="top"/>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2" xfId="0" applyFont="1" applyFill="1" applyBorder="1" applyAlignment="1">
      <alignment horizontal="center" vertical="center"/>
    </xf>
    <xf numFmtId="0" fontId="28" fillId="2" borderId="13" xfId="0" applyFont="1" applyFill="1" applyBorder="1" applyAlignment="1">
      <alignment horizontal="center" vertical="center"/>
    </xf>
    <xf numFmtId="0" fontId="28" fillId="2" borderId="14" xfId="0" applyFont="1" applyFill="1" applyBorder="1" applyAlignment="1">
      <alignment horizontal="center" vertical="center"/>
    </xf>
    <xf numFmtId="0" fontId="16" fillId="0" borderId="5" xfId="0" applyFont="1" applyBorder="1" applyAlignment="1">
      <alignment vertical="top"/>
    </xf>
    <xf numFmtId="0" fontId="16" fillId="0" borderId="9" xfId="0" applyFont="1" applyBorder="1" applyAlignment="1">
      <alignment vertical="top"/>
    </xf>
    <xf numFmtId="0" fontId="24" fillId="0" borderId="0" xfId="0" applyFont="1">
      <alignment vertical="center"/>
    </xf>
    <xf numFmtId="0" fontId="31"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2" fillId="0" borderId="5" xfId="0" applyFont="1" applyBorder="1" applyAlignment="1">
      <alignment vertical="top"/>
    </xf>
    <xf numFmtId="0" fontId="32" fillId="0" borderId="6" xfId="0" applyFont="1" applyBorder="1" applyAlignment="1">
      <alignment vertical="top"/>
    </xf>
    <xf numFmtId="0" fontId="32" fillId="0" borderId="6" xfId="0" applyFont="1" applyBorder="1" applyAlignment="1">
      <alignment vertical="top" wrapText="1"/>
    </xf>
    <xf numFmtId="0" fontId="32" fillId="0" borderId="6" xfId="0" applyFont="1" applyBorder="1" applyAlignment="1">
      <alignment horizontal="center" vertical="top"/>
    </xf>
    <xf numFmtId="0" fontId="32" fillId="0" borderId="9" xfId="0" applyFont="1" applyBorder="1" applyAlignment="1">
      <alignment vertical="top"/>
    </xf>
    <xf numFmtId="0" fontId="32" fillId="0" borderId="10" xfId="0" applyFont="1" applyBorder="1" applyAlignment="1">
      <alignment vertical="top"/>
    </xf>
    <xf numFmtId="0" fontId="32" fillId="0" borderId="10" xfId="0" applyFont="1" applyBorder="1" applyAlignment="1">
      <alignment vertical="top" wrapText="1"/>
    </xf>
    <xf numFmtId="0" fontId="32" fillId="0" borderId="10" xfId="0" applyFont="1" applyBorder="1" applyAlignment="1">
      <alignment horizontal="center" vertical="top"/>
    </xf>
    <xf numFmtId="0" fontId="31" fillId="0" borderId="5" xfId="0" applyFont="1" applyBorder="1" applyAlignment="1">
      <alignment vertical="top"/>
    </xf>
    <xf numFmtId="0" fontId="31" fillId="0" borderId="9" xfId="0" applyFont="1" applyBorder="1" applyAlignment="1">
      <alignment vertical="top"/>
    </xf>
    <xf numFmtId="0" fontId="36" fillId="0" borderId="0" xfId="0" applyFont="1">
      <alignment vertical="center"/>
    </xf>
    <xf numFmtId="0" fontId="32" fillId="0" borderId="7" xfId="0" applyFont="1" applyBorder="1" applyAlignment="1">
      <alignment vertical="top"/>
    </xf>
    <xf numFmtId="0" fontId="32" fillId="0" borderId="11" xfId="0" applyFont="1" applyBorder="1" applyAlignment="1">
      <alignment vertical="top"/>
    </xf>
    <xf numFmtId="0" fontId="28" fillId="2" borderId="12" xfId="0" applyFont="1" applyFill="1" applyBorder="1" applyAlignment="1">
      <alignment horizontal="center" vertical="top"/>
    </xf>
    <xf numFmtId="0" fontId="28" fillId="2" borderId="13" xfId="0" applyFont="1" applyFill="1" applyBorder="1" applyAlignment="1">
      <alignment horizontal="center" vertical="top"/>
    </xf>
    <xf numFmtId="0" fontId="35" fillId="0" borderId="0" xfId="0" applyFont="1">
      <alignment vertical="center"/>
    </xf>
    <xf numFmtId="0" fontId="19" fillId="2" borderId="12" xfId="0" applyFont="1" applyFill="1" applyBorder="1" applyAlignment="1">
      <alignment horizontal="center" vertical="top"/>
    </xf>
    <xf numFmtId="0" fontId="19" fillId="2" borderId="13" xfId="0" applyFont="1" applyFill="1" applyBorder="1" applyAlignment="1">
      <alignment horizontal="center" vertical="top"/>
    </xf>
    <xf numFmtId="0" fontId="19" fillId="2" borderId="14" xfId="0" applyFont="1" applyFill="1" applyBorder="1" applyAlignment="1">
      <alignment horizontal="center" vertical="top"/>
    </xf>
    <xf numFmtId="0" fontId="29" fillId="0" borderId="0" xfId="0" applyFont="1">
      <alignment vertical="center"/>
    </xf>
    <xf numFmtId="0" fontId="20" fillId="0" borderId="5" xfId="0" applyFont="1" applyBorder="1">
      <alignment vertical="center"/>
    </xf>
    <xf numFmtId="0" fontId="20" fillId="0" borderId="6" xfId="0" applyFont="1" applyBorder="1" applyAlignment="1">
      <alignment horizontal="center" vertical="center"/>
    </xf>
    <xf numFmtId="0" fontId="16" fillId="0" borderId="9" xfId="0" applyFont="1" applyBorder="1">
      <alignment vertical="center"/>
    </xf>
    <xf numFmtId="0" fontId="16" fillId="0" borderId="10" xfId="0" applyFont="1" applyBorder="1" applyAlignment="1">
      <alignment horizontal="center" vertical="center"/>
    </xf>
    <xf numFmtId="0" fontId="20" fillId="0" borderId="6" xfId="0" applyFont="1" applyBorder="1">
      <alignment vertical="center"/>
    </xf>
    <xf numFmtId="1" fontId="20" fillId="0" borderId="6" xfId="0" applyNumberFormat="1" applyFont="1" applyBorder="1" applyAlignment="1">
      <alignment horizontal="center" vertical="center"/>
    </xf>
    <xf numFmtId="0" fontId="20" fillId="0" borderId="9" xfId="0" applyFont="1" applyBorder="1">
      <alignment vertical="center"/>
    </xf>
    <xf numFmtId="0" fontId="20" fillId="0" borderId="10" xfId="0" applyFont="1" applyBorder="1">
      <alignment vertical="center"/>
    </xf>
    <xf numFmtId="1" fontId="20" fillId="0" borderId="10" xfId="0" applyNumberFormat="1" applyFont="1" applyBorder="1" applyAlignment="1">
      <alignment horizontal="center" vertical="center"/>
    </xf>
    <xf numFmtId="0" fontId="20" fillId="0" borderId="7" xfId="0" applyFont="1" applyBorder="1">
      <alignment vertical="center"/>
    </xf>
    <xf numFmtId="0" fontId="20" fillId="0" borderId="11" xfId="0" applyFont="1" applyBorder="1">
      <alignment vertical="center"/>
    </xf>
    <xf numFmtId="0" fontId="29" fillId="0" borderId="0" xfId="0" applyFont="1" applyFill="1" applyBorder="1">
      <alignment vertical="center"/>
    </xf>
    <xf numFmtId="176" fontId="20" fillId="0" borderId="6" xfId="0" applyNumberFormat="1" applyFont="1" applyBorder="1" applyAlignment="1">
      <alignment horizontal="center" vertical="center"/>
    </xf>
    <xf numFmtId="0" fontId="30" fillId="0" borderId="7" xfId="0" applyFont="1" applyBorder="1">
      <alignment vertical="center"/>
    </xf>
    <xf numFmtId="0" fontId="23" fillId="0" borderId="7" xfId="0" applyFont="1" applyBorder="1">
      <alignment vertical="center"/>
    </xf>
    <xf numFmtId="176" fontId="16" fillId="0" borderId="10" xfId="0" applyNumberFormat="1" applyFont="1" applyBorder="1" applyAlignment="1">
      <alignment horizontal="center" vertical="center"/>
    </xf>
    <xf numFmtId="0" fontId="37" fillId="0" borderId="7"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20" fillId="0" borderId="8"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10" xfId="0" applyFont="1" applyBorder="1" applyAlignment="1">
      <alignment horizontal="center" vertical="center"/>
    </xf>
    <xf numFmtId="0" fontId="49" fillId="0" borderId="7" xfId="0" applyFont="1" applyBorder="1">
      <alignment vertical="center"/>
    </xf>
    <xf numFmtId="0" fontId="50" fillId="0" borderId="5" xfId="0" applyFont="1" applyBorder="1" applyAlignment="1">
      <alignment vertical="top"/>
    </xf>
    <xf numFmtId="0" fontId="50" fillId="0" borderId="9" xfId="0" applyFont="1" applyBorder="1" applyAlignment="1">
      <alignment vertical="top"/>
    </xf>
    <xf numFmtId="0" fontId="50" fillId="0" borderId="0" xfId="0" applyFont="1">
      <alignment vertical="center"/>
    </xf>
    <xf numFmtId="0" fontId="25" fillId="0" borderId="6" xfId="0" applyFont="1" applyBorder="1" applyAlignment="1">
      <alignment horizontal="left" vertical="top"/>
    </xf>
    <xf numFmtId="0" fontId="25" fillId="0" borderId="10"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3" borderId="15" xfId="0" applyFont="1" applyFill="1" applyBorder="1" applyAlignment="1">
      <alignment horizontal="center" vertical="top"/>
    </xf>
    <xf numFmtId="0" fontId="25" fillId="0" borderId="1" xfId="0" applyFont="1" applyBorder="1" applyAlignment="1">
      <alignment vertical="top"/>
    </xf>
    <xf numFmtId="0" fontId="25" fillId="0" borderId="16" xfId="0" applyFont="1" applyBorder="1" applyAlignment="1">
      <alignment vertical="top"/>
    </xf>
    <xf numFmtId="0" fontId="17" fillId="0" borderId="6" xfId="0" applyFont="1" applyBorder="1" applyAlignment="1">
      <alignment vertical="top"/>
    </xf>
    <xf numFmtId="0" fontId="17" fillId="0" borderId="10" xfId="0" applyFont="1" applyBorder="1" applyAlignment="1">
      <alignment vertical="top"/>
    </xf>
    <xf numFmtId="0" fontId="52" fillId="0" borderId="6" xfId="0" applyFont="1" applyBorder="1" applyAlignment="1">
      <alignment horizontal="center" vertical="top"/>
    </xf>
    <xf numFmtId="0" fontId="52" fillId="0" borderId="10" xfId="0" applyFont="1" applyBorder="1" applyAlignment="1">
      <alignment horizontal="center" vertical="top"/>
    </xf>
    <xf numFmtId="0" fontId="51" fillId="0" borderId="6" xfId="0" applyFont="1" applyBorder="1" applyAlignment="1">
      <alignment vertical="top"/>
    </xf>
    <xf numFmtId="0" fontId="51" fillId="0" borderId="10" xfId="0" applyFont="1" applyBorder="1" applyAlignment="1">
      <alignment vertical="top"/>
    </xf>
    <xf numFmtId="0" fontId="21" fillId="0" borderId="6" xfId="0" applyFont="1" applyBorder="1" applyAlignment="1">
      <alignment vertical="top"/>
    </xf>
    <xf numFmtId="0" fontId="21" fillId="0" borderId="10" xfId="0" applyFont="1" applyBorder="1" applyAlignment="1">
      <alignment vertical="top"/>
    </xf>
    <xf numFmtId="176" fontId="20" fillId="0" borderId="7" xfId="0" applyNumberFormat="1" applyFont="1" applyBorder="1" applyAlignment="1">
      <alignment horizontal="center" vertical="center"/>
    </xf>
    <xf numFmtId="176" fontId="16" fillId="0" borderId="11" xfId="0" applyNumberFormat="1" applyFont="1" applyBorder="1" applyAlignment="1">
      <alignment horizontal="center" vertical="center"/>
    </xf>
    <xf numFmtId="0" fontId="38"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6" xfId="0" applyNumberFormat="1" applyFont="1" applyFill="1" applyBorder="1" applyAlignment="1">
      <alignment horizontal="center" vertical="center"/>
    </xf>
    <xf numFmtId="0" fontId="28" fillId="2" borderId="6" xfId="0" applyFont="1" applyFill="1" applyBorder="1" applyAlignment="1">
      <alignment horizontal="center" vertical="center"/>
    </xf>
    <xf numFmtId="1" fontId="28" fillId="2" borderId="7" xfId="0" applyNumberFormat="1" applyFont="1" applyFill="1" applyBorder="1" applyAlignment="1">
      <alignment horizontal="center" vertical="center"/>
    </xf>
    <xf numFmtId="1" fontId="20" fillId="0" borderId="7" xfId="0" applyNumberFormat="1" applyFont="1" applyBorder="1" applyAlignment="1">
      <alignment horizontal="center" vertical="center"/>
    </xf>
    <xf numFmtId="1" fontId="20" fillId="0" borderId="11"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6" xfId="0" applyFont="1" applyBorder="1" applyAlignment="1">
      <alignment vertical="top"/>
    </xf>
    <xf numFmtId="0" fontId="12" fillId="0" borderId="10" xfId="0" applyFont="1" applyBorder="1" applyAlignment="1">
      <alignment vertical="top"/>
    </xf>
    <xf numFmtId="0" fontId="12" fillId="0" borderId="7" xfId="0" applyFont="1" applyBorder="1" applyAlignment="1">
      <alignment vertical="top"/>
    </xf>
    <xf numFmtId="0" fontId="12" fillId="0" borderId="11" xfId="0" applyFont="1" applyBorder="1" applyAlignment="1">
      <alignment vertical="top"/>
    </xf>
    <xf numFmtId="0" fontId="53" fillId="2" borderId="0" xfId="0" applyFont="1" applyFill="1" applyBorder="1" applyAlignment="1">
      <alignment horizontal="center" vertical="top"/>
    </xf>
    <xf numFmtId="0" fontId="3" fillId="0" borderId="7" xfId="0" applyFont="1" applyBorder="1" applyAlignment="1">
      <alignment horizontal="center" vertical="center"/>
    </xf>
    <xf numFmtId="0" fontId="4" fillId="0" borderId="11" xfId="0" applyFont="1" applyBorder="1" applyAlignment="1">
      <alignment horizontal="center" vertical="center"/>
    </xf>
    <xf numFmtId="0" fontId="19" fillId="2" borderId="17" xfId="0" applyFont="1" applyFill="1" applyBorder="1" applyAlignment="1">
      <alignment horizontal="center" vertical="center"/>
    </xf>
    <xf numFmtId="0" fontId="16" fillId="0" borderId="2" xfId="0" applyFont="1" applyBorder="1" applyAlignment="1">
      <alignment horizontal="center" vertical="top"/>
    </xf>
    <xf numFmtId="0" fontId="16" fillId="0" borderId="18" xfId="0" applyFont="1" applyBorder="1" applyAlignment="1">
      <alignment horizontal="center" vertical="top"/>
    </xf>
    <xf numFmtId="0" fontId="4" fillId="0" borderId="6" xfId="0" applyFont="1" applyBorder="1" applyAlignment="1">
      <alignment horizontal="center" vertical="center"/>
    </xf>
    <xf numFmtId="0" fontId="3" fillId="0" borderId="3" xfId="0" applyFont="1" applyBorder="1" applyAlignment="1">
      <alignment horizontal="center" vertical="center"/>
    </xf>
    <xf numFmtId="0" fontId="49" fillId="0" borderId="4" xfId="0" applyFont="1" applyBorder="1">
      <alignment vertical="center"/>
    </xf>
    <xf numFmtId="0" fontId="4" fillId="0" borderId="6" xfId="0" applyFont="1" applyFill="1" applyBorder="1" applyAlignment="1">
      <alignment horizontal="center" vertical="top"/>
    </xf>
    <xf numFmtId="0" fontId="27" fillId="0" borderId="6" xfId="0" applyFont="1" applyBorder="1" applyAlignment="1">
      <alignment horizontal="center" vertical="top"/>
    </xf>
    <xf numFmtId="0" fontId="9" fillId="0" borderId="6" xfId="0" applyFont="1" applyBorder="1" applyAlignment="1">
      <alignment horizontal="center" vertical="top"/>
    </xf>
    <xf numFmtId="0" fontId="4" fillId="0" borderId="6" xfId="0" applyFont="1" applyBorder="1" applyAlignment="1">
      <alignment horizontal="center" vertical="top"/>
    </xf>
    <xf numFmtId="0" fontId="4" fillId="0" borderId="10" xfId="0" applyFont="1" applyBorder="1" applyAlignment="1">
      <alignment horizontal="center" vertical="top"/>
    </xf>
    <xf numFmtId="180" fontId="3" fillId="0" borderId="6" xfId="0" applyNumberFormat="1" applyFont="1" applyBorder="1" applyAlignment="1">
      <alignment horizontal="center" vertical="top"/>
    </xf>
    <xf numFmtId="180" fontId="3" fillId="0" borderId="10" xfId="0" applyNumberFormat="1" applyFont="1" applyBorder="1" applyAlignment="1">
      <alignment horizontal="center" vertical="top"/>
    </xf>
    <xf numFmtId="1" fontId="4" fillId="0" borderId="6" xfId="0" applyNumberFormat="1" applyFont="1" applyBorder="1" applyAlignment="1">
      <alignment horizontal="center" vertical="top"/>
    </xf>
    <xf numFmtId="1" fontId="4" fillId="0" borderId="10" xfId="0" applyNumberFormat="1" applyFont="1" applyBorder="1" applyAlignment="1">
      <alignment horizontal="center" vertical="top"/>
    </xf>
    <xf numFmtId="0" fontId="54" fillId="0" borderId="0" xfId="0" applyFont="1">
      <alignment vertical="center"/>
    </xf>
    <xf numFmtId="0" fontId="4" fillId="0" borderId="5" xfId="0" applyFont="1" applyBorder="1">
      <alignment vertical="center"/>
    </xf>
    <xf numFmtId="0" fontId="4" fillId="0" borderId="7" xfId="0" applyFont="1" applyBorder="1">
      <alignment vertical="center"/>
    </xf>
    <xf numFmtId="0" fontId="3" fillId="0" borderId="12" xfId="0" applyFont="1" applyBorder="1">
      <alignment vertical="center"/>
    </xf>
    <xf numFmtId="0" fontId="3" fillId="0" borderId="13" xfId="0" applyFont="1" applyBorder="1">
      <alignment vertical="center"/>
    </xf>
    <xf numFmtId="0" fontId="3" fillId="0" borderId="14" xfId="0" applyFont="1" applyBorder="1">
      <alignment vertical="center"/>
    </xf>
    <xf numFmtId="0" fontId="4" fillId="0" borderId="11" xfId="0" applyFont="1" applyBorder="1">
      <alignment vertical="center"/>
    </xf>
    <xf numFmtId="0" fontId="56" fillId="0" borderId="7" xfId="0" applyFont="1" applyBorder="1" applyAlignment="1">
      <alignment vertical="top"/>
    </xf>
    <xf numFmtId="0" fontId="56" fillId="0" borderId="11" xfId="0" applyFont="1" applyBorder="1" applyAlignment="1">
      <alignment vertical="top"/>
    </xf>
    <xf numFmtId="49" fontId="55" fillId="0" borderId="6" xfId="0" applyNumberFormat="1" applyFont="1" applyBorder="1" applyAlignment="1">
      <alignment horizontal="center" vertical="top"/>
    </xf>
    <xf numFmtId="49" fontId="55" fillId="0" borderId="10" xfId="0" applyNumberFormat="1" applyFont="1" applyBorder="1" applyAlignment="1">
      <alignment horizontal="center" vertical="top"/>
    </xf>
    <xf numFmtId="0" fontId="6" fillId="3" borderId="12" xfId="0" applyFont="1" applyFill="1" applyBorder="1" applyAlignment="1">
      <alignment horizontal="center" vertical="top"/>
    </xf>
    <xf numFmtId="0" fontId="6" fillId="3" borderId="13" xfId="0" applyFont="1" applyFill="1" applyBorder="1" applyAlignment="1">
      <alignment horizontal="center" vertical="top"/>
    </xf>
    <xf numFmtId="0" fontId="6" fillId="3" borderId="14" xfId="0" applyFont="1" applyFill="1" applyBorder="1" applyAlignment="1">
      <alignment horizontal="center" vertical="top"/>
    </xf>
    <xf numFmtId="0" fontId="4" fillId="0" borderId="6" xfId="0" applyFont="1" applyBorder="1" applyAlignment="1">
      <alignment vertical="top"/>
    </xf>
    <xf numFmtId="0" fontId="4" fillId="0" borderId="10" xfId="0" applyFont="1" applyBorder="1" applyAlignment="1">
      <alignment vertical="top"/>
    </xf>
    <xf numFmtId="0" fontId="56" fillId="0" borderId="6" xfId="0" applyFont="1" applyBorder="1" applyAlignment="1">
      <alignment vertical="top"/>
    </xf>
    <xf numFmtId="0" fontId="56" fillId="0" borderId="10" xfId="0" applyFont="1" applyBorder="1" applyAlignment="1">
      <alignment vertical="top"/>
    </xf>
    <xf numFmtId="0" fontId="4" fillId="0" borderId="7" xfId="0" applyFont="1" applyBorder="1" applyAlignment="1">
      <alignment horizontal="center" vertical="center"/>
    </xf>
    <xf numFmtId="0" fontId="6" fillId="3" borderId="12" xfId="0" applyFont="1" applyFill="1" applyBorder="1" applyAlignment="1">
      <alignment horizontal="center" vertical="center"/>
    </xf>
    <xf numFmtId="0" fontId="6" fillId="3" borderId="13" xfId="0" applyFont="1" applyFill="1" applyBorder="1" applyAlignment="1">
      <alignment horizontal="center" vertical="center"/>
    </xf>
    <xf numFmtId="0" fontId="6" fillId="3" borderId="14" xfId="0" applyFont="1" applyFill="1" applyBorder="1" applyAlignment="1">
      <alignment horizontal="center" vertical="center"/>
    </xf>
    <xf numFmtId="0" fontId="54" fillId="0" borderId="0" xfId="0" applyFont="1" applyFill="1" applyBorder="1">
      <alignment vertical="center"/>
    </xf>
    <xf numFmtId="0" fontId="6" fillId="4" borderId="12" xfId="0" applyFont="1" applyFill="1" applyBorder="1" applyAlignment="1">
      <alignment horizontal="center" vertical="top"/>
    </xf>
    <xf numFmtId="0" fontId="6" fillId="4" borderId="13" xfId="0" applyFont="1" applyFill="1" applyBorder="1" applyAlignment="1">
      <alignment horizontal="center" vertical="top"/>
    </xf>
    <xf numFmtId="0" fontId="6" fillId="4" borderId="14" xfId="0" applyFont="1" applyFill="1" applyBorder="1" applyAlignment="1">
      <alignment horizontal="center" vertical="top"/>
    </xf>
    <xf numFmtId="0" fontId="3" fillId="0" borderId="7" xfId="0" applyFont="1" applyBorder="1" applyAlignment="1">
      <alignment horizontal="center" vertical="top"/>
    </xf>
    <xf numFmtId="0" fontId="3" fillId="0" borderId="11" xfId="0" applyFont="1" applyBorder="1" applyAlignment="1">
      <alignment horizontal="center" vertical="top"/>
    </xf>
    <xf numFmtId="0" fontId="6" fillId="4" borderId="12" xfId="0" applyFont="1" applyFill="1" applyBorder="1" applyAlignment="1">
      <alignment horizontal="center" vertical="center"/>
    </xf>
    <xf numFmtId="0" fontId="6" fillId="4" borderId="13" xfId="0" applyFont="1" applyFill="1" applyBorder="1" applyAlignment="1">
      <alignment horizontal="center" vertical="center"/>
    </xf>
    <xf numFmtId="0" fontId="6" fillId="4" borderId="14" xfId="0" applyFont="1" applyFill="1" applyBorder="1" applyAlignment="1">
      <alignment horizontal="center" vertical="center"/>
    </xf>
    <xf numFmtId="0" fontId="57" fillId="2" borderId="19" xfId="0" applyFont="1" applyFill="1" applyBorder="1" applyAlignment="1">
      <alignment horizontal="center" vertical="center"/>
    </xf>
    <xf numFmtId="181" fontId="3" fillId="0" borderId="6" xfId="0" applyNumberFormat="1" applyFont="1" applyBorder="1" applyAlignment="1">
      <alignment horizontal="center" vertical="center"/>
    </xf>
    <xf numFmtId="181" fontId="4" fillId="0" borderId="6" xfId="0" applyNumberFormat="1" applyFont="1" applyBorder="1" applyAlignment="1">
      <alignment horizontal="center" vertical="center"/>
    </xf>
    <xf numFmtId="0" fontId="4" fillId="0" borderId="6" xfId="0" applyFont="1" applyBorder="1">
      <alignment vertical="center"/>
    </xf>
    <xf numFmtId="181" fontId="4" fillId="0" borderId="10" xfId="0" applyNumberFormat="1" applyFont="1" applyBorder="1" applyAlignment="1">
      <alignment horizontal="center" vertical="center"/>
    </xf>
    <xf numFmtId="0" fontId="56" fillId="0" borderId="6" xfId="0" applyFont="1" applyBorder="1" applyAlignment="1">
      <alignment horizontal="center" vertical="top"/>
    </xf>
    <xf numFmtId="0" fontId="56" fillId="0" borderId="10" xfId="0" applyFont="1" applyBorder="1" applyAlignment="1">
      <alignment horizontal="center" vertical="top"/>
    </xf>
    <xf numFmtId="0" fontId="32" fillId="0" borderId="0" xfId="0" applyFont="1" applyAlignment="1">
      <alignment horizontal="left" vertical="center"/>
    </xf>
    <xf numFmtId="0" fontId="28" fillId="2" borderId="13" xfId="0" applyFont="1" applyFill="1" applyBorder="1" applyAlignment="1">
      <alignment horizontal="left" vertical="top"/>
    </xf>
  </cellXfs>
  <cellStyles count="1">
    <cellStyle name="標準" xfId="0" builtinId="0"/>
  </cellStyles>
  <dxfs count="75">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ill>
        <patternFill patternType="solid">
          <fgColor indexed="64"/>
          <bgColor rgb="FFFDECEA"/>
        </patternFill>
      </fill>
    </dxf>
    <dxf>
      <fill>
        <patternFill patternType="solid">
          <fgColor indexed="64"/>
          <bgColor rgb="FFEEF6F8"/>
        </patternFill>
      </fill>
    </dxf>
    <dxf>
      <fill>
        <patternFill patternType="solid">
          <fgColor indexed="64"/>
          <bgColor rgb="FFFDF3E7"/>
        </patternFill>
      </fill>
    </dxf>
    <dxf>
      <fill>
        <patternFill patternType="solid">
          <fgColor indexed="64"/>
          <bgColor rgb="FFEAF1FB"/>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6" t="s">
        <v>1960</v>
      </c>
    </row>
    <row r="2" spans="1:13">
      <c r="A2" s="50" t="s">
        <v>1961</v>
      </c>
    </row>
    <row r="4" spans="1:13" ht="23">
      <c r="A4" s="117" t="s">
        <v>1962</v>
      </c>
      <c r="E4" s="118" t="s">
        <v>1963</v>
      </c>
      <c r="I4" s="119" t="s">
        <v>1964</v>
      </c>
    </row>
    <row r="5" spans="1:13" ht="61">
      <c r="A5" s="120">
        <f>COUNTIF(進捗一覧!$D$7:$D$292,"確定")+COUNTIF(進捗一覧!$D$7:$D$292,"方向性確定（条件付き）")</f>
        <v>155</v>
      </c>
      <c r="B5" t="s">
        <v>1965</v>
      </c>
      <c r="E5" s="121">
        <f>COUNTIF(進捗一覧!$D$7:$D$292,"検討中")</f>
        <v>54</v>
      </c>
      <c r="F5" t="s">
        <v>1965</v>
      </c>
      <c r="I5" s="122">
        <f>COUNTIF(進捗一覧!$D$7:$D$292,"外部待ち")</f>
        <v>73</v>
      </c>
      <c r="J5" t="s">
        <v>1965</v>
      </c>
    </row>
    <row r="6" spans="1:13">
      <c r="A6" s="123" t="str">
        <f>"うち完全に確定 "&amp;COUNTIF(進捗一覧!$D$7:$D$292,"確定")&amp;"件／推奨値ありで承認待ち "&amp;COUNTIF(進捗一覧!$D$7:$D$292,"方向性確定（条件付き）")&amp;"件"</f>
        <v>うち完全に確定 73件／推奨値ありで承認待ち 82件</v>
      </c>
      <c r="E6" s="123" t="s">
        <v>1966</v>
      </c>
      <c r="I6" s="123" t="s">
        <v>1967</v>
      </c>
    </row>
    <row r="8" spans="1:13">
      <c r="A8" s="4" t="s">
        <v>1968</v>
      </c>
      <c r="E8" s="4" t="s">
        <v>1969</v>
      </c>
    </row>
    <row r="9" spans="1:13" ht="47">
      <c r="A9" s="124">
        <f>COUNTIF(進捗一覧!$D$7:$D$292,"検討中")+COUNTIF(進捗一覧!$D$7:$D$292,"外部待ち")</f>
        <v>127</v>
      </c>
      <c r="B9" s="123" t="str">
        <f>"件（要件定義 "&amp;COUNTIFS(進捗一覧!$A$7:$A$292,"要件定義",進捗一覧!$D$7:$D$292,"検討中")+COUNTIFS(進捗一覧!$A$7:$A$292,"要件定義",進捗一覧!$D$7:$D$292,"外部待ち")&amp;" ＋ 基本設計 "&amp;COUNTIFS(進捗一覧!$A$7:$A$292,"基本設計",進捗一覧!$D$7:$D$292,"検討中")+COUNTIFS(進捗一覧!$A$7:$A$292,"基本設計",進捗一覧!$D$7:$D$292,"外部待ち")&amp;"）／ 全"&amp;COUNTA(進捗一覧!$K$7:$K$292)&amp;"件中"</f>
        <v>件（要件定義 64 ＋ 基本設計 63）／ 全286件中</v>
      </c>
      <c r="E9" s="17" t="s">
        <v>1970</v>
      </c>
      <c r="F9" s="18" t="s">
        <v>1971</v>
      </c>
      <c r="G9" s="18" t="s">
        <v>1972</v>
      </c>
      <c r="H9" s="19" t="s">
        <v>1973</v>
      </c>
    </row>
    <row r="10" spans="1:13">
      <c r="E10" s="23" t="s">
        <v>1974</v>
      </c>
      <c r="F10" s="30">
        <f>COUNTIFS(進捗一覧!$C$7:$C$292,"検証ゲート",進捗一覧!$D$7:$D$292,"検討中")</f>
        <v>6</v>
      </c>
      <c r="G10" s="30" t="str">
        <f>IF(F10=0,"● 充足",IF(F10&lt;=5,"▲ あと少し","× 未充足"))</f>
        <v>× 未充足</v>
      </c>
      <c r="H10" s="28" t="s">
        <v>1977</v>
      </c>
    </row>
    <row r="11" spans="1:13">
      <c r="E11" s="23" t="s">
        <v>1975</v>
      </c>
      <c r="F11" s="30">
        <f>COUNTIFS(進捗一覧!$C$7:$C$292,"設計タスク",進捗一覧!$D$7:$D$292,"外部待ち")</f>
        <v>8</v>
      </c>
      <c r="G11" s="30" t="str">
        <f>IF(F11=0,"● 充足",IF(F11&lt;=5,"▲ あと少し","× 未充足"))</f>
        <v>× 未充足</v>
      </c>
      <c r="H11" s="28" t="s">
        <v>1978</v>
      </c>
    </row>
    <row r="12" spans="1:13">
      <c r="E12" s="27" t="s">
        <v>1976</v>
      </c>
      <c r="F12" s="125">
        <f>COUNTIFS(進捗一覧!$C$7:$C$292,"顧客確認",進捗一覧!$D$7:$D$292,"外部待ち")+COUNTIFS(進捗一覧!$C$7:$C$292,"機能要件",進捗一覧!$D$7:$D$292,"外部待ち")+COUNTIFS(進捗一覧!$C$7:$C$292,"非機能要件",進捗一覧!$D$7:$D$292,"外部待ち")</f>
        <v>64</v>
      </c>
      <c r="G12" s="125" t="str">
        <f>IF(F12=0,"● 充足",IF(F12&lt;=5,"▲ あと少し","× 未充足"))</f>
        <v>× 未充足</v>
      </c>
      <c r="H12" s="29" t="s">
        <v>1979</v>
      </c>
    </row>
    <row r="14" spans="1:13">
      <c r="A14" s="4" t="s">
        <v>1980</v>
      </c>
      <c r="J14" s="4" t="s">
        <v>3030</v>
      </c>
    </row>
    <row r="15" spans="1:13">
      <c r="A15" s="20" t="s">
        <v>1956</v>
      </c>
      <c r="B15" s="21" t="s">
        <v>7</v>
      </c>
      <c r="C15" s="21" t="s">
        <v>8</v>
      </c>
      <c r="D15" s="22" t="s">
        <v>1981</v>
      </c>
      <c r="J15" s="20" t="s">
        <v>3027</v>
      </c>
      <c r="K15" s="21" t="s">
        <v>7</v>
      </c>
      <c r="L15" s="21" t="s">
        <v>3031</v>
      </c>
      <c r="M15" s="22" t="s">
        <v>1973</v>
      </c>
    </row>
    <row r="16" spans="1:13">
      <c r="A16" s="23" t="s">
        <v>1925</v>
      </c>
      <c r="B16" s="30">
        <f>COUNTIF(進捗一覧!$B$7:$B$292,$A16)</f>
        <v>17</v>
      </c>
      <c r="C16" s="30">
        <f>COUNTIFS(進捗一覧!$B$7:$B$292,$A16,進捗一覧!$D$7:$D$292,"確定")</f>
        <v>4</v>
      </c>
      <c r="D16" s="163">
        <f>COUNTIFS(進捗一覧!$B$7:$B$292,$A16,進捗一覧!$D$7:$D$292,"方向性確定（条件付き）")</f>
        <v>6</v>
      </c>
      <c r="E16">
        <f>COUNTIFS(進捗一覧!$B$7:$B$292,$A16,進捗一覧!$D$7:$D$292,"検討中")</f>
        <v>2</v>
      </c>
      <c r="F16">
        <f>COUNTIFS(進捗一覧!$B$7:$B$292,$A16,進捗一覧!$D$7:$D$292,"外部待ち")</f>
        <v>5</v>
      </c>
      <c r="G16">
        <f>COUNTIFS(進捗一覧!$B$7:$B$292,$A16,進捗一覧!$D$7:$D$292,"対象外")</f>
        <v>0</v>
      </c>
      <c r="J16" s="23" t="s">
        <v>3028</v>
      </c>
      <c r="K16" s="30">
        <f>COUNTIF(進捗一覧!$A$7:$A$292,$J16)</f>
        <v>195</v>
      </c>
      <c r="L16" s="30">
        <f>COUNTIFS(進捗一覧!$A$7:$A$292,$J16,進捗一覧!$D$7:$D$292,"検討中")+COUNTIFS(進捗一覧!$A$7:$A$292,$J16,進捗一覧!$D$7:$D$292,"外部待ち")</f>
        <v>64</v>
      </c>
      <c r="M16" s="28" t="s">
        <v>3450</v>
      </c>
    </row>
    <row r="17" spans="1:14">
      <c r="A17" s="23" t="s">
        <v>1930</v>
      </c>
      <c r="B17" s="30">
        <f>COUNTIF(進捗一覧!$B$7:$B$292,$A17)</f>
        <v>22</v>
      </c>
      <c r="C17" s="30">
        <f>COUNTIFS(進捗一覧!$B$7:$B$292,$A17,進捗一覧!$D$7:$D$292,"確定")</f>
        <v>4</v>
      </c>
      <c r="D17" s="163">
        <f>COUNTIFS(進捗一覧!$B$7:$B$292,$A17,進捗一覧!$D$7:$D$292,"方向性確定（条件付き）")</f>
        <v>4</v>
      </c>
      <c r="E17">
        <f>COUNTIFS(進捗一覧!$B$7:$B$292,$A17,進捗一覧!$D$7:$D$292,"検討中")</f>
        <v>5</v>
      </c>
      <c r="F17">
        <f>COUNTIFS(進捗一覧!$B$7:$B$292,$A17,進捗一覧!$D$7:$D$292,"外部待ち")</f>
        <v>6</v>
      </c>
      <c r="G17">
        <f>COUNTIFS(進捗一覧!$B$7:$B$292,$A17,進捗一覧!$D$7:$D$292,"対象外")</f>
        <v>3</v>
      </c>
      <c r="J17" s="23" t="s">
        <v>3029</v>
      </c>
      <c r="K17" s="30">
        <f>COUNTIF(進捗一覧!$A$7:$A$292,$J17)</f>
        <v>91</v>
      </c>
      <c r="L17" s="30">
        <f>COUNTIFS(進捗一覧!$A$7:$A$292,$J17,進捗一覧!$D$7:$D$292,"検討中")+COUNTIFS(進捗一覧!$A$7:$A$292,$J17,進捗一覧!$D$7:$D$292,"外部待ち")</f>
        <v>63</v>
      </c>
      <c r="M17" s="28" t="s">
        <v>3451</v>
      </c>
    </row>
    <row r="18" spans="1:14">
      <c r="A18" s="23" t="s">
        <v>1931</v>
      </c>
      <c r="B18" s="30">
        <f>COUNTIF(進捗一覧!$B$7:$B$292,$A18)</f>
        <v>12</v>
      </c>
      <c r="C18" s="30">
        <f>COUNTIFS(進捗一覧!$B$7:$B$292,$A18,進捗一覧!$D$7:$D$292,"確定")</f>
        <v>1</v>
      </c>
      <c r="D18" s="163">
        <f>COUNTIFS(進捗一覧!$B$7:$B$292,$A18,進捗一覧!$D$7:$D$292,"方向性確定（条件付き）")</f>
        <v>5</v>
      </c>
      <c r="E18">
        <f>COUNTIFS(進捗一覧!$B$7:$B$292,$A18,進捗一覧!$D$7:$D$292,"検討中")</f>
        <v>1</v>
      </c>
      <c r="F18">
        <f>COUNTIFS(進捗一覧!$B$7:$B$292,$A18,進捗一覧!$D$7:$D$292,"外部待ち")</f>
        <v>5</v>
      </c>
      <c r="G18">
        <f>COUNTIFS(進捗一覧!$B$7:$B$292,$A18,進捗一覧!$D$7:$D$292,"対象外")</f>
        <v>0</v>
      </c>
      <c r="J18" s="25" t="s">
        <v>13</v>
      </c>
      <c r="K18" s="31">
        <f>SUM(K16:K17)</f>
        <v>286</v>
      </c>
      <c r="L18" s="31">
        <f>SUM(L16:L17)</f>
        <v>127</v>
      </c>
      <c r="M18" s="186"/>
      <c r="N18" s="50" t="str">
        <f>IF(K18=COUNTA(進捗一覧!$K$7:$K$292),"✓ 明細行数と一致","⚠ 不一致")</f>
        <v>✓ 明細行数と一致</v>
      </c>
    </row>
    <row r="19" spans="1:14">
      <c r="A19" s="23" t="s">
        <v>1932</v>
      </c>
      <c r="B19" s="30">
        <f>COUNTIF(進捗一覧!$B$7:$B$292,$A19)</f>
        <v>16</v>
      </c>
      <c r="C19" s="30">
        <f>COUNTIFS(進捗一覧!$B$7:$B$292,$A19,進捗一覧!$D$7:$D$292,"確定")</f>
        <v>6</v>
      </c>
      <c r="D19" s="30">
        <f>COUNTIFS(進捗一覧!$B$7:$B$292,$A19,進捗一覧!$D$7:$D$292,"方向性確定（条件付き）")</f>
        <v>5</v>
      </c>
      <c r="E19" s="169">
        <f>COUNTIFS(進捗一覧!$B$7:$B$292,$A19,進捗一覧!$D$7:$D$292,"検討中")</f>
        <v>1</v>
      </c>
      <c r="F19" s="169">
        <f>COUNTIFS(進捗一覧!$B$7:$B$292,$A19,進捗一覧!$D$7:$D$292,"外部待ち")</f>
        <v>4</v>
      </c>
      <c r="G19" s="169">
        <f>COUNTIFS(進捗一覧!$B$7:$B$292,$A19,進捗一覧!$D$7:$D$292,"対象外")</f>
        <v>0</v>
      </c>
      <c r="H19" s="170"/>
    </row>
    <row r="20" spans="1:14">
      <c r="A20" s="23" t="s">
        <v>1933</v>
      </c>
      <c r="B20" s="30">
        <f>COUNTIF(進捗一覧!$B$7:$B$292,$A20)</f>
        <v>15</v>
      </c>
      <c r="C20" s="30">
        <f>COUNTIFS(進捗一覧!$B$7:$B$292,$A20,進捗一覧!$D$7:$D$292,"確定")</f>
        <v>8</v>
      </c>
      <c r="D20" s="30">
        <f>COUNTIFS(進捗一覧!$B$7:$B$292,$A20,進捗一覧!$D$7:$D$292,"方向性確定（条件付き）")</f>
        <v>2</v>
      </c>
      <c r="E20" s="30">
        <f>COUNTIFS(進捗一覧!$B$7:$B$292,$A20,進捗一覧!$D$7:$D$292,"検討中")</f>
        <v>1</v>
      </c>
      <c r="F20" s="30">
        <f>COUNTIFS(進捗一覧!$B$7:$B$292,$A20,進捗一覧!$D$7:$D$292,"外部待ち")</f>
        <v>4</v>
      </c>
      <c r="G20" s="30">
        <f>COUNTIFS(進捗一覧!$B$7:$B$292,$A20,進捗一覧!$D$7:$D$292,"対象外")</f>
        <v>0</v>
      </c>
      <c r="H20" s="126"/>
    </row>
    <row r="21" spans="1:14">
      <c r="A21" s="23" t="s">
        <v>1934</v>
      </c>
      <c r="B21" s="30">
        <f>COUNTIF(進捗一覧!$B$7:$B$292,$A21)</f>
        <v>23</v>
      </c>
      <c r="C21" s="30">
        <f>COUNTIFS(進捗一覧!$B$7:$B$292,$A21,進捗一覧!$D$7:$D$292,"確定")</f>
        <v>9</v>
      </c>
      <c r="D21" s="30">
        <f>COUNTIFS(進捗一覧!$B$7:$B$292,$A21,進捗一覧!$D$7:$D$292,"方向性確定（条件付き）")</f>
        <v>6</v>
      </c>
      <c r="E21" s="30">
        <f>COUNTIFS(進捗一覧!$B$7:$B$292,$A21,進捗一覧!$D$7:$D$292,"検討中")</f>
        <v>7</v>
      </c>
      <c r="F21" s="30">
        <f>COUNTIFS(進捗一覧!$B$7:$B$292,$A21,進捗一覧!$D$7:$D$292,"外部待ち")</f>
        <v>1</v>
      </c>
      <c r="G21" s="30">
        <f>COUNTIFS(進捗一覧!$B$7:$B$292,$A21,進捗一覧!$D$7:$D$292,"対象外")</f>
        <v>0</v>
      </c>
      <c r="H21" s="126"/>
    </row>
    <row r="22" spans="1:14">
      <c r="A22" s="23" t="s">
        <v>1935</v>
      </c>
      <c r="B22" s="30">
        <f>COUNTIF(進捗一覧!$B$7:$B$292,$A22)</f>
        <v>14</v>
      </c>
      <c r="C22" s="30">
        <f>COUNTIFS(進捗一覧!$B$7:$B$292,$A22,進捗一覧!$D$7:$D$292,"確定")</f>
        <v>4</v>
      </c>
      <c r="D22" s="30">
        <f>COUNTIFS(進捗一覧!$B$7:$B$292,$A22,進捗一覧!$D$7:$D$292,"方向性確定（条件付き）")</f>
        <v>7</v>
      </c>
      <c r="E22" s="30">
        <f>COUNTIFS(進捗一覧!$B$7:$B$292,$A22,進捗一覧!$D$7:$D$292,"検討中")</f>
        <v>0</v>
      </c>
      <c r="F22" s="30">
        <f>COUNTIFS(進捗一覧!$B$7:$B$292,$A22,進捗一覧!$D$7:$D$292,"外部待ち")</f>
        <v>3</v>
      </c>
      <c r="G22" s="30">
        <f>COUNTIFS(進捗一覧!$B$7:$B$292,$A22,進捗一覧!$D$7:$D$292,"対象外")</f>
        <v>0</v>
      </c>
      <c r="H22" s="126"/>
    </row>
    <row r="23" spans="1:14">
      <c r="A23" s="23" t="s">
        <v>1936</v>
      </c>
      <c r="B23" s="30">
        <f>COUNTIF(進捗一覧!$B$7:$B$292,$A23)</f>
        <v>18</v>
      </c>
      <c r="C23" s="30">
        <f>COUNTIFS(進捗一覧!$B$7:$B$292,$A23,進捗一覧!$D$7:$D$292,"確定")</f>
        <v>7</v>
      </c>
      <c r="D23" s="30">
        <f>COUNTIFS(進捗一覧!$B$7:$B$292,$A23,進捗一覧!$D$7:$D$292,"方向性確定（条件付き）")</f>
        <v>4</v>
      </c>
      <c r="E23" s="30">
        <f>COUNTIFS(進捗一覧!$B$7:$B$292,$A23,進捗一覧!$D$7:$D$292,"検討中")</f>
        <v>4</v>
      </c>
      <c r="F23" s="30">
        <f>COUNTIFS(進捗一覧!$B$7:$B$292,$A23,進捗一覧!$D$7:$D$292,"外部待ち")</f>
        <v>3</v>
      </c>
      <c r="G23" s="30">
        <f>COUNTIFS(進捗一覧!$B$7:$B$292,$A23,進捗一覧!$D$7:$D$292,"対象外")</f>
        <v>0</v>
      </c>
      <c r="H23" s="126"/>
    </row>
    <row r="24" spans="1:14">
      <c r="A24" s="23" t="s">
        <v>1944</v>
      </c>
      <c r="B24" s="30">
        <f>COUNTIF(進捗一覧!$B$7:$B$292,$A24)</f>
        <v>11</v>
      </c>
      <c r="C24" s="30">
        <f>COUNTIFS(進捗一覧!$B$7:$B$292,$A24,進捗一覧!$D$7:$D$292,"確定")</f>
        <v>3</v>
      </c>
      <c r="D24" s="30">
        <f>COUNTIFS(進捗一覧!$B$7:$B$292,$A24,進捗一覧!$D$7:$D$292,"方向性確定（条件付き）")</f>
        <v>2</v>
      </c>
      <c r="E24" s="30">
        <f>COUNTIFS(進捗一覧!$B$7:$B$292,$A24,進捗一覧!$D$7:$D$292,"検討中")</f>
        <v>1</v>
      </c>
      <c r="F24" s="30">
        <f>COUNTIFS(進捗一覧!$B$7:$B$292,$A24,進捗一覧!$D$7:$D$292,"外部待ち")</f>
        <v>5</v>
      </c>
      <c r="G24" s="30">
        <f>COUNTIFS(進捗一覧!$B$7:$B$292,$A24,進捗一覧!$D$7:$D$292,"対象外")</f>
        <v>0</v>
      </c>
      <c r="H24" s="126"/>
    </row>
    <row r="25" spans="1:14">
      <c r="A25" s="23" t="s">
        <v>1938</v>
      </c>
      <c r="B25" s="30">
        <f>COUNTIF(進捗一覧!$B$7:$B$292,$A25)</f>
        <v>24</v>
      </c>
      <c r="C25" s="30">
        <f>COUNTIFS(進捗一覧!$B$7:$B$292,$A25,進捗一覧!$D$7:$D$292,"確定")</f>
        <v>4</v>
      </c>
      <c r="D25" s="30">
        <f>COUNTIFS(進捗一覧!$B$7:$B$292,$A25,進捗一覧!$D$7:$D$292,"方向性確定（条件付き）")</f>
        <v>8</v>
      </c>
      <c r="E25" s="30">
        <f>COUNTIFS(進捗一覧!$B$7:$B$292,$A25,進捗一覧!$D$7:$D$292,"検討中")</f>
        <v>7</v>
      </c>
      <c r="F25" s="30">
        <f>COUNTIFS(進捗一覧!$B$7:$B$292,$A25,進捗一覧!$D$7:$D$292,"外部待ち")</f>
        <v>5</v>
      </c>
      <c r="G25" s="30">
        <f>COUNTIFS(進捗一覧!$B$7:$B$292,$A25,進捗一覧!$D$7:$D$292,"対象外")</f>
        <v>0</v>
      </c>
      <c r="H25" s="126" t="s">
        <v>1982</v>
      </c>
    </row>
    <row r="26" spans="1:14">
      <c r="A26" s="23" t="s">
        <v>1937</v>
      </c>
      <c r="B26" s="30">
        <f>COUNTIF(進捗一覧!$B$7:$B$292,$A26)</f>
        <v>21</v>
      </c>
      <c r="C26" s="30">
        <f>COUNTIFS(進捗一覧!$B$7:$B$292,$A26,進捗一覧!$D$7:$D$292,"確定")</f>
        <v>4</v>
      </c>
      <c r="D26" s="30">
        <f>COUNTIFS(進捗一覧!$B$7:$B$292,$A26,進捗一覧!$D$7:$D$292,"方向性確定（条件付き）")</f>
        <v>8</v>
      </c>
      <c r="E26" s="30">
        <f>COUNTIFS(進捗一覧!$B$7:$B$292,$A26,進捗一覧!$D$7:$D$292,"検討中")</f>
        <v>3</v>
      </c>
      <c r="F26" s="30">
        <f>COUNTIFS(進捗一覧!$B$7:$B$292,$A26,進捗一覧!$D$7:$D$292,"外部待ち")</f>
        <v>6</v>
      </c>
      <c r="G26" s="30">
        <f>COUNTIFS(進捗一覧!$B$7:$B$292,$A26,進捗一覧!$D$7:$D$292,"対象外")</f>
        <v>0</v>
      </c>
      <c r="H26" s="126" t="s">
        <v>1983</v>
      </c>
    </row>
    <row r="27" spans="1:14">
      <c r="A27" s="23" t="s">
        <v>1939</v>
      </c>
      <c r="B27" s="30">
        <f>COUNTIF(進捗一覧!$B$7:$B$292,$A27)</f>
        <v>29</v>
      </c>
      <c r="C27" s="30">
        <f>COUNTIFS(進捗一覧!$B$7:$B$292,$A27,進捗一覧!$D$7:$D$292,"確定")</f>
        <v>9</v>
      </c>
      <c r="D27" s="30">
        <f>COUNTIFS(進捗一覧!$B$7:$B$292,$A27,進捗一覧!$D$7:$D$292,"方向性確定（条件付き）")</f>
        <v>10</v>
      </c>
      <c r="E27" s="30">
        <f>COUNTIFS(進捗一覧!$B$7:$B$292,$A27,進捗一覧!$D$7:$D$292,"検討中")</f>
        <v>6</v>
      </c>
      <c r="F27" s="30">
        <f>COUNTIFS(進捗一覧!$B$7:$B$292,$A27,進捗一覧!$D$7:$D$292,"外部待ち")</f>
        <v>4</v>
      </c>
      <c r="G27" s="30">
        <f>COUNTIFS(進捗一覧!$B$7:$B$292,$A27,進捗一覧!$D$7:$D$292,"対象外")</f>
        <v>0</v>
      </c>
      <c r="H27" s="126"/>
    </row>
    <row r="28" spans="1:14">
      <c r="A28" s="23" t="s">
        <v>1941</v>
      </c>
      <c r="B28" s="30">
        <f>COUNTIF(進捗一覧!$B$7:$B$292,$A28)</f>
        <v>18</v>
      </c>
      <c r="C28" s="30">
        <f>COUNTIFS(進捗一覧!$B$7:$B$292,$A28,進捗一覧!$D$7:$D$292,"確定")</f>
        <v>1</v>
      </c>
      <c r="D28" s="30">
        <f>COUNTIFS(進捗一覧!$B$7:$B$292,$A28,進捗一覧!$D$7:$D$292,"方向性確定（条件付き）")</f>
        <v>4</v>
      </c>
      <c r="E28" s="30">
        <f>COUNTIFS(進捗一覧!$B$7:$B$292,$A28,進捗一覧!$D$7:$D$292,"検討中")</f>
        <v>1</v>
      </c>
      <c r="F28" s="30">
        <f>COUNTIFS(進捗一覧!$B$7:$B$292,$A28,進捗一覧!$D$7:$D$292,"外部待ち")</f>
        <v>11</v>
      </c>
      <c r="G28" s="30">
        <f>COUNTIFS(進捗一覧!$B$7:$B$292,$A28,進捗一覧!$D$7:$D$292,"対象外")</f>
        <v>1</v>
      </c>
      <c r="H28" s="126" t="s">
        <v>1984</v>
      </c>
    </row>
    <row r="29" spans="1:14">
      <c r="A29" s="23" t="s">
        <v>1940</v>
      </c>
      <c r="B29" s="30">
        <f>COUNTIF(進捗一覧!$B$7:$B$292,$A29)</f>
        <v>21</v>
      </c>
      <c r="C29" s="30">
        <f>COUNTIFS(進捗一覧!$B$7:$B$292,$A29,進捗一覧!$D$7:$D$292,"確定")</f>
        <v>0</v>
      </c>
      <c r="D29" s="30">
        <f>COUNTIFS(進捗一覧!$B$7:$B$292,$A29,進捗一覧!$D$7:$D$292,"方向性確定（条件付き）")</f>
        <v>7</v>
      </c>
      <c r="E29" s="30">
        <f>COUNTIFS(進捗一覧!$B$7:$B$292,$A29,進捗一覧!$D$7:$D$292,"検討中")</f>
        <v>8</v>
      </c>
      <c r="F29" s="30">
        <f>COUNTIFS(進捗一覧!$B$7:$B$292,$A29,進捗一覧!$D$7:$D$292,"外部待ち")</f>
        <v>6</v>
      </c>
      <c r="G29" s="30">
        <f>COUNTIFS(進捗一覧!$B$7:$B$292,$A29,進捗一覧!$D$7:$D$292,"対象外")</f>
        <v>0</v>
      </c>
      <c r="H29" s="126" t="s">
        <v>1985</v>
      </c>
    </row>
    <row r="30" spans="1:14">
      <c r="A30" s="23" t="s">
        <v>1942</v>
      </c>
      <c r="B30" s="30">
        <f>COUNTIF(進捗一覧!$B$7:$B$292,$A30)</f>
        <v>12</v>
      </c>
      <c r="C30" s="30">
        <f>COUNTIFS(進捗一覧!$B$7:$B$292,$A30,進捗一覧!$D$7:$D$292,"確定")</f>
        <v>8</v>
      </c>
      <c r="D30" s="30">
        <f>COUNTIFS(進捗一覧!$B$7:$B$292,$A30,進捗一覧!$D$7:$D$292,"方向性確定（条件付き）")</f>
        <v>2</v>
      </c>
      <c r="E30" s="30">
        <f>COUNTIFS(進捗一覧!$B$7:$B$292,$A30,進捗一覧!$D$7:$D$292,"検討中")</f>
        <v>1</v>
      </c>
      <c r="F30" s="30">
        <f>COUNTIFS(進捗一覧!$B$7:$B$292,$A30,進捗一覧!$D$7:$D$292,"外部待ち")</f>
        <v>1</v>
      </c>
      <c r="G30" s="30">
        <f>COUNTIFS(進捗一覧!$B$7:$B$292,$A30,進捗一覧!$D$7:$D$292,"対象外")</f>
        <v>0</v>
      </c>
      <c r="H30" s="126" t="s">
        <v>1986</v>
      </c>
    </row>
    <row r="31" spans="1:14">
      <c r="A31" s="23" t="s">
        <v>1943</v>
      </c>
      <c r="B31" s="30">
        <f>COUNTIF(進捗一覧!$B$7:$B$292,$A31)</f>
        <v>5</v>
      </c>
      <c r="C31" s="30">
        <f>COUNTIFS(進捗一覧!$B$7:$B$292,$A31,進捗一覧!$D$7:$D$292,"確定")</f>
        <v>1</v>
      </c>
      <c r="D31" s="30">
        <f>COUNTIFS(進捗一覧!$B$7:$B$292,$A31,進捗一覧!$D$7:$D$292,"方向性確定（条件付き）")</f>
        <v>2</v>
      </c>
      <c r="E31" s="30">
        <f>COUNTIFS(進捗一覧!$B$7:$B$292,$A31,進捗一覧!$D$7:$D$292,"検討中")</f>
        <v>0</v>
      </c>
      <c r="F31" s="30">
        <f>COUNTIFS(進捗一覧!$B$7:$B$292,$A31,進捗一覧!$D$7:$D$292,"外部待ち")</f>
        <v>2</v>
      </c>
      <c r="G31" s="30">
        <f>COUNTIFS(進捗一覧!$B$7:$B$292,$A31,進捗一覧!$D$7:$D$292,"対象外")</f>
        <v>0</v>
      </c>
      <c r="H31" s="126" t="s">
        <v>1987</v>
      </c>
    </row>
    <row r="32" spans="1:14">
      <c r="A32" s="23" t="s">
        <v>1953</v>
      </c>
      <c r="B32" s="30">
        <f>COUNTIF(進捗一覧!$B$7:$B$292,$A32)</f>
        <v>8</v>
      </c>
      <c r="C32" s="30">
        <f>COUNTIFS(進捗一覧!$B$7:$B$292,$A32,進捗一覧!$D$7:$D$292,"確定")</f>
        <v>0</v>
      </c>
      <c r="D32" s="30">
        <f>COUNTIFS(進捗一覧!$B$7:$B$292,$A32,進捗一覧!$D$7:$D$292,"方向性確定（条件付き）")</f>
        <v>0</v>
      </c>
      <c r="E32" s="30">
        <f>COUNTIFS(進捗一覧!$B$7:$B$292,$A32,進捗一覧!$D$7:$D$292,"検討中")</f>
        <v>6</v>
      </c>
      <c r="F32" s="30">
        <f>COUNTIFS(進捗一覧!$B$7:$B$292,$A32,進捗一覧!$D$7:$D$292,"外部待ち")</f>
        <v>2</v>
      </c>
      <c r="G32" s="30">
        <f>COUNTIFS(進捗一覧!$B$7:$B$292,$A32,進捗一覧!$D$7:$D$292,"対象外")</f>
        <v>0</v>
      </c>
      <c r="H32" s="126" t="s">
        <v>1988</v>
      </c>
    </row>
    <row r="33" spans="1:8">
      <c r="A33" s="25" t="s">
        <v>13</v>
      </c>
      <c r="B33" s="31">
        <f>SUM(B16:B32)</f>
        <v>286</v>
      </c>
      <c r="C33" s="31">
        <f>SUM(C16:C32)</f>
        <v>73</v>
      </c>
      <c r="D33" s="31">
        <f>SUM(D16:D32)</f>
        <v>82</v>
      </c>
      <c r="E33" s="31">
        <f>SUM(E16:E32)</f>
        <v>54</v>
      </c>
      <c r="F33" s="31">
        <f>SUM(F16:F32)</f>
        <v>73</v>
      </c>
      <c r="G33" s="31">
        <f>SUM(G16:G32)</f>
        <v>4</v>
      </c>
      <c r="H33" s="29"/>
    </row>
    <row r="36" spans="1:8">
      <c r="A36" s="4" t="s">
        <v>3488</v>
      </c>
    </row>
    <row r="37" spans="1:8">
      <c r="A37" s="20" t="s">
        <v>3200</v>
      </c>
      <c r="B37" s="21" t="s">
        <v>3201</v>
      </c>
      <c r="C37" s="21" t="s">
        <v>3489</v>
      </c>
      <c r="D37" s="21" t="s">
        <v>1405</v>
      </c>
      <c r="E37" s="22" t="s">
        <v>3490</v>
      </c>
    </row>
    <row r="38" spans="1:8">
      <c r="A38" s="23" t="s">
        <v>3203</v>
      </c>
      <c r="B38" s="212">
        <v>244</v>
      </c>
      <c r="C38" s="24" t="s">
        <v>3491</v>
      </c>
      <c r="D38" s="30">
        <f>COUNTA('WBS(基本設計)'!$B$6:$B$91)</f>
        <v>86</v>
      </c>
      <c r="E38" s="28" t="s">
        <v>3492</v>
      </c>
    </row>
    <row r="39" spans="1:8">
      <c r="A39" s="23" t="s">
        <v>3204</v>
      </c>
      <c r="B39" s="212">
        <f>'WBS(詳細設計_製造)'!$U$17</f>
        <v>417.60000000000008</v>
      </c>
      <c r="C39" s="24" t="s">
        <v>3493</v>
      </c>
      <c r="D39" s="30">
        <f>COUNTA('WBS(詳細設計_製造)'!$A$6:$A$108)</f>
        <v>103</v>
      </c>
      <c r="E39" s="28" t="s">
        <v>3494</v>
      </c>
    </row>
    <row r="40" spans="1:8">
      <c r="A40" s="23" t="s">
        <v>3205</v>
      </c>
      <c r="B40" s="212">
        <f>'WBS(詳細設計_製造)'!$V$17</f>
        <v>626.4</v>
      </c>
      <c r="C40" s="24" t="s">
        <v>3493</v>
      </c>
      <c r="D40" s="30">
        <f>D39</f>
        <v>103</v>
      </c>
      <c r="E40" s="28" t="s">
        <v>3495</v>
      </c>
    </row>
    <row r="41" spans="1:8">
      <c r="A41" s="23" t="s">
        <v>3206</v>
      </c>
      <c r="B41" s="212">
        <f>'WBS(テスト)'!$C$60</f>
        <v>363</v>
      </c>
      <c r="C41" s="24" t="s">
        <v>3496</v>
      </c>
      <c r="D41" s="30">
        <f>COUNTA('WBS(テスト)'!$B$6:$B$48)</f>
        <v>43</v>
      </c>
      <c r="E41" s="28" t="s">
        <v>3685</v>
      </c>
    </row>
    <row r="42" spans="1:8">
      <c r="A42" s="181" t="s">
        <v>3207</v>
      </c>
      <c r="B42" s="213">
        <f>B39+B40+B41</f>
        <v>1407</v>
      </c>
      <c r="C42" s="214" t="s">
        <v>2681</v>
      </c>
      <c r="D42" s="168">
        <v>0</v>
      </c>
      <c r="E42" s="182"/>
    </row>
    <row r="43" spans="1:8">
      <c r="A43" s="25" t="s">
        <v>3208</v>
      </c>
      <c r="B43" s="215">
        <f>B38+B42</f>
        <v>1651</v>
      </c>
      <c r="C43" s="26" t="s">
        <v>2681</v>
      </c>
      <c r="D43" s="31">
        <v>0</v>
      </c>
      <c r="E43" s="186"/>
      <c r="F43" s="50" t="str">
        <f>IF(AND(ROUND(B42,0)=1407,ROUND(B43,0)=1651),"✓ 工程4分割と一致","⚠ 不一致")</f>
        <v>✓ 工程4分割と一致</v>
      </c>
    </row>
    <row r="45" spans="1:8">
      <c r="A45" s="53" t="s">
        <v>3686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8" ht="22">
      <c r="A1" s="32" t="s">
        <v>919</v>
      </c>
    </row>
    <row r="2" spans="1:8">
      <c r="A2" s="34" t="s">
        <v>1921</v>
      </c>
    </row>
    <row r="3" spans="1:8">
      <c r="A3" s="35" t="s">
        <v>920</v>
      </c>
    </row>
    <row r="5" spans="1:8">
      <c r="A5" s="88" t="s">
        <v>2639</v>
      </c>
    </row>
    <row r="6" spans="1:8">
      <c r="A6" s="59" t="s">
        <v>1957</v>
      </c>
      <c r="B6" s="60" t="s">
        <v>7</v>
      </c>
      <c r="C6" s="60" t="s">
        <v>8</v>
      </c>
      <c r="D6" s="60" t="s">
        <v>1981</v>
      </c>
      <c r="E6" s="60" t="s">
        <v>9</v>
      </c>
      <c r="F6" s="61" t="s">
        <v>1928</v>
      </c>
      <c r="G6" s="148" t="s">
        <v>1316</v>
      </c>
    </row>
    <row r="7" spans="1:8">
      <c r="A7" s="89" t="s">
        <v>11</v>
      </c>
      <c r="B7" s="90">
        <f>COUNTIF(進捗一覧!$C$7:$C$292,$A7)</f>
        <v>91</v>
      </c>
      <c r="C7" s="90">
        <f>COUNTIFS(進捗一覧!$C$7:$C$292,$A7,進捗一覧!$D$7:$D$292,"確定")</f>
        <v>33</v>
      </c>
      <c r="D7" s="90">
        <f>COUNTIFS(進捗一覧!$C$7:$C$292,$A7,進捗一覧!$D$7:$D$292,"方向性確定（条件付き）")</f>
        <v>37</v>
      </c>
      <c r="E7" s="90">
        <f>COUNTIFS(進捗一覧!$C$7:$C$292,$A7,進捗一覧!$D$7:$D$292,"検討中")</f>
        <v>0</v>
      </c>
      <c r="F7" s="145">
        <f>COUNTIFS(進捗一覧!$C$7:$C$292,$A7,進捗一覧!$D$7:$D$292,"外部待ち")</f>
        <v>21</v>
      </c>
      <c r="G7" s="149">
        <f>COUNTIFS(進捗一覧!$C$7:$C$292,$A7,進捗一覧!$D$7:$D$292,"対象外")</f>
        <v>0</v>
      </c>
    </row>
    <row r="8" spans="1:8">
      <c r="A8" s="89" t="s">
        <v>12</v>
      </c>
      <c r="B8" s="90">
        <f>COUNTIF(進捗一覧!$C$7:$C$292,$A8)</f>
        <v>88</v>
      </c>
      <c r="C8" s="90">
        <f>COUNTIFS(進捗一覧!$C$7:$C$292,$A8,進捗一覧!$D$7:$D$292,"確定")</f>
        <v>22</v>
      </c>
      <c r="D8" s="90">
        <f>COUNTIFS(進捗一覧!$C$7:$C$292,$A8,進捗一覧!$D$7:$D$292,"方向性確定（条件付き）")</f>
        <v>39</v>
      </c>
      <c r="E8" s="90">
        <f>COUNTIFS(進捗一覧!$C$7:$C$292,$A8,進捗一覧!$D$7:$D$292,"検討中")</f>
        <v>0</v>
      </c>
      <c r="F8" s="145">
        <f>COUNTIFS(進捗一覧!$C$7:$C$292,$A8,進捗一覧!$D$7:$D$292,"外部待ち")</f>
        <v>27</v>
      </c>
      <c r="G8" s="149">
        <f>COUNTIFS(進捗一覧!$C$7:$C$292,$A8,進捗一覧!$D$7:$D$292,"対象外")</f>
        <v>0</v>
      </c>
    </row>
    <row r="9" spans="1:8">
      <c r="A9" s="89" t="s">
        <v>1798</v>
      </c>
      <c r="B9" s="90">
        <f>COUNTIF(進捗一覧!$C$7:$C$292,$A9)</f>
        <v>21</v>
      </c>
      <c r="C9" s="90">
        <f>COUNTIFS(進捗一覧!$C$7:$C$292,$A9,進捗一覧!$D$7:$D$292,"確定")</f>
        <v>16</v>
      </c>
      <c r="D9" s="90">
        <f>COUNTIFS(進捗一覧!$C$7:$C$292,$A9,進捗一覧!$D$7:$D$292,"方向性確定（条件付き）")</f>
        <v>5</v>
      </c>
      <c r="E9" s="90">
        <f>COUNTIFS(進捗一覧!$C$7:$C$292,$A9,進捗一覧!$D$7:$D$292,"検討中")</f>
        <v>0</v>
      </c>
      <c r="F9" s="145">
        <f>COUNTIFS(進捗一覧!$C$7:$C$292,$A9,進捗一覧!$D$7:$D$292,"外部待ち")</f>
        <v>0</v>
      </c>
      <c r="G9" s="149">
        <f>COUNTIFS(進捗一覧!$C$7:$C$292,$A9,進捗一覧!$D$7:$D$292,"対象外")</f>
        <v>0</v>
      </c>
    </row>
    <row r="10" spans="1:8">
      <c r="A10" s="89" t="s">
        <v>1946</v>
      </c>
      <c r="B10" s="90">
        <f>COUNTIF(進捗一覧!$C$7:$C$292,$A10)</f>
        <v>11</v>
      </c>
      <c r="C10" s="90">
        <f>COUNTIFS(進捗一覧!$C$7:$C$292,$A10,進捗一覧!$D$7:$D$292,"確定")</f>
        <v>2</v>
      </c>
      <c r="D10" s="90">
        <f>COUNTIFS(進捗一覧!$C$7:$C$292,$A10,進捗一覧!$D$7:$D$292,"方向性確定（条件付き）")</f>
        <v>0</v>
      </c>
      <c r="E10" s="90">
        <f>COUNTIFS(進捗一覧!$C$7:$C$292,$A10,進捗一覧!$D$7:$D$292,"検討中")</f>
        <v>6</v>
      </c>
      <c r="F10" s="145">
        <f>COUNTIFS(進捗一覧!$C$7:$C$292,$A10,進捗一覧!$D$7:$D$292,"外部待ち")</f>
        <v>1</v>
      </c>
      <c r="G10" s="149">
        <f>COUNTIFS(進捗一覧!$C$7:$C$292,$A10,進捗一覧!$D$7:$D$292,"対象外")</f>
        <v>2</v>
      </c>
    </row>
    <row r="11" spans="1:8">
      <c r="A11" s="89" t="s">
        <v>1950</v>
      </c>
      <c r="B11" s="90">
        <f>COUNTIF(進捗一覧!$C$7:$C$292,$A11)</f>
        <v>59</v>
      </c>
      <c r="C11" s="90">
        <f>COUNTIFS(進捗一覧!$C$7:$C$292,$A11,進捗一覧!$D$7:$D$292,"確定")</f>
        <v>0</v>
      </c>
      <c r="D11" s="90">
        <f>COUNTIFS(進捗一覧!$C$7:$C$292,$A11,進捗一覧!$D$7:$D$292,"方向性確定（条件付き）")</f>
        <v>1</v>
      </c>
      <c r="E11" s="90">
        <f>COUNTIFS(進捗一覧!$C$7:$C$292,$A11,進捗一覧!$D$7:$D$292,"検討中")</f>
        <v>48</v>
      </c>
      <c r="F11" s="145">
        <f>COUNTIFS(進捗一覧!$C$7:$C$292,$A11,進捗一覧!$D$7:$D$292,"外部待ち")</f>
        <v>8</v>
      </c>
      <c r="G11" s="149">
        <f>COUNTIFS(進捗一覧!$C$7:$C$292,$A11,進捗一覧!$D$7:$D$292,"対象外")</f>
        <v>2</v>
      </c>
    </row>
    <row r="12" spans="1:8">
      <c r="A12" s="113" t="s">
        <v>1954</v>
      </c>
      <c r="B12" s="92">
        <f>COUNTIF(進捗一覧!$C$7:$C$292,$A12)</f>
        <v>16</v>
      </c>
      <c r="C12" s="92">
        <f>COUNTIFS(進捗一覧!$C$7:$C$292,$A12,進捗一覧!$D$7:$D$292,"確定")</f>
        <v>0</v>
      </c>
      <c r="D12" s="92">
        <f>COUNTIFS(進捗一覧!$C$7:$C$292,$A12,進捗一覧!$D$7:$D$292,"方向性確定（条件付き）")</f>
        <v>0</v>
      </c>
      <c r="E12" s="92">
        <f>COUNTIFS(進捗一覧!$C$7:$C$292,$A12,進捗一覧!$D$7:$D$292,"検討中")</f>
        <v>0</v>
      </c>
      <c r="F12" s="146">
        <f>COUNTIFS(進捗一覧!$C$7:$C$292,$A12,進捗一覧!$D$7:$D$292,"外部待ち")</f>
        <v>16</v>
      </c>
      <c r="G12" s="147">
        <f>COUNTIFS(進捗一覧!$C$7:$C$292,$A12,進捗一覧!$D$7:$D$292,"対象外")</f>
        <v>0</v>
      </c>
    </row>
    <row r="13" spans="1:8">
      <c r="A13" s="91" t="s">
        <v>13</v>
      </c>
      <c r="B13" s="150">
        <f>SUM(B7:B12)</f>
        <v>286</v>
      </c>
      <c r="C13" s="150">
        <f>SUM(C7:C12)</f>
        <v>73</v>
      </c>
      <c r="D13" s="150">
        <f>SUM(D7:D12)</f>
        <v>82</v>
      </c>
      <c r="E13" s="150">
        <f>SUM(E7:E12)</f>
        <v>54</v>
      </c>
      <c r="F13" s="151">
        <f>SUM(F7:F12)</f>
        <v>73</v>
      </c>
      <c r="G13" s="150">
        <f>SUM(G7:G12)</f>
        <v>4</v>
      </c>
      <c r="H13" s="64" t="str">
        <f>IF(B13=COUNTA(進捗一覧!$K$7:$K$292),"✓ 明細行数と一致","⚠ 不一致")</f>
        <v>✓ 明細行数と一致</v>
      </c>
    </row>
    <row r="15" spans="1:8">
      <c r="A15" s="88" t="s">
        <v>921</v>
      </c>
      <c r="B15" s="60" t="s">
        <v>14</v>
      </c>
      <c r="C15" s="60" t="s">
        <v>923</v>
      </c>
      <c r="D15" s="60" t="s">
        <v>2643</v>
      </c>
      <c r="E15" s="60" t="s">
        <v>2644</v>
      </c>
      <c r="F15" s="60" t="s">
        <v>2645</v>
      </c>
      <c r="G15" s="60" t="s">
        <v>2646</v>
      </c>
      <c r="H15" s="61" t="s">
        <v>2647</v>
      </c>
    </row>
    <row r="16" spans="1:8">
      <c r="A16" s="59" t="s">
        <v>922</v>
      </c>
      <c r="B16" s="153" t="s">
        <v>2649</v>
      </c>
      <c r="C16" s="153" t="s">
        <v>2650</v>
      </c>
      <c r="D16" s="152" t="s">
        <v>7</v>
      </c>
      <c r="E16" s="152" t="s">
        <v>8</v>
      </c>
      <c r="F16" s="152" t="s">
        <v>1981</v>
      </c>
      <c r="G16" s="152" t="s">
        <v>9</v>
      </c>
      <c r="H16" s="154" t="s">
        <v>1928</v>
      </c>
    </row>
    <row r="17" spans="1:8">
      <c r="A17" s="89" t="s">
        <v>924</v>
      </c>
      <c r="B17" s="93" t="s">
        <v>2640</v>
      </c>
      <c r="C17" s="93" t="s">
        <v>2651</v>
      </c>
      <c r="D17" s="94">
        <f>COUNTIFS(進捗一覧!$C$7:$C$292,$B17,進捗一覧!$K$7:$K$292,$C17)</f>
        <v>14</v>
      </c>
      <c r="E17" s="94">
        <f>COUNTIFS(進捗一覧!$C$7:$C$292,$B17,進捗一覧!$K$7:$K$292,$C17,進捗一覧!$D$7:$D$292,"確定")</f>
        <v>4</v>
      </c>
      <c r="F17" s="94">
        <f>COUNTIFS(進捗一覧!$C$7:$C$292,$B17,進捗一覧!$K$7:$K$292,$C17,進捗一覧!$D$7:$D$292,"方向性確定（条件付き）")</f>
        <v>6</v>
      </c>
      <c r="G17" s="94">
        <f>COUNTIFS(進捗一覧!$C$7:$C$292,$B17,進捗一覧!$K$7:$K$292,$C17,進捗一覧!$D$7:$D$292,"検討中")</f>
        <v>0</v>
      </c>
      <c r="H17" s="155">
        <f>COUNTIFS(進捗一覧!$C$7:$C$292,$B17,進捗一覧!$K$7:$K$292,$C17,進捗一覧!$D$7:$D$292,"外部待ち")</f>
        <v>4</v>
      </c>
    </row>
    <row r="18" spans="1:8">
      <c r="A18" s="89" t="s">
        <v>925</v>
      </c>
      <c r="B18" s="93" t="s">
        <v>2640</v>
      </c>
      <c r="C18" s="93" t="s">
        <v>2652</v>
      </c>
      <c r="D18" s="94">
        <f>COUNTIFS(進捗一覧!$C$7:$C$292,$B18,進捗一覧!$K$7:$K$292,$C18)</f>
        <v>14</v>
      </c>
      <c r="E18" s="94">
        <f>COUNTIFS(進捗一覧!$C$7:$C$292,$B18,進捗一覧!$K$7:$K$292,$C18,進捗一覧!$D$7:$D$292,"確定")</f>
        <v>4</v>
      </c>
      <c r="F18" s="94">
        <f>COUNTIFS(進捗一覧!$C$7:$C$292,$B18,進捗一覧!$K$7:$K$292,$C18,進捗一覧!$D$7:$D$292,"方向性確定（条件付き）")</f>
        <v>4</v>
      </c>
      <c r="G18" s="94">
        <f>COUNTIFS(進捗一覧!$C$7:$C$292,$B18,進捗一覧!$K$7:$K$292,$C18,進捗一覧!$D$7:$D$292,"検討中")</f>
        <v>0</v>
      </c>
      <c r="H18" s="155">
        <f>COUNTIFS(進捗一覧!$C$7:$C$292,$B18,進捗一覧!$K$7:$K$292,$C18,進捗一覧!$D$7:$D$292,"外部待ち")</f>
        <v>6</v>
      </c>
    </row>
    <row r="19" spans="1:8">
      <c r="A19" s="89" t="s">
        <v>926</v>
      </c>
      <c r="B19" s="93" t="s">
        <v>2640</v>
      </c>
      <c r="C19" s="93" t="s">
        <v>2653</v>
      </c>
      <c r="D19" s="94">
        <f>COUNTIFS(進捗一覧!$C$7:$C$292,$B19,進捗一覧!$K$7:$K$292,$C19)</f>
        <v>9</v>
      </c>
      <c r="E19" s="94">
        <f>COUNTIFS(進捗一覧!$C$7:$C$292,$B19,進捗一覧!$K$7:$K$292,$C19,進捗一覧!$D$7:$D$292,"確定")</f>
        <v>1</v>
      </c>
      <c r="F19" s="94">
        <f>COUNTIFS(進捗一覧!$C$7:$C$292,$B19,進捗一覧!$K$7:$K$292,$C19,進捗一覧!$D$7:$D$292,"方向性確定（条件付き）")</f>
        <v>5</v>
      </c>
      <c r="G19" s="94">
        <f>COUNTIFS(進捗一覧!$C$7:$C$292,$B19,進捗一覧!$K$7:$K$292,$C19,進捗一覧!$D$7:$D$292,"検討中")</f>
        <v>0</v>
      </c>
      <c r="H19" s="155">
        <f>COUNTIFS(進捗一覧!$C$7:$C$292,$B19,進捗一覧!$K$7:$K$292,$C19,進捗一覧!$D$7:$D$292,"外部待ち")</f>
        <v>3</v>
      </c>
    </row>
    <row r="20" spans="1:8">
      <c r="A20" s="89" t="s">
        <v>927</v>
      </c>
      <c r="B20" s="93" t="s">
        <v>2640</v>
      </c>
      <c r="C20" s="93" t="s">
        <v>2654</v>
      </c>
      <c r="D20" s="94">
        <f>COUNTIFS(進捗一覧!$C$7:$C$292,$B20,進捗一覧!$K$7:$K$292,$C20)</f>
        <v>10</v>
      </c>
      <c r="E20" s="94">
        <f>COUNTIFS(進捗一覧!$C$7:$C$292,$B20,進捗一覧!$K$7:$K$292,$C20,進捗一覧!$D$7:$D$292,"確定")</f>
        <v>4</v>
      </c>
      <c r="F20" s="94">
        <f>COUNTIFS(進捗一覧!$C$7:$C$292,$B20,進捗一覧!$K$7:$K$292,$C20,進捗一覧!$D$7:$D$292,"方向性確定（条件付き）")</f>
        <v>5</v>
      </c>
      <c r="G20" s="94">
        <f>COUNTIFS(進捗一覧!$C$7:$C$292,$B20,進捗一覧!$K$7:$K$292,$C20,進捗一覧!$D$7:$D$292,"検討中")</f>
        <v>0</v>
      </c>
      <c r="H20" s="155">
        <f>COUNTIFS(進捗一覧!$C$7:$C$292,$B20,進捗一覧!$K$7:$K$292,$C20,進捗一覧!$D$7:$D$292,"外部待ち")</f>
        <v>1</v>
      </c>
    </row>
    <row r="21" spans="1:8">
      <c r="A21" s="89" t="s">
        <v>928</v>
      </c>
      <c r="B21" s="93" t="s">
        <v>2640</v>
      </c>
      <c r="C21" s="93" t="s">
        <v>2655</v>
      </c>
      <c r="D21" s="94">
        <f>COUNTIFS(進捗一覧!$C$7:$C$292,$B21,進捗一覧!$K$7:$K$292,$C21)</f>
        <v>10</v>
      </c>
      <c r="E21" s="94">
        <f>COUNTIFS(進捗一覧!$C$7:$C$292,$B21,進捗一覧!$K$7:$K$292,$C21,進捗一覧!$D$7:$D$292,"確定")</f>
        <v>6</v>
      </c>
      <c r="F21" s="94">
        <f>COUNTIFS(進捗一覧!$C$7:$C$292,$B21,進捗一覧!$K$7:$K$292,$C21,進捗一覧!$D$7:$D$292,"方向性確定（条件付き）")</f>
        <v>2</v>
      </c>
      <c r="G21" s="94">
        <f>COUNTIFS(進捗一覧!$C$7:$C$292,$B21,進捗一覧!$K$7:$K$292,$C21,進捗一覧!$D$7:$D$292,"検討中")</f>
        <v>0</v>
      </c>
      <c r="H21" s="155">
        <f>COUNTIFS(進捗一覧!$C$7:$C$292,$B21,進捗一覧!$K$7:$K$292,$C21,進捗一覧!$D$7:$D$292,"外部待ち")</f>
        <v>2</v>
      </c>
    </row>
    <row r="22" spans="1:8">
      <c r="A22" s="89" t="s">
        <v>929</v>
      </c>
      <c r="B22" s="93" t="s">
        <v>2640</v>
      </c>
      <c r="C22" s="93" t="s">
        <v>2656</v>
      </c>
      <c r="D22" s="94">
        <f>COUNTIFS(進捗一覧!$C$7:$C$292,$B22,進捗一覧!$K$7:$K$292,$C22)</f>
        <v>12</v>
      </c>
      <c r="E22" s="94">
        <f>COUNTIFS(進捗一覧!$C$7:$C$292,$B22,進捗一覧!$K$7:$K$292,$C22,進捗一覧!$D$7:$D$292,"確定")</f>
        <v>5</v>
      </c>
      <c r="F22" s="94">
        <f>COUNTIFS(進捗一覧!$C$7:$C$292,$B22,進捗一覧!$K$7:$K$292,$C22,進捗一覧!$D$7:$D$292,"方向性確定（条件付き）")</f>
        <v>6</v>
      </c>
      <c r="G22" s="94">
        <f>COUNTIFS(進捗一覧!$C$7:$C$292,$B22,進捗一覧!$K$7:$K$292,$C22,進捗一覧!$D$7:$D$292,"検討中")</f>
        <v>0</v>
      </c>
      <c r="H22" s="155">
        <f>COUNTIFS(進捗一覧!$C$7:$C$292,$B22,進捗一覧!$K$7:$K$292,$C22,進捗一覧!$D$7:$D$292,"外部待ち")</f>
        <v>1</v>
      </c>
    </row>
    <row r="23" spans="1:8">
      <c r="A23" s="89" t="s">
        <v>930</v>
      </c>
      <c r="B23" s="93" t="s">
        <v>2640</v>
      </c>
      <c r="C23" s="93" t="s">
        <v>2657</v>
      </c>
      <c r="D23" s="94">
        <f>COUNTIFS(進捗一覧!$C$7:$C$292,$B23,進捗一覧!$K$7:$K$292,$C23)</f>
        <v>12</v>
      </c>
      <c r="E23" s="94">
        <f>COUNTIFS(進捗一覧!$C$7:$C$292,$B23,進捗一覧!$K$7:$K$292,$C23,進捗一覧!$D$7:$D$292,"確定")</f>
        <v>4</v>
      </c>
      <c r="F23" s="94">
        <f>COUNTIFS(進捗一覧!$C$7:$C$292,$B23,進捗一覧!$K$7:$K$292,$C23,進捗一覧!$D$7:$D$292,"方向性確定（条件付き）")</f>
        <v>6</v>
      </c>
      <c r="G23" s="94">
        <f>COUNTIFS(進捗一覧!$C$7:$C$292,$B23,進捗一覧!$K$7:$K$292,$C23,進捗一覧!$D$7:$D$292,"検討中")</f>
        <v>0</v>
      </c>
      <c r="H23" s="155">
        <f>COUNTIFS(進捗一覧!$C$7:$C$292,$B23,進捗一覧!$K$7:$K$292,$C23,進捗一覧!$D$7:$D$292,"外部待ち")</f>
        <v>2</v>
      </c>
    </row>
    <row r="24" spans="1:8">
      <c r="A24" s="89" t="s">
        <v>931</v>
      </c>
      <c r="B24" s="93" t="s">
        <v>2640</v>
      </c>
      <c r="C24" s="93" t="s">
        <v>2658</v>
      </c>
      <c r="D24" s="94">
        <f>COUNTIFS(進捗一覧!$C$7:$C$292,$B24,進捗一覧!$K$7:$K$292,$C24)</f>
        <v>10</v>
      </c>
      <c r="E24" s="94">
        <f>COUNTIFS(進捗一覧!$C$7:$C$292,$B24,進捗一覧!$K$7:$K$292,$C24,進捗一覧!$D$7:$D$292,"確定")</f>
        <v>5</v>
      </c>
      <c r="F24" s="94">
        <f>COUNTIFS(進捗一覧!$C$7:$C$292,$B24,進捗一覧!$K$7:$K$292,$C24,進捗一覧!$D$7:$D$292,"方向性確定（条件付き）")</f>
        <v>3</v>
      </c>
      <c r="G24" s="94">
        <f>COUNTIFS(進捗一覧!$C$7:$C$292,$B24,進捗一覧!$K$7:$K$292,$C24,進捗一覧!$D$7:$D$292,"検討中")</f>
        <v>0</v>
      </c>
      <c r="H24" s="155">
        <f>COUNTIFS(進捗一覧!$C$7:$C$292,$B24,進捗一覧!$K$7:$K$292,$C24,進捗一覧!$D$7:$D$292,"外部待ち")</f>
        <v>2</v>
      </c>
    </row>
    <row r="25" spans="1:8">
      <c r="A25" s="89" t="s">
        <v>318</v>
      </c>
      <c r="B25" s="93" t="s">
        <v>2641</v>
      </c>
      <c r="C25" s="93" t="s">
        <v>2659</v>
      </c>
      <c r="D25" s="94">
        <f>COUNTIFS(進捗一覧!$C$7:$C$292,$B25,進捗一覧!$K$7:$K$292,$C25)</f>
        <v>6</v>
      </c>
      <c r="E25" s="94">
        <f>COUNTIFS(進捗一覧!$C$7:$C$292,$B25,進捗一覧!$K$7:$K$292,$C25,進捗一覧!$D$7:$D$292,"確定")</f>
        <v>1</v>
      </c>
      <c r="F25" s="94">
        <f>COUNTIFS(進捗一覧!$C$7:$C$292,$B25,進捗一覧!$K$7:$K$292,$C25,進捗一覧!$D$7:$D$292,"方向性確定（条件付き）")</f>
        <v>3</v>
      </c>
      <c r="G25" s="94">
        <f>COUNTIFS(進捗一覧!$C$7:$C$292,$B25,進捗一覧!$K$7:$K$292,$C25,進捗一覧!$D$7:$D$292,"検討中")</f>
        <v>0</v>
      </c>
      <c r="H25" s="155">
        <f>COUNTIFS(進捗一覧!$C$7:$C$292,$B25,進捗一覧!$K$7:$K$292,$C25,進捗一覧!$D$7:$D$292,"外部待ち")</f>
        <v>2</v>
      </c>
    </row>
    <row r="26" spans="1:8">
      <c r="A26" s="89" t="s">
        <v>932</v>
      </c>
      <c r="B26" s="93" t="s">
        <v>2641</v>
      </c>
      <c r="C26" s="93" t="s">
        <v>2660</v>
      </c>
      <c r="D26" s="94">
        <f>COUNTIFS(進捗一覧!$C$7:$C$292,$B26,進捗一覧!$K$7:$K$292,$C26)</f>
        <v>8</v>
      </c>
      <c r="E26" s="94">
        <f>COUNTIFS(進捗一覧!$C$7:$C$292,$B26,進捗一覧!$K$7:$K$292,$C26,進捗一覧!$D$7:$D$292,"確定")</f>
        <v>3</v>
      </c>
      <c r="F26" s="94">
        <f>COUNTIFS(進捗一覧!$C$7:$C$292,$B26,進捗一覧!$K$7:$K$292,$C26,進捗一覧!$D$7:$D$292,"方向性確定（条件付き）")</f>
        <v>3</v>
      </c>
      <c r="G26" s="94">
        <f>COUNTIFS(進捗一覧!$C$7:$C$292,$B26,進捗一覧!$K$7:$K$292,$C26,進捗一覧!$D$7:$D$292,"検討中")</f>
        <v>0</v>
      </c>
      <c r="H26" s="155">
        <f>COUNTIFS(進捗一覧!$C$7:$C$292,$B26,進捗一覧!$K$7:$K$292,$C26,進捗一覧!$D$7:$D$292,"外部待ち")</f>
        <v>2</v>
      </c>
    </row>
    <row r="27" spans="1:8">
      <c r="A27" s="89" t="s">
        <v>933</v>
      </c>
      <c r="B27" s="93" t="s">
        <v>2641</v>
      </c>
      <c r="C27" s="93" t="s">
        <v>2661</v>
      </c>
      <c r="D27" s="94">
        <f>COUNTIFS(進捗一覧!$C$7:$C$292,$B27,進捗一覧!$K$7:$K$292,$C27)</f>
        <v>7</v>
      </c>
      <c r="E27" s="94">
        <f>COUNTIFS(進捗一覧!$C$7:$C$292,$B27,進捗一覧!$K$7:$K$292,$C27,進捗一覧!$D$7:$D$292,"確定")</f>
        <v>0</v>
      </c>
      <c r="F27" s="94">
        <f>COUNTIFS(進捗一覧!$C$7:$C$292,$B27,進捗一覧!$K$7:$K$292,$C27,進捗一覧!$D$7:$D$292,"方向性確定（条件付き）")</f>
        <v>4</v>
      </c>
      <c r="G27" s="94">
        <f>COUNTIFS(進捗一覧!$C$7:$C$292,$B27,進捗一覧!$K$7:$K$292,$C27,進捗一覧!$D$7:$D$292,"検討中")</f>
        <v>0</v>
      </c>
      <c r="H27" s="155">
        <f>COUNTIFS(進捗一覧!$C$7:$C$292,$B27,進捗一覧!$K$7:$K$292,$C27,進捗一覧!$D$7:$D$292,"外部待ち")</f>
        <v>3</v>
      </c>
    </row>
    <row r="28" spans="1:8">
      <c r="A28" s="89" t="s">
        <v>934</v>
      </c>
      <c r="B28" s="93" t="s">
        <v>2641</v>
      </c>
      <c r="C28" s="93" t="s">
        <v>2662</v>
      </c>
      <c r="D28" s="94">
        <f>COUNTIFS(進捗一覧!$C$7:$C$292,$B28,進捗一覧!$K$7:$K$292,$C28)</f>
        <v>21</v>
      </c>
      <c r="E28" s="94">
        <f>COUNTIFS(進捗一覧!$C$7:$C$292,$B28,進捗一覧!$K$7:$K$292,$C28,進捗一覧!$D$7:$D$292,"確定")</f>
        <v>9</v>
      </c>
      <c r="F28" s="94">
        <f>COUNTIFS(進捗一覧!$C$7:$C$292,$B28,進捗一覧!$K$7:$K$292,$C28,進捗一覧!$D$7:$D$292,"方向性確定（条件付き）")</f>
        <v>10</v>
      </c>
      <c r="G28" s="94">
        <f>COUNTIFS(進捗一覧!$C$7:$C$292,$B28,進捗一覧!$K$7:$K$292,$C28,進捗一覧!$D$7:$D$292,"検討中")</f>
        <v>0</v>
      </c>
      <c r="H28" s="155">
        <f>COUNTIFS(進捗一覧!$C$7:$C$292,$B28,進捗一覧!$K$7:$K$292,$C28,進捗一覧!$D$7:$D$292,"外部待ち")</f>
        <v>2</v>
      </c>
    </row>
    <row r="29" spans="1:8">
      <c r="A29" s="89" t="s">
        <v>459</v>
      </c>
      <c r="B29" s="93" t="s">
        <v>2641</v>
      </c>
      <c r="C29" s="93" t="s">
        <v>2663</v>
      </c>
      <c r="D29" s="94">
        <f>COUNTIFS(進捗一覧!$C$7:$C$292,$B29,進捗一覧!$K$7:$K$292,$C29)</f>
        <v>8</v>
      </c>
      <c r="E29" s="94">
        <f>COUNTIFS(進捗一覧!$C$7:$C$292,$B29,進捗一覧!$K$7:$K$292,$C29,進捗一覧!$D$7:$D$292,"確定")</f>
        <v>0</v>
      </c>
      <c r="F29" s="94">
        <f>COUNTIFS(進捗一覧!$C$7:$C$292,$B29,進捗一覧!$K$7:$K$292,$C29,進捗一覧!$D$7:$D$292,"方向性確定（条件付き）")</f>
        <v>4</v>
      </c>
      <c r="G29" s="94">
        <f>COUNTIFS(進捗一覧!$C$7:$C$292,$B29,進捗一覧!$K$7:$K$292,$C29,進捗一覧!$D$7:$D$292,"検討中")</f>
        <v>0</v>
      </c>
      <c r="H29" s="155">
        <f>COUNTIFS(進捗一覧!$C$7:$C$292,$B29,進捗一覧!$K$7:$K$292,$C29,進捗一覧!$D$7:$D$292,"外部待ち")</f>
        <v>4</v>
      </c>
    </row>
    <row r="30" spans="1:8">
      <c r="A30" s="89" t="s">
        <v>935</v>
      </c>
      <c r="B30" s="93" t="s">
        <v>2641</v>
      </c>
      <c r="C30" s="93" t="s">
        <v>2664</v>
      </c>
      <c r="D30" s="94">
        <f>COUNTIFS(進捗一覧!$C$7:$C$292,$B30,進捗一覧!$K$7:$K$292,$C30)</f>
        <v>11</v>
      </c>
      <c r="E30" s="94">
        <f>COUNTIFS(進捗一覧!$C$7:$C$292,$B30,進捗一覧!$K$7:$K$292,$C30,進捗一覧!$D$7:$D$292,"確定")</f>
        <v>0</v>
      </c>
      <c r="F30" s="94">
        <f>COUNTIFS(進捗一覧!$C$7:$C$292,$B30,進捗一覧!$K$7:$K$292,$C30,進捗一覧!$D$7:$D$292,"方向性確定（条件付き）")</f>
        <v>7</v>
      </c>
      <c r="G30" s="94">
        <f>COUNTIFS(進捗一覧!$C$7:$C$292,$B30,進捗一覧!$K$7:$K$292,$C30,進捗一覧!$D$7:$D$292,"検討中")</f>
        <v>0</v>
      </c>
      <c r="H30" s="155">
        <f>COUNTIFS(進捗一覧!$C$7:$C$292,$B30,進捗一覧!$K$7:$K$292,$C30,進捗一覧!$D$7:$D$292,"外部待ち")</f>
        <v>4</v>
      </c>
    </row>
    <row r="31" spans="1:8">
      <c r="A31" s="89" t="s">
        <v>936</v>
      </c>
      <c r="B31" s="93" t="s">
        <v>2641</v>
      </c>
      <c r="C31" s="93" t="s">
        <v>2665</v>
      </c>
      <c r="D31" s="94">
        <f>COUNTIFS(進捗一覧!$C$7:$C$292,$B31,進捗一覧!$K$7:$K$292,$C31)</f>
        <v>11</v>
      </c>
      <c r="E31" s="94">
        <f>COUNTIFS(進捗一覧!$C$7:$C$292,$B31,進捗一覧!$K$7:$K$292,$C31,進捗一覧!$D$7:$D$292,"確定")</f>
        <v>0</v>
      </c>
      <c r="F31" s="94">
        <f>COUNTIFS(進捗一覧!$C$7:$C$292,$B31,進捗一覧!$K$7:$K$292,$C31,進捗一覧!$D$7:$D$292,"方向性確定（条件付き）")</f>
        <v>4</v>
      </c>
      <c r="G31" s="94">
        <f>COUNTIFS(進捗一覧!$C$7:$C$292,$B31,進捗一覧!$K$7:$K$292,$C31,進捗一覧!$D$7:$D$292,"検討中")</f>
        <v>0</v>
      </c>
      <c r="H31" s="155">
        <f>COUNTIFS(進捗一覧!$C$7:$C$292,$B31,進捗一覧!$K$7:$K$292,$C31,進捗一覧!$D$7:$D$292,"外部待ち")</f>
        <v>7</v>
      </c>
    </row>
    <row r="32" spans="1:8">
      <c r="A32" s="89" t="s">
        <v>558</v>
      </c>
      <c r="B32" s="93" t="s">
        <v>2641</v>
      </c>
      <c r="C32" s="93" t="s">
        <v>2666</v>
      </c>
      <c r="D32" s="94">
        <f>COUNTIFS(進捗一覧!$C$7:$C$292,$B32,進捗一覧!$K$7:$K$292,$C32)</f>
        <v>11</v>
      </c>
      <c r="E32" s="94">
        <f>COUNTIFS(進捗一覧!$C$7:$C$292,$B32,進捗一覧!$K$7:$K$292,$C32,進捗一覧!$D$7:$D$292,"確定")</f>
        <v>8</v>
      </c>
      <c r="F32" s="94">
        <f>COUNTIFS(進捗一覧!$C$7:$C$292,$B32,進捗一覧!$K$7:$K$292,$C32,進捗一覧!$D$7:$D$292,"方向性確定（条件付き）")</f>
        <v>2</v>
      </c>
      <c r="G32" s="94">
        <f>COUNTIFS(進捗一覧!$C$7:$C$292,$B32,進捗一覧!$K$7:$K$292,$C32,進捗一覧!$D$7:$D$292,"検討中")</f>
        <v>0</v>
      </c>
      <c r="H32" s="155">
        <f>COUNTIFS(進捗一覧!$C$7:$C$292,$B32,進捗一覧!$K$7:$K$292,$C32,進捗一覧!$D$7:$D$292,"外部待ち")</f>
        <v>1</v>
      </c>
    </row>
    <row r="33" spans="1:8">
      <c r="A33" s="89" t="s">
        <v>937</v>
      </c>
      <c r="B33" s="93" t="s">
        <v>2641</v>
      </c>
      <c r="C33" s="93" t="s">
        <v>2667</v>
      </c>
      <c r="D33" s="94">
        <f>COUNTIFS(進捗一覧!$C$7:$C$292,$B33,進捗一覧!$K$7:$K$292,$C33)</f>
        <v>5</v>
      </c>
      <c r="E33" s="94">
        <f>COUNTIFS(進捗一覧!$C$7:$C$292,$B33,進捗一覧!$K$7:$K$292,$C33,進捗一覧!$D$7:$D$292,"確定")</f>
        <v>1</v>
      </c>
      <c r="F33" s="94">
        <f>COUNTIFS(進捗一覧!$C$7:$C$292,$B33,進捗一覧!$K$7:$K$292,$C33,進捗一覧!$D$7:$D$292,"方向性確定（条件付き）")</f>
        <v>2</v>
      </c>
      <c r="G33" s="94">
        <f>COUNTIFS(進捗一覧!$C$7:$C$292,$B33,進捗一覧!$K$7:$K$292,$C33,進捗一覧!$D$7:$D$292,"検討中")</f>
        <v>0</v>
      </c>
      <c r="H33" s="155">
        <f>COUNTIFS(進捗一覧!$C$7:$C$292,$B33,進捗一覧!$K$7:$K$292,$C33,進捗一覧!$D$7:$D$292,"外部待ち")</f>
        <v>2</v>
      </c>
    </row>
    <row r="34" spans="1:8">
      <c r="A34" s="89" t="s">
        <v>938</v>
      </c>
      <c r="B34" s="93" t="s">
        <v>2642</v>
      </c>
      <c r="C34" s="93" t="s">
        <v>2668</v>
      </c>
      <c r="D34" s="94">
        <f>COUNTIFS(進捗一覧!$C$7:$C$292,$B34,進捗一覧!$K$7:$K$292,$C34)</f>
        <v>12</v>
      </c>
      <c r="E34" s="94">
        <f>COUNTIFS(進捗一覧!$C$7:$C$292,$B34,進捗一覧!$K$7:$K$292,$C34,進捗一覧!$D$7:$D$292,"確定")</f>
        <v>0</v>
      </c>
      <c r="F34" s="94">
        <f>COUNTIFS(進捗一覧!$C$7:$C$292,$B34,進捗一覧!$K$7:$K$292,$C34,進捗一覧!$D$7:$D$292,"方向性確定（条件付き）")</f>
        <v>0</v>
      </c>
      <c r="G34" s="94">
        <f>COUNTIFS(進捗一覧!$C$7:$C$292,$B34,進捗一覧!$K$7:$K$292,$C34,進捗一覧!$D$7:$D$292,"検討中")</f>
        <v>11</v>
      </c>
      <c r="H34" s="155">
        <f>COUNTIFS(進捗一覧!$C$7:$C$292,$B34,進捗一覧!$K$7:$K$292,$C34,進捗一覧!$D$7:$D$292,"外部待ち")</f>
        <v>0</v>
      </c>
    </row>
    <row r="35" spans="1:8">
      <c r="A35" s="89" t="s">
        <v>939</v>
      </c>
      <c r="B35" s="93" t="s">
        <v>2642</v>
      </c>
      <c r="C35" s="93" t="s">
        <v>2669</v>
      </c>
      <c r="D35" s="94">
        <f>COUNTIFS(進捗一覧!$C$7:$C$292,$B35,進捗一覧!$K$7:$K$292,$C35)</f>
        <v>5</v>
      </c>
      <c r="E35" s="94">
        <f>COUNTIFS(進捗一覧!$C$7:$C$292,$B35,進捗一覧!$K$7:$K$292,$C35,進捗一覧!$D$7:$D$292,"確定")</f>
        <v>0</v>
      </c>
      <c r="F35" s="94">
        <f>COUNTIFS(進捗一覧!$C$7:$C$292,$B35,進捗一覧!$K$7:$K$292,$C35,進捗一覧!$D$7:$D$292,"方向性確定（条件付き）")</f>
        <v>0</v>
      </c>
      <c r="G35" s="94">
        <f>COUNTIFS(進捗一覧!$C$7:$C$292,$B35,進捗一覧!$K$7:$K$292,$C35,進捗一覧!$D$7:$D$292,"検討中")</f>
        <v>0</v>
      </c>
      <c r="H35" s="155">
        <f>COUNTIFS(進捗一覧!$C$7:$C$292,$B35,進捗一覧!$K$7:$K$292,$C35,進捗一覧!$D$7:$D$292,"外部待ち")</f>
        <v>5</v>
      </c>
    </row>
    <row r="36" spans="1:8">
      <c r="A36" s="89" t="s">
        <v>940</v>
      </c>
      <c r="B36" s="93" t="s">
        <v>2642</v>
      </c>
      <c r="C36" s="93" t="s">
        <v>2670</v>
      </c>
      <c r="D36" s="94">
        <f>COUNTIFS(進捗一覧!$C$7:$C$292,$B36,進捗一覧!$K$7:$K$292,$C36)</f>
        <v>8</v>
      </c>
      <c r="E36" s="94">
        <f>COUNTIFS(進捗一覧!$C$7:$C$292,$B36,進捗一覧!$K$7:$K$292,$C36,進捗一覧!$D$7:$D$292,"確定")</f>
        <v>0</v>
      </c>
      <c r="F36" s="94">
        <f>COUNTIFS(進捗一覧!$C$7:$C$292,$B36,進捗一覧!$K$7:$K$292,$C36,進捗一覧!$D$7:$D$292,"方向性確定（条件付き）")</f>
        <v>0</v>
      </c>
      <c r="G36" s="94">
        <f>COUNTIFS(進捗一覧!$C$7:$C$292,$B36,進捗一覧!$K$7:$K$292,$C36,進捗一覧!$D$7:$D$292,"検討中")</f>
        <v>8</v>
      </c>
      <c r="H36" s="155">
        <f>COUNTIFS(進捗一覧!$C$7:$C$292,$B36,進捗一覧!$K$7:$K$292,$C36,進捗一覧!$D$7:$D$292,"外部待ち")</f>
        <v>0</v>
      </c>
    </row>
    <row r="37" spans="1:8">
      <c r="A37" s="89" t="s">
        <v>941</v>
      </c>
      <c r="B37" s="93" t="s">
        <v>2642</v>
      </c>
      <c r="C37" s="93" t="s">
        <v>2671</v>
      </c>
      <c r="D37" s="94">
        <f>COUNTIFS(進捗一覧!$C$7:$C$292,$B37,進捗一覧!$K$7:$K$292,$C37)</f>
        <v>18</v>
      </c>
      <c r="E37" s="94">
        <f>COUNTIFS(進捗一覧!$C$7:$C$292,$B37,進捗一覧!$K$7:$K$292,$C37,進捗一覧!$D$7:$D$292,"確定")</f>
        <v>0</v>
      </c>
      <c r="F37" s="94">
        <f>COUNTIFS(進捗一覧!$C$7:$C$292,$B37,進捗一覧!$K$7:$K$292,$C37,進捗一覧!$D$7:$D$292,"方向性確定（条件付き）")</f>
        <v>1</v>
      </c>
      <c r="G37" s="94">
        <f>COUNTIFS(進捗一覧!$C$7:$C$292,$B37,進捗一覧!$K$7:$K$292,$C37,進捗一覧!$D$7:$D$292,"検討中")</f>
        <v>16</v>
      </c>
      <c r="H37" s="155">
        <f>COUNTIFS(進捗一覧!$C$7:$C$292,$B37,進捗一覧!$K$7:$K$292,$C37,進捗一覧!$D$7:$D$292,"外部待ち")</f>
        <v>0</v>
      </c>
    </row>
    <row r="38" spans="1:8">
      <c r="A38" s="89" t="s">
        <v>942</v>
      </c>
      <c r="B38" s="93" t="s">
        <v>2642</v>
      </c>
      <c r="C38" s="93" t="s">
        <v>2672</v>
      </c>
      <c r="D38" s="94">
        <f>COUNTIFS(進捗一覧!$C$7:$C$292,$B38,進捗一覧!$K$7:$K$292,$C38)</f>
        <v>8</v>
      </c>
      <c r="E38" s="94">
        <f>COUNTIFS(進捗一覧!$C$7:$C$292,$B38,進捗一覧!$K$7:$K$292,$C38,進捗一覧!$D$7:$D$292,"確定")</f>
        <v>0</v>
      </c>
      <c r="F38" s="94">
        <f>COUNTIFS(進捗一覧!$C$7:$C$292,$B38,進捗一覧!$K$7:$K$292,$C38,進捗一覧!$D$7:$D$292,"方向性確定（条件付き）")</f>
        <v>0</v>
      </c>
      <c r="G38" s="94">
        <f>COUNTIFS(進捗一覧!$C$7:$C$292,$B38,進捗一覧!$K$7:$K$292,$C38,進捗一覧!$D$7:$D$292,"検討中")</f>
        <v>8</v>
      </c>
      <c r="H38" s="155">
        <f>COUNTIFS(進捗一覧!$C$7:$C$292,$B38,進捗一覧!$K$7:$K$292,$C38,進捗一覧!$D$7:$D$292,"外部待ち")</f>
        <v>0</v>
      </c>
    </row>
    <row r="39" spans="1:8">
      <c r="A39" s="89" t="s">
        <v>943</v>
      </c>
      <c r="B39" s="96" t="s">
        <v>2642</v>
      </c>
      <c r="C39" s="96" t="s">
        <v>2673</v>
      </c>
      <c r="D39" s="97">
        <f>COUNTIFS(進捗一覧!$C$7:$C$292,$B39,進捗一覧!$K$7:$K$292,$C39)</f>
        <v>4</v>
      </c>
      <c r="E39" s="97">
        <f>COUNTIFS(進捗一覧!$C$7:$C$292,$B39,進捗一覧!$K$7:$K$292,$C39,進捗一覧!$D$7:$D$292,"確定")</f>
        <v>0</v>
      </c>
      <c r="F39" s="97">
        <f>COUNTIFS(進捗一覧!$C$7:$C$292,$B39,進捗一覧!$K$7:$K$292,$C39,進捗一覧!$D$7:$D$292,"方向性確定（条件付き）")</f>
        <v>0</v>
      </c>
      <c r="G39" s="97">
        <f>COUNTIFS(進捗一覧!$C$7:$C$292,$B39,進捗一覧!$K$7:$K$292,$C39,進捗一覧!$D$7:$D$292,"検討中")</f>
        <v>1</v>
      </c>
      <c r="H39" s="156">
        <f>COUNTIFS(進捗一覧!$C$7:$C$292,$B39,進捗一覧!$K$7:$K$292,$C39,進捗一覧!$D$7:$D$292,"外部待ち")</f>
        <v>3</v>
      </c>
    </row>
    <row r="40" spans="1:8">
      <c r="A40" s="95" t="s">
        <v>944</v>
      </c>
      <c r="B40" s="115" t="s">
        <v>2642</v>
      </c>
      <c r="C40" s="115" t="s">
        <v>2674</v>
      </c>
      <c r="D40" s="157">
        <f>COUNTIFS(進捗一覧!$C$7:$C$292,$B40,進捗一覧!$K$7:$K$292,$C40)</f>
        <v>4</v>
      </c>
      <c r="E40" s="157">
        <f>COUNTIFS(進捗一覧!$C$7:$C$292,$B40,進捗一覧!$K$7:$K$292,$C40,進捗一覧!$D$7:$D$292,"確定")</f>
        <v>0</v>
      </c>
      <c r="F40" s="157">
        <f>COUNTIFS(進捗一覧!$C$7:$C$292,$B40,進捗一覧!$K$7:$K$292,$C40,進捗一覧!$D$7:$D$292,"方向性確定（条件付き）")</f>
        <v>0</v>
      </c>
      <c r="G40" s="157">
        <f>COUNTIFS(進捗一覧!$C$7:$C$292,$B40,進捗一覧!$K$7:$K$292,$C40,進捗一覧!$D$7:$D$292,"検討中")</f>
        <v>4</v>
      </c>
      <c r="H40" s="157">
        <f>COUNTIFS(進捗一覧!$C$7:$C$292,$B40,進捗一覧!$K$7:$K$292,$C40,進捗一覧!$D$7:$D$292,"外部待ち")</f>
        <v>0</v>
      </c>
    </row>
    <row r="42" spans="1:8">
      <c r="A42" s="88" t="s">
        <v>945</v>
      </c>
      <c r="B42" s="60" t="s">
        <v>16</v>
      </c>
      <c r="C42" s="60" t="s">
        <v>946</v>
      </c>
      <c r="D42" s="61" t="s">
        <v>947</v>
      </c>
    </row>
    <row r="43" spans="1:8">
      <c r="A43" s="59" t="s">
        <v>6</v>
      </c>
      <c r="B43" s="93" t="s">
        <v>949</v>
      </c>
      <c r="C43" s="93" t="s">
        <v>950</v>
      </c>
      <c r="D43" s="98" t="s">
        <v>951</v>
      </c>
    </row>
    <row r="44" spans="1:8">
      <c r="A44" s="89" t="s">
        <v>948</v>
      </c>
      <c r="B44" s="93" t="s">
        <v>953</v>
      </c>
      <c r="C44" s="93" t="s">
        <v>954</v>
      </c>
      <c r="D44" s="98" t="s">
        <v>955</v>
      </c>
    </row>
    <row r="45" spans="1:8">
      <c r="A45" s="89" t="s">
        <v>952</v>
      </c>
      <c r="B45" s="93" t="s">
        <v>890</v>
      </c>
      <c r="C45" s="93" t="s">
        <v>957</v>
      </c>
      <c r="D45" s="98" t="s">
        <v>10</v>
      </c>
    </row>
    <row r="46" spans="1:8">
      <c r="A46" s="89" t="s">
        <v>956</v>
      </c>
      <c r="B46" s="93" t="s">
        <v>765</v>
      </c>
      <c r="C46" s="93" t="s">
        <v>958</v>
      </c>
      <c r="D46" s="98" t="s">
        <v>10</v>
      </c>
    </row>
    <row r="47" spans="1:8">
      <c r="A47" s="89" t="s">
        <v>956</v>
      </c>
      <c r="B47" s="93" t="s">
        <v>898</v>
      </c>
      <c r="C47" s="93" t="s">
        <v>959</v>
      </c>
      <c r="D47" s="98" t="s">
        <v>955</v>
      </c>
    </row>
    <row r="48" spans="1:8">
      <c r="A48" s="89" t="s">
        <v>956</v>
      </c>
      <c r="B48" s="93" t="s">
        <v>961</v>
      </c>
      <c r="C48" s="93" t="s">
        <v>962</v>
      </c>
      <c r="D48" s="98" t="s">
        <v>10</v>
      </c>
    </row>
    <row r="49" spans="1:5">
      <c r="A49" s="89" t="s">
        <v>960</v>
      </c>
      <c r="B49" s="93" t="s">
        <v>856</v>
      </c>
      <c r="C49" s="93" t="s">
        <v>964</v>
      </c>
      <c r="D49" s="98" t="s">
        <v>10</v>
      </c>
    </row>
    <row r="50" spans="1:5">
      <c r="A50" s="89" t="s">
        <v>963</v>
      </c>
      <c r="B50" s="93" t="s">
        <v>859</v>
      </c>
      <c r="C50" s="93" t="s">
        <v>965</v>
      </c>
      <c r="D50" s="98" t="s">
        <v>10</v>
      </c>
    </row>
    <row r="51" spans="1:5">
      <c r="A51" s="89" t="s">
        <v>963</v>
      </c>
      <c r="B51" s="93" t="s">
        <v>967</v>
      </c>
      <c r="C51" s="93" t="s">
        <v>968</v>
      </c>
      <c r="D51" s="98" t="s">
        <v>969</v>
      </c>
    </row>
    <row r="52" spans="1:5">
      <c r="A52" s="89" t="s">
        <v>966</v>
      </c>
      <c r="B52" s="96" t="s">
        <v>970</v>
      </c>
      <c r="C52" s="96" t="s">
        <v>971</v>
      </c>
      <c r="D52" s="99" t="s">
        <v>969</v>
      </c>
    </row>
    <row r="53" spans="1:5">
      <c r="A53" s="95" t="s">
        <v>966</v>
      </c>
    </row>
    <row r="55" spans="1:5">
      <c r="A55" s="100" t="s">
        <v>1404</v>
      </c>
      <c r="B55" s="60" t="s">
        <v>1405</v>
      </c>
      <c r="C55" s="60" t="s">
        <v>1406</v>
      </c>
      <c r="D55" s="61" t="s">
        <v>1407</v>
      </c>
    </row>
    <row r="56" spans="1:5">
      <c r="A56" s="59" t="s">
        <v>1243</v>
      </c>
      <c r="B56" s="90"/>
      <c r="C56" s="101"/>
      <c r="D56" s="98" t="s">
        <v>1408</v>
      </c>
    </row>
    <row r="57" spans="1:5">
      <c r="A57" s="89" t="s">
        <v>1294</v>
      </c>
      <c r="B57" s="90">
        <f>COUNTIF(要件→設計!$G$5:$G$183,$A57)</f>
        <v>114</v>
      </c>
      <c r="C57" s="101">
        <f>IFERROR(B57/$B$62,"-")</f>
        <v>0.63687150837988826</v>
      </c>
      <c r="D57" s="98" t="s">
        <v>1409</v>
      </c>
    </row>
    <row r="58" spans="1:5">
      <c r="A58" s="89" t="s">
        <v>1305</v>
      </c>
      <c r="B58" s="90">
        <f>COUNTIF(要件→設計!$G$5:$G$183,$A58)</f>
        <v>47</v>
      </c>
      <c r="C58" s="101">
        <f>IFERROR(B58/$B$62,"-")</f>
        <v>0.26256983240223464</v>
      </c>
      <c r="D58" s="102" t="s">
        <v>1410</v>
      </c>
    </row>
    <row r="59" spans="1:5">
      <c r="A59" s="89" t="s">
        <v>1304</v>
      </c>
      <c r="B59" s="90">
        <f>COUNTIF(要件→設計!$G$5:$G$183,$A59)</f>
        <v>1</v>
      </c>
      <c r="C59" s="101">
        <f>IFERROR(B59/$B$62,"-")</f>
        <v>5.5865921787709499E-3</v>
      </c>
      <c r="D59" s="98" t="s">
        <v>1411</v>
      </c>
    </row>
    <row r="60" spans="1:5">
      <c r="A60" s="89" t="s">
        <v>1316</v>
      </c>
      <c r="B60" s="90">
        <f>COUNTIF(要件→設計!$G$5:$G$183,$A60)</f>
        <v>17</v>
      </c>
      <c r="C60" s="101">
        <f>IFERROR(B60/$B$62,"-")</f>
        <v>9.4972067039106142E-2</v>
      </c>
      <c r="D60" s="103" t="s">
        <v>1412</v>
      </c>
    </row>
    <row r="61" spans="1:5">
      <c r="A61" s="89" t="s">
        <v>1307</v>
      </c>
      <c r="B61" s="92">
        <f>COUNTIF(要件→設計!$G$5:$G$183,$A61)</f>
        <v>0</v>
      </c>
      <c r="C61" s="104">
        <f>IFERROR(B61/$B$62,"-")</f>
        <v>0</v>
      </c>
      <c r="D61" s="99"/>
      <c r="E61" s="64"/>
    </row>
    <row r="62" spans="1:5">
      <c r="A62" s="91" t="s">
        <v>13</v>
      </c>
      <c r="B62" s="33">
        <f>SUM(B57:B61)</f>
        <v>179</v>
      </c>
      <c r="C62" s="114">
        <f>IFERROR(B62/B62,"-")</f>
        <v>1</v>
      </c>
      <c r="E62" s="33" t="str">
        <f>IF(B62=COUNTA(要件→設計!$A$5:$A$183),"✓ マッピング行数と一致","⚠ 不一致")</f>
        <v>✓ マッピング行数と一致</v>
      </c>
    </row>
    <row r="65" spans="1:5">
      <c r="A65" s="88" t="s">
        <v>1759</v>
      </c>
      <c r="B65" s="60" t="s">
        <v>1405</v>
      </c>
      <c r="C65" s="60" t="s">
        <v>1406</v>
      </c>
      <c r="D65" s="61" t="s">
        <v>1760</v>
      </c>
    </row>
    <row r="66" spans="1:5">
      <c r="A66" s="59" t="s">
        <v>6</v>
      </c>
      <c r="B66" s="90"/>
      <c r="C66" s="101"/>
      <c r="D66" s="98" t="s">
        <v>1808</v>
      </c>
    </row>
    <row r="67" spans="1:5">
      <c r="A67" s="89" t="s">
        <v>1761</v>
      </c>
      <c r="B67" s="90">
        <f>COUNTA(設計決定一覧!$A$5:$A$189)-COUNTA(設計→要件!$A$6:$A$55)</f>
        <v>135</v>
      </c>
      <c r="C67" s="101">
        <f>IFERROR(B67/$B$73,"-")</f>
        <v>0.72972972972972971</v>
      </c>
      <c r="D67" s="102" t="s">
        <v>1762</v>
      </c>
    </row>
    <row r="68" spans="1:5">
      <c r="A68" s="89" t="s">
        <v>1657</v>
      </c>
      <c r="B68" s="90">
        <f>COUNTIF(設計→要件!$D$6:$D$55,$A68)</f>
        <v>11</v>
      </c>
      <c r="C68" s="101">
        <f>IFERROR(B68/$B$73,"-")</f>
        <v>5.9459459459459463E-2</v>
      </c>
      <c r="D68" s="103" t="s">
        <v>1763</v>
      </c>
    </row>
    <row r="69" spans="1:5">
      <c r="A69" s="89" t="s">
        <v>1674</v>
      </c>
      <c r="B69" s="90">
        <f>COUNTIF(設計→要件!$D$6:$D$55,$A69)</f>
        <v>14</v>
      </c>
      <c r="C69" s="101">
        <f>IFERROR(B69/$B$73,"-")</f>
        <v>7.567567567567568E-2</v>
      </c>
      <c r="D69" s="105" t="s">
        <v>1764</v>
      </c>
    </row>
    <row r="70" spans="1:5">
      <c r="A70" s="89" t="s">
        <v>1705</v>
      </c>
      <c r="B70" s="90">
        <f>COUNTIF(設計→要件!$D$6:$D$55,$A70)</f>
        <v>1</v>
      </c>
      <c r="C70" s="101">
        <f>IFERROR(B70/$B$73,"-")</f>
        <v>5.4054054054054057E-3</v>
      </c>
      <c r="D70" s="98" t="s">
        <v>1765</v>
      </c>
    </row>
    <row r="71" spans="1:5">
      <c r="A71" s="89" t="s">
        <v>1711</v>
      </c>
      <c r="B71" s="90">
        <f>COUNTIF(設計→要件!$D$6:$D$55,$A71)</f>
        <v>23</v>
      </c>
      <c r="C71" s="101">
        <f>IFERROR(B71/$B$73,"-")</f>
        <v>0.12432432432432433</v>
      </c>
      <c r="D71" s="98" t="s">
        <v>1766</v>
      </c>
    </row>
    <row r="72" spans="1:5">
      <c r="A72" s="89" t="s">
        <v>1708</v>
      </c>
      <c r="B72" s="92">
        <f>COUNTIF(設計→要件!$D$6:$D$55,$A72)</f>
        <v>1</v>
      </c>
      <c r="C72" s="104">
        <f>IFERROR(B72/$B$73,"-")</f>
        <v>5.4054054054054057E-3</v>
      </c>
      <c r="D72" s="99"/>
      <c r="E72" s="64"/>
    </row>
    <row r="73" spans="1:5">
      <c r="A73" s="91" t="s">
        <v>13</v>
      </c>
      <c r="B73" s="33">
        <f>SUM(B67:B72)</f>
        <v>185</v>
      </c>
      <c r="C73" s="114">
        <f>IFERROR(B73/$B$73,"-")</f>
        <v>1</v>
      </c>
      <c r="E73" s="33" t="str">
        <f>IF(B73=COUNTA(設計決定一覧!$A$5:$A$189),"✓ 設計決定の総数と一致","⚠ 不一致")</f>
        <v>✓ 設計決定の総数と一致</v>
      </c>
    </row>
    <row r="74" spans="1:5">
      <c r="B74" s="107"/>
    </row>
    <row r="75" spans="1:5" ht="75">
      <c r="A75" s="106" t="s">
        <v>1797</v>
      </c>
      <c r="B75" s="109" t="s">
        <v>1799</v>
      </c>
    </row>
    <row r="76" spans="1:5" ht="60">
      <c r="A76" s="108" t="s">
        <v>1798</v>
      </c>
      <c r="B76" s="110" t="s">
        <v>1801</v>
      </c>
    </row>
    <row r="77" spans="1:5" ht="60">
      <c r="A77" s="108" t="s">
        <v>1800</v>
      </c>
      <c r="B77" s="109" t="s">
        <v>1803</v>
      </c>
    </row>
    <row r="78" spans="1:5" ht="60">
      <c r="A78" s="111" t="s">
        <v>1802</v>
      </c>
      <c r="B78" s="109" t="s">
        <v>1805</v>
      </c>
    </row>
    <row r="79" spans="1:5" ht="75">
      <c r="A79" s="111" t="s">
        <v>1804</v>
      </c>
      <c r="B79" s="112" t="s">
        <v>1807</v>
      </c>
    </row>
    <row r="80" spans="1:5">
      <c r="A80" s="111" t="s">
        <v>1806</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N292"/>
  <sheetViews>
    <sheetView tabSelected="1" topLeftCell="C1" zoomScale="140" workbookViewId="0">
      <pane ySplit="6" topLeftCell="A142" activePane="bottomLeft" state="frozen"/>
      <selection pane="bottomLeft" activeCell="F159" sqref="F159"/>
    </sheetView>
  </sheetViews>
  <sheetFormatPr baseColWidth="10" defaultRowHeight="15"/>
  <cols>
    <col min="1" max="2" width="13.5703125" style="66" customWidth="1"/>
    <col min="3" max="3" width="14.28515625" style="66" customWidth="1"/>
    <col min="4" max="4" width="12.85546875" style="66" customWidth="1"/>
    <col min="5" max="5" width="38.5703125" style="66" customWidth="1"/>
    <col min="6" max="6" width="32.85546875" style="66" customWidth="1"/>
    <col min="7" max="7" width="55.42578125" style="218" customWidth="1"/>
    <col min="8" max="8" width="29.140625" style="218" customWidth="1"/>
    <col min="9" max="9" width="42.85546875" style="66" customWidth="1"/>
    <col min="10" max="10" width="27.140625" style="66" customWidth="1"/>
    <col min="11" max="11" width="15" style="66" customWidth="1"/>
    <col min="12" max="12" width="35.7109375" style="66" customWidth="1"/>
    <col min="13" max="13" width="12.140625" style="66" customWidth="1"/>
    <col min="14" max="14" width="24.42578125" style="66" customWidth="1"/>
    <col min="15" max="16384" width="10.7109375" style="66"/>
  </cols>
  <sheetData>
    <row r="1" spans="1:14">
      <c r="B1" s="65" t="s">
        <v>0</v>
      </c>
    </row>
    <row r="2" spans="1:14">
      <c r="B2" s="65" t="s">
        <v>1</v>
      </c>
      <c r="C2" s="67" t="s">
        <v>2</v>
      </c>
    </row>
    <row r="3" spans="1:14">
      <c r="B3" s="65" t="s">
        <v>3</v>
      </c>
      <c r="C3" s="67" t="s">
        <v>1922</v>
      </c>
    </row>
    <row r="4" spans="1:14">
      <c r="B4" s="65" t="s">
        <v>4</v>
      </c>
      <c r="C4" s="68" t="s">
        <v>5</v>
      </c>
    </row>
    <row r="6" spans="1:14" ht="24" customHeight="1">
      <c r="A6" s="165" t="s">
        <v>3027</v>
      </c>
      <c r="B6" s="82" t="s">
        <v>1956</v>
      </c>
      <c r="C6" s="83" t="s">
        <v>1957</v>
      </c>
      <c r="D6" s="83" t="s">
        <v>1958</v>
      </c>
      <c r="E6" s="83" t="s">
        <v>972</v>
      </c>
      <c r="F6" s="83" t="s">
        <v>17</v>
      </c>
      <c r="G6" s="219" t="s">
        <v>18</v>
      </c>
      <c r="H6" s="219" t="s">
        <v>3701</v>
      </c>
      <c r="I6" s="83" t="s">
        <v>1959</v>
      </c>
      <c r="J6" s="83" t="s">
        <v>15</v>
      </c>
      <c r="K6" s="83" t="s">
        <v>16</v>
      </c>
      <c r="L6" s="83" t="s">
        <v>19</v>
      </c>
      <c r="M6" s="83" t="s">
        <v>2638</v>
      </c>
      <c r="N6" s="134"/>
    </row>
    <row r="7" spans="1:14">
      <c r="A7" s="166" t="s">
        <v>3028</v>
      </c>
      <c r="B7" s="62" t="s">
        <v>1925</v>
      </c>
      <c r="C7" s="39" t="s">
        <v>11</v>
      </c>
      <c r="D7" s="41" t="s">
        <v>8</v>
      </c>
      <c r="E7" s="47" t="s">
        <v>3702</v>
      </c>
      <c r="F7" s="39" t="s">
        <v>3694</v>
      </c>
      <c r="G7" s="40" t="s">
        <v>22</v>
      </c>
      <c r="H7" s="40" t="s">
        <v>3703</v>
      </c>
      <c r="I7" s="141"/>
      <c r="J7" s="137" t="s">
        <v>20</v>
      </c>
      <c r="K7" s="39" t="s">
        <v>21</v>
      </c>
      <c r="L7" s="143" t="s">
        <v>23</v>
      </c>
      <c r="M7" s="139" t="s">
        <v>8</v>
      </c>
      <c r="N7" s="135"/>
    </row>
    <row r="8" spans="1:14" ht="30">
      <c r="A8" s="166" t="s">
        <v>3028</v>
      </c>
      <c r="B8" s="62" t="s">
        <v>1925</v>
      </c>
      <c r="C8" s="39" t="s">
        <v>11</v>
      </c>
      <c r="D8" s="41" t="s">
        <v>8</v>
      </c>
      <c r="E8" s="47" t="s">
        <v>3695</v>
      </c>
      <c r="F8" s="39" t="s">
        <v>3696</v>
      </c>
      <c r="G8" s="40" t="s">
        <v>25</v>
      </c>
      <c r="H8" s="40" t="s">
        <v>3703</v>
      </c>
      <c r="I8" s="141"/>
      <c r="J8" s="137" t="s">
        <v>20</v>
      </c>
      <c r="K8" s="39" t="s">
        <v>24</v>
      </c>
      <c r="L8" s="143" t="s">
        <v>23</v>
      </c>
      <c r="M8" s="139" t="s">
        <v>8</v>
      </c>
      <c r="N8" s="135"/>
    </row>
    <row r="9" spans="1:14">
      <c r="A9" s="166" t="s">
        <v>3028</v>
      </c>
      <c r="B9" s="62" t="s">
        <v>1925</v>
      </c>
      <c r="C9" s="39" t="s">
        <v>11</v>
      </c>
      <c r="D9" s="41" t="s">
        <v>1926</v>
      </c>
      <c r="E9" s="47" t="s">
        <v>973</v>
      </c>
      <c r="F9" s="39" t="s">
        <v>3697</v>
      </c>
      <c r="G9" s="40" t="s">
        <v>27</v>
      </c>
      <c r="H9" s="40" t="s">
        <v>3704</v>
      </c>
      <c r="I9" s="141" t="s">
        <v>1927</v>
      </c>
      <c r="J9" s="137" t="s">
        <v>20</v>
      </c>
      <c r="K9" s="39" t="s">
        <v>26</v>
      </c>
      <c r="L9" s="143" t="s">
        <v>23</v>
      </c>
      <c r="M9" s="139" t="s">
        <v>9</v>
      </c>
      <c r="N9" s="135"/>
    </row>
    <row r="10" spans="1:14" ht="30">
      <c r="A10" s="166" t="s">
        <v>3028</v>
      </c>
      <c r="B10" s="62" t="s">
        <v>1925</v>
      </c>
      <c r="C10" s="39" t="s">
        <v>11</v>
      </c>
      <c r="D10" s="41" t="s">
        <v>3759</v>
      </c>
      <c r="E10" s="47" t="s">
        <v>3698</v>
      </c>
      <c r="F10" s="39" t="s">
        <v>3699</v>
      </c>
      <c r="G10" s="40" t="s">
        <v>29</v>
      </c>
      <c r="H10" s="40" t="s">
        <v>3705</v>
      </c>
      <c r="I10" s="141" t="s">
        <v>1927</v>
      </c>
      <c r="J10" s="137" t="s">
        <v>20</v>
      </c>
      <c r="K10" s="39" t="s">
        <v>28</v>
      </c>
      <c r="L10" s="143" t="s">
        <v>23</v>
      </c>
      <c r="M10" s="139" t="s">
        <v>9</v>
      </c>
      <c r="N10" s="135"/>
    </row>
    <row r="11" spans="1:14">
      <c r="A11" s="166" t="s">
        <v>3028</v>
      </c>
      <c r="B11" s="62" t="s">
        <v>1925</v>
      </c>
      <c r="C11" s="39" t="s">
        <v>11</v>
      </c>
      <c r="D11" s="41" t="s">
        <v>1928</v>
      </c>
      <c r="E11" s="47" t="s">
        <v>974</v>
      </c>
      <c r="F11" s="39" t="s">
        <v>3700</v>
      </c>
      <c r="G11" s="40" t="s">
        <v>31</v>
      </c>
      <c r="H11" s="40" t="s">
        <v>3706</v>
      </c>
      <c r="I11" s="141" t="s">
        <v>1929</v>
      </c>
      <c r="J11" s="137" t="s">
        <v>20</v>
      </c>
      <c r="K11" s="39" t="s">
        <v>30</v>
      </c>
      <c r="L11" s="143" t="s">
        <v>23</v>
      </c>
      <c r="M11" s="139" t="s">
        <v>10</v>
      </c>
      <c r="N11" s="135"/>
    </row>
    <row r="12" spans="1:14" ht="30">
      <c r="A12" s="166" t="s">
        <v>3028</v>
      </c>
      <c r="B12" s="62" t="s">
        <v>1925</v>
      </c>
      <c r="C12" s="39" t="s">
        <v>11</v>
      </c>
      <c r="D12" s="41" t="s">
        <v>1928</v>
      </c>
      <c r="E12" s="47" t="s">
        <v>975</v>
      </c>
      <c r="F12" s="39" t="s">
        <v>33</v>
      </c>
      <c r="G12" s="40" t="s">
        <v>31</v>
      </c>
      <c r="H12" s="40" t="s">
        <v>3707</v>
      </c>
      <c r="I12" s="141" t="s">
        <v>1929</v>
      </c>
      <c r="J12" s="137" t="s">
        <v>20</v>
      </c>
      <c r="K12" s="39" t="s">
        <v>32</v>
      </c>
      <c r="L12" s="143" t="s">
        <v>23</v>
      </c>
      <c r="M12" s="139" t="s">
        <v>10</v>
      </c>
      <c r="N12" s="135"/>
    </row>
    <row r="13" spans="1:14">
      <c r="A13" s="166" t="s">
        <v>3028</v>
      </c>
      <c r="B13" s="62" t="s">
        <v>1925</v>
      </c>
      <c r="C13" s="39" t="s">
        <v>11</v>
      </c>
      <c r="D13" s="41" t="s">
        <v>1928</v>
      </c>
      <c r="E13" s="47" t="s">
        <v>976</v>
      </c>
      <c r="F13" s="39" t="s">
        <v>35</v>
      </c>
      <c r="G13" s="40" t="s">
        <v>36</v>
      </c>
      <c r="H13" s="40" t="s">
        <v>3707</v>
      </c>
      <c r="I13" s="141" t="s">
        <v>1929</v>
      </c>
      <c r="J13" s="137" t="s">
        <v>20</v>
      </c>
      <c r="K13" s="39" t="s">
        <v>34</v>
      </c>
      <c r="L13" s="143" t="s">
        <v>23</v>
      </c>
      <c r="M13" s="139" t="s">
        <v>10</v>
      </c>
      <c r="N13" s="135"/>
    </row>
    <row r="14" spans="1:14" ht="30">
      <c r="A14" s="166" t="s">
        <v>3028</v>
      </c>
      <c r="B14" s="62" t="s">
        <v>1925</v>
      </c>
      <c r="C14" s="39" t="s">
        <v>11</v>
      </c>
      <c r="D14" s="41" t="s">
        <v>8</v>
      </c>
      <c r="E14" s="47" t="s">
        <v>977</v>
      </c>
      <c r="F14" s="39" t="s">
        <v>38</v>
      </c>
      <c r="G14" s="40" t="s">
        <v>39</v>
      </c>
      <c r="H14" s="40" t="s">
        <v>3703</v>
      </c>
      <c r="I14" s="141"/>
      <c r="J14" s="137" t="s">
        <v>20</v>
      </c>
      <c r="K14" s="39" t="s">
        <v>37</v>
      </c>
      <c r="L14" s="143" t="s">
        <v>23</v>
      </c>
      <c r="M14" s="139" t="s">
        <v>8</v>
      </c>
      <c r="N14" s="135"/>
    </row>
    <row r="15" spans="1:14">
      <c r="A15" s="166" t="s">
        <v>3028</v>
      </c>
      <c r="B15" s="62" t="s">
        <v>1925</v>
      </c>
      <c r="C15" s="39" t="s">
        <v>11</v>
      </c>
      <c r="D15" s="41" t="s">
        <v>8</v>
      </c>
      <c r="E15" s="47" t="s">
        <v>978</v>
      </c>
      <c r="F15" s="39" t="s">
        <v>42</v>
      </c>
      <c r="G15" s="40" t="s">
        <v>43</v>
      </c>
      <c r="H15" s="40" t="s">
        <v>3708</v>
      </c>
      <c r="I15" s="141"/>
      <c r="J15" s="137" t="s">
        <v>40</v>
      </c>
      <c r="K15" s="39" t="s">
        <v>41</v>
      </c>
      <c r="L15" s="143" t="s">
        <v>44</v>
      </c>
      <c r="M15" s="139" t="s">
        <v>8</v>
      </c>
      <c r="N15" s="135"/>
    </row>
    <row r="16" spans="1:14" ht="30">
      <c r="A16" s="166" t="s">
        <v>3028</v>
      </c>
      <c r="B16" s="62" t="s">
        <v>1925</v>
      </c>
      <c r="C16" s="39" t="s">
        <v>11</v>
      </c>
      <c r="D16" s="41" t="s">
        <v>1928</v>
      </c>
      <c r="E16" s="47" t="s">
        <v>979</v>
      </c>
      <c r="F16" s="39" t="s">
        <v>46</v>
      </c>
      <c r="G16" s="40" t="s">
        <v>47</v>
      </c>
      <c r="H16" s="40" t="s">
        <v>3710</v>
      </c>
      <c r="I16" s="141" t="s">
        <v>1929</v>
      </c>
      <c r="J16" s="137" t="s">
        <v>40</v>
      </c>
      <c r="K16" s="39" t="s">
        <v>45</v>
      </c>
      <c r="L16" s="143" t="s">
        <v>44</v>
      </c>
      <c r="M16" s="139" t="s">
        <v>10</v>
      </c>
      <c r="N16" s="135"/>
    </row>
    <row r="17" spans="1:14" ht="30">
      <c r="A17" s="166" t="s">
        <v>3028</v>
      </c>
      <c r="B17" s="62" t="s">
        <v>1925</v>
      </c>
      <c r="C17" s="39" t="s">
        <v>11</v>
      </c>
      <c r="D17" s="41" t="s">
        <v>1926</v>
      </c>
      <c r="E17" s="47" t="s">
        <v>980</v>
      </c>
      <c r="F17" s="39" t="s">
        <v>49</v>
      </c>
      <c r="G17" s="40" t="s">
        <v>50</v>
      </c>
      <c r="H17" s="40" t="s">
        <v>3711</v>
      </c>
      <c r="I17" s="141" t="s">
        <v>1927</v>
      </c>
      <c r="J17" s="137" t="s">
        <v>40</v>
      </c>
      <c r="K17" s="39" t="s">
        <v>48</v>
      </c>
      <c r="L17" s="143" t="s">
        <v>44</v>
      </c>
      <c r="M17" s="139" t="s">
        <v>9</v>
      </c>
      <c r="N17" s="135"/>
    </row>
    <row r="18" spans="1:14">
      <c r="A18" s="166" t="s">
        <v>3028</v>
      </c>
      <c r="B18" s="62" t="s">
        <v>1925</v>
      </c>
      <c r="C18" s="39" t="s">
        <v>11</v>
      </c>
      <c r="D18" s="41" t="s">
        <v>1926</v>
      </c>
      <c r="E18" s="47" t="s">
        <v>981</v>
      </c>
      <c r="F18" s="39" t="s">
        <v>52</v>
      </c>
      <c r="G18" s="40" t="s">
        <v>53</v>
      </c>
      <c r="H18" s="40" t="s">
        <v>3711</v>
      </c>
      <c r="I18" s="141" t="s">
        <v>1927</v>
      </c>
      <c r="J18" s="137" t="s">
        <v>40</v>
      </c>
      <c r="K18" s="39" t="s">
        <v>51</v>
      </c>
      <c r="L18" s="143" t="s">
        <v>44</v>
      </c>
      <c r="M18" s="139" t="s">
        <v>9</v>
      </c>
      <c r="N18" s="135"/>
    </row>
    <row r="19" spans="1:14" ht="30">
      <c r="A19" s="166" t="s">
        <v>3028</v>
      </c>
      <c r="B19" s="62" t="s">
        <v>1925</v>
      </c>
      <c r="C19" s="39" t="s">
        <v>11</v>
      </c>
      <c r="D19" s="41" t="s">
        <v>1926</v>
      </c>
      <c r="E19" s="47" t="s">
        <v>982</v>
      </c>
      <c r="F19" s="39" t="s">
        <v>55</v>
      </c>
      <c r="G19" s="40" t="s">
        <v>56</v>
      </c>
      <c r="H19" s="40" t="s">
        <v>3711</v>
      </c>
      <c r="I19" s="141" t="s">
        <v>1927</v>
      </c>
      <c r="J19" s="137" t="s">
        <v>40</v>
      </c>
      <c r="K19" s="39" t="s">
        <v>54</v>
      </c>
      <c r="L19" s="143" t="s">
        <v>44</v>
      </c>
      <c r="M19" s="139" t="s">
        <v>9</v>
      </c>
      <c r="N19" s="135"/>
    </row>
    <row r="20" spans="1:14">
      <c r="A20" s="166" t="s">
        <v>3028</v>
      </c>
      <c r="B20" s="62" t="s">
        <v>1925</v>
      </c>
      <c r="C20" s="39" t="s">
        <v>11</v>
      </c>
      <c r="D20" s="41" t="s">
        <v>1926</v>
      </c>
      <c r="E20" s="47" t="s">
        <v>983</v>
      </c>
      <c r="F20" s="39" t="s">
        <v>58</v>
      </c>
      <c r="G20" s="40" t="s">
        <v>59</v>
      </c>
      <c r="H20" s="40" t="s">
        <v>3711</v>
      </c>
      <c r="I20" s="141" t="s">
        <v>1927</v>
      </c>
      <c r="J20" s="137" t="s">
        <v>40</v>
      </c>
      <c r="K20" s="39" t="s">
        <v>57</v>
      </c>
      <c r="L20" s="143" t="s">
        <v>44</v>
      </c>
      <c r="M20" s="139" t="s">
        <v>9</v>
      </c>
      <c r="N20" s="135"/>
    </row>
    <row r="21" spans="1:14">
      <c r="A21" s="166" t="s">
        <v>3028</v>
      </c>
      <c r="B21" s="62" t="s">
        <v>1930</v>
      </c>
      <c r="C21" s="39" t="s">
        <v>11</v>
      </c>
      <c r="D21" s="41" t="s">
        <v>8</v>
      </c>
      <c r="E21" s="47" t="s">
        <v>984</v>
      </c>
      <c r="F21" s="39" t="s">
        <v>62</v>
      </c>
      <c r="G21" s="40" t="s">
        <v>63</v>
      </c>
      <c r="H21" s="40" t="s">
        <v>3711</v>
      </c>
      <c r="I21" s="141"/>
      <c r="J21" s="137" t="s">
        <v>60</v>
      </c>
      <c r="K21" s="39" t="s">
        <v>61</v>
      </c>
      <c r="L21" s="143" t="s">
        <v>64</v>
      </c>
      <c r="M21" s="139" t="s">
        <v>8</v>
      </c>
      <c r="N21" s="135"/>
    </row>
    <row r="22" spans="1:14" ht="30">
      <c r="A22" s="166" t="s">
        <v>3028</v>
      </c>
      <c r="B22" s="62" t="s">
        <v>1930</v>
      </c>
      <c r="C22" s="39" t="s">
        <v>11</v>
      </c>
      <c r="D22" s="41" t="s">
        <v>1928</v>
      </c>
      <c r="E22" s="47" t="s">
        <v>985</v>
      </c>
      <c r="F22" s="39" t="s">
        <v>66</v>
      </c>
      <c r="G22" s="40" t="s">
        <v>67</v>
      </c>
      <c r="H22" s="40" t="s">
        <v>3709</v>
      </c>
      <c r="I22" s="141" t="s">
        <v>1929</v>
      </c>
      <c r="J22" s="137" t="s">
        <v>60</v>
      </c>
      <c r="K22" s="39" t="s">
        <v>65</v>
      </c>
      <c r="L22" s="143" t="s">
        <v>64</v>
      </c>
      <c r="M22" s="139" t="s">
        <v>10</v>
      </c>
      <c r="N22" s="135"/>
    </row>
    <row r="23" spans="1:14">
      <c r="A23" s="166" t="s">
        <v>3028</v>
      </c>
      <c r="B23" s="62" t="s">
        <v>1930</v>
      </c>
      <c r="C23" s="39" t="s">
        <v>11</v>
      </c>
      <c r="D23" s="41" t="s">
        <v>1928</v>
      </c>
      <c r="E23" s="47" t="s">
        <v>986</v>
      </c>
      <c r="F23" s="39" t="s">
        <v>69</v>
      </c>
      <c r="G23" s="40" t="s">
        <v>70</v>
      </c>
      <c r="H23" s="40" t="s">
        <v>3709</v>
      </c>
      <c r="I23" s="141" t="s">
        <v>1929</v>
      </c>
      <c r="J23" s="137" t="s">
        <v>60</v>
      </c>
      <c r="K23" s="39" t="s">
        <v>68</v>
      </c>
      <c r="L23" s="143" t="s">
        <v>64</v>
      </c>
      <c r="M23" s="139" t="s">
        <v>10</v>
      </c>
      <c r="N23" s="135"/>
    </row>
    <row r="24" spans="1:14">
      <c r="A24" s="166" t="s">
        <v>3028</v>
      </c>
      <c r="B24" s="62" t="s">
        <v>1930</v>
      </c>
      <c r="C24" s="39" t="s">
        <v>11</v>
      </c>
      <c r="D24" s="41" t="s">
        <v>1928</v>
      </c>
      <c r="E24" s="47" t="s">
        <v>987</v>
      </c>
      <c r="F24" s="39" t="s">
        <v>72</v>
      </c>
      <c r="G24" s="40" t="s">
        <v>73</v>
      </c>
      <c r="H24" s="40" t="s">
        <v>3711</v>
      </c>
      <c r="I24" s="141" t="s">
        <v>1929</v>
      </c>
      <c r="J24" s="137" t="s">
        <v>60</v>
      </c>
      <c r="K24" s="39" t="s">
        <v>71</v>
      </c>
      <c r="L24" s="143" t="s">
        <v>64</v>
      </c>
      <c r="M24" s="139" t="s">
        <v>10</v>
      </c>
      <c r="N24" s="135"/>
    </row>
    <row r="25" spans="1:14">
      <c r="A25" s="166" t="s">
        <v>3028</v>
      </c>
      <c r="B25" s="62" t="s">
        <v>1930</v>
      </c>
      <c r="C25" s="39" t="s">
        <v>11</v>
      </c>
      <c r="D25" s="41" t="s">
        <v>1928</v>
      </c>
      <c r="E25" s="47" t="s">
        <v>988</v>
      </c>
      <c r="F25" s="39" t="s">
        <v>75</v>
      </c>
      <c r="G25" s="40" t="s">
        <v>70</v>
      </c>
      <c r="H25" s="40" t="s">
        <v>3713</v>
      </c>
      <c r="I25" s="141" t="s">
        <v>1929</v>
      </c>
      <c r="J25" s="137" t="s">
        <v>60</v>
      </c>
      <c r="K25" s="39" t="s">
        <v>74</v>
      </c>
      <c r="L25" s="143" t="s">
        <v>64</v>
      </c>
      <c r="M25" s="139" t="s">
        <v>10</v>
      </c>
      <c r="N25" s="135"/>
    </row>
    <row r="26" spans="1:14">
      <c r="A26" s="166" t="s">
        <v>3028</v>
      </c>
      <c r="B26" s="62" t="s">
        <v>1930</v>
      </c>
      <c r="C26" s="39" t="s">
        <v>11</v>
      </c>
      <c r="D26" s="41" t="s">
        <v>1928</v>
      </c>
      <c r="E26" s="47" t="s">
        <v>989</v>
      </c>
      <c r="F26" s="39" t="s">
        <v>77</v>
      </c>
      <c r="G26" s="40" t="s">
        <v>78</v>
      </c>
      <c r="H26" s="40" t="s">
        <v>3713</v>
      </c>
      <c r="I26" s="141" t="s">
        <v>1929</v>
      </c>
      <c r="J26" s="137" t="s">
        <v>60</v>
      </c>
      <c r="K26" s="39" t="s">
        <v>76</v>
      </c>
      <c r="L26" s="143" t="s">
        <v>64</v>
      </c>
      <c r="M26" s="139" t="s">
        <v>10</v>
      </c>
      <c r="N26" s="135"/>
    </row>
    <row r="27" spans="1:14">
      <c r="A27" s="166" t="s">
        <v>3028</v>
      </c>
      <c r="B27" s="62" t="s">
        <v>1930</v>
      </c>
      <c r="C27" s="39" t="s">
        <v>11</v>
      </c>
      <c r="D27" s="41" t="s">
        <v>1928</v>
      </c>
      <c r="E27" s="47" t="s">
        <v>990</v>
      </c>
      <c r="F27" s="39" t="s">
        <v>80</v>
      </c>
      <c r="G27" s="40" t="s">
        <v>81</v>
      </c>
      <c r="H27" s="40" t="s">
        <v>3714</v>
      </c>
      <c r="I27" s="141" t="s">
        <v>1929</v>
      </c>
      <c r="J27" s="137" t="s">
        <v>60</v>
      </c>
      <c r="K27" s="39" t="s">
        <v>79</v>
      </c>
      <c r="L27" s="143" t="s">
        <v>64</v>
      </c>
      <c r="M27" s="139" t="s">
        <v>10</v>
      </c>
      <c r="N27" s="135"/>
    </row>
    <row r="28" spans="1:14">
      <c r="A28" s="166" t="s">
        <v>3028</v>
      </c>
      <c r="B28" s="62" t="s">
        <v>1930</v>
      </c>
      <c r="C28" s="39" t="s">
        <v>11</v>
      </c>
      <c r="D28" s="41" t="s">
        <v>1926</v>
      </c>
      <c r="E28" s="47" t="s">
        <v>991</v>
      </c>
      <c r="F28" s="39" t="s">
        <v>83</v>
      </c>
      <c r="G28" s="40" t="s">
        <v>84</v>
      </c>
      <c r="H28" s="40" t="s">
        <v>3715</v>
      </c>
      <c r="I28" s="141" t="s">
        <v>1927</v>
      </c>
      <c r="J28" s="137" t="s">
        <v>60</v>
      </c>
      <c r="K28" s="39" t="s">
        <v>82</v>
      </c>
      <c r="L28" s="143" t="s">
        <v>64</v>
      </c>
      <c r="M28" s="139" t="s">
        <v>9</v>
      </c>
      <c r="N28" s="135"/>
    </row>
    <row r="29" spans="1:14" ht="30">
      <c r="A29" s="166" t="s">
        <v>3028</v>
      </c>
      <c r="B29" s="62" t="s">
        <v>1930</v>
      </c>
      <c r="C29" s="39" t="s">
        <v>11</v>
      </c>
      <c r="D29" s="41" t="s">
        <v>8</v>
      </c>
      <c r="E29" s="47" t="s">
        <v>992</v>
      </c>
      <c r="F29" s="39" t="s">
        <v>87</v>
      </c>
      <c r="G29" s="40" t="s">
        <v>88</v>
      </c>
      <c r="H29" s="40" t="s">
        <v>3716</v>
      </c>
      <c r="I29" s="141"/>
      <c r="J29" s="137" t="s">
        <v>85</v>
      </c>
      <c r="K29" s="39" t="s">
        <v>86</v>
      </c>
      <c r="L29" s="143" t="s">
        <v>89</v>
      </c>
      <c r="M29" s="139" t="s">
        <v>8</v>
      </c>
      <c r="N29" s="135"/>
    </row>
    <row r="30" spans="1:14">
      <c r="A30" s="166" t="s">
        <v>3028</v>
      </c>
      <c r="B30" s="62" t="s">
        <v>1930</v>
      </c>
      <c r="C30" s="39" t="s">
        <v>11</v>
      </c>
      <c r="D30" s="41" t="s">
        <v>8</v>
      </c>
      <c r="E30" s="47" t="s">
        <v>993</v>
      </c>
      <c r="F30" s="39" t="s">
        <v>91</v>
      </c>
      <c r="G30" s="40" t="s">
        <v>92</v>
      </c>
      <c r="H30" s="40" t="s">
        <v>3717</v>
      </c>
      <c r="I30" s="141"/>
      <c r="J30" s="137" t="s">
        <v>85</v>
      </c>
      <c r="K30" s="39" t="s">
        <v>90</v>
      </c>
      <c r="L30" s="143" t="s">
        <v>89</v>
      </c>
      <c r="M30" s="139" t="s">
        <v>8</v>
      </c>
      <c r="N30" s="135"/>
    </row>
    <row r="31" spans="1:14" ht="30">
      <c r="A31" s="166" t="s">
        <v>3028</v>
      </c>
      <c r="B31" s="62" t="s">
        <v>1930</v>
      </c>
      <c r="C31" s="39" t="s">
        <v>11</v>
      </c>
      <c r="D31" s="41" t="s">
        <v>1926</v>
      </c>
      <c r="E31" s="47" t="s">
        <v>994</v>
      </c>
      <c r="F31" s="39" t="s">
        <v>94</v>
      </c>
      <c r="G31" s="40" t="s">
        <v>3718</v>
      </c>
      <c r="H31" s="40" t="s">
        <v>3719</v>
      </c>
      <c r="I31" s="141" t="s">
        <v>1927</v>
      </c>
      <c r="J31" s="137" t="s">
        <v>85</v>
      </c>
      <c r="K31" s="39" t="s">
        <v>93</v>
      </c>
      <c r="L31" s="143" t="s">
        <v>89</v>
      </c>
      <c r="M31" s="139" t="s">
        <v>9</v>
      </c>
      <c r="N31" s="135"/>
    </row>
    <row r="32" spans="1:14">
      <c r="A32" s="166" t="s">
        <v>3028</v>
      </c>
      <c r="B32" s="62" t="s">
        <v>1930</v>
      </c>
      <c r="C32" s="39" t="s">
        <v>11</v>
      </c>
      <c r="D32" s="41" t="s">
        <v>8</v>
      </c>
      <c r="E32" s="47" t="s">
        <v>995</v>
      </c>
      <c r="F32" s="39" t="s">
        <v>97</v>
      </c>
      <c r="G32" s="40" t="s">
        <v>98</v>
      </c>
      <c r="H32" s="40" t="s">
        <v>3719</v>
      </c>
      <c r="I32" s="141"/>
      <c r="J32" s="137" t="s">
        <v>95</v>
      </c>
      <c r="K32" s="39" t="s">
        <v>96</v>
      </c>
      <c r="L32" s="143" t="s">
        <v>99</v>
      </c>
      <c r="M32" s="139" t="s">
        <v>8</v>
      </c>
      <c r="N32" s="135"/>
    </row>
    <row r="33" spans="1:14" ht="30">
      <c r="A33" s="166" t="s">
        <v>3028</v>
      </c>
      <c r="B33" s="62" t="s">
        <v>1930</v>
      </c>
      <c r="C33" s="39" t="s">
        <v>11</v>
      </c>
      <c r="D33" s="41" t="s">
        <v>1926</v>
      </c>
      <c r="E33" s="47" t="s">
        <v>996</v>
      </c>
      <c r="F33" s="39" t="s">
        <v>101</v>
      </c>
      <c r="G33" s="40" t="s">
        <v>102</v>
      </c>
      <c r="H33" s="40" t="s">
        <v>3711</v>
      </c>
      <c r="I33" s="141" t="s">
        <v>1927</v>
      </c>
      <c r="J33" s="137" t="s">
        <v>95</v>
      </c>
      <c r="K33" s="39" t="s">
        <v>100</v>
      </c>
      <c r="L33" s="143" t="s">
        <v>99</v>
      </c>
      <c r="M33" s="139" t="s">
        <v>9</v>
      </c>
      <c r="N33" s="135"/>
    </row>
    <row r="34" spans="1:14" ht="30">
      <c r="A34" s="166" t="s">
        <v>3028</v>
      </c>
      <c r="B34" s="62" t="s">
        <v>1930</v>
      </c>
      <c r="C34" s="39" t="s">
        <v>11</v>
      </c>
      <c r="D34" s="41" t="s">
        <v>1926</v>
      </c>
      <c r="E34" s="47" t="s">
        <v>997</v>
      </c>
      <c r="F34" s="39" t="s">
        <v>104</v>
      </c>
      <c r="G34" s="40" t="s">
        <v>105</v>
      </c>
      <c r="H34" s="40" t="s">
        <v>3711</v>
      </c>
      <c r="I34" s="141" t="s">
        <v>1927</v>
      </c>
      <c r="J34" s="137" t="s">
        <v>95</v>
      </c>
      <c r="K34" s="39" t="s">
        <v>103</v>
      </c>
      <c r="L34" s="143" t="s">
        <v>99</v>
      </c>
      <c r="M34" s="139" t="s">
        <v>9</v>
      </c>
      <c r="N34" s="135"/>
    </row>
    <row r="35" spans="1:14">
      <c r="A35" s="166" t="s">
        <v>3028</v>
      </c>
      <c r="B35" s="62" t="s">
        <v>1931</v>
      </c>
      <c r="C35" s="39" t="s">
        <v>11</v>
      </c>
      <c r="D35" s="41" t="s">
        <v>8</v>
      </c>
      <c r="E35" s="47" t="s">
        <v>998</v>
      </c>
      <c r="F35" s="39" t="s">
        <v>108</v>
      </c>
      <c r="G35" s="40" t="s">
        <v>109</v>
      </c>
      <c r="H35" s="40" t="s">
        <v>3709</v>
      </c>
      <c r="I35" s="141"/>
      <c r="J35" s="137" t="s">
        <v>106</v>
      </c>
      <c r="K35" s="39" t="s">
        <v>107</v>
      </c>
      <c r="L35" s="143" t="s">
        <v>110</v>
      </c>
      <c r="M35" s="139" t="s">
        <v>8</v>
      </c>
      <c r="N35" s="135"/>
    </row>
    <row r="36" spans="1:14" ht="30">
      <c r="A36" s="166" t="s">
        <v>3028</v>
      </c>
      <c r="B36" s="62" t="s">
        <v>1931</v>
      </c>
      <c r="C36" s="39" t="s">
        <v>11</v>
      </c>
      <c r="D36" s="41" t="s">
        <v>1926</v>
      </c>
      <c r="E36" s="47" t="s">
        <v>999</v>
      </c>
      <c r="F36" s="39" t="s">
        <v>112</v>
      </c>
      <c r="G36" s="40" t="s">
        <v>113</v>
      </c>
      <c r="H36" s="40" t="s">
        <v>3709</v>
      </c>
      <c r="I36" s="141" t="s">
        <v>1927</v>
      </c>
      <c r="J36" s="137" t="s">
        <v>106</v>
      </c>
      <c r="K36" s="39" t="s">
        <v>111</v>
      </c>
      <c r="L36" s="143" t="s">
        <v>110</v>
      </c>
      <c r="M36" s="139" t="s">
        <v>9</v>
      </c>
      <c r="N36" s="135"/>
    </row>
    <row r="37" spans="1:14" ht="30">
      <c r="A37" s="166" t="s">
        <v>3028</v>
      </c>
      <c r="B37" s="62" t="s">
        <v>1931</v>
      </c>
      <c r="C37" s="39" t="s">
        <v>11</v>
      </c>
      <c r="D37" s="41" t="s">
        <v>1928</v>
      </c>
      <c r="E37" s="47" t="s">
        <v>1000</v>
      </c>
      <c r="F37" s="39" t="s">
        <v>115</v>
      </c>
      <c r="G37" s="40" t="s">
        <v>116</v>
      </c>
      <c r="H37" s="40" t="s">
        <v>3709</v>
      </c>
      <c r="I37" s="141" t="s">
        <v>1929</v>
      </c>
      <c r="J37" s="137" t="s">
        <v>106</v>
      </c>
      <c r="K37" s="39" t="s">
        <v>114</v>
      </c>
      <c r="L37" s="143" t="s">
        <v>110</v>
      </c>
      <c r="M37" s="139" t="s">
        <v>10</v>
      </c>
      <c r="N37" s="135"/>
    </row>
    <row r="38" spans="1:14">
      <c r="A38" s="166" t="s">
        <v>3028</v>
      </c>
      <c r="B38" s="62" t="s">
        <v>1931</v>
      </c>
      <c r="C38" s="39" t="s">
        <v>11</v>
      </c>
      <c r="D38" s="41" t="s">
        <v>1928</v>
      </c>
      <c r="E38" s="47" t="s">
        <v>1001</v>
      </c>
      <c r="F38" s="39" t="s">
        <v>118</v>
      </c>
      <c r="G38" s="40" t="s">
        <v>119</v>
      </c>
      <c r="H38" s="40" t="s">
        <v>3709</v>
      </c>
      <c r="I38" s="141" t="s">
        <v>1929</v>
      </c>
      <c r="J38" s="137" t="s">
        <v>106</v>
      </c>
      <c r="K38" s="39" t="s">
        <v>117</v>
      </c>
      <c r="L38" s="143" t="s">
        <v>110</v>
      </c>
      <c r="M38" s="139" t="s">
        <v>10</v>
      </c>
      <c r="N38" s="135"/>
    </row>
    <row r="39" spans="1:14">
      <c r="A39" s="166" t="s">
        <v>3028</v>
      </c>
      <c r="B39" s="62" t="s">
        <v>1931</v>
      </c>
      <c r="C39" s="39" t="s">
        <v>11</v>
      </c>
      <c r="D39" s="41" t="s">
        <v>1926</v>
      </c>
      <c r="E39" s="47" t="s">
        <v>1002</v>
      </c>
      <c r="F39" s="39" t="s">
        <v>121</v>
      </c>
      <c r="G39" s="40" t="s">
        <v>122</v>
      </c>
      <c r="H39" s="40" t="s">
        <v>3709</v>
      </c>
      <c r="I39" s="141" t="s">
        <v>1927</v>
      </c>
      <c r="J39" s="137" t="s">
        <v>106</v>
      </c>
      <c r="K39" s="39" t="s">
        <v>120</v>
      </c>
      <c r="L39" s="143" t="s">
        <v>110</v>
      </c>
      <c r="M39" s="139" t="s">
        <v>9</v>
      </c>
      <c r="N39" s="135"/>
    </row>
    <row r="40" spans="1:14" ht="30">
      <c r="A40" s="166" t="s">
        <v>3028</v>
      </c>
      <c r="B40" s="62" t="s">
        <v>1931</v>
      </c>
      <c r="C40" s="39" t="s">
        <v>11</v>
      </c>
      <c r="D40" s="41" t="s">
        <v>1926</v>
      </c>
      <c r="E40" s="47" t="s">
        <v>1003</v>
      </c>
      <c r="F40" s="39" t="s">
        <v>125</v>
      </c>
      <c r="G40" s="40" t="s">
        <v>126</v>
      </c>
      <c r="H40" s="40" t="s">
        <v>3720</v>
      </c>
      <c r="I40" s="141" t="s">
        <v>1927</v>
      </c>
      <c r="J40" s="137" t="s">
        <v>123</v>
      </c>
      <c r="K40" s="39" t="s">
        <v>124</v>
      </c>
      <c r="L40" s="143" t="s">
        <v>127</v>
      </c>
      <c r="M40" s="139" t="s">
        <v>9</v>
      </c>
      <c r="N40" s="135"/>
    </row>
    <row r="41" spans="1:14">
      <c r="A41" s="166" t="s">
        <v>3028</v>
      </c>
      <c r="B41" s="62" t="s">
        <v>1931</v>
      </c>
      <c r="C41" s="39" t="s">
        <v>11</v>
      </c>
      <c r="D41" s="41" t="s">
        <v>1926</v>
      </c>
      <c r="E41" s="47" t="s">
        <v>1004</v>
      </c>
      <c r="F41" s="39" t="s">
        <v>129</v>
      </c>
      <c r="G41" s="40" t="s">
        <v>130</v>
      </c>
      <c r="H41" s="40" t="s">
        <v>3720</v>
      </c>
      <c r="I41" s="141" t="s">
        <v>1927</v>
      </c>
      <c r="J41" s="137" t="s">
        <v>123</v>
      </c>
      <c r="K41" s="39" t="s">
        <v>128</v>
      </c>
      <c r="L41" s="143" t="s">
        <v>127</v>
      </c>
      <c r="M41" s="139" t="s">
        <v>9</v>
      </c>
      <c r="N41" s="135"/>
    </row>
    <row r="42" spans="1:14" ht="30">
      <c r="A42" s="166" t="s">
        <v>3028</v>
      </c>
      <c r="B42" s="62" t="s">
        <v>1931</v>
      </c>
      <c r="C42" s="39" t="s">
        <v>11</v>
      </c>
      <c r="D42" s="41" t="s">
        <v>1928</v>
      </c>
      <c r="E42" s="47" t="s">
        <v>1005</v>
      </c>
      <c r="F42" s="39" t="s">
        <v>132</v>
      </c>
      <c r="G42" s="40" t="s">
        <v>133</v>
      </c>
      <c r="H42" s="40" t="s">
        <v>3711</v>
      </c>
      <c r="I42" s="141" t="s">
        <v>1929</v>
      </c>
      <c r="J42" s="137" t="s">
        <v>123</v>
      </c>
      <c r="K42" s="39" t="s">
        <v>131</v>
      </c>
      <c r="L42" s="143" t="s">
        <v>127</v>
      </c>
      <c r="M42" s="139" t="s">
        <v>10</v>
      </c>
      <c r="N42" s="135"/>
    </row>
    <row r="43" spans="1:14">
      <c r="A43" s="166" t="s">
        <v>3028</v>
      </c>
      <c r="B43" s="62" t="s">
        <v>1931</v>
      </c>
      <c r="C43" s="39" t="s">
        <v>11</v>
      </c>
      <c r="D43" s="41" t="s">
        <v>1926</v>
      </c>
      <c r="E43" s="47" t="s">
        <v>1006</v>
      </c>
      <c r="F43" s="39" t="s">
        <v>135</v>
      </c>
      <c r="G43" s="40" t="s">
        <v>136</v>
      </c>
      <c r="H43" s="40" t="s">
        <v>3720</v>
      </c>
      <c r="I43" s="141" t="s">
        <v>1927</v>
      </c>
      <c r="J43" s="137" t="s">
        <v>123</v>
      </c>
      <c r="K43" s="39" t="s">
        <v>134</v>
      </c>
      <c r="L43" s="143" t="s">
        <v>127</v>
      </c>
      <c r="M43" s="139" t="s">
        <v>9</v>
      </c>
      <c r="N43" s="135"/>
    </row>
    <row r="44" spans="1:14">
      <c r="A44" s="166" t="s">
        <v>3028</v>
      </c>
      <c r="B44" s="62" t="s">
        <v>1932</v>
      </c>
      <c r="C44" s="39" t="s">
        <v>11</v>
      </c>
      <c r="D44" s="41" t="s">
        <v>8</v>
      </c>
      <c r="E44" s="47" t="s">
        <v>1007</v>
      </c>
      <c r="F44" s="39" t="s">
        <v>139</v>
      </c>
      <c r="G44" s="40" t="s">
        <v>140</v>
      </c>
      <c r="H44" s="40" t="s">
        <v>3721</v>
      </c>
      <c r="I44" s="141"/>
      <c r="J44" s="137" t="s">
        <v>137</v>
      </c>
      <c r="K44" s="39" t="s">
        <v>138</v>
      </c>
      <c r="L44" s="143" t="s">
        <v>141</v>
      </c>
      <c r="M44" s="139" t="s">
        <v>8</v>
      </c>
      <c r="N44" s="135"/>
    </row>
    <row r="45" spans="1:14">
      <c r="A45" s="166" t="s">
        <v>3028</v>
      </c>
      <c r="B45" s="62" t="s">
        <v>1932</v>
      </c>
      <c r="C45" s="39" t="s">
        <v>11</v>
      </c>
      <c r="D45" s="41" t="s">
        <v>8</v>
      </c>
      <c r="E45" s="47" t="s">
        <v>1008</v>
      </c>
      <c r="F45" s="39" t="s">
        <v>143</v>
      </c>
      <c r="G45" s="40" t="s">
        <v>144</v>
      </c>
      <c r="H45" s="40" t="s">
        <v>3709</v>
      </c>
      <c r="I45" s="141"/>
      <c r="J45" s="137" t="s">
        <v>137</v>
      </c>
      <c r="K45" s="39" t="s">
        <v>142</v>
      </c>
      <c r="L45" s="143" t="s">
        <v>141</v>
      </c>
      <c r="M45" s="139" t="s">
        <v>8</v>
      </c>
      <c r="N45" s="135"/>
    </row>
    <row r="46" spans="1:14">
      <c r="A46" s="166" t="s">
        <v>3028</v>
      </c>
      <c r="B46" s="62" t="s">
        <v>1932</v>
      </c>
      <c r="C46" s="39" t="s">
        <v>11</v>
      </c>
      <c r="D46" s="41" t="s">
        <v>8</v>
      </c>
      <c r="E46" s="47" t="s">
        <v>1009</v>
      </c>
      <c r="F46" s="39" t="s">
        <v>147</v>
      </c>
      <c r="G46" s="40" t="s">
        <v>148</v>
      </c>
      <c r="H46" s="40" t="s">
        <v>3709</v>
      </c>
      <c r="I46" s="141"/>
      <c r="J46" s="137" t="s">
        <v>145</v>
      </c>
      <c r="K46" s="39" t="s">
        <v>146</v>
      </c>
      <c r="L46" s="143" t="s">
        <v>149</v>
      </c>
      <c r="M46" s="139" t="s">
        <v>8</v>
      </c>
      <c r="N46" s="135"/>
    </row>
    <row r="47" spans="1:14">
      <c r="A47" s="166" t="s">
        <v>3028</v>
      </c>
      <c r="B47" s="62" t="s">
        <v>1932</v>
      </c>
      <c r="C47" s="39" t="s">
        <v>11</v>
      </c>
      <c r="D47" s="41" t="s">
        <v>8</v>
      </c>
      <c r="E47" s="47" t="s">
        <v>1010</v>
      </c>
      <c r="F47" s="39" t="s">
        <v>151</v>
      </c>
      <c r="G47" s="40" t="s">
        <v>148</v>
      </c>
      <c r="H47" s="40" t="s">
        <v>3709</v>
      </c>
      <c r="I47" s="141"/>
      <c r="J47" s="137" t="s">
        <v>145</v>
      </c>
      <c r="K47" s="39" t="s">
        <v>150</v>
      </c>
      <c r="L47" s="143" t="s">
        <v>149</v>
      </c>
      <c r="M47" s="139" t="s">
        <v>8</v>
      </c>
      <c r="N47" s="135"/>
    </row>
    <row r="48" spans="1:14" ht="30">
      <c r="A48" s="166" t="s">
        <v>3028</v>
      </c>
      <c r="B48" s="62" t="s">
        <v>1932</v>
      </c>
      <c r="C48" s="39" t="s">
        <v>11</v>
      </c>
      <c r="D48" s="41" t="s">
        <v>1926</v>
      </c>
      <c r="E48" s="47" t="s">
        <v>1011</v>
      </c>
      <c r="F48" s="39" t="s">
        <v>153</v>
      </c>
      <c r="G48" s="40" t="s">
        <v>154</v>
      </c>
      <c r="H48" s="40" t="s">
        <v>3709</v>
      </c>
      <c r="I48" s="141" t="s">
        <v>1927</v>
      </c>
      <c r="J48" s="137" t="s">
        <v>145</v>
      </c>
      <c r="K48" s="39" t="s">
        <v>152</v>
      </c>
      <c r="L48" s="143" t="s">
        <v>149</v>
      </c>
      <c r="M48" s="139" t="s">
        <v>9</v>
      </c>
      <c r="N48" s="135"/>
    </row>
    <row r="49" spans="1:14">
      <c r="A49" s="166" t="s">
        <v>3028</v>
      </c>
      <c r="B49" s="62" t="s">
        <v>1932</v>
      </c>
      <c r="C49" s="39" t="s">
        <v>11</v>
      </c>
      <c r="D49" s="41" t="s">
        <v>1926</v>
      </c>
      <c r="E49" s="47" t="s">
        <v>1012</v>
      </c>
      <c r="F49" s="39" t="s">
        <v>156</v>
      </c>
      <c r="G49" s="40" t="s">
        <v>157</v>
      </c>
      <c r="H49" s="40" t="s">
        <v>3712</v>
      </c>
      <c r="I49" s="141" t="s">
        <v>1927</v>
      </c>
      <c r="J49" s="137" t="s">
        <v>145</v>
      </c>
      <c r="K49" s="39" t="s">
        <v>155</v>
      </c>
      <c r="L49" s="143" t="s">
        <v>149</v>
      </c>
      <c r="M49" s="139" t="s">
        <v>9</v>
      </c>
      <c r="N49" s="135"/>
    </row>
    <row r="50" spans="1:14">
      <c r="A50" s="166" t="s">
        <v>3028</v>
      </c>
      <c r="B50" s="62" t="s">
        <v>1932</v>
      </c>
      <c r="C50" s="39" t="s">
        <v>11</v>
      </c>
      <c r="D50" s="41" t="s">
        <v>1926</v>
      </c>
      <c r="E50" s="47" t="s">
        <v>1013</v>
      </c>
      <c r="F50" s="39" t="s">
        <v>159</v>
      </c>
      <c r="G50" s="40" t="s">
        <v>160</v>
      </c>
      <c r="H50" s="40" t="s">
        <v>3712</v>
      </c>
      <c r="I50" s="141" t="s">
        <v>1927</v>
      </c>
      <c r="J50" s="137" t="s">
        <v>145</v>
      </c>
      <c r="K50" s="39" t="s">
        <v>158</v>
      </c>
      <c r="L50" s="143" t="s">
        <v>149</v>
      </c>
      <c r="M50" s="139" t="s">
        <v>9</v>
      </c>
      <c r="N50" s="135"/>
    </row>
    <row r="51" spans="1:14">
      <c r="A51" s="166" t="s">
        <v>3028</v>
      </c>
      <c r="B51" s="62" t="s">
        <v>1932</v>
      </c>
      <c r="C51" s="39" t="s">
        <v>11</v>
      </c>
      <c r="D51" s="41" t="s">
        <v>1926</v>
      </c>
      <c r="E51" s="47" t="s">
        <v>1014</v>
      </c>
      <c r="F51" s="39" t="s">
        <v>163</v>
      </c>
      <c r="G51" s="40" t="s">
        <v>164</v>
      </c>
      <c r="H51" s="40" t="s">
        <v>3712</v>
      </c>
      <c r="I51" s="141" t="s">
        <v>1927</v>
      </c>
      <c r="J51" s="137" t="s">
        <v>161</v>
      </c>
      <c r="K51" s="39" t="s">
        <v>162</v>
      </c>
      <c r="L51" s="143" t="s">
        <v>165</v>
      </c>
      <c r="M51" s="139" t="s">
        <v>9</v>
      </c>
      <c r="N51" s="135"/>
    </row>
    <row r="52" spans="1:14">
      <c r="A52" s="166" t="s">
        <v>3028</v>
      </c>
      <c r="B52" s="62" t="s">
        <v>1932</v>
      </c>
      <c r="C52" s="39" t="s">
        <v>11</v>
      </c>
      <c r="D52" s="41" t="s">
        <v>1928</v>
      </c>
      <c r="E52" s="47" t="s">
        <v>1015</v>
      </c>
      <c r="F52" s="39" t="s">
        <v>167</v>
      </c>
      <c r="G52" s="40" t="s">
        <v>168</v>
      </c>
      <c r="H52" s="40" t="s">
        <v>3712</v>
      </c>
      <c r="I52" s="141" t="s">
        <v>1929</v>
      </c>
      <c r="J52" s="137" t="s">
        <v>161</v>
      </c>
      <c r="K52" s="39" t="s">
        <v>166</v>
      </c>
      <c r="L52" s="143" t="s">
        <v>165</v>
      </c>
      <c r="M52" s="139" t="s">
        <v>10</v>
      </c>
      <c r="N52" s="135"/>
    </row>
    <row r="53" spans="1:14" ht="30">
      <c r="A53" s="166" t="s">
        <v>3028</v>
      </c>
      <c r="B53" s="62" t="s">
        <v>1932</v>
      </c>
      <c r="C53" s="39" t="s">
        <v>11</v>
      </c>
      <c r="D53" s="41" t="s">
        <v>1926</v>
      </c>
      <c r="E53" s="47" t="s">
        <v>1016</v>
      </c>
      <c r="F53" s="39" t="s">
        <v>170</v>
      </c>
      <c r="G53" s="40" t="s">
        <v>171</v>
      </c>
      <c r="H53" s="40" t="s">
        <v>3712</v>
      </c>
      <c r="I53" s="141" t="s">
        <v>1927</v>
      </c>
      <c r="J53" s="137" t="s">
        <v>161</v>
      </c>
      <c r="K53" s="39" t="s">
        <v>169</v>
      </c>
      <c r="L53" s="143" t="s">
        <v>165</v>
      </c>
      <c r="M53" s="139" t="s">
        <v>9</v>
      </c>
      <c r="N53" s="135"/>
    </row>
    <row r="54" spans="1:14">
      <c r="A54" s="166" t="s">
        <v>3028</v>
      </c>
      <c r="B54" s="62" t="s">
        <v>1933</v>
      </c>
      <c r="C54" s="39" t="s">
        <v>11</v>
      </c>
      <c r="D54" s="41" t="s">
        <v>8</v>
      </c>
      <c r="E54" s="47" t="s">
        <v>1017</v>
      </c>
      <c r="F54" s="39" t="s">
        <v>174</v>
      </c>
      <c r="G54" s="40" t="s">
        <v>175</v>
      </c>
      <c r="H54" s="40" t="s">
        <v>3722</v>
      </c>
      <c r="I54" s="141"/>
      <c r="J54" s="137" t="s">
        <v>172</v>
      </c>
      <c r="K54" s="39" t="s">
        <v>173</v>
      </c>
      <c r="L54" s="143" t="s">
        <v>176</v>
      </c>
      <c r="M54" s="139" t="s">
        <v>8</v>
      </c>
      <c r="N54" s="135"/>
    </row>
    <row r="55" spans="1:14">
      <c r="A55" s="166" t="s">
        <v>3028</v>
      </c>
      <c r="B55" s="62" t="s">
        <v>1933</v>
      </c>
      <c r="C55" s="39" t="s">
        <v>11</v>
      </c>
      <c r="D55" s="41" t="s">
        <v>8</v>
      </c>
      <c r="E55" s="47" t="s">
        <v>1018</v>
      </c>
      <c r="F55" s="39" t="s">
        <v>178</v>
      </c>
      <c r="G55" s="40" t="s">
        <v>179</v>
      </c>
      <c r="H55" s="40" t="s">
        <v>3722</v>
      </c>
      <c r="I55" s="141"/>
      <c r="J55" s="137" t="s">
        <v>172</v>
      </c>
      <c r="K55" s="39" t="s">
        <v>177</v>
      </c>
      <c r="L55" s="143" t="s">
        <v>176</v>
      </c>
      <c r="M55" s="139" t="s">
        <v>8</v>
      </c>
      <c r="N55" s="135"/>
    </row>
    <row r="56" spans="1:14">
      <c r="A56" s="166" t="s">
        <v>3028</v>
      </c>
      <c r="B56" s="62" t="s">
        <v>1933</v>
      </c>
      <c r="C56" s="39" t="s">
        <v>11</v>
      </c>
      <c r="D56" s="41" t="s">
        <v>8</v>
      </c>
      <c r="E56" s="47" t="s">
        <v>1019</v>
      </c>
      <c r="F56" s="39" t="s">
        <v>181</v>
      </c>
      <c r="G56" s="40" t="s">
        <v>182</v>
      </c>
      <c r="H56" s="40" t="s">
        <v>3712</v>
      </c>
      <c r="I56" s="141"/>
      <c r="J56" s="137" t="s">
        <v>172</v>
      </c>
      <c r="K56" s="39" t="s">
        <v>180</v>
      </c>
      <c r="L56" s="143" t="s">
        <v>176</v>
      </c>
      <c r="M56" s="139" t="s">
        <v>8</v>
      </c>
      <c r="N56" s="135"/>
    </row>
    <row r="57" spans="1:14">
      <c r="A57" s="166" t="s">
        <v>3028</v>
      </c>
      <c r="B57" s="62" t="s">
        <v>1933</v>
      </c>
      <c r="C57" s="39" t="s">
        <v>11</v>
      </c>
      <c r="D57" s="41" t="s">
        <v>1926</v>
      </c>
      <c r="E57" s="47" t="s">
        <v>1020</v>
      </c>
      <c r="F57" s="39" t="s">
        <v>184</v>
      </c>
      <c r="G57" s="40" t="s">
        <v>185</v>
      </c>
      <c r="H57" s="40" t="s">
        <v>3712</v>
      </c>
      <c r="I57" s="141" t="s">
        <v>1927</v>
      </c>
      <c r="J57" s="137" t="s">
        <v>172</v>
      </c>
      <c r="K57" s="39" t="s">
        <v>183</v>
      </c>
      <c r="L57" s="143" t="s">
        <v>176</v>
      </c>
      <c r="M57" s="139" t="s">
        <v>9</v>
      </c>
      <c r="N57" s="135"/>
    </row>
    <row r="58" spans="1:14" ht="30">
      <c r="A58" s="166" t="s">
        <v>3028</v>
      </c>
      <c r="B58" s="62" t="s">
        <v>1933</v>
      </c>
      <c r="C58" s="39" t="s">
        <v>11</v>
      </c>
      <c r="D58" s="41" t="s">
        <v>1926</v>
      </c>
      <c r="E58" s="47" t="s">
        <v>1021</v>
      </c>
      <c r="F58" s="39" t="s">
        <v>187</v>
      </c>
      <c r="G58" s="40" t="s">
        <v>188</v>
      </c>
      <c r="H58" s="40" t="s">
        <v>3705</v>
      </c>
      <c r="I58" s="141" t="s">
        <v>1927</v>
      </c>
      <c r="J58" s="137" t="s">
        <v>172</v>
      </c>
      <c r="K58" s="39" t="s">
        <v>186</v>
      </c>
      <c r="L58" s="143" t="s">
        <v>176</v>
      </c>
      <c r="M58" s="139" t="s">
        <v>9</v>
      </c>
      <c r="N58" s="135"/>
    </row>
    <row r="59" spans="1:14" ht="30">
      <c r="A59" s="166" t="s">
        <v>3028</v>
      </c>
      <c r="B59" s="62" t="s">
        <v>1933</v>
      </c>
      <c r="C59" s="39" t="s">
        <v>11</v>
      </c>
      <c r="D59" s="41" t="s">
        <v>8</v>
      </c>
      <c r="E59" s="47" t="s">
        <v>1022</v>
      </c>
      <c r="F59" s="39" t="s">
        <v>190</v>
      </c>
      <c r="G59" s="40" t="s">
        <v>191</v>
      </c>
      <c r="H59" s="40" t="s">
        <v>3712</v>
      </c>
      <c r="I59" s="141"/>
      <c r="J59" s="137" t="s">
        <v>172</v>
      </c>
      <c r="K59" s="39" t="s">
        <v>189</v>
      </c>
      <c r="L59" s="143" t="s">
        <v>176</v>
      </c>
      <c r="M59" s="139" t="s">
        <v>8</v>
      </c>
      <c r="N59" s="135"/>
    </row>
    <row r="60" spans="1:14">
      <c r="A60" s="166" t="s">
        <v>3028</v>
      </c>
      <c r="B60" s="62" t="s">
        <v>1933</v>
      </c>
      <c r="C60" s="39" t="s">
        <v>11</v>
      </c>
      <c r="D60" s="41" t="s">
        <v>8</v>
      </c>
      <c r="E60" s="47" t="s">
        <v>1023</v>
      </c>
      <c r="F60" s="39" t="s">
        <v>193</v>
      </c>
      <c r="G60" s="40" t="s">
        <v>194</v>
      </c>
      <c r="H60" s="40" t="s">
        <v>3705</v>
      </c>
      <c r="I60" s="141"/>
      <c r="J60" s="137" t="s">
        <v>172</v>
      </c>
      <c r="K60" s="39" t="s">
        <v>192</v>
      </c>
      <c r="L60" s="143" t="s">
        <v>176</v>
      </c>
      <c r="M60" s="139" t="s">
        <v>8</v>
      </c>
      <c r="N60" s="135"/>
    </row>
    <row r="61" spans="1:14">
      <c r="A61" s="166" t="s">
        <v>3028</v>
      </c>
      <c r="B61" s="62" t="s">
        <v>1933</v>
      </c>
      <c r="C61" s="39" t="s">
        <v>11</v>
      </c>
      <c r="D61" s="41" t="s">
        <v>8</v>
      </c>
      <c r="E61" s="47" t="s">
        <v>1024</v>
      </c>
      <c r="F61" s="39" t="s">
        <v>196</v>
      </c>
      <c r="G61" s="40" t="s">
        <v>197</v>
      </c>
      <c r="H61" s="40" t="s">
        <v>3723</v>
      </c>
      <c r="I61" s="141"/>
      <c r="J61" s="137" t="s">
        <v>172</v>
      </c>
      <c r="K61" s="39" t="s">
        <v>195</v>
      </c>
      <c r="L61" s="143" t="s">
        <v>176</v>
      </c>
      <c r="M61" s="139" t="s">
        <v>8</v>
      </c>
      <c r="N61" s="135"/>
    </row>
    <row r="62" spans="1:14">
      <c r="A62" s="166" t="s">
        <v>3028</v>
      </c>
      <c r="B62" s="62" t="s">
        <v>1933</v>
      </c>
      <c r="C62" s="39" t="s">
        <v>11</v>
      </c>
      <c r="D62" s="41" t="s">
        <v>1928</v>
      </c>
      <c r="E62" s="47" t="s">
        <v>1025</v>
      </c>
      <c r="F62" s="39" t="s">
        <v>200</v>
      </c>
      <c r="G62" s="40" t="s">
        <v>201</v>
      </c>
      <c r="H62" s="40" t="s">
        <v>3724</v>
      </c>
      <c r="I62" s="141" t="s">
        <v>1929</v>
      </c>
      <c r="J62" s="137" t="s">
        <v>198</v>
      </c>
      <c r="K62" s="39" t="s">
        <v>199</v>
      </c>
      <c r="L62" s="143" t="s">
        <v>202</v>
      </c>
      <c r="M62" s="139" t="s">
        <v>10</v>
      </c>
      <c r="N62" s="135"/>
    </row>
    <row r="63" spans="1:14" ht="30">
      <c r="A63" s="166" t="s">
        <v>3028</v>
      </c>
      <c r="B63" s="62" t="s">
        <v>1933</v>
      </c>
      <c r="C63" s="39" t="s">
        <v>11</v>
      </c>
      <c r="D63" s="41" t="s">
        <v>1928</v>
      </c>
      <c r="E63" s="47" t="s">
        <v>1026</v>
      </c>
      <c r="F63" s="39" t="s">
        <v>204</v>
      </c>
      <c r="G63" s="40" t="s">
        <v>205</v>
      </c>
      <c r="H63" s="40" t="s">
        <v>3724</v>
      </c>
      <c r="I63" s="141" t="s">
        <v>1929</v>
      </c>
      <c r="J63" s="137" t="s">
        <v>198</v>
      </c>
      <c r="K63" s="39" t="s">
        <v>203</v>
      </c>
      <c r="L63" s="143" t="s">
        <v>202</v>
      </c>
      <c r="M63" s="139" t="s">
        <v>10</v>
      </c>
      <c r="N63" s="135"/>
    </row>
    <row r="64" spans="1:14" ht="30">
      <c r="A64" s="166" t="s">
        <v>3028</v>
      </c>
      <c r="B64" s="62" t="s">
        <v>1934</v>
      </c>
      <c r="C64" s="39" t="s">
        <v>11</v>
      </c>
      <c r="D64" s="41" t="s">
        <v>8</v>
      </c>
      <c r="E64" s="47" t="s">
        <v>1027</v>
      </c>
      <c r="F64" s="39" t="s">
        <v>208</v>
      </c>
      <c r="G64" s="40" t="s">
        <v>209</v>
      </c>
      <c r="H64" s="40" t="s">
        <v>3725</v>
      </c>
      <c r="I64" s="141"/>
      <c r="J64" s="137" t="s">
        <v>206</v>
      </c>
      <c r="K64" s="39" t="s">
        <v>207</v>
      </c>
      <c r="L64" s="143" t="s">
        <v>210</v>
      </c>
      <c r="M64" s="139" t="s">
        <v>8</v>
      </c>
      <c r="N64" s="135"/>
    </row>
    <row r="65" spans="1:14">
      <c r="A65" s="166" t="s">
        <v>3028</v>
      </c>
      <c r="B65" s="62" t="s">
        <v>1934</v>
      </c>
      <c r="C65" s="39" t="s">
        <v>11</v>
      </c>
      <c r="D65" s="41" t="s">
        <v>8</v>
      </c>
      <c r="E65" s="47" t="s">
        <v>1028</v>
      </c>
      <c r="F65" s="39" t="s">
        <v>212</v>
      </c>
      <c r="G65" s="40" t="s">
        <v>213</v>
      </c>
      <c r="H65" s="40" t="s">
        <v>3725</v>
      </c>
      <c r="I65" s="141"/>
      <c r="J65" s="137" t="s">
        <v>206</v>
      </c>
      <c r="K65" s="39" t="s">
        <v>211</v>
      </c>
      <c r="L65" s="143" t="s">
        <v>210</v>
      </c>
      <c r="M65" s="139" t="s">
        <v>8</v>
      </c>
      <c r="N65" s="135"/>
    </row>
    <row r="66" spans="1:14">
      <c r="A66" s="166" t="s">
        <v>3028</v>
      </c>
      <c r="B66" s="62" t="s">
        <v>1934</v>
      </c>
      <c r="C66" s="39" t="s">
        <v>11</v>
      </c>
      <c r="D66" s="41" t="s">
        <v>8</v>
      </c>
      <c r="E66" s="47" t="s">
        <v>1029</v>
      </c>
      <c r="F66" s="39" t="s">
        <v>215</v>
      </c>
      <c r="G66" s="40" t="s">
        <v>216</v>
      </c>
      <c r="H66" s="40" t="s">
        <v>3726</v>
      </c>
      <c r="I66" s="141"/>
      <c r="J66" s="137" t="s">
        <v>206</v>
      </c>
      <c r="K66" s="39" t="s">
        <v>214</v>
      </c>
      <c r="L66" s="143" t="s">
        <v>210</v>
      </c>
      <c r="M66" s="139" t="s">
        <v>8</v>
      </c>
      <c r="N66" s="135"/>
    </row>
    <row r="67" spans="1:14" ht="30">
      <c r="A67" s="166" t="s">
        <v>3028</v>
      </c>
      <c r="B67" s="62" t="s">
        <v>1934</v>
      </c>
      <c r="C67" s="39" t="s">
        <v>11</v>
      </c>
      <c r="D67" s="41" t="s">
        <v>1926</v>
      </c>
      <c r="E67" s="47" t="s">
        <v>1030</v>
      </c>
      <c r="F67" s="39" t="s">
        <v>218</v>
      </c>
      <c r="G67" s="40" t="s">
        <v>3446</v>
      </c>
      <c r="H67" s="40" t="s">
        <v>3712</v>
      </c>
      <c r="I67" s="141" t="s">
        <v>1927</v>
      </c>
      <c r="J67" s="137" t="s">
        <v>206</v>
      </c>
      <c r="K67" s="39" t="s">
        <v>217</v>
      </c>
      <c r="L67" s="143" t="s">
        <v>210</v>
      </c>
      <c r="M67" s="139" t="s">
        <v>9</v>
      </c>
      <c r="N67" s="135"/>
    </row>
    <row r="68" spans="1:14">
      <c r="A68" s="166" t="s">
        <v>3028</v>
      </c>
      <c r="B68" s="62" t="s">
        <v>1934</v>
      </c>
      <c r="C68" s="39" t="s">
        <v>11</v>
      </c>
      <c r="D68" s="41" t="s">
        <v>8</v>
      </c>
      <c r="E68" s="47" t="s">
        <v>1031</v>
      </c>
      <c r="F68" s="39" t="s">
        <v>221</v>
      </c>
      <c r="G68" s="40" t="s">
        <v>222</v>
      </c>
      <c r="H68" s="40" t="s">
        <v>3712</v>
      </c>
      <c r="I68" s="141"/>
      <c r="J68" s="137" t="s">
        <v>219</v>
      </c>
      <c r="K68" s="39" t="s">
        <v>220</v>
      </c>
      <c r="L68" s="143" t="s">
        <v>223</v>
      </c>
      <c r="M68" s="139" t="s">
        <v>8</v>
      </c>
      <c r="N68" s="135"/>
    </row>
    <row r="69" spans="1:14">
      <c r="A69" s="166" t="s">
        <v>3028</v>
      </c>
      <c r="B69" s="62" t="s">
        <v>1934</v>
      </c>
      <c r="C69" s="39" t="s">
        <v>11</v>
      </c>
      <c r="D69" s="41" t="s">
        <v>1926</v>
      </c>
      <c r="E69" s="47" t="s">
        <v>1032</v>
      </c>
      <c r="F69" s="39" t="s">
        <v>225</v>
      </c>
      <c r="G69" s="40" t="s">
        <v>226</v>
      </c>
      <c r="H69" s="40" t="s">
        <v>3727</v>
      </c>
      <c r="I69" s="141" t="s">
        <v>1927</v>
      </c>
      <c r="J69" s="137" t="s">
        <v>219</v>
      </c>
      <c r="K69" s="39" t="s">
        <v>224</v>
      </c>
      <c r="L69" s="143" t="s">
        <v>223</v>
      </c>
      <c r="M69" s="139" t="s">
        <v>9</v>
      </c>
      <c r="N69" s="135"/>
    </row>
    <row r="70" spans="1:14">
      <c r="A70" s="166" t="s">
        <v>3028</v>
      </c>
      <c r="B70" s="62" t="s">
        <v>1934</v>
      </c>
      <c r="C70" s="39" t="s">
        <v>11</v>
      </c>
      <c r="D70" s="41" t="s">
        <v>1926</v>
      </c>
      <c r="E70" s="47" t="s">
        <v>1033</v>
      </c>
      <c r="F70" s="39" t="s">
        <v>228</v>
      </c>
      <c r="G70" s="40" t="s">
        <v>229</v>
      </c>
      <c r="H70" s="40" t="s">
        <v>3727</v>
      </c>
      <c r="I70" s="141" t="s">
        <v>1927</v>
      </c>
      <c r="J70" s="137" t="s">
        <v>219</v>
      </c>
      <c r="K70" s="39" t="s">
        <v>227</v>
      </c>
      <c r="L70" s="143" t="s">
        <v>223</v>
      </c>
      <c r="M70" s="139" t="s">
        <v>9</v>
      </c>
      <c r="N70" s="135"/>
    </row>
    <row r="71" spans="1:14">
      <c r="A71" s="166" t="s">
        <v>3028</v>
      </c>
      <c r="B71" s="62" t="s">
        <v>1934</v>
      </c>
      <c r="C71" s="39" t="s">
        <v>11</v>
      </c>
      <c r="D71" s="41" t="s">
        <v>1926</v>
      </c>
      <c r="E71" s="47" t="s">
        <v>1034</v>
      </c>
      <c r="F71" s="39" t="s">
        <v>232</v>
      </c>
      <c r="G71" s="40" t="s">
        <v>233</v>
      </c>
      <c r="H71" s="40" t="s">
        <v>3725</v>
      </c>
      <c r="I71" s="141" t="s">
        <v>1927</v>
      </c>
      <c r="J71" s="137" t="s">
        <v>230</v>
      </c>
      <c r="K71" s="39" t="s">
        <v>231</v>
      </c>
      <c r="L71" s="143" t="s">
        <v>234</v>
      </c>
      <c r="M71" s="139" t="s">
        <v>9</v>
      </c>
      <c r="N71" s="135"/>
    </row>
    <row r="72" spans="1:14" ht="30">
      <c r="A72" s="166" t="s">
        <v>3028</v>
      </c>
      <c r="B72" s="62" t="s">
        <v>1934</v>
      </c>
      <c r="C72" s="39" t="s">
        <v>11</v>
      </c>
      <c r="D72" s="41" t="s">
        <v>1926</v>
      </c>
      <c r="E72" s="47" t="s">
        <v>1035</v>
      </c>
      <c r="F72" s="39" t="s">
        <v>236</v>
      </c>
      <c r="G72" s="40" t="s">
        <v>237</v>
      </c>
      <c r="H72" s="40" t="s">
        <v>3725</v>
      </c>
      <c r="I72" s="141" t="s">
        <v>1927</v>
      </c>
      <c r="J72" s="137" t="s">
        <v>230</v>
      </c>
      <c r="K72" s="39" t="s">
        <v>235</v>
      </c>
      <c r="L72" s="143" t="s">
        <v>234</v>
      </c>
      <c r="M72" s="139" t="s">
        <v>9</v>
      </c>
      <c r="N72" s="135"/>
    </row>
    <row r="73" spans="1:14">
      <c r="A73" s="166" t="s">
        <v>3028</v>
      </c>
      <c r="B73" s="62" t="s">
        <v>1934</v>
      </c>
      <c r="C73" s="39" t="s">
        <v>11</v>
      </c>
      <c r="D73" s="41" t="s">
        <v>1928</v>
      </c>
      <c r="E73" s="47" t="s">
        <v>1036</v>
      </c>
      <c r="F73" s="39" t="s">
        <v>240</v>
      </c>
      <c r="G73" s="40" t="s">
        <v>241</v>
      </c>
      <c r="H73" s="40" t="s">
        <v>3728</v>
      </c>
      <c r="I73" s="141" t="s">
        <v>1929</v>
      </c>
      <c r="J73" s="137" t="s">
        <v>238</v>
      </c>
      <c r="K73" s="39" t="s">
        <v>239</v>
      </c>
      <c r="L73" s="143" t="s">
        <v>242</v>
      </c>
      <c r="M73" s="139" t="s">
        <v>10</v>
      </c>
      <c r="N73" s="135"/>
    </row>
    <row r="74" spans="1:14" ht="30">
      <c r="A74" s="166" t="s">
        <v>3028</v>
      </c>
      <c r="B74" s="62" t="s">
        <v>1934</v>
      </c>
      <c r="C74" s="39" t="s">
        <v>11</v>
      </c>
      <c r="D74" s="41" t="s">
        <v>1926</v>
      </c>
      <c r="E74" s="47" t="s">
        <v>1037</v>
      </c>
      <c r="F74" s="39" t="s">
        <v>244</v>
      </c>
      <c r="G74" s="40" t="s">
        <v>245</v>
      </c>
      <c r="H74" s="40" t="s">
        <v>3725</v>
      </c>
      <c r="I74" s="141" t="s">
        <v>1927</v>
      </c>
      <c r="J74" s="137" t="s">
        <v>238</v>
      </c>
      <c r="K74" s="39" t="s">
        <v>243</v>
      </c>
      <c r="L74" s="143" t="s">
        <v>242</v>
      </c>
      <c r="M74" s="139" t="s">
        <v>9</v>
      </c>
      <c r="N74" s="135"/>
    </row>
    <row r="75" spans="1:14">
      <c r="A75" s="166" t="s">
        <v>3028</v>
      </c>
      <c r="B75" s="62" t="s">
        <v>1934</v>
      </c>
      <c r="C75" s="39" t="s">
        <v>11</v>
      </c>
      <c r="D75" s="41" t="s">
        <v>8</v>
      </c>
      <c r="E75" s="47" t="s">
        <v>1038</v>
      </c>
      <c r="F75" s="39" t="s">
        <v>247</v>
      </c>
      <c r="G75" s="40" t="s">
        <v>248</v>
      </c>
      <c r="H75" s="40" t="s">
        <v>3725</v>
      </c>
      <c r="I75" s="141"/>
      <c r="J75" s="137" t="s">
        <v>238</v>
      </c>
      <c r="K75" s="39" t="s">
        <v>246</v>
      </c>
      <c r="L75" s="143" t="s">
        <v>242</v>
      </c>
      <c r="M75" s="139" t="s">
        <v>8</v>
      </c>
      <c r="N75" s="135"/>
    </row>
    <row r="76" spans="1:14">
      <c r="A76" s="166" t="s">
        <v>3028</v>
      </c>
      <c r="B76" s="62" t="s">
        <v>1935</v>
      </c>
      <c r="C76" s="39" t="s">
        <v>11</v>
      </c>
      <c r="D76" s="41" t="s">
        <v>8</v>
      </c>
      <c r="E76" s="47" t="s">
        <v>1039</v>
      </c>
      <c r="F76" s="39" t="s">
        <v>251</v>
      </c>
      <c r="G76" s="40" t="s">
        <v>3730</v>
      </c>
      <c r="H76" s="40" t="s">
        <v>3729</v>
      </c>
      <c r="I76" s="141"/>
      <c r="J76" s="137" t="s">
        <v>249</v>
      </c>
      <c r="K76" s="39" t="s">
        <v>250</v>
      </c>
      <c r="L76" s="143" t="s">
        <v>252</v>
      </c>
      <c r="M76" s="139" t="s">
        <v>8</v>
      </c>
      <c r="N76" s="135"/>
    </row>
    <row r="77" spans="1:14">
      <c r="A77" s="166" t="s">
        <v>3028</v>
      </c>
      <c r="B77" s="62" t="s">
        <v>1935</v>
      </c>
      <c r="C77" s="39" t="s">
        <v>11</v>
      </c>
      <c r="D77" s="41" t="s">
        <v>1926</v>
      </c>
      <c r="E77" s="47" t="s">
        <v>1040</v>
      </c>
      <c r="F77" s="39" t="s">
        <v>254</v>
      </c>
      <c r="G77" s="40" t="s">
        <v>255</v>
      </c>
      <c r="H77" s="40" t="s">
        <v>3725</v>
      </c>
      <c r="I77" s="141" t="s">
        <v>1927</v>
      </c>
      <c r="J77" s="137" t="s">
        <v>249</v>
      </c>
      <c r="K77" s="39" t="s">
        <v>253</v>
      </c>
      <c r="L77" s="143" t="s">
        <v>252</v>
      </c>
      <c r="M77" s="139" t="s">
        <v>9</v>
      </c>
      <c r="N77" s="135"/>
    </row>
    <row r="78" spans="1:14">
      <c r="A78" s="166" t="s">
        <v>3028</v>
      </c>
      <c r="B78" s="62" t="s">
        <v>1935</v>
      </c>
      <c r="C78" s="39" t="s">
        <v>11</v>
      </c>
      <c r="D78" s="41" t="s">
        <v>8</v>
      </c>
      <c r="E78" s="47" t="s">
        <v>1041</v>
      </c>
      <c r="F78" s="39" t="s">
        <v>257</v>
      </c>
      <c r="G78" s="40" t="s">
        <v>3731</v>
      </c>
      <c r="H78" s="40" t="s">
        <v>3725</v>
      </c>
      <c r="I78" s="141"/>
      <c r="J78" s="137" t="s">
        <v>249</v>
      </c>
      <c r="K78" s="39" t="s">
        <v>256</v>
      </c>
      <c r="L78" s="143" t="s">
        <v>252</v>
      </c>
      <c r="M78" s="139" t="s">
        <v>8</v>
      </c>
      <c r="N78" s="135"/>
    </row>
    <row r="79" spans="1:14">
      <c r="A79" s="166" t="s">
        <v>3028</v>
      </c>
      <c r="B79" s="62" t="s">
        <v>1935</v>
      </c>
      <c r="C79" s="39" t="s">
        <v>11</v>
      </c>
      <c r="D79" s="41" t="s">
        <v>8</v>
      </c>
      <c r="E79" s="47" t="s">
        <v>1042</v>
      </c>
      <c r="F79" s="39" t="s">
        <v>259</v>
      </c>
      <c r="G79" s="40" t="s">
        <v>3732</v>
      </c>
      <c r="H79" s="40" t="s">
        <v>3725</v>
      </c>
      <c r="I79" s="141"/>
      <c r="J79" s="137" t="s">
        <v>249</v>
      </c>
      <c r="K79" s="39" t="s">
        <v>258</v>
      </c>
      <c r="L79" s="143" t="s">
        <v>252</v>
      </c>
      <c r="M79" s="139" t="s">
        <v>8</v>
      </c>
      <c r="N79" s="135"/>
    </row>
    <row r="80" spans="1:14">
      <c r="A80" s="166" t="s">
        <v>3028</v>
      </c>
      <c r="B80" s="62" t="s">
        <v>1935</v>
      </c>
      <c r="C80" s="39" t="s">
        <v>11</v>
      </c>
      <c r="D80" s="41" t="s">
        <v>1926</v>
      </c>
      <c r="E80" s="47" t="s">
        <v>1043</v>
      </c>
      <c r="F80" s="39" t="s">
        <v>261</v>
      </c>
      <c r="G80" s="40" t="s">
        <v>262</v>
      </c>
      <c r="H80" s="40" t="s">
        <v>3725</v>
      </c>
      <c r="I80" s="141" t="s">
        <v>1927</v>
      </c>
      <c r="J80" s="137" t="s">
        <v>249</v>
      </c>
      <c r="K80" s="39" t="s">
        <v>260</v>
      </c>
      <c r="L80" s="143" t="s">
        <v>252</v>
      </c>
      <c r="M80" s="139" t="s">
        <v>9</v>
      </c>
      <c r="N80" s="135"/>
    </row>
    <row r="81" spans="1:14">
      <c r="A81" s="166" t="s">
        <v>3028</v>
      </c>
      <c r="B81" s="62" t="s">
        <v>1935</v>
      </c>
      <c r="C81" s="39" t="s">
        <v>11</v>
      </c>
      <c r="D81" s="41" t="s">
        <v>8</v>
      </c>
      <c r="E81" s="47" t="s">
        <v>1044</v>
      </c>
      <c r="F81" s="39" t="s">
        <v>264</v>
      </c>
      <c r="G81" s="40" t="s">
        <v>265</v>
      </c>
      <c r="H81" s="40" t="s">
        <v>3733</v>
      </c>
      <c r="I81" s="141"/>
      <c r="J81" s="137" t="s">
        <v>249</v>
      </c>
      <c r="K81" s="39" t="s">
        <v>263</v>
      </c>
      <c r="L81" s="143" t="s">
        <v>252</v>
      </c>
      <c r="M81" s="139" t="s">
        <v>8</v>
      </c>
      <c r="N81" s="135"/>
    </row>
    <row r="82" spans="1:14">
      <c r="A82" s="166" t="s">
        <v>3028</v>
      </c>
      <c r="B82" s="62" t="s">
        <v>1935</v>
      </c>
      <c r="C82" s="39" t="s">
        <v>11</v>
      </c>
      <c r="D82" s="41" t="s">
        <v>1926</v>
      </c>
      <c r="E82" s="47" t="s">
        <v>1045</v>
      </c>
      <c r="F82" s="39" t="s">
        <v>268</v>
      </c>
      <c r="G82" s="40" t="s">
        <v>269</v>
      </c>
      <c r="H82" s="40" t="s">
        <v>3712</v>
      </c>
      <c r="I82" s="141" t="s">
        <v>1927</v>
      </c>
      <c r="J82" s="137" t="s">
        <v>266</v>
      </c>
      <c r="K82" s="39" t="s">
        <v>267</v>
      </c>
      <c r="L82" s="143" t="s">
        <v>270</v>
      </c>
      <c r="M82" s="139" t="s">
        <v>9</v>
      </c>
      <c r="N82" s="135"/>
    </row>
    <row r="83" spans="1:14">
      <c r="A83" s="166" t="s">
        <v>3028</v>
      </c>
      <c r="B83" s="62" t="s">
        <v>1935</v>
      </c>
      <c r="C83" s="39" t="s">
        <v>11</v>
      </c>
      <c r="D83" s="41" t="s">
        <v>1926</v>
      </c>
      <c r="E83" s="47" t="s">
        <v>1046</v>
      </c>
      <c r="F83" s="39" t="s">
        <v>272</v>
      </c>
      <c r="G83" s="40" t="s">
        <v>273</v>
      </c>
      <c r="H83" s="40" t="s">
        <v>3712</v>
      </c>
      <c r="I83" s="141" t="s">
        <v>1927</v>
      </c>
      <c r="J83" s="137" t="s">
        <v>266</v>
      </c>
      <c r="K83" s="39" t="s">
        <v>271</v>
      </c>
      <c r="L83" s="143" t="s">
        <v>270</v>
      </c>
      <c r="M83" s="139" t="s">
        <v>9</v>
      </c>
      <c r="N83" s="135"/>
    </row>
    <row r="84" spans="1:14">
      <c r="A84" s="166" t="s">
        <v>3028</v>
      </c>
      <c r="B84" s="62" t="s">
        <v>1935</v>
      </c>
      <c r="C84" s="39" t="s">
        <v>11</v>
      </c>
      <c r="D84" s="41" t="s">
        <v>1928</v>
      </c>
      <c r="E84" s="47" t="s">
        <v>3734</v>
      </c>
      <c r="F84" s="39" t="s">
        <v>276</v>
      </c>
      <c r="G84" s="40" t="s">
        <v>277</v>
      </c>
      <c r="H84" s="40" t="s">
        <v>3712</v>
      </c>
      <c r="I84" s="141" t="s">
        <v>1929</v>
      </c>
      <c r="J84" s="137" t="s">
        <v>274</v>
      </c>
      <c r="K84" s="39" t="s">
        <v>275</v>
      </c>
      <c r="L84" s="143" t="s">
        <v>278</v>
      </c>
      <c r="M84" s="139" t="s">
        <v>10</v>
      </c>
      <c r="N84" s="135"/>
    </row>
    <row r="85" spans="1:14">
      <c r="A85" s="166" t="s">
        <v>3028</v>
      </c>
      <c r="B85" s="62" t="s">
        <v>1935</v>
      </c>
      <c r="C85" s="39" t="s">
        <v>11</v>
      </c>
      <c r="D85" s="41" t="s">
        <v>1926</v>
      </c>
      <c r="E85" s="47" t="s">
        <v>1047</v>
      </c>
      <c r="F85" s="39" t="s">
        <v>280</v>
      </c>
      <c r="G85" s="40" t="s">
        <v>3736</v>
      </c>
      <c r="H85" s="40" t="s">
        <v>3712</v>
      </c>
      <c r="I85" s="141" t="s">
        <v>1927</v>
      </c>
      <c r="J85" s="137" t="s">
        <v>274</v>
      </c>
      <c r="K85" s="39" t="s">
        <v>279</v>
      </c>
      <c r="L85" s="143" t="s">
        <v>278</v>
      </c>
      <c r="M85" s="139" t="s">
        <v>9</v>
      </c>
      <c r="N85" s="135"/>
    </row>
    <row r="86" spans="1:14">
      <c r="A86" s="166" t="s">
        <v>3028</v>
      </c>
      <c r="B86" s="62" t="s">
        <v>1935</v>
      </c>
      <c r="C86" s="39" t="s">
        <v>11</v>
      </c>
      <c r="D86" s="41" t="s">
        <v>1928</v>
      </c>
      <c r="E86" s="47" t="s">
        <v>1048</v>
      </c>
      <c r="F86" s="39" t="s">
        <v>282</v>
      </c>
      <c r="G86" s="40" t="s">
        <v>3735</v>
      </c>
      <c r="H86" s="40" t="s">
        <v>3712</v>
      </c>
      <c r="I86" s="141" t="s">
        <v>1929</v>
      </c>
      <c r="J86" s="137" t="s">
        <v>274</v>
      </c>
      <c r="K86" s="39" t="s">
        <v>281</v>
      </c>
      <c r="L86" s="143" t="s">
        <v>278</v>
      </c>
      <c r="M86" s="139" t="s">
        <v>10</v>
      </c>
      <c r="N86" s="135"/>
    </row>
    <row r="87" spans="1:14" ht="30">
      <c r="A87" s="166" t="s">
        <v>3028</v>
      </c>
      <c r="B87" s="62" t="s">
        <v>1935</v>
      </c>
      <c r="C87" s="39" t="s">
        <v>11</v>
      </c>
      <c r="D87" s="41" t="s">
        <v>1926</v>
      </c>
      <c r="E87" s="47" t="s">
        <v>1049</v>
      </c>
      <c r="F87" s="39" t="s">
        <v>284</v>
      </c>
      <c r="G87" s="40" t="s">
        <v>285</v>
      </c>
      <c r="H87" s="40" t="s">
        <v>3712</v>
      </c>
      <c r="I87" s="141" t="s">
        <v>1927</v>
      </c>
      <c r="J87" s="137" t="s">
        <v>274</v>
      </c>
      <c r="K87" s="39" t="s">
        <v>283</v>
      </c>
      <c r="L87" s="143" t="s">
        <v>278</v>
      </c>
      <c r="M87" s="139" t="s">
        <v>9</v>
      </c>
      <c r="N87" s="135"/>
    </row>
    <row r="88" spans="1:14">
      <c r="A88" s="166" t="s">
        <v>3028</v>
      </c>
      <c r="B88" s="62" t="s">
        <v>1936</v>
      </c>
      <c r="C88" s="39" t="s">
        <v>11</v>
      </c>
      <c r="D88" s="41" t="s">
        <v>8</v>
      </c>
      <c r="E88" s="47" t="s">
        <v>1050</v>
      </c>
      <c r="F88" s="39" t="s">
        <v>288</v>
      </c>
      <c r="G88" s="40" t="s">
        <v>148</v>
      </c>
      <c r="H88" s="40" t="s">
        <v>3737</v>
      </c>
      <c r="I88" s="141"/>
      <c r="J88" s="137" t="s">
        <v>286</v>
      </c>
      <c r="K88" s="39" t="s">
        <v>287</v>
      </c>
      <c r="L88" s="143" t="s">
        <v>289</v>
      </c>
      <c r="M88" s="139" t="s">
        <v>8</v>
      </c>
      <c r="N88" s="135"/>
    </row>
    <row r="89" spans="1:14">
      <c r="A89" s="166" t="s">
        <v>3028</v>
      </c>
      <c r="B89" s="62" t="s">
        <v>1936</v>
      </c>
      <c r="C89" s="39" t="s">
        <v>11</v>
      </c>
      <c r="D89" s="41" t="s">
        <v>8</v>
      </c>
      <c r="E89" s="47" t="s">
        <v>1051</v>
      </c>
      <c r="F89" s="39" t="s">
        <v>291</v>
      </c>
      <c r="G89" s="40" t="s">
        <v>148</v>
      </c>
      <c r="H89" s="40" t="s">
        <v>3738</v>
      </c>
      <c r="I89" s="141"/>
      <c r="J89" s="137" t="s">
        <v>286</v>
      </c>
      <c r="K89" s="39" t="s">
        <v>290</v>
      </c>
      <c r="L89" s="143" t="s">
        <v>289</v>
      </c>
      <c r="M89" s="139" t="s">
        <v>8</v>
      </c>
      <c r="N89" s="135"/>
    </row>
    <row r="90" spans="1:14">
      <c r="A90" s="166" t="s">
        <v>3028</v>
      </c>
      <c r="B90" s="62" t="s">
        <v>1936</v>
      </c>
      <c r="C90" s="39" t="s">
        <v>11</v>
      </c>
      <c r="D90" s="41" t="s">
        <v>8</v>
      </c>
      <c r="E90" s="47" t="s">
        <v>1052</v>
      </c>
      <c r="F90" s="39" t="s">
        <v>293</v>
      </c>
      <c r="G90" s="40" t="s">
        <v>294</v>
      </c>
      <c r="H90" s="40" t="s">
        <v>3740</v>
      </c>
      <c r="I90" s="141"/>
      <c r="J90" s="137" t="s">
        <v>286</v>
      </c>
      <c r="K90" s="39" t="s">
        <v>292</v>
      </c>
      <c r="L90" s="143" t="s">
        <v>289</v>
      </c>
      <c r="M90" s="139" t="s">
        <v>8</v>
      </c>
      <c r="N90" s="135"/>
    </row>
    <row r="91" spans="1:14">
      <c r="A91" s="166" t="s">
        <v>3028</v>
      </c>
      <c r="B91" s="62" t="s">
        <v>1936</v>
      </c>
      <c r="C91" s="39" t="s">
        <v>11</v>
      </c>
      <c r="D91" s="41" t="s">
        <v>1926</v>
      </c>
      <c r="E91" s="47" t="s">
        <v>1053</v>
      </c>
      <c r="F91" s="39" t="s">
        <v>296</v>
      </c>
      <c r="G91" s="40" t="s">
        <v>157</v>
      </c>
      <c r="H91" s="40" t="s">
        <v>3739</v>
      </c>
      <c r="I91" s="141" t="s">
        <v>1927</v>
      </c>
      <c r="J91" s="137" t="s">
        <v>286</v>
      </c>
      <c r="K91" s="39" t="s">
        <v>295</v>
      </c>
      <c r="L91" s="143" t="s">
        <v>289</v>
      </c>
      <c r="M91" s="139" t="s">
        <v>9</v>
      </c>
      <c r="N91" s="135"/>
    </row>
    <row r="92" spans="1:14">
      <c r="A92" s="166" t="s">
        <v>3028</v>
      </c>
      <c r="B92" s="62" t="s">
        <v>1936</v>
      </c>
      <c r="C92" s="39" t="s">
        <v>11</v>
      </c>
      <c r="D92" s="41" t="s">
        <v>8</v>
      </c>
      <c r="E92" s="47" t="s">
        <v>1054</v>
      </c>
      <c r="F92" s="39" t="s">
        <v>298</v>
      </c>
      <c r="G92" s="40" t="s">
        <v>299</v>
      </c>
      <c r="H92" s="40" t="s">
        <v>3741</v>
      </c>
      <c r="I92" s="141"/>
      <c r="J92" s="137" t="s">
        <v>286</v>
      </c>
      <c r="K92" s="39" t="s">
        <v>297</v>
      </c>
      <c r="L92" s="143" t="s">
        <v>289</v>
      </c>
      <c r="M92" s="139" t="s">
        <v>8</v>
      </c>
      <c r="N92" s="135"/>
    </row>
    <row r="93" spans="1:14">
      <c r="A93" s="166" t="s">
        <v>3028</v>
      </c>
      <c r="B93" s="62" t="s">
        <v>1936</v>
      </c>
      <c r="C93" s="39" t="s">
        <v>11</v>
      </c>
      <c r="D93" s="41" t="s">
        <v>1926</v>
      </c>
      <c r="E93" s="47" t="s">
        <v>1055</v>
      </c>
      <c r="F93" s="39" t="s">
        <v>302</v>
      </c>
      <c r="G93" s="40" t="s">
        <v>303</v>
      </c>
      <c r="H93" s="40" t="s">
        <v>3743</v>
      </c>
      <c r="I93" s="141" t="s">
        <v>1927</v>
      </c>
      <c r="J93" s="137" t="s">
        <v>300</v>
      </c>
      <c r="K93" s="39" t="s">
        <v>301</v>
      </c>
      <c r="L93" s="143" t="s">
        <v>304</v>
      </c>
      <c r="M93" s="139" t="s">
        <v>9</v>
      </c>
      <c r="N93" s="135"/>
    </row>
    <row r="94" spans="1:14">
      <c r="A94" s="166" t="s">
        <v>3028</v>
      </c>
      <c r="B94" s="62" t="s">
        <v>1936</v>
      </c>
      <c r="C94" s="39" t="s">
        <v>11</v>
      </c>
      <c r="D94" s="41" t="s">
        <v>1928</v>
      </c>
      <c r="E94" s="47" t="s">
        <v>1056</v>
      </c>
      <c r="F94" s="39" t="s">
        <v>306</v>
      </c>
      <c r="G94" s="40" t="s">
        <v>307</v>
      </c>
      <c r="H94" s="40" t="s">
        <v>3742</v>
      </c>
      <c r="I94" s="141" t="s">
        <v>1929</v>
      </c>
      <c r="J94" s="137" t="s">
        <v>300</v>
      </c>
      <c r="K94" s="39" t="s">
        <v>305</v>
      </c>
      <c r="L94" s="143" t="s">
        <v>304</v>
      </c>
      <c r="M94" s="139" t="s">
        <v>10</v>
      </c>
      <c r="N94" s="135"/>
    </row>
    <row r="95" spans="1:14" ht="30">
      <c r="A95" s="166" t="s">
        <v>3028</v>
      </c>
      <c r="B95" s="62" t="s">
        <v>1936</v>
      </c>
      <c r="C95" s="39" t="s">
        <v>11</v>
      </c>
      <c r="D95" s="41" t="s">
        <v>1928</v>
      </c>
      <c r="E95" s="47" t="s">
        <v>1057</v>
      </c>
      <c r="F95" s="39" t="s">
        <v>3744</v>
      </c>
      <c r="G95" s="40" t="s">
        <v>310</v>
      </c>
      <c r="H95" s="40" t="s">
        <v>3746</v>
      </c>
      <c r="I95" s="141" t="s">
        <v>1929</v>
      </c>
      <c r="J95" s="137" t="s">
        <v>308</v>
      </c>
      <c r="K95" s="39" t="s">
        <v>309</v>
      </c>
      <c r="L95" s="143" t="s">
        <v>311</v>
      </c>
      <c r="M95" s="139" t="s">
        <v>10</v>
      </c>
      <c r="N95" s="135"/>
    </row>
    <row r="96" spans="1:14">
      <c r="A96" s="166" t="s">
        <v>3028</v>
      </c>
      <c r="B96" s="62" t="s">
        <v>1936</v>
      </c>
      <c r="C96" s="39" t="s">
        <v>11</v>
      </c>
      <c r="D96" s="41" t="s">
        <v>1926</v>
      </c>
      <c r="E96" s="47" t="s">
        <v>1058</v>
      </c>
      <c r="F96" s="39" t="s">
        <v>313</v>
      </c>
      <c r="G96" s="40" t="s">
        <v>314</v>
      </c>
      <c r="H96" s="40" t="s">
        <v>3745</v>
      </c>
      <c r="I96" s="141" t="s">
        <v>1927</v>
      </c>
      <c r="J96" s="137" t="s">
        <v>308</v>
      </c>
      <c r="K96" s="39" t="s">
        <v>312</v>
      </c>
      <c r="L96" s="143" t="s">
        <v>311</v>
      </c>
      <c r="M96" s="139" t="s">
        <v>9</v>
      </c>
      <c r="N96" s="135"/>
    </row>
    <row r="97" spans="1:14" ht="30">
      <c r="A97" s="166" t="s">
        <v>3028</v>
      </c>
      <c r="B97" s="62" t="s">
        <v>1936</v>
      </c>
      <c r="C97" s="39" t="s">
        <v>11</v>
      </c>
      <c r="D97" s="41" t="s">
        <v>8</v>
      </c>
      <c r="E97" s="47" t="s">
        <v>1059</v>
      </c>
      <c r="F97" s="39" t="s">
        <v>316</v>
      </c>
      <c r="G97" s="40" t="s">
        <v>317</v>
      </c>
      <c r="H97" s="40" t="s">
        <v>3747</v>
      </c>
      <c r="I97" s="141"/>
      <c r="J97" s="137" t="s">
        <v>308</v>
      </c>
      <c r="K97" s="39" t="s">
        <v>315</v>
      </c>
      <c r="L97" s="143" t="s">
        <v>311</v>
      </c>
      <c r="M97" s="139" t="s">
        <v>8</v>
      </c>
      <c r="N97" s="135"/>
    </row>
    <row r="98" spans="1:14" ht="30">
      <c r="A98" s="166" t="s">
        <v>3028</v>
      </c>
      <c r="B98" s="62" t="s">
        <v>1937</v>
      </c>
      <c r="C98" s="39" t="s">
        <v>12</v>
      </c>
      <c r="D98" s="41" t="s">
        <v>1928</v>
      </c>
      <c r="E98" s="47" t="s">
        <v>1060</v>
      </c>
      <c r="F98" s="39" t="s">
        <v>320</v>
      </c>
      <c r="G98" s="40" t="s">
        <v>321</v>
      </c>
      <c r="H98" s="40" t="s">
        <v>3711</v>
      </c>
      <c r="I98" s="141" t="s">
        <v>1929</v>
      </c>
      <c r="J98" s="137" t="s">
        <v>318</v>
      </c>
      <c r="K98" s="39" t="s">
        <v>319</v>
      </c>
      <c r="L98" s="143" t="s">
        <v>322</v>
      </c>
      <c r="M98" s="139" t="s">
        <v>10</v>
      </c>
      <c r="N98" s="135"/>
    </row>
    <row r="99" spans="1:14" ht="30">
      <c r="A99" s="166" t="s">
        <v>3028</v>
      </c>
      <c r="B99" s="62" t="s">
        <v>1937</v>
      </c>
      <c r="C99" s="39" t="s">
        <v>12</v>
      </c>
      <c r="D99" s="41" t="s">
        <v>1928</v>
      </c>
      <c r="E99" s="47" t="s">
        <v>1061</v>
      </c>
      <c r="F99" s="39" t="s">
        <v>324</v>
      </c>
      <c r="G99" s="40" t="s">
        <v>325</v>
      </c>
      <c r="H99" s="40" t="s">
        <v>3711</v>
      </c>
      <c r="I99" s="141" t="s">
        <v>1929</v>
      </c>
      <c r="J99" s="137" t="s">
        <v>318</v>
      </c>
      <c r="K99" s="39" t="s">
        <v>323</v>
      </c>
      <c r="L99" s="143" t="s">
        <v>322</v>
      </c>
      <c r="M99" s="139" t="s">
        <v>10</v>
      </c>
      <c r="N99" s="135"/>
    </row>
    <row r="100" spans="1:14">
      <c r="A100" s="166" t="s">
        <v>3028</v>
      </c>
      <c r="B100" s="62" t="s">
        <v>1937</v>
      </c>
      <c r="C100" s="39" t="s">
        <v>12</v>
      </c>
      <c r="D100" s="41" t="s">
        <v>1926</v>
      </c>
      <c r="E100" s="47" t="s">
        <v>1062</v>
      </c>
      <c r="F100" s="39" t="s">
        <v>327</v>
      </c>
      <c r="G100" s="40" t="s">
        <v>328</v>
      </c>
      <c r="H100" s="40" t="s">
        <v>3743</v>
      </c>
      <c r="I100" s="141" t="s">
        <v>1927</v>
      </c>
      <c r="J100" s="137" t="s">
        <v>318</v>
      </c>
      <c r="K100" s="39" t="s">
        <v>326</v>
      </c>
      <c r="L100" s="143" t="s">
        <v>322</v>
      </c>
      <c r="M100" s="139" t="s">
        <v>9</v>
      </c>
      <c r="N100" s="135"/>
    </row>
    <row r="101" spans="1:14">
      <c r="A101" s="166" t="s">
        <v>3028</v>
      </c>
      <c r="B101" s="62" t="s">
        <v>1937</v>
      </c>
      <c r="C101" s="39" t="s">
        <v>12</v>
      </c>
      <c r="D101" s="41" t="s">
        <v>8</v>
      </c>
      <c r="E101" s="47" t="s">
        <v>1063</v>
      </c>
      <c r="F101" s="39" t="s">
        <v>330</v>
      </c>
      <c r="G101" s="40" t="s">
        <v>331</v>
      </c>
      <c r="H101" s="40" t="s">
        <v>3743</v>
      </c>
      <c r="I101" s="141"/>
      <c r="J101" s="137" t="s">
        <v>318</v>
      </c>
      <c r="K101" s="39" t="s">
        <v>329</v>
      </c>
      <c r="L101" s="143" t="s">
        <v>322</v>
      </c>
      <c r="M101" s="139" t="s">
        <v>8</v>
      </c>
      <c r="N101" s="135"/>
    </row>
    <row r="102" spans="1:14">
      <c r="A102" s="166" t="s">
        <v>3028</v>
      </c>
      <c r="B102" s="62" t="s">
        <v>1937</v>
      </c>
      <c r="C102" s="39" t="s">
        <v>12</v>
      </c>
      <c r="D102" s="41" t="s">
        <v>1926</v>
      </c>
      <c r="E102" s="47" t="s">
        <v>1064</v>
      </c>
      <c r="F102" s="39" t="s">
        <v>333</v>
      </c>
      <c r="G102" s="40" t="s">
        <v>334</v>
      </c>
      <c r="H102" s="40" t="s">
        <v>3711</v>
      </c>
      <c r="I102" s="141" t="s">
        <v>1927</v>
      </c>
      <c r="J102" s="137" t="s">
        <v>318</v>
      </c>
      <c r="K102" s="39" t="s">
        <v>332</v>
      </c>
      <c r="L102" s="143" t="s">
        <v>322</v>
      </c>
      <c r="M102" s="139" t="s">
        <v>9</v>
      </c>
      <c r="N102" s="135"/>
    </row>
    <row r="103" spans="1:14">
      <c r="A103" s="166" t="s">
        <v>3028</v>
      </c>
      <c r="B103" s="62" t="s">
        <v>1937</v>
      </c>
      <c r="C103" s="39" t="s">
        <v>12</v>
      </c>
      <c r="D103" s="41" t="s">
        <v>1926</v>
      </c>
      <c r="E103" s="47" t="s">
        <v>1065</v>
      </c>
      <c r="F103" s="39" t="s">
        <v>336</v>
      </c>
      <c r="G103" s="40" t="s">
        <v>337</v>
      </c>
      <c r="H103" s="40" t="s">
        <v>3711</v>
      </c>
      <c r="I103" s="141" t="s">
        <v>1927</v>
      </c>
      <c r="J103" s="137" t="s">
        <v>318</v>
      </c>
      <c r="K103" s="39" t="s">
        <v>335</v>
      </c>
      <c r="L103" s="143" t="s">
        <v>322</v>
      </c>
      <c r="M103" s="139" t="s">
        <v>9</v>
      </c>
      <c r="N103" s="135"/>
    </row>
    <row r="104" spans="1:14">
      <c r="A104" s="166" t="s">
        <v>3028</v>
      </c>
      <c r="B104" s="62" t="s">
        <v>1938</v>
      </c>
      <c r="C104" s="39" t="s">
        <v>12</v>
      </c>
      <c r="D104" s="41" t="s">
        <v>1926</v>
      </c>
      <c r="E104" s="47" t="s">
        <v>1066</v>
      </c>
      <c r="F104" s="39" t="s">
        <v>340</v>
      </c>
      <c r="G104" s="40" t="s">
        <v>341</v>
      </c>
      <c r="H104" s="40" t="s">
        <v>3711</v>
      </c>
      <c r="I104" s="141" t="s">
        <v>1927</v>
      </c>
      <c r="J104" s="137" t="s">
        <v>338</v>
      </c>
      <c r="K104" s="39" t="s">
        <v>339</v>
      </c>
      <c r="L104" s="143" t="s">
        <v>342</v>
      </c>
      <c r="M104" s="139" t="s">
        <v>9</v>
      </c>
      <c r="N104" s="135"/>
    </row>
    <row r="105" spans="1:14">
      <c r="A105" s="166" t="s">
        <v>3028</v>
      </c>
      <c r="B105" s="62" t="s">
        <v>1938</v>
      </c>
      <c r="C105" s="39" t="s">
        <v>12</v>
      </c>
      <c r="D105" s="41" t="s">
        <v>8</v>
      </c>
      <c r="E105" s="47" t="s">
        <v>1067</v>
      </c>
      <c r="F105" s="39" t="s">
        <v>344</v>
      </c>
      <c r="G105" s="40" t="s">
        <v>345</v>
      </c>
      <c r="H105" s="40" t="s">
        <v>3705</v>
      </c>
      <c r="I105" s="141"/>
      <c r="J105" s="137" t="s">
        <v>338</v>
      </c>
      <c r="K105" s="39" t="s">
        <v>343</v>
      </c>
      <c r="L105" s="143" t="s">
        <v>342</v>
      </c>
      <c r="M105" s="139" t="s">
        <v>8</v>
      </c>
      <c r="N105" s="135"/>
    </row>
    <row r="106" spans="1:14">
      <c r="A106" s="166" t="s">
        <v>3028</v>
      </c>
      <c r="B106" s="62" t="s">
        <v>1938</v>
      </c>
      <c r="C106" s="39" t="s">
        <v>12</v>
      </c>
      <c r="D106" s="41" t="s">
        <v>8</v>
      </c>
      <c r="E106" s="47" t="s">
        <v>1068</v>
      </c>
      <c r="F106" s="39" t="s">
        <v>347</v>
      </c>
      <c r="G106" s="40" t="s">
        <v>348</v>
      </c>
      <c r="H106" s="40" t="s">
        <v>3705</v>
      </c>
      <c r="I106" s="141"/>
      <c r="J106" s="137" t="s">
        <v>338</v>
      </c>
      <c r="K106" s="39" t="s">
        <v>346</v>
      </c>
      <c r="L106" s="143" t="s">
        <v>342</v>
      </c>
      <c r="M106" s="139" t="s">
        <v>8</v>
      </c>
      <c r="N106" s="135"/>
    </row>
    <row r="107" spans="1:14">
      <c r="A107" s="166" t="s">
        <v>3028</v>
      </c>
      <c r="B107" s="62" t="s">
        <v>1938</v>
      </c>
      <c r="C107" s="39" t="s">
        <v>12</v>
      </c>
      <c r="D107" s="41" t="s">
        <v>8</v>
      </c>
      <c r="E107" s="47" t="s">
        <v>1069</v>
      </c>
      <c r="F107" s="39" t="s">
        <v>350</v>
      </c>
      <c r="G107" s="40" t="s">
        <v>351</v>
      </c>
      <c r="H107" s="40" t="s">
        <v>3750</v>
      </c>
      <c r="I107" s="141"/>
      <c r="J107" s="137" t="s">
        <v>338</v>
      </c>
      <c r="K107" s="39" t="s">
        <v>349</v>
      </c>
      <c r="L107" s="143" t="s">
        <v>342</v>
      </c>
      <c r="M107" s="139" t="s">
        <v>8</v>
      </c>
      <c r="N107" s="135"/>
    </row>
    <row r="108" spans="1:14">
      <c r="A108" s="166" t="s">
        <v>3028</v>
      </c>
      <c r="B108" s="62" t="s">
        <v>1938</v>
      </c>
      <c r="C108" s="39" t="s">
        <v>12</v>
      </c>
      <c r="D108" s="41" t="s">
        <v>1926</v>
      </c>
      <c r="E108" s="47" t="s">
        <v>1070</v>
      </c>
      <c r="F108" s="39" t="s">
        <v>353</v>
      </c>
      <c r="G108" s="40" t="s">
        <v>354</v>
      </c>
      <c r="H108" s="40" t="s">
        <v>3748</v>
      </c>
      <c r="I108" s="141" t="s">
        <v>1927</v>
      </c>
      <c r="J108" s="137" t="s">
        <v>338</v>
      </c>
      <c r="K108" s="39" t="s">
        <v>352</v>
      </c>
      <c r="L108" s="143" t="s">
        <v>342</v>
      </c>
      <c r="M108" s="139" t="s">
        <v>9</v>
      </c>
      <c r="N108" s="135"/>
    </row>
    <row r="109" spans="1:14">
      <c r="A109" s="166" t="s">
        <v>3028</v>
      </c>
      <c r="B109" s="62" t="s">
        <v>1938</v>
      </c>
      <c r="C109" s="39" t="s">
        <v>12</v>
      </c>
      <c r="D109" s="41" t="s">
        <v>1928</v>
      </c>
      <c r="E109" s="47" t="s">
        <v>1071</v>
      </c>
      <c r="F109" s="39" t="s">
        <v>357</v>
      </c>
      <c r="G109" s="40" t="s">
        <v>358</v>
      </c>
      <c r="H109" s="40" t="s">
        <v>3711</v>
      </c>
      <c r="I109" s="141" t="s">
        <v>1929</v>
      </c>
      <c r="J109" s="137" t="s">
        <v>355</v>
      </c>
      <c r="K109" s="39" t="s">
        <v>356</v>
      </c>
      <c r="L109" s="143" t="s">
        <v>359</v>
      </c>
      <c r="M109" s="139" t="s">
        <v>10</v>
      </c>
      <c r="N109" s="135"/>
    </row>
    <row r="110" spans="1:14">
      <c r="A110" s="166" t="s">
        <v>3028</v>
      </c>
      <c r="B110" s="62" t="s">
        <v>1938</v>
      </c>
      <c r="C110" s="39" t="s">
        <v>12</v>
      </c>
      <c r="D110" s="41" t="s">
        <v>1928</v>
      </c>
      <c r="E110" s="47" t="s">
        <v>1072</v>
      </c>
      <c r="F110" s="39" t="s">
        <v>361</v>
      </c>
      <c r="G110" s="40" t="s">
        <v>362</v>
      </c>
      <c r="H110" s="40" t="s">
        <v>3749</v>
      </c>
      <c r="I110" s="141" t="s">
        <v>1929</v>
      </c>
      <c r="J110" s="137" t="s">
        <v>355</v>
      </c>
      <c r="K110" s="39" t="s">
        <v>360</v>
      </c>
      <c r="L110" s="143" t="s">
        <v>359</v>
      </c>
      <c r="M110" s="139" t="s">
        <v>10</v>
      </c>
      <c r="N110" s="135"/>
    </row>
    <row r="111" spans="1:14">
      <c r="A111" s="166" t="s">
        <v>3028</v>
      </c>
      <c r="B111" s="62" t="s">
        <v>1938</v>
      </c>
      <c r="C111" s="39" t="s">
        <v>12</v>
      </c>
      <c r="D111" s="41" t="s">
        <v>1926</v>
      </c>
      <c r="E111" s="47" t="s">
        <v>1073</v>
      </c>
      <c r="F111" s="39" t="s">
        <v>364</v>
      </c>
      <c r="G111" s="40" t="s">
        <v>365</v>
      </c>
      <c r="H111" s="40" t="s">
        <v>3711</v>
      </c>
      <c r="I111" s="141" t="s">
        <v>1927</v>
      </c>
      <c r="J111" s="137" t="s">
        <v>355</v>
      </c>
      <c r="K111" s="39" t="s">
        <v>363</v>
      </c>
      <c r="L111" s="143" t="s">
        <v>359</v>
      </c>
      <c r="M111" s="139" t="s">
        <v>9</v>
      </c>
      <c r="N111" s="135"/>
    </row>
    <row r="112" spans="1:14">
      <c r="A112" s="166" t="s">
        <v>3028</v>
      </c>
      <c r="B112" s="62" t="s">
        <v>1938</v>
      </c>
      <c r="C112" s="39" t="s">
        <v>12</v>
      </c>
      <c r="D112" s="41" t="s">
        <v>1928</v>
      </c>
      <c r="E112" s="47" t="s">
        <v>1074</v>
      </c>
      <c r="F112" s="39" t="s">
        <v>368</v>
      </c>
      <c r="G112" s="40" t="s">
        <v>369</v>
      </c>
      <c r="H112" s="40" t="s">
        <v>3711</v>
      </c>
      <c r="I112" s="141" t="s">
        <v>1929</v>
      </c>
      <c r="J112" s="137" t="s">
        <v>366</v>
      </c>
      <c r="K112" s="39" t="s">
        <v>367</v>
      </c>
      <c r="L112" s="143" t="s">
        <v>370</v>
      </c>
      <c r="M112" s="139" t="s">
        <v>10</v>
      </c>
      <c r="N112" s="135"/>
    </row>
    <row r="113" spans="1:14">
      <c r="A113" s="166" t="s">
        <v>3028</v>
      </c>
      <c r="B113" s="62" t="s">
        <v>1938</v>
      </c>
      <c r="C113" s="39" t="s">
        <v>12</v>
      </c>
      <c r="D113" s="41" t="s">
        <v>1928</v>
      </c>
      <c r="E113" s="47" t="s">
        <v>1075</v>
      </c>
      <c r="F113" s="39" t="s">
        <v>372</v>
      </c>
      <c r="G113" s="40" t="s">
        <v>373</v>
      </c>
      <c r="H113" s="40" t="s">
        <v>3711</v>
      </c>
      <c r="I113" s="141" t="s">
        <v>1929</v>
      </c>
      <c r="J113" s="137" t="s">
        <v>366</v>
      </c>
      <c r="K113" s="39" t="s">
        <v>371</v>
      </c>
      <c r="L113" s="143" t="s">
        <v>370</v>
      </c>
      <c r="M113" s="139" t="s">
        <v>10</v>
      </c>
      <c r="N113" s="135"/>
    </row>
    <row r="114" spans="1:14">
      <c r="A114" s="166" t="s">
        <v>3028</v>
      </c>
      <c r="B114" s="62" t="s">
        <v>1938</v>
      </c>
      <c r="C114" s="39" t="s">
        <v>12</v>
      </c>
      <c r="D114" s="41" t="s">
        <v>1926</v>
      </c>
      <c r="E114" s="47" t="s">
        <v>1076</v>
      </c>
      <c r="F114" s="39" t="s">
        <v>375</v>
      </c>
      <c r="G114" s="40" t="s">
        <v>376</v>
      </c>
      <c r="H114" s="40" t="s">
        <v>3711</v>
      </c>
      <c r="I114" s="141" t="s">
        <v>1927</v>
      </c>
      <c r="J114" s="137" t="s">
        <v>366</v>
      </c>
      <c r="K114" s="39" t="s">
        <v>374</v>
      </c>
      <c r="L114" s="143" t="s">
        <v>370</v>
      </c>
      <c r="M114" s="139" t="s">
        <v>9</v>
      </c>
      <c r="N114" s="135"/>
    </row>
    <row r="115" spans="1:14">
      <c r="A115" s="166" t="s">
        <v>3028</v>
      </c>
      <c r="B115" s="62" t="s">
        <v>1938</v>
      </c>
      <c r="C115" s="39" t="s">
        <v>12</v>
      </c>
      <c r="D115" s="41" t="s">
        <v>1926</v>
      </c>
      <c r="E115" s="47" t="s">
        <v>1077</v>
      </c>
      <c r="F115" s="39" t="s">
        <v>378</v>
      </c>
      <c r="G115" s="40" t="s">
        <v>379</v>
      </c>
      <c r="H115" s="40" t="s">
        <v>3711</v>
      </c>
      <c r="I115" s="141" t="s">
        <v>1927</v>
      </c>
      <c r="J115" s="137" t="s">
        <v>366</v>
      </c>
      <c r="K115" s="39" t="s">
        <v>377</v>
      </c>
      <c r="L115" s="143" t="s">
        <v>370</v>
      </c>
      <c r="M115" s="139" t="s">
        <v>9</v>
      </c>
      <c r="N115" s="135"/>
    </row>
    <row r="116" spans="1:14" ht="30">
      <c r="A116" s="166" t="s">
        <v>3028</v>
      </c>
      <c r="B116" s="62" t="s">
        <v>1938</v>
      </c>
      <c r="C116" s="39" t="s">
        <v>12</v>
      </c>
      <c r="D116" s="41" t="s">
        <v>1926</v>
      </c>
      <c r="E116" s="47" t="s">
        <v>1078</v>
      </c>
      <c r="F116" s="39" t="s">
        <v>381</v>
      </c>
      <c r="G116" s="40" t="s">
        <v>382</v>
      </c>
      <c r="H116" s="40" t="s">
        <v>3751</v>
      </c>
      <c r="I116" s="141" t="s">
        <v>1927</v>
      </c>
      <c r="J116" s="137" t="s">
        <v>366</v>
      </c>
      <c r="K116" s="39" t="s">
        <v>380</v>
      </c>
      <c r="L116" s="143" t="s">
        <v>370</v>
      </c>
      <c r="M116" s="139" t="s">
        <v>9</v>
      </c>
      <c r="N116" s="135"/>
    </row>
    <row r="117" spans="1:14">
      <c r="A117" s="166" t="s">
        <v>3028</v>
      </c>
      <c r="B117" s="62" t="s">
        <v>1938</v>
      </c>
      <c r="C117" s="39" t="s">
        <v>12</v>
      </c>
      <c r="D117" s="41" t="s">
        <v>1928</v>
      </c>
      <c r="E117" s="47" t="s">
        <v>1079</v>
      </c>
      <c r="F117" s="39" t="s">
        <v>384</v>
      </c>
      <c r="G117" s="40" t="s">
        <v>385</v>
      </c>
      <c r="H117" s="40" t="s">
        <v>3711</v>
      </c>
      <c r="I117" s="141" t="s">
        <v>1929</v>
      </c>
      <c r="J117" s="137" t="s">
        <v>366</v>
      </c>
      <c r="K117" s="39" t="s">
        <v>383</v>
      </c>
      <c r="L117" s="143" t="s">
        <v>370</v>
      </c>
      <c r="M117" s="139" t="s">
        <v>10</v>
      </c>
      <c r="N117" s="135"/>
    </row>
    <row r="118" spans="1:14">
      <c r="A118" s="166" t="s">
        <v>3028</v>
      </c>
      <c r="B118" s="62" t="s">
        <v>1938</v>
      </c>
      <c r="C118" s="39" t="s">
        <v>12</v>
      </c>
      <c r="D118" s="41" t="s">
        <v>1926</v>
      </c>
      <c r="E118" s="47" t="s">
        <v>1080</v>
      </c>
      <c r="F118" s="39" t="s">
        <v>387</v>
      </c>
      <c r="G118" s="40" t="s">
        <v>388</v>
      </c>
      <c r="H118" s="40" t="s">
        <v>3711</v>
      </c>
      <c r="I118" s="141" t="s">
        <v>1927</v>
      </c>
      <c r="J118" s="137" t="s">
        <v>366</v>
      </c>
      <c r="K118" s="39" t="s">
        <v>386</v>
      </c>
      <c r="L118" s="143" t="s">
        <v>370</v>
      </c>
      <c r="M118" s="139" t="s">
        <v>9</v>
      </c>
      <c r="N118" s="135"/>
    </row>
    <row r="119" spans="1:14">
      <c r="A119" s="166" t="s">
        <v>3028</v>
      </c>
      <c r="B119" s="62" t="s">
        <v>1939</v>
      </c>
      <c r="C119" s="39" t="s">
        <v>12</v>
      </c>
      <c r="D119" s="41" t="s">
        <v>1926</v>
      </c>
      <c r="E119" s="47" t="s">
        <v>1081</v>
      </c>
      <c r="F119" s="39" t="s">
        <v>391</v>
      </c>
      <c r="G119" s="40" t="s">
        <v>3752</v>
      </c>
      <c r="H119" s="40" t="s">
        <v>3711</v>
      </c>
      <c r="I119" s="141" t="s">
        <v>1927</v>
      </c>
      <c r="J119" s="137" t="s">
        <v>389</v>
      </c>
      <c r="K119" s="39" t="s">
        <v>390</v>
      </c>
      <c r="L119" s="143" t="s">
        <v>392</v>
      </c>
      <c r="M119" s="139" t="s">
        <v>9</v>
      </c>
      <c r="N119" s="135"/>
    </row>
    <row r="120" spans="1:14">
      <c r="A120" s="166" t="s">
        <v>3028</v>
      </c>
      <c r="B120" s="62" t="s">
        <v>1939</v>
      </c>
      <c r="C120" s="39" t="s">
        <v>12</v>
      </c>
      <c r="D120" s="41" t="s">
        <v>8</v>
      </c>
      <c r="E120" s="47" t="s">
        <v>1082</v>
      </c>
      <c r="F120" s="39" t="s">
        <v>394</v>
      </c>
      <c r="G120" s="40" t="s">
        <v>395</v>
      </c>
      <c r="H120" s="40" t="s">
        <v>3711</v>
      </c>
      <c r="I120" s="141"/>
      <c r="J120" s="137" t="s">
        <v>389</v>
      </c>
      <c r="K120" s="39" t="s">
        <v>393</v>
      </c>
      <c r="L120" s="143" t="s">
        <v>392</v>
      </c>
      <c r="M120" s="139" t="s">
        <v>8</v>
      </c>
      <c r="N120" s="135"/>
    </row>
    <row r="121" spans="1:14">
      <c r="A121" s="166" t="s">
        <v>3028</v>
      </c>
      <c r="B121" s="62" t="s">
        <v>1939</v>
      </c>
      <c r="C121" s="39" t="s">
        <v>12</v>
      </c>
      <c r="D121" s="41" t="s">
        <v>8</v>
      </c>
      <c r="E121" s="47" t="s">
        <v>1083</v>
      </c>
      <c r="F121" s="39" t="s">
        <v>397</v>
      </c>
      <c r="G121" s="40" t="s">
        <v>398</v>
      </c>
      <c r="H121" s="40" t="s">
        <v>3711</v>
      </c>
      <c r="I121" s="141"/>
      <c r="J121" s="137" t="s">
        <v>389</v>
      </c>
      <c r="K121" s="39" t="s">
        <v>396</v>
      </c>
      <c r="L121" s="143" t="s">
        <v>392</v>
      </c>
      <c r="M121" s="139" t="s">
        <v>8</v>
      </c>
      <c r="N121" s="135"/>
    </row>
    <row r="122" spans="1:14">
      <c r="A122" s="166" t="s">
        <v>3028</v>
      </c>
      <c r="B122" s="62" t="s">
        <v>1939</v>
      </c>
      <c r="C122" s="39" t="s">
        <v>12</v>
      </c>
      <c r="D122" s="41" t="s">
        <v>8</v>
      </c>
      <c r="E122" s="47" t="s">
        <v>1084</v>
      </c>
      <c r="F122" s="39" t="s">
        <v>400</v>
      </c>
      <c r="G122" s="40" t="s">
        <v>401</v>
      </c>
      <c r="H122" s="40" t="s">
        <v>3711</v>
      </c>
      <c r="I122" s="141"/>
      <c r="J122" s="137" t="s">
        <v>389</v>
      </c>
      <c r="K122" s="39" t="s">
        <v>399</v>
      </c>
      <c r="L122" s="143" t="s">
        <v>392</v>
      </c>
      <c r="M122" s="139" t="s">
        <v>8</v>
      </c>
      <c r="N122" s="135"/>
    </row>
    <row r="123" spans="1:14">
      <c r="A123" s="166" t="s">
        <v>3028</v>
      </c>
      <c r="B123" s="62" t="s">
        <v>1939</v>
      </c>
      <c r="C123" s="39" t="s">
        <v>12</v>
      </c>
      <c r="D123" s="41" t="s">
        <v>8</v>
      </c>
      <c r="E123" s="47" t="s">
        <v>1085</v>
      </c>
      <c r="F123" s="39" t="s">
        <v>403</v>
      </c>
      <c r="G123" s="40" t="s">
        <v>404</v>
      </c>
      <c r="H123" s="40" t="s">
        <v>3711</v>
      </c>
      <c r="I123" s="141"/>
      <c r="J123" s="137" t="s">
        <v>389</v>
      </c>
      <c r="K123" s="39" t="s">
        <v>402</v>
      </c>
      <c r="L123" s="143" t="s">
        <v>392</v>
      </c>
      <c r="M123" s="139" t="s">
        <v>8</v>
      </c>
      <c r="N123" s="135"/>
    </row>
    <row r="124" spans="1:14">
      <c r="A124" s="166" t="s">
        <v>3028</v>
      </c>
      <c r="B124" s="62" t="s">
        <v>1939</v>
      </c>
      <c r="C124" s="39" t="s">
        <v>12</v>
      </c>
      <c r="D124" s="41" t="s">
        <v>1926</v>
      </c>
      <c r="E124" s="47" t="s">
        <v>1086</v>
      </c>
      <c r="F124" s="39" t="s">
        <v>407</v>
      </c>
      <c r="G124" s="40" t="s">
        <v>408</v>
      </c>
      <c r="H124" s="40" t="s">
        <v>3712</v>
      </c>
      <c r="I124" s="141" t="s">
        <v>1927</v>
      </c>
      <c r="J124" s="137" t="s">
        <v>405</v>
      </c>
      <c r="K124" s="39" t="s">
        <v>406</v>
      </c>
      <c r="L124" s="143" t="s">
        <v>409</v>
      </c>
      <c r="M124" s="139" t="s">
        <v>9</v>
      </c>
      <c r="N124" s="135"/>
    </row>
    <row r="125" spans="1:14">
      <c r="A125" s="166" t="s">
        <v>3028</v>
      </c>
      <c r="B125" s="62" t="s">
        <v>1939</v>
      </c>
      <c r="C125" s="39" t="s">
        <v>12</v>
      </c>
      <c r="D125" s="41" t="s">
        <v>1926</v>
      </c>
      <c r="E125" s="47" t="s">
        <v>1087</v>
      </c>
      <c r="F125" s="39" t="s">
        <v>411</v>
      </c>
      <c r="G125" s="40" t="s">
        <v>412</v>
      </c>
      <c r="H125" s="40" t="s">
        <v>3712</v>
      </c>
      <c r="I125" s="141" t="s">
        <v>1927</v>
      </c>
      <c r="J125" s="137" t="s">
        <v>405</v>
      </c>
      <c r="K125" s="39" t="s">
        <v>410</v>
      </c>
      <c r="L125" s="143" t="s">
        <v>409</v>
      </c>
      <c r="M125" s="139" t="s">
        <v>9</v>
      </c>
      <c r="N125" s="135"/>
    </row>
    <row r="126" spans="1:14">
      <c r="A126" s="166" t="s">
        <v>3028</v>
      </c>
      <c r="B126" s="62" t="s">
        <v>1939</v>
      </c>
      <c r="C126" s="39" t="s">
        <v>12</v>
      </c>
      <c r="D126" s="41" t="s">
        <v>1926</v>
      </c>
      <c r="E126" s="47" t="s">
        <v>1088</v>
      </c>
      <c r="F126" s="39" t="s">
        <v>414</v>
      </c>
      <c r="G126" s="40" t="s">
        <v>415</v>
      </c>
      <c r="H126" s="40" t="s">
        <v>3712</v>
      </c>
      <c r="I126" s="141" t="s">
        <v>1927</v>
      </c>
      <c r="J126" s="137" t="s">
        <v>405</v>
      </c>
      <c r="K126" s="39" t="s">
        <v>413</v>
      </c>
      <c r="L126" s="143" t="s">
        <v>409</v>
      </c>
      <c r="M126" s="139" t="s">
        <v>9</v>
      </c>
      <c r="N126" s="135"/>
    </row>
    <row r="127" spans="1:14">
      <c r="A127" s="166" t="s">
        <v>3028</v>
      </c>
      <c r="B127" s="62" t="s">
        <v>1939</v>
      </c>
      <c r="C127" s="39" t="s">
        <v>12</v>
      </c>
      <c r="D127" s="41" t="s">
        <v>1926</v>
      </c>
      <c r="E127" s="47" t="s">
        <v>1089</v>
      </c>
      <c r="F127" s="39" t="s">
        <v>417</v>
      </c>
      <c r="G127" s="40" t="s">
        <v>418</v>
      </c>
      <c r="H127" s="40" t="s">
        <v>3712</v>
      </c>
      <c r="I127" s="141" t="s">
        <v>1927</v>
      </c>
      <c r="J127" s="137" t="s">
        <v>405</v>
      </c>
      <c r="K127" s="39" t="s">
        <v>416</v>
      </c>
      <c r="L127" s="143" t="s">
        <v>409</v>
      </c>
      <c r="M127" s="139" t="s">
        <v>9</v>
      </c>
      <c r="N127" s="135"/>
    </row>
    <row r="128" spans="1:14">
      <c r="A128" s="166" t="s">
        <v>3028</v>
      </c>
      <c r="B128" s="62" t="s">
        <v>1939</v>
      </c>
      <c r="C128" s="39" t="s">
        <v>12</v>
      </c>
      <c r="D128" s="41" t="s">
        <v>1926</v>
      </c>
      <c r="E128" s="47" t="s">
        <v>1090</v>
      </c>
      <c r="F128" s="39" t="s">
        <v>420</v>
      </c>
      <c r="G128" s="40" t="s">
        <v>421</v>
      </c>
      <c r="H128" s="40" t="s">
        <v>3712</v>
      </c>
      <c r="I128" s="141" t="s">
        <v>1927</v>
      </c>
      <c r="J128" s="137" t="s">
        <v>405</v>
      </c>
      <c r="K128" s="39" t="s">
        <v>419</v>
      </c>
      <c r="L128" s="143" t="s">
        <v>409</v>
      </c>
      <c r="M128" s="139" t="s">
        <v>9</v>
      </c>
      <c r="N128" s="135"/>
    </row>
    <row r="129" spans="1:14">
      <c r="A129" s="166" t="s">
        <v>3028</v>
      </c>
      <c r="B129" s="62" t="s">
        <v>1939</v>
      </c>
      <c r="C129" s="39" t="s">
        <v>12</v>
      </c>
      <c r="D129" s="41" t="s">
        <v>8</v>
      </c>
      <c r="E129" s="47" t="s">
        <v>1091</v>
      </c>
      <c r="F129" s="39" t="s">
        <v>423</v>
      </c>
      <c r="G129" s="40" t="s">
        <v>424</v>
      </c>
      <c r="H129" s="40" t="s">
        <v>3712</v>
      </c>
      <c r="I129" s="141"/>
      <c r="J129" s="137" t="s">
        <v>405</v>
      </c>
      <c r="K129" s="39" t="s">
        <v>422</v>
      </c>
      <c r="L129" s="143" t="s">
        <v>409</v>
      </c>
      <c r="M129" s="139" t="s">
        <v>8</v>
      </c>
      <c r="N129" s="135"/>
    </row>
    <row r="130" spans="1:14">
      <c r="A130" s="166" t="s">
        <v>3028</v>
      </c>
      <c r="B130" s="62" t="s">
        <v>1939</v>
      </c>
      <c r="C130" s="39" t="s">
        <v>12</v>
      </c>
      <c r="D130" s="41" t="s">
        <v>1926</v>
      </c>
      <c r="E130" s="47" t="s">
        <v>1092</v>
      </c>
      <c r="F130" s="39" t="s">
        <v>427</v>
      </c>
      <c r="G130" s="40" t="s">
        <v>428</v>
      </c>
      <c r="H130" s="40" t="s">
        <v>3712</v>
      </c>
      <c r="I130" s="141" t="s">
        <v>1927</v>
      </c>
      <c r="J130" s="137" t="s">
        <v>425</v>
      </c>
      <c r="K130" s="39" t="s">
        <v>426</v>
      </c>
      <c r="L130" s="143" t="s">
        <v>429</v>
      </c>
      <c r="M130" s="139" t="s">
        <v>9</v>
      </c>
      <c r="N130" s="135"/>
    </row>
    <row r="131" spans="1:14">
      <c r="A131" s="166" t="s">
        <v>3028</v>
      </c>
      <c r="B131" s="62" t="s">
        <v>1939</v>
      </c>
      <c r="C131" s="39" t="s">
        <v>12</v>
      </c>
      <c r="D131" s="41" t="s">
        <v>1928</v>
      </c>
      <c r="E131" s="47" t="s">
        <v>1093</v>
      </c>
      <c r="F131" s="39" t="s">
        <v>431</v>
      </c>
      <c r="G131" s="40" t="s">
        <v>432</v>
      </c>
      <c r="H131" s="40" t="s">
        <v>3712</v>
      </c>
      <c r="I131" s="141" t="s">
        <v>1929</v>
      </c>
      <c r="J131" s="137" t="s">
        <v>425</v>
      </c>
      <c r="K131" s="39" t="s">
        <v>430</v>
      </c>
      <c r="L131" s="143" t="s">
        <v>429</v>
      </c>
      <c r="M131" s="139" t="s">
        <v>10</v>
      </c>
      <c r="N131" s="135"/>
    </row>
    <row r="132" spans="1:14">
      <c r="A132" s="166" t="s">
        <v>3028</v>
      </c>
      <c r="B132" s="62" t="s">
        <v>1939</v>
      </c>
      <c r="C132" s="39" t="s">
        <v>12</v>
      </c>
      <c r="D132" s="41" t="s">
        <v>8</v>
      </c>
      <c r="E132" s="47" t="s">
        <v>1094</v>
      </c>
      <c r="F132" s="39" t="s">
        <v>434</v>
      </c>
      <c r="G132" s="40" t="s">
        <v>435</v>
      </c>
      <c r="H132" s="40" t="s">
        <v>3753</v>
      </c>
      <c r="I132" s="141"/>
      <c r="J132" s="137" t="s">
        <v>425</v>
      </c>
      <c r="K132" s="39" t="s">
        <v>433</v>
      </c>
      <c r="L132" s="143" t="s">
        <v>429</v>
      </c>
      <c r="M132" s="139" t="s">
        <v>8</v>
      </c>
      <c r="N132" s="135"/>
    </row>
    <row r="133" spans="1:14">
      <c r="A133" s="166" t="s">
        <v>3028</v>
      </c>
      <c r="B133" s="62" t="s">
        <v>1939</v>
      </c>
      <c r="C133" s="39" t="s">
        <v>12</v>
      </c>
      <c r="D133" s="41" t="s">
        <v>1928</v>
      </c>
      <c r="E133" s="47" t="s">
        <v>1095</v>
      </c>
      <c r="F133" s="39" t="s">
        <v>437</v>
      </c>
      <c r="G133" s="40" t="s">
        <v>438</v>
      </c>
      <c r="H133" s="40" t="s">
        <v>3712</v>
      </c>
      <c r="I133" s="141" t="s">
        <v>1929</v>
      </c>
      <c r="J133" s="137" t="s">
        <v>425</v>
      </c>
      <c r="K133" s="39" t="s">
        <v>436</v>
      </c>
      <c r="L133" s="143" t="s">
        <v>429</v>
      </c>
      <c r="M133" s="139" t="s">
        <v>10</v>
      </c>
      <c r="N133" s="135"/>
    </row>
    <row r="134" spans="1:14">
      <c r="A134" s="166" t="s">
        <v>3028</v>
      </c>
      <c r="B134" s="62" t="s">
        <v>1939</v>
      </c>
      <c r="C134" s="39" t="s">
        <v>12</v>
      </c>
      <c r="D134" s="41" t="s">
        <v>1926</v>
      </c>
      <c r="E134" s="47" t="s">
        <v>1096</v>
      </c>
      <c r="F134" s="39" t="s">
        <v>440</v>
      </c>
      <c r="G134" s="40" t="s">
        <v>441</v>
      </c>
      <c r="H134" s="40" t="s">
        <v>3754</v>
      </c>
      <c r="I134" s="141" t="s">
        <v>1927</v>
      </c>
      <c r="J134" s="137" t="s">
        <v>425</v>
      </c>
      <c r="K134" s="39" t="s">
        <v>439</v>
      </c>
      <c r="L134" s="143" t="s">
        <v>429</v>
      </c>
      <c r="M134" s="139" t="s">
        <v>9</v>
      </c>
      <c r="N134" s="135"/>
    </row>
    <row r="135" spans="1:14" ht="30">
      <c r="A135" s="166" t="s">
        <v>3028</v>
      </c>
      <c r="B135" s="62" t="s">
        <v>1939</v>
      </c>
      <c r="C135" s="39" t="s">
        <v>12</v>
      </c>
      <c r="D135" s="41" t="s">
        <v>1926</v>
      </c>
      <c r="E135" s="47" t="s">
        <v>1097</v>
      </c>
      <c r="F135" s="39" t="s">
        <v>444</v>
      </c>
      <c r="G135" s="40" t="s">
        <v>445</v>
      </c>
      <c r="H135" s="40" t="s">
        <v>3755</v>
      </c>
      <c r="I135" s="141" t="s">
        <v>1927</v>
      </c>
      <c r="J135" s="137" t="s">
        <v>442</v>
      </c>
      <c r="K135" s="39" t="s">
        <v>443</v>
      </c>
      <c r="L135" s="143" t="s">
        <v>446</v>
      </c>
      <c r="M135" s="139" t="s">
        <v>9</v>
      </c>
      <c r="N135" s="135"/>
    </row>
    <row r="136" spans="1:14">
      <c r="A136" s="166" t="s">
        <v>3028</v>
      </c>
      <c r="B136" s="62" t="s">
        <v>1939</v>
      </c>
      <c r="C136" s="39" t="s">
        <v>12</v>
      </c>
      <c r="D136" s="41" t="s">
        <v>8</v>
      </c>
      <c r="E136" s="47" t="s">
        <v>1098</v>
      </c>
      <c r="F136" s="39" t="s">
        <v>448</v>
      </c>
      <c r="G136" s="40" t="s">
        <v>449</v>
      </c>
      <c r="H136" s="40" t="s">
        <v>3743</v>
      </c>
      <c r="I136" s="141"/>
      <c r="J136" s="137" t="s">
        <v>442</v>
      </c>
      <c r="K136" s="39" t="s">
        <v>447</v>
      </c>
      <c r="L136" s="143" t="s">
        <v>446</v>
      </c>
      <c r="M136" s="139" t="s">
        <v>8</v>
      </c>
      <c r="N136" s="135"/>
    </row>
    <row r="137" spans="1:14">
      <c r="A137" s="166" t="s">
        <v>3028</v>
      </c>
      <c r="B137" s="62" t="s">
        <v>1939</v>
      </c>
      <c r="C137" s="39" t="s">
        <v>12</v>
      </c>
      <c r="D137" s="41" t="s">
        <v>1926</v>
      </c>
      <c r="E137" s="47" t="s">
        <v>1099</v>
      </c>
      <c r="F137" s="39" t="s">
        <v>451</v>
      </c>
      <c r="G137" s="40" t="s">
        <v>452</v>
      </c>
      <c r="H137" s="40" t="s">
        <v>3756</v>
      </c>
      <c r="I137" s="141" t="s">
        <v>1927</v>
      </c>
      <c r="J137" s="137" t="s">
        <v>442</v>
      </c>
      <c r="K137" s="39" t="s">
        <v>450</v>
      </c>
      <c r="L137" s="143" t="s">
        <v>446</v>
      </c>
      <c r="M137" s="139" t="s">
        <v>9</v>
      </c>
      <c r="N137" s="135"/>
    </row>
    <row r="138" spans="1:14">
      <c r="A138" s="166" t="s">
        <v>3028</v>
      </c>
      <c r="B138" s="62" t="s">
        <v>1939</v>
      </c>
      <c r="C138" s="39" t="s">
        <v>12</v>
      </c>
      <c r="D138" s="41" t="s">
        <v>8</v>
      </c>
      <c r="E138" s="47" t="s">
        <v>1100</v>
      </c>
      <c r="F138" s="39" t="s">
        <v>454</v>
      </c>
      <c r="G138" s="40" t="s">
        <v>455</v>
      </c>
      <c r="H138" s="40" t="s">
        <v>3757</v>
      </c>
      <c r="I138" s="141"/>
      <c r="J138" s="137" t="s">
        <v>442</v>
      </c>
      <c r="K138" s="39" t="s">
        <v>453</v>
      </c>
      <c r="L138" s="143" t="s">
        <v>446</v>
      </c>
      <c r="M138" s="139" t="s">
        <v>8</v>
      </c>
      <c r="N138" s="135"/>
    </row>
    <row r="139" spans="1:14">
      <c r="A139" s="166" t="s">
        <v>3028</v>
      </c>
      <c r="B139" s="62" t="s">
        <v>1939</v>
      </c>
      <c r="C139" s="39" t="s">
        <v>12</v>
      </c>
      <c r="D139" s="41" t="s">
        <v>8</v>
      </c>
      <c r="E139" s="47" t="s">
        <v>1101</v>
      </c>
      <c r="F139" s="39" t="s">
        <v>457</v>
      </c>
      <c r="G139" s="40" t="s">
        <v>458</v>
      </c>
      <c r="H139" s="40" t="s">
        <v>3757</v>
      </c>
      <c r="I139" s="141"/>
      <c r="J139" s="137" t="s">
        <v>442</v>
      </c>
      <c r="K139" s="39" t="s">
        <v>456</v>
      </c>
      <c r="L139" s="143" t="s">
        <v>446</v>
      </c>
      <c r="M139" s="139" t="s">
        <v>8</v>
      </c>
      <c r="N139" s="135"/>
    </row>
    <row r="140" spans="1:14">
      <c r="A140" s="166" t="s">
        <v>3028</v>
      </c>
      <c r="B140" s="62" t="s">
        <v>1937</v>
      </c>
      <c r="C140" s="39" t="s">
        <v>12</v>
      </c>
      <c r="D140" s="41" t="s">
        <v>1928</v>
      </c>
      <c r="E140" s="47" t="s">
        <v>1102</v>
      </c>
      <c r="F140" s="39" t="s">
        <v>461</v>
      </c>
      <c r="G140" s="40" t="s">
        <v>462</v>
      </c>
      <c r="H140" s="40" t="s">
        <v>3711</v>
      </c>
      <c r="I140" s="141" t="s">
        <v>1929</v>
      </c>
      <c r="J140" s="137" t="s">
        <v>459</v>
      </c>
      <c r="K140" s="39" t="s">
        <v>460</v>
      </c>
      <c r="L140" s="143" t="s">
        <v>463</v>
      </c>
      <c r="M140" s="139" t="s">
        <v>10</v>
      </c>
      <c r="N140" s="135"/>
    </row>
    <row r="141" spans="1:14">
      <c r="A141" s="166" t="s">
        <v>3028</v>
      </c>
      <c r="B141" s="62" t="s">
        <v>1937</v>
      </c>
      <c r="C141" s="39" t="s">
        <v>12</v>
      </c>
      <c r="D141" s="41" t="s">
        <v>1928</v>
      </c>
      <c r="E141" s="47" t="s">
        <v>1103</v>
      </c>
      <c r="F141" s="39" t="s">
        <v>465</v>
      </c>
      <c r="G141" s="40" t="s">
        <v>466</v>
      </c>
      <c r="H141" s="40" t="s">
        <v>3711</v>
      </c>
      <c r="I141" s="141" t="s">
        <v>1929</v>
      </c>
      <c r="J141" s="137" t="s">
        <v>459</v>
      </c>
      <c r="K141" s="39" t="s">
        <v>464</v>
      </c>
      <c r="L141" s="143" t="s">
        <v>463</v>
      </c>
      <c r="M141" s="139" t="s">
        <v>10</v>
      </c>
      <c r="N141" s="135"/>
    </row>
    <row r="142" spans="1:14">
      <c r="A142" s="166" t="s">
        <v>3028</v>
      </c>
      <c r="B142" s="62" t="s">
        <v>1937</v>
      </c>
      <c r="C142" s="39" t="s">
        <v>12</v>
      </c>
      <c r="D142" s="41" t="s">
        <v>1928</v>
      </c>
      <c r="E142" s="47" t="s">
        <v>1104</v>
      </c>
      <c r="F142" s="39" t="s">
        <v>468</v>
      </c>
      <c r="G142" s="40" t="s">
        <v>469</v>
      </c>
      <c r="H142" s="40" t="s">
        <v>3711</v>
      </c>
      <c r="I142" s="141" t="s">
        <v>1929</v>
      </c>
      <c r="J142" s="137" t="s">
        <v>459</v>
      </c>
      <c r="K142" s="39" t="s">
        <v>467</v>
      </c>
      <c r="L142" s="143" t="s">
        <v>463</v>
      </c>
      <c r="M142" s="139" t="s">
        <v>10</v>
      </c>
      <c r="N142" s="135"/>
    </row>
    <row r="143" spans="1:14">
      <c r="A143" s="166" t="s">
        <v>3028</v>
      </c>
      <c r="B143" s="62" t="s">
        <v>1937</v>
      </c>
      <c r="C143" s="39" t="s">
        <v>12</v>
      </c>
      <c r="D143" s="41" t="s">
        <v>1926</v>
      </c>
      <c r="E143" s="47" t="s">
        <v>1105</v>
      </c>
      <c r="F143" s="39" t="s">
        <v>471</v>
      </c>
      <c r="G143" s="40" t="s">
        <v>472</v>
      </c>
      <c r="H143" s="40" t="s">
        <v>3711</v>
      </c>
      <c r="I143" s="141" t="s">
        <v>1927</v>
      </c>
      <c r="J143" s="137" t="s">
        <v>459</v>
      </c>
      <c r="K143" s="39" t="s">
        <v>470</v>
      </c>
      <c r="L143" s="143" t="s">
        <v>463</v>
      </c>
      <c r="M143" s="139" t="s">
        <v>9</v>
      </c>
      <c r="N143" s="135"/>
    </row>
    <row r="144" spans="1:14" ht="30">
      <c r="A144" s="166" t="s">
        <v>3028</v>
      </c>
      <c r="B144" s="62" t="s">
        <v>1937</v>
      </c>
      <c r="C144" s="39" t="s">
        <v>12</v>
      </c>
      <c r="D144" s="41" t="s">
        <v>1926</v>
      </c>
      <c r="E144" s="47" t="s">
        <v>1106</v>
      </c>
      <c r="F144" s="39" t="s">
        <v>474</v>
      </c>
      <c r="G144" s="40" t="s">
        <v>475</v>
      </c>
      <c r="H144" s="40" t="s">
        <v>3711</v>
      </c>
      <c r="I144" s="141" t="s">
        <v>1927</v>
      </c>
      <c r="J144" s="137" t="s">
        <v>459</v>
      </c>
      <c r="K144" s="39" t="s">
        <v>473</v>
      </c>
      <c r="L144" s="143" t="s">
        <v>463</v>
      </c>
      <c r="M144" s="139" t="s">
        <v>9</v>
      </c>
      <c r="N144" s="135"/>
    </row>
    <row r="145" spans="1:14">
      <c r="A145" s="166" t="s">
        <v>3028</v>
      </c>
      <c r="B145" s="62" t="s">
        <v>1937</v>
      </c>
      <c r="C145" s="39" t="s">
        <v>12</v>
      </c>
      <c r="D145" s="41" t="s">
        <v>1926</v>
      </c>
      <c r="E145" s="47" t="s">
        <v>1107</v>
      </c>
      <c r="F145" s="39" t="s">
        <v>477</v>
      </c>
      <c r="G145" s="40" t="s">
        <v>3758</v>
      </c>
      <c r="H145" s="40" t="s">
        <v>3711</v>
      </c>
      <c r="I145" s="141" t="s">
        <v>1927</v>
      </c>
      <c r="J145" s="137" t="s">
        <v>459</v>
      </c>
      <c r="K145" s="39" t="s">
        <v>476</v>
      </c>
      <c r="L145" s="143" t="s">
        <v>463</v>
      </c>
      <c r="M145" s="139" t="s">
        <v>9</v>
      </c>
      <c r="N145" s="135"/>
    </row>
    <row r="146" spans="1:14">
      <c r="A146" s="166" t="s">
        <v>3028</v>
      </c>
      <c r="B146" s="62" t="s">
        <v>1937</v>
      </c>
      <c r="C146" s="39" t="s">
        <v>12</v>
      </c>
      <c r="D146" s="41" t="s">
        <v>1928</v>
      </c>
      <c r="E146" s="47" t="s">
        <v>1108</v>
      </c>
      <c r="F146" s="39" t="s">
        <v>479</v>
      </c>
      <c r="G146" s="40" t="s">
        <v>480</v>
      </c>
      <c r="H146" s="40" t="s">
        <v>3711</v>
      </c>
      <c r="I146" s="141" t="s">
        <v>1929</v>
      </c>
      <c r="J146" s="137" t="s">
        <v>459</v>
      </c>
      <c r="K146" s="39" t="s">
        <v>478</v>
      </c>
      <c r="L146" s="143" t="s">
        <v>463</v>
      </c>
      <c r="M146" s="139" t="s">
        <v>10</v>
      </c>
      <c r="N146" s="135"/>
    </row>
    <row r="147" spans="1:14">
      <c r="A147" s="166" t="s">
        <v>3028</v>
      </c>
      <c r="B147" s="62" t="s">
        <v>1937</v>
      </c>
      <c r="C147" s="39" t="s">
        <v>12</v>
      </c>
      <c r="D147" s="41" t="s">
        <v>1926</v>
      </c>
      <c r="E147" s="47" t="s">
        <v>1109</v>
      </c>
      <c r="F147" s="39" t="s">
        <v>482</v>
      </c>
      <c r="G147" s="40" t="s">
        <v>483</v>
      </c>
      <c r="H147" s="40" t="s">
        <v>3711</v>
      </c>
      <c r="I147" s="141" t="s">
        <v>1927</v>
      </c>
      <c r="J147" s="137" t="s">
        <v>459</v>
      </c>
      <c r="K147" s="39" t="s">
        <v>481</v>
      </c>
      <c r="L147" s="143" t="s">
        <v>463</v>
      </c>
      <c r="M147" s="139" t="s">
        <v>9</v>
      </c>
      <c r="N147" s="135"/>
    </row>
    <row r="148" spans="1:14">
      <c r="A148" s="166" t="s">
        <v>3028</v>
      </c>
      <c r="B148" s="62" t="s">
        <v>1940</v>
      </c>
      <c r="C148" s="39" t="s">
        <v>12</v>
      </c>
      <c r="D148" s="41" t="s">
        <v>1926</v>
      </c>
      <c r="E148" s="47" t="s">
        <v>1110</v>
      </c>
      <c r="F148" s="39" t="s">
        <v>486</v>
      </c>
      <c r="G148" s="40" t="s">
        <v>487</v>
      </c>
      <c r="H148" s="40" t="s">
        <v>3712</v>
      </c>
      <c r="I148" s="141" t="s">
        <v>1927</v>
      </c>
      <c r="J148" s="137" t="s">
        <v>484</v>
      </c>
      <c r="K148" s="39" t="s">
        <v>485</v>
      </c>
      <c r="L148" s="143" t="s">
        <v>488</v>
      </c>
      <c r="M148" s="139" t="s">
        <v>9</v>
      </c>
      <c r="N148" s="135"/>
    </row>
    <row r="149" spans="1:14">
      <c r="A149" s="166" t="s">
        <v>3028</v>
      </c>
      <c r="B149" s="62" t="s">
        <v>1940</v>
      </c>
      <c r="C149" s="39" t="s">
        <v>12</v>
      </c>
      <c r="D149" s="41" t="s">
        <v>1926</v>
      </c>
      <c r="E149" s="47" t="s">
        <v>1111</v>
      </c>
      <c r="F149" s="39" t="s">
        <v>490</v>
      </c>
      <c r="G149" s="40" t="s">
        <v>491</v>
      </c>
      <c r="H149" s="40" t="s">
        <v>3712</v>
      </c>
      <c r="I149" s="141" t="s">
        <v>1927</v>
      </c>
      <c r="J149" s="137" t="s">
        <v>484</v>
      </c>
      <c r="K149" s="39" t="s">
        <v>489</v>
      </c>
      <c r="L149" s="143" t="s">
        <v>488</v>
      </c>
      <c r="M149" s="139" t="s">
        <v>9</v>
      </c>
      <c r="N149" s="135"/>
    </row>
    <row r="150" spans="1:14">
      <c r="A150" s="166" t="s">
        <v>3028</v>
      </c>
      <c r="B150" s="62" t="s">
        <v>1940</v>
      </c>
      <c r="C150" s="39" t="s">
        <v>12</v>
      </c>
      <c r="D150" s="41" t="s">
        <v>1928</v>
      </c>
      <c r="E150" s="47" t="s">
        <v>1112</v>
      </c>
      <c r="F150" s="39" t="s">
        <v>493</v>
      </c>
      <c r="G150" s="40" t="s">
        <v>494</v>
      </c>
      <c r="H150" s="40" t="s">
        <v>3712</v>
      </c>
      <c r="I150" s="141" t="s">
        <v>1929</v>
      </c>
      <c r="J150" s="137" t="s">
        <v>484</v>
      </c>
      <c r="K150" s="39" t="s">
        <v>492</v>
      </c>
      <c r="L150" s="143" t="s">
        <v>488</v>
      </c>
      <c r="M150" s="139" t="s">
        <v>10</v>
      </c>
      <c r="N150" s="135"/>
    </row>
    <row r="151" spans="1:14">
      <c r="A151" s="166" t="s">
        <v>3028</v>
      </c>
      <c r="B151" s="62" t="s">
        <v>1940</v>
      </c>
      <c r="C151" s="39" t="s">
        <v>12</v>
      </c>
      <c r="D151" s="41" t="s">
        <v>1926</v>
      </c>
      <c r="E151" s="47" t="s">
        <v>1113</v>
      </c>
      <c r="F151" s="39" t="s">
        <v>496</v>
      </c>
      <c r="G151" s="40" t="s">
        <v>497</v>
      </c>
      <c r="H151" s="40" t="s">
        <v>3712</v>
      </c>
      <c r="I151" s="141" t="s">
        <v>1927</v>
      </c>
      <c r="J151" s="137" t="s">
        <v>484</v>
      </c>
      <c r="K151" s="39" t="s">
        <v>495</v>
      </c>
      <c r="L151" s="143" t="s">
        <v>488</v>
      </c>
      <c r="M151" s="139" t="s">
        <v>9</v>
      </c>
      <c r="N151" s="135"/>
    </row>
    <row r="152" spans="1:14">
      <c r="A152" s="166" t="s">
        <v>3028</v>
      </c>
      <c r="B152" s="62" t="s">
        <v>1940</v>
      </c>
      <c r="C152" s="39" t="s">
        <v>12</v>
      </c>
      <c r="D152" s="41" t="s">
        <v>1928</v>
      </c>
      <c r="E152" s="47" t="s">
        <v>1114</v>
      </c>
      <c r="F152" s="39" t="s">
        <v>500</v>
      </c>
      <c r="G152" s="40" t="s">
        <v>501</v>
      </c>
      <c r="H152" s="40" t="s">
        <v>3712</v>
      </c>
      <c r="I152" s="141" t="s">
        <v>1929</v>
      </c>
      <c r="J152" s="137" t="s">
        <v>498</v>
      </c>
      <c r="K152" s="39" t="s">
        <v>499</v>
      </c>
      <c r="L152" s="143" t="s">
        <v>502</v>
      </c>
      <c r="M152" s="139" t="s">
        <v>10</v>
      </c>
      <c r="N152" s="135"/>
    </row>
    <row r="153" spans="1:14">
      <c r="A153" s="166" t="s">
        <v>3028</v>
      </c>
      <c r="B153" s="62" t="s">
        <v>1940</v>
      </c>
      <c r="C153" s="39" t="s">
        <v>12</v>
      </c>
      <c r="D153" s="41" t="s">
        <v>1926</v>
      </c>
      <c r="E153" s="47" t="s">
        <v>1115</v>
      </c>
      <c r="F153" s="39" t="s">
        <v>504</v>
      </c>
      <c r="G153" s="40" t="s">
        <v>505</v>
      </c>
      <c r="H153" s="40" t="s">
        <v>3711</v>
      </c>
      <c r="I153" s="141" t="s">
        <v>1927</v>
      </c>
      <c r="J153" s="137" t="s">
        <v>498</v>
      </c>
      <c r="K153" s="39" t="s">
        <v>503</v>
      </c>
      <c r="L153" s="143" t="s">
        <v>502</v>
      </c>
      <c r="M153" s="139" t="s">
        <v>9</v>
      </c>
      <c r="N153" s="135"/>
    </row>
    <row r="154" spans="1:14">
      <c r="A154" s="166" t="s">
        <v>3028</v>
      </c>
      <c r="B154" s="62" t="s">
        <v>1940</v>
      </c>
      <c r="C154" s="39" t="s">
        <v>12</v>
      </c>
      <c r="D154" s="41" t="s">
        <v>1926</v>
      </c>
      <c r="E154" s="47" t="s">
        <v>1116</v>
      </c>
      <c r="F154" s="39" t="s">
        <v>507</v>
      </c>
      <c r="G154" s="40" t="s">
        <v>508</v>
      </c>
      <c r="H154" s="40" t="s">
        <v>3711</v>
      </c>
      <c r="I154" s="141" t="s">
        <v>1927</v>
      </c>
      <c r="J154" s="137" t="s">
        <v>498</v>
      </c>
      <c r="K154" s="39" t="s">
        <v>506</v>
      </c>
      <c r="L154" s="143" t="s">
        <v>502</v>
      </c>
      <c r="M154" s="139" t="s">
        <v>9</v>
      </c>
      <c r="N154" s="135"/>
    </row>
    <row r="155" spans="1:14">
      <c r="A155" s="166" t="s">
        <v>3028</v>
      </c>
      <c r="B155" s="62" t="s">
        <v>1940</v>
      </c>
      <c r="C155" s="39" t="s">
        <v>12</v>
      </c>
      <c r="D155" s="41" t="s">
        <v>1926</v>
      </c>
      <c r="E155" s="47" t="s">
        <v>1117</v>
      </c>
      <c r="F155" s="39" t="s">
        <v>510</v>
      </c>
      <c r="G155" s="40" t="s">
        <v>511</v>
      </c>
      <c r="H155" s="40" t="s">
        <v>3712</v>
      </c>
      <c r="I155" s="141" t="s">
        <v>1927</v>
      </c>
      <c r="J155" s="137" t="s">
        <v>498</v>
      </c>
      <c r="K155" s="39" t="s">
        <v>509</v>
      </c>
      <c r="L155" s="143" t="s">
        <v>502</v>
      </c>
      <c r="M155" s="139" t="s">
        <v>9</v>
      </c>
      <c r="N155" s="135"/>
    </row>
    <row r="156" spans="1:14">
      <c r="A156" s="166" t="s">
        <v>3028</v>
      </c>
      <c r="B156" s="62" t="s">
        <v>1940</v>
      </c>
      <c r="C156" s="39" t="s">
        <v>12</v>
      </c>
      <c r="D156" s="41" t="s">
        <v>1928</v>
      </c>
      <c r="E156" s="47" t="s">
        <v>1118</v>
      </c>
      <c r="F156" s="39" t="s">
        <v>514</v>
      </c>
      <c r="G156" s="40" t="s">
        <v>515</v>
      </c>
      <c r="H156" s="40" t="s">
        <v>3711</v>
      </c>
      <c r="I156" s="141" t="s">
        <v>1929</v>
      </c>
      <c r="J156" s="137" t="s">
        <v>512</v>
      </c>
      <c r="K156" s="39" t="s">
        <v>513</v>
      </c>
      <c r="L156" s="143" t="s">
        <v>516</v>
      </c>
      <c r="M156" s="139" t="s">
        <v>10</v>
      </c>
      <c r="N156" s="135"/>
    </row>
    <row r="157" spans="1:14">
      <c r="A157" s="166" t="s">
        <v>3028</v>
      </c>
      <c r="B157" s="62" t="s">
        <v>1940</v>
      </c>
      <c r="C157" s="39" t="s">
        <v>12</v>
      </c>
      <c r="D157" s="41" t="s">
        <v>1926</v>
      </c>
      <c r="E157" s="47" t="s">
        <v>1119</v>
      </c>
      <c r="F157" s="39" t="s">
        <v>518</v>
      </c>
      <c r="G157" s="40" t="s">
        <v>519</v>
      </c>
      <c r="H157" s="40" t="s">
        <v>3712</v>
      </c>
      <c r="I157" s="141" t="s">
        <v>1927</v>
      </c>
      <c r="J157" s="137" t="s">
        <v>512</v>
      </c>
      <c r="K157" s="39" t="s">
        <v>517</v>
      </c>
      <c r="L157" s="143" t="s">
        <v>516</v>
      </c>
      <c r="M157" s="139" t="s">
        <v>9</v>
      </c>
      <c r="N157" s="135"/>
    </row>
    <row r="158" spans="1:14">
      <c r="A158" s="166" t="s">
        <v>3028</v>
      </c>
      <c r="B158" s="62" t="s">
        <v>1940</v>
      </c>
      <c r="C158" s="39" t="s">
        <v>12</v>
      </c>
      <c r="D158" s="41" t="s">
        <v>1928</v>
      </c>
      <c r="E158" s="47" t="s">
        <v>3760</v>
      </c>
      <c r="F158" s="39" t="s">
        <v>521</v>
      </c>
      <c r="G158" s="40" t="s">
        <v>522</v>
      </c>
      <c r="H158" s="40" t="s">
        <v>3712</v>
      </c>
      <c r="I158" s="141" t="s">
        <v>1929</v>
      </c>
      <c r="J158" s="137" t="s">
        <v>512</v>
      </c>
      <c r="K158" s="39" t="s">
        <v>520</v>
      </c>
      <c r="L158" s="143" t="s">
        <v>516</v>
      </c>
      <c r="M158" s="139" t="s">
        <v>10</v>
      </c>
      <c r="N158" s="135"/>
    </row>
    <row r="159" spans="1:14">
      <c r="A159" s="166" t="s">
        <v>3028</v>
      </c>
      <c r="B159" s="62" t="s">
        <v>1941</v>
      </c>
      <c r="C159" s="39" t="s">
        <v>12</v>
      </c>
      <c r="D159" s="41" t="s">
        <v>1926</v>
      </c>
      <c r="E159" s="47" t="s">
        <v>1120</v>
      </c>
      <c r="F159" s="39" t="s">
        <v>525</v>
      </c>
      <c r="G159" s="40" t="s">
        <v>424</v>
      </c>
      <c r="H159" s="40" t="s">
        <v>3761</v>
      </c>
      <c r="I159" s="141" t="s">
        <v>1927</v>
      </c>
      <c r="J159" s="137" t="s">
        <v>523</v>
      </c>
      <c r="K159" s="39" t="s">
        <v>524</v>
      </c>
      <c r="L159" s="143" t="s">
        <v>526</v>
      </c>
      <c r="M159" s="139" t="s">
        <v>9</v>
      </c>
      <c r="N159" s="135"/>
    </row>
    <row r="160" spans="1:14">
      <c r="A160" s="166" t="s">
        <v>3028</v>
      </c>
      <c r="B160" s="62" t="s">
        <v>1941</v>
      </c>
      <c r="C160" s="39" t="s">
        <v>12</v>
      </c>
      <c r="D160" s="41" t="s">
        <v>1928</v>
      </c>
      <c r="E160" s="47" t="s">
        <v>1121</v>
      </c>
      <c r="F160" s="39" t="s">
        <v>3762</v>
      </c>
      <c r="G160" s="40" t="s">
        <v>528</v>
      </c>
      <c r="H160" s="40" t="s">
        <v>3763</v>
      </c>
      <c r="I160" s="141" t="s">
        <v>1929</v>
      </c>
      <c r="J160" s="137" t="s">
        <v>523</v>
      </c>
      <c r="K160" s="39" t="s">
        <v>527</v>
      </c>
      <c r="L160" s="143" t="s">
        <v>526</v>
      </c>
      <c r="M160" s="139" t="s">
        <v>10</v>
      </c>
      <c r="N160" s="135"/>
    </row>
    <row r="161" spans="1:14">
      <c r="A161" s="166" t="s">
        <v>3028</v>
      </c>
      <c r="B161" s="62" t="s">
        <v>1941</v>
      </c>
      <c r="C161" s="39" t="s">
        <v>12</v>
      </c>
      <c r="D161" s="41" t="s">
        <v>1928</v>
      </c>
      <c r="E161" s="47" t="s">
        <v>1122</v>
      </c>
      <c r="F161" s="39" t="s">
        <v>530</v>
      </c>
      <c r="G161" s="40" t="s">
        <v>531</v>
      </c>
      <c r="H161" s="40" t="s">
        <v>3764</v>
      </c>
      <c r="I161" s="141" t="s">
        <v>1929</v>
      </c>
      <c r="J161" s="137" t="s">
        <v>523</v>
      </c>
      <c r="K161" s="39" t="s">
        <v>529</v>
      </c>
      <c r="L161" s="143" t="s">
        <v>526</v>
      </c>
      <c r="M161" s="139" t="s">
        <v>10</v>
      </c>
      <c r="N161" s="135"/>
    </row>
    <row r="162" spans="1:14">
      <c r="A162" s="166" t="s">
        <v>3028</v>
      </c>
      <c r="B162" s="62" t="s">
        <v>1941</v>
      </c>
      <c r="C162" s="39" t="s">
        <v>12</v>
      </c>
      <c r="D162" s="41" t="s">
        <v>1928</v>
      </c>
      <c r="E162" s="47" t="s">
        <v>1123</v>
      </c>
      <c r="F162" s="39" t="s">
        <v>534</v>
      </c>
      <c r="G162" s="40" t="s">
        <v>535</v>
      </c>
      <c r="H162" s="40"/>
      <c r="I162" s="141" t="s">
        <v>1929</v>
      </c>
      <c r="J162" s="137" t="s">
        <v>532</v>
      </c>
      <c r="K162" s="39" t="s">
        <v>533</v>
      </c>
      <c r="L162" s="143" t="s">
        <v>536</v>
      </c>
      <c r="M162" s="139" t="s">
        <v>10</v>
      </c>
      <c r="N162" s="135"/>
    </row>
    <row r="163" spans="1:14">
      <c r="A163" s="166" t="s">
        <v>3028</v>
      </c>
      <c r="B163" s="62" t="s">
        <v>1941</v>
      </c>
      <c r="C163" s="39" t="s">
        <v>12</v>
      </c>
      <c r="D163" s="41" t="s">
        <v>1928</v>
      </c>
      <c r="E163" s="47" t="s">
        <v>1124</v>
      </c>
      <c r="F163" s="39" t="s">
        <v>538</v>
      </c>
      <c r="G163" s="40" t="s">
        <v>535</v>
      </c>
      <c r="H163" s="40"/>
      <c r="I163" s="141" t="s">
        <v>1929</v>
      </c>
      <c r="J163" s="137" t="s">
        <v>532</v>
      </c>
      <c r="K163" s="39" t="s">
        <v>537</v>
      </c>
      <c r="L163" s="143" t="s">
        <v>536</v>
      </c>
      <c r="M163" s="139" t="s">
        <v>10</v>
      </c>
      <c r="N163" s="135"/>
    </row>
    <row r="164" spans="1:14">
      <c r="A164" s="166" t="s">
        <v>3028</v>
      </c>
      <c r="B164" s="62" t="s">
        <v>1941</v>
      </c>
      <c r="C164" s="39" t="s">
        <v>12</v>
      </c>
      <c r="D164" s="41" t="s">
        <v>1928</v>
      </c>
      <c r="E164" s="47" t="s">
        <v>1125</v>
      </c>
      <c r="F164" s="39" t="s">
        <v>540</v>
      </c>
      <c r="G164" s="40" t="s">
        <v>541</v>
      </c>
      <c r="H164" s="40"/>
      <c r="I164" s="141" t="s">
        <v>1929</v>
      </c>
      <c r="J164" s="137" t="s">
        <v>532</v>
      </c>
      <c r="K164" s="39" t="s">
        <v>539</v>
      </c>
      <c r="L164" s="143" t="s">
        <v>536</v>
      </c>
      <c r="M164" s="139" t="s">
        <v>10</v>
      </c>
      <c r="N164" s="135"/>
    </row>
    <row r="165" spans="1:14">
      <c r="A165" s="166" t="s">
        <v>3028</v>
      </c>
      <c r="B165" s="62" t="s">
        <v>1941</v>
      </c>
      <c r="C165" s="39" t="s">
        <v>12</v>
      </c>
      <c r="D165" s="41" t="s">
        <v>1928</v>
      </c>
      <c r="E165" s="47" t="s">
        <v>1126</v>
      </c>
      <c r="F165" s="39" t="s">
        <v>543</v>
      </c>
      <c r="G165" s="40" t="s">
        <v>544</v>
      </c>
      <c r="H165" s="40"/>
      <c r="I165" s="141" t="s">
        <v>1929</v>
      </c>
      <c r="J165" s="137" t="s">
        <v>532</v>
      </c>
      <c r="K165" s="39" t="s">
        <v>542</v>
      </c>
      <c r="L165" s="143" t="s">
        <v>536</v>
      </c>
      <c r="M165" s="139" t="s">
        <v>10</v>
      </c>
      <c r="N165" s="135"/>
    </row>
    <row r="166" spans="1:14">
      <c r="A166" s="166" t="s">
        <v>3028</v>
      </c>
      <c r="B166" s="62" t="s">
        <v>1941</v>
      </c>
      <c r="C166" s="39" t="s">
        <v>12</v>
      </c>
      <c r="D166" s="41" t="s">
        <v>1928</v>
      </c>
      <c r="E166" s="47" t="s">
        <v>1127</v>
      </c>
      <c r="F166" s="39" t="s">
        <v>546</v>
      </c>
      <c r="G166" s="40" t="s">
        <v>547</v>
      </c>
      <c r="H166" s="40"/>
      <c r="I166" s="141" t="s">
        <v>1929</v>
      </c>
      <c r="J166" s="137" t="s">
        <v>532</v>
      </c>
      <c r="K166" s="39" t="s">
        <v>545</v>
      </c>
      <c r="L166" s="143" t="s">
        <v>536</v>
      </c>
      <c r="M166" s="139" t="s">
        <v>10</v>
      </c>
      <c r="N166" s="135"/>
    </row>
    <row r="167" spans="1:14">
      <c r="A167" s="166" t="s">
        <v>3028</v>
      </c>
      <c r="B167" s="62" t="s">
        <v>1941</v>
      </c>
      <c r="C167" s="39" t="s">
        <v>12</v>
      </c>
      <c r="D167" s="41" t="s">
        <v>1926</v>
      </c>
      <c r="E167" s="47" t="s">
        <v>1128</v>
      </c>
      <c r="F167" s="39" t="s">
        <v>549</v>
      </c>
      <c r="G167" s="40" t="s">
        <v>550</v>
      </c>
      <c r="H167" s="40"/>
      <c r="I167" s="141" t="s">
        <v>1927</v>
      </c>
      <c r="J167" s="137" t="s">
        <v>532</v>
      </c>
      <c r="K167" s="39" t="s">
        <v>548</v>
      </c>
      <c r="L167" s="143" t="s">
        <v>536</v>
      </c>
      <c r="M167" s="139" t="s">
        <v>9</v>
      </c>
      <c r="N167" s="135"/>
    </row>
    <row r="168" spans="1:14">
      <c r="A168" s="166" t="s">
        <v>3028</v>
      </c>
      <c r="B168" s="62" t="s">
        <v>1941</v>
      </c>
      <c r="C168" s="39" t="s">
        <v>12</v>
      </c>
      <c r="D168" s="41" t="s">
        <v>1926</v>
      </c>
      <c r="E168" s="47" t="s">
        <v>1129</v>
      </c>
      <c r="F168" s="39" t="s">
        <v>553</v>
      </c>
      <c r="G168" s="40" t="s">
        <v>3447</v>
      </c>
      <c r="H168" s="40"/>
      <c r="I168" s="141" t="s">
        <v>1927</v>
      </c>
      <c r="J168" s="137" t="s">
        <v>551</v>
      </c>
      <c r="K168" s="39" t="s">
        <v>552</v>
      </c>
      <c r="L168" s="143" t="s">
        <v>554</v>
      </c>
      <c r="M168" s="139" t="s">
        <v>9</v>
      </c>
      <c r="N168" s="135"/>
    </row>
    <row r="169" spans="1:14">
      <c r="A169" s="166" t="s">
        <v>3028</v>
      </c>
      <c r="B169" s="62" t="s">
        <v>1941</v>
      </c>
      <c r="C169" s="39" t="s">
        <v>12</v>
      </c>
      <c r="D169" s="41" t="s">
        <v>1926</v>
      </c>
      <c r="E169" s="47" t="s">
        <v>1130</v>
      </c>
      <c r="F169" s="39" t="s">
        <v>556</v>
      </c>
      <c r="G169" s="40" t="s">
        <v>557</v>
      </c>
      <c r="H169" s="40"/>
      <c r="I169" s="141" t="s">
        <v>1927</v>
      </c>
      <c r="J169" s="137" t="s">
        <v>551</v>
      </c>
      <c r="K169" s="39" t="s">
        <v>555</v>
      </c>
      <c r="L169" s="143" t="s">
        <v>554</v>
      </c>
      <c r="M169" s="139" t="s">
        <v>9</v>
      </c>
      <c r="N169" s="135"/>
    </row>
    <row r="170" spans="1:14">
      <c r="A170" s="166" t="s">
        <v>3028</v>
      </c>
      <c r="B170" s="62" t="s">
        <v>1942</v>
      </c>
      <c r="C170" s="39" t="s">
        <v>12</v>
      </c>
      <c r="D170" s="41" t="s">
        <v>8</v>
      </c>
      <c r="E170" s="47" t="s">
        <v>1131</v>
      </c>
      <c r="F170" s="39" t="s">
        <v>560</v>
      </c>
      <c r="G170" s="40" t="s">
        <v>561</v>
      </c>
      <c r="H170" s="40"/>
      <c r="I170" s="141"/>
      <c r="J170" s="137" t="s">
        <v>558</v>
      </c>
      <c r="K170" s="39" t="s">
        <v>559</v>
      </c>
      <c r="L170" s="143" t="s">
        <v>562</v>
      </c>
      <c r="M170" s="139" t="s">
        <v>8</v>
      </c>
      <c r="N170" s="135"/>
    </row>
    <row r="171" spans="1:14">
      <c r="A171" s="166" t="s">
        <v>3028</v>
      </c>
      <c r="B171" s="62" t="s">
        <v>1942</v>
      </c>
      <c r="C171" s="39" t="s">
        <v>12</v>
      </c>
      <c r="D171" s="41" t="s">
        <v>8</v>
      </c>
      <c r="E171" s="47" t="s">
        <v>1132</v>
      </c>
      <c r="F171" s="39" t="s">
        <v>564</v>
      </c>
      <c r="G171" s="40" t="s">
        <v>565</v>
      </c>
      <c r="H171" s="40"/>
      <c r="I171" s="141"/>
      <c r="J171" s="137" t="s">
        <v>558</v>
      </c>
      <c r="K171" s="39" t="s">
        <v>563</v>
      </c>
      <c r="L171" s="143" t="s">
        <v>562</v>
      </c>
      <c r="M171" s="139" t="s">
        <v>8</v>
      </c>
      <c r="N171" s="135"/>
    </row>
    <row r="172" spans="1:14">
      <c r="A172" s="166" t="s">
        <v>3028</v>
      </c>
      <c r="B172" s="62" t="s">
        <v>1942</v>
      </c>
      <c r="C172" s="39" t="s">
        <v>12</v>
      </c>
      <c r="D172" s="41" t="s">
        <v>8</v>
      </c>
      <c r="E172" s="47" t="s">
        <v>1133</v>
      </c>
      <c r="F172" s="39" t="s">
        <v>567</v>
      </c>
      <c r="G172" s="40" t="s">
        <v>568</v>
      </c>
      <c r="H172" s="40"/>
      <c r="I172" s="141"/>
      <c r="J172" s="137" t="s">
        <v>558</v>
      </c>
      <c r="K172" s="39" t="s">
        <v>566</v>
      </c>
      <c r="L172" s="143" t="s">
        <v>562</v>
      </c>
      <c r="M172" s="139" t="s">
        <v>8</v>
      </c>
      <c r="N172" s="135"/>
    </row>
    <row r="173" spans="1:14">
      <c r="A173" s="166" t="s">
        <v>3028</v>
      </c>
      <c r="B173" s="62" t="s">
        <v>1942</v>
      </c>
      <c r="C173" s="39" t="s">
        <v>12</v>
      </c>
      <c r="D173" s="41" t="s">
        <v>1926</v>
      </c>
      <c r="E173" s="47" t="s">
        <v>1134</v>
      </c>
      <c r="F173" s="39" t="s">
        <v>570</v>
      </c>
      <c r="G173" s="40" t="s">
        <v>571</v>
      </c>
      <c r="H173" s="40"/>
      <c r="I173" s="141" t="s">
        <v>1927</v>
      </c>
      <c r="J173" s="137" t="s">
        <v>558</v>
      </c>
      <c r="K173" s="39" t="s">
        <v>569</v>
      </c>
      <c r="L173" s="143" t="s">
        <v>562</v>
      </c>
      <c r="M173" s="139" t="s">
        <v>9</v>
      </c>
      <c r="N173" s="135"/>
    </row>
    <row r="174" spans="1:14">
      <c r="A174" s="166" t="s">
        <v>3028</v>
      </c>
      <c r="B174" s="62" t="s">
        <v>1942</v>
      </c>
      <c r="C174" s="39" t="s">
        <v>12</v>
      </c>
      <c r="D174" s="41" t="s">
        <v>8</v>
      </c>
      <c r="E174" s="47" t="s">
        <v>1135</v>
      </c>
      <c r="F174" s="39" t="s">
        <v>573</v>
      </c>
      <c r="G174" s="40" t="s">
        <v>574</v>
      </c>
      <c r="H174" s="40"/>
      <c r="I174" s="141"/>
      <c r="J174" s="137" t="s">
        <v>558</v>
      </c>
      <c r="K174" s="39" t="s">
        <v>572</v>
      </c>
      <c r="L174" s="143" t="s">
        <v>562</v>
      </c>
      <c r="M174" s="139" t="s">
        <v>8</v>
      </c>
      <c r="N174" s="135"/>
    </row>
    <row r="175" spans="1:14">
      <c r="A175" s="166" t="s">
        <v>3028</v>
      </c>
      <c r="B175" s="62" t="s">
        <v>1942</v>
      </c>
      <c r="C175" s="39" t="s">
        <v>12</v>
      </c>
      <c r="D175" s="41" t="s">
        <v>1926</v>
      </c>
      <c r="E175" s="47" t="s">
        <v>1136</v>
      </c>
      <c r="F175" s="39" t="s">
        <v>576</v>
      </c>
      <c r="G175" s="40" t="s">
        <v>577</v>
      </c>
      <c r="H175" s="40"/>
      <c r="I175" s="141" t="s">
        <v>1927</v>
      </c>
      <c r="J175" s="137" t="s">
        <v>558</v>
      </c>
      <c r="K175" s="39" t="s">
        <v>575</v>
      </c>
      <c r="L175" s="143" t="s">
        <v>562</v>
      </c>
      <c r="M175" s="139" t="s">
        <v>9</v>
      </c>
      <c r="N175" s="135"/>
    </row>
    <row r="176" spans="1:14">
      <c r="A176" s="166" t="s">
        <v>3028</v>
      </c>
      <c r="B176" s="62" t="s">
        <v>1942</v>
      </c>
      <c r="C176" s="39" t="s">
        <v>12</v>
      </c>
      <c r="D176" s="41" t="s">
        <v>1928</v>
      </c>
      <c r="E176" s="47" t="s">
        <v>1137</v>
      </c>
      <c r="F176" s="39" t="s">
        <v>579</v>
      </c>
      <c r="G176" s="40" t="s">
        <v>580</v>
      </c>
      <c r="H176" s="40"/>
      <c r="I176" s="141" t="s">
        <v>1929</v>
      </c>
      <c r="J176" s="137" t="s">
        <v>558</v>
      </c>
      <c r="K176" s="39" t="s">
        <v>578</v>
      </c>
      <c r="L176" s="143" t="s">
        <v>562</v>
      </c>
      <c r="M176" s="139" t="s">
        <v>10</v>
      </c>
      <c r="N176" s="135"/>
    </row>
    <row r="177" spans="1:14">
      <c r="A177" s="166" t="s">
        <v>3028</v>
      </c>
      <c r="B177" s="62" t="s">
        <v>1942</v>
      </c>
      <c r="C177" s="39" t="s">
        <v>12</v>
      </c>
      <c r="D177" s="41" t="s">
        <v>8</v>
      </c>
      <c r="E177" s="47" t="s">
        <v>1138</v>
      </c>
      <c r="F177" s="39" t="s">
        <v>582</v>
      </c>
      <c r="G177" s="40" t="s">
        <v>583</v>
      </c>
      <c r="H177" s="40"/>
      <c r="I177" s="141"/>
      <c r="J177" s="137" t="s">
        <v>558</v>
      </c>
      <c r="K177" s="39" t="s">
        <v>581</v>
      </c>
      <c r="L177" s="143" t="s">
        <v>562</v>
      </c>
      <c r="M177" s="139" t="s">
        <v>8</v>
      </c>
      <c r="N177" s="135"/>
    </row>
    <row r="178" spans="1:14">
      <c r="A178" s="166" t="s">
        <v>3028</v>
      </c>
      <c r="B178" s="62" t="s">
        <v>1942</v>
      </c>
      <c r="C178" s="39" t="s">
        <v>12</v>
      </c>
      <c r="D178" s="41" t="s">
        <v>8</v>
      </c>
      <c r="E178" s="47" t="s">
        <v>1139</v>
      </c>
      <c r="F178" s="39" t="s">
        <v>585</v>
      </c>
      <c r="G178" s="40" t="s">
        <v>586</v>
      </c>
      <c r="H178" s="40"/>
      <c r="I178" s="141"/>
      <c r="J178" s="137" t="s">
        <v>558</v>
      </c>
      <c r="K178" s="39" t="s">
        <v>584</v>
      </c>
      <c r="L178" s="143" t="s">
        <v>562</v>
      </c>
      <c r="M178" s="139" t="s">
        <v>8</v>
      </c>
      <c r="N178" s="135"/>
    </row>
    <row r="179" spans="1:14">
      <c r="A179" s="166" t="s">
        <v>3028</v>
      </c>
      <c r="B179" s="62" t="s">
        <v>1942</v>
      </c>
      <c r="C179" s="39" t="s">
        <v>12</v>
      </c>
      <c r="D179" s="41" t="s">
        <v>8</v>
      </c>
      <c r="E179" s="47" t="s">
        <v>1140</v>
      </c>
      <c r="F179" s="39" t="s">
        <v>588</v>
      </c>
      <c r="G179" s="40" t="s">
        <v>589</v>
      </c>
      <c r="H179" s="40"/>
      <c r="I179" s="141"/>
      <c r="J179" s="137" t="s">
        <v>558</v>
      </c>
      <c r="K179" s="39" t="s">
        <v>587</v>
      </c>
      <c r="L179" s="143" t="s">
        <v>562</v>
      </c>
      <c r="M179" s="139" t="s">
        <v>8</v>
      </c>
      <c r="N179" s="135"/>
    </row>
    <row r="180" spans="1:14">
      <c r="A180" s="166" t="s">
        <v>3028</v>
      </c>
      <c r="B180" s="62" t="s">
        <v>1942</v>
      </c>
      <c r="C180" s="39" t="s">
        <v>12</v>
      </c>
      <c r="D180" s="41" t="s">
        <v>8</v>
      </c>
      <c r="E180" s="47" t="s">
        <v>1141</v>
      </c>
      <c r="F180" s="39" t="s">
        <v>591</v>
      </c>
      <c r="G180" s="40" t="s">
        <v>592</v>
      </c>
      <c r="H180" s="40"/>
      <c r="I180" s="141"/>
      <c r="J180" s="137" t="s">
        <v>558</v>
      </c>
      <c r="K180" s="39" t="s">
        <v>590</v>
      </c>
      <c r="L180" s="143" t="s">
        <v>562</v>
      </c>
      <c r="M180" s="139" t="s">
        <v>8</v>
      </c>
      <c r="N180" s="135"/>
    </row>
    <row r="181" spans="1:14">
      <c r="A181" s="166" t="s">
        <v>3028</v>
      </c>
      <c r="B181" s="62" t="s">
        <v>1943</v>
      </c>
      <c r="C181" s="39" t="s">
        <v>12</v>
      </c>
      <c r="D181" s="41" t="s">
        <v>1928</v>
      </c>
      <c r="E181" s="47" t="s">
        <v>1142</v>
      </c>
      <c r="F181" s="39" t="s">
        <v>595</v>
      </c>
      <c r="G181" s="40" t="s">
        <v>596</v>
      </c>
      <c r="H181" s="40"/>
      <c r="I181" s="141" t="s">
        <v>1929</v>
      </c>
      <c r="J181" s="137" t="s">
        <v>593</v>
      </c>
      <c r="K181" s="39" t="s">
        <v>594</v>
      </c>
      <c r="L181" s="143" t="s">
        <v>597</v>
      </c>
      <c r="M181" s="139" t="s">
        <v>10</v>
      </c>
      <c r="N181" s="135"/>
    </row>
    <row r="182" spans="1:14" ht="30">
      <c r="A182" s="166" t="s">
        <v>3028</v>
      </c>
      <c r="B182" s="62" t="s">
        <v>1943</v>
      </c>
      <c r="C182" s="39" t="s">
        <v>12</v>
      </c>
      <c r="D182" s="41" t="s">
        <v>1928</v>
      </c>
      <c r="E182" s="47" t="s">
        <v>1143</v>
      </c>
      <c r="F182" s="39" t="s">
        <v>599</v>
      </c>
      <c r="G182" s="40" t="s">
        <v>600</v>
      </c>
      <c r="H182" s="40"/>
      <c r="I182" s="141" t="s">
        <v>1929</v>
      </c>
      <c r="J182" s="137" t="s">
        <v>593</v>
      </c>
      <c r="K182" s="39" t="s">
        <v>598</v>
      </c>
      <c r="L182" s="143" t="s">
        <v>597</v>
      </c>
      <c r="M182" s="139" t="s">
        <v>10</v>
      </c>
      <c r="N182" s="135"/>
    </row>
    <row r="183" spans="1:14">
      <c r="A183" s="166" t="s">
        <v>3028</v>
      </c>
      <c r="B183" s="62" t="s">
        <v>1943</v>
      </c>
      <c r="C183" s="39" t="s">
        <v>12</v>
      </c>
      <c r="D183" s="41" t="s">
        <v>8</v>
      </c>
      <c r="E183" s="47" t="s">
        <v>1144</v>
      </c>
      <c r="F183" s="39" t="s">
        <v>602</v>
      </c>
      <c r="G183" s="40" t="s">
        <v>603</v>
      </c>
      <c r="H183" s="40"/>
      <c r="I183" s="141"/>
      <c r="J183" s="137" t="s">
        <v>593</v>
      </c>
      <c r="K183" s="39" t="s">
        <v>601</v>
      </c>
      <c r="L183" s="143" t="s">
        <v>597</v>
      </c>
      <c r="M183" s="139" t="s">
        <v>8</v>
      </c>
      <c r="N183" s="135"/>
    </row>
    <row r="184" spans="1:14">
      <c r="A184" s="166" t="s">
        <v>3028</v>
      </c>
      <c r="B184" s="62" t="s">
        <v>1943</v>
      </c>
      <c r="C184" s="39" t="s">
        <v>12</v>
      </c>
      <c r="D184" s="41" t="s">
        <v>1926</v>
      </c>
      <c r="E184" s="47" t="s">
        <v>1145</v>
      </c>
      <c r="F184" s="39" t="s">
        <v>605</v>
      </c>
      <c r="G184" s="40" t="s">
        <v>606</v>
      </c>
      <c r="H184" s="40"/>
      <c r="I184" s="141" t="s">
        <v>1927</v>
      </c>
      <c r="J184" s="137" t="s">
        <v>593</v>
      </c>
      <c r="K184" s="39" t="s">
        <v>604</v>
      </c>
      <c r="L184" s="143" t="s">
        <v>597</v>
      </c>
      <c r="M184" s="139" t="s">
        <v>9</v>
      </c>
      <c r="N184" s="135"/>
    </row>
    <row r="185" spans="1:14">
      <c r="A185" s="166" t="s">
        <v>3028</v>
      </c>
      <c r="B185" s="62" t="s">
        <v>1943</v>
      </c>
      <c r="C185" s="39" t="s">
        <v>12</v>
      </c>
      <c r="D185" s="41" t="s">
        <v>1926</v>
      </c>
      <c r="E185" s="47" t="s">
        <v>1146</v>
      </c>
      <c r="F185" s="39" t="s">
        <v>608</v>
      </c>
      <c r="G185" s="40" t="s">
        <v>609</v>
      </c>
      <c r="H185" s="40"/>
      <c r="I185" s="141" t="s">
        <v>1927</v>
      </c>
      <c r="J185" s="137" t="s">
        <v>593</v>
      </c>
      <c r="K185" s="39" t="s">
        <v>607</v>
      </c>
      <c r="L185" s="143" t="s">
        <v>597</v>
      </c>
      <c r="M185" s="139" t="s">
        <v>9</v>
      </c>
      <c r="N185" s="135"/>
    </row>
    <row r="186" spans="1:14">
      <c r="A186" s="166" t="s">
        <v>3029</v>
      </c>
      <c r="B186" s="62" t="s">
        <v>1944</v>
      </c>
      <c r="C186" s="39" t="s">
        <v>1798</v>
      </c>
      <c r="D186" s="41" t="s">
        <v>8</v>
      </c>
      <c r="E186" s="47" t="s">
        <v>1147</v>
      </c>
      <c r="F186" s="39" t="s">
        <v>612</v>
      </c>
      <c r="G186" s="40" t="s">
        <v>613</v>
      </c>
      <c r="H186" s="41"/>
      <c r="I186" s="141"/>
      <c r="J186" s="137" t="s">
        <v>610</v>
      </c>
      <c r="K186" s="39" t="s">
        <v>611</v>
      </c>
      <c r="L186" s="143" t="s">
        <v>614</v>
      </c>
      <c r="M186" s="139" t="s">
        <v>8</v>
      </c>
      <c r="N186" s="135"/>
    </row>
    <row r="187" spans="1:14">
      <c r="A187" s="166" t="s">
        <v>3029</v>
      </c>
      <c r="B187" s="62" t="s">
        <v>1938</v>
      </c>
      <c r="C187" s="39" t="s">
        <v>1798</v>
      </c>
      <c r="D187" s="41" t="s">
        <v>8</v>
      </c>
      <c r="E187" s="47" t="s">
        <v>1148</v>
      </c>
      <c r="F187" s="39" t="s">
        <v>617</v>
      </c>
      <c r="G187" s="40" t="s">
        <v>618</v>
      </c>
      <c r="H187" s="41"/>
      <c r="I187" s="141"/>
      <c r="J187" s="137" t="s">
        <v>615</v>
      </c>
      <c r="K187" s="39" t="s">
        <v>616</v>
      </c>
      <c r="L187" s="143" t="s">
        <v>614</v>
      </c>
      <c r="M187" s="139" t="s">
        <v>8</v>
      </c>
      <c r="N187" s="135"/>
    </row>
    <row r="188" spans="1:14">
      <c r="A188" s="166" t="s">
        <v>3029</v>
      </c>
      <c r="B188" s="62" t="s">
        <v>1941</v>
      </c>
      <c r="C188" s="39" t="s">
        <v>1798</v>
      </c>
      <c r="D188" s="41" t="s">
        <v>8</v>
      </c>
      <c r="E188" s="47" t="s">
        <v>1149</v>
      </c>
      <c r="F188" s="39" t="s">
        <v>621</v>
      </c>
      <c r="G188" s="40" t="s">
        <v>622</v>
      </c>
      <c r="H188" s="41"/>
      <c r="I188" s="141"/>
      <c r="J188" s="137" t="s">
        <v>619</v>
      </c>
      <c r="K188" s="39" t="s">
        <v>620</v>
      </c>
      <c r="L188" s="143" t="s">
        <v>623</v>
      </c>
      <c r="M188" s="139" t="s">
        <v>8</v>
      </c>
      <c r="N188" s="135"/>
    </row>
    <row r="189" spans="1:14">
      <c r="A189" s="166" t="s">
        <v>3029</v>
      </c>
      <c r="B189" s="62" t="s">
        <v>1937</v>
      </c>
      <c r="C189" s="39" t="s">
        <v>1798</v>
      </c>
      <c r="D189" s="41" t="s">
        <v>1926</v>
      </c>
      <c r="E189" s="47" t="s">
        <v>1150</v>
      </c>
      <c r="F189" s="39" t="s">
        <v>626</v>
      </c>
      <c r="G189" s="40" t="s">
        <v>627</v>
      </c>
      <c r="H189" s="41"/>
      <c r="I189" s="141" t="s">
        <v>1945</v>
      </c>
      <c r="J189" s="137" t="s">
        <v>624</v>
      </c>
      <c r="K189" s="39" t="s">
        <v>625</v>
      </c>
      <c r="L189" s="143" t="s">
        <v>614</v>
      </c>
      <c r="M189" s="139" t="s">
        <v>9</v>
      </c>
      <c r="N189" s="135"/>
    </row>
    <row r="190" spans="1:14">
      <c r="A190" s="166" t="s">
        <v>3029</v>
      </c>
      <c r="B190" s="62" t="s">
        <v>1937</v>
      </c>
      <c r="C190" s="39" t="s">
        <v>1798</v>
      </c>
      <c r="D190" s="41" t="s">
        <v>8</v>
      </c>
      <c r="E190" s="47" t="s">
        <v>1151</v>
      </c>
      <c r="F190" s="39" t="s">
        <v>630</v>
      </c>
      <c r="G190" s="40" t="s">
        <v>631</v>
      </c>
      <c r="H190" s="41"/>
      <c r="I190" s="141"/>
      <c r="J190" s="137" t="s">
        <v>628</v>
      </c>
      <c r="K190" s="39" t="s">
        <v>629</v>
      </c>
      <c r="L190" s="143" t="s">
        <v>623</v>
      </c>
      <c r="M190" s="139" t="s">
        <v>8</v>
      </c>
      <c r="N190" s="135"/>
    </row>
    <row r="191" spans="1:14">
      <c r="A191" s="166" t="s">
        <v>3029</v>
      </c>
      <c r="B191" s="62" t="s">
        <v>1933</v>
      </c>
      <c r="C191" s="39" t="s">
        <v>1798</v>
      </c>
      <c r="D191" s="41" t="s">
        <v>8</v>
      </c>
      <c r="E191" s="47" t="s">
        <v>1152</v>
      </c>
      <c r="F191" s="39" t="s">
        <v>634</v>
      </c>
      <c r="G191" s="40" t="s">
        <v>635</v>
      </c>
      <c r="H191" s="41"/>
      <c r="I191" s="141"/>
      <c r="J191" s="137" t="s">
        <v>632</v>
      </c>
      <c r="K191" s="39" t="s">
        <v>633</v>
      </c>
      <c r="L191" s="143" t="s">
        <v>614</v>
      </c>
      <c r="M191" s="139" t="s">
        <v>8</v>
      </c>
      <c r="N191" s="135"/>
    </row>
    <row r="192" spans="1:14" ht="30">
      <c r="A192" s="166" t="s">
        <v>3029</v>
      </c>
      <c r="B192" s="62" t="s">
        <v>1934</v>
      </c>
      <c r="C192" s="39" t="s">
        <v>1798</v>
      </c>
      <c r="D192" s="41" t="s">
        <v>8</v>
      </c>
      <c r="E192" s="47" t="s">
        <v>1153</v>
      </c>
      <c r="F192" s="39" t="s">
        <v>638</v>
      </c>
      <c r="G192" s="40" t="s">
        <v>639</v>
      </c>
      <c r="H192" s="41"/>
      <c r="I192" s="141"/>
      <c r="J192" s="137" t="s">
        <v>636</v>
      </c>
      <c r="K192" s="39" t="s">
        <v>637</v>
      </c>
      <c r="L192" s="143" t="s">
        <v>623</v>
      </c>
      <c r="M192" s="139" t="s">
        <v>8</v>
      </c>
      <c r="N192" s="135"/>
    </row>
    <row r="193" spans="1:14">
      <c r="A193" s="166" t="s">
        <v>3029</v>
      </c>
      <c r="B193" s="62" t="s">
        <v>1934</v>
      </c>
      <c r="C193" s="39" t="s">
        <v>1798</v>
      </c>
      <c r="D193" s="41" t="s">
        <v>8</v>
      </c>
      <c r="E193" s="47" t="s">
        <v>1154</v>
      </c>
      <c r="F193" s="39" t="s">
        <v>642</v>
      </c>
      <c r="G193" s="40" t="s">
        <v>643</v>
      </c>
      <c r="H193" s="41"/>
      <c r="I193" s="141"/>
      <c r="J193" s="137" t="s">
        <v>640</v>
      </c>
      <c r="K193" s="39" t="s">
        <v>641</v>
      </c>
      <c r="L193" s="143" t="s">
        <v>614</v>
      </c>
      <c r="M193" s="139" t="s">
        <v>8</v>
      </c>
      <c r="N193" s="135"/>
    </row>
    <row r="194" spans="1:14">
      <c r="A194" s="166" t="s">
        <v>3029</v>
      </c>
      <c r="B194" s="62" t="s">
        <v>1932</v>
      </c>
      <c r="C194" s="39" t="s">
        <v>1798</v>
      </c>
      <c r="D194" s="41" t="s">
        <v>8</v>
      </c>
      <c r="E194" s="47" t="s">
        <v>1155</v>
      </c>
      <c r="F194" s="39" t="s">
        <v>646</v>
      </c>
      <c r="G194" s="40" t="s">
        <v>647</v>
      </c>
      <c r="H194" s="41"/>
      <c r="I194" s="141"/>
      <c r="J194" s="137" t="s">
        <v>644</v>
      </c>
      <c r="K194" s="39" t="s">
        <v>645</v>
      </c>
      <c r="L194" s="143" t="s">
        <v>614</v>
      </c>
      <c r="M194" s="139" t="s">
        <v>8</v>
      </c>
      <c r="N194" s="135"/>
    </row>
    <row r="195" spans="1:14">
      <c r="A195" s="166" t="s">
        <v>3029</v>
      </c>
      <c r="B195" s="62" t="s">
        <v>1933</v>
      </c>
      <c r="C195" s="39" t="s">
        <v>1798</v>
      </c>
      <c r="D195" s="41" t="s">
        <v>8</v>
      </c>
      <c r="E195" s="47" t="s">
        <v>1156</v>
      </c>
      <c r="F195" s="39" t="s">
        <v>650</v>
      </c>
      <c r="G195" s="40" t="s">
        <v>651</v>
      </c>
      <c r="H195" s="41"/>
      <c r="I195" s="141"/>
      <c r="J195" s="137" t="s">
        <v>648</v>
      </c>
      <c r="K195" s="39" t="s">
        <v>649</v>
      </c>
      <c r="L195" s="143" t="s">
        <v>614</v>
      </c>
      <c r="M195" s="139" t="s">
        <v>8</v>
      </c>
      <c r="N195" s="135"/>
    </row>
    <row r="196" spans="1:14">
      <c r="A196" s="166" t="s">
        <v>3029</v>
      </c>
      <c r="B196" s="62" t="s">
        <v>1932</v>
      </c>
      <c r="C196" s="39" t="s">
        <v>1798</v>
      </c>
      <c r="D196" s="41" t="s">
        <v>8</v>
      </c>
      <c r="E196" s="47" t="s">
        <v>1157</v>
      </c>
      <c r="F196" s="39" t="s">
        <v>654</v>
      </c>
      <c r="G196" s="40" t="s">
        <v>655</v>
      </c>
      <c r="H196" s="41"/>
      <c r="I196" s="141"/>
      <c r="J196" s="137" t="s">
        <v>652</v>
      </c>
      <c r="K196" s="39" t="s">
        <v>653</v>
      </c>
      <c r="L196" s="143" t="s">
        <v>614</v>
      </c>
      <c r="M196" s="139" t="s">
        <v>8</v>
      </c>
      <c r="N196" s="135"/>
    </row>
    <row r="197" spans="1:14" ht="30">
      <c r="A197" s="166" t="s">
        <v>3029</v>
      </c>
      <c r="B197" s="62" t="s">
        <v>1934</v>
      </c>
      <c r="C197" s="39" t="s">
        <v>1798</v>
      </c>
      <c r="D197" s="41" t="s">
        <v>8</v>
      </c>
      <c r="E197" s="47" t="s">
        <v>1158</v>
      </c>
      <c r="F197" s="39" t="s">
        <v>658</v>
      </c>
      <c r="G197" s="40" t="s">
        <v>659</v>
      </c>
      <c r="H197" s="41"/>
      <c r="I197" s="141"/>
      <c r="J197" s="137" t="s">
        <v>656</v>
      </c>
      <c r="K197" s="39" t="s">
        <v>657</v>
      </c>
      <c r="L197" s="143" t="s">
        <v>614</v>
      </c>
      <c r="M197" s="139" t="s">
        <v>8</v>
      </c>
      <c r="N197" s="135"/>
    </row>
    <row r="198" spans="1:14">
      <c r="A198" s="166" t="s">
        <v>3029</v>
      </c>
      <c r="B198" s="62" t="s">
        <v>1936</v>
      </c>
      <c r="C198" s="39" t="s">
        <v>1798</v>
      </c>
      <c r="D198" s="41" t="s">
        <v>8</v>
      </c>
      <c r="E198" s="47" t="s">
        <v>1159</v>
      </c>
      <c r="F198" s="39" t="s">
        <v>662</v>
      </c>
      <c r="G198" s="40" t="s">
        <v>663</v>
      </c>
      <c r="H198" s="41"/>
      <c r="I198" s="141"/>
      <c r="J198" s="137" t="s">
        <v>660</v>
      </c>
      <c r="K198" s="39" t="s">
        <v>661</v>
      </c>
      <c r="L198" s="143" t="s">
        <v>614</v>
      </c>
      <c r="M198" s="139" t="s">
        <v>8</v>
      </c>
      <c r="N198" s="135"/>
    </row>
    <row r="199" spans="1:14">
      <c r="A199" s="166" t="s">
        <v>3029</v>
      </c>
      <c r="B199" s="62" t="s">
        <v>1936</v>
      </c>
      <c r="C199" s="39" t="s">
        <v>1798</v>
      </c>
      <c r="D199" s="41" t="s">
        <v>8</v>
      </c>
      <c r="E199" s="47" t="s">
        <v>1160</v>
      </c>
      <c r="F199" s="39" t="s">
        <v>666</v>
      </c>
      <c r="G199" s="40" t="s">
        <v>667</v>
      </c>
      <c r="H199" s="41"/>
      <c r="I199" s="141"/>
      <c r="J199" s="137" t="s">
        <v>664</v>
      </c>
      <c r="K199" s="39" t="s">
        <v>665</v>
      </c>
      <c r="L199" s="143" t="s">
        <v>614</v>
      </c>
      <c r="M199" s="139" t="s">
        <v>8</v>
      </c>
      <c r="N199" s="135"/>
    </row>
    <row r="200" spans="1:14">
      <c r="A200" s="166" t="s">
        <v>3029</v>
      </c>
      <c r="B200" s="62" t="s">
        <v>1937</v>
      </c>
      <c r="C200" s="39" t="s">
        <v>1798</v>
      </c>
      <c r="D200" s="41" t="s">
        <v>8</v>
      </c>
      <c r="E200" s="47" t="s">
        <v>1161</v>
      </c>
      <c r="F200" s="39" t="s">
        <v>670</v>
      </c>
      <c r="G200" s="40" t="s">
        <v>671</v>
      </c>
      <c r="H200" s="41"/>
      <c r="I200" s="141"/>
      <c r="J200" s="137" t="s">
        <v>668</v>
      </c>
      <c r="K200" s="39" t="s">
        <v>669</v>
      </c>
      <c r="L200" s="143" t="s">
        <v>614</v>
      </c>
      <c r="M200" s="139" t="s">
        <v>8</v>
      </c>
      <c r="N200" s="135"/>
    </row>
    <row r="201" spans="1:14">
      <c r="A201" s="166" t="s">
        <v>3029</v>
      </c>
      <c r="B201" s="62" t="s">
        <v>1938</v>
      </c>
      <c r="C201" s="39" t="s">
        <v>1798</v>
      </c>
      <c r="D201" s="41" t="s">
        <v>1926</v>
      </c>
      <c r="E201" s="47" t="s">
        <v>1162</v>
      </c>
      <c r="F201" s="39" t="s">
        <v>674</v>
      </c>
      <c r="G201" s="40" t="s">
        <v>675</v>
      </c>
      <c r="H201" s="41"/>
      <c r="I201" s="141" t="s">
        <v>1945</v>
      </c>
      <c r="J201" s="137" t="s">
        <v>672</v>
      </c>
      <c r="K201" s="39" t="s">
        <v>673</v>
      </c>
      <c r="L201" s="143" t="s">
        <v>614</v>
      </c>
      <c r="M201" s="139" t="s">
        <v>9</v>
      </c>
      <c r="N201" s="135"/>
    </row>
    <row r="202" spans="1:14">
      <c r="A202" s="166" t="s">
        <v>3029</v>
      </c>
      <c r="B202" s="62" t="s">
        <v>1944</v>
      </c>
      <c r="C202" s="39" t="s">
        <v>1798</v>
      </c>
      <c r="D202" s="41" t="s">
        <v>1926</v>
      </c>
      <c r="E202" s="47" t="s">
        <v>1163</v>
      </c>
      <c r="F202" s="39" t="s">
        <v>678</v>
      </c>
      <c r="G202" s="40" t="s">
        <v>679</v>
      </c>
      <c r="H202" s="41"/>
      <c r="I202" s="141" t="s">
        <v>1945</v>
      </c>
      <c r="J202" s="137" t="s">
        <v>676</v>
      </c>
      <c r="K202" s="39" t="s">
        <v>677</v>
      </c>
      <c r="L202" s="143" t="s">
        <v>680</v>
      </c>
      <c r="M202" s="139" t="s">
        <v>9</v>
      </c>
      <c r="N202" s="135"/>
    </row>
    <row r="203" spans="1:14" ht="30">
      <c r="A203" s="166" t="s">
        <v>3029</v>
      </c>
      <c r="B203" s="62" t="s">
        <v>1944</v>
      </c>
      <c r="C203" s="39" t="s">
        <v>1798</v>
      </c>
      <c r="D203" s="41" t="s">
        <v>8</v>
      </c>
      <c r="E203" s="47" t="s">
        <v>1164</v>
      </c>
      <c r="F203" s="39" t="s">
        <v>683</v>
      </c>
      <c r="G203" s="40" t="s">
        <v>684</v>
      </c>
      <c r="H203" s="41"/>
      <c r="I203" s="141"/>
      <c r="J203" s="137" t="s">
        <v>681</v>
      </c>
      <c r="K203" s="39" t="s">
        <v>682</v>
      </c>
      <c r="L203" s="143" t="s">
        <v>614</v>
      </c>
      <c r="M203" s="139" t="s">
        <v>8</v>
      </c>
      <c r="N203" s="135"/>
    </row>
    <row r="204" spans="1:14">
      <c r="A204" s="166" t="s">
        <v>3029</v>
      </c>
      <c r="B204" s="62" t="s">
        <v>1938</v>
      </c>
      <c r="C204" s="39" t="s">
        <v>1946</v>
      </c>
      <c r="D204" s="41" t="s">
        <v>9</v>
      </c>
      <c r="E204" s="47" t="s">
        <v>1165</v>
      </c>
      <c r="F204" s="39" t="s">
        <v>687</v>
      </c>
      <c r="G204" s="40" t="s">
        <v>688</v>
      </c>
      <c r="H204" s="41"/>
      <c r="I204" s="141" t="s">
        <v>1947</v>
      </c>
      <c r="J204" s="137" t="s">
        <v>685</v>
      </c>
      <c r="K204" s="39" t="s">
        <v>686</v>
      </c>
      <c r="L204" s="143" t="s">
        <v>689</v>
      </c>
      <c r="M204" s="139" t="s">
        <v>9</v>
      </c>
      <c r="N204" s="135"/>
    </row>
    <row r="205" spans="1:14">
      <c r="A205" s="166" t="s">
        <v>3029</v>
      </c>
      <c r="B205" s="62" t="s">
        <v>1925</v>
      </c>
      <c r="C205" s="39" t="s">
        <v>1946</v>
      </c>
      <c r="D205" s="41" t="s">
        <v>9</v>
      </c>
      <c r="E205" s="47" t="s">
        <v>1166</v>
      </c>
      <c r="F205" s="39" t="s">
        <v>691</v>
      </c>
      <c r="G205" s="40" t="s">
        <v>692</v>
      </c>
      <c r="H205" s="41"/>
      <c r="I205" s="141" t="s">
        <v>1947</v>
      </c>
      <c r="J205" s="137" t="s">
        <v>685</v>
      </c>
      <c r="K205" s="39" t="s">
        <v>690</v>
      </c>
      <c r="L205" s="143" t="s">
        <v>693</v>
      </c>
      <c r="M205" s="139" t="s">
        <v>9</v>
      </c>
      <c r="N205" s="135"/>
    </row>
    <row r="206" spans="1:14" ht="30">
      <c r="A206" s="166" t="s">
        <v>3029</v>
      </c>
      <c r="B206" s="62" t="s">
        <v>1934</v>
      </c>
      <c r="C206" s="39" t="s">
        <v>1946</v>
      </c>
      <c r="D206" s="41" t="s">
        <v>9</v>
      </c>
      <c r="E206" s="47" t="s">
        <v>1167</v>
      </c>
      <c r="F206" s="39" t="s">
        <v>695</v>
      </c>
      <c r="G206" s="40" t="s">
        <v>696</v>
      </c>
      <c r="H206" s="41"/>
      <c r="I206" s="141" t="s">
        <v>1947</v>
      </c>
      <c r="J206" s="137" t="s">
        <v>685</v>
      </c>
      <c r="K206" s="39" t="s">
        <v>694</v>
      </c>
      <c r="L206" s="143" t="s">
        <v>689</v>
      </c>
      <c r="M206" s="139" t="s">
        <v>10</v>
      </c>
      <c r="N206" s="135"/>
    </row>
    <row r="207" spans="1:14" ht="30">
      <c r="A207" s="166" t="s">
        <v>3029</v>
      </c>
      <c r="B207" s="62" t="s">
        <v>1934</v>
      </c>
      <c r="C207" s="39" t="s">
        <v>1946</v>
      </c>
      <c r="D207" s="41" t="s">
        <v>9</v>
      </c>
      <c r="E207" s="47" t="s">
        <v>1168</v>
      </c>
      <c r="F207" s="39" t="s">
        <v>699</v>
      </c>
      <c r="G207" s="40" t="s">
        <v>700</v>
      </c>
      <c r="H207" s="41"/>
      <c r="I207" s="141" t="s">
        <v>1947</v>
      </c>
      <c r="J207" s="137" t="s">
        <v>697</v>
      </c>
      <c r="K207" s="39" t="s">
        <v>698</v>
      </c>
      <c r="L207" s="143" t="s">
        <v>689</v>
      </c>
      <c r="M207" s="139" t="s">
        <v>9</v>
      </c>
      <c r="N207" s="135"/>
    </row>
    <row r="208" spans="1:14">
      <c r="A208" s="166" t="s">
        <v>3029</v>
      </c>
      <c r="B208" s="62" t="s">
        <v>1937</v>
      </c>
      <c r="C208" s="39" t="s">
        <v>1946</v>
      </c>
      <c r="D208" s="41" t="s">
        <v>9</v>
      </c>
      <c r="E208" s="47" t="s">
        <v>1169</v>
      </c>
      <c r="F208" s="39" t="s">
        <v>703</v>
      </c>
      <c r="G208" s="40" t="s">
        <v>704</v>
      </c>
      <c r="H208" s="41"/>
      <c r="I208" s="141" t="s">
        <v>1947</v>
      </c>
      <c r="J208" s="137" t="s">
        <v>701</v>
      </c>
      <c r="K208" s="39" t="s">
        <v>702</v>
      </c>
      <c r="L208" s="143" t="s">
        <v>689</v>
      </c>
      <c r="M208" s="139" t="s">
        <v>10</v>
      </c>
      <c r="N208" s="135"/>
    </row>
    <row r="209" spans="1:14" ht="30">
      <c r="A209" s="166" t="s">
        <v>3029</v>
      </c>
      <c r="B209" s="62" t="s">
        <v>1944</v>
      </c>
      <c r="C209" s="39" t="s">
        <v>1946</v>
      </c>
      <c r="D209" s="41" t="s">
        <v>8</v>
      </c>
      <c r="E209" s="47" t="s">
        <v>1170</v>
      </c>
      <c r="F209" s="39" t="s">
        <v>707</v>
      </c>
      <c r="G209" s="40" t="s">
        <v>708</v>
      </c>
      <c r="H209" s="41"/>
      <c r="I209" s="141"/>
      <c r="J209" s="137" t="s">
        <v>705</v>
      </c>
      <c r="K209" s="39" t="s">
        <v>706</v>
      </c>
      <c r="L209" s="143" t="s">
        <v>693</v>
      </c>
      <c r="M209" s="139" t="s">
        <v>8</v>
      </c>
      <c r="N209" s="135"/>
    </row>
    <row r="210" spans="1:14" ht="30">
      <c r="A210" s="166" t="s">
        <v>3029</v>
      </c>
      <c r="B210" s="62" t="s">
        <v>1941</v>
      </c>
      <c r="C210" s="39" t="s">
        <v>1946</v>
      </c>
      <c r="D210" s="41" t="s">
        <v>1928</v>
      </c>
      <c r="E210" s="47" t="s">
        <v>1171</v>
      </c>
      <c r="F210" s="39" t="s">
        <v>711</v>
      </c>
      <c r="G210" s="40" t="s">
        <v>712</v>
      </c>
      <c r="H210" s="41"/>
      <c r="I210" s="141" t="s">
        <v>1948</v>
      </c>
      <c r="J210" s="137" t="s">
        <v>709</v>
      </c>
      <c r="K210" s="39" t="s">
        <v>710</v>
      </c>
      <c r="L210" s="143" t="s">
        <v>693</v>
      </c>
      <c r="M210" s="139" t="s">
        <v>9</v>
      </c>
      <c r="N210" s="135"/>
    </row>
    <row r="211" spans="1:14" ht="30">
      <c r="A211" s="166" t="s">
        <v>3029</v>
      </c>
      <c r="B211" s="62" t="s">
        <v>1937</v>
      </c>
      <c r="C211" s="39" t="s">
        <v>1946</v>
      </c>
      <c r="D211" s="41" t="s">
        <v>8</v>
      </c>
      <c r="E211" s="47" t="s">
        <v>1172</v>
      </c>
      <c r="F211" s="39" t="s">
        <v>715</v>
      </c>
      <c r="G211" s="40" t="s">
        <v>716</v>
      </c>
      <c r="H211" s="41"/>
      <c r="I211" s="141"/>
      <c r="J211" s="137" t="s">
        <v>713</v>
      </c>
      <c r="K211" s="39" t="s">
        <v>714</v>
      </c>
      <c r="L211" s="143" t="s">
        <v>693</v>
      </c>
      <c r="M211" s="139" t="s">
        <v>8</v>
      </c>
      <c r="N211" s="135"/>
    </row>
    <row r="212" spans="1:14">
      <c r="A212" s="166" t="s">
        <v>3029</v>
      </c>
      <c r="B212" s="62" t="s">
        <v>1930</v>
      </c>
      <c r="C212" s="39" t="s">
        <v>1946</v>
      </c>
      <c r="D212" s="41" t="s">
        <v>1316</v>
      </c>
      <c r="E212" s="47" t="s">
        <v>1173</v>
      </c>
      <c r="F212" s="39" t="s">
        <v>719</v>
      </c>
      <c r="G212" s="40" t="s">
        <v>720</v>
      </c>
      <c r="H212" s="41"/>
      <c r="I212" s="141" t="s">
        <v>1949</v>
      </c>
      <c r="J212" s="137" t="s">
        <v>717</v>
      </c>
      <c r="K212" s="39" t="s">
        <v>718</v>
      </c>
      <c r="L212" s="143" t="s">
        <v>693</v>
      </c>
      <c r="M212" s="139" t="s">
        <v>8</v>
      </c>
      <c r="N212" s="135"/>
    </row>
    <row r="213" spans="1:14">
      <c r="A213" s="166" t="s">
        <v>3029</v>
      </c>
      <c r="B213" s="62" t="s">
        <v>1941</v>
      </c>
      <c r="C213" s="39" t="s">
        <v>1946</v>
      </c>
      <c r="D213" s="41" t="s">
        <v>1316</v>
      </c>
      <c r="E213" s="47" t="s">
        <v>1174</v>
      </c>
      <c r="F213" s="39" t="s">
        <v>722</v>
      </c>
      <c r="G213" s="40" t="s">
        <v>723</v>
      </c>
      <c r="H213" s="41"/>
      <c r="I213" s="141" t="s">
        <v>1949</v>
      </c>
      <c r="J213" s="137" t="s">
        <v>717</v>
      </c>
      <c r="K213" s="39" t="s">
        <v>721</v>
      </c>
      <c r="L213" s="143" t="s">
        <v>693</v>
      </c>
      <c r="M213" s="139" t="s">
        <v>8</v>
      </c>
      <c r="N213" s="135"/>
    </row>
    <row r="214" spans="1:14" ht="45">
      <c r="A214" s="166" t="s">
        <v>3029</v>
      </c>
      <c r="B214" s="62" t="s">
        <v>1932</v>
      </c>
      <c r="C214" s="39" t="s">
        <v>1946</v>
      </c>
      <c r="D214" s="41" t="s">
        <v>9</v>
      </c>
      <c r="E214" s="47" t="s">
        <v>1826</v>
      </c>
      <c r="F214" s="39" t="s">
        <v>1825</v>
      </c>
      <c r="G214" s="40" t="s">
        <v>1827</v>
      </c>
      <c r="H214" s="41"/>
      <c r="I214" s="141" t="s">
        <v>1947</v>
      </c>
      <c r="J214" s="137" t="s">
        <v>1273</v>
      </c>
      <c r="K214" s="39" t="s">
        <v>1824</v>
      </c>
      <c r="L214" s="143" t="s">
        <v>689</v>
      </c>
      <c r="M214" s="139" t="s">
        <v>10</v>
      </c>
      <c r="N214" s="135"/>
    </row>
    <row r="215" spans="1:14" ht="30">
      <c r="A215" s="166" t="s">
        <v>3029</v>
      </c>
      <c r="B215" s="62" t="s">
        <v>1938</v>
      </c>
      <c r="C215" s="39" t="s">
        <v>1950</v>
      </c>
      <c r="D215" s="41" t="s">
        <v>9</v>
      </c>
      <c r="E215" s="47" t="s">
        <v>1175</v>
      </c>
      <c r="F215" s="39" t="s">
        <v>726</v>
      </c>
      <c r="G215" s="40" t="s">
        <v>727</v>
      </c>
      <c r="H215" s="41"/>
      <c r="I215" s="141" t="s">
        <v>1951</v>
      </c>
      <c r="J215" s="137" t="s">
        <v>724</v>
      </c>
      <c r="K215" s="39" t="s">
        <v>725</v>
      </c>
      <c r="L215" s="143" t="s">
        <v>728</v>
      </c>
      <c r="M215" s="139" t="s">
        <v>9</v>
      </c>
      <c r="N215" s="135"/>
    </row>
    <row r="216" spans="1:14" ht="30">
      <c r="A216" s="166" t="s">
        <v>3029</v>
      </c>
      <c r="B216" s="62" t="s">
        <v>1925</v>
      </c>
      <c r="C216" s="39" t="s">
        <v>1950</v>
      </c>
      <c r="D216" s="41" t="s">
        <v>9</v>
      </c>
      <c r="E216" s="47" t="s">
        <v>1176</v>
      </c>
      <c r="F216" s="39" t="s">
        <v>730</v>
      </c>
      <c r="G216" s="40" t="s">
        <v>731</v>
      </c>
      <c r="H216" s="41"/>
      <c r="I216" s="141" t="s">
        <v>1951</v>
      </c>
      <c r="J216" s="137" t="s">
        <v>724</v>
      </c>
      <c r="K216" s="39" t="s">
        <v>729</v>
      </c>
      <c r="L216" s="143" t="s">
        <v>732</v>
      </c>
      <c r="M216" s="139" t="s">
        <v>10</v>
      </c>
      <c r="N216" s="135"/>
    </row>
    <row r="217" spans="1:14" ht="30">
      <c r="A217" s="166" t="s">
        <v>3029</v>
      </c>
      <c r="B217" s="62" t="s">
        <v>1934</v>
      </c>
      <c r="C217" s="39" t="s">
        <v>1950</v>
      </c>
      <c r="D217" s="41" t="s">
        <v>9</v>
      </c>
      <c r="E217" s="47" t="s">
        <v>1177</v>
      </c>
      <c r="F217" s="39" t="s">
        <v>734</v>
      </c>
      <c r="G217" s="40" t="s">
        <v>735</v>
      </c>
      <c r="H217" s="41"/>
      <c r="I217" s="141" t="s">
        <v>1951</v>
      </c>
      <c r="J217" s="137" t="s">
        <v>724</v>
      </c>
      <c r="K217" s="39" t="s">
        <v>733</v>
      </c>
      <c r="L217" s="143" t="s">
        <v>728</v>
      </c>
      <c r="M217" s="139" t="s">
        <v>10</v>
      </c>
      <c r="N217" s="135"/>
    </row>
    <row r="218" spans="1:14">
      <c r="A218" s="166" t="s">
        <v>3029</v>
      </c>
      <c r="B218" s="62" t="s">
        <v>1930</v>
      </c>
      <c r="C218" s="39" t="s">
        <v>1950</v>
      </c>
      <c r="D218" s="41" t="s">
        <v>1316</v>
      </c>
      <c r="E218" s="47" t="s">
        <v>1178</v>
      </c>
      <c r="F218" s="39" t="s">
        <v>737</v>
      </c>
      <c r="G218" s="40" t="s">
        <v>738</v>
      </c>
      <c r="H218" s="41"/>
      <c r="I218" s="141" t="s">
        <v>1949</v>
      </c>
      <c r="J218" s="137" t="s">
        <v>724</v>
      </c>
      <c r="K218" s="39" t="s">
        <v>736</v>
      </c>
      <c r="L218" s="143" t="s">
        <v>728</v>
      </c>
      <c r="M218" s="139" t="s">
        <v>8</v>
      </c>
      <c r="N218" s="135"/>
    </row>
    <row r="219" spans="1:14" ht="30">
      <c r="A219" s="166" t="s">
        <v>3029</v>
      </c>
      <c r="B219" s="62" t="s">
        <v>1930</v>
      </c>
      <c r="C219" s="39" t="s">
        <v>1950</v>
      </c>
      <c r="D219" s="41" t="s">
        <v>9</v>
      </c>
      <c r="E219" s="47" t="s">
        <v>1179</v>
      </c>
      <c r="F219" s="39" t="s">
        <v>740</v>
      </c>
      <c r="G219" s="40" t="s">
        <v>741</v>
      </c>
      <c r="H219" s="41"/>
      <c r="I219" s="141" t="s">
        <v>1951</v>
      </c>
      <c r="J219" s="137" t="s">
        <v>724</v>
      </c>
      <c r="K219" s="39" t="s">
        <v>739</v>
      </c>
      <c r="L219" s="143" t="s">
        <v>728</v>
      </c>
      <c r="M219" s="139" t="s">
        <v>10</v>
      </c>
      <c r="N219" s="135"/>
    </row>
    <row r="220" spans="1:14" ht="30">
      <c r="A220" s="166" t="s">
        <v>3029</v>
      </c>
      <c r="B220" s="62" t="s">
        <v>1930</v>
      </c>
      <c r="C220" s="39" t="s">
        <v>1950</v>
      </c>
      <c r="D220" s="41" t="s">
        <v>9</v>
      </c>
      <c r="E220" s="47" t="s">
        <v>1180</v>
      </c>
      <c r="F220" s="39" t="s">
        <v>743</v>
      </c>
      <c r="G220" s="40" t="s">
        <v>744</v>
      </c>
      <c r="H220" s="41"/>
      <c r="I220" s="141" t="s">
        <v>1951</v>
      </c>
      <c r="J220" s="137" t="s">
        <v>724</v>
      </c>
      <c r="K220" s="39" t="s">
        <v>742</v>
      </c>
      <c r="L220" s="143" t="s">
        <v>728</v>
      </c>
      <c r="M220" s="139" t="s">
        <v>10</v>
      </c>
      <c r="N220" s="135"/>
    </row>
    <row r="221" spans="1:14" ht="30">
      <c r="A221" s="166" t="s">
        <v>3029</v>
      </c>
      <c r="B221" s="62" t="s">
        <v>1937</v>
      </c>
      <c r="C221" s="39" t="s">
        <v>1950</v>
      </c>
      <c r="D221" s="41" t="s">
        <v>9</v>
      </c>
      <c r="E221" s="47" t="s">
        <v>1181</v>
      </c>
      <c r="F221" s="39" t="s">
        <v>746</v>
      </c>
      <c r="G221" s="40" t="s">
        <v>747</v>
      </c>
      <c r="H221" s="41"/>
      <c r="I221" s="141" t="s">
        <v>1951</v>
      </c>
      <c r="J221" s="137" t="s">
        <v>724</v>
      </c>
      <c r="K221" s="39" t="s">
        <v>745</v>
      </c>
      <c r="L221" s="143" t="s">
        <v>728</v>
      </c>
      <c r="M221" s="139" t="s">
        <v>10</v>
      </c>
      <c r="N221" s="135"/>
    </row>
    <row r="222" spans="1:14" ht="30">
      <c r="A222" s="166" t="s">
        <v>3029</v>
      </c>
      <c r="B222" s="62" t="s">
        <v>1938</v>
      </c>
      <c r="C222" s="39" t="s">
        <v>1950</v>
      </c>
      <c r="D222" s="41" t="s">
        <v>9</v>
      </c>
      <c r="E222" s="47" t="s">
        <v>1182</v>
      </c>
      <c r="F222" s="39" t="s">
        <v>749</v>
      </c>
      <c r="G222" s="40" t="s">
        <v>750</v>
      </c>
      <c r="H222" s="41"/>
      <c r="I222" s="141" t="s">
        <v>1951</v>
      </c>
      <c r="J222" s="137" t="s">
        <v>724</v>
      </c>
      <c r="K222" s="39" t="s">
        <v>748</v>
      </c>
      <c r="L222" s="143" t="s">
        <v>728</v>
      </c>
      <c r="M222" s="139" t="s">
        <v>10</v>
      </c>
      <c r="N222" s="135"/>
    </row>
    <row r="223" spans="1:14" ht="30">
      <c r="A223" s="166" t="s">
        <v>3029</v>
      </c>
      <c r="B223" s="62" t="s">
        <v>1936</v>
      </c>
      <c r="C223" s="39" t="s">
        <v>1950</v>
      </c>
      <c r="D223" s="41" t="s">
        <v>9</v>
      </c>
      <c r="E223" s="47" t="s">
        <v>1183</v>
      </c>
      <c r="F223" s="39" t="s">
        <v>752</v>
      </c>
      <c r="G223" s="40" t="s">
        <v>753</v>
      </c>
      <c r="H223" s="41"/>
      <c r="I223" s="141" t="s">
        <v>1951</v>
      </c>
      <c r="J223" s="137" t="s">
        <v>724</v>
      </c>
      <c r="K223" s="39" t="s">
        <v>751</v>
      </c>
      <c r="L223" s="143" t="s">
        <v>728</v>
      </c>
      <c r="M223" s="139" t="s">
        <v>10</v>
      </c>
      <c r="N223" s="135"/>
    </row>
    <row r="224" spans="1:14" ht="30">
      <c r="A224" s="166" t="s">
        <v>3029</v>
      </c>
      <c r="B224" s="62" t="s">
        <v>1938</v>
      </c>
      <c r="C224" s="39" t="s">
        <v>1950</v>
      </c>
      <c r="D224" s="41" t="s">
        <v>9</v>
      </c>
      <c r="E224" s="47" t="s">
        <v>1184</v>
      </c>
      <c r="F224" s="39" t="s">
        <v>755</v>
      </c>
      <c r="G224" s="40" t="s">
        <v>756</v>
      </c>
      <c r="H224" s="41"/>
      <c r="I224" s="141" t="s">
        <v>1951</v>
      </c>
      <c r="J224" s="137" t="s">
        <v>724</v>
      </c>
      <c r="K224" s="39" t="s">
        <v>754</v>
      </c>
      <c r="L224" s="143" t="s">
        <v>728</v>
      </c>
      <c r="M224" s="139" t="s">
        <v>10</v>
      </c>
      <c r="N224" s="135"/>
    </row>
    <row r="225" spans="1:14" ht="30">
      <c r="A225" s="166" t="s">
        <v>3029</v>
      </c>
      <c r="B225" s="62" t="s">
        <v>1940</v>
      </c>
      <c r="C225" s="39" t="s">
        <v>1950</v>
      </c>
      <c r="D225" s="41" t="s">
        <v>9</v>
      </c>
      <c r="E225" s="47" t="s">
        <v>1185</v>
      </c>
      <c r="F225" s="39" t="s">
        <v>758</v>
      </c>
      <c r="G225" s="40" t="s">
        <v>759</v>
      </c>
      <c r="H225" s="41"/>
      <c r="I225" s="141" t="s">
        <v>1951</v>
      </c>
      <c r="J225" s="137" t="s">
        <v>724</v>
      </c>
      <c r="K225" s="39" t="s">
        <v>757</v>
      </c>
      <c r="L225" s="143" t="s">
        <v>728</v>
      </c>
      <c r="M225" s="139" t="s">
        <v>10</v>
      </c>
      <c r="N225" s="135"/>
    </row>
    <row r="226" spans="1:14" ht="30">
      <c r="A226" s="166" t="s">
        <v>3029</v>
      </c>
      <c r="B226" s="62" t="s">
        <v>1936</v>
      </c>
      <c r="C226" s="39" t="s">
        <v>1950</v>
      </c>
      <c r="D226" s="41" t="s">
        <v>9</v>
      </c>
      <c r="E226" s="47" t="s">
        <v>1186</v>
      </c>
      <c r="F226" s="39" t="s">
        <v>761</v>
      </c>
      <c r="G226" s="40" t="s">
        <v>762</v>
      </c>
      <c r="H226" s="41"/>
      <c r="I226" s="141" t="s">
        <v>1951</v>
      </c>
      <c r="J226" s="137" t="s">
        <v>724</v>
      </c>
      <c r="K226" s="39" t="s">
        <v>760</v>
      </c>
      <c r="L226" s="143" t="s">
        <v>763</v>
      </c>
      <c r="M226" s="139" t="s">
        <v>10</v>
      </c>
      <c r="N226" s="135"/>
    </row>
    <row r="227" spans="1:14" ht="30">
      <c r="A227" s="166" t="s">
        <v>3029</v>
      </c>
      <c r="B227" s="62" t="s">
        <v>1944</v>
      </c>
      <c r="C227" s="39" t="s">
        <v>1950</v>
      </c>
      <c r="D227" s="41" t="s">
        <v>1928</v>
      </c>
      <c r="E227" s="47" t="s">
        <v>1187</v>
      </c>
      <c r="F227" s="39" t="s">
        <v>766</v>
      </c>
      <c r="G227" s="40" t="s">
        <v>767</v>
      </c>
      <c r="H227" s="41"/>
      <c r="I227" s="141" t="s">
        <v>1952</v>
      </c>
      <c r="J227" s="137" t="s">
        <v>764</v>
      </c>
      <c r="K227" s="39" t="s">
        <v>765</v>
      </c>
      <c r="L227" s="143" t="s">
        <v>768</v>
      </c>
      <c r="M227" s="139" t="s">
        <v>10</v>
      </c>
      <c r="N227" s="135"/>
    </row>
    <row r="228" spans="1:14" ht="30">
      <c r="A228" s="166" t="s">
        <v>3029</v>
      </c>
      <c r="B228" s="62" t="s">
        <v>1944</v>
      </c>
      <c r="C228" s="39" t="s">
        <v>1950</v>
      </c>
      <c r="D228" s="41" t="s">
        <v>1928</v>
      </c>
      <c r="E228" s="47" t="s">
        <v>1188</v>
      </c>
      <c r="F228" s="39" t="s">
        <v>770</v>
      </c>
      <c r="G228" s="40" t="s">
        <v>771</v>
      </c>
      <c r="H228" s="41"/>
      <c r="I228" s="141" t="s">
        <v>1952</v>
      </c>
      <c r="J228" s="137" t="s">
        <v>764</v>
      </c>
      <c r="K228" s="39" t="s">
        <v>769</v>
      </c>
      <c r="L228" s="143" t="s">
        <v>768</v>
      </c>
      <c r="M228" s="139" t="s">
        <v>10</v>
      </c>
      <c r="N228" s="135"/>
    </row>
    <row r="229" spans="1:14" ht="30">
      <c r="A229" s="166" t="s">
        <v>3029</v>
      </c>
      <c r="B229" s="62" t="s">
        <v>1944</v>
      </c>
      <c r="C229" s="39" t="s">
        <v>1950</v>
      </c>
      <c r="D229" s="41" t="s">
        <v>1928</v>
      </c>
      <c r="E229" s="47" t="s">
        <v>1189</v>
      </c>
      <c r="F229" s="39" t="s">
        <v>773</v>
      </c>
      <c r="G229" s="40" t="s">
        <v>774</v>
      </c>
      <c r="H229" s="41"/>
      <c r="I229" s="141" t="s">
        <v>1952</v>
      </c>
      <c r="J229" s="137" t="s">
        <v>764</v>
      </c>
      <c r="K229" s="39" t="s">
        <v>772</v>
      </c>
      <c r="L229" s="143" t="s">
        <v>768</v>
      </c>
      <c r="M229" s="139" t="s">
        <v>10</v>
      </c>
      <c r="N229" s="135"/>
    </row>
    <row r="230" spans="1:14" ht="30">
      <c r="A230" s="166" t="s">
        <v>3029</v>
      </c>
      <c r="B230" s="62" t="s">
        <v>1944</v>
      </c>
      <c r="C230" s="39" t="s">
        <v>1950</v>
      </c>
      <c r="D230" s="41" t="s">
        <v>1928</v>
      </c>
      <c r="E230" s="47" t="s">
        <v>1190</v>
      </c>
      <c r="F230" s="39" t="s">
        <v>776</v>
      </c>
      <c r="G230" s="40" t="s">
        <v>777</v>
      </c>
      <c r="H230" s="41"/>
      <c r="I230" s="141" t="s">
        <v>1952</v>
      </c>
      <c r="J230" s="137" t="s">
        <v>764</v>
      </c>
      <c r="K230" s="39" t="s">
        <v>775</v>
      </c>
      <c r="L230" s="143" t="s">
        <v>768</v>
      </c>
      <c r="M230" s="139" t="s">
        <v>10</v>
      </c>
      <c r="N230" s="135"/>
    </row>
    <row r="231" spans="1:14" ht="30">
      <c r="A231" s="166" t="s">
        <v>3029</v>
      </c>
      <c r="B231" s="62" t="s">
        <v>1944</v>
      </c>
      <c r="C231" s="39" t="s">
        <v>1950</v>
      </c>
      <c r="D231" s="41" t="s">
        <v>1928</v>
      </c>
      <c r="E231" s="47" t="s">
        <v>1191</v>
      </c>
      <c r="F231" s="39" t="s">
        <v>779</v>
      </c>
      <c r="G231" s="40" t="s">
        <v>780</v>
      </c>
      <c r="H231" s="41"/>
      <c r="I231" s="141" t="s">
        <v>1952</v>
      </c>
      <c r="J231" s="137" t="s">
        <v>764</v>
      </c>
      <c r="K231" s="39" t="s">
        <v>778</v>
      </c>
      <c r="L231" s="143" t="s">
        <v>768</v>
      </c>
      <c r="M231" s="139" t="s">
        <v>10</v>
      </c>
      <c r="N231" s="135"/>
    </row>
    <row r="232" spans="1:14" ht="30">
      <c r="A232" s="166" t="s">
        <v>3029</v>
      </c>
      <c r="B232" s="62" t="s">
        <v>1938</v>
      </c>
      <c r="C232" s="39" t="s">
        <v>1950</v>
      </c>
      <c r="D232" s="41" t="s">
        <v>9</v>
      </c>
      <c r="E232" s="47" t="s">
        <v>1192</v>
      </c>
      <c r="F232" s="39" t="s">
        <v>783</v>
      </c>
      <c r="G232" s="40" t="s">
        <v>784</v>
      </c>
      <c r="H232" s="41"/>
      <c r="I232" s="141" t="s">
        <v>1951</v>
      </c>
      <c r="J232" s="137" t="s">
        <v>781</v>
      </c>
      <c r="K232" s="39" t="s">
        <v>782</v>
      </c>
      <c r="L232" s="143" t="s">
        <v>785</v>
      </c>
      <c r="M232" s="139" t="s">
        <v>10</v>
      </c>
      <c r="N232" s="135"/>
    </row>
    <row r="233" spans="1:14">
      <c r="A233" s="166" t="s">
        <v>3029</v>
      </c>
      <c r="B233" s="62" t="s">
        <v>1953</v>
      </c>
      <c r="C233" s="39" t="s">
        <v>1950</v>
      </c>
      <c r="D233" s="41" t="s">
        <v>9</v>
      </c>
      <c r="E233" s="47" t="s">
        <v>1193</v>
      </c>
      <c r="F233" s="39" t="s">
        <v>787</v>
      </c>
      <c r="G233" s="40" t="s">
        <v>788</v>
      </c>
      <c r="H233" s="41"/>
      <c r="I233" s="141" t="s">
        <v>1951</v>
      </c>
      <c r="J233" s="137" t="s">
        <v>781</v>
      </c>
      <c r="K233" s="39" t="s">
        <v>786</v>
      </c>
      <c r="L233" s="143" t="s">
        <v>785</v>
      </c>
      <c r="M233" s="139" t="s">
        <v>10</v>
      </c>
      <c r="N233" s="135"/>
    </row>
    <row r="234" spans="1:14">
      <c r="A234" s="166" t="s">
        <v>3029</v>
      </c>
      <c r="B234" s="62" t="s">
        <v>1953</v>
      </c>
      <c r="C234" s="39" t="s">
        <v>1950</v>
      </c>
      <c r="D234" s="41" t="s">
        <v>9</v>
      </c>
      <c r="E234" s="47" t="s">
        <v>1194</v>
      </c>
      <c r="F234" s="39" t="s">
        <v>790</v>
      </c>
      <c r="G234" s="40" t="s">
        <v>791</v>
      </c>
      <c r="H234" s="41"/>
      <c r="I234" s="141" t="s">
        <v>1951</v>
      </c>
      <c r="J234" s="137" t="s">
        <v>781</v>
      </c>
      <c r="K234" s="39" t="s">
        <v>789</v>
      </c>
      <c r="L234" s="143" t="s">
        <v>785</v>
      </c>
      <c r="M234" s="139" t="s">
        <v>10</v>
      </c>
      <c r="N234" s="135"/>
    </row>
    <row r="235" spans="1:14">
      <c r="A235" s="166" t="s">
        <v>3029</v>
      </c>
      <c r="B235" s="62" t="s">
        <v>1953</v>
      </c>
      <c r="C235" s="39" t="s">
        <v>1950</v>
      </c>
      <c r="D235" s="41" t="s">
        <v>9</v>
      </c>
      <c r="E235" s="47" t="s">
        <v>1195</v>
      </c>
      <c r="F235" s="39" t="s">
        <v>793</v>
      </c>
      <c r="G235" s="40" t="s">
        <v>794</v>
      </c>
      <c r="H235" s="41"/>
      <c r="I235" s="141" t="s">
        <v>1951</v>
      </c>
      <c r="J235" s="137" t="s">
        <v>781</v>
      </c>
      <c r="K235" s="39" t="s">
        <v>792</v>
      </c>
      <c r="L235" s="143" t="s">
        <v>785</v>
      </c>
      <c r="M235" s="139" t="s">
        <v>10</v>
      </c>
      <c r="N235" s="135"/>
    </row>
    <row r="236" spans="1:14" ht="30">
      <c r="A236" s="166" t="s">
        <v>3029</v>
      </c>
      <c r="B236" s="62" t="s">
        <v>1953</v>
      </c>
      <c r="C236" s="39" t="s">
        <v>1950</v>
      </c>
      <c r="D236" s="41" t="s">
        <v>9</v>
      </c>
      <c r="E236" s="47" t="s">
        <v>1196</v>
      </c>
      <c r="F236" s="39" t="s">
        <v>796</v>
      </c>
      <c r="G236" s="40" t="s">
        <v>797</v>
      </c>
      <c r="H236" s="41"/>
      <c r="I236" s="141" t="s">
        <v>1951</v>
      </c>
      <c r="J236" s="137" t="s">
        <v>781</v>
      </c>
      <c r="K236" s="39" t="s">
        <v>795</v>
      </c>
      <c r="L236" s="143" t="s">
        <v>785</v>
      </c>
      <c r="M236" s="139" t="s">
        <v>10</v>
      </c>
      <c r="N236" s="135"/>
    </row>
    <row r="237" spans="1:14">
      <c r="A237" s="166" t="s">
        <v>3029</v>
      </c>
      <c r="B237" s="62" t="s">
        <v>1953</v>
      </c>
      <c r="C237" s="39" t="s">
        <v>1950</v>
      </c>
      <c r="D237" s="41" t="s">
        <v>9</v>
      </c>
      <c r="E237" s="47" t="s">
        <v>1197</v>
      </c>
      <c r="F237" s="39" t="s">
        <v>799</v>
      </c>
      <c r="G237" s="40" t="s">
        <v>800</v>
      </c>
      <c r="H237" s="41"/>
      <c r="I237" s="141" t="s">
        <v>1951</v>
      </c>
      <c r="J237" s="137" t="s">
        <v>781</v>
      </c>
      <c r="K237" s="39" t="s">
        <v>798</v>
      </c>
      <c r="L237" s="143" t="s">
        <v>785</v>
      </c>
      <c r="M237" s="139" t="s">
        <v>10</v>
      </c>
      <c r="N237" s="135"/>
    </row>
    <row r="238" spans="1:14" ht="30">
      <c r="A238" s="166" t="s">
        <v>3029</v>
      </c>
      <c r="B238" s="62" t="s">
        <v>1941</v>
      </c>
      <c r="C238" s="39" t="s">
        <v>1950</v>
      </c>
      <c r="D238" s="41" t="s">
        <v>9</v>
      </c>
      <c r="E238" s="47" t="s">
        <v>1198</v>
      </c>
      <c r="F238" s="39" t="s">
        <v>802</v>
      </c>
      <c r="G238" s="40" t="s">
        <v>803</v>
      </c>
      <c r="H238" s="41"/>
      <c r="I238" s="141" t="s">
        <v>1951</v>
      </c>
      <c r="J238" s="137" t="s">
        <v>781</v>
      </c>
      <c r="K238" s="39" t="s">
        <v>801</v>
      </c>
      <c r="L238" s="143" t="s">
        <v>785</v>
      </c>
      <c r="M238" s="139" t="s">
        <v>10</v>
      </c>
      <c r="N238" s="135"/>
    </row>
    <row r="239" spans="1:14">
      <c r="A239" s="166" t="s">
        <v>3029</v>
      </c>
      <c r="B239" s="62" t="s">
        <v>1930</v>
      </c>
      <c r="C239" s="39" t="s">
        <v>1950</v>
      </c>
      <c r="D239" s="41" t="s">
        <v>9</v>
      </c>
      <c r="E239" s="47" t="s">
        <v>1199</v>
      </c>
      <c r="F239" s="39" t="s">
        <v>805</v>
      </c>
      <c r="G239" s="40" t="s">
        <v>806</v>
      </c>
      <c r="H239" s="41"/>
      <c r="I239" s="141" t="s">
        <v>1951</v>
      </c>
      <c r="J239" s="137" t="s">
        <v>781</v>
      </c>
      <c r="K239" s="39" t="s">
        <v>804</v>
      </c>
      <c r="L239" s="143" t="s">
        <v>785</v>
      </c>
      <c r="M239" s="139" t="s">
        <v>10</v>
      </c>
      <c r="N239" s="135"/>
    </row>
    <row r="240" spans="1:14">
      <c r="A240" s="166" t="s">
        <v>3029</v>
      </c>
      <c r="B240" s="62" t="s">
        <v>1930</v>
      </c>
      <c r="C240" s="39" t="s">
        <v>1950</v>
      </c>
      <c r="D240" s="41" t="s">
        <v>9</v>
      </c>
      <c r="E240" s="47" t="s">
        <v>1200</v>
      </c>
      <c r="F240" s="39" t="s">
        <v>809</v>
      </c>
      <c r="G240" s="40" t="s">
        <v>810</v>
      </c>
      <c r="H240" s="41"/>
      <c r="I240" s="141" t="s">
        <v>1951</v>
      </c>
      <c r="J240" s="137" t="s">
        <v>807</v>
      </c>
      <c r="K240" s="39" t="s">
        <v>808</v>
      </c>
      <c r="L240" s="143" t="s">
        <v>811</v>
      </c>
      <c r="M240" s="139" t="s">
        <v>10</v>
      </c>
      <c r="N240" s="135"/>
    </row>
    <row r="241" spans="1:14">
      <c r="A241" s="166" t="s">
        <v>3029</v>
      </c>
      <c r="B241" s="62" t="s">
        <v>1931</v>
      </c>
      <c r="C241" s="39" t="s">
        <v>1950</v>
      </c>
      <c r="D241" s="41" t="s">
        <v>9</v>
      </c>
      <c r="E241" s="47" t="s">
        <v>1201</v>
      </c>
      <c r="F241" s="39" t="s">
        <v>813</v>
      </c>
      <c r="G241" s="40" t="s">
        <v>814</v>
      </c>
      <c r="H241" s="41"/>
      <c r="I241" s="141" t="s">
        <v>1951</v>
      </c>
      <c r="J241" s="137" t="s">
        <v>807</v>
      </c>
      <c r="K241" s="39" t="s">
        <v>812</v>
      </c>
      <c r="L241" s="143" t="s">
        <v>811</v>
      </c>
      <c r="M241" s="139" t="s">
        <v>10</v>
      </c>
      <c r="N241" s="135"/>
    </row>
    <row r="242" spans="1:14">
      <c r="A242" s="166" t="s">
        <v>3029</v>
      </c>
      <c r="B242" s="62" t="s">
        <v>1934</v>
      </c>
      <c r="C242" s="39" t="s">
        <v>1950</v>
      </c>
      <c r="D242" s="41" t="s">
        <v>9</v>
      </c>
      <c r="E242" s="47" t="s">
        <v>1202</v>
      </c>
      <c r="F242" s="39" t="s">
        <v>816</v>
      </c>
      <c r="G242" s="40" t="s">
        <v>817</v>
      </c>
      <c r="H242" s="41"/>
      <c r="I242" s="141" t="s">
        <v>1951</v>
      </c>
      <c r="J242" s="137" t="s">
        <v>807</v>
      </c>
      <c r="K242" s="39" t="s">
        <v>815</v>
      </c>
      <c r="L242" s="143" t="s">
        <v>811</v>
      </c>
      <c r="M242" s="139" t="s">
        <v>10</v>
      </c>
      <c r="N242" s="135"/>
    </row>
    <row r="243" spans="1:14">
      <c r="A243" s="166" t="s">
        <v>3029</v>
      </c>
      <c r="B243" s="62" t="s">
        <v>1934</v>
      </c>
      <c r="C243" s="39" t="s">
        <v>1950</v>
      </c>
      <c r="D243" s="41" t="s">
        <v>9</v>
      </c>
      <c r="E243" s="47" t="s">
        <v>1203</v>
      </c>
      <c r="F243" s="39" t="s">
        <v>819</v>
      </c>
      <c r="G243" s="40" t="s">
        <v>820</v>
      </c>
      <c r="H243" s="41"/>
      <c r="I243" s="141" t="s">
        <v>1951</v>
      </c>
      <c r="J243" s="137" t="s">
        <v>807</v>
      </c>
      <c r="K243" s="39" t="s">
        <v>818</v>
      </c>
      <c r="L243" s="143" t="s">
        <v>811</v>
      </c>
      <c r="M243" s="139" t="s">
        <v>10</v>
      </c>
      <c r="N243" s="135"/>
    </row>
    <row r="244" spans="1:14">
      <c r="A244" s="166" t="s">
        <v>3029</v>
      </c>
      <c r="B244" s="62" t="s">
        <v>1936</v>
      </c>
      <c r="C244" s="39" t="s">
        <v>1950</v>
      </c>
      <c r="D244" s="41" t="s">
        <v>1926</v>
      </c>
      <c r="E244" s="47" t="s">
        <v>1204</v>
      </c>
      <c r="F244" s="39" t="s">
        <v>822</v>
      </c>
      <c r="G244" s="40" t="s">
        <v>3445</v>
      </c>
      <c r="H244" s="41"/>
      <c r="I244" s="141" t="s">
        <v>3449</v>
      </c>
      <c r="J244" s="137" t="s">
        <v>807</v>
      </c>
      <c r="K244" s="39" t="s">
        <v>821</v>
      </c>
      <c r="L244" s="143" t="s">
        <v>811</v>
      </c>
      <c r="M244" s="139" t="s">
        <v>10</v>
      </c>
      <c r="N244" s="135"/>
    </row>
    <row r="245" spans="1:14">
      <c r="A245" s="166" t="s">
        <v>3029</v>
      </c>
      <c r="B245" s="62" t="s">
        <v>1940</v>
      </c>
      <c r="C245" s="39" t="s">
        <v>1950</v>
      </c>
      <c r="D245" s="41" t="s">
        <v>9</v>
      </c>
      <c r="E245" s="47" t="s">
        <v>1205</v>
      </c>
      <c r="F245" s="39" t="s">
        <v>824</v>
      </c>
      <c r="G245" s="40" t="s">
        <v>825</v>
      </c>
      <c r="H245" s="41"/>
      <c r="I245" s="141" t="s">
        <v>1951</v>
      </c>
      <c r="J245" s="137" t="s">
        <v>807</v>
      </c>
      <c r="K245" s="39" t="s">
        <v>823</v>
      </c>
      <c r="L245" s="143" t="s">
        <v>811</v>
      </c>
      <c r="M245" s="139" t="s">
        <v>10</v>
      </c>
      <c r="N245" s="135"/>
    </row>
    <row r="246" spans="1:14" ht="30">
      <c r="A246" s="166" t="s">
        <v>3029</v>
      </c>
      <c r="B246" s="62" t="s">
        <v>1939</v>
      </c>
      <c r="C246" s="39" t="s">
        <v>1950</v>
      </c>
      <c r="D246" s="41" t="s">
        <v>9</v>
      </c>
      <c r="E246" s="47" t="s">
        <v>1206</v>
      </c>
      <c r="F246" s="39" t="s">
        <v>827</v>
      </c>
      <c r="G246" s="40" t="s">
        <v>828</v>
      </c>
      <c r="H246" s="41"/>
      <c r="I246" s="141" t="s">
        <v>1951</v>
      </c>
      <c r="J246" s="137" t="s">
        <v>807</v>
      </c>
      <c r="K246" s="39" t="s">
        <v>826</v>
      </c>
      <c r="L246" s="143" t="s">
        <v>811</v>
      </c>
      <c r="M246" s="139" t="s">
        <v>10</v>
      </c>
      <c r="N246" s="135"/>
    </row>
    <row r="247" spans="1:14">
      <c r="A247" s="166" t="s">
        <v>3029</v>
      </c>
      <c r="B247" s="62" t="s">
        <v>1934</v>
      </c>
      <c r="C247" s="39" t="s">
        <v>1950</v>
      </c>
      <c r="D247" s="41" t="s">
        <v>9</v>
      </c>
      <c r="E247" s="47" t="s">
        <v>1207</v>
      </c>
      <c r="F247" s="39" t="s">
        <v>830</v>
      </c>
      <c r="G247" s="40" t="s">
        <v>831</v>
      </c>
      <c r="H247" s="41"/>
      <c r="I247" s="141" t="s">
        <v>1951</v>
      </c>
      <c r="J247" s="137" t="s">
        <v>807</v>
      </c>
      <c r="K247" s="39" t="s">
        <v>829</v>
      </c>
      <c r="L247" s="143" t="s">
        <v>811</v>
      </c>
      <c r="M247" s="139" t="s">
        <v>10</v>
      </c>
      <c r="N247" s="135"/>
    </row>
    <row r="248" spans="1:14" ht="30">
      <c r="A248" s="166" t="s">
        <v>3029</v>
      </c>
      <c r="B248" s="62" t="s">
        <v>1936</v>
      </c>
      <c r="C248" s="39" t="s">
        <v>1950</v>
      </c>
      <c r="D248" s="41" t="s">
        <v>9</v>
      </c>
      <c r="E248" s="47" t="s">
        <v>1208</v>
      </c>
      <c r="F248" s="39" t="s">
        <v>833</v>
      </c>
      <c r="G248" s="40" t="s">
        <v>834</v>
      </c>
      <c r="H248" s="41"/>
      <c r="I248" s="141" t="s">
        <v>1951</v>
      </c>
      <c r="J248" s="137" t="s">
        <v>807</v>
      </c>
      <c r="K248" s="39" t="s">
        <v>832</v>
      </c>
      <c r="L248" s="143" t="s">
        <v>811</v>
      </c>
      <c r="M248" s="139" t="s">
        <v>10</v>
      </c>
      <c r="N248" s="135"/>
    </row>
    <row r="249" spans="1:14">
      <c r="A249" s="166" t="s">
        <v>3029</v>
      </c>
      <c r="B249" s="62" t="s">
        <v>1930</v>
      </c>
      <c r="C249" s="39" t="s">
        <v>1950</v>
      </c>
      <c r="D249" s="41" t="s">
        <v>1316</v>
      </c>
      <c r="E249" s="47" t="s">
        <v>1209</v>
      </c>
      <c r="F249" s="39" t="s">
        <v>836</v>
      </c>
      <c r="G249" s="40" t="s">
        <v>837</v>
      </c>
      <c r="H249" s="41"/>
      <c r="I249" s="141" t="s">
        <v>1949</v>
      </c>
      <c r="J249" s="137" t="s">
        <v>807</v>
      </c>
      <c r="K249" s="39" t="s">
        <v>835</v>
      </c>
      <c r="L249" s="143" t="s">
        <v>811</v>
      </c>
      <c r="M249" s="139" t="s">
        <v>8</v>
      </c>
      <c r="N249" s="135"/>
    </row>
    <row r="250" spans="1:14">
      <c r="A250" s="166" t="s">
        <v>3029</v>
      </c>
      <c r="B250" s="62" t="s">
        <v>1930</v>
      </c>
      <c r="C250" s="39" t="s">
        <v>1950</v>
      </c>
      <c r="D250" s="41" t="s">
        <v>9</v>
      </c>
      <c r="E250" s="47" t="s">
        <v>1210</v>
      </c>
      <c r="F250" s="39" t="s">
        <v>839</v>
      </c>
      <c r="G250" s="40" t="s">
        <v>840</v>
      </c>
      <c r="H250" s="41"/>
      <c r="I250" s="141" t="s">
        <v>1951</v>
      </c>
      <c r="J250" s="137" t="s">
        <v>807</v>
      </c>
      <c r="K250" s="39" t="s">
        <v>838</v>
      </c>
      <c r="L250" s="143" t="s">
        <v>811</v>
      </c>
      <c r="M250" s="139" t="s">
        <v>10</v>
      </c>
      <c r="N250" s="135"/>
    </row>
    <row r="251" spans="1:14">
      <c r="A251" s="166" t="s">
        <v>3029</v>
      </c>
      <c r="B251" s="62" t="s">
        <v>1939</v>
      </c>
      <c r="C251" s="39" t="s">
        <v>1950</v>
      </c>
      <c r="D251" s="41" t="s">
        <v>9</v>
      </c>
      <c r="E251" s="47" t="s">
        <v>1211</v>
      </c>
      <c r="F251" s="39" t="s">
        <v>842</v>
      </c>
      <c r="G251" s="40" t="s">
        <v>843</v>
      </c>
      <c r="H251" s="41"/>
      <c r="I251" s="141" t="s">
        <v>1951</v>
      </c>
      <c r="J251" s="137" t="s">
        <v>807</v>
      </c>
      <c r="K251" s="39" t="s">
        <v>841</v>
      </c>
      <c r="L251" s="143" t="s">
        <v>811</v>
      </c>
      <c r="M251" s="139" t="s">
        <v>10</v>
      </c>
      <c r="N251" s="135"/>
    </row>
    <row r="252" spans="1:14" ht="30">
      <c r="A252" s="166" t="s">
        <v>3029</v>
      </c>
      <c r="B252" s="62" t="s">
        <v>1939</v>
      </c>
      <c r="C252" s="39" t="s">
        <v>1950</v>
      </c>
      <c r="D252" s="41" t="s">
        <v>9</v>
      </c>
      <c r="E252" s="47" t="s">
        <v>1212</v>
      </c>
      <c r="F252" s="39" t="s">
        <v>845</v>
      </c>
      <c r="G252" s="40" t="s">
        <v>846</v>
      </c>
      <c r="H252" s="41"/>
      <c r="I252" s="141" t="s">
        <v>1951</v>
      </c>
      <c r="J252" s="137" t="s">
        <v>807</v>
      </c>
      <c r="K252" s="39" t="s">
        <v>844</v>
      </c>
      <c r="L252" s="143" t="s">
        <v>811</v>
      </c>
      <c r="M252" s="139" t="s">
        <v>10</v>
      </c>
      <c r="N252" s="135"/>
    </row>
    <row r="253" spans="1:14">
      <c r="A253" s="166" t="s">
        <v>3029</v>
      </c>
      <c r="B253" s="62" t="s">
        <v>1939</v>
      </c>
      <c r="C253" s="39" t="s">
        <v>1950</v>
      </c>
      <c r="D253" s="41" t="s">
        <v>9</v>
      </c>
      <c r="E253" s="47" t="s">
        <v>1213</v>
      </c>
      <c r="F253" s="39" t="s">
        <v>848</v>
      </c>
      <c r="G253" s="40" t="s">
        <v>849</v>
      </c>
      <c r="H253" s="41"/>
      <c r="I253" s="141" t="s">
        <v>1951</v>
      </c>
      <c r="J253" s="137" t="s">
        <v>807</v>
      </c>
      <c r="K253" s="39" t="s">
        <v>847</v>
      </c>
      <c r="L253" s="143" t="s">
        <v>811</v>
      </c>
      <c r="M253" s="139" t="s">
        <v>10</v>
      </c>
      <c r="N253" s="135"/>
    </row>
    <row r="254" spans="1:14">
      <c r="A254" s="166" t="s">
        <v>3029</v>
      </c>
      <c r="B254" s="62" t="s">
        <v>1933</v>
      </c>
      <c r="C254" s="39" t="s">
        <v>1950</v>
      </c>
      <c r="D254" s="41" t="s">
        <v>9</v>
      </c>
      <c r="E254" s="47" t="s">
        <v>1214</v>
      </c>
      <c r="F254" s="39" t="s">
        <v>851</v>
      </c>
      <c r="G254" s="40" t="s">
        <v>852</v>
      </c>
      <c r="H254" s="41"/>
      <c r="I254" s="141" t="s">
        <v>1951</v>
      </c>
      <c r="J254" s="137" t="s">
        <v>807</v>
      </c>
      <c r="K254" s="39" t="s">
        <v>850</v>
      </c>
      <c r="L254" s="143" t="s">
        <v>811</v>
      </c>
      <c r="M254" s="139" t="s">
        <v>10</v>
      </c>
      <c r="N254" s="135"/>
    </row>
    <row r="255" spans="1:14" ht="30">
      <c r="A255" s="166" t="s">
        <v>3029</v>
      </c>
      <c r="B255" s="62" t="s">
        <v>1936</v>
      </c>
      <c r="C255" s="39" t="s">
        <v>1950</v>
      </c>
      <c r="D255" s="41" t="s">
        <v>9</v>
      </c>
      <c r="E255" s="47" t="s">
        <v>1215</v>
      </c>
      <c r="F255" s="39" t="s">
        <v>854</v>
      </c>
      <c r="G255" s="40" t="s">
        <v>3448</v>
      </c>
      <c r="H255" s="41"/>
      <c r="I255" s="141" t="s">
        <v>1951</v>
      </c>
      <c r="J255" s="137" t="s">
        <v>807</v>
      </c>
      <c r="K255" s="39" t="s">
        <v>853</v>
      </c>
      <c r="L255" s="143" t="s">
        <v>855</v>
      </c>
      <c r="M255" s="139" t="s">
        <v>10</v>
      </c>
      <c r="N255" s="135"/>
    </row>
    <row r="256" spans="1:14" ht="30">
      <c r="A256" s="166" t="s">
        <v>3029</v>
      </c>
      <c r="B256" s="62" t="s">
        <v>1934</v>
      </c>
      <c r="C256" s="39" t="s">
        <v>1950</v>
      </c>
      <c r="D256" s="41" t="s">
        <v>9</v>
      </c>
      <c r="E256" s="47" t="s">
        <v>1216</v>
      </c>
      <c r="F256" s="39" t="s">
        <v>857</v>
      </c>
      <c r="G256" s="40" t="s">
        <v>858</v>
      </c>
      <c r="H256" s="41"/>
      <c r="I256" s="141" t="s">
        <v>1951</v>
      </c>
      <c r="J256" s="137" t="s">
        <v>807</v>
      </c>
      <c r="K256" s="39" t="s">
        <v>856</v>
      </c>
      <c r="L256" s="143" t="s">
        <v>811</v>
      </c>
      <c r="M256" s="139" t="s">
        <v>10</v>
      </c>
      <c r="N256" s="135"/>
    </row>
    <row r="257" spans="1:14" ht="30">
      <c r="A257" s="166" t="s">
        <v>3029</v>
      </c>
      <c r="B257" s="62" t="s">
        <v>1937</v>
      </c>
      <c r="C257" s="39" t="s">
        <v>1950</v>
      </c>
      <c r="D257" s="41" t="s">
        <v>9</v>
      </c>
      <c r="E257" s="47" t="s">
        <v>1217</v>
      </c>
      <c r="F257" s="39" t="s">
        <v>860</v>
      </c>
      <c r="G257" s="40" t="s">
        <v>861</v>
      </c>
      <c r="H257" s="41"/>
      <c r="I257" s="141" t="s">
        <v>1951</v>
      </c>
      <c r="J257" s="137" t="s">
        <v>807</v>
      </c>
      <c r="K257" s="39" t="s">
        <v>859</v>
      </c>
      <c r="L257" s="143" t="s">
        <v>811</v>
      </c>
      <c r="M257" s="139" t="s">
        <v>10</v>
      </c>
      <c r="N257" s="135"/>
    </row>
    <row r="258" spans="1:14" ht="30">
      <c r="A258" s="166" t="s">
        <v>3029</v>
      </c>
      <c r="B258" s="62" t="s">
        <v>1940</v>
      </c>
      <c r="C258" s="39" t="s">
        <v>1950</v>
      </c>
      <c r="D258" s="41" t="s">
        <v>9</v>
      </c>
      <c r="E258" s="47" t="s">
        <v>1218</v>
      </c>
      <c r="F258" s="39" t="s">
        <v>864</v>
      </c>
      <c r="G258" s="40" t="s">
        <v>865</v>
      </c>
      <c r="H258" s="41"/>
      <c r="I258" s="141" t="s">
        <v>1951</v>
      </c>
      <c r="J258" s="137" t="s">
        <v>862</v>
      </c>
      <c r="K258" s="39" t="s">
        <v>863</v>
      </c>
      <c r="L258" s="143" t="s">
        <v>866</v>
      </c>
      <c r="M258" s="139" t="s">
        <v>10</v>
      </c>
      <c r="N258" s="135"/>
    </row>
    <row r="259" spans="1:14" ht="30">
      <c r="A259" s="166" t="s">
        <v>3029</v>
      </c>
      <c r="B259" s="62" t="s">
        <v>1938</v>
      </c>
      <c r="C259" s="39" t="s">
        <v>1950</v>
      </c>
      <c r="D259" s="41" t="s">
        <v>9</v>
      </c>
      <c r="E259" s="47" t="s">
        <v>1219</v>
      </c>
      <c r="F259" s="39" t="s">
        <v>868</v>
      </c>
      <c r="G259" s="40" t="s">
        <v>869</v>
      </c>
      <c r="H259" s="41"/>
      <c r="I259" s="141" t="s">
        <v>1951</v>
      </c>
      <c r="J259" s="137" t="s">
        <v>862</v>
      </c>
      <c r="K259" s="39" t="s">
        <v>867</v>
      </c>
      <c r="L259" s="143" t="s">
        <v>870</v>
      </c>
      <c r="M259" s="139" t="s">
        <v>10</v>
      </c>
      <c r="N259" s="135"/>
    </row>
    <row r="260" spans="1:14" ht="30">
      <c r="A260" s="166" t="s">
        <v>3029</v>
      </c>
      <c r="B260" s="62" t="s">
        <v>1942</v>
      </c>
      <c r="C260" s="39" t="s">
        <v>1950</v>
      </c>
      <c r="D260" s="41" t="s">
        <v>9</v>
      </c>
      <c r="E260" s="47" t="s">
        <v>1220</v>
      </c>
      <c r="F260" s="39" t="s">
        <v>872</v>
      </c>
      <c r="G260" s="40" t="s">
        <v>873</v>
      </c>
      <c r="H260" s="41"/>
      <c r="I260" s="141" t="s">
        <v>1951</v>
      </c>
      <c r="J260" s="137" t="s">
        <v>862</v>
      </c>
      <c r="K260" s="39" t="s">
        <v>871</v>
      </c>
      <c r="L260" s="143" t="s">
        <v>866</v>
      </c>
      <c r="M260" s="139" t="s">
        <v>10</v>
      </c>
      <c r="N260" s="135"/>
    </row>
    <row r="261" spans="1:14" ht="30">
      <c r="A261" s="166" t="s">
        <v>3029</v>
      </c>
      <c r="B261" s="62" t="s">
        <v>1938</v>
      </c>
      <c r="C261" s="39" t="s">
        <v>1950</v>
      </c>
      <c r="D261" s="41" t="s">
        <v>9</v>
      </c>
      <c r="E261" s="47" t="s">
        <v>1221</v>
      </c>
      <c r="F261" s="39" t="s">
        <v>875</v>
      </c>
      <c r="G261" s="40" t="s">
        <v>876</v>
      </c>
      <c r="H261" s="41"/>
      <c r="I261" s="141" t="s">
        <v>1951</v>
      </c>
      <c r="J261" s="137" t="s">
        <v>862</v>
      </c>
      <c r="K261" s="39" t="s">
        <v>874</v>
      </c>
      <c r="L261" s="143" t="s">
        <v>866</v>
      </c>
      <c r="M261" s="139" t="s">
        <v>10</v>
      </c>
      <c r="N261" s="135"/>
    </row>
    <row r="262" spans="1:14" ht="30">
      <c r="A262" s="166" t="s">
        <v>3029</v>
      </c>
      <c r="B262" s="62" t="s">
        <v>1940</v>
      </c>
      <c r="C262" s="39" t="s">
        <v>1950</v>
      </c>
      <c r="D262" s="41" t="s">
        <v>9</v>
      </c>
      <c r="E262" s="47" t="s">
        <v>1222</v>
      </c>
      <c r="F262" s="39" t="s">
        <v>878</v>
      </c>
      <c r="G262" s="40" t="s">
        <v>879</v>
      </c>
      <c r="H262" s="41"/>
      <c r="I262" s="141" t="s">
        <v>1951</v>
      </c>
      <c r="J262" s="137" t="s">
        <v>862</v>
      </c>
      <c r="K262" s="39" t="s">
        <v>877</v>
      </c>
      <c r="L262" s="143" t="s">
        <v>866</v>
      </c>
      <c r="M262" s="139" t="s">
        <v>10</v>
      </c>
      <c r="N262" s="135"/>
    </row>
    <row r="263" spans="1:14">
      <c r="A263" s="166" t="s">
        <v>3029</v>
      </c>
      <c r="B263" s="62" t="s">
        <v>1944</v>
      </c>
      <c r="C263" s="39" t="s">
        <v>1950</v>
      </c>
      <c r="D263" s="41" t="s">
        <v>9</v>
      </c>
      <c r="E263" s="47" t="s">
        <v>1223</v>
      </c>
      <c r="F263" s="39" t="s">
        <v>881</v>
      </c>
      <c r="G263" s="40" t="s">
        <v>882</v>
      </c>
      <c r="H263" s="41"/>
      <c r="I263" s="141" t="s">
        <v>1951</v>
      </c>
      <c r="J263" s="137" t="s">
        <v>862</v>
      </c>
      <c r="K263" s="39" t="s">
        <v>880</v>
      </c>
      <c r="L263" s="143" t="s">
        <v>866</v>
      </c>
      <c r="M263" s="139" t="s">
        <v>10</v>
      </c>
      <c r="N263" s="135"/>
    </row>
    <row r="264" spans="1:14" ht="30">
      <c r="A264" s="166" t="s">
        <v>3029</v>
      </c>
      <c r="B264" s="62" t="s">
        <v>1940</v>
      </c>
      <c r="C264" s="39" t="s">
        <v>1950</v>
      </c>
      <c r="D264" s="41" t="s">
        <v>9</v>
      </c>
      <c r="E264" s="47" t="s">
        <v>1224</v>
      </c>
      <c r="F264" s="39" t="s">
        <v>884</v>
      </c>
      <c r="G264" s="40" t="s">
        <v>885</v>
      </c>
      <c r="H264" s="41"/>
      <c r="I264" s="141" t="s">
        <v>1951</v>
      </c>
      <c r="J264" s="137" t="s">
        <v>862</v>
      </c>
      <c r="K264" s="39" t="s">
        <v>883</v>
      </c>
      <c r="L264" s="143" t="s">
        <v>866</v>
      </c>
      <c r="M264" s="139" t="s">
        <v>10</v>
      </c>
      <c r="N264" s="135"/>
    </row>
    <row r="265" spans="1:14" ht="30">
      <c r="A265" s="166" t="s">
        <v>3029</v>
      </c>
      <c r="B265" s="62" t="s">
        <v>1939</v>
      </c>
      <c r="C265" s="39" t="s">
        <v>1950</v>
      </c>
      <c r="D265" s="41" t="s">
        <v>9</v>
      </c>
      <c r="E265" s="47" t="s">
        <v>1225</v>
      </c>
      <c r="F265" s="39" t="s">
        <v>887</v>
      </c>
      <c r="G265" s="40" t="s">
        <v>888</v>
      </c>
      <c r="H265" s="41"/>
      <c r="I265" s="141" t="s">
        <v>1951</v>
      </c>
      <c r="J265" s="137" t="s">
        <v>862</v>
      </c>
      <c r="K265" s="39" t="s">
        <v>886</v>
      </c>
      <c r="L265" s="143" t="s">
        <v>866</v>
      </c>
      <c r="M265" s="139" t="s">
        <v>10</v>
      </c>
      <c r="N265" s="135"/>
    </row>
    <row r="266" spans="1:14" ht="30">
      <c r="A266" s="166" t="s">
        <v>3029</v>
      </c>
      <c r="B266" s="62" t="s">
        <v>1953</v>
      </c>
      <c r="C266" s="39" t="s">
        <v>1950</v>
      </c>
      <c r="D266" s="41" t="s">
        <v>1928</v>
      </c>
      <c r="E266" s="47" t="s">
        <v>1226</v>
      </c>
      <c r="F266" s="39" t="s">
        <v>891</v>
      </c>
      <c r="G266" s="40" t="s">
        <v>892</v>
      </c>
      <c r="H266" s="41"/>
      <c r="I266" s="141" t="s">
        <v>1952</v>
      </c>
      <c r="J266" s="137" t="s">
        <v>889</v>
      </c>
      <c r="K266" s="39" t="s">
        <v>890</v>
      </c>
      <c r="L266" s="143" t="s">
        <v>893</v>
      </c>
      <c r="M266" s="139" t="s">
        <v>10</v>
      </c>
      <c r="N266" s="135"/>
    </row>
    <row r="267" spans="1:14">
      <c r="A267" s="166" t="s">
        <v>3029</v>
      </c>
      <c r="B267" s="62" t="s">
        <v>1953</v>
      </c>
      <c r="C267" s="39" t="s">
        <v>1950</v>
      </c>
      <c r="D267" s="41" t="s">
        <v>1928</v>
      </c>
      <c r="E267" s="47" t="s">
        <v>1227</v>
      </c>
      <c r="F267" s="39" t="s">
        <v>895</v>
      </c>
      <c r="G267" s="40" t="s">
        <v>896</v>
      </c>
      <c r="H267" s="41"/>
      <c r="I267" s="141" t="s">
        <v>1952</v>
      </c>
      <c r="J267" s="137" t="s">
        <v>889</v>
      </c>
      <c r="K267" s="39" t="s">
        <v>894</v>
      </c>
      <c r="L267" s="143" t="s">
        <v>897</v>
      </c>
      <c r="M267" s="139" t="s">
        <v>10</v>
      </c>
      <c r="N267" s="135"/>
    </row>
    <row r="268" spans="1:14" ht="30">
      <c r="A268" s="166" t="s">
        <v>3029</v>
      </c>
      <c r="B268" s="62" t="s">
        <v>1941</v>
      </c>
      <c r="C268" s="39" t="s">
        <v>1950</v>
      </c>
      <c r="D268" s="41" t="s">
        <v>1928</v>
      </c>
      <c r="E268" s="47" t="s">
        <v>1228</v>
      </c>
      <c r="F268" s="39" t="s">
        <v>899</v>
      </c>
      <c r="G268" s="40" t="s">
        <v>900</v>
      </c>
      <c r="H268" s="41"/>
      <c r="I268" s="141" t="s">
        <v>1952</v>
      </c>
      <c r="J268" s="137" t="s">
        <v>889</v>
      </c>
      <c r="K268" s="39" t="s">
        <v>898</v>
      </c>
      <c r="L268" s="143" t="s">
        <v>901</v>
      </c>
      <c r="M268" s="139" t="s">
        <v>9</v>
      </c>
      <c r="N268" s="135"/>
    </row>
    <row r="269" spans="1:14">
      <c r="A269" s="166" t="s">
        <v>3029</v>
      </c>
      <c r="B269" s="62" t="s">
        <v>1939</v>
      </c>
      <c r="C269" s="39" t="s">
        <v>1950</v>
      </c>
      <c r="D269" s="41" t="s">
        <v>9</v>
      </c>
      <c r="E269" s="47" t="s">
        <v>1229</v>
      </c>
      <c r="F269" s="39" t="s">
        <v>903</v>
      </c>
      <c r="G269" s="40" t="s">
        <v>904</v>
      </c>
      <c r="H269" s="41"/>
      <c r="I269" s="141" t="s">
        <v>1951</v>
      </c>
      <c r="J269" s="137" t="s">
        <v>889</v>
      </c>
      <c r="K269" s="39" t="s">
        <v>902</v>
      </c>
      <c r="L269" s="143" t="s">
        <v>897</v>
      </c>
      <c r="M269" s="139" t="s">
        <v>10</v>
      </c>
      <c r="N269" s="135"/>
    </row>
    <row r="270" spans="1:14">
      <c r="A270" s="166" t="s">
        <v>3029</v>
      </c>
      <c r="B270" s="62" t="s">
        <v>1940</v>
      </c>
      <c r="C270" s="39" t="s">
        <v>1950</v>
      </c>
      <c r="D270" s="41" t="s">
        <v>9</v>
      </c>
      <c r="E270" s="47" t="s">
        <v>1230</v>
      </c>
      <c r="F270" s="39" t="s">
        <v>907</v>
      </c>
      <c r="G270" s="40" t="s">
        <v>908</v>
      </c>
      <c r="H270" s="41"/>
      <c r="I270" s="141" t="s">
        <v>1951</v>
      </c>
      <c r="J270" s="137" t="s">
        <v>905</v>
      </c>
      <c r="K270" s="39" t="s">
        <v>906</v>
      </c>
      <c r="L270" s="143" t="s">
        <v>909</v>
      </c>
      <c r="M270" s="139" t="s">
        <v>10</v>
      </c>
      <c r="N270" s="135"/>
    </row>
    <row r="271" spans="1:14">
      <c r="A271" s="166" t="s">
        <v>3029</v>
      </c>
      <c r="B271" s="62" t="s">
        <v>1940</v>
      </c>
      <c r="C271" s="39" t="s">
        <v>1950</v>
      </c>
      <c r="D271" s="41" t="s">
        <v>9</v>
      </c>
      <c r="E271" s="47" t="s">
        <v>1231</v>
      </c>
      <c r="F271" s="39" t="s">
        <v>911</v>
      </c>
      <c r="G271" s="40" t="s">
        <v>912</v>
      </c>
      <c r="H271" s="41"/>
      <c r="I271" s="141" t="s">
        <v>1951</v>
      </c>
      <c r="J271" s="137" t="s">
        <v>905</v>
      </c>
      <c r="K271" s="39" t="s">
        <v>910</v>
      </c>
      <c r="L271" s="143" t="s">
        <v>909</v>
      </c>
      <c r="M271" s="139" t="s">
        <v>10</v>
      </c>
      <c r="N271" s="135"/>
    </row>
    <row r="272" spans="1:14">
      <c r="A272" s="166" t="s">
        <v>3029</v>
      </c>
      <c r="B272" s="62" t="s">
        <v>1940</v>
      </c>
      <c r="C272" s="39" t="s">
        <v>1950</v>
      </c>
      <c r="D272" s="41" t="s">
        <v>9</v>
      </c>
      <c r="E272" s="47" t="s">
        <v>1232</v>
      </c>
      <c r="F272" s="39" t="s">
        <v>914</v>
      </c>
      <c r="G272" s="40" t="s">
        <v>915</v>
      </c>
      <c r="H272" s="41"/>
      <c r="I272" s="141" t="s">
        <v>1951</v>
      </c>
      <c r="J272" s="137" t="s">
        <v>905</v>
      </c>
      <c r="K272" s="39" t="s">
        <v>913</v>
      </c>
      <c r="L272" s="143" t="s">
        <v>909</v>
      </c>
      <c r="M272" s="139" t="s">
        <v>10</v>
      </c>
      <c r="N272" s="135"/>
    </row>
    <row r="273" spans="1:14">
      <c r="A273" s="166" t="s">
        <v>3029</v>
      </c>
      <c r="B273" s="62" t="s">
        <v>1953</v>
      </c>
      <c r="C273" s="39" t="s">
        <v>1950</v>
      </c>
      <c r="D273" s="41" t="s">
        <v>9</v>
      </c>
      <c r="E273" s="47" t="s">
        <v>1233</v>
      </c>
      <c r="F273" s="39" t="s">
        <v>917</v>
      </c>
      <c r="G273" s="40" t="s">
        <v>918</v>
      </c>
      <c r="H273" s="41"/>
      <c r="I273" s="141" t="s">
        <v>1951</v>
      </c>
      <c r="J273" s="137" t="s">
        <v>905</v>
      </c>
      <c r="K273" s="39" t="s">
        <v>916</v>
      </c>
      <c r="L273" s="143" t="s">
        <v>909</v>
      </c>
      <c r="M273" s="139" t="s">
        <v>10</v>
      </c>
      <c r="N273" s="135"/>
    </row>
    <row r="274" spans="1:14" ht="30">
      <c r="A274" s="166" t="s">
        <v>3028</v>
      </c>
      <c r="B274" s="62" t="s">
        <v>1932</v>
      </c>
      <c r="C274" s="39" t="s">
        <v>1954</v>
      </c>
      <c r="D274" s="41" t="s">
        <v>1928</v>
      </c>
      <c r="E274" s="47" t="s">
        <v>1851</v>
      </c>
      <c r="F274" s="39" t="s">
        <v>1850</v>
      </c>
      <c r="G274" s="40" t="s">
        <v>1852</v>
      </c>
      <c r="H274" s="40"/>
      <c r="I274" s="141" t="s">
        <v>1955</v>
      </c>
      <c r="J274" s="137" t="s">
        <v>1848</v>
      </c>
      <c r="K274" s="39" t="s">
        <v>1849</v>
      </c>
      <c r="L274" s="143" t="s">
        <v>1853</v>
      </c>
      <c r="M274" s="139" t="s">
        <v>10</v>
      </c>
      <c r="N274" s="135"/>
    </row>
    <row r="275" spans="1:14" ht="30">
      <c r="A275" s="166" t="s">
        <v>3028</v>
      </c>
      <c r="B275" s="62" t="s">
        <v>1933</v>
      </c>
      <c r="C275" s="39" t="s">
        <v>1954</v>
      </c>
      <c r="D275" s="41" t="s">
        <v>1928</v>
      </c>
      <c r="E275" s="47" t="s">
        <v>1857</v>
      </c>
      <c r="F275" s="39" t="s">
        <v>1856</v>
      </c>
      <c r="G275" s="40" t="s">
        <v>1858</v>
      </c>
      <c r="H275" s="40"/>
      <c r="I275" s="141" t="s">
        <v>1955</v>
      </c>
      <c r="J275" s="137" t="s">
        <v>1854</v>
      </c>
      <c r="K275" s="39" t="s">
        <v>1855</v>
      </c>
      <c r="L275" s="143" t="s">
        <v>1853</v>
      </c>
      <c r="M275" s="139" t="s">
        <v>10</v>
      </c>
      <c r="N275" s="135"/>
    </row>
    <row r="276" spans="1:14" ht="30">
      <c r="A276" s="166" t="s">
        <v>3028</v>
      </c>
      <c r="B276" s="62" t="s">
        <v>1939</v>
      </c>
      <c r="C276" s="39" t="s">
        <v>1954</v>
      </c>
      <c r="D276" s="41" t="s">
        <v>1928</v>
      </c>
      <c r="E276" s="47" t="s">
        <v>1862</v>
      </c>
      <c r="F276" s="39" t="s">
        <v>1861</v>
      </c>
      <c r="G276" s="40" t="s">
        <v>1863</v>
      </c>
      <c r="H276" s="40"/>
      <c r="I276" s="141" t="s">
        <v>1955</v>
      </c>
      <c r="J276" s="137" t="s">
        <v>1859</v>
      </c>
      <c r="K276" s="39" t="s">
        <v>1860</v>
      </c>
      <c r="L276" s="143" t="s">
        <v>1853</v>
      </c>
      <c r="M276" s="139" t="s">
        <v>10</v>
      </c>
      <c r="N276" s="135"/>
    </row>
    <row r="277" spans="1:14" ht="30">
      <c r="A277" s="166" t="s">
        <v>3028</v>
      </c>
      <c r="B277" s="62" t="s">
        <v>1932</v>
      </c>
      <c r="C277" s="39" t="s">
        <v>1954</v>
      </c>
      <c r="D277" s="41" t="s">
        <v>1928</v>
      </c>
      <c r="E277" s="47" t="s">
        <v>1867</v>
      </c>
      <c r="F277" s="39" t="s">
        <v>1866</v>
      </c>
      <c r="G277" s="40" t="s">
        <v>1868</v>
      </c>
      <c r="H277" s="40"/>
      <c r="I277" s="141" t="s">
        <v>1955</v>
      </c>
      <c r="J277" s="137" t="s">
        <v>1864</v>
      </c>
      <c r="K277" s="39" t="s">
        <v>1865</v>
      </c>
      <c r="L277" s="143" t="s">
        <v>1853</v>
      </c>
      <c r="M277" s="139" t="s">
        <v>10</v>
      </c>
      <c r="N277" s="135"/>
    </row>
    <row r="278" spans="1:14">
      <c r="A278" s="166" t="s">
        <v>3028</v>
      </c>
      <c r="B278" s="62" t="s">
        <v>1932</v>
      </c>
      <c r="C278" s="39" t="s">
        <v>1954</v>
      </c>
      <c r="D278" s="41" t="s">
        <v>1928</v>
      </c>
      <c r="E278" s="47" t="s">
        <v>1871</v>
      </c>
      <c r="F278" s="39" t="s">
        <v>1870</v>
      </c>
      <c r="G278" s="40" t="s">
        <v>1872</v>
      </c>
      <c r="H278" s="40"/>
      <c r="I278" s="141" t="s">
        <v>1955</v>
      </c>
      <c r="J278" s="137" t="s">
        <v>1864</v>
      </c>
      <c r="K278" s="39" t="s">
        <v>1869</v>
      </c>
      <c r="L278" s="143" t="s">
        <v>1853</v>
      </c>
      <c r="M278" s="139" t="s">
        <v>10</v>
      </c>
      <c r="N278" s="135"/>
    </row>
    <row r="279" spans="1:14" ht="30">
      <c r="A279" s="166" t="s">
        <v>3028</v>
      </c>
      <c r="B279" s="62" t="s">
        <v>1940</v>
      </c>
      <c r="C279" s="39" t="s">
        <v>1954</v>
      </c>
      <c r="D279" s="41" t="s">
        <v>1928</v>
      </c>
      <c r="E279" s="47" t="s">
        <v>1876</v>
      </c>
      <c r="F279" s="39" t="s">
        <v>1875</v>
      </c>
      <c r="G279" s="40" t="s">
        <v>1877</v>
      </c>
      <c r="H279" s="40"/>
      <c r="I279" s="141" t="s">
        <v>1955</v>
      </c>
      <c r="J279" s="137" t="s">
        <v>1873</v>
      </c>
      <c r="K279" s="39" t="s">
        <v>1874</v>
      </c>
      <c r="L279" s="143" t="s">
        <v>1853</v>
      </c>
      <c r="M279" s="139" t="s">
        <v>10</v>
      </c>
      <c r="N279" s="135"/>
    </row>
    <row r="280" spans="1:14">
      <c r="A280" s="166" t="s">
        <v>3028</v>
      </c>
      <c r="B280" s="62" t="s">
        <v>1933</v>
      </c>
      <c r="C280" s="39" t="s">
        <v>1954</v>
      </c>
      <c r="D280" s="41" t="s">
        <v>1928</v>
      </c>
      <c r="E280" s="47" t="s">
        <v>1881</v>
      </c>
      <c r="F280" s="39" t="s">
        <v>1880</v>
      </c>
      <c r="G280" s="40" t="s">
        <v>1882</v>
      </c>
      <c r="H280" s="40"/>
      <c r="I280" s="141" t="s">
        <v>1955</v>
      </c>
      <c r="J280" s="137" t="s">
        <v>1878</v>
      </c>
      <c r="K280" s="39" t="s">
        <v>1879</v>
      </c>
      <c r="L280" s="143" t="s">
        <v>1853</v>
      </c>
      <c r="M280" s="139" t="s">
        <v>10</v>
      </c>
      <c r="N280" s="135"/>
    </row>
    <row r="281" spans="1:14" ht="30">
      <c r="A281" s="166" t="s">
        <v>3028</v>
      </c>
      <c r="B281" s="62" t="s">
        <v>1940</v>
      </c>
      <c r="C281" s="39" t="s">
        <v>1954</v>
      </c>
      <c r="D281" s="41" t="s">
        <v>1928</v>
      </c>
      <c r="E281" s="47" t="s">
        <v>1886</v>
      </c>
      <c r="F281" s="39" t="s">
        <v>1885</v>
      </c>
      <c r="G281" s="40" t="s">
        <v>1887</v>
      </c>
      <c r="H281" s="40"/>
      <c r="I281" s="141" t="s">
        <v>1955</v>
      </c>
      <c r="J281" s="137" t="s">
        <v>1883</v>
      </c>
      <c r="K281" s="39" t="s">
        <v>1884</v>
      </c>
      <c r="L281" s="143" t="s">
        <v>1853</v>
      </c>
      <c r="M281" s="139" t="s">
        <v>10</v>
      </c>
      <c r="N281" s="135"/>
    </row>
    <row r="282" spans="1:14" ht="30">
      <c r="A282" s="166" t="s">
        <v>3028</v>
      </c>
      <c r="B282" s="62" t="s">
        <v>1931</v>
      </c>
      <c r="C282" s="39" t="s">
        <v>1954</v>
      </c>
      <c r="D282" s="41" t="s">
        <v>1928</v>
      </c>
      <c r="E282" s="47" t="s">
        <v>1891</v>
      </c>
      <c r="F282" s="39" t="s">
        <v>1890</v>
      </c>
      <c r="G282" s="40" t="s">
        <v>1892</v>
      </c>
      <c r="H282" s="40"/>
      <c r="I282" s="141" t="s">
        <v>1955</v>
      </c>
      <c r="J282" s="137" t="s">
        <v>1888</v>
      </c>
      <c r="K282" s="39" t="s">
        <v>1889</v>
      </c>
      <c r="L282" s="143" t="s">
        <v>1853</v>
      </c>
      <c r="M282" s="139" t="s">
        <v>10</v>
      </c>
      <c r="N282" s="135"/>
    </row>
    <row r="283" spans="1:14" ht="30">
      <c r="A283" s="166" t="s">
        <v>3028</v>
      </c>
      <c r="B283" s="62" t="s">
        <v>1931</v>
      </c>
      <c r="C283" s="39" t="s">
        <v>1954</v>
      </c>
      <c r="D283" s="41" t="s">
        <v>1928</v>
      </c>
      <c r="E283" s="47" t="s">
        <v>1896</v>
      </c>
      <c r="F283" s="39" t="s">
        <v>1895</v>
      </c>
      <c r="G283" s="40" t="s">
        <v>1897</v>
      </c>
      <c r="H283" s="40"/>
      <c r="I283" s="141" t="s">
        <v>1955</v>
      </c>
      <c r="J283" s="137" t="s">
        <v>1893</v>
      </c>
      <c r="K283" s="39" t="s">
        <v>1894</v>
      </c>
      <c r="L283" s="143" t="s">
        <v>1853</v>
      </c>
      <c r="M283" s="139" t="s">
        <v>10</v>
      </c>
      <c r="N283" s="135"/>
    </row>
    <row r="284" spans="1:14" ht="30">
      <c r="A284" s="166" t="s">
        <v>3028</v>
      </c>
      <c r="B284" s="62" t="s">
        <v>1941</v>
      </c>
      <c r="C284" s="39" t="s">
        <v>1954</v>
      </c>
      <c r="D284" s="41" t="s">
        <v>1928</v>
      </c>
      <c r="E284" s="47" t="s">
        <v>1901</v>
      </c>
      <c r="F284" s="39" t="s">
        <v>1900</v>
      </c>
      <c r="G284" s="40" t="s">
        <v>1902</v>
      </c>
      <c r="H284" s="40"/>
      <c r="I284" s="141" t="s">
        <v>1955</v>
      </c>
      <c r="J284" s="137" t="s">
        <v>1898</v>
      </c>
      <c r="K284" s="39" t="s">
        <v>1899</v>
      </c>
      <c r="L284" s="143" t="s">
        <v>1853</v>
      </c>
      <c r="M284" s="139" t="s">
        <v>10</v>
      </c>
      <c r="N284" s="135"/>
    </row>
    <row r="285" spans="1:14" ht="30">
      <c r="A285" s="166" t="s">
        <v>3028</v>
      </c>
      <c r="B285" s="62" t="s">
        <v>1941</v>
      </c>
      <c r="C285" s="39" t="s">
        <v>1954</v>
      </c>
      <c r="D285" s="41" t="s">
        <v>1928</v>
      </c>
      <c r="E285" s="47" t="s">
        <v>1906</v>
      </c>
      <c r="F285" s="39" t="s">
        <v>1905</v>
      </c>
      <c r="G285" s="40" t="s">
        <v>1907</v>
      </c>
      <c r="H285" s="40"/>
      <c r="I285" s="141" t="s">
        <v>1955</v>
      </c>
      <c r="J285" s="137" t="s">
        <v>1903</v>
      </c>
      <c r="K285" s="39" t="s">
        <v>1904</v>
      </c>
      <c r="L285" s="143" t="s">
        <v>1853</v>
      </c>
      <c r="M285" s="139" t="s">
        <v>10</v>
      </c>
      <c r="N285" s="135"/>
    </row>
    <row r="286" spans="1:14" ht="30">
      <c r="A286" s="166" t="s">
        <v>3028</v>
      </c>
      <c r="B286" s="62" t="s">
        <v>1939</v>
      </c>
      <c r="C286" s="39" t="s">
        <v>1954</v>
      </c>
      <c r="D286" s="41" t="s">
        <v>1928</v>
      </c>
      <c r="E286" s="47" t="s">
        <v>1911</v>
      </c>
      <c r="F286" s="39" t="s">
        <v>1910</v>
      </c>
      <c r="G286" s="40" t="s">
        <v>1912</v>
      </c>
      <c r="H286" s="40"/>
      <c r="I286" s="141" t="s">
        <v>1955</v>
      </c>
      <c r="J286" s="137" t="s">
        <v>1908</v>
      </c>
      <c r="K286" s="39" t="s">
        <v>1909</v>
      </c>
      <c r="L286" s="143" t="s">
        <v>1853</v>
      </c>
      <c r="M286" s="139" t="s">
        <v>10</v>
      </c>
      <c r="N286" s="135"/>
    </row>
    <row r="287" spans="1:14" ht="30">
      <c r="A287" s="166" t="s">
        <v>3028</v>
      </c>
      <c r="B287" s="62" t="s">
        <v>1925</v>
      </c>
      <c r="C287" s="39" t="s">
        <v>1954</v>
      </c>
      <c r="D287" s="41" t="s">
        <v>1928</v>
      </c>
      <c r="E287" s="47" t="s">
        <v>1915</v>
      </c>
      <c r="F287" s="39" t="s">
        <v>1914</v>
      </c>
      <c r="G287" s="40" t="s">
        <v>1916</v>
      </c>
      <c r="H287" s="40"/>
      <c r="I287" s="141" t="s">
        <v>1955</v>
      </c>
      <c r="J287" s="137" t="s">
        <v>1908</v>
      </c>
      <c r="K287" s="39" t="s">
        <v>1913</v>
      </c>
      <c r="L287" s="143" t="s">
        <v>1853</v>
      </c>
      <c r="M287" s="139" t="s">
        <v>10</v>
      </c>
      <c r="N287" s="135"/>
    </row>
    <row r="288" spans="1:14">
      <c r="A288" s="167" t="s">
        <v>3028</v>
      </c>
      <c r="B288" s="63" t="s">
        <v>1936</v>
      </c>
      <c r="C288" s="43" t="s">
        <v>1954</v>
      </c>
      <c r="D288" s="45" t="s">
        <v>1928</v>
      </c>
      <c r="E288" s="48" t="s">
        <v>1919</v>
      </c>
      <c r="F288" s="43" t="s">
        <v>1918</v>
      </c>
      <c r="G288" s="44" t="s">
        <v>1920</v>
      </c>
      <c r="H288" s="44"/>
      <c r="I288" s="142" t="s">
        <v>1955</v>
      </c>
      <c r="J288" s="138" t="s">
        <v>1908</v>
      </c>
      <c r="K288" s="43" t="s">
        <v>1917</v>
      </c>
      <c r="L288" s="144" t="s">
        <v>1853</v>
      </c>
      <c r="M288" s="140" t="s">
        <v>10</v>
      </c>
      <c r="N288" s="136"/>
    </row>
    <row r="289" spans="1:13" ht="45">
      <c r="A289" s="167" t="s">
        <v>3029</v>
      </c>
      <c r="B289" s="63" t="s">
        <v>1944</v>
      </c>
      <c r="C289" s="43" t="s">
        <v>1798</v>
      </c>
      <c r="D289" s="45" t="s">
        <v>1926</v>
      </c>
      <c r="E289" s="48" t="s">
        <v>3418</v>
      </c>
      <c r="F289" s="43" t="s">
        <v>3419</v>
      </c>
      <c r="G289" s="44" t="s">
        <v>3420</v>
      </c>
      <c r="H289" s="45"/>
      <c r="I289" s="142" t="s">
        <v>3421</v>
      </c>
      <c r="J289" s="138" t="s">
        <v>3422</v>
      </c>
      <c r="K289" s="43" t="s">
        <v>3423</v>
      </c>
      <c r="L289" s="144" t="s">
        <v>3424</v>
      </c>
      <c r="M289" s="140" t="s">
        <v>2681</v>
      </c>
    </row>
    <row r="290" spans="1:13" ht="30">
      <c r="A290" s="167" t="s">
        <v>3029</v>
      </c>
      <c r="B290" s="63" t="s">
        <v>1935</v>
      </c>
      <c r="C290" s="43" t="s">
        <v>1798</v>
      </c>
      <c r="D290" s="45" t="s">
        <v>1926</v>
      </c>
      <c r="E290" s="48" t="s">
        <v>3425</v>
      </c>
      <c r="F290" s="43" t="s">
        <v>3426</v>
      </c>
      <c r="G290" s="44" t="s">
        <v>3427</v>
      </c>
      <c r="H290" s="45"/>
      <c r="I290" s="142" t="s">
        <v>3428</v>
      </c>
      <c r="J290" s="138" t="s">
        <v>3429</v>
      </c>
      <c r="K290" s="43" t="s">
        <v>3430</v>
      </c>
      <c r="L290" s="144" t="s">
        <v>3431</v>
      </c>
      <c r="M290" s="140" t="s">
        <v>2681</v>
      </c>
    </row>
    <row r="291" spans="1:13" ht="30">
      <c r="A291" s="167" t="s">
        <v>3029</v>
      </c>
      <c r="B291" s="63" t="s">
        <v>1934</v>
      </c>
      <c r="C291" s="43" t="s">
        <v>1798</v>
      </c>
      <c r="D291" s="45" t="s">
        <v>8</v>
      </c>
      <c r="E291" s="48" t="s">
        <v>3432</v>
      </c>
      <c r="F291" s="43" t="s">
        <v>3433</v>
      </c>
      <c r="G291" s="44" t="s">
        <v>3434</v>
      </c>
      <c r="H291" s="45"/>
      <c r="I291" s="142"/>
      <c r="J291" s="138" t="s">
        <v>3435</v>
      </c>
      <c r="K291" s="43" t="s">
        <v>3436</v>
      </c>
      <c r="L291" s="144" t="s">
        <v>3437</v>
      </c>
      <c r="M291" s="140" t="s">
        <v>2681</v>
      </c>
    </row>
    <row r="292" spans="1:13" ht="45">
      <c r="A292" s="167" t="s">
        <v>3028</v>
      </c>
      <c r="B292" s="63" t="s">
        <v>1935</v>
      </c>
      <c r="C292" s="43" t="s">
        <v>1954</v>
      </c>
      <c r="D292" s="45" t="s">
        <v>1928</v>
      </c>
      <c r="E292" s="48" t="s">
        <v>3438</v>
      </c>
      <c r="F292" s="43" t="s">
        <v>3439</v>
      </c>
      <c r="G292" s="44" t="s">
        <v>3440</v>
      </c>
      <c r="H292" s="44"/>
      <c r="I292" s="142" t="s">
        <v>3441</v>
      </c>
      <c r="J292" s="138" t="s">
        <v>3442</v>
      </c>
      <c r="K292" s="43" t="s">
        <v>3443</v>
      </c>
      <c r="L292" s="144" t="s">
        <v>3444</v>
      </c>
      <c r="M292" s="140" t="s">
        <v>2681</v>
      </c>
    </row>
  </sheetData>
  <autoFilter ref="A6:M292" xr:uid="{4F6F187A-C144-EF41-838F-8FD30632C19C}"/>
  <phoneticPr fontId="2"/>
  <conditionalFormatting sqref="B7:M288">
    <cfRule type="expression" dxfId="4" priority="6">
      <formula>$D7="確定"</formula>
    </cfRule>
  </conditionalFormatting>
  <conditionalFormatting sqref="B7:M288">
    <cfRule type="expression" dxfId="3" priority="7">
      <formula>$D7="方向性確定（条件付き）"</formula>
    </cfRule>
  </conditionalFormatting>
  <conditionalFormatting sqref="B7:M288">
    <cfRule type="expression" dxfId="2" priority="8">
      <formula>$D7="検討中"</formula>
    </cfRule>
  </conditionalFormatting>
  <conditionalFormatting sqref="B7:M288">
    <cfRule type="expression" dxfId="1" priority="9">
      <formula>$D7="外部待ち"</formula>
    </cfRule>
  </conditionalFormatting>
  <conditionalFormatting sqref="B7:M288">
    <cfRule type="expression" dxfId="0" priority="10">
      <formula>$D7="対象外"</formula>
    </cfRule>
  </conditionalFormatting>
  <conditionalFormatting sqref="B289:M292">
    <cfRule type="expression" dxfId="57" priority="1">
      <formula>$D289="確定"</formula>
    </cfRule>
  </conditionalFormatting>
  <conditionalFormatting sqref="B289:M292">
    <cfRule type="expression" dxfId="56" priority="2">
      <formula>$D289="方向性確定（条件付き）"</formula>
    </cfRule>
  </conditionalFormatting>
  <conditionalFormatting sqref="B289:M292">
    <cfRule type="expression" dxfId="55" priority="3">
      <formula>$D289="検討中"</formula>
    </cfRule>
  </conditionalFormatting>
  <conditionalFormatting sqref="B289:M292">
    <cfRule type="expression" dxfId="54" priority="4">
      <formula>$D289="外部待ち"</formula>
    </cfRule>
  </conditionalFormatting>
  <conditionalFormatting sqref="B289:M292">
    <cfRule type="expression" dxfId="53" priority="5">
      <formula>$D289="対象外"</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6" customWidth="1"/>
    <col min="2" max="2" width="24.28515625" style="66" customWidth="1"/>
    <col min="3" max="3" width="100" style="66" customWidth="1"/>
    <col min="4" max="4" width="18.5703125" style="66" customWidth="1"/>
    <col min="5" max="5" width="40" style="66" customWidth="1"/>
    <col min="6" max="16384" width="10.7109375" style="66"/>
  </cols>
  <sheetData>
    <row r="1" spans="1:5">
      <c r="A1" s="65" t="s">
        <v>1234</v>
      </c>
    </row>
    <row r="2" spans="1:5">
      <c r="A2" s="67" t="s">
        <v>1923</v>
      </c>
    </row>
    <row r="4" spans="1:5" ht="22" customHeight="1">
      <c r="A4" s="36" t="s">
        <v>1989</v>
      </c>
      <c r="B4" s="37" t="s">
        <v>1990</v>
      </c>
      <c r="C4" s="37" t="s">
        <v>1991</v>
      </c>
      <c r="D4" s="37" t="s">
        <v>1992</v>
      </c>
      <c r="E4" s="38" t="s">
        <v>1993</v>
      </c>
    </row>
    <row r="5" spans="1:5">
      <c r="A5" s="127" t="s">
        <v>1994</v>
      </c>
      <c r="B5" s="70" t="s">
        <v>1995</v>
      </c>
      <c r="C5" s="70" t="s">
        <v>1996</v>
      </c>
      <c r="D5" s="130" t="s">
        <v>1997</v>
      </c>
      <c r="E5" s="42" t="s">
        <v>1998</v>
      </c>
    </row>
    <row r="6" spans="1:5">
      <c r="A6" s="127" t="s">
        <v>1999</v>
      </c>
      <c r="B6" s="70" t="s">
        <v>1995</v>
      </c>
      <c r="C6" s="70" t="s">
        <v>2000</v>
      </c>
      <c r="D6" s="130" t="s">
        <v>2001</v>
      </c>
      <c r="E6" s="42" t="s">
        <v>1998</v>
      </c>
    </row>
    <row r="7" spans="1:5">
      <c r="A7" s="127" t="s">
        <v>2002</v>
      </c>
      <c r="B7" s="70" t="s">
        <v>1995</v>
      </c>
      <c r="C7" s="70" t="s">
        <v>2003</v>
      </c>
      <c r="D7" s="130" t="s">
        <v>2004</v>
      </c>
      <c r="E7" s="42" t="s">
        <v>1998</v>
      </c>
    </row>
    <row r="8" spans="1:5">
      <c r="A8" s="127" t="s">
        <v>2005</v>
      </c>
      <c r="B8" s="70" t="s">
        <v>1995</v>
      </c>
      <c r="C8" s="70" t="s">
        <v>2006</v>
      </c>
      <c r="D8" s="130" t="s">
        <v>2007</v>
      </c>
      <c r="E8" s="42" t="s">
        <v>1998</v>
      </c>
    </row>
    <row r="9" spans="1:5">
      <c r="A9" s="127" t="s">
        <v>2008</v>
      </c>
      <c r="B9" s="70" t="s">
        <v>1995</v>
      </c>
      <c r="C9" s="70" t="s">
        <v>2009</v>
      </c>
      <c r="D9" s="130" t="s">
        <v>2010</v>
      </c>
      <c r="E9" s="42" t="s">
        <v>1998</v>
      </c>
    </row>
    <row r="10" spans="1:5">
      <c r="A10" s="127" t="s">
        <v>2011</v>
      </c>
      <c r="B10" s="70" t="s">
        <v>1995</v>
      </c>
      <c r="C10" s="70" t="s">
        <v>2012</v>
      </c>
      <c r="D10" s="130" t="s">
        <v>2013</v>
      </c>
      <c r="E10" s="42" t="s">
        <v>1998</v>
      </c>
    </row>
    <row r="11" spans="1:5">
      <c r="A11" s="127" t="s">
        <v>2014</v>
      </c>
      <c r="B11" s="70" t="s">
        <v>1995</v>
      </c>
      <c r="C11" s="70" t="s">
        <v>2015</v>
      </c>
      <c r="D11" s="130" t="s">
        <v>2016</v>
      </c>
      <c r="E11" s="42" t="s">
        <v>1998</v>
      </c>
    </row>
    <row r="12" spans="1:5">
      <c r="A12" s="127" t="s">
        <v>2017</v>
      </c>
      <c r="B12" s="70" t="s">
        <v>1995</v>
      </c>
      <c r="C12" s="70" t="s">
        <v>2018</v>
      </c>
      <c r="D12" s="130" t="s">
        <v>2019</v>
      </c>
      <c r="E12" s="42" t="s">
        <v>1998</v>
      </c>
    </row>
    <row r="13" spans="1:5">
      <c r="A13" s="127" t="s">
        <v>2020</v>
      </c>
      <c r="B13" s="70" t="s">
        <v>1995</v>
      </c>
      <c r="C13" s="70" t="s">
        <v>2021</v>
      </c>
      <c r="D13" s="130" t="s">
        <v>2022</v>
      </c>
      <c r="E13" s="42" t="s">
        <v>1998</v>
      </c>
    </row>
    <row r="14" spans="1:5">
      <c r="A14" s="127" t="s">
        <v>2023</v>
      </c>
      <c r="B14" s="70" t="s">
        <v>1995</v>
      </c>
      <c r="C14" s="70" t="s">
        <v>2024</v>
      </c>
      <c r="D14" s="130" t="s">
        <v>2025</v>
      </c>
      <c r="E14" s="42" t="s">
        <v>1998</v>
      </c>
    </row>
    <row r="15" spans="1:5">
      <c r="A15" s="127" t="s">
        <v>2026</v>
      </c>
      <c r="B15" s="70" t="s">
        <v>1995</v>
      </c>
      <c r="C15" s="70" t="s">
        <v>2027</v>
      </c>
      <c r="D15" s="130" t="s">
        <v>2028</v>
      </c>
      <c r="E15" s="42" t="s">
        <v>1998</v>
      </c>
    </row>
    <row r="16" spans="1:5">
      <c r="A16" s="127" t="s">
        <v>2029</v>
      </c>
      <c r="B16" s="70" t="s">
        <v>1995</v>
      </c>
      <c r="C16" s="70" t="s">
        <v>2030</v>
      </c>
      <c r="D16" s="130" t="s">
        <v>2031</v>
      </c>
      <c r="E16" s="42" t="s">
        <v>1998</v>
      </c>
    </row>
    <row r="17" spans="1:5">
      <c r="A17" s="127" t="s">
        <v>2032</v>
      </c>
      <c r="B17" s="70" t="s">
        <v>1995</v>
      </c>
      <c r="C17" s="70" t="s">
        <v>2033</v>
      </c>
      <c r="D17" s="130" t="s">
        <v>2034</v>
      </c>
      <c r="E17" s="42" t="s">
        <v>1998</v>
      </c>
    </row>
    <row r="18" spans="1:5">
      <c r="A18" s="127" t="s">
        <v>2035</v>
      </c>
      <c r="B18" s="70" t="s">
        <v>1995</v>
      </c>
      <c r="C18" s="70" t="s">
        <v>2036</v>
      </c>
      <c r="D18" s="130" t="s">
        <v>2037</v>
      </c>
      <c r="E18" s="42" t="s">
        <v>1998</v>
      </c>
    </row>
    <row r="19" spans="1:5">
      <c r="A19" s="127" t="s">
        <v>2038</v>
      </c>
      <c r="B19" s="70" t="s">
        <v>1995</v>
      </c>
      <c r="C19" s="70" t="s">
        <v>2039</v>
      </c>
      <c r="D19" s="130" t="s">
        <v>2040</v>
      </c>
      <c r="E19" s="42" t="s">
        <v>1998</v>
      </c>
    </row>
    <row r="20" spans="1:5">
      <c r="A20" s="127" t="s">
        <v>2041</v>
      </c>
      <c r="B20" s="70" t="s">
        <v>1995</v>
      </c>
      <c r="C20" s="70" t="s">
        <v>2042</v>
      </c>
      <c r="D20" s="130" t="s">
        <v>2043</v>
      </c>
      <c r="E20" s="42" t="s">
        <v>1998</v>
      </c>
    </row>
    <row r="21" spans="1:5">
      <c r="A21" s="127" t="s">
        <v>2044</v>
      </c>
      <c r="B21" s="70" t="s">
        <v>1995</v>
      </c>
      <c r="C21" s="70" t="s">
        <v>2045</v>
      </c>
      <c r="D21" s="130" t="s">
        <v>2046</v>
      </c>
      <c r="E21" s="42" t="s">
        <v>1998</v>
      </c>
    </row>
    <row r="22" spans="1:5">
      <c r="A22" s="127" t="s">
        <v>2047</v>
      </c>
      <c r="B22" s="70" t="s">
        <v>1995</v>
      </c>
      <c r="C22" s="70" t="s">
        <v>2048</v>
      </c>
      <c r="D22" s="130" t="s">
        <v>2049</v>
      </c>
      <c r="E22" s="42" t="s">
        <v>1998</v>
      </c>
    </row>
    <row r="23" spans="1:5">
      <c r="A23" s="127" t="s">
        <v>2050</v>
      </c>
      <c r="B23" s="70" t="s">
        <v>1995</v>
      </c>
      <c r="C23" s="70" t="s">
        <v>2051</v>
      </c>
      <c r="D23" s="130" t="s">
        <v>2052</v>
      </c>
      <c r="E23" s="42" t="s">
        <v>1998</v>
      </c>
    </row>
    <row r="24" spans="1:5">
      <c r="A24" s="127" t="s">
        <v>2053</v>
      </c>
      <c r="B24" s="70" t="s">
        <v>1995</v>
      </c>
      <c r="C24" s="70" t="s">
        <v>2054</v>
      </c>
      <c r="D24" s="130" t="s">
        <v>2055</v>
      </c>
      <c r="E24" s="42" t="s">
        <v>1998</v>
      </c>
    </row>
    <row r="25" spans="1:5">
      <c r="A25" s="127" t="s">
        <v>2056</v>
      </c>
      <c r="B25" s="70" t="s">
        <v>1995</v>
      </c>
      <c r="C25" s="70" t="s">
        <v>2057</v>
      </c>
      <c r="D25" s="130" t="s">
        <v>2058</v>
      </c>
      <c r="E25" s="42" t="s">
        <v>1998</v>
      </c>
    </row>
    <row r="26" spans="1:5">
      <c r="A26" s="127" t="s">
        <v>2059</v>
      </c>
      <c r="B26" s="70" t="s">
        <v>1995</v>
      </c>
      <c r="C26" s="70" t="s">
        <v>2060</v>
      </c>
      <c r="D26" s="130" t="s">
        <v>2061</v>
      </c>
      <c r="E26" s="42" t="s">
        <v>1998</v>
      </c>
    </row>
    <row r="27" spans="1:5">
      <c r="A27" s="127" t="s">
        <v>2062</v>
      </c>
      <c r="B27" s="70" t="s">
        <v>1995</v>
      </c>
      <c r="C27" s="70" t="s">
        <v>2063</v>
      </c>
      <c r="D27" s="130" t="s">
        <v>2064</v>
      </c>
      <c r="E27" s="42" t="s">
        <v>1998</v>
      </c>
    </row>
    <row r="28" spans="1:5">
      <c r="A28" s="127" t="s">
        <v>2065</v>
      </c>
      <c r="B28" s="70" t="s">
        <v>1995</v>
      </c>
      <c r="C28" s="70" t="s">
        <v>2066</v>
      </c>
      <c r="D28" s="130" t="s">
        <v>2067</v>
      </c>
      <c r="E28" s="42" t="s">
        <v>1998</v>
      </c>
    </row>
    <row r="29" spans="1:5">
      <c r="A29" s="127" t="s">
        <v>2068</v>
      </c>
      <c r="B29" s="70" t="s">
        <v>1995</v>
      </c>
      <c r="C29" s="70" t="s">
        <v>2069</v>
      </c>
      <c r="D29" s="130" t="s">
        <v>2070</v>
      </c>
      <c r="E29" s="42" t="s">
        <v>1998</v>
      </c>
    </row>
    <row r="30" spans="1:5">
      <c r="A30" s="127" t="s">
        <v>2071</v>
      </c>
      <c r="B30" s="70" t="s">
        <v>1995</v>
      </c>
      <c r="C30" s="70" t="s">
        <v>2072</v>
      </c>
      <c r="D30" s="130" t="s">
        <v>2073</v>
      </c>
      <c r="E30" s="42" t="s">
        <v>1998</v>
      </c>
    </row>
    <row r="31" spans="1:5">
      <c r="A31" s="127" t="s">
        <v>2074</v>
      </c>
      <c r="B31" s="70" t="s">
        <v>1995</v>
      </c>
      <c r="C31" s="70" t="s">
        <v>2075</v>
      </c>
      <c r="D31" s="130" t="s">
        <v>2076</v>
      </c>
      <c r="E31" s="42" t="s">
        <v>1998</v>
      </c>
    </row>
    <row r="32" spans="1:5">
      <c r="A32" s="127" t="s">
        <v>2077</v>
      </c>
      <c r="B32" s="70" t="s">
        <v>1995</v>
      </c>
      <c r="C32" s="70" t="s">
        <v>2078</v>
      </c>
      <c r="D32" s="130" t="s">
        <v>2079</v>
      </c>
      <c r="E32" s="42" t="s">
        <v>1998</v>
      </c>
    </row>
    <row r="33" spans="1:5">
      <c r="A33" s="127" t="s">
        <v>2080</v>
      </c>
      <c r="B33" s="70" t="s">
        <v>1995</v>
      </c>
      <c r="C33" s="70" t="s">
        <v>2081</v>
      </c>
      <c r="D33" s="130" t="s">
        <v>2082</v>
      </c>
      <c r="E33" s="42" t="s">
        <v>1998</v>
      </c>
    </row>
    <row r="34" spans="1:5">
      <c r="A34" s="127" t="s">
        <v>2083</v>
      </c>
      <c r="B34" s="70" t="s">
        <v>1995</v>
      </c>
      <c r="C34" s="70" t="s">
        <v>2084</v>
      </c>
      <c r="D34" s="130" t="s">
        <v>2085</v>
      </c>
      <c r="E34" s="42" t="s">
        <v>1998</v>
      </c>
    </row>
    <row r="35" spans="1:5">
      <c r="A35" s="127" t="s">
        <v>2086</v>
      </c>
      <c r="B35" s="70" t="s">
        <v>1995</v>
      </c>
      <c r="C35" s="70" t="s">
        <v>2087</v>
      </c>
      <c r="D35" s="130" t="s">
        <v>2088</v>
      </c>
      <c r="E35" s="42" t="s">
        <v>1998</v>
      </c>
    </row>
    <row r="36" spans="1:5">
      <c r="A36" s="127" t="s">
        <v>2089</v>
      </c>
      <c r="B36" s="70" t="s">
        <v>1995</v>
      </c>
      <c r="C36" s="70" t="s">
        <v>2090</v>
      </c>
      <c r="D36" s="130" t="s">
        <v>2091</v>
      </c>
      <c r="E36" s="42" t="s">
        <v>1998</v>
      </c>
    </row>
    <row r="37" spans="1:5">
      <c r="A37" s="127" t="s">
        <v>2092</v>
      </c>
      <c r="B37" s="70" t="s">
        <v>1995</v>
      </c>
      <c r="C37" s="70" t="s">
        <v>2093</v>
      </c>
      <c r="D37" s="130" t="s">
        <v>2094</v>
      </c>
      <c r="E37" s="42" t="s">
        <v>1998</v>
      </c>
    </row>
    <row r="38" spans="1:5">
      <c r="A38" s="127" t="s">
        <v>2095</v>
      </c>
      <c r="B38" s="70" t="s">
        <v>1995</v>
      </c>
      <c r="C38" s="70" t="s">
        <v>2096</v>
      </c>
      <c r="D38" s="130" t="s">
        <v>2097</v>
      </c>
      <c r="E38" s="42" t="s">
        <v>1998</v>
      </c>
    </row>
    <row r="39" spans="1:5">
      <c r="A39" s="127" t="s">
        <v>2098</v>
      </c>
      <c r="B39" s="70" t="s">
        <v>1995</v>
      </c>
      <c r="C39" s="70" t="s">
        <v>2099</v>
      </c>
      <c r="D39" s="130" t="s">
        <v>2100</v>
      </c>
      <c r="E39" s="42" t="s">
        <v>1998</v>
      </c>
    </row>
    <row r="40" spans="1:5">
      <c r="A40" s="127" t="s">
        <v>2101</v>
      </c>
      <c r="B40" s="70" t="s">
        <v>1995</v>
      </c>
      <c r="C40" s="70" t="s">
        <v>2102</v>
      </c>
      <c r="D40" s="130" t="s">
        <v>2103</v>
      </c>
      <c r="E40" s="42" t="s">
        <v>1998</v>
      </c>
    </row>
    <row r="41" spans="1:5">
      <c r="A41" s="127" t="s">
        <v>2104</v>
      </c>
      <c r="B41" s="70" t="s">
        <v>1995</v>
      </c>
      <c r="C41" s="70" t="s">
        <v>2105</v>
      </c>
      <c r="D41" s="130" t="s">
        <v>2106</v>
      </c>
      <c r="E41" s="42" t="s">
        <v>1998</v>
      </c>
    </row>
    <row r="42" spans="1:5">
      <c r="A42" s="127" t="s">
        <v>2107</v>
      </c>
      <c r="B42" s="70" t="s">
        <v>2108</v>
      </c>
      <c r="C42" s="70" t="s">
        <v>2109</v>
      </c>
      <c r="D42" s="130" t="s">
        <v>2110</v>
      </c>
      <c r="E42" s="42" t="s">
        <v>2111</v>
      </c>
    </row>
    <row r="43" spans="1:5">
      <c r="A43" s="127" t="s">
        <v>2112</v>
      </c>
      <c r="B43" s="70" t="s">
        <v>2108</v>
      </c>
      <c r="C43" s="70" t="s">
        <v>2113</v>
      </c>
      <c r="D43" s="130" t="s">
        <v>2114</v>
      </c>
      <c r="E43" s="42" t="s">
        <v>2111</v>
      </c>
    </row>
    <row r="44" spans="1:5">
      <c r="A44" s="127" t="s">
        <v>2115</v>
      </c>
      <c r="B44" s="70" t="s">
        <v>2108</v>
      </c>
      <c r="C44" s="70" t="s">
        <v>2116</v>
      </c>
      <c r="D44" s="130" t="s">
        <v>2117</v>
      </c>
      <c r="E44" s="42" t="s">
        <v>2111</v>
      </c>
    </row>
    <row r="45" spans="1:5">
      <c r="A45" s="127" t="s">
        <v>2118</v>
      </c>
      <c r="B45" s="70" t="s">
        <v>2108</v>
      </c>
      <c r="C45" s="70" t="s">
        <v>2119</v>
      </c>
      <c r="D45" s="130" t="s">
        <v>2120</v>
      </c>
      <c r="E45" s="42" t="s">
        <v>2121</v>
      </c>
    </row>
    <row r="46" spans="1:5">
      <c r="A46" s="127" t="s">
        <v>2122</v>
      </c>
      <c r="B46" s="70" t="s">
        <v>2108</v>
      </c>
      <c r="C46" s="70" t="s">
        <v>2123</v>
      </c>
      <c r="D46" s="130" t="s">
        <v>2124</v>
      </c>
      <c r="E46" s="42" t="s">
        <v>2121</v>
      </c>
    </row>
    <row r="47" spans="1:5">
      <c r="A47" s="127" t="s">
        <v>2125</v>
      </c>
      <c r="B47" s="70" t="s">
        <v>2108</v>
      </c>
      <c r="C47" s="70" t="s">
        <v>2126</v>
      </c>
      <c r="D47" s="130" t="s">
        <v>2127</v>
      </c>
      <c r="E47" s="42" t="s">
        <v>2121</v>
      </c>
    </row>
    <row r="48" spans="1:5">
      <c r="A48" s="127" t="s">
        <v>2128</v>
      </c>
      <c r="B48" s="70" t="s">
        <v>2108</v>
      </c>
      <c r="C48" s="70" t="s">
        <v>2129</v>
      </c>
      <c r="D48" s="130" t="s">
        <v>2130</v>
      </c>
      <c r="E48" s="42" t="s">
        <v>2131</v>
      </c>
    </row>
    <row r="49" spans="1:5">
      <c r="A49" s="127" t="s">
        <v>2132</v>
      </c>
      <c r="B49" s="70" t="s">
        <v>2108</v>
      </c>
      <c r="C49" s="70" t="s">
        <v>2133</v>
      </c>
      <c r="D49" s="130" t="s">
        <v>2134</v>
      </c>
      <c r="E49" s="42" t="s">
        <v>2131</v>
      </c>
    </row>
    <row r="50" spans="1:5">
      <c r="A50" s="127" t="s">
        <v>2135</v>
      </c>
      <c r="B50" s="70" t="s">
        <v>2108</v>
      </c>
      <c r="C50" s="70" t="s">
        <v>2136</v>
      </c>
      <c r="D50" s="130" t="s">
        <v>2137</v>
      </c>
      <c r="E50" s="42" t="s">
        <v>2138</v>
      </c>
    </row>
    <row r="51" spans="1:5">
      <c r="A51" s="127" t="s">
        <v>2139</v>
      </c>
      <c r="B51" s="70" t="s">
        <v>2108</v>
      </c>
      <c r="C51" s="70" t="s">
        <v>2140</v>
      </c>
      <c r="D51" s="130" t="s">
        <v>2141</v>
      </c>
      <c r="E51" s="42" t="s">
        <v>2138</v>
      </c>
    </row>
    <row r="52" spans="1:5">
      <c r="A52" s="127" t="s">
        <v>2142</v>
      </c>
      <c r="B52" s="70" t="s">
        <v>2108</v>
      </c>
      <c r="C52" s="70" t="s">
        <v>2143</v>
      </c>
      <c r="D52" s="130" t="s">
        <v>2144</v>
      </c>
      <c r="E52" s="42" t="s">
        <v>2145</v>
      </c>
    </row>
    <row r="53" spans="1:5">
      <c r="A53" s="127" t="s">
        <v>2146</v>
      </c>
      <c r="B53" s="70" t="s">
        <v>2108</v>
      </c>
      <c r="C53" s="70" t="s">
        <v>2147</v>
      </c>
      <c r="D53" s="130" t="s">
        <v>2148</v>
      </c>
      <c r="E53" s="42" t="s">
        <v>2138</v>
      </c>
    </row>
    <row r="54" spans="1:5">
      <c r="A54" s="127" t="s">
        <v>2149</v>
      </c>
      <c r="B54" s="70" t="s">
        <v>2108</v>
      </c>
      <c r="C54" s="70" t="s">
        <v>2150</v>
      </c>
      <c r="D54" s="130" t="s">
        <v>2151</v>
      </c>
      <c r="E54" s="42" t="s">
        <v>2152</v>
      </c>
    </row>
    <row r="55" spans="1:5">
      <c r="A55" s="127" t="s">
        <v>2153</v>
      </c>
      <c r="B55" s="70" t="s">
        <v>2108</v>
      </c>
      <c r="C55" s="70" t="s">
        <v>2154</v>
      </c>
      <c r="D55" s="130" t="s">
        <v>2155</v>
      </c>
      <c r="E55" s="42" t="s">
        <v>2156</v>
      </c>
    </row>
    <row r="56" spans="1:5">
      <c r="A56" s="127" t="s">
        <v>2157</v>
      </c>
      <c r="B56" s="70" t="s">
        <v>2108</v>
      </c>
      <c r="C56" s="70" t="s">
        <v>2158</v>
      </c>
      <c r="D56" s="130" t="s">
        <v>2159</v>
      </c>
      <c r="E56" s="42" t="s">
        <v>2156</v>
      </c>
    </row>
    <row r="57" spans="1:5">
      <c r="A57" s="127" t="s">
        <v>2160</v>
      </c>
      <c r="B57" s="70" t="s">
        <v>2108</v>
      </c>
      <c r="C57" s="70" t="s">
        <v>2161</v>
      </c>
      <c r="D57" s="130" t="s">
        <v>2162</v>
      </c>
      <c r="E57" s="42" t="s">
        <v>2156</v>
      </c>
    </row>
    <row r="58" spans="1:5">
      <c r="A58" s="127" t="s">
        <v>2163</v>
      </c>
      <c r="B58" s="70" t="s">
        <v>2108</v>
      </c>
      <c r="C58" s="70" t="s">
        <v>2164</v>
      </c>
      <c r="D58" s="130" t="s">
        <v>2165</v>
      </c>
      <c r="E58" s="42" t="s">
        <v>2156</v>
      </c>
    </row>
    <row r="59" spans="1:5">
      <c r="A59" s="127" t="s">
        <v>2166</v>
      </c>
      <c r="B59" s="70" t="s">
        <v>2167</v>
      </c>
      <c r="C59" s="70" t="s">
        <v>2168</v>
      </c>
      <c r="D59" s="130" t="s">
        <v>2169</v>
      </c>
      <c r="E59" s="42" t="s">
        <v>2170</v>
      </c>
    </row>
    <row r="60" spans="1:5">
      <c r="A60" s="127" t="s">
        <v>2171</v>
      </c>
      <c r="B60" s="70" t="s">
        <v>2167</v>
      </c>
      <c r="C60" s="70" t="s">
        <v>2172</v>
      </c>
      <c r="D60" s="130" t="s">
        <v>2173</v>
      </c>
      <c r="E60" s="42" t="s">
        <v>2170</v>
      </c>
    </row>
    <row r="61" spans="1:5">
      <c r="A61" s="127" t="s">
        <v>2174</v>
      </c>
      <c r="B61" s="70" t="s">
        <v>2167</v>
      </c>
      <c r="C61" s="70" t="s">
        <v>2175</v>
      </c>
      <c r="D61" s="130" t="s">
        <v>2176</v>
      </c>
      <c r="E61" s="42" t="s">
        <v>2170</v>
      </c>
    </row>
    <row r="62" spans="1:5">
      <c r="A62" s="127" t="s">
        <v>2177</v>
      </c>
      <c r="B62" s="70" t="s">
        <v>2167</v>
      </c>
      <c r="C62" s="70" t="s">
        <v>2178</v>
      </c>
      <c r="D62" s="130" t="s">
        <v>2179</v>
      </c>
      <c r="E62" s="42" t="s">
        <v>2170</v>
      </c>
    </row>
    <row r="63" spans="1:5">
      <c r="A63" s="127" t="s">
        <v>2180</v>
      </c>
      <c r="B63" s="70" t="s">
        <v>2167</v>
      </c>
      <c r="C63" s="70" t="s">
        <v>2181</v>
      </c>
      <c r="D63" s="130" t="s">
        <v>2182</v>
      </c>
      <c r="E63" s="42" t="s">
        <v>2170</v>
      </c>
    </row>
    <row r="64" spans="1:5">
      <c r="A64" s="127" t="s">
        <v>2183</v>
      </c>
      <c r="B64" s="70" t="s">
        <v>2167</v>
      </c>
      <c r="C64" s="70" t="s">
        <v>2184</v>
      </c>
      <c r="D64" s="130" t="s">
        <v>2185</v>
      </c>
      <c r="E64" s="42" t="s">
        <v>2170</v>
      </c>
    </row>
    <row r="65" spans="1:5">
      <c r="A65" s="127" t="s">
        <v>2186</v>
      </c>
      <c r="B65" s="70" t="s">
        <v>2167</v>
      </c>
      <c r="C65" s="70" t="s">
        <v>2187</v>
      </c>
      <c r="D65" s="130" t="s">
        <v>2188</v>
      </c>
      <c r="E65" s="42" t="s">
        <v>2170</v>
      </c>
    </row>
    <row r="66" spans="1:5">
      <c r="A66" s="127" t="s">
        <v>2189</v>
      </c>
      <c r="B66" s="70" t="s">
        <v>2167</v>
      </c>
      <c r="C66" s="70" t="s">
        <v>2190</v>
      </c>
      <c r="D66" s="130" t="s">
        <v>2191</v>
      </c>
      <c r="E66" s="42" t="s">
        <v>2170</v>
      </c>
    </row>
    <row r="67" spans="1:5">
      <c r="A67" s="127" t="s">
        <v>2192</v>
      </c>
      <c r="B67" s="70" t="s">
        <v>2167</v>
      </c>
      <c r="C67" s="70" t="s">
        <v>2193</v>
      </c>
      <c r="D67" s="130" t="s">
        <v>2194</v>
      </c>
      <c r="E67" s="42" t="s">
        <v>2170</v>
      </c>
    </row>
    <row r="68" spans="1:5">
      <c r="A68" s="127" t="s">
        <v>2195</v>
      </c>
      <c r="B68" s="70" t="s">
        <v>2167</v>
      </c>
      <c r="C68" s="70" t="s">
        <v>2196</v>
      </c>
      <c r="D68" s="130" t="s">
        <v>2197</v>
      </c>
      <c r="E68" s="42" t="s">
        <v>2170</v>
      </c>
    </row>
    <row r="69" spans="1:5">
      <c r="A69" s="127" t="s">
        <v>2198</v>
      </c>
      <c r="B69" s="70" t="s">
        <v>2167</v>
      </c>
      <c r="C69" s="70" t="s">
        <v>2199</v>
      </c>
      <c r="D69" s="130" t="s">
        <v>2200</v>
      </c>
      <c r="E69" s="42" t="s">
        <v>2170</v>
      </c>
    </row>
    <row r="70" spans="1:5">
      <c r="A70" s="127" t="s">
        <v>2201</v>
      </c>
      <c r="B70" s="70" t="s">
        <v>2167</v>
      </c>
      <c r="C70" s="70" t="s">
        <v>2202</v>
      </c>
      <c r="D70" s="130" t="s">
        <v>2203</v>
      </c>
      <c r="E70" s="42" t="s">
        <v>2170</v>
      </c>
    </row>
    <row r="71" spans="1:5">
      <c r="A71" s="127" t="s">
        <v>2204</v>
      </c>
      <c r="B71" s="70" t="s">
        <v>2167</v>
      </c>
      <c r="C71" s="70" t="s">
        <v>2205</v>
      </c>
      <c r="D71" s="130" t="s">
        <v>2206</v>
      </c>
      <c r="E71" s="42" t="s">
        <v>2170</v>
      </c>
    </row>
    <row r="72" spans="1:5">
      <c r="A72" s="127" t="s">
        <v>2207</v>
      </c>
      <c r="B72" s="70" t="s">
        <v>2167</v>
      </c>
      <c r="C72" s="70" t="s">
        <v>2208</v>
      </c>
      <c r="D72" s="130" t="s">
        <v>2209</v>
      </c>
      <c r="E72" s="42" t="s">
        <v>2170</v>
      </c>
    </row>
    <row r="73" spans="1:5">
      <c r="A73" s="127" t="s">
        <v>2210</v>
      </c>
      <c r="B73" s="70" t="s">
        <v>2167</v>
      </c>
      <c r="C73" s="70" t="s">
        <v>2211</v>
      </c>
      <c r="D73" s="130" t="s">
        <v>2212</v>
      </c>
      <c r="E73" s="42" t="s">
        <v>2170</v>
      </c>
    </row>
    <row r="74" spans="1:5">
      <c r="A74" s="127" t="s">
        <v>2213</v>
      </c>
      <c r="B74" s="70" t="s">
        <v>2167</v>
      </c>
      <c r="C74" s="70" t="s">
        <v>2214</v>
      </c>
      <c r="D74" s="130" t="s">
        <v>2215</v>
      </c>
      <c r="E74" s="42" t="s">
        <v>2170</v>
      </c>
    </row>
    <row r="75" spans="1:5">
      <c r="A75" s="127" t="s">
        <v>2216</v>
      </c>
      <c r="B75" s="70" t="s">
        <v>2167</v>
      </c>
      <c r="C75" s="70" t="s">
        <v>2217</v>
      </c>
      <c r="D75" s="130" t="s">
        <v>2218</v>
      </c>
      <c r="E75" s="42" t="s">
        <v>2170</v>
      </c>
    </row>
    <row r="76" spans="1:5">
      <c r="A76" s="127" t="s">
        <v>2219</v>
      </c>
      <c r="B76" s="70" t="s">
        <v>2167</v>
      </c>
      <c r="C76" s="70" t="s">
        <v>2220</v>
      </c>
      <c r="D76" s="130" t="s">
        <v>2221</v>
      </c>
      <c r="E76" s="42" t="s">
        <v>2170</v>
      </c>
    </row>
    <row r="77" spans="1:5">
      <c r="A77" s="127" t="s">
        <v>2222</v>
      </c>
      <c r="B77" s="70" t="s">
        <v>2167</v>
      </c>
      <c r="C77" s="70" t="s">
        <v>2223</v>
      </c>
      <c r="D77" s="130" t="s">
        <v>2224</v>
      </c>
      <c r="E77" s="42" t="s">
        <v>2170</v>
      </c>
    </row>
    <row r="78" spans="1:5">
      <c r="A78" s="127" t="s">
        <v>2225</v>
      </c>
      <c r="B78" s="70" t="s">
        <v>2167</v>
      </c>
      <c r="C78" s="70" t="s">
        <v>2226</v>
      </c>
      <c r="D78" s="130" t="s">
        <v>2227</v>
      </c>
      <c r="E78" s="42" t="s">
        <v>2170</v>
      </c>
    </row>
    <row r="79" spans="1:5">
      <c r="A79" s="127" t="s">
        <v>1810</v>
      </c>
      <c r="B79" s="70" t="s">
        <v>2167</v>
      </c>
      <c r="C79" s="70" t="s">
        <v>1811</v>
      </c>
      <c r="D79" s="130" t="s">
        <v>2228</v>
      </c>
      <c r="E79" s="42" t="s">
        <v>2170</v>
      </c>
    </row>
    <row r="80" spans="1:5">
      <c r="A80" s="127" t="s">
        <v>2229</v>
      </c>
      <c r="B80" s="70" t="s">
        <v>2167</v>
      </c>
      <c r="C80" s="70" t="s">
        <v>2230</v>
      </c>
      <c r="D80" s="130" t="s">
        <v>2231</v>
      </c>
      <c r="E80" s="42" t="s">
        <v>2170</v>
      </c>
    </row>
    <row r="81" spans="1:5">
      <c r="A81" s="127" t="s">
        <v>2232</v>
      </c>
      <c r="B81" s="70" t="s">
        <v>2167</v>
      </c>
      <c r="C81" s="70" t="s">
        <v>2233</v>
      </c>
      <c r="D81" s="130" t="s">
        <v>2234</v>
      </c>
      <c r="E81" s="42" t="s">
        <v>2170</v>
      </c>
    </row>
    <row r="82" spans="1:5">
      <c r="A82" s="127" t="s">
        <v>2235</v>
      </c>
      <c r="B82" s="70" t="s">
        <v>2167</v>
      </c>
      <c r="C82" s="70" t="s">
        <v>2236</v>
      </c>
      <c r="D82" s="130" t="s">
        <v>2237</v>
      </c>
      <c r="E82" s="42" t="s">
        <v>2170</v>
      </c>
    </row>
    <row r="83" spans="1:5">
      <c r="A83" s="127" t="s">
        <v>2238</v>
      </c>
      <c r="B83" s="70" t="s">
        <v>2167</v>
      </c>
      <c r="C83" s="70" t="s">
        <v>2239</v>
      </c>
      <c r="D83" s="130" t="s">
        <v>2240</v>
      </c>
      <c r="E83" s="42" t="s">
        <v>2170</v>
      </c>
    </row>
    <row r="84" spans="1:5">
      <c r="A84" s="128" t="s">
        <v>2241</v>
      </c>
      <c r="B84" s="74" t="s">
        <v>2167</v>
      </c>
      <c r="C84" s="74" t="s">
        <v>2242</v>
      </c>
      <c r="D84" s="131" t="s">
        <v>2243</v>
      </c>
      <c r="E84" s="46" t="s">
        <v>2170</v>
      </c>
    </row>
    <row r="85" spans="1:5">
      <c r="A85" s="129" t="s">
        <v>2244</v>
      </c>
      <c r="B85" s="66" t="s">
        <v>2245</v>
      </c>
      <c r="C85" s="66" t="s">
        <v>2246</v>
      </c>
      <c r="D85" s="132" t="s">
        <v>2247</v>
      </c>
      <c r="E85" s="133" t="s">
        <v>2248</v>
      </c>
    </row>
    <row r="86" spans="1:5">
      <c r="A86" s="129" t="s">
        <v>2249</v>
      </c>
      <c r="B86" s="66" t="s">
        <v>2245</v>
      </c>
      <c r="C86" s="66" t="s">
        <v>2250</v>
      </c>
      <c r="D86" s="132" t="s">
        <v>2251</v>
      </c>
      <c r="E86" s="133" t="s">
        <v>2252</v>
      </c>
    </row>
    <row r="87" spans="1:5">
      <c r="A87" s="129" t="s">
        <v>2253</v>
      </c>
      <c r="B87" s="66" t="s">
        <v>2245</v>
      </c>
      <c r="C87" s="66" t="s">
        <v>2254</v>
      </c>
      <c r="D87" s="132" t="s">
        <v>1427</v>
      </c>
      <c r="E87" s="133" t="s">
        <v>2255</v>
      </c>
    </row>
    <row r="88" spans="1:5">
      <c r="A88" s="129" t="s">
        <v>2256</v>
      </c>
      <c r="B88" s="66" t="s">
        <v>2245</v>
      </c>
      <c r="C88" s="66" t="s">
        <v>2257</v>
      </c>
      <c r="D88" s="132" t="s">
        <v>1437</v>
      </c>
      <c r="E88" s="133" t="s">
        <v>2258</v>
      </c>
    </row>
    <row r="89" spans="1:5">
      <c r="A89" s="129" t="s">
        <v>2259</v>
      </c>
      <c r="B89" s="66" t="s">
        <v>2245</v>
      </c>
      <c r="C89" s="66" t="s">
        <v>2260</v>
      </c>
      <c r="D89" s="132" t="s">
        <v>2261</v>
      </c>
      <c r="E89" s="133" t="s">
        <v>2262</v>
      </c>
    </row>
    <row r="90" spans="1:5">
      <c r="A90" s="129" t="s">
        <v>2263</v>
      </c>
      <c r="B90" s="66" t="s">
        <v>2245</v>
      </c>
      <c r="C90" s="66" t="s">
        <v>2264</v>
      </c>
      <c r="D90" s="132" t="s">
        <v>1421</v>
      </c>
      <c r="E90" s="133" t="s">
        <v>2265</v>
      </c>
    </row>
    <row r="91" spans="1:5">
      <c r="A91" s="129" t="s">
        <v>2266</v>
      </c>
      <c r="B91" s="66" t="s">
        <v>2245</v>
      </c>
      <c r="C91" s="66" t="s">
        <v>2267</v>
      </c>
      <c r="D91" s="132" t="s">
        <v>2268</v>
      </c>
      <c r="E91" s="133" t="s">
        <v>2269</v>
      </c>
    </row>
    <row r="92" spans="1:5">
      <c r="A92" s="129" t="s">
        <v>2270</v>
      </c>
      <c r="B92" s="66" t="s">
        <v>2245</v>
      </c>
      <c r="C92" s="66" t="s">
        <v>2271</v>
      </c>
      <c r="D92" s="132" t="s">
        <v>2272</v>
      </c>
      <c r="E92" s="133" t="s">
        <v>2273</v>
      </c>
    </row>
    <row r="93" spans="1:5">
      <c r="A93" s="129" t="s">
        <v>2274</v>
      </c>
      <c r="B93" s="66" t="s">
        <v>2245</v>
      </c>
      <c r="C93" s="66" t="s">
        <v>2275</v>
      </c>
      <c r="D93" s="132" t="s">
        <v>2276</v>
      </c>
      <c r="E93" s="133" t="s">
        <v>2277</v>
      </c>
    </row>
    <row r="94" spans="1:5">
      <c r="A94" s="129" t="s">
        <v>2278</v>
      </c>
      <c r="B94" s="66" t="s">
        <v>2245</v>
      </c>
      <c r="C94" s="66" t="s">
        <v>2279</v>
      </c>
      <c r="D94" s="132" t="s">
        <v>2280</v>
      </c>
      <c r="E94" s="133" t="s">
        <v>2281</v>
      </c>
    </row>
    <row r="95" spans="1:5">
      <c r="A95" s="129" t="s">
        <v>2282</v>
      </c>
      <c r="B95" s="66" t="s">
        <v>2245</v>
      </c>
      <c r="C95" s="66" t="s">
        <v>2283</v>
      </c>
      <c r="D95" s="132" t="s">
        <v>1447</v>
      </c>
      <c r="E95" s="133" t="s">
        <v>2284</v>
      </c>
    </row>
    <row r="96" spans="1:5">
      <c r="A96" s="129" t="s">
        <v>2285</v>
      </c>
      <c r="B96" s="66" t="s">
        <v>2245</v>
      </c>
      <c r="C96" s="66" t="s">
        <v>2286</v>
      </c>
      <c r="D96" s="132" t="s">
        <v>1445</v>
      </c>
      <c r="E96" s="133" t="s">
        <v>2287</v>
      </c>
    </row>
    <row r="97" spans="1:5">
      <c r="A97" s="129" t="s">
        <v>2288</v>
      </c>
      <c r="B97" s="66" t="s">
        <v>2289</v>
      </c>
      <c r="C97" s="66" t="s">
        <v>2290</v>
      </c>
      <c r="D97" s="132" t="s">
        <v>2291</v>
      </c>
      <c r="E97" s="133" t="s">
        <v>2292</v>
      </c>
    </row>
    <row r="98" spans="1:5">
      <c r="A98" s="129" t="s">
        <v>2293</v>
      </c>
      <c r="B98" s="66" t="s">
        <v>2289</v>
      </c>
      <c r="C98" s="66" t="s">
        <v>2294</v>
      </c>
      <c r="D98" s="132" t="s">
        <v>2295</v>
      </c>
      <c r="E98" s="133" t="s">
        <v>2296</v>
      </c>
    </row>
    <row r="99" spans="1:5">
      <c r="A99" s="129" t="s">
        <v>2297</v>
      </c>
      <c r="B99" s="66" t="s">
        <v>2289</v>
      </c>
      <c r="C99" s="66" t="s">
        <v>2298</v>
      </c>
      <c r="D99" s="132" t="s">
        <v>2299</v>
      </c>
      <c r="E99" s="133" t="s">
        <v>2300</v>
      </c>
    </row>
    <row r="100" spans="1:5">
      <c r="A100" s="129" t="s">
        <v>2301</v>
      </c>
      <c r="B100" s="66" t="s">
        <v>2289</v>
      </c>
      <c r="C100" s="66" t="s">
        <v>2302</v>
      </c>
      <c r="D100" s="132" t="s">
        <v>2303</v>
      </c>
      <c r="E100" s="133" t="s">
        <v>2304</v>
      </c>
    </row>
    <row r="101" spans="1:5">
      <c r="A101" s="129" t="s">
        <v>2305</v>
      </c>
      <c r="B101" s="66" t="s">
        <v>2289</v>
      </c>
      <c r="C101" s="66" t="s">
        <v>2306</v>
      </c>
      <c r="D101" s="132" t="s">
        <v>1482</v>
      </c>
      <c r="E101" s="133" t="s">
        <v>2307</v>
      </c>
    </row>
    <row r="102" spans="1:5">
      <c r="A102" s="129" t="s">
        <v>2308</v>
      </c>
      <c r="B102" s="66" t="s">
        <v>2289</v>
      </c>
      <c r="C102" s="66" t="s">
        <v>2309</v>
      </c>
      <c r="D102" s="132" t="s">
        <v>2310</v>
      </c>
      <c r="E102" s="133" t="s">
        <v>2311</v>
      </c>
    </row>
    <row r="103" spans="1:5">
      <c r="A103" s="129" t="s">
        <v>2312</v>
      </c>
      <c r="B103" s="66" t="s">
        <v>2289</v>
      </c>
      <c r="C103" s="66" t="s">
        <v>2313</v>
      </c>
      <c r="D103" s="132" t="s">
        <v>2314</v>
      </c>
      <c r="E103" s="133" t="s">
        <v>2315</v>
      </c>
    </row>
    <row r="104" spans="1:5">
      <c r="A104" s="129" t="s">
        <v>2316</v>
      </c>
      <c r="B104" s="66" t="s">
        <v>2289</v>
      </c>
      <c r="C104" s="66" t="s">
        <v>2317</v>
      </c>
      <c r="D104" s="132" t="s">
        <v>2318</v>
      </c>
      <c r="E104" s="133" t="s">
        <v>2319</v>
      </c>
    </row>
    <row r="105" spans="1:5">
      <c r="A105" s="129" t="s">
        <v>2320</v>
      </c>
      <c r="B105" s="66" t="s">
        <v>2289</v>
      </c>
      <c r="C105" s="66" t="s">
        <v>2321</v>
      </c>
      <c r="D105" s="132" t="s">
        <v>2322</v>
      </c>
      <c r="E105" s="133" t="s">
        <v>2323</v>
      </c>
    </row>
    <row r="106" spans="1:5">
      <c r="A106" s="129" t="s">
        <v>2324</v>
      </c>
      <c r="B106" s="66" t="s">
        <v>2289</v>
      </c>
      <c r="C106" s="66" t="s">
        <v>2325</v>
      </c>
      <c r="D106" s="132" t="s">
        <v>2326</v>
      </c>
      <c r="E106" s="133" t="s">
        <v>2327</v>
      </c>
    </row>
    <row r="107" spans="1:5">
      <c r="A107" s="129" t="s">
        <v>2328</v>
      </c>
      <c r="B107" s="66" t="s">
        <v>2289</v>
      </c>
      <c r="C107" s="66" t="s">
        <v>2329</v>
      </c>
      <c r="D107" s="132" t="s">
        <v>2330</v>
      </c>
      <c r="E107" s="133" t="s">
        <v>2331</v>
      </c>
    </row>
    <row r="108" spans="1:5">
      <c r="A108" s="129" t="s">
        <v>2332</v>
      </c>
      <c r="B108" s="66" t="s">
        <v>2289</v>
      </c>
      <c r="C108" s="66" t="s">
        <v>2333</v>
      </c>
      <c r="D108" s="132" t="s">
        <v>2334</v>
      </c>
      <c r="E108" s="133" t="s">
        <v>2335</v>
      </c>
    </row>
    <row r="109" spans="1:5">
      <c r="A109" s="129" t="s">
        <v>2336</v>
      </c>
      <c r="B109" s="66" t="s">
        <v>2289</v>
      </c>
      <c r="C109" s="66" t="s">
        <v>2337</v>
      </c>
      <c r="D109" s="132" t="s">
        <v>2338</v>
      </c>
      <c r="E109" s="133" t="s">
        <v>2339</v>
      </c>
    </row>
    <row r="110" spans="1:5">
      <c r="A110" s="129" t="s">
        <v>2340</v>
      </c>
      <c r="B110" s="66" t="s">
        <v>2289</v>
      </c>
      <c r="C110" s="66" t="s">
        <v>2341</v>
      </c>
      <c r="D110" s="132" t="s">
        <v>1487</v>
      </c>
      <c r="E110" s="133" t="s">
        <v>2342</v>
      </c>
    </row>
    <row r="111" spans="1:5">
      <c r="A111" s="129" t="s">
        <v>2343</v>
      </c>
      <c r="B111" s="66" t="s">
        <v>2289</v>
      </c>
      <c r="C111" s="66" t="s">
        <v>2344</v>
      </c>
      <c r="D111" s="132" t="s">
        <v>1472</v>
      </c>
      <c r="E111" s="133" t="s">
        <v>2345</v>
      </c>
    </row>
    <row r="112" spans="1:5">
      <c r="A112" s="129" t="s">
        <v>2346</v>
      </c>
      <c r="B112" s="66" t="s">
        <v>2289</v>
      </c>
      <c r="C112" s="66" t="s">
        <v>2347</v>
      </c>
      <c r="D112" s="132" t="s">
        <v>1460</v>
      </c>
      <c r="E112" s="133" t="s">
        <v>2348</v>
      </c>
    </row>
    <row r="113" spans="1:5">
      <c r="A113" s="129" t="s">
        <v>2349</v>
      </c>
      <c r="B113" s="66" t="s">
        <v>2289</v>
      </c>
      <c r="C113" s="66" t="s">
        <v>2350</v>
      </c>
      <c r="D113" s="132" t="s">
        <v>2351</v>
      </c>
      <c r="E113" s="133" t="s">
        <v>2352</v>
      </c>
    </row>
    <row r="114" spans="1:5">
      <c r="A114" s="129" t="s">
        <v>2353</v>
      </c>
      <c r="B114" s="66" t="s">
        <v>2289</v>
      </c>
      <c r="C114" s="66" t="s">
        <v>2354</v>
      </c>
      <c r="D114" s="132" t="s">
        <v>1478</v>
      </c>
      <c r="E114" s="133" t="s">
        <v>2355</v>
      </c>
    </row>
    <row r="115" spans="1:5">
      <c r="A115" s="129" t="s">
        <v>2356</v>
      </c>
      <c r="B115" s="66" t="s">
        <v>2289</v>
      </c>
      <c r="C115" s="66" t="s">
        <v>2357</v>
      </c>
      <c r="D115" s="132" t="s">
        <v>1473</v>
      </c>
      <c r="E115" s="133" t="s">
        <v>2358</v>
      </c>
    </row>
    <row r="116" spans="1:5">
      <c r="A116" s="129" t="s">
        <v>2359</v>
      </c>
      <c r="B116" s="66" t="s">
        <v>2289</v>
      </c>
      <c r="C116" s="66" t="s">
        <v>2360</v>
      </c>
      <c r="D116" s="132" t="s">
        <v>1454</v>
      </c>
      <c r="E116" s="133" t="s">
        <v>2361</v>
      </c>
    </row>
    <row r="117" spans="1:5">
      <c r="A117" s="129" t="s">
        <v>2362</v>
      </c>
      <c r="B117" s="66" t="s">
        <v>2363</v>
      </c>
      <c r="C117" s="66" t="s">
        <v>2364</v>
      </c>
      <c r="D117" s="132" t="s">
        <v>1501</v>
      </c>
      <c r="E117" s="133" t="s">
        <v>2365</v>
      </c>
    </row>
    <row r="118" spans="1:5">
      <c r="A118" s="129" t="s">
        <v>2366</v>
      </c>
      <c r="B118" s="66" t="s">
        <v>2363</v>
      </c>
      <c r="C118" s="66" t="s">
        <v>2367</v>
      </c>
      <c r="D118" s="132" t="s">
        <v>1506</v>
      </c>
      <c r="E118" s="133" t="s">
        <v>2368</v>
      </c>
    </row>
    <row r="119" spans="1:5">
      <c r="A119" s="129" t="s">
        <v>2369</v>
      </c>
      <c r="B119" s="66" t="s">
        <v>2363</v>
      </c>
      <c r="C119" s="66" t="s">
        <v>2370</v>
      </c>
      <c r="D119" s="132" t="s">
        <v>2371</v>
      </c>
      <c r="E119" s="133" t="s">
        <v>2372</v>
      </c>
    </row>
    <row r="120" spans="1:5">
      <c r="A120" s="129" t="s">
        <v>2373</v>
      </c>
      <c r="B120" s="66" t="s">
        <v>2363</v>
      </c>
      <c r="C120" s="66" t="s">
        <v>2374</v>
      </c>
      <c r="D120" s="132" t="s">
        <v>1511</v>
      </c>
      <c r="E120" s="133" t="s">
        <v>2375</v>
      </c>
    </row>
    <row r="121" spans="1:5">
      <c r="A121" s="129" t="s">
        <v>2376</v>
      </c>
      <c r="B121" s="66" t="s">
        <v>2363</v>
      </c>
      <c r="C121" s="66" t="s">
        <v>2377</v>
      </c>
      <c r="D121" s="132" t="s">
        <v>2378</v>
      </c>
      <c r="E121" s="133" t="s">
        <v>2379</v>
      </c>
    </row>
    <row r="122" spans="1:5">
      <c r="A122" s="129" t="s">
        <v>2380</v>
      </c>
      <c r="B122" s="66" t="s">
        <v>2363</v>
      </c>
      <c r="C122" s="66" t="s">
        <v>2381</v>
      </c>
      <c r="D122" s="132" t="s">
        <v>2382</v>
      </c>
      <c r="E122" s="133" t="s">
        <v>2383</v>
      </c>
    </row>
    <row r="123" spans="1:5">
      <c r="A123" s="129" t="s">
        <v>2384</v>
      </c>
      <c r="B123" s="66" t="s">
        <v>2363</v>
      </c>
      <c r="C123" s="66" t="s">
        <v>2385</v>
      </c>
      <c r="D123" s="132" t="s">
        <v>1519</v>
      </c>
      <c r="E123" s="133" t="s">
        <v>2386</v>
      </c>
    </row>
    <row r="124" spans="1:5">
      <c r="A124" s="129" t="s">
        <v>2387</v>
      </c>
      <c r="B124" s="66" t="s">
        <v>2363</v>
      </c>
      <c r="C124" s="66" t="s">
        <v>2388</v>
      </c>
      <c r="D124" s="132" t="s">
        <v>2389</v>
      </c>
      <c r="E124" s="133" t="s">
        <v>2386</v>
      </c>
    </row>
    <row r="125" spans="1:5">
      <c r="A125" s="129" t="s">
        <v>2390</v>
      </c>
      <c r="B125" s="66" t="s">
        <v>2363</v>
      </c>
      <c r="C125" s="66" t="s">
        <v>2391</v>
      </c>
      <c r="D125" s="132" t="s">
        <v>2392</v>
      </c>
      <c r="E125" s="133" t="s">
        <v>2393</v>
      </c>
    </row>
    <row r="126" spans="1:5">
      <c r="A126" s="129" t="s">
        <v>2394</v>
      </c>
      <c r="B126" s="66" t="s">
        <v>2363</v>
      </c>
      <c r="C126" s="66" t="s">
        <v>2395</v>
      </c>
      <c r="D126" s="132" t="s">
        <v>2396</v>
      </c>
      <c r="E126" s="133" t="s">
        <v>2397</v>
      </c>
    </row>
    <row r="127" spans="1:5">
      <c r="A127" s="129" t="s">
        <v>2398</v>
      </c>
      <c r="B127" s="66" t="s">
        <v>2363</v>
      </c>
      <c r="C127" s="66" t="s">
        <v>2399</v>
      </c>
      <c r="D127" s="132" t="s">
        <v>1526</v>
      </c>
      <c r="E127" s="133" t="s">
        <v>2400</v>
      </c>
    </row>
    <row r="128" spans="1:5">
      <c r="A128" s="129" t="s">
        <v>2401</v>
      </c>
      <c r="B128" s="66" t="s">
        <v>2363</v>
      </c>
      <c r="C128" s="66" t="s">
        <v>2402</v>
      </c>
      <c r="D128" s="132" t="s">
        <v>2403</v>
      </c>
      <c r="E128" s="133" t="s">
        <v>2404</v>
      </c>
    </row>
    <row r="129" spans="1:5">
      <c r="A129" s="129" t="s">
        <v>2405</v>
      </c>
      <c r="B129" s="66" t="s">
        <v>2363</v>
      </c>
      <c r="C129" s="66" t="s">
        <v>2406</v>
      </c>
      <c r="D129" s="132" t="s">
        <v>1524</v>
      </c>
      <c r="E129" s="133" t="s">
        <v>2407</v>
      </c>
    </row>
    <row r="130" spans="1:5">
      <c r="A130" s="129" t="s">
        <v>2408</v>
      </c>
      <c r="B130" s="66" t="s">
        <v>2363</v>
      </c>
      <c r="C130" s="66" t="s">
        <v>2409</v>
      </c>
      <c r="D130" s="132" t="s">
        <v>2410</v>
      </c>
      <c r="E130" s="133" t="s">
        <v>2411</v>
      </c>
    </row>
    <row r="131" spans="1:5">
      <c r="A131" s="129" t="s">
        <v>2412</v>
      </c>
      <c r="B131" s="66" t="s">
        <v>2413</v>
      </c>
      <c r="C131" s="66" t="s">
        <v>2414</v>
      </c>
      <c r="D131" s="132" t="s">
        <v>2415</v>
      </c>
      <c r="E131" s="133" t="s">
        <v>2416</v>
      </c>
    </row>
    <row r="132" spans="1:5">
      <c r="A132" s="129" t="s">
        <v>2417</v>
      </c>
      <c r="B132" s="66" t="s">
        <v>2413</v>
      </c>
      <c r="C132" s="66" t="s">
        <v>2418</v>
      </c>
      <c r="D132" s="132" t="s">
        <v>2419</v>
      </c>
      <c r="E132" s="133" t="s">
        <v>2420</v>
      </c>
    </row>
    <row r="133" spans="1:5">
      <c r="A133" s="129" t="s">
        <v>2421</v>
      </c>
      <c r="B133" s="66" t="s">
        <v>2413</v>
      </c>
      <c r="C133" s="66" t="s">
        <v>2422</v>
      </c>
      <c r="D133" s="132" t="s">
        <v>2423</v>
      </c>
      <c r="E133" s="133" t="s">
        <v>2424</v>
      </c>
    </row>
    <row r="134" spans="1:5">
      <c r="A134" s="129" t="s">
        <v>2425</v>
      </c>
      <c r="B134" s="66" t="s">
        <v>2413</v>
      </c>
      <c r="C134" s="66" t="s">
        <v>2426</v>
      </c>
      <c r="D134" s="132" t="s">
        <v>1552</v>
      </c>
      <c r="E134" s="133" t="s">
        <v>2427</v>
      </c>
    </row>
    <row r="135" spans="1:5">
      <c r="A135" s="129" t="s">
        <v>2428</v>
      </c>
      <c r="B135" s="66" t="s">
        <v>2413</v>
      </c>
      <c r="C135" s="66" t="s">
        <v>2429</v>
      </c>
      <c r="D135" s="132" t="s">
        <v>1568</v>
      </c>
      <c r="E135" s="133" t="s">
        <v>2430</v>
      </c>
    </row>
    <row r="136" spans="1:5">
      <c r="A136" s="129" t="s">
        <v>2431</v>
      </c>
      <c r="B136" s="66" t="s">
        <v>2413</v>
      </c>
      <c r="C136" s="66" t="s">
        <v>2432</v>
      </c>
      <c r="D136" s="132" t="s">
        <v>2433</v>
      </c>
      <c r="E136" s="133" t="s">
        <v>2434</v>
      </c>
    </row>
    <row r="137" spans="1:5">
      <c r="A137" s="129" t="s">
        <v>2435</v>
      </c>
      <c r="B137" s="66" t="s">
        <v>2413</v>
      </c>
      <c r="C137" s="66" t="s">
        <v>2436</v>
      </c>
      <c r="D137" s="132" t="s">
        <v>2437</v>
      </c>
      <c r="E137" s="133" t="s">
        <v>2438</v>
      </c>
    </row>
    <row r="138" spans="1:5">
      <c r="A138" s="129" t="s">
        <v>2439</v>
      </c>
      <c r="B138" s="66" t="s">
        <v>2413</v>
      </c>
      <c r="C138" s="66" t="s">
        <v>2440</v>
      </c>
      <c r="D138" s="132" t="s">
        <v>2441</v>
      </c>
      <c r="E138" s="133" t="s">
        <v>2442</v>
      </c>
    </row>
    <row r="139" spans="1:5">
      <c r="A139" s="129" t="s">
        <v>2443</v>
      </c>
      <c r="B139" s="66" t="s">
        <v>2413</v>
      </c>
      <c r="C139" s="66" t="s">
        <v>2444</v>
      </c>
      <c r="D139" s="132" t="s">
        <v>2445</v>
      </c>
      <c r="E139" s="133" t="s">
        <v>2446</v>
      </c>
    </row>
    <row r="140" spans="1:5">
      <c r="A140" s="129" t="s">
        <v>2447</v>
      </c>
      <c r="B140" s="66" t="s">
        <v>2413</v>
      </c>
      <c r="C140" s="66" t="s">
        <v>2448</v>
      </c>
      <c r="D140" s="132" t="s">
        <v>1556</v>
      </c>
      <c r="E140" s="133" t="s">
        <v>2449</v>
      </c>
    </row>
    <row r="141" spans="1:5">
      <c r="A141" s="129" t="s">
        <v>2450</v>
      </c>
      <c r="B141" s="66" t="s">
        <v>2413</v>
      </c>
      <c r="C141" s="66" t="s">
        <v>2451</v>
      </c>
      <c r="D141" s="132" t="s">
        <v>2452</v>
      </c>
      <c r="E141" s="133" t="s">
        <v>2453</v>
      </c>
    </row>
    <row r="142" spans="1:5">
      <c r="A142" s="129" t="s">
        <v>2454</v>
      </c>
      <c r="B142" s="66" t="s">
        <v>2413</v>
      </c>
      <c r="C142" s="66" t="s">
        <v>2455</v>
      </c>
      <c r="D142" s="132" t="s">
        <v>2456</v>
      </c>
      <c r="E142" s="133" t="s">
        <v>2457</v>
      </c>
    </row>
    <row r="143" spans="1:5">
      <c r="A143" s="129" t="s">
        <v>2458</v>
      </c>
      <c r="B143" s="66" t="s">
        <v>2413</v>
      </c>
      <c r="C143" s="66" t="s">
        <v>2459</v>
      </c>
      <c r="D143" s="132" t="s">
        <v>1550</v>
      </c>
      <c r="E143" s="133" t="s">
        <v>2460</v>
      </c>
    </row>
    <row r="144" spans="1:5">
      <c r="A144" s="129" t="s">
        <v>2461</v>
      </c>
      <c r="B144" s="66" t="s">
        <v>2462</v>
      </c>
      <c r="C144" s="66" t="s">
        <v>2463</v>
      </c>
      <c r="D144" s="132" t="s">
        <v>2464</v>
      </c>
      <c r="E144" s="133" t="s">
        <v>2465</v>
      </c>
    </row>
    <row r="145" spans="1:5">
      <c r="A145" s="129" t="s">
        <v>2466</v>
      </c>
      <c r="B145" s="66" t="s">
        <v>2462</v>
      </c>
      <c r="C145" s="66" t="s">
        <v>2467</v>
      </c>
      <c r="D145" s="132" t="s">
        <v>2468</v>
      </c>
      <c r="E145" s="133" t="s">
        <v>2469</v>
      </c>
    </row>
    <row r="146" spans="1:5">
      <c r="A146" s="129" t="s">
        <v>2470</v>
      </c>
      <c r="B146" s="66" t="s">
        <v>2462</v>
      </c>
      <c r="C146" s="66" t="s">
        <v>2471</v>
      </c>
      <c r="D146" s="132" t="s">
        <v>2472</v>
      </c>
      <c r="E146" s="133" t="s">
        <v>2473</v>
      </c>
    </row>
    <row r="147" spans="1:5">
      <c r="A147" s="129" t="s">
        <v>2474</v>
      </c>
      <c r="B147" s="66" t="s">
        <v>2462</v>
      </c>
      <c r="C147" s="66" t="s">
        <v>2475</v>
      </c>
      <c r="D147" s="132" t="s">
        <v>1770</v>
      </c>
      <c r="E147" s="133" t="s">
        <v>2476</v>
      </c>
    </row>
    <row r="148" spans="1:5">
      <c r="A148" s="129" t="s">
        <v>2477</v>
      </c>
      <c r="B148" s="66" t="s">
        <v>2462</v>
      </c>
      <c r="C148" s="66" t="s">
        <v>2478</v>
      </c>
      <c r="D148" s="132" t="s">
        <v>1585</v>
      </c>
      <c r="E148" s="133" t="s">
        <v>2479</v>
      </c>
    </row>
    <row r="149" spans="1:5">
      <c r="A149" s="129" t="s">
        <v>2480</v>
      </c>
      <c r="B149" s="66" t="s">
        <v>2462</v>
      </c>
      <c r="C149" s="66" t="s">
        <v>2481</v>
      </c>
      <c r="D149" s="132" t="s">
        <v>1587</v>
      </c>
      <c r="E149" s="133" t="s">
        <v>2482</v>
      </c>
    </row>
    <row r="150" spans="1:5">
      <c r="A150" s="129" t="s">
        <v>2483</v>
      </c>
      <c r="B150" s="66" t="s">
        <v>2462</v>
      </c>
      <c r="C150" s="66" t="s">
        <v>2484</v>
      </c>
      <c r="D150" s="132" t="s">
        <v>2485</v>
      </c>
      <c r="E150" s="133" t="s">
        <v>2486</v>
      </c>
    </row>
    <row r="151" spans="1:5">
      <c r="A151" s="129" t="s">
        <v>2487</v>
      </c>
      <c r="B151" s="66" t="s">
        <v>2462</v>
      </c>
      <c r="C151" s="66" t="s">
        <v>2488</v>
      </c>
      <c r="D151" s="132" t="s">
        <v>2489</v>
      </c>
      <c r="E151" s="133" t="s">
        <v>2490</v>
      </c>
    </row>
    <row r="152" spans="1:5">
      <c r="A152" s="129" t="s">
        <v>2491</v>
      </c>
      <c r="B152" s="66" t="s">
        <v>2462</v>
      </c>
      <c r="C152" s="66" t="s">
        <v>2492</v>
      </c>
      <c r="D152" s="132" t="s">
        <v>2493</v>
      </c>
      <c r="E152" s="133" t="s">
        <v>2494</v>
      </c>
    </row>
    <row r="153" spans="1:5">
      <c r="A153" s="129" t="s">
        <v>2495</v>
      </c>
      <c r="B153" s="66" t="s">
        <v>2462</v>
      </c>
      <c r="C153" s="66" t="s">
        <v>2496</v>
      </c>
      <c r="D153" s="132" t="s">
        <v>2497</v>
      </c>
      <c r="E153" s="133" t="s">
        <v>2498</v>
      </c>
    </row>
    <row r="154" spans="1:5">
      <c r="A154" s="129" t="s">
        <v>2499</v>
      </c>
      <c r="B154" s="66" t="s">
        <v>2462</v>
      </c>
      <c r="C154" s="66" t="s">
        <v>2500</v>
      </c>
      <c r="D154" s="132" t="s">
        <v>2501</v>
      </c>
      <c r="E154" s="133" t="s">
        <v>2502</v>
      </c>
    </row>
    <row r="155" spans="1:5">
      <c r="A155" s="129" t="s">
        <v>2503</v>
      </c>
      <c r="B155" s="66" t="s">
        <v>2462</v>
      </c>
      <c r="C155" s="66" t="s">
        <v>2504</v>
      </c>
      <c r="D155" s="132" t="s">
        <v>2505</v>
      </c>
      <c r="E155" s="133" t="s">
        <v>2506</v>
      </c>
    </row>
    <row r="156" spans="1:5">
      <c r="A156" s="129" t="s">
        <v>2507</v>
      </c>
      <c r="B156" s="66" t="s">
        <v>2462</v>
      </c>
      <c r="C156" s="66" t="s">
        <v>2508</v>
      </c>
      <c r="D156" s="132" t="s">
        <v>2509</v>
      </c>
      <c r="E156" s="133" t="s">
        <v>2510</v>
      </c>
    </row>
    <row r="157" spans="1:5">
      <c r="A157" s="129" t="s">
        <v>2511</v>
      </c>
      <c r="B157" s="66" t="s">
        <v>2462</v>
      </c>
      <c r="C157" s="66" t="s">
        <v>2512</v>
      </c>
      <c r="D157" s="132" t="s">
        <v>2513</v>
      </c>
      <c r="E157" s="133" t="s">
        <v>2514</v>
      </c>
    </row>
    <row r="158" spans="1:5">
      <c r="A158" s="129" t="s">
        <v>2515</v>
      </c>
      <c r="B158" s="66" t="s">
        <v>2462</v>
      </c>
      <c r="C158" s="66" t="s">
        <v>2516</v>
      </c>
      <c r="D158" s="132" t="s">
        <v>2517</v>
      </c>
      <c r="E158" s="133" t="s">
        <v>2518</v>
      </c>
    </row>
    <row r="159" spans="1:5">
      <c r="A159" s="129" t="s">
        <v>2519</v>
      </c>
      <c r="B159" s="66" t="s">
        <v>2462</v>
      </c>
      <c r="C159" s="66" t="s">
        <v>2520</v>
      </c>
      <c r="D159" s="132" t="s">
        <v>2521</v>
      </c>
      <c r="E159" s="133" t="s">
        <v>2522</v>
      </c>
    </row>
    <row r="160" spans="1:5">
      <c r="A160" s="129" t="s">
        <v>2523</v>
      </c>
      <c r="B160" s="66" t="s">
        <v>2462</v>
      </c>
      <c r="C160" s="66" t="s">
        <v>2524</v>
      </c>
      <c r="D160" s="132" t="s">
        <v>1603</v>
      </c>
      <c r="E160" s="133" t="s">
        <v>2525</v>
      </c>
    </row>
    <row r="161" spans="1:5">
      <c r="A161" s="129" t="s">
        <v>2526</v>
      </c>
      <c r="B161" s="66" t="s">
        <v>2462</v>
      </c>
      <c r="C161" s="66" t="s">
        <v>2527</v>
      </c>
      <c r="D161" s="132" t="s">
        <v>2528</v>
      </c>
      <c r="E161" s="133" t="s">
        <v>2529</v>
      </c>
    </row>
    <row r="162" spans="1:5">
      <c r="A162" s="129" t="s">
        <v>2530</v>
      </c>
      <c r="B162" s="66" t="s">
        <v>2531</v>
      </c>
      <c r="C162" s="66" t="s">
        <v>2532</v>
      </c>
      <c r="D162" s="132" t="s">
        <v>2533</v>
      </c>
      <c r="E162" s="133" t="s">
        <v>2534</v>
      </c>
    </row>
    <row r="163" spans="1:5">
      <c r="A163" s="129" t="s">
        <v>2535</v>
      </c>
      <c r="B163" s="66" t="s">
        <v>2531</v>
      </c>
      <c r="C163" s="66" t="s">
        <v>2536</v>
      </c>
      <c r="D163" s="132" t="s">
        <v>1634</v>
      </c>
      <c r="E163" s="133" t="s">
        <v>2537</v>
      </c>
    </row>
    <row r="164" spans="1:5">
      <c r="A164" s="129" t="s">
        <v>2538</v>
      </c>
      <c r="B164" s="66" t="s">
        <v>2531</v>
      </c>
      <c r="C164" s="66" t="s">
        <v>2539</v>
      </c>
      <c r="D164" s="132" t="s">
        <v>2540</v>
      </c>
      <c r="E164" s="133" t="s">
        <v>2541</v>
      </c>
    </row>
    <row r="165" spans="1:5">
      <c r="A165" s="129" t="s">
        <v>2542</v>
      </c>
      <c r="B165" s="66" t="s">
        <v>2531</v>
      </c>
      <c r="C165" s="66" t="s">
        <v>2543</v>
      </c>
      <c r="D165" s="132" t="s">
        <v>2544</v>
      </c>
      <c r="E165" s="133" t="s">
        <v>2545</v>
      </c>
    </row>
    <row r="166" spans="1:5">
      <c r="A166" s="129" t="s">
        <v>2546</v>
      </c>
      <c r="B166" s="66" t="s">
        <v>2531</v>
      </c>
      <c r="C166" s="66" t="s">
        <v>2547</v>
      </c>
      <c r="D166" s="132" t="s">
        <v>2548</v>
      </c>
      <c r="E166" s="133" t="s">
        <v>2549</v>
      </c>
    </row>
    <row r="167" spans="1:5">
      <c r="A167" s="129" t="s">
        <v>2550</v>
      </c>
      <c r="B167" s="66" t="s">
        <v>2531</v>
      </c>
      <c r="C167" s="66" t="s">
        <v>2551</v>
      </c>
      <c r="D167" s="132" t="s">
        <v>2552</v>
      </c>
      <c r="E167" s="133" t="s">
        <v>2553</v>
      </c>
    </row>
    <row r="168" spans="1:5">
      <c r="A168" s="129" t="s">
        <v>2554</v>
      </c>
      <c r="B168" s="66" t="s">
        <v>2531</v>
      </c>
      <c r="C168" s="66" t="s">
        <v>2555</v>
      </c>
      <c r="D168" s="132" t="s">
        <v>2556</v>
      </c>
      <c r="E168" s="133" t="s">
        <v>2557</v>
      </c>
    </row>
    <row r="169" spans="1:5">
      <c r="A169" s="129" t="s">
        <v>2558</v>
      </c>
      <c r="B169" s="66" t="s">
        <v>2531</v>
      </c>
      <c r="C169" s="66" t="s">
        <v>2559</v>
      </c>
      <c r="D169" s="132" t="s">
        <v>2560</v>
      </c>
      <c r="E169" s="133" t="s">
        <v>2561</v>
      </c>
    </row>
    <row r="170" spans="1:5">
      <c r="A170" s="129" t="s">
        <v>2562</v>
      </c>
      <c r="B170" s="66" t="s">
        <v>2531</v>
      </c>
      <c r="C170" s="66" t="s">
        <v>2563</v>
      </c>
      <c r="D170" s="132" t="s">
        <v>2564</v>
      </c>
      <c r="E170" s="133" t="s">
        <v>2565</v>
      </c>
    </row>
    <row r="171" spans="1:5">
      <c r="A171" s="129" t="s">
        <v>2566</v>
      </c>
      <c r="B171" s="66" t="s">
        <v>2531</v>
      </c>
      <c r="C171" s="66" t="s">
        <v>2567</v>
      </c>
      <c r="D171" s="132" t="s">
        <v>2568</v>
      </c>
      <c r="E171" s="133" t="s">
        <v>2569</v>
      </c>
    </row>
    <row r="172" spans="1:5">
      <c r="A172" s="129" t="s">
        <v>2570</v>
      </c>
      <c r="B172" s="66" t="s">
        <v>2531</v>
      </c>
      <c r="C172" s="66" t="s">
        <v>2571</v>
      </c>
      <c r="D172" s="132" t="s">
        <v>2572</v>
      </c>
      <c r="E172" s="133" t="s">
        <v>2573</v>
      </c>
    </row>
    <row r="173" spans="1:5">
      <c r="A173" s="129" t="s">
        <v>2574</v>
      </c>
      <c r="B173" s="66" t="s">
        <v>2531</v>
      </c>
      <c r="C173" s="66" t="s">
        <v>2575</v>
      </c>
      <c r="D173" s="132" t="s">
        <v>1641</v>
      </c>
      <c r="E173" s="133" t="s">
        <v>2576</v>
      </c>
    </row>
    <row r="174" spans="1:5">
      <c r="A174" s="129" t="s">
        <v>2577</v>
      </c>
      <c r="B174" s="66" t="s">
        <v>2531</v>
      </c>
      <c r="C174" s="66" t="s">
        <v>2578</v>
      </c>
      <c r="D174" s="132" t="s">
        <v>2579</v>
      </c>
      <c r="E174" s="133" t="s">
        <v>2580</v>
      </c>
    </row>
    <row r="175" spans="1:5">
      <c r="A175" s="129" t="s">
        <v>2581</v>
      </c>
      <c r="B175" s="66" t="s">
        <v>2167</v>
      </c>
      <c r="C175" s="66" t="s">
        <v>2582</v>
      </c>
      <c r="D175" s="132" t="s">
        <v>2583</v>
      </c>
      <c r="E175" s="133" t="s">
        <v>2584</v>
      </c>
    </row>
    <row r="176" spans="1:5">
      <c r="A176" s="129" t="s">
        <v>2585</v>
      </c>
      <c r="B176" s="66" t="s">
        <v>2167</v>
      </c>
      <c r="C176" s="66" t="s">
        <v>2586</v>
      </c>
      <c r="D176" s="132" t="s">
        <v>2587</v>
      </c>
      <c r="E176" s="133" t="s">
        <v>2588</v>
      </c>
    </row>
    <row r="177" spans="1:5">
      <c r="A177" s="129" t="s">
        <v>2589</v>
      </c>
      <c r="B177" s="66" t="s">
        <v>2167</v>
      </c>
      <c r="C177" s="66" t="s">
        <v>2590</v>
      </c>
      <c r="D177" s="132" t="s">
        <v>2591</v>
      </c>
      <c r="E177" s="133" t="s">
        <v>2592</v>
      </c>
    </row>
    <row r="178" spans="1:5">
      <c r="A178" s="129" t="s">
        <v>2593</v>
      </c>
      <c r="B178" s="66" t="s">
        <v>2167</v>
      </c>
      <c r="C178" s="66" t="s">
        <v>2594</v>
      </c>
      <c r="D178" s="132" t="s">
        <v>2595</v>
      </c>
      <c r="E178" s="133" t="s">
        <v>2596</v>
      </c>
    </row>
    <row r="179" spans="1:5">
      <c r="A179" s="129" t="s">
        <v>2597</v>
      </c>
      <c r="B179" s="66" t="s">
        <v>2167</v>
      </c>
      <c r="C179" s="66" t="s">
        <v>2598</v>
      </c>
      <c r="D179" s="132" t="s">
        <v>2599</v>
      </c>
      <c r="E179" s="133" t="s">
        <v>2600</v>
      </c>
    </row>
    <row r="180" spans="1:5">
      <c r="A180" s="129" t="s">
        <v>2601</v>
      </c>
      <c r="B180" s="66" t="s">
        <v>2167</v>
      </c>
      <c r="C180" s="66" t="s">
        <v>2602</v>
      </c>
      <c r="D180" s="132" t="s">
        <v>2603</v>
      </c>
      <c r="E180" s="133" t="s">
        <v>2604</v>
      </c>
    </row>
    <row r="181" spans="1:5">
      <c r="A181" s="129" t="s">
        <v>2605</v>
      </c>
      <c r="B181" s="66" t="s">
        <v>2245</v>
      </c>
      <c r="C181" s="66" t="s">
        <v>2606</v>
      </c>
      <c r="D181" s="132" t="s">
        <v>2607</v>
      </c>
      <c r="E181" s="133" t="s">
        <v>2608</v>
      </c>
    </row>
    <row r="182" spans="1:5">
      <c r="A182" s="129" t="s">
        <v>2609</v>
      </c>
      <c r="B182" s="66" t="s">
        <v>2245</v>
      </c>
      <c r="C182" s="66" t="s">
        <v>2610</v>
      </c>
      <c r="D182" s="132" t="s">
        <v>2611</v>
      </c>
      <c r="E182" s="133" t="s">
        <v>2262</v>
      </c>
    </row>
    <row r="183" spans="1:5">
      <c r="A183" s="129" t="s">
        <v>2612</v>
      </c>
      <c r="B183" s="66" t="s">
        <v>2245</v>
      </c>
      <c r="C183" s="66" t="s">
        <v>2613</v>
      </c>
      <c r="D183" s="132" t="s">
        <v>2614</v>
      </c>
      <c r="E183" s="133" t="s">
        <v>2265</v>
      </c>
    </row>
    <row r="184" spans="1:5">
      <c r="A184" s="129" t="s">
        <v>2615</v>
      </c>
      <c r="B184" s="66" t="s">
        <v>2289</v>
      </c>
      <c r="C184" s="66" t="s">
        <v>2616</v>
      </c>
      <c r="D184" s="132" t="s">
        <v>2617</v>
      </c>
      <c r="E184" s="133" t="s">
        <v>2618</v>
      </c>
    </row>
    <row r="185" spans="1:5">
      <c r="A185" s="129" t="s">
        <v>2619</v>
      </c>
      <c r="B185" s="66" t="s">
        <v>2289</v>
      </c>
      <c r="C185" s="66" t="s">
        <v>2620</v>
      </c>
      <c r="D185" s="132" t="s">
        <v>2621</v>
      </c>
      <c r="E185" s="133" t="s">
        <v>2622</v>
      </c>
    </row>
    <row r="186" spans="1:5">
      <c r="A186" s="129" t="s">
        <v>2623</v>
      </c>
      <c r="B186" s="66" t="s">
        <v>2462</v>
      </c>
      <c r="C186" s="66" t="s">
        <v>2624</v>
      </c>
      <c r="D186" s="132" t="s">
        <v>2625</v>
      </c>
      <c r="E186" s="133" t="s">
        <v>2626</v>
      </c>
    </row>
    <row r="187" spans="1:5">
      <c r="A187" s="129" t="s">
        <v>2627</v>
      </c>
      <c r="B187" s="66" t="s">
        <v>2462</v>
      </c>
      <c r="C187" s="66" t="s">
        <v>2628</v>
      </c>
      <c r="D187" s="132" t="s">
        <v>2629</v>
      </c>
      <c r="E187" s="133" t="s">
        <v>2630</v>
      </c>
    </row>
    <row r="188" spans="1:5">
      <c r="A188" s="129" t="s">
        <v>2631</v>
      </c>
      <c r="B188" s="66" t="s">
        <v>2413</v>
      </c>
      <c r="C188" s="66" t="s">
        <v>2632</v>
      </c>
      <c r="D188" s="132" t="s">
        <v>2633</v>
      </c>
      <c r="E188" s="133" t="s">
        <v>2634</v>
      </c>
    </row>
    <row r="189" spans="1:5">
      <c r="A189" s="129" t="s">
        <v>2635</v>
      </c>
      <c r="B189" s="66" t="s">
        <v>2531</v>
      </c>
      <c r="C189" s="66" t="s">
        <v>2636</v>
      </c>
      <c r="D189" s="132" t="s">
        <v>2637</v>
      </c>
      <c r="E189" s="133" t="s">
        <v>2580</v>
      </c>
    </row>
  </sheetData>
  <autoFilter ref="A4:E189" xr:uid="{310581F7-ECDF-C64A-A7B0-C540D55B3FA1}"/>
  <phoneticPr fontId="2"/>
  <conditionalFormatting sqref="A5:E189">
    <cfRule type="expression" dxfId="49" priority="1">
      <formula>$B5="U2 Keycloak論理"</formula>
    </cfRule>
  </conditionalFormatting>
  <conditionalFormatting sqref="A5:E189">
    <cfRule type="expression" dxfId="48" priority="2">
      <formula>$B5="U3 ID・プロビジョニング"</formula>
    </cfRule>
  </conditionalFormatting>
  <conditionalFormatting sqref="A5:E189">
    <cfRule type="expression" dxfId="47" priority="3">
      <formula>$B5="U5 トークン・認可"</formula>
    </cfRule>
  </conditionalFormatting>
  <conditionalFormatting sqref="A5:E189">
    <cfRule type="expression" dxfId="46" priority="4">
      <formula>$B5="U4 認証体験・UX"</formula>
    </cfRule>
  </conditionalFormatting>
  <conditionalFormatting sqref="A5:E189">
    <cfRule type="expression" dxfId="45" priority="5">
      <formula>$B5="U7 セキュリティ"</formula>
    </cfRule>
  </conditionalFormatting>
  <conditionalFormatting sqref="A5:E189">
    <cfRule type="expression" dxfId="44" priority="6">
      <formula>$B5="U8 可用性・DR"</formula>
    </cfRule>
  </conditionalFormatting>
  <conditionalFormatting sqref="A5:E189">
    <cfRule type="expression" dxfId="43" priority="7">
      <formula>$B5="U6 インフラ・NW"</formula>
    </cfRule>
  </conditionalFormatting>
  <conditionalFormatting sqref="A5:E189">
    <cfRule type="expression" dxfId="42" priority="8">
      <formula>$B5="U9 運用・監視・IaC"</formula>
    </cfRule>
  </conditionalFormatting>
  <conditionalFormatting sqref="A5:E189">
    <cfRule type="expression" dxfId="41" priority="9">
      <formula>$B5="U10 連携・移行"</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5" activePane="bottomLeft" state="frozen"/>
      <selection pane="bottomLeft" activeCell="C20" sqref="C20"/>
    </sheetView>
  </sheetViews>
  <sheetFormatPr baseColWidth="10" defaultRowHeight="15"/>
  <cols>
    <col min="1" max="1" width="15.7109375" style="66" customWidth="1"/>
    <col min="2" max="2" width="28.5703125" style="66" customWidth="1"/>
    <col min="3" max="3" width="61.42578125" style="66" customWidth="1"/>
    <col min="4" max="4" width="11.42578125" style="66" customWidth="1"/>
    <col min="5" max="5" width="32.85546875" style="66" customWidth="1"/>
    <col min="6" max="6" width="12.85546875" style="66" customWidth="1"/>
    <col min="7" max="7" width="14.28515625" style="66" customWidth="1"/>
    <col min="8" max="8" width="57.140625" style="66" customWidth="1"/>
    <col min="9" max="16384" width="10.7109375" style="66"/>
  </cols>
  <sheetData>
    <row r="1" spans="1:8">
      <c r="A1" s="65" t="s">
        <v>1238</v>
      </c>
    </row>
    <row r="2" spans="1:8">
      <c r="A2" s="79" t="s">
        <v>1239</v>
      </c>
    </row>
    <row r="4" spans="1:8" ht="22" customHeight="1">
      <c r="A4" s="36" t="s">
        <v>1240</v>
      </c>
      <c r="B4" s="37" t="s">
        <v>1241</v>
      </c>
      <c r="C4" s="37" t="s">
        <v>972</v>
      </c>
      <c r="D4" s="37" t="s">
        <v>2648</v>
      </c>
      <c r="E4" s="37" t="s">
        <v>1242</v>
      </c>
      <c r="F4" s="37" t="s">
        <v>1236</v>
      </c>
      <c r="G4" s="37" t="s">
        <v>1243</v>
      </c>
      <c r="H4" s="38" t="s">
        <v>1244</v>
      </c>
    </row>
    <row r="5" spans="1:8" ht="16">
      <c r="A5" s="69" t="str">
        <f>進捗一覧!K7</f>
        <v>FR-AUTH-001</v>
      </c>
      <c r="B5" s="70" t="str">
        <f>進捗一覧!J7</f>
        <v>FR-AUTH 認証フロー/Grant Type</v>
      </c>
      <c r="C5" s="71" t="str">
        <f>進捗一覧!E7</f>
        <v>ローカルユーザーにIDとパスワードでのログインを認めるか。</v>
      </c>
      <c r="D5" s="72" t="str">
        <f>進捗一覧!D7</f>
        <v>確定</v>
      </c>
      <c r="E5" s="70" t="s">
        <v>1253</v>
      </c>
      <c r="F5" s="72" t="s">
        <v>1293</v>
      </c>
      <c r="G5" s="72" t="s">
        <v>1294</v>
      </c>
      <c r="H5" s="80" t="s">
        <v>1295</v>
      </c>
    </row>
    <row r="6" spans="1:8" ht="16">
      <c r="A6" s="69" t="str">
        <f>進捗一覧!K8</f>
        <v>FR-AUTH-002</v>
      </c>
      <c r="B6" s="70" t="str">
        <f>進捗一覧!J8</f>
        <v>FR-AUTH 認証フロー/Grant Type</v>
      </c>
      <c r="C6" s="71" t="str">
        <f>進捗一覧!E8</f>
        <v>スマホアプリや画面だけで動くWebアプリから安全にログインさせる標準方式を採用するか</v>
      </c>
      <c r="D6" s="72" t="str">
        <f>進捗一覧!D8</f>
        <v>確定</v>
      </c>
      <c r="E6" s="70" t="s">
        <v>1296</v>
      </c>
      <c r="F6" s="72" t="s">
        <v>1297</v>
      </c>
      <c r="G6" s="72" t="s">
        <v>1294</v>
      </c>
      <c r="H6" s="80" t="s">
        <v>1298</v>
      </c>
    </row>
    <row r="7" spans="1:8" ht="16">
      <c r="A7" s="69" t="str">
        <f>進捗一覧!K9</f>
        <v>FR-AUTH-003</v>
      </c>
      <c r="B7" s="70" t="str">
        <f>進捗一覧!J9</f>
        <v>FR-AUTH 認証フロー/Grant Type</v>
      </c>
      <c r="C7" s="71" t="str">
        <f>進捗一覧!E9</f>
        <v>サーバー側で画面を組み立てるWebアプリのログイン方式をどうするか</v>
      </c>
      <c r="D7" s="72" t="str">
        <f>進捗一覧!D9</f>
        <v>方向性確定（条件付き）</v>
      </c>
      <c r="E7" s="70" t="s">
        <v>1287</v>
      </c>
      <c r="F7" s="72" t="s">
        <v>1297</v>
      </c>
      <c r="G7" s="72" t="s">
        <v>1294</v>
      </c>
      <c r="H7" s="80" t="s">
        <v>1299</v>
      </c>
    </row>
    <row r="8" spans="1:8" ht="16">
      <c r="A8" s="69" t="str">
        <f>進捗一覧!K10</f>
        <v>FR-AUTH-004</v>
      </c>
      <c r="B8" s="70" t="str">
        <f>進捗一覧!J10</f>
        <v>FR-AUTH 認証フロー/Grant Type</v>
      </c>
      <c r="C8" s="71" t="str">
        <f>進捗一覧!E10</f>
        <v>人を介さないシステム同士の通信で、機械が自分の身元を証明する仕組みを用意するか</v>
      </c>
      <c r="D8" s="72" t="str">
        <f>進捗一覧!D10</f>
        <v>方向性確定（条件付き）</v>
      </c>
      <c r="E8" s="70" t="s">
        <v>1292</v>
      </c>
      <c r="F8" s="72" t="s">
        <v>1297</v>
      </c>
      <c r="G8" s="72" t="s">
        <v>1294</v>
      </c>
      <c r="H8" s="80" t="s">
        <v>1300</v>
      </c>
    </row>
    <row r="9" spans="1:8" ht="16">
      <c r="A9" s="69" t="str">
        <f>進捗一覧!K11</f>
        <v>FR-AUTH-005</v>
      </c>
      <c r="B9" s="70" t="str">
        <f>進捗一覧!J11</f>
        <v>FR-AUTH 認証フロー/Grant Type</v>
      </c>
      <c r="C9" s="71" t="str">
        <f>進捗一覧!E11</f>
        <v>あるシステム向けの通行証を別システム向けに引き換える仕組みが必要か</v>
      </c>
      <c r="D9" s="72" t="str">
        <f>進捗一覧!D11</f>
        <v>外部待ち</v>
      </c>
      <c r="E9" s="70" t="s">
        <v>1301</v>
      </c>
      <c r="F9" s="72" t="s">
        <v>1297</v>
      </c>
      <c r="G9" s="72" t="s">
        <v>1294</v>
      </c>
      <c r="H9" s="80" t="s">
        <v>1302</v>
      </c>
    </row>
    <row r="10" spans="1:8" ht="16">
      <c r="A10" s="69" t="str">
        <f>進捗一覧!K12</f>
        <v>FR-AUTH-006</v>
      </c>
      <c r="B10" s="70" t="str">
        <f>進捗一覧!J12</f>
        <v>FR-AUTH 認証フロー/Grant Type</v>
      </c>
      <c r="C10" s="71" t="str">
        <f>進捗一覧!E12</f>
        <v>テレビやプリンタのように文字入力が難しい機器からログインする必要があるか</v>
      </c>
      <c r="D10" s="72" t="str">
        <f>進捗一覧!D12</f>
        <v>外部待ち</v>
      </c>
      <c r="E10" s="70" t="s">
        <v>1425</v>
      </c>
      <c r="F10" s="72" t="s">
        <v>1773</v>
      </c>
      <c r="G10" s="72" t="s">
        <v>1426</v>
      </c>
      <c r="H10" s="80" t="s">
        <v>1774</v>
      </c>
    </row>
    <row r="11" spans="1:8" ht="16">
      <c r="A11" s="69" t="str">
        <f>進捗一覧!K13</f>
        <v>FR-AUTH-007</v>
      </c>
      <c r="B11" s="70" t="str">
        <f>進捗一覧!J13</f>
        <v>FR-AUTH 認証フロー/Grant Type</v>
      </c>
      <c r="C11" s="71" t="str">
        <f>進捗一覧!E13</f>
        <v>電子証明書を使ってアプリ自身の身元を証明させる必要があるか</v>
      </c>
      <c r="D11" s="72" t="str">
        <f>進捗一覧!D13</f>
        <v>外部待ち</v>
      </c>
      <c r="E11" s="70" t="s">
        <v>1828</v>
      </c>
      <c r="F11" s="72" t="s">
        <v>1829</v>
      </c>
      <c r="G11" s="72" t="s">
        <v>1423</v>
      </c>
      <c r="H11" s="80" t="s">
        <v>1830</v>
      </c>
    </row>
    <row r="12" spans="1:8" ht="16">
      <c r="A12" s="69" t="str">
        <f>進捗一覧!K14</f>
        <v>FR-AUTH-008</v>
      </c>
      <c r="B12" s="70" t="str">
        <f>進捗一覧!J14</f>
        <v>FR-AUTH 認証フロー/Grant Type</v>
      </c>
      <c r="C12" s="71" t="str">
        <f>進捗一覧!E14</f>
        <v>IDとパスワードを直接アプリに預ける古い方式は使わない、という方針を確認する</v>
      </c>
      <c r="D12" s="72" t="str">
        <f>進捗一覧!D14</f>
        <v>確定</v>
      </c>
      <c r="E12" s="70" t="s">
        <v>1286</v>
      </c>
      <c r="F12" s="72" t="s">
        <v>1297</v>
      </c>
      <c r="G12" s="72" t="s">
        <v>1305</v>
      </c>
      <c r="H12" s="80" t="s">
        <v>1306</v>
      </c>
    </row>
    <row r="13" spans="1:8" ht="16">
      <c r="A13" s="69" t="str">
        <f>進捗一覧!K15</f>
        <v>FR-AUTH-009</v>
      </c>
      <c r="B13" s="70" t="str">
        <f>進捗一覧!J15</f>
        <v>FR-AUTH パスワード・ローカルユーザー管理</v>
      </c>
      <c r="C13" s="71" t="str">
        <f>進捗一覧!E15</f>
        <v>パスワードの最低文字数や、記号・数字を混ぜる条件をどう決めるか</v>
      </c>
      <c r="D13" s="72" t="str">
        <f>進捗一覧!D15</f>
        <v>確定</v>
      </c>
      <c r="E13" s="70" t="s">
        <v>1454</v>
      </c>
      <c r="F13" s="72" t="s">
        <v>1455</v>
      </c>
      <c r="G13" s="72" t="s">
        <v>1431</v>
      </c>
      <c r="H13" s="80" t="s">
        <v>1456</v>
      </c>
    </row>
    <row r="14" spans="1:8" ht="16">
      <c r="A14" s="69" t="str">
        <f>進捗一覧!K16</f>
        <v>FR-AUTH-010</v>
      </c>
      <c r="B14" s="70" t="str">
        <f>進捗一覧!J16</f>
        <v>FR-AUTH パスワード・ローカルユーザー管理</v>
      </c>
      <c r="C14" s="71" t="str">
        <f>進捗一覧!E16</f>
        <v>過去に使ったパスワードの再利用を禁止するか。禁止するなら何世代さかのぼるか</v>
      </c>
      <c r="D14" s="72" t="str">
        <f>進捗一覧!D16</f>
        <v>外部待ち</v>
      </c>
      <c r="E14" s="70" t="s">
        <v>1454</v>
      </c>
      <c r="F14" s="72" t="s">
        <v>1455</v>
      </c>
      <c r="G14" s="72" t="s">
        <v>1431</v>
      </c>
      <c r="H14" s="80" t="s">
        <v>1767</v>
      </c>
    </row>
    <row r="15" spans="1:8" ht="16">
      <c r="A15" s="69" t="str">
        <f>進捗一覧!K17</f>
        <v>FR-AUTH-011</v>
      </c>
      <c r="B15" s="70" t="str">
        <f>進捗一覧!J17</f>
        <v>FR-AUTH パスワード・ローカルユーザー管理</v>
      </c>
      <c r="C15" s="71" t="str">
        <f>進捗一覧!E17</f>
        <v>ログイン失敗が続いたときアカウントを一時的に止めるか。何回で止め、いつ解除するか</v>
      </c>
      <c r="D15" s="72" t="str">
        <f>進捗一覧!D17</f>
        <v>方向性確定（条件付き）</v>
      </c>
      <c r="E15" s="70" t="s">
        <v>1457</v>
      </c>
      <c r="F15" s="72" t="s">
        <v>1458</v>
      </c>
      <c r="G15" s="72" t="s">
        <v>1431</v>
      </c>
      <c r="H15" s="80" t="s">
        <v>1459</v>
      </c>
    </row>
    <row r="16" spans="1:8" ht="16">
      <c r="A16" s="69" t="str">
        <f>進捗一覧!K18</f>
        <v>FR-AUTH-012</v>
      </c>
      <c r="B16" s="70" t="str">
        <f>進捗一覧!J18</f>
        <v>FR-AUTH パスワード・ローカルユーザー管理</v>
      </c>
      <c r="C16" s="71" t="str">
        <f>進捗一覧!E18</f>
        <v>パスワードに有効期限を設けて定期変更を求めるか。何日で切るか</v>
      </c>
      <c r="D16" s="72" t="str">
        <f>進捗一覧!D18</f>
        <v>方向性確定（条件付き）</v>
      </c>
      <c r="E16" s="70" t="s">
        <v>1460</v>
      </c>
      <c r="F16" s="72" t="s">
        <v>1455</v>
      </c>
      <c r="G16" s="72" t="s">
        <v>1438</v>
      </c>
      <c r="H16" s="80" t="s">
        <v>1461</v>
      </c>
    </row>
    <row r="17" spans="1:8" ht="16">
      <c r="A17" s="69" t="str">
        <f>進捗一覧!K19</f>
        <v>FR-AUTH-013</v>
      </c>
      <c r="B17" s="70" t="str">
        <f>進捗一覧!J19</f>
        <v>FR-AUTH パスワード・ローカルユーザー管理</v>
      </c>
      <c r="C17" s="71" t="str">
        <f>進捗一覧!E19</f>
        <v>利用者が自分でパスワードを再設定できるようにするか。その際の本人確認をどう行うか</v>
      </c>
      <c r="D17" s="72" t="str">
        <f>進捗一覧!D19</f>
        <v>方向性確定（条件付き）</v>
      </c>
      <c r="E17" s="70" t="s">
        <v>1421</v>
      </c>
      <c r="F17" s="72" t="s">
        <v>1422</v>
      </c>
      <c r="G17" s="72" t="s">
        <v>1423</v>
      </c>
      <c r="H17" s="80" t="s">
        <v>1424</v>
      </c>
    </row>
    <row r="18" spans="1:8" ht="16">
      <c r="A18" s="69" t="str">
        <f>進捗一覧!K20</f>
        <v>FR-AUTH-014</v>
      </c>
      <c r="B18" s="70" t="str">
        <f>進捗一覧!J20</f>
        <v>FR-AUTH パスワード・ローカルユーザー管理</v>
      </c>
      <c r="C18" s="71" t="str">
        <f>進捗一覧!E20</f>
        <v>初回ログイン時にパスワードの変更を強制するか</v>
      </c>
      <c r="D18" s="72" t="str">
        <f>進捗一覧!D20</f>
        <v>方向性確定（条件付き）</v>
      </c>
      <c r="E18" s="70" t="s">
        <v>1454</v>
      </c>
      <c r="F18" s="72" t="s">
        <v>1455</v>
      </c>
      <c r="G18" s="72" t="s">
        <v>1431</v>
      </c>
      <c r="H18" s="80" t="s">
        <v>1768</v>
      </c>
    </row>
    <row r="19" spans="1:8" ht="16">
      <c r="A19" s="69" t="str">
        <f>進捗一覧!K21</f>
        <v>FR-FED-001</v>
      </c>
      <c r="B19" s="70" t="str">
        <f>進捗一覧!J21</f>
        <v>FR-FED IdP接続種別</v>
      </c>
      <c r="C19" s="71" t="str">
        <f>進捗一覧!E21</f>
        <v>既存の認証サービス（Auth0）と連携してログインさせるか</v>
      </c>
      <c r="D19" s="72" t="str">
        <f>進捗一覧!D21</f>
        <v>確定</v>
      </c>
      <c r="E19" s="70" t="s">
        <v>1308</v>
      </c>
      <c r="F19" s="72" t="s">
        <v>1293</v>
      </c>
      <c r="G19" s="72" t="s">
        <v>1294</v>
      </c>
      <c r="H19" s="80" t="s">
        <v>1309</v>
      </c>
    </row>
    <row r="20" spans="1:8" ht="16">
      <c r="A20" s="69" t="str">
        <f>進捗一覧!K22</f>
        <v>FR-FED-002</v>
      </c>
      <c r="B20" s="70" t="str">
        <f>進捗一覧!J22</f>
        <v>FR-FED IdP接続種別</v>
      </c>
      <c r="C20" s="71" t="str">
        <f>進捗一覧!E22</f>
        <v>顧客が使っているMicrosoftのID基盤と連携するか。最優先で確認したい項目</v>
      </c>
      <c r="D20" s="72" t="str">
        <f>進捗一覧!D22</f>
        <v>外部待ち</v>
      </c>
      <c r="E20" s="70" t="s">
        <v>1310</v>
      </c>
      <c r="F20" s="72" t="s">
        <v>1293</v>
      </c>
      <c r="G20" s="72" t="s">
        <v>1305</v>
      </c>
      <c r="H20" s="80" t="s">
        <v>1311</v>
      </c>
    </row>
    <row r="21" spans="1:8" ht="16">
      <c r="A21" s="69" t="str">
        <f>進捗一覧!K23</f>
        <v>FR-FED-003</v>
      </c>
      <c r="B21" s="70" t="str">
        <f>進捗一覧!J23</f>
        <v>FR-FED IdP接続種別</v>
      </c>
      <c r="C21" s="71" t="str">
        <f>進捗一覧!E23</f>
        <v>顧客が使っているOktaと連携するか</v>
      </c>
      <c r="D21" s="72" t="str">
        <f>進捗一覧!D23</f>
        <v>外部待ち</v>
      </c>
      <c r="E21" s="70" t="s">
        <v>1310</v>
      </c>
      <c r="F21" s="72" t="s">
        <v>1293</v>
      </c>
      <c r="G21" s="72" t="s">
        <v>1305</v>
      </c>
      <c r="H21" s="80" t="s">
        <v>1312</v>
      </c>
    </row>
    <row r="22" spans="1:8" ht="16">
      <c r="A22" s="69" t="str">
        <f>進捗一覧!K24</f>
        <v>FR-FED-004</v>
      </c>
      <c r="B22" s="70" t="str">
        <f>進捗一覧!J24</f>
        <v>FR-FED IdP接続種別</v>
      </c>
      <c r="C22" s="71" t="str">
        <f>進捗一覧!E24</f>
        <v>Google Workspaceのアカウントでログインできるようにするか</v>
      </c>
      <c r="D22" s="72" t="str">
        <f>進捗一覧!D24</f>
        <v>外部待ち</v>
      </c>
      <c r="E22" s="70" t="s">
        <v>1254</v>
      </c>
      <c r="F22" s="72" t="s">
        <v>1293</v>
      </c>
      <c r="G22" s="72" t="s">
        <v>1305</v>
      </c>
      <c r="H22" s="80" t="s">
        <v>1313</v>
      </c>
    </row>
    <row r="23" spans="1:8" ht="16">
      <c r="A23" s="69" t="str">
        <f>進捗一覧!K25</f>
        <v>FR-FED-005</v>
      </c>
      <c r="B23" s="70" t="str">
        <f>進捗一覧!J25</f>
        <v>FR-FED IdP接続種別</v>
      </c>
      <c r="C23" s="71" t="str">
        <f>進捗一覧!E25</f>
        <v>顧客側の旧来方式（SAML）のID基盤を受け入れる必要があるか</v>
      </c>
      <c r="D23" s="72" t="str">
        <f>進捗一覧!D25</f>
        <v>外部待ち</v>
      </c>
      <c r="E23" s="70" t="s">
        <v>1258</v>
      </c>
      <c r="F23" s="72" t="s">
        <v>1293</v>
      </c>
      <c r="G23" s="72" t="s">
        <v>1305</v>
      </c>
      <c r="H23" s="80" t="s">
        <v>1314</v>
      </c>
    </row>
    <row r="24" spans="1:8" ht="16">
      <c r="A24" s="69" t="str">
        <f>進捗一覧!K26</f>
        <v>FR-FED-006</v>
      </c>
      <c r="B24" s="70" t="str">
        <f>進捗一覧!J26</f>
        <v>FR-FED IdP接続種別</v>
      </c>
      <c r="C24" s="71" t="str">
        <f>進捗一覧!E26</f>
        <v>自分たちが旧来方式（SAML）のID提供元として振る舞う必要があるか</v>
      </c>
      <c r="D24" s="72" t="str">
        <f>進捗一覧!D26</f>
        <v>外部待ち</v>
      </c>
      <c r="E24" s="70" t="s">
        <v>1775</v>
      </c>
      <c r="F24" s="72" t="s">
        <v>1627</v>
      </c>
      <c r="G24" s="72" t="s">
        <v>1431</v>
      </c>
      <c r="H24" s="80" t="s">
        <v>1776</v>
      </c>
    </row>
    <row r="25" spans="1:8" ht="16">
      <c r="A25" s="69" t="str">
        <f>進捗一覧!K27</f>
        <v>FR-FED-007</v>
      </c>
      <c r="B25" s="70" t="str">
        <f>進捗一覧!J27</f>
        <v>FR-FED IdP接続種別</v>
      </c>
      <c r="C25" s="71" t="str">
        <f>進捗一覧!E27</f>
        <v>社内のディレクトリサーバー（LDAP/AD）と直接つなぐ必要があるか</v>
      </c>
      <c r="D25" s="72" t="str">
        <f>進捗一覧!D27</f>
        <v>外部待ち</v>
      </c>
      <c r="E25" s="70" t="s">
        <v>1264</v>
      </c>
      <c r="F25" s="72" t="s">
        <v>1315</v>
      </c>
      <c r="G25" s="72" t="s">
        <v>1316</v>
      </c>
      <c r="H25" s="80" t="s">
        <v>1317</v>
      </c>
    </row>
    <row r="26" spans="1:8" ht="16">
      <c r="A26" s="69" t="str">
        <f>進捗一覧!K28</f>
        <v>FR-FED-014</v>
      </c>
      <c r="B26" s="70" t="str">
        <f>進捗一覧!J28</f>
        <v>FR-FED IdP接続種別</v>
      </c>
      <c r="C26" s="71" t="str">
        <f>進捗一覧!E28</f>
        <v>顧客ごとの独自ドメイン名でログイン画面を出す必要があるか</v>
      </c>
      <c r="D26" s="72" t="str">
        <f>進捗一覧!D28</f>
        <v>方向性確定（条件付き）</v>
      </c>
      <c r="E26" s="70" t="s">
        <v>1427</v>
      </c>
      <c r="F26" s="72" t="s">
        <v>1422</v>
      </c>
      <c r="G26" s="72" t="s">
        <v>1423</v>
      </c>
      <c r="H26" s="80" t="s">
        <v>1428</v>
      </c>
    </row>
    <row r="27" spans="1:8" ht="16">
      <c r="A27" s="69" t="str">
        <f>進捗一覧!K29</f>
        <v>FR-FED-008</v>
      </c>
      <c r="B27" s="70" t="str">
        <f>進捗一覧!J29</f>
        <v>FR-FED フェデレーションユーザー処理</v>
      </c>
      <c r="C27" s="71" t="str">
        <f>進捗一覧!E29</f>
        <v>初回ログイン時に利用者情報を自動で作るか。作る項目と、既存と重複したときの扱いをどうするか</v>
      </c>
      <c r="D27" s="72" t="str">
        <f>進捗一覧!D29</f>
        <v>確定</v>
      </c>
      <c r="E27" s="70" t="s">
        <v>1318</v>
      </c>
      <c r="F27" s="72" t="s">
        <v>1319</v>
      </c>
      <c r="G27" s="72" t="s">
        <v>1294</v>
      </c>
      <c r="H27" s="80" t="s">
        <v>1320</v>
      </c>
    </row>
    <row r="28" spans="1:8" ht="16">
      <c r="A28" s="69" t="str">
        <f>進捗一覧!K30</f>
        <v>FR-FED-009</v>
      </c>
      <c r="B28" s="70" t="str">
        <f>進捗一覧!J30</f>
        <v>FR-FED フェデレーションユーザー処理</v>
      </c>
      <c r="C28" s="71" t="str">
        <f>進捗一覧!E30</f>
        <v>顧客側のID基盤から受け取る項目を、自分たちの項目にどう対応づけるか</v>
      </c>
      <c r="D28" s="72" t="str">
        <f>進捗一覧!D30</f>
        <v>確定</v>
      </c>
      <c r="E28" s="70" t="s">
        <v>1321</v>
      </c>
      <c r="F28" s="72" t="s">
        <v>1319</v>
      </c>
      <c r="G28" s="72" t="s">
        <v>1294</v>
      </c>
      <c r="H28" s="80" t="s">
        <v>1322</v>
      </c>
    </row>
    <row r="29" spans="1:8" ht="16">
      <c r="A29" s="69" t="str">
        <f>進捗一覧!K31</f>
        <v>FR-FED-012</v>
      </c>
      <c r="B29" s="70" t="str">
        <f>進捗一覧!J31</f>
        <v>FR-FED フェデレーションユーザー処理</v>
      </c>
      <c r="C29" s="71" t="str">
        <f>進捗一覧!E31</f>
        <v>顧客側で追加認証を済ませた利用者に、こちらで二重に求めないための条件をどうするか</v>
      </c>
      <c r="D29" s="72" t="str">
        <f>進捗一覧!D31</f>
        <v>方向性確定（条件付き）</v>
      </c>
      <c r="E29" s="70" t="s">
        <v>1323</v>
      </c>
      <c r="F29" s="72" t="s">
        <v>1293</v>
      </c>
      <c r="G29" s="72" t="s">
        <v>1294</v>
      </c>
      <c r="H29" s="80" t="s">
        <v>1324</v>
      </c>
    </row>
    <row r="30" spans="1:8" ht="16">
      <c r="A30" s="69" t="str">
        <f>進捗一覧!K32</f>
        <v>FR-FED-010</v>
      </c>
      <c r="B30" s="70" t="str">
        <f>進捗一覧!J32</f>
        <v>FR-FED マルチテナント運用</v>
      </c>
      <c r="C30" s="71" t="str">
        <f>進捗一覧!E32</f>
        <v>複数の顧客のID基盤を同時に並行運用する前提でよいか</v>
      </c>
      <c r="D30" s="72" t="str">
        <f>進捗一覧!D32</f>
        <v>確定</v>
      </c>
      <c r="E30" s="70" t="s">
        <v>1325</v>
      </c>
      <c r="F30" s="72" t="s">
        <v>1293</v>
      </c>
      <c r="G30" s="72" t="s">
        <v>1294</v>
      </c>
      <c r="H30" s="80" t="s">
        <v>1326</v>
      </c>
    </row>
    <row r="31" spans="1:8" ht="16">
      <c r="A31" s="69" t="str">
        <f>進捗一覧!K33</f>
        <v>FR-FED-011</v>
      </c>
      <c r="B31" s="70" t="str">
        <f>進捗一覧!J33</f>
        <v>FR-FED マルチテナント運用</v>
      </c>
      <c r="C31" s="71" t="str">
        <f>進捗一覧!E33</f>
        <v>新しい顧客を追加するときの申請から開通までの手順と、所要日数をどうするか</v>
      </c>
      <c r="D31" s="72" t="str">
        <f>進捗一覧!D33</f>
        <v>方向性確定（条件付き）</v>
      </c>
      <c r="E31" s="70" t="s">
        <v>1261</v>
      </c>
      <c r="F31" s="72" t="s">
        <v>1293</v>
      </c>
      <c r="G31" s="72" t="s">
        <v>1305</v>
      </c>
      <c r="H31" s="80" t="s">
        <v>1327</v>
      </c>
    </row>
    <row r="32" spans="1:8" ht="16">
      <c r="A32" s="69" t="str">
        <f>進捗一覧!K34</f>
        <v>FR-FED-013</v>
      </c>
      <c r="B32" s="70" t="str">
        <f>進捗一覧!J34</f>
        <v>FR-FED マルチテナント運用</v>
      </c>
      <c r="C32" s="71" t="str">
        <f>進捗一覧!E34</f>
        <v>ログイン画面で所属を利用者に選ばせるか、メールアドレスから自動判定するか</v>
      </c>
      <c r="D32" s="72" t="str">
        <f>進捗一覧!D34</f>
        <v>方向性確定（条件付き）</v>
      </c>
      <c r="E32" s="70" t="s">
        <v>1429</v>
      </c>
      <c r="F32" s="72" t="s">
        <v>1430</v>
      </c>
      <c r="G32" s="72" t="s">
        <v>1431</v>
      </c>
      <c r="H32" s="80" t="s">
        <v>1432</v>
      </c>
    </row>
    <row r="33" spans="1:8" ht="16">
      <c r="A33" s="69" t="str">
        <f>進捗一覧!K35</f>
        <v>FR-MFA-001</v>
      </c>
      <c r="B33" s="70" t="str">
        <f>進捗一覧!J35</f>
        <v>FR-MFA MFA要素</v>
      </c>
      <c r="C33" s="71" t="str">
        <f>進捗一覧!E35</f>
        <v>スマホの認証アプリによる追加確認を用意するか</v>
      </c>
      <c r="D33" s="72" t="str">
        <f>進捗一覧!D35</f>
        <v>確定</v>
      </c>
      <c r="E33" s="70" t="s">
        <v>1433</v>
      </c>
      <c r="F33" s="72" t="s">
        <v>1430</v>
      </c>
      <c r="G33" s="72" t="s">
        <v>1431</v>
      </c>
      <c r="H33" s="80" t="s">
        <v>1434</v>
      </c>
    </row>
    <row r="34" spans="1:8" ht="16">
      <c r="A34" s="69" t="str">
        <f>進捗一覧!K36</f>
        <v>FR-MFA-002</v>
      </c>
      <c r="B34" s="70" t="str">
        <f>進捗一覧!J36</f>
        <v>FR-MFA MFA要素</v>
      </c>
      <c r="C34" s="71" t="str">
        <f>進捗一覧!E36</f>
        <v>指紋・顔認証やセキュリティキーを使ったパスワード不要のログインを用意するか</v>
      </c>
      <c r="D34" s="72" t="str">
        <f>進捗一覧!D36</f>
        <v>方向性確定（条件付き）</v>
      </c>
      <c r="E34" s="70" t="s">
        <v>1435</v>
      </c>
      <c r="F34" s="72" t="s">
        <v>1430</v>
      </c>
      <c r="G34" s="72" t="s">
        <v>1431</v>
      </c>
      <c r="H34" s="80" t="s">
        <v>1436</v>
      </c>
    </row>
    <row r="35" spans="1:8" ht="16">
      <c r="A35" s="69" t="str">
        <f>進捗一覧!K37</f>
        <v>FR-MFA-003</v>
      </c>
      <c r="B35" s="70" t="str">
        <f>進捗一覧!J37</f>
        <v>FR-MFA MFA要素</v>
      </c>
      <c r="C35" s="71" t="str">
        <f>進捗一覧!E37</f>
        <v>SMS（携帯メッセージ）による追加確認を用意するか。費用と安全性をどう見るか</v>
      </c>
      <c r="D35" s="72" t="str">
        <f>進捗一覧!D37</f>
        <v>外部待ち</v>
      </c>
      <c r="E35" s="70" t="s">
        <v>1437</v>
      </c>
      <c r="F35" s="72" t="s">
        <v>1422</v>
      </c>
      <c r="G35" s="72" t="s">
        <v>1438</v>
      </c>
      <c r="H35" s="80" t="s">
        <v>1439</v>
      </c>
    </row>
    <row r="36" spans="1:8" ht="16">
      <c r="A36" s="69" t="str">
        <f>進捗一覧!K38</f>
        <v>FR-MFA-004</v>
      </c>
      <c r="B36" s="70" t="str">
        <f>進捗一覧!J38</f>
        <v>FR-MFA MFA要素</v>
      </c>
      <c r="C36" s="71" t="str">
        <f>進捗一覧!E38</f>
        <v>メールによる追加確認を用意するか</v>
      </c>
      <c r="D36" s="72" t="str">
        <f>進捗一覧!D38</f>
        <v>外部待ち</v>
      </c>
      <c r="E36" s="70" t="s">
        <v>1460</v>
      </c>
      <c r="F36" s="72" t="s">
        <v>1455</v>
      </c>
      <c r="G36" s="72" t="s">
        <v>1438</v>
      </c>
      <c r="H36" s="80" t="s">
        <v>1769</v>
      </c>
    </row>
    <row r="37" spans="1:8" ht="16">
      <c r="A37" s="69" t="str">
        <f>進捗一覧!K39</f>
        <v>FR-MFA-005</v>
      </c>
      <c r="B37" s="70" t="str">
        <f>進捗一覧!J39</f>
        <v>FR-MFA MFA要素</v>
      </c>
      <c r="C37" s="71" t="str">
        <f>進捗一覧!E39</f>
        <v>端末を失くしたとき用の予備コードを発行するか</v>
      </c>
      <c r="D37" s="72" t="str">
        <f>進捗一覧!D39</f>
        <v>方向性確定（条件付き）</v>
      </c>
      <c r="E37" s="70" t="s">
        <v>1421</v>
      </c>
      <c r="F37" s="72" t="s">
        <v>1422</v>
      </c>
      <c r="G37" s="72" t="s">
        <v>1431</v>
      </c>
      <c r="H37" s="80" t="s">
        <v>1440</v>
      </c>
    </row>
    <row r="38" spans="1:8" ht="16">
      <c r="A38" s="69" t="str">
        <f>進捗一覧!K40</f>
        <v>FR-MFA-006</v>
      </c>
      <c r="B38" s="70" t="str">
        <f>進捗一覧!J40</f>
        <v>FR-MFA MFA適用ポリシー</v>
      </c>
      <c r="C38" s="71" t="str">
        <f>進捗一覧!E40</f>
        <v>普段と違う場所や不審な状況のときだけ追加確認を求めるか。その判定基準をどうするか</v>
      </c>
      <c r="D38" s="72" t="str">
        <f>進捗一覧!D40</f>
        <v>方向性確定（条件付き）</v>
      </c>
      <c r="E38" s="70" t="s">
        <v>1441</v>
      </c>
      <c r="F38" s="72" t="s">
        <v>1430</v>
      </c>
      <c r="G38" s="72" t="s">
        <v>1423</v>
      </c>
      <c r="H38" s="80" t="s">
        <v>1442</v>
      </c>
    </row>
    <row r="39" spans="1:8" ht="16">
      <c r="A39" s="69" t="str">
        <f>進捗一覧!K41</f>
        <v>FR-MFA-007</v>
      </c>
      <c r="B39" s="70" t="str">
        <f>進捗一覧!J41</f>
        <v>FR-MFA MFA適用ポリシー</v>
      </c>
      <c r="C39" s="71" t="str">
        <f>進捗一覧!E41</f>
        <v>追加確認を全員必須にするか、役割ごとに任意とするか</v>
      </c>
      <c r="D39" s="72" t="str">
        <f>進捗一覧!D41</f>
        <v>方向性確定（条件付き）</v>
      </c>
      <c r="E39" s="70" t="s">
        <v>1433</v>
      </c>
      <c r="F39" s="72" t="s">
        <v>1430</v>
      </c>
      <c r="G39" s="72" t="s">
        <v>1431</v>
      </c>
      <c r="H39" s="80" t="s">
        <v>1443</v>
      </c>
    </row>
    <row r="40" spans="1:8" ht="16">
      <c r="A40" s="69" t="str">
        <f>進捗一覧!K42</f>
        <v>FR-MFA-008</v>
      </c>
      <c r="B40" s="70" t="str">
        <f>進捗一覧!J42</f>
        <v>FR-MFA MFA適用ポリシー</v>
      </c>
      <c r="C40" s="71" t="str">
        <f>進捗一覧!E42</f>
        <v>一度確認した端末を記憶して次回以降の追加確認を省くか。記憶する期間をどうするか</v>
      </c>
      <c r="D40" s="72" t="str">
        <f>進捗一覧!D42</f>
        <v>外部待ち</v>
      </c>
      <c r="E40" s="70" t="s">
        <v>1425</v>
      </c>
      <c r="F40" s="72" t="s">
        <v>1422</v>
      </c>
      <c r="G40" s="72" t="s">
        <v>1423</v>
      </c>
      <c r="H40" s="80" t="s">
        <v>1444</v>
      </c>
    </row>
    <row r="41" spans="1:8" ht="16">
      <c r="A41" s="69" t="str">
        <f>進捗一覧!K43</f>
        <v>FR-MFA-009</v>
      </c>
      <c r="B41" s="70" t="str">
        <f>進捗一覧!J43</f>
        <v>FR-MFA MFA適用ポリシー</v>
      </c>
      <c r="C41" s="71" t="str">
        <f>進捗一覧!E43</f>
        <v>管理者権限を持つ人には追加確認を必須にするか</v>
      </c>
      <c r="D41" s="72" t="str">
        <f>進捗一覧!D43</f>
        <v>方向性確定（条件付き）</v>
      </c>
      <c r="E41" s="70" t="s">
        <v>1253</v>
      </c>
      <c r="F41" s="72" t="s">
        <v>1293</v>
      </c>
      <c r="G41" s="72" t="s">
        <v>1294</v>
      </c>
      <c r="H41" s="80" t="s">
        <v>1328</v>
      </c>
    </row>
    <row r="42" spans="1:8" ht="16">
      <c r="A42" s="69" t="str">
        <f>進捗一覧!K44</f>
        <v>FR-SSO-001</v>
      </c>
      <c r="B42" s="70" t="str">
        <f>進捗一覧!J44</f>
        <v>FR-SSO SSO</v>
      </c>
      <c r="C42" s="71" t="str">
        <f>進捗一覧!E44</f>
        <v>一度ログインすれば複数のアプリを使い回せる状態にするか</v>
      </c>
      <c r="D42" s="72" t="str">
        <f>進捗一覧!D44</f>
        <v>確定</v>
      </c>
      <c r="E42" s="70" t="s">
        <v>1276</v>
      </c>
      <c r="F42" s="72" t="s">
        <v>1297</v>
      </c>
      <c r="G42" s="72" t="s">
        <v>1294</v>
      </c>
      <c r="H42" s="80" t="s">
        <v>1329</v>
      </c>
    </row>
    <row r="43" spans="1:8" ht="16">
      <c r="A43" s="69" t="str">
        <f>進捗一覧!K45</f>
        <v>FR-SSO-002</v>
      </c>
      <c r="B43" s="70" t="str">
        <f>進捗一覧!J45</f>
        <v>FR-SSO SSO</v>
      </c>
      <c r="C43" s="71" t="str">
        <f>進捗一覧!E45</f>
        <v>顧客側のID基盤を経由した場合も同じく使い回せるようにするか</v>
      </c>
      <c r="D43" s="72" t="str">
        <f>進捗一覧!D45</f>
        <v>確定</v>
      </c>
      <c r="E43" s="70" t="s">
        <v>1330</v>
      </c>
      <c r="F43" s="72" t="s">
        <v>1293</v>
      </c>
      <c r="G43" s="72" t="s">
        <v>1294</v>
      </c>
      <c r="H43" s="80" t="s">
        <v>1331</v>
      </c>
    </row>
    <row r="44" spans="1:8" ht="16">
      <c r="A44" s="69" t="str">
        <f>進捗一覧!K46</f>
        <v>FR-SSO-003</v>
      </c>
      <c r="B44" s="70" t="str">
        <f>進捗一覧!J46</f>
        <v>FR-SSO ログアウト</v>
      </c>
      <c r="C44" s="71" t="str">
        <f>進捗一覧!E46</f>
        <v>ログアウト操作でアプリ内の状態だけを消す動作を用意するか</v>
      </c>
      <c r="D44" s="72" t="str">
        <f>進捗一覧!D46</f>
        <v>確定</v>
      </c>
      <c r="E44" s="70" t="s">
        <v>1283</v>
      </c>
      <c r="F44" s="72" t="s">
        <v>1297</v>
      </c>
      <c r="G44" s="72" t="s">
        <v>1294</v>
      </c>
      <c r="H44" s="80" t="s">
        <v>1332</v>
      </c>
    </row>
    <row r="45" spans="1:8" ht="16">
      <c r="A45" s="69" t="str">
        <f>進捗一覧!K47</f>
        <v>FR-SSO-004</v>
      </c>
      <c r="B45" s="70" t="str">
        <f>進捗一覧!J47</f>
        <v>FR-SSO ログアウト</v>
      </c>
      <c r="C45" s="71" t="str">
        <f>進捗一覧!E47</f>
        <v>ログアウト時に認証基盤側のログイン状態も併せて消すか</v>
      </c>
      <c r="D45" s="72" t="str">
        <f>進捗一覧!D47</f>
        <v>確定</v>
      </c>
      <c r="E45" s="70" t="s">
        <v>1283</v>
      </c>
      <c r="F45" s="72" t="s">
        <v>1297</v>
      </c>
      <c r="G45" s="72" t="s">
        <v>1294</v>
      </c>
      <c r="H45" s="80" t="s">
        <v>1333</v>
      </c>
    </row>
    <row r="46" spans="1:8" ht="16">
      <c r="A46" s="69" t="str">
        <f>進捗一覧!K48</f>
        <v>FR-SSO-005</v>
      </c>
      <c r="B46" s="70" t="str">
        <f>進捗一覧!J48</f>
        <v>FR-SSO ログアウト</v>
      </c>
      <c r="C46" s="71" t="str">
        <f>進捗一覧!E48</f>
        <v>ログアウト時に顧客側のID基盤のログイン状態まで消すか。どこまで連動させるか</v>
      </c>
      <c r="D46" s="72" t="str">
        <f>進捗一覧!D48</f>
        <v>方向性確定（条件付き）</v>
      </c>
      <c r="E46" s="70" t="s">
        <v>1334</v>
      </c>
      <c r="F46" s="72" t="s">
        <v>1335</v>
      </c>
      <c r="G46" s="72" t="s">
        <v>1294</v>
      </c>
      <c r="H46" s="80" t="s">
        <v>1336</v>
      </c>
    </row>
    <row r="47" spans="1:8" ht="16">
      <c r="A47" s="69" t="str">
        <f>進捗一覧!K49</f>
        <v>FR-SSO-006</v>
      </c>
      <c r="B47" s="70" t="str">
        <f>進捗一覧!J49</f>
        <v>FR-SSO ログアウト</v>
      </c>
      <c r="C47" s="71" t="str">
        <f>進捗一覧!E49</f>
        <v>利用者のブラウザ経由で各アプリに一斉ログアウトを伝える方式を使うか</v>
      </c>
      <c r="D47" s="72" t="str">
        <f>進捗一覧!D49</f>
        <v>方向性確定（条件付き）</v>
      </c>
      <c r="E47" s="70" t="s">
        <v>1283</v>
      </c>
      <c r="F47" s="72" t="s">
        <v>1297</v>
      </c>
      <c r="G47" s="72" t="s">
        <v>1294</v>
      </c>
      <c r="H47" s="80" t="s">
        <v>1337</v>
      </c>
    </row>
    <row r="48" spans="1:8" ht="16">
      <c r="A48" s="69" t="str">
        <f>進捗一覧!K50</f>
        <v>FR-SSO-007</v>
      </c>
      <c r="B48" s="70" t="str">
        <f>進捗一覧!J50</f>
        <v>FR-SSO ログアウト</v>
      </c>
      <c r="C48" s="71" t="str">
        <f>進捗一覧!E50</f>
        <v>サーバー同士の通信で各アプリに確実にログアウトを伝える方式を使うか</v>
      </c>
      <c r="D48" s="72" t="str">
        <f>進捗一覧!D50</f>
        <v>方向性確定（条件付き）</v>
      </c>
      <c r="E48" s="70" t="s">
        <v>1338</v>
      </c>
      <c r="F48" s="72" t="s">
        <v>1297</v>
      </c>
      <c r="G48" s="72" t="s">
        <v>1294</v>
      </c>
      <c r="H48" s="80" t="s">
        <v>1339</v>
      </c>
    </row>
    <row r="49" spans="1:8" ht="16">
      <c r="A49" s="69" t="str">
        <f>進捗一覧!K51</f>
        <v>FR-SSO-008</v>
      </c>
      <c r="B49" s="70" t="str">
        <f>進捗一覧!J51</f>
        <v>FR-SSO セッション管理</v>
      </c>
      <c r="C49" s="71" t="str">
        <f>進捗一覧!E51</f>
        <v>無操作が続いたときに自動ログアウトするまでの時間をどうするか</v>
      </c>
      <c r="D49" s="72" t="str">
        <f>進捗一覧!D51</f>
        <v>方向性確定（条件付き）</v>
      </c>
      <c r="E49" s="70" t="s">
        <v>1831</v>
      </c>
      <c r="F49" s="72" t="s">
        <v>1832</v>
      </c>
      <c r="G49" s="72" t="s">
        <v>1431</v>
      </c>
      <c r="H49" s="80" t="s">
        <v>1833</v>
      </c>
    </row>
    <row r="50" spans="1:8" ht="16">
      <c r="A50" s="69" t="str">
        <f>進捗一覧!K52</f>
        <v>FR-SSO-009</v>
      </c>
      <c r="B50" s="70" t="str">
        <f>進捗一覧!J52</f>
        <v>FR-SSO セッション管理</v>
      </c>
      <c r="C50" s="71" t="str">
        <f>進捗一覧!E52</f>
        <v>発行済みの通行証を有効期限前に強制的に無効化できる必要があるか</v>
      </c>
      <c r="D50" s="72" t="str">
        <f>進捗一覧!D52</f>
        <v>外部待ち</v>
      </c>
      <c r="E50" s="70" t="s">
        <v>1834</v>
      </c>
      <c r="F50" s="72" t="s">
        <v>1835</v>
      </c>
      <c r="G50" s="72" t="s">
        <v>1431</v>
      </c>
      <c r="H50" s="80" t="s">
        <v>1836</v>
      </c>
    </row>
    <row r="51" spans="1:8" ht="16">
      <c r="A51" s="69" t="str">
        <f>進捗一覧!K53</f>
        <v>FR-SSO-010</v>
      </c>
      <c r="B51" s="70" t="str">
        <f>進捗一覧!J53</f>
        <v>FR-SSO セッション管理</v>
      </c>
      <c r="C51" s="71" t="str">
        <f>進捗一覧!E53</f>
        <v>管理者が特定の利用者のログイン状態を一括で切断できる機能を用意するか</v>
      </c>
      <c r="D51" s="72" t="str">
        <f>進捗一覧!D53</f>
        <v>方向性確定（条件付き）</v>
      </c>
      <c r="E51" s="70" t="s">
        <v>1837</v>
      </c>
      <c r="F51" s="72" t="s">
        <v>1838</v>
      </c>
      <c r="G51" s="72" t="s">
        <v>1431</v>
      </c>
      <c r="H51" s="80" t="s">
        <v>1839</v>
      </c>
    </row>
    <row r="52" spans="1:8" ht="16">
      <c r="A52" s="69" t="str">
        <f>進捗一覧!K54</f>
        <v>FR-AUTHZ-001</v>
      </c>
      <c r="B52" s="70" t="str">
        <f>進捗一覧!J54</f>
        <v>FR-AUTHZ クレームベース基本認可</v>
      </c>
      <c r="C52" s="71" t="str">
        <f>進捗一覧!E54</f>
        <v>通行証に含まれる情報をもとに各アプリが権限を判定する方式でよいか</v>
      </c>
      <c r="D52" s="72" t="str">
        <f>進捗一覧!D54</f>
        <v>確定</v>
      </c>
      <c r="E52" s="70" t="s">
        <v>1340</v>
      </c>
      <c r="F52" s="72" t="s">
        <v>1297</v>
      </c>
      <c r="G52" s="72" t="s">
        <v>1294</v>
      </c>
      <c r="H52" s="80" t="s">
        <v>1341</v>
      </c>
    </row>
    <row r="53" spans="1:8" ht="16">
      <c r="A53" s="69" t="str">
        <f>進捗一覧!K55</f>
        <v>FR-AUTHZ-002</v>
      </c>
      <c r="B53" s="70" t="str">
        <f>進捗一覧!J55</f>
        <v>FR-AUTHZ クレームベース基本認可</v>
      </c>
      <c r="C53" s="71" t="str">
        <f>進捗一覧!E55</f>
        <v>顧客ごとのデータが混ざらないよう、所属情報を通行証に必ず載せるか</v>
      </c>
      <c r="D53" s="72" t="str">
        <f>進捗一覧!D55</f>
        <v>確定</v>
      </c>
      <c r="E53" s="70" t="s">
        <v>1342</v>
      </c>
      <c r="F53" s="72" t="s">
        <v>1335</v>
      </c>
      <c r="G53" s="72" t="s">
        <v>1294</v>
      </c>
      <c r="H53" s="80" t="s">
        <v>1343</v>
      </c>
    </row>
    <row r="54" spans="1:8" ht="16">
      <c r="A54" s="69" t="str">
        <f>進捗一覧!K56</f>
        <v>FR-AUTHZ-003</v>
      </c>
      <c r="B54" s="70" t="str">
        <f>進捗一覧!J56</f>
        <v>FR-AUTHZ クレームベース基本認可</v>
      </c>
      <c r="C54" s="71" t="str">
        <f>進捗一覧!E56</f>
        <v>役割（ロール）の情報を通行証に載せて権限判定に使うか</v>
      </c>
      <c r="D54" s="72" t="str">
        <f>進捗一覧!D56</f>
        <v>確定</v>
      </c>
      <c r="E54" s="70" t="s">
        <v>1344</v>
      </c>
      <c r="F54" s="72" t="s">
        <v>1345</v>
      </c>
      <c r="G54" s="72" t="s">
        <v>1294</v>
      </c>
      <c r="H54" s="80" t="s">
        <v>1346</v>
      </c>
    </row>
    <row r="55" spans="1:8" ht="16">
      <c r="A55" s="69" t="str">
        <f>進捗一覧!K57</f>
        <v>FR-AUTHZ-004</v>
      </c>
      <c r="B55" s="70" t="str">
        <f>進捗一覧!J57</f>
        <v>FR-AUTHZ クレームベース基本認可</v>
      </c>
      <c r="C55" s="71" t="str">
        <f>進捗一覧!E57</f>
        <v>役割に上下関係（上位が下位を兼ねる）を持たせるか</v>
      </c>
      <c r="D55" s="72" t="str">
        <f>進捗一覧!D57</f>
        <v>方向性確定（条件付き）</v>
      </c>
      <c r="E55" s="70" t="s">
        <v>1253</v>
      </c>
      <c r="F55" s="72" t="s">
        <v>1293</v>
      </c>
      <c r="G55" s="72" t="s">
        <v>1305</v>
      </c>
      <c r="H55" s="80" t="s">
        <v>1347</v>
      </c>
    </row>
    <row r="56" spans="1:8" ht="16">
      <c r="A56" s="69" t="str">
        <f>進捗一覧!K58</f>
        <v>FR-AUTHZ-005</v>
      </c>
      <c r="B56" s="70" t="str">
        <f>進捗一覧!J58</f>
        <v>FR-AUTHZ クレームベース基本認可</v>
      </c>
      <c r="C56" s="71" t="str">
        <f>進捗一覧!E58</f>
        <v>システム同士の通信でも、呼び出せる機能の範囲を絞り込む仕組みを使うか</v>
      </c>
      <c r="D56" s="72" t="str">
        <f>進捗一覧!D58</f>
        <v>方向性確定（条件付き）</v>
      </c>
      <c r="E56" s="70" t="s">
        <v>1348</v>
      </c>
      <c r="F56" s="72" t="s">
        <v>1297</v>
      </c>
      <c r="G56" s="72" t="s">
        <v>1294</v>
      </c>
      <c r="H56" s="80" t="s">
        <v>1349</v>
      </c>
    </row>
    <row r="57" spans="1:8" ht="16">
      <c r="A57" s="69" t="str">
        <f>進捗一覧!K59</f>
        <v>FR-AUTHZ-006</v>
      </c>
      <c r="B57" s="70" t="str">
        <f>進捗一覧!J59</f>
        <v>FR-AUTHZ クレームベース基本認可</v>
      </c>
      <c r="C57" s="71" t="str">
        <f>進捗一覧!E59</f>
        <v>顧客固有の項目を通行証に追加できるようにするか。追加を認める範囲をどこまでにするか</v>
      </c>
      <c r="D57" s="72" t="str">
        <f>進捗一覧!D59</f>
        <v>確定</v>
      </c>
      <c r="E57" s="70" t="s">
        <v>1274</v>
      </c>
      <c r="F57" s="72" t="s">
        <v>1297</v>
      </c>
      <c r="G57" s="72" t="s">
        <v>1294</v>
      </c>
      <c r="H57" s="80" t="s">
        <v>1350</v>
      </c>
    </row>
    <row r="58" spans="1:8" ht="16">
      <c r="A58" s="69" t="str">
        <f>進捗一覧!K60</f>
        <v>FR-AUTHZ-007</v>
      </c>
      <c r="B58" s="70" t="str">
        <f>進捗一覧!J60</f>
        <v>FR-AUTHZ クレームベース基本認可</v>
      </c>
      <c r="C58" s="71" t="str">
        <f>進捗一覧!E60</f>
        <v>AWSのAPI入口で通行証を検証する共通部品を用意するか</v>
      </c>
      <c r="D58" s="72" t="str">
        <f>進捗一覧!D60</f>
        <v>確定</v>
      </c>
      <c r="E58" s="70" t="s">
        <v>1288</v>
      </c>
      <c r="F58" s="72" t="s">
        <v>1297</v>
      </c>
      <c r="G58" s="72" t="s">
        <v>1305</v>
      </c>
      <c r="H58" s="80" t="s">
        <v>1351</v>
      </c>
    </row>
    <row r="59" spans="1:8" ht="16">
      <c r="A59" s="69" t="str">
        <f>進捗一覧!K61</f>
        <v>FR-AUTHZ-008</v>
      </c>
      <c r="B59" s="70" t="str">
        <f>進捗一覧!J61</f>
        <v>FR-AUTHZ クレームベース基本認可</v>
      </c>
      <c r="C59" s="71" t="str">
        <f>進捗一覧!E61</f>
        <v>通行証の発行元が複数ある状態を、各アプリが受け入れられるようにするか</v>
      </c>
      <c r="D59" s="72" t="str">
        <f>進捗一覧!D61</f>
        <v>確定</v>
      </c>
      <c r="E59" s="70" t="s">
        <v>1352</v>
      </c>
      <c r="F59" s="72" t="s">
        <v>1345</v>
      </c>
      <c r="G59" s="72" t="s">
        <v>1294</v>
      </c>
      <c r="H59" s="80" t="s">
        <v>1353</v>
      </c>
    </row>
    <row r="60" spans="1:8" ht="16">
      <c r="A60" s="69" t="str">
        <f>進捗一覧!K62</f>
        <v>FR-AUTHZ-009</v>
      </c>
      <c r="B60" s="70" t="str">
        <f>進捗一覧!J62</f>
        <v>FR-AUTHZ 細粒度認可</v>
      </c>
      <c r="C60" s="71" t="str">
        <f>進捗一覧!E62</f>
        <v>「この書類はこの人だけ」といった個別データ単位の細かい権限管理が必要か</v>
      </c>
      <c r="D60" s="72" t="str">
        <f>進捗一覧!D62</f>
        <v>外部待ち</v>
      </c>
      <c r="E60" s="70" t="s">
        <v>1269</v>
      </c>
      <c r="F60" s="72" t="s">
        <v>1315</v>
      </c>
      <c r="G60" s="72" t="s">
        <v>1316</v>
      </c>
      <c r="H60" s="80" t="s">
        <v>1354</v>
      </c>
    </row>
    <row r="61" spans="1:8" ht="16">
      <c r="A61" s="69" t="str">
        <f>進捗一覧!K63</f>
        <v>FR-AUTHZ-010</v>
      </c>
      <c r="B61" s="70" t="str">
        <f>進捗一覧!J63</f>
        <v>FR-AUTHZ 細粒度認可</v>
      </c>
      <c r="C61" s="71" t="str">
        <f>進捗一覧!E63</f>
        <v>部署や職位などの属性を組み合わせて、その場で権限を決める仕組みが必要か</v>
      </c>
      <c r="D61" s="72" t="str">
        <f>進捗一覧!D63</f>
        <v>外部待ち</v>
      </c>
      <c r="E61" s="70" t="s">
        <v>1355</v>
      </c>
      <c r="F61" s="72" t="s">
        <v>1315</v>
      </c>
      <c r="G61" s="72" t="s">
        <v>1316</v>
      </c>
      <c r="H61" s="80" t="s">
        <v>1356</v>
      </c>
    </row>
    <row r="62" spans="1:8" ht="16">
      <c r="A62" s="69" t="str">
        <f>進捗一覧!K64</f>
        <v>FR-USER-001</v>
      </c>
      <c r="B62" s="70" t="str">
        <f>進捗一覧!J64</f>
        <v>FR-USER ユーザーCRUD</v>
      </c>
      <c r="C62" s="71" t="str">
        <f>進捗一覧!E64</f>
        <v>利用者情報の登録・変更・削除を、誰がどの画面やAPIから行えるようにするか</v>
      </c>
      <c r="D62" s="72" t="str">
        <f>進捗一覧!D64</f>
        <v>確定</v>
      </c>
      <c r="E62" s="70" t="s">
        <v>1357</v>
      </c>
      <c r="F62" s="72" t="s">
        <v>1358</v>
      </c>
      <c r="G62" s="72" t="s">
        <v>1294</v>
      </c>
      <c r="H62" s="80" t="s">
        <v>1359</v>
      </c>
    </row>
    <row r="63" spans="1:8" ht="16">
      <c r="A63" s="69" t="str">
        <f>進捗一覧!K65</f>
        <v>FR-USER-005</v>
      </c>
      <c r="B63" s="70" t="str">
        <f>進捗一覧!J65</f>
        <v>FR-USER ユーザーCRUD</v>
      </c>
      <c r="C63" s="71" t="str">
        <f>進捗一覧!E65</f>
        <v>利用者の検索・一覧表示に必要な検索条件と表示項目をどうするか</v>
      </c>
      <c r="D63" s="72" t="str">
        <f>進捗一覧!D65</f>
        <v>確定</v>
      </c>
      <c r="E63" s="70" t="s">
        <v>1619</v>
      </c>
      <c r="F63" s="72" t="s">
        <v>1620</v>
      </c>
      <c r="G63" s="72" t="s">
        <v>1431</v>
      </c>
      <c r="H63" s="80" t="s">
        <v>1621</v>
      </c>
    </row>
    <row r="64" spans="1:8" ht="16">
      <c r="A64" s="69" t="str">
        <f>進捗一覧!K66</f>
        <v>FR-USER-006</v>
      </c>
      <c r="B64" s="70" t="str">
        <f>進捗一覧!J66</f>
        <v>FR-USER ユーザーCRUD</v>
      </c>
      <c r="C64" s="71" t="str">
        <f>進捗一覧!E66</f>
        <v>利用者を削除せず一時停止できる状態を用意するか</v>
      </c>
      <c r="D64" s="72" t="str">
        <f>進捗一覧!D66</f>
        <v>確定</v>
      </c>
      <c r="E64" s="70" t="s">
        <v>1360</v>
      </c>
      <c r="F64" s="72" t="s">
        <v>1358</v>
      </c>
      <c r="G64" s="72" t="s">
        <v>1294</v>
      </c>
      <c r="H64" s="80" t="s">
        <v>1361</v>
      </c>
    </row>
    <row r="65" spans="1:8" ht="16">
      <c r="A65" s="69" t="str">
        <f>進捗一覧!K67</f>
        <v>FR-USER-011</v>
      </c>
      <c r="B65" s="70" t="str">
        <f>進捗一覧!J67</f>
        <v>FR-USER ユーザーCRUD</v>
      </c>
      <c r="C65" s="71" t="str">
        <f>進捗一覧!E67</f>
        <v>退職・解約時に利用者情報と関連データをどこまで消すか。保存期間をどうするか</v>
      </c>
      <c r="D65" s="72" t="str">
        <f>進捗一覧!D67</f>
        <v>方向性確定（条件付き）</v>
      </c>
      <c r="E65" s="70" t="s">
        <v>1362</v>
      </c>
      <c r="F65" s="72" t="s">
        <v>1315</v>
      </c>
      <c r="G65" s="72" t="s">
        <v>1294</v>
      </c>
      <c r="H65" s="80" t="s">
        <v>1363</v>
      </c>
    </row>
    <row r="66" spans="1:8" ht="16">
      <c r="A66" s="69" t="str">
        <f>進捗一覧!K68</f>
        <v>FR-USER-002</v>
      </c>
      <c r="B66" s="70" t="str">
        <f>進捗一覧!J68</f>
        <v>FR-USER 属性・ロール</v>
      </c>
      <c r="C66" s="71" t="str">
        <f>進捗一覧!E68</f>
        <v>標準で用意される項目以外に、独自に持たせたい項目を何にするか</v>
      </c>
      <c r="D66" s="72" t="str">
        <f>進捗一覧!D68</f>
        <v>確定</v>
      </c>
      <c r="E66" s="70" t="s">
        <v>1364</v>
      </c>
      <c r="F66" s="72" t="s">
        <v>1319</v>
      </c>
      <c r="G66" s="72" t="s">
        <v>1294</v>
      </c>
      <c r="H66" s="80" t="s">
        <v>1365</v>
      </c>
    </row>
    <row r="67" spans="1:8" ht="16">
      <c r="A67" s="69" t="str">
        <f>進捗一覧!K69</f>
        <v>FR-USER-007</v>
      </c>
      <c r="B67" s="70" t="str">
        <f>進捗一覧!J69</f>
        <v>FR-USER 属性・ロール</v>
      </c>
      <c r="C67" s="71" t="str">
        <f>進捗一覧!E69</f>
        <v>利用者をグループにまとめて管理する必要があるか</v>
      </c>
      <c r="D67" s="72" t="str">
        <f>進捗一覧!D69</f>
        <v>方向性確定（条件付き）</v>
      </c>
      <c r="E67" s="70" t="s">
        <v>1777</v>
      </c>
      <c r="F67" s="72" t="s">
        <v>1778</v>
      </c>
      <c r="G67" s="72" t="s">
        <v>1438</v>
      </c>
      <c r="H67" s="80" t="s">
        <v>1779</v>
      </c>
    </row>
    <row r="68" spans="1:8" ht="16">
      <c r="A68" s="69" t="str">
        <f>進捗一覧!K70</f>
        <v>FR-USER-008</v>
      </c>
      <c r="B68" s="70" t="str">
        <f>進捗一覧!J70</f>
        <v>FR-USER 属性・ロール</v>
      </c>
      <c r="C68" s="71" t="str">
        <f>進捗一覧!E70</f>
        <v>誰がどの役割を割り当てられるようにするか</v>
      </c>
      <c r="D68" s="72" t="str">
        <f>進捗一覧!D70</f>
        <v>方向性確定（条件付き）</v>
      </c>
      <c r="E68" s="70" t="s">
        <v>1366</v>
      </c>
      <c r="F68" s="72" t="s">
        <v>1358</v>
      </c>
      <c r="G68" s="72" t="s">
        <v>1294</v>
      </c>
      <c r="H68" s="80" t="s">
        <v>1367</v>
      </c>
    </row>
    <row r="69" spans="1:8" ht="16">
      <c r="A69" s="69" t="str">
        <f>進捗一覧!K71</f>
        <v>FR-USER-004</v>
      </c>
      <c r="B69" s="70" t="str">
        <f>進捗一覧!J71</f>
        <v>FR-USER セルフサービス</v>
      </c>
      <c r="C69" s="71" t="str">
        <f>進捗一覧!E71</f>
        <v>利用者が自分のプロフィールを自分で編集できる範囲をどこまでにするか</v>
      </c>
      <c r="D69" s="72" t="str">
        <f>進捗一覧!D71</f>
        <v>方向性確定（条件付き）</v>
      </c>
      <c r="E69" s="70" t="s">
        <v>1445</v>
      </c>
      <c r="F69" s="72" t="s">
        <v>1430</v>
      </c>
      <c r="G69" s="72" t="s">
        <v>1423</v>
      </c>
      <c r="H69" s="80" t="s">
        <v>1446</v>
      </c>
    </row>
    <row r="70" spans="1:8" ht="16">
      <c r="A70" s="69" t="str">
        <f>進捗一覧!K72</f>
        <v>FR-USER-012</v>
      </c>
      <c r="B70" s="70" t="str">
        <f>進捗一覧!J72</f>
        <v>FR-USER セルフサービス</v>
      </c>
      <c r="C70" s="71" t="str">
        <f>進捗一覧!E72</f>
        <v>新規登録時に招待メールを送る運用にするか。文面と有効期限をどうするか</v>
      </c>
      <c r="D70" s="72" t="str">
        <f>進捗一覧!D72</f>
        <v>方向性確定（条件付き）</v>
      </c>
      <c r="E70" s="70" t="s">
        <v>1623</v>
      </c>
      <c r="F70" s="72" t="s">
        <v>1624</v>
      </c>
      <c r="G70" s="72" t="s">
        <v>1423</v>
      </c>
      <c r="H70" s="80" t="s">
        <v>1625</v>
      </c>
    </row>
    <row r="71" spans="1:8" ht="16">
      <c r="A71" s="69" t="str">
        <f>進捗一覧!K73</f>
        <v>FR-USER-003</v>
      </c>
      <c r="B71" s="70" t="str">
        <f>進捗一覧!J73</f>
        <v>FR-USER プロビジョニング</v>
      </c>
      <c r="C71" s="71" t="str">
        <f>進捗一覧!E73</f>
        <v>顧客のID基盤から利用者情報を自動同期する標準方式に対応するか</v>
      </c>
      <c r="D71" s="72" t="str">
        <f>進捗一覧!D73</f>
        <v>外部待ち</v>
      </c>
      <c r="E71" s="70" t="s">
        <v>1368</v>
      </c>
      <c r="F71" s="72" t="s">
        <v>1315</v>
      </c>
      <c r="G71" s="72" t="s">
        <v>1294</v>
      </c>
      <c r="H71" s="80" t="s">
        <v>1369</v>
      </c>
    </row>
    <row r="72" spans="1:8" ht="16">
      <c r="A72" s="69" t="str">
        <f>進捗一覧!K74</f>
        <v>FR-USER-009</v>
      </c>
      <c r="B72" s="70" t="str">
        <f>進捗一覧!J74</f>
        <v>FR-USER プロビジョニング</v>
      </c>
      <c r="C72" s="71" t="str">
        <f>進捗一覧!E74</f>
        <v>表形式ファイルによる一括登録を用意するか。1回あたりの上限件数をどうするか</v>
      </c>
      <c r="D72" s="72" t="str">
        <f>進捗一覧!D74</f>
        <v>方向性確定（条件付き）</v>
      </c>
      <c r="E72" s="70" t="s">
        <v>1266</v>
      </c>
      <c r="F72" s="72" t="s">
        <v>1315</v>
      </c>
      <c r="G72" s="72" t="s">
        <v>1305</v>
      </c>
      <c r="H72" s="80" t="s">
        <v>1370</v>
      </c>
    </row>
    <row r="73" spans="1:8" ht="16">
      <c r="A73" s="69" t="str">
        <f>進捗一覧!K75</f>
        <v>FR-USER-010</v>
      </c>
      <c r="B73" s="70" t="str">
        <f>進捗一覧!J75</f>
        <v>FR-USER プロビジョニング</v>
      </c>
      <c r="C73" s="71" t="str">
        <f>進捗一覧!E75</f>
        <v>管理者が利用者のパスワードを強制的に再設定できるようにするか</v>
      </c>
      <c r="D73" s="72" t="str">
        <f>進捗一覧!D75</f>
        <v>確定</v>
      </c>
      <c r="E73" s="70" t="s">
        <v>1262</v>
      </c>
      <c r="F73" s="72" t="s">
        <v>1315</v>
      </c>
      <c r="G73" s="72" t="s">
        <v>1305</v>
      </c>
      <c r="H73" s="80" t="s">
        <v>1371</v>
      </c>
    </row>
    <row r="74" spans="1:8" ht="16">
      <c r="A74" s="69" t="str">
        <f>進捗一覧!K76</f>
        <v>FR-ADMIN-001</v>
      </c>
      <c r="B74" s="70" t="str">
        <f>進捗一覧!J76</f>
        <v>FR-ADMIN 基盤設定管理</v>
      </c>
      <c r="C74" s="71" t="str">
        <f>進捗一覧!E76</f>
        <v>運用担当者が使う管理画面を、どこまで自前で作るか</v>
      </c>
      <c r="D74" s="72" t="str">
        <f>進捗一覧!D76</f>
        <v>確定</v>
      </c>
      <c r="E74" s="70" t="s">
        <v>1372</v>
      </c>
      <c r="F74" s="72" t="s">
        <v>1315</v>
      </c>
      <c r="G74" s="72" t="s">
        <v>1294</v>
      </c>
      <c r="H74" s="80" t="s">
        <v>1373</v>
      </c>
    </row>
    <row r="75" spans="1:8" ht="16">
      <c r="A75" s="69" t="str">
        <f>進捗一覧!K77</f>
        <v>FR-ADMIN-002</v>
      </c>
      <c r="B75" s="70" t="str">
        <f>進捗一覧!J77</f>
        <v>FR-ADMIN 基盤設定管理</v>
      </c>
      <c r="C75" s="71" t="str">
        <f>進捗一覧!E77</f>
        <v>顧客テナントの追加・削除を誰がどの手順で行うか</v>
      </c>
      <c r="D75" s="72" t="str">
        <f>進捗一覧!D77</f>
        <v>方向性確定（条件付き）</v>
      </c>
      <c r="E75" s="70" t="s">
        <v>1626</v>
      </c>
      <c r="F75" s="72" t="s">
        <v>1627</v>
      </c>
      <c r="G75" s="72" t="s">
        <v>1423</v>
      </c>
      <c r="H75" s="80" t="s">
        <v>1628</v>
      </c>
    </row>
    <row r="76" spans="1:8" ht="16">
      <c r="A76" s="69" t="str">
        <f>進捗一覧!K78</f>
        <v>FR-ADMIN-003</v>
      </c>
      <c r="B76" s="70" t="str">
        <f>進捗一覧!J78</f>
        <v>FR-ADMIN 基盤設定管理</v>
      </c>
      <c r="C76" s="71" t="str">
        <f>進捗一覧!E78</f>
        <v>顧客のID基盤の登録・変更・削除を誰がどの手順で行うか</v>
      </c>
      <c r="D76" s="72" t="str">
        <f>進捗一覧!D78</f>
        <v>確定</v>
      </c>
      <c r="E76" s="70" t="s">
        <v>1374</v>
      </c>
      <c r="F76" s="72" t="s">
        <v>1293</v>
      </c>
      <c r="G76" s="72" t="s">
        <v>1294</v>
      </c>
      <c r="H76" s="80" t="s">
        <v>1375</v>
      </c>
    </row>
    <row r="77" spans="1:8" ht="16">
      <c r="A77" s="69" t="str">
        <f>進捗一覧!K79</f>
        <v>FR-ADMIN-004</v>
      </c>
      <c r="B77" s="70" t="str">
        <f>進捗一覧!J79</f>
        <v>FR-ADMIN 基盤設定管理</v>
      </c>
      <c r="C77" s="71" t="str">
        <f>進捗一覧!E79</f>
        <v>アプリの登録と設定変更を誰がどの手順で行うか</v>
      </c>
      <c r="D77" s="72" t="str">
        <f>進捗一覧!D79</f>
        <v>確定</v>
      </c>
      <c r="E77" s="70" t="s">
        <v>1261</v>
      </c>
      <c r="F77" s="72" t="s">
        <v>1293</v>
      </c>
      <c r="G77" s="72" t="s">
        <v>1294</v>
      </c>
      <c r="H77" s="80" t="s">
        <v>1376</v>
      </c>
    </row>
    <row r="78" spans="1:8" ht="16">
      <c r="A78" s="69" t="str">
        <f>進捗一覧!K80</f>
        <v>FR-ADMIN-005</v>
      </c>
      <c r="B78" s="70" t="str">
        <f>進捗一覧!J80</f>
        <v>FR-ADMIN 基盤設定管理</v>
      </c>
      <c r="C78" s="71" t="str">
        <f>進捗一覧!E80</f>
        <v>どんな役割を用意するかの定義を、誰が管理するか</v>
      </c>
      <c r="D78" s="72" t="str">
        <f>進捗一覧!D80</f>
        <v>方向性確定（条件付き）</v>
      </c>
      <c r="E78" s="70" t="s">
        <v>1629</v>
      </c>
      <c r="F78" s="72" t="s">
        <v>1630</v>
      </c>
      <c r="G78" s="72" t="s">
        <v>1431</v>
      </c>
      <c r="H78" s="80" t="s">
        <v>1631</v>
      </c>
    </row>
    <row r="79" spans="1:8" ht="16">
      <c r="A79" s="69" t="str">
        <f>進捗一覧!K81</f>
        <v>FR-ADMIN-009</v>
      </c>
      <c r="B79" s="70" t="str">
        <f>進捗一覧!J81</f>
        <v>FR-ADMIN 基盤設定管理</v>
      </c>
      <c r="C79" s="71" t="str">
        <f>進捗一覧!E81</f>
        <v>顧客ごとの設定が互いに見えない・触れない状態を、どう担保するか</v>
      </c>
      <c r="D79" s="72" t="str">
        <f>進捗一覧!D81</f>
        <v>確定</v>
      </c>
      <c r="E79" s="70" t="s">
        <v>1377</v>
      </c>
      <c r="F79" s="72" t="s">
        <v>1345</v>
      </c>
      <c r="G79" s="72" t="s">
        <v>1294</v>
      </c>
      <c r="H79" s="80" t="s">
        <v>1378</v>
      </c>
    </row>
    <row r="80" spans="1:8" ht="16">
      <c r="A80" s="69" t="str">
        <f>進捗一覧!K82</f>
        <v>FR-ADMIN-007</v>
      </c>
      <c r="B80" s="70" t="str">
        <f>進捗一覧!J82</f>
        <v>FR-ADMIN 監査・可視性</v>
      </c>
      <c r="C80" s="71" t="str">
        <f>進捗一覧!E82</f>
        <v>誰がいつ何をしたかの記録を、誰がどの画面で見られるようにするか</v>
      </c>
      <c r="D80" s="72" t="str">
        <f>進捗一覧!D82</f>
        <v>方向性確定（条件付き）</v>
      </c>
      <c r="E80" s="70" t="s">
        <v>1579</v>
      </c>
      <c r="F80" s="72" t="s">
        <v>1580</v>
      </c>
      <c r="G80" s="72" t="s">
        <v>1431</v>
      </c>
      <c r="H80" s="80" t="s">
        <v>1581</v>
      </c>
    </row>
    <row r="81" spans="1:8" ht="16">
      <c r="A81" s="69" t="str">
        <f>進捗一覧!K83</f>
        <v>FR-ADMIN-008</v>
      </c>
      <c r="B81" s="70" t="str">
        <f>進捗一覧!J83</f>
        <v>FR-ADMIN 監査・可視性</v>
      </c>
      <c r="C81" s="71" t="str">
        <f>進捗一覧!E83</f>
        <v>設定変更の履歴をどこまで残し、いつまで保存するか</v>
      </c>
      <c r="D81" s="72" t="str">
        <f>進捗一覧!D83</f>
        <v>方向性確定（条件付き）</v>
      </c>
      <c r="E81" s="70" t="s">
        <v>1582</v>
      </c>
      <c r="F81" s="72" t="s">
        <v>1583</v>
      </c>
      <c r="G81" s="72" t="s">
        <v>1431</v>
      </c>
      <c r="H81" s="80" t="s">
        <v>1584</v>
      </c>
    </row>
    <row r="82" spans="1:8" ht="16">
      <c r="A82" s="69" t="str">
        <f>進捗一覧!K84</f>
        <v>FR-ADMIN-006</v>
      </c>
      <c r="B82" s="70" t="str">
        <f>進捗一覧!J84</f>
        <v>FR-ADMIN 権限委譲・カスタマイズ</v>
      </c>
      <c r="C82" s="71" t="str">
        <f>進捗一覧!E84</f>
        <v>管理画面の操作権限をどこまで分ける必要があるか</v>
      </c>
      <c r="D82" s="72" t="str">
        <f>進捗一覧!D84</f>
        <v>外部待ち</v>
      </c>
      <c r="E82" s="70" t="s">
        <v>1632</v>
      </c>
      <c r="F82" s="72" t="s">
        <v>1620</v>
      </c>
      <c r="G82" s="72" t="s">
        <v>1431</v>
      </c>
      <c r="H82" s="80" t="s">
        <v>1633</v>
      </c>
    </row>
    <row r="83" spans="1:8" ht="16">
      <c r="A83" s="69" t="str">
        <f>進捗一覧!K85</f>
        <v>FR-ADMIN-010</v>
      </c>
      <c r="B83" s="70" t="str">
        <f>進捗一覧!J85</f>
        <v>FR-ADMIN 権限委譲・カスタマイズ</v>
      </c>
      <c r="C83" s="71" t="str">
        <f>進捗一覧!E85</f>
        <v>運用担当者側の役割分担（見るだけ／変更できる等）をどう分けるか</v>
      </c>
      <c r="D83" s="72" t="str">
        <f>進捗一覧!D85</f>
        <v>方向性確定（条件付き）</v>
      </c>
      <c r="E83" s="70" t="s">
        <v>1379</v>
      </c>
      <c r="F83" s="72" t="s">
        <v>1319</v>
      </c>
      <c r="G83" s="72" t="s">
        <v>1305</v>
      </c>
      <c r="H83" s="80" t="s">
        <v>1380</v>
      </c>
    </row>
    <row r="84" spans="1:8" ht="16">
      <c r="A84" s="69" t="str">
        <f>進捗一覧!K86</f>
        <v>FR-ADMIN-011</v>
      </c>
      <c r="B84" s="70" t="str">
        <f>進捗一覧!J86</f>
        <v>FR-ADMIN 権限委譲・カスタマイズ</v>
      </c>
      <c r="C84" s="71" t="str">
        <f>進捗一覧!E86</f>
        <v>顧客自身に自社の利用者管理を任せるか。任せる範囲をどこまでにするか</v>
      </c>
      <c r="D84" s="72" t="str">
        <f>進捗一覧!D86</f>
        <v>外部待ち</v>
      </c>
      <c r="E84" s="70" t="s">
        <v>1381</v>
      </c>
      <c r="F84" s="72" t="s">
        <v>1382</v>
      </c>
      <c r="G84" s="72" t="s">
        <v>1294</v>
      </c>
      <c r="H84" s="80" t="s">
        <v>1383</v>
      </c>
    </row>
    <row r="85" spans="1:8" ht="16">
      <c r="A85" s="69" t="str">
        <f>進捗一覧!K87</f>
        <v>FR-ADMIN-012</v>
      </c>
      <c r="B85" s="70" t="str">
        <f>進捗一覧!J87</f>
        <v>FR-ADMIN 権限委譲・カスタマイズ</v>
      </c>
      <c r="C85" s="71" t="str">
        <f>進捗一覧!E87</f>
        <v>ログイン画面を顧客ごとのロゴや配色に変えられるようにするか。どこまで変えられるか</v>
      </c>
      <c r="D85" s="72" t="str">
        <f>進捗一覧!D87</f>
        <v>方向性確定（条件付き）</v>
      </c>
      <c r="E85" s="70" t="s">
        <v>1448</v>
      </c>
      <c r="F85" s="72" t="s">
        <v>1422</v>
      </c>
      <c r="G85" s="72" t="s">
        <v>1431</v>
      </c>
      <c r="H85" s="80" t="s">
        <v>1449</v>
      </c>
    </row>
    <row r="86" spans="1:8" ht="16">
      <c r="A86" s="69" t="str">
        <f>進捗一覧!K88</f>
        <v>FR-INT-001</v>
      </c>
      <c r="B86" s="70" t="str">
        <f>進捗一覧!J88</f>
        <v>FR-INT プロトコル準拠</v>
      </c>
      <c r="C86" s="71" t="str">
        <f>進捗一覧!E88</f>
        <v>業界標準の認証仕様に準拠する方針でよいか</v>
      </c>
      <c r="D86" s="72" t="str">
        <f>進捗一覧!D88</f>
        <v>確定</v>
      </c>
      <c r="E86" s="70" t="s">
        <v>1384</v>
      </c>
      <c r="F86" s="72" t="s">
        <v>1297</v>
      </c>
      <c r="G86" s="72" t="s">
        <v>1294</v>
      </c>
      <c r="H86" s="80" t="s">
        <v>1385</v>
      </c>
    </row>
    <row r="87" spans="1:8" ht="16">
      <c r="A87" s="69" t="str">
        <f>進捗一覧!K89</f>
        <v>FR-INT-002</v>
      </c>
      <c r="B87" s="70" t="str">
        <f>進捗一覧!J89</f>
        <v>FR-INT プロトコル準拠</v>
      </c>
      <c r="C87" s="71" t="str">
        <f>進捗一覧!E89</f>
        <v>アプリが接続設定を自動取得できる標準の窓口を公開するか</v>
      </c>
      <c r="D87" s="72" t="str">
        <f>進捗一覧!D89</f>
        <v>確定</v>
      </c>
      <c r="E87" s="70" t="s">
        <v>1780</v>
      </c>
      <c r="F87" s="72" t="s">
        <v>1620</v>
      </c>
      <c r="G87" s="72" t="s">
        <v>1431</v>
      </c>
      <c r="H87" s="80" t="s">
        <v>1781</v>
      </c>
    </row>
    <row r="88" spans="1:8" ht="16">
      <c r="A88" s="69" t="str">
        <f>進捗一覧!K90</f>
        <v>FR-INT-003</v>
      </c>
      <c r="B88" s="70" t="str">
        <f>進捗一覧!J90</f>
        <v>FR-INT プロトコル準拠</v>
      </c>
      <c r="C88" s="71" t="str">
        <f>進捗一覧!E90</f>
        <v>通行証の正しさを検証するための鍵情報を公開する窓口を用意するか</v>
      </c>
      <c r="D88" s="72" t="str">
        <f>進捗一覧!D90</f>
        <v>確定</v>
      </c>
      <c r="E88" s="70" t="s">
        <v>1288</v>
      </c>
      <c r="F88" s="72" t="s">
        <v>1297</v>
      </c>
      <c r="G88" s="72" t="s">
        <v>1294</v>
      </c>
      <c r="H88" s="80" t="s">
        <v>1386</v>
      </c>
    </row>
    <row r="89" spans="1:8" ht="16">
      <c r="A89" s="69" t="str">
        <f>進捗一覧!K91</f>
        <v>FR-INT-004</v>
      </c>
      <c r="B89" s="70" t="str">
        <f>進捗一覧!J91</f>
        <v>FR-INT プロトコル準拠</v>
      </c>
      <c r="C89" s="71" t="str">
        <f>進捗一覧!E91</f>
        <v>旧来方式（SAML）向けの接続情報を公開する必要があるか</v>
      </c>
      <c r="D89" s="72" t="str">
        <f>進捗一覧!D91</f>
        <v>方向性確定（条件付き）</v>
      </c>
      <c r="E89" s="70" t="s">
        <v>1634</v>
      </c>
      <c r="F89" s="72" t="s">
        <v>1630</v>
      </c>
      <c r="G89" s="72" t="s">
        <v>1431</v>
      </c>
      <c r="H89" s="80" t="s">
        <v>1635</v>
      </c>
    </row>
    <row r="90" spans="1:8" ht="16">
      <c r="A90" s="69" t="str">
        <f>進捗一覧!K92</f>
        <v>FR-INT-007</v>
      </c>
      <c r="B90" s="70" t="str">
        <f>進捗一覧!J92</f>
        <v>FR-INT プロトコル準拠</v>
      </c>
      <c r="C90" s="71" t="str">
        <f>進捗一覧!E92</f>
        <v>AWSのAPI入口との接続方法を標準化するか</v>
      </c>
      <c r="D90" s="72" t="str">
        <f>進捗一覧!D92</f>
        <v>確定</v>
      </c>
      <c r="E90" s="70" t="s">
        <v>1288</v>
      </c>
      <c r="F90" s="72" t="s">
        <v>1297</v>
      </c>
      <c r="G90" s="72" t="s">
        <v>1305</v>
      </c>
      <c r="H90" s="80" t="s">
        <v>1351</v>
      </c>
    </row>
    <row r="91" spans="1:8" ht="16">
      <c r="A91" s="69" t="str">
        <f>進捗一覧!K93</f>
        <v>FR-INT-008</v>
      </c>
      <c r="B91" s="70" t="str">
        <f>進捗一覧!J93</f>
        <v>FR-INT ログ・監視</v>
      </c>
      <c r="C91" s="71" t="str">
        <f>進捗一覧!E93</f>
        <v>操作記録を外部にどの形式・どの頻度で出すか</v>
      </c>
      <c r="D91" s="72" t="str">
        <f>進捗一覧!D93</f>
        <v>方向性確定（条件付き）</v>
      </c>
      <c r="E91" s="70" t="s">
        <v>1585</v>
      </c>
      <c r="F91" s="72" t="s">
        <v>1583</v>
      </c>
      <c r="G91" s="72" t="s">
        <v>1431</v>
      </c>
      <c r="H91" s="80" t="s">
        <v>1586</v>
      </c>
    </row>
    <row r="92" spans="1:8" ht="16">
      <c r="A92" s="69" t="str">
        <f>進捗一覧!K94</f>
        <v>FR-INT-009</v>
      </c>
      <c r="B92" s="70" t="str">
        <f>進捗一覧!J94</f>
        <v>FR-INT ログ・監視</v>
      </c>
      <c r="C92" s="71" t="str">
        <f>進捗一覧!E94</f>
        <v>操作記録をセキュリティ監視製品に送る必要があるか。送り先をどこにするか</v>
      </c>
      <c r="D92" s="72" t="str">
        <f>進捗一覧!D94</f>
        <v>外部待ち</v>
      </c>
      <c r="E92" s="70" t="s">
        <v>1636</v>
      </c>
      <c r="F92" s="72" t="s">
        <v>1637</v>
      </c>
      <c r="G92" s="72" t="s">
        <v>1423</v>
      </c>
      <c r="H92" s="80" t="s">
        <v>1638</v>
      </c>
    </row>
    <row r="93" spans="1:8" ht="16">
      <c r="A93" s="69" t="str">
        <f>進捗一覧!K95</f>
        <v>FR-INT-005</v>
      </c>
      <c r="B93" s="70" t="str">
        <f>進捗一覧!J95</f>
        <v>FR-INT API・IaC・Webhook</v>
      </c>
      <c r="C93" s="71" t="str">
        <f>進捗一覧!E95</f>
        <v>利用者が作られた等の出来事を他システムに自動通知する必要があるか。通知先と項目をどうするか</v>
      </c>
      <c r="D93" s="72" t="str">
        <f>進捗一覧!D95</f>
        <v>外部待ち</v>
      </c>
      <c r="E93" s="70" t="s">
        <v>1639</v>
      </c>
      <c r="F93" s="72" t="s">
        <v>1622</v>
      </c>
      <c r="G93" s="72" t="s">
        <v>1431</v>
      </c>
      <c r="H93" s="80" t="s">
        <v>1640</v>
      </c>
    </row>
    <row r="94" spans="1:8" ht="16">
      <c r="A94" s="69" t="str">
        <f>進捗一覧!K96</f>
        <v>FR-INT-006</v>
      </c>
      <c r="B94" s="70" t="str">
        <f>進捗一覧!J96</f>
        <v>FR-INT API・IaC・Webhook</v>
      </c>
      <c r="C94" s="71" t="str">
        <f>進捗一覧!E96</f>
        <v>外部から設定や利用者を操作するためのAPIを、どこまで公開するか</v>
      </c>
      <c r="D94" s="72" t="str">
        <f>進捗一覧!D96</f>
        <v>方向性確定（条件付き）</v>
      </c>
      <c r="E94" s="70" t="s">
        <v>1387</v>
      </c>
      <c r="F94" s="72" t="s">
        <v>1382</v>
      </c>
      <c r="G94" s="72" t="s">
        <v>1294</v>
      </c>
      <c r="H94" s="80" t="s">
        <v>1388</v>
      </c>
    </row>
    <row r="95" spans="1:8" ht="16">
      <c r="A95" s="69" t="str">
        <f>進捗一覧!K97</f>
        <v>FR-INT-010</v>
      </c>
      <c r="B95" s="70" t="str">
        <f>進捗一覧!J97</f>
        <v>FR-INT API・IaC・Webhook</v>
      </c>
      <c r="C95" s="71" t="str">
        <f>進捗一覧!E97</f>
        <v>設定を手作業ではなくコードで管理する方針でよいか。対象範囲をどこまでにするか</v>
      </c>
      <c r="D95" s="72" t="str">
        <f>進捗一覧!D97</f>
        <v>確定</v>
      </c>
      <c r="E95" s="70" t="s">
        <v>1261</v>
      </c>
      <c r="F95" s="72" t="s">
        <v>1293</v>
      </c>
      <c r="G95" s="72" t="s">
        <v>1294</v>
      </c>
      <c r="H95" s="80" t="s">
        <v>1389</v>
      </c>
    </row>
    <row r="96" spans="1:8" ht="16">
      <c r="A96" s="69" t="str">
        <f>進捗一覧!K98</f>
        <v>NFR-AVL-001</v>
      </c>
      <c r="B96" s="70" t="str">
        <f>進捗一覧!J98</f>
        <v>NFR-AVL 可用性</v>
      </c>
      <c r="C96" s="71" t="str">
        <f>進捗一覧!E98</f>
        <v>何％の稼働率を顧客に約束するか。約束を下回ったときの扱いをどうするか。最重要の確認事項</v>
      </c>
      <c r="D96" s="72" t="str">
        <f>進捗一覧!D98</f>
        <v>外部待ち</v>
      </c>
      <c r="E96" s="70" t="s">
        <v>1501</v>
      </c>
      <c r="F96" s="72" t="s">
        <v>1502</v>
      </c>
      <c r="G96" s="72" t="s">
        <v>1431</v>
      </c>
      <c r="H96" s="80" t="s">
        <v>1503</v>
      </c>
    </row>
    <row r="97" spans="1:8" ht="16">
      <c r="A97" s="69" t="str">
        <f>進捗一覧!K99</f>
        <v>NFR-AVL-002</v>
      </c>
      <c r="B97" s="70" t="str">
        <f>進捗一覧!J99</f>
        <v>NFR-AVL 可用性</v>
      </c>
      <c r="C97" s="71" t="str">
        <f>進捗一覧!E99</f>
        <v>計画的な停止作業をいつ・どのくらいの頻度で行うか。事前通知をいつ出すか</v>
      </c>
      <c r="D97" s="72" t="str">
        <f>進捗一覧!D99</f>
        <v>外部待ち</v>
      </c>
      <c r="E97" s="70" t="s">
        <v>1504</v>
      </c>
      <c r="F97" s="72" t="s">
        <v>1502</v>
      </c>
      <c r="G97" s="72" t="s">
        <v>1431</v>
      </c>
      <c r="H97" s="80" t="s">
        <v>1505</v>
      </c>
    </row>
    <row r="98" spans="1:8" ht="16">
      <c r="A98" s="69" t="str">
        <f>進捗一覧!K100</f>
        <v>NFR-AVL-003</v>
      </c>
      <c r="B98" s="70" t="str">
        <f>進捗一覧!J100</f>
        <v>NFR-AVL 可用性</v>
      </c>
      <c r="C98" s="71" t="str">
        <f>進捗一覧!E100</f>
        <v>障害に備えて設備を複数の場所に分けて置くか</v>
      </c>
      <c r="D98" s="72" t="str">
        <f>進捗一覧!D100</f>
        <v>方向性確定（条件付き）</v>
      </c>
      <c r="E98" s="70" t="s">
        <v>1506</v>
      </c>
      <c r="F98" s="72" t="s">
        <v>1502</v>
      </c>
      <c r="G98" s="72" t="s">
        <v>1431</v>
      </c>
      <c r="H98" s="80" t="s">
        <v>1507</v>
      </c>
    </row>
    <row r="99" spans="1:8" ht="16">
      <c r="A99" s="69" t="str">
        <f>進捗一覧!K101</f>
        <v>NFR-AVL-004</v>
      </c>
      <c r="B99" s="70" t="str">
        <f>進捗一覧!J101</f>
        <v>NFR-AVL 可用性</v>
      </c>
      <c r="C99" s="71" t="str">
        <f>進捗一覧!E101</f>
        <v>部品が落ちたときに自動で立ち上げ直す仕組みを入れるか</v>
      </c>
      <c r="D99" s="72" t="str">
        <f>進捗一覧!D101</f>
        <v>確定</v>
      </c>
      <c r="E99" s="70" t="s">
        <v>1506</v>
      </c>
      <c r="F99" s="72" t="s">
        <v>1502</v>
      </c>
      <c r="G99" s="72" t="s">
        <v>1431</v>
      </c>
      <c r="H99" s="80" t="s">
        <v>1508</v>
      </c>
    </row>
    <row r="100" spans="1:8" ht="16">
      <c r="A100" s="69" t="str">
        <f>進捗一覧!K102</f>
        <v>NFR-AVL-005</v>
      </c>
      <c r="B100" s="70" t="str">
        <f>進捗一覧!J102</f>
        <v>NFR-AVL 可用性</v>
      </c>
      <c r="C100" s="71" t="str">
        <f>進捗一覧!E102</f>
        <v>1か所壊れると全部止まる箇所をなくす方針でよいか</v>
      </c>
      <c r="D100" s="72" t="str">
        <f>進捗一覧!D102</f>
        <v>方向性確定（条件付き）</v>
      </c>
      <c r="E100" s="70" t="s">
        <v>1509</v>
      </c>
      <c r="F100" s="72" t="s">
        <v>1502</v>
      </c>
      <c r="G100" s="72" t="s">
        <v>1431</v>
      </c>
      <c r="H100" s="80" t="s">
        <v>1510</v>
      </c>
    </row>
    <row r="101" spans="1:8" ht="16">
      <c r="A101" s="69" t="str">
        <f>進捗一覧!K103</f>
        <v>NFR-AVL-006</v>
      </c>
      <c r="B101" s="70" t="str">
        <f>進捗一覧!J103</f>
        <v>NFR-AVL 可用性</v>
      </c>
      <c r="C101" s="71" t="str">
        <f>進捗一覧!E103</f>
        <v>更新作業中もサービスを止めない方式にするか</v>
      </c>
      <c r="D101" s="72" t="str">
        <f>進捗一覧!D103</f>
        <v>方向性確定（条件付き）</v>
      </c>
      <c r="E101" s="70" t="s">
        <v>1511</v>
      </c>
      <c r="F101" s="72" t="s">
        <v>1502</v>
      </c>
      <c r="G101" s="72" t="s">
        <v>1431</v>
      </c>
      <c r="H101" s="80" t="s">
        <v>1512</v>
      </c>
    </row>
    <row r="102" spans="1:8" ht="16">
      <c r="A102" s="69" t="str">
        <f>進捗一覧!K104</f>
        <v>NFR-PERF-001</v>
      </c>
      <c r="B102" s="70" t="str">
        <f>進捗一覧!J104</f>
        <v>NFR-PERF 応答時間/レイテンシ</v>
      </c>
      <c r="C102" s="71" t="str">
        <f>進捗一覧!E104</f>
        <v>ログインが何秒以内に返れば合格とするか</v>
      </c>
      <c r="D102" s="72" t="str">
        <f>進捗一覧!D104</f>
        <v>方向性確定（条件付き）</v>
      </c>
      <c r="E102" s="70" t="s">
        <v>1540</v>
      </c>
      <c r="F102" s="72" t="s">
        <v>1541</v>
      </c>
      <c r="G102" s="72" t="s">
        <v>1423</v>
      </c>
      <c r="H102" s="80" t="s">
        <v>1542</v>
      </c>
    </row>
    <row r="103" spans="1:8" ht="16">
      <c r="A103" s="69" t="str">
        <f>進捗一覧!K105</f>
        <v>NFR-PERF-003</v>
      </c>
      <c r="B103" s="70" t="str">
        <f>進捗一覧!J105</f>
        <v>NFR-PERF 応答時間/レイテンシ</v>
      </c>
      <c r="C103" s="71" t="str">
        <f>進捗一覧!E105</f>
        <v>権限チェック部分の応答時間の目標をどこに置くか</v>
      </c>
      <c r="D103" s="72" t="str">
        <f>進捗一覧!D105</f>
        <v>確定</v>
      </c>
      <c r="E103" s="70" t="s">
        <v>1770</v>
      </c>
      <c r="F103" s="72" t="s">
        <v>1583</v>
      </c>
      <c r="G103" s="72" t="s">
        <v>1423</v>
      </c>
      <c r="H103" s="80" t="s">
        <v>1771</v>
      </c>
    </row>
    <row r="104" spans="1:8" ht="16">
      <c r="A104" s="69" t="str">
        <f>進捗一覧!K106</f>
        <v>NFR-PERF-004</v>
      </c>
      <c r="B104" s="70" t="str">
        <f>進捗一覧!J106</f>
        <v>NFR-PERF 応答時間/レイテンシ</v>
      </c>
      <c r="C104" s="71" t="str">
        <f>進捗一覧!E106</f>
        <v>通行証の検証を1秒あたり何件さばく必要があるか</v>
      </c>
      <c r="D104" s="72" t="str">
        <f>進捗一覧!D106</f>
        <v>確定</v>
      </c>
      <c r="E104" s="70" t="s">
        <v>1770</v>
      </c>
      <c r="F104" s="72" t="s">
        <v>1583</v>
      </c>
      <c r="G104" s="72" t="s">
        <v>1423</v>
      </c>
      <c r="H104" s="80" t="s">
        <v>1772</v>
      </c>
    </row>
    <row r="105" spans="1:8" ht="16">
      <c r="A105" s="69" t="str">
        <f>進捗一覧!K107</f>
        <v>NFR-PERF-005</v>
      </c>
      <c r="B105" s="70" t="str">
        <f>進捗一覧!J107</f>
        <v>NFR-PERF 応答時間/レイテンシ</v>
      </c>
      <c r="C105" s="71" t="str">
        <f>進捗一覧!E107</f>
        <v>検証用の鍵情報を各アプリが何分間覚えておくか</v>
      </c>
      <c r="D105" s="72" t="str">
        <f>進捗一覧!D107</f>
        <v>確定</v>
      </c>
      <c r="E105" s="70" t="s">
        <v>1544</v>
      </c>
      <c r="F105" s="72" t="s">
        <v>1543</v>
      </c>
      <c r="G105" s="72" t="s">
        <v>1423</v>
      </c>
      <c r="H105" s="80" t="s">
        <v>1545</v>
      </c>
    </row>
    <row r="106" spans="1:8" ht="16">
      <c r="A106" s="69" t="str">
        <f>進捗一覧!K108</f>
        <v>NFR-PERF-008</v>
      </c>
      <c r="B106" s="70" t="str">
        <f>進捗一覧!J108</f>
        <v>NFR-PERF 応答時間/レイテンシ</v>
      </c>
      <c r="C106" s="71" t="str">
        <f>進捗一覧!E108</f>
        <v>データベースの応答時間の目標をどこに置くか</v>
      </c>
      <c r="D106" s="72" t="str">
        <f>進捗一覧!D108</f>
        <v>方向性確定（条件付き）</v>
      </c>
      <c r="E106" s="70" t="s">
        <v>1546</v>
      </c>
      <c r="F106" s="72" t="s">
        <v>1541</v>
      </c>
      <c r="G106" s="72" t="s">
        <v>1423</v>
      </c>
      <c r="H106" s="80" t="s">
        <v>1547</v>
      </c>
    </row>
    <row r="107" spans="1:8" ht="16">
      <c r="A107" s="69" t="str">
        <f>進捗一覧!K109</f>
        <v>NFR-PERF-002</v>
      </c>
      <c r="B107" s="70" t="str">
        <f>進捗一覧!J109</f>
        <v>NFR-PERF スループット/スケール耐性</v>
      </c>
      <c r="C107" s="71" t="str">
        <f>進捗一覧!E109</f>
        <v>ログインが集中したとき、同時に何件まで耐える必要があるか</v>
      </c>
      <c r="D107" s="72" t="str">
        <f>進捗一覧!D109</f>
        <v>外部待ち</v>
      </c>
      <c r="E107" s="70" t="s">
        <v>1548</v>
      </c>
      <c r="F107" s="72" t="s">
        <v>1541</v>
      </c>
      <c r="G107" s="72" t="s">
        <v>1431</v>
      </c>
      <c r="H107" s="80" t="s">
        <v>1549</v>
      </c>
    </row>
    <row r="108" spans="1:8" ht="16">
      <c r="A108" s="69" t="str">
        <f>進捗一覧!K110</f>
        <v>NFR-PERF-006</v>
      </c>
      <c r="B108" s="70" t="str">
        <f>進捗一覧!J110</f>
        <v>NFR-PERF スループット/スケール耐性</v>
      </c>
      <c r="C108" s="71" t="str">
        <f>進捗一覧!E110</f>
        <v>入口で1秒あたりの受付上限をいくつにするか</v>
      </c>
      <c r="D108" s="72" t="str">
        <f>進捗一覧!D110</f>
        <v>外部待ち</v>
      </c>
      <c r="E108" s="70" t="s">
        <v>1550</v>
      </c>
      <c r="F108" s="72" t="s">
        <v>1541</v>
      </c>
      <c r="G108" s="72" t="s">
        <v>1423</v>
      </c>
      <c r="H108" s="80" t="s">
        <v>1551</v>
      </c>
    </row>
    <row r="109" spans="1:8" ht="16">
      <c r="A109" s="69" t="str">
        <f>進捗一覧!K111</f>
        <v>NFR-PERF-007</v>
      </c>
      <c r="B109" s="70" t="str">
        <f>進捗一覧!J111</f>
        <v>NFR-PERF スループット/スケール耐性</v>
      </c>
      <c r="C109" s="71" t="str">
        <f>進捗一覧!E111</f>
        <v>始業時など混み合う時間帯の想定と、その山をどう吸収するか</v>
      </c>
      <c r="D109" s="72" t="str">
        <f>進捗一覧!D111</f>
        <v>方向性確定（条件付き）</v>
      </c>
      <c r="E109" s="70" t="s">
        <v>1552</v>
      </c>
      <c r="F109" s="72" t="s">
        <v>1541</v>
      </c>
      <c r="G109" s="72" t="s">
        <v>1431</v>
      </c>
      <c r="H109" s="80" t="s">
        <v>1553</v>
      </c>
    </row>
    <row r="110" spans="1:8" ht="16">
      <c r="A110" s="69" t="str">
        <f>進捗一覧!K112</f>
        <v>NFR-SCL-001</v>
      </c>
      <c r="B110" s="70" t="str">
        <f>進捗一覧!J112</f>
        <v>NFR-SCL 拡張性</v>
      </c>
      <c r="C110" s="71" t="str">
        <f>進捗一覧!E112</f>
        <v>利用者数の上限をいくらと想定して設計するか。最重要の確認事項</v>
      </c>
      <c r="D110" s="72" t="str">
        <f>進捗一覧!D112</f>
        <v>外部待ち</v>
      </c>
      <c r="E110" s="70" t="s">
        <v>1554</v>
      </c>
      <c r="F110" s="72" t="s">
        <v>1541</v>
      </c>
      <c r="G110" s="72" t="s">
        <v>1431</v>
      </c>
      <c r="H110" s="80" t="s">
        <v>1555</v>
      </c>
    </row>
    <row r="111" spans="1:8" ht="16">
      <c r="A111" s="69" t="str">
        <f>進捗一覧!K113</f>
        <v>NFR-SCL-002</v>
      </c>
      <c r="B111" s="70" t="str">
        <f>進捗一覧!J113</f>
        <v>NFR-SCL 拡張性</v>
      </c>
      <c r="C111" s="71" t="str">
        <f>進捗一覧!E113</f>
        <v>同時にログイン状態になる人数を、最大いくらと見込むか</v>
      </c>
      <c r="D111" s="72" t="str">
        <f>進捗一覧!D113</f>
        <v>外部待ち</v>
      </c>
      <c r="E111" s="70" t="s">
        <v>1556</v>
      </c>
      <c r="F111" s="72" t="s">
        <v>1541</v>
      </c>
      <c r="G111" s="72" t="s">
        <v>1423</v>
      </c>
      <c r="H111" s="80" t="s">
        <v>1557</v>
      </c>
    </row>
    <row r="112" spans="1:8" ht="16">
      <c r="A112" s="69" t="str">
        <f>進捗一覧!K114</f>
        <v>NFR-SCL-003</v>
      </c>
      <c r="B112" s="70" t="str">
        <f>進捗一覧!J114</f>
        <v>NFR-SCL 拡張性</v>
      </c>
      <c r="C112" s="71" t="str">
        <f>進捗一覧!E114</f>
        <v>顧客の数（接続するID基盤の数）を最大いくらと見込むか</v>
      </c>
      <c r="D112" s="72" t="str">
        <f>進捗一覧!D114</f>
        <v>方向性確定（条件付き）</v>
      </c>
      <c r="E112" s="70" t="s">
        <v>1390</v>
      </c>
      <c r="F112" s="72" t="s">
        <v>1293</v>
      </c>
      <c r="G112" s="72" t="s">
        <v>1294</v>
      </c>
      <c r="H112" s="80" t="s">
        <v>1391</v>
      </c>
    </row>
    <row r="113" spans="1:8" ht="16">
      <c r="A113" s="69" t="str">
        <f>進捗一覧!K115</f>
        <v>NFR-SCL-004</v>
      </c>
      <c r="B113" s="70" t="str">
        <f>進捗一覧!J115</f>
        <v>NFR-SCL 拡張性</v>
      </c>
      <c r="C113" s="71" t="str">
        <f>進捗一覧!E115</f>
        <v>新しい顧客の接続を、依頼から何日で開通させるか</v>
      </c>
      <c r="D113" s="72" t="str">
        <f>進捗一覧!D115</f>
        <v>方向性確定（条件付き）</v>
      </c>
      <c r="E113" s="70" t="s">
        <v>1550</v>
      </c>
      <c r="F113" s="72" t="s">
        <v>1541</v>
      </c>
      <c r="G113" s="72" t="s">
        <v>1423</v>
      </c>
      <c r="H113" s="80" t="s">
        <v>1558</v>
      </c>
    </row>
    <row r="114" spans="1:8" ht="16">
      <c r="A114" s="69" t="str">
        <f>進捗一覧!K116</f>
        <v>NFR-SCL-005</v>
      </c>
      <c r="B114" s="70" t="str">
        <f>進捗一覧!J116</f>
        <v>NFR-SCL 拡張性</v>
      </c>
      <c r="C114" s="71" t="str">
        <f>進捗一覧!E116</f>
        <v>混雑に応じて設備を自動で増減させるか。増やす・減らす判定基準をどうするか</v>
      </c>
      <c r="D114" s="72" t="str">
        <f>進捗一覧!D116</f>
        <v>方向性確定（条件付き）</v>
      </c>
      <c r="E114" s="70" t="s">
        <v>1552</v>
      </c>
      <c r="F114" s="72" t="s">
        <v>1541</v>
      </c>
      <c r="G114" s="72" t="s">
        <v>1431</v>
      </c>
      <c r="H114" s="80" t="s">
        <v>1559</v>
      </c>
    </row>
    <row r="115" spans="1:8" ht="16">
      <c r="A115" s="69" t="str">
        <f>進捗一覧!K117</f>
        <v>NFR-SCL-006</v>
      </c>
      <c r="B115" s="70" t="str">
        <f>進捗一覧!J117</f>
        <v>NFR-SCL 拡張性</v>
      </c>
      <c r="C115" s="71" t="str">
        <f>進捗一覧!E117</f>
        <v>複数の地域で同時に稼働させる必要があるか</v>
      </c>
      <c r="D115" s="72" t="str">
        <f>進捗一覧!D117</f>
        <v>外部待ち</v>
      </c>
      <c r="E115" s="70" t="s">
        <v>1560</v>
      </c>
      <c r="F115" s="72" t="s">
        <v>1561</v>
      </c>
      <c r="G115" s="72" t="s">
        <v>1431</v>
      </c>
      <c r="H115" s="80" t="s">
        <v>1562</v>
      </c>
    </row>
    <row r="116" spans="1:8" ht="16">
      <c r="A116" s="69" t="str">
        <f>進捗一覧!K118</f>
        <v>NFR-SCL-007</v>
      </c>
      <c r="B116" s="70" t="str">
        <f>進捗一覧!J118</f>
        <v>NFR-SCL 拡張性</v>
      </c>
      <c r="C116" s="71" t="str">
        <f>進捗一覧!E118</f>
        <v>データベースの拡張余地をどこまで確保するか</v>
      </c>
      <c r="D116" s="72" t="str">
        <f>進捗一覧!D118</f>
        <v>方向性確定（条件付き）</v>
      </c>
      <c r="E116" s="70" t="s">
        <v>1563</v>
      </c>
      <c r="F116" s="72" t="s">
        <v>1541</v>
      </c>
      <c r="G116" s="72" t="s">
        <v>1431</v>
      </c>
      <c r="H116" s="80" t="s">
        <v>1564</v>
      </c>
    </row>
    <row r="117" spans="1:8" ht="16">
      <c r="A117" s="69" t="str">
        <f>進捗一覧!K119</f>
        <v>NFR-SEC-001</v>
      </c>
      <c r="B117" s="70" t="str">
        <f>進捗一覧!J119</f>
        <v>NFR-SEC 暗号化・鍵管理</v>
      </c>
      <c r="C117" s="71" t="str">
        <f>進捗一覧!E119</f>
        <v>通信の暗号化をどの水準で必須にするか</v>
      </c>
      <c r="D117" s="72" t="str">
        <f>進捗一覧!D119</f>
        <v>方向性確定（条件付き）</v>
      </c>
      <c r="E117" s="70" t="s">
        <v>1565</v>
      </c>
      <c r="F117" s="72" t="s">
        <v>1541</v>
      </c>
      <c r="G117" s="72" t="s">
        <v>1431</v>
      </c>
      <c r="H117" s="80" t="s">
        <v>1566</v>
      </c>
    </row>
    <row r="118" spans="1:8" ht="16">
      <c r="A118" s="69" t="str">
        <f>進捗一覧!K120</f>
        <v>NFR-SEC-002</v>
      </c>
      <c r="B118" s="70" t="str">
        <f>進捗一覧!J120</f>
        <v>NFR-SEC 暗号化・鍵管理</v>
      </c>
      <c r="C118" s="71" t="str">
        <f>進捗一覧!E120</f>
        <v>保存データの暗号化をどこまで必須にするか。暗号鍵を誰が持つか</v>
      </c>
      <c r="D118" s="72" t="str">
        <f>進捗一覧!D120</f>
        <v>確定</v>
      </c>
      <c r="E118" s="70" t="s">
        <v>1462</v>
      </c>
      <c r="F118" s="72" t="s">
        <v>1455</v>
      </c>
      <c r="G118" s="72" t="s">
        <v>1431</v>
      </c>
      <c r="H118" s="80" t="s">
        <v>1463</v>
      </c>
    </row>
    <row r="119" spans="1:8" ht="16">
      <c r="A119" s="69" t="str">
        <f>進捗一覧!K121</f>
        <v>NFR-SEC-003</v>
      </c>
      <c r="B119" s="70" t="str">
        <f>進捗一覧!J121</f>
        <v>NFR-SEC 暗号化・鍵管理</v>
      </c>
      <c r="C119" s="71" t="str">
        <f>進捗一覧!E121</f>
        <v>通行証の署名方式に何を使うか</v>
      </c>
      <c r="D119" s="72" t="str">
        <f>進捗一覧!D121</f>
        <v>確定</v>
      </c>
      <c r="E119" s="70" t="s">
        <v>1464</v>
      </c>
      <c r="F119" s="72" t="s">
        <v>1465</v>
      </c>
      <c r="G119" s="72" t="s">
        <v>1431</v>
      </c>
      <c r="H119" s="80" t="s">
        <v>1466</v>
      </c>
    </row>
    <row r="120" spans="1:8" ht="16">
      <c r="A120" s="69" t="str">
        <f>進捗一覧!K122</f>
        <v>NFR-SEC-009</v>
      </c>
      <c r="B120" s="70" t="str">
        <f>進捗一覧!J122</f>
        <v>NFR-SEC 暗号化・鍵管理</v>
      </c>
      <c r="C120" s="71" t="str">
        <f>進捗一覧!E122</f>
        <v>パスワードをどの方式で保管するか。強度の設定値をどうするか</v>
      </c>
      <c r="D120" s="72" t="str">
        <f>進捗一覧!D122</f>
        <v>確定</v>
      </c>
      <c r="E120" s="70" t="s">
        <v>1454</v>
      </c>
      <c r="F120" s="72" t="s">
        <v>1455</v>
      </c>
      <c r="G120" s="72" t="s">
        <v>1423</v>
      </c>
      <c r="H120" s="80" t="s">
        <v>1467</v>
      </c>
    </row>
    <row r="121" spans="1:8" ht="16">
      <c r="A121" s="69" t="str">
        <f>進捗一覧!K123</f>
        <v>NFR-SEC-015</v>
      </c>
      <c r="B121" s="70" t="str">
        <f>進捗一覧!J123</f>
        <v>NFR-SEC 暗号化・鍵管理</v>
      </c>
      <c r="C121" s="71" t="str">
        <f>進捗一覧!E123</f>
        <v>接続用の秘密情報をどこに保管し、誰が取り出せるようにするか</v>
      </c>
      <c r="D121" s="72" t="str">
        <f>進捗一覧!D123</f>
        <v>確定</v>
      </c>
      <c r="E121" s="70" t="s">
        <v>1468</v>
      </c>
      <c r="F121" s="72" t="s">
        <v>1455</v>
      </c>
      <c r="G121" s="72" t="s">
        <v>1431</v>
      </c>
      <c r="H121" s="80" t="s">
        <v>1469</v>
      </c>
    </row>
    <row r="122" spans="1:8" ht="16">
      <c r="A122" s="69" t="str">
        <f>進捗一覧!K124</f>
        <v>NFR-SEC-004</v>
      </c>
      <c r="B122" s="70" t="str">
        <f>進捗一覧!J124</f>
        <v>NFR-SEC トークン・セッション</v>
      </c>
      <c r="C122" s="71" t="str">
        <f>進捗一覧!E124</f>
        <v>通行証の有効時間を何分にするか</v>
      </c>
      <c r="D122" s="72" t="str">
        <f>進捗一覧!D124</f>
        <v>方向性確定（条件付き）</v>
      </c>
      <c r="E122" s="70" t="s">
        <v>1392</v>
      </c>
      <c r="F122" s="72" t="s">
        <v>1297</v>
      </c>
      <c r="G122" s="72" t="s">
        <v>1294</v>
      </c>
      <c r="H122" s="80" t="s">
        <v>1393</v>
      </c>
    </row>
    <row r="123" spans="1:8" ht="16">
      <c r="A123" s="69" t="str">
        <f>進捗一覧!K125</f>
        <v>NFR-SEC-005</v>
      </c>
      <c r="B123" s="70" t="str">
        <f>進捗一覧!J125</f>
        <v>NFR-SEC トークン・セッション</v>
      </c>
      <c r="C123" s="71" t="str">
        <f>進捗一覧!E125</f>
        <v>再ログインなしで使い続けられる期間を何日にするか</v>
      </c>
      <c r="D123" s="72" t="str">
        <f>進捗一覧!D125</f>
        <v>方向性確定（条件付き）</v>
      </c>
      <c r="E123" s="70" t="s">
        <v>1394</v>
      </c>
      <c r="F123" s="72" t="s">
        <v>1297</v>
      </c>
      <c r="G123" s="72" t="s">
        <v>1294</v>
      </c>
      <c r="H123" s="80" t="s">
        <v>1395</v>
      </c>
    </row>
    <row r="124" spans="1:8" ht="16">
      <c r="A124" s="69" t="str">
        <f>進捗一覧!K126</f>
        <v>NFR-SEC-006</v>
      </c>
      <c r="B124" s="70" t="str">
        <f>進捗一覧!J126</f>
        <v>NFR-SEC トークン・セッション</v>
      </c>
      <c r="C124" s="71" t="str">
        <f>進捗一覧!E126</f>
        <v>本人確認情報の有効時間を何分にするか</v>
      </c>
      <c r="D124" s="72" t="str">
        <f>進捗一覧!D126</f>
        <v>方向性確定（条件付き）</v>
      </c>
      <c r="E124" s="70" t="s">
        <v>1396</v>
      </c>
      <c r="F124" s="72" t="s">
        <v>1297</v>
      </c>
      <c r="G124" s="72" t="s">
        <v>1294</v>
      </c>
      <c r="H124" s="80" t="s">
        <v>1397</v>
      </c>
    </row>
    <row r="125" spans="1:8" ht="16">
      <c r="A125" s="69" t="str">
        <f>進捗一覧!K127</f>
        <v>NFR-SEC-007</v>
      </c>
      <c r="B125" s="70" t="str">
        <f>進捗一覧!J127</f>
        <v>NFR-SEC トークン・セッション</v>
      </c>
      <c r="C125" s="71" t="str">
        <f>進捗一覧!E127</f>
        <v>使い回しを防ぐため、更新のたびに引換券を作り替える方式にするか</v>
      </c>
      <c r="D125" s="72" t="str">
        <f>進捗一覧!D127</f>
        <v>方向性確定（条件付き）</v>
      </c>
      <c r="E125" s="70" t="s">
        <v>1276</v>
      </c>
      <c r="F125" s="72" t="s">
        <v>1297</v>
      </c>
      <c r="G125" s="72" t="s">
        <v>1294</v>
      </c>
      <c r="H125" s="80" t="s">
        <v>1398</v>
      </c>
    </row>
    <row r="126" spans="1:8" ht="16">
      <c r="A126" s="69" t="str">
        <f>進捗一覧!K128</f>
        <v>NFR-SEC-008</v>
      </c>
      <c r="B126" s="70" t="str">
        <f>進捗一覧!J128</f>
        <v>NFR-SEC トークン・セッション</v>
      </c>
      <c r="C126" s="71" t="str">
        <f>進捗一覧!E128</f>
        <v>発行済みの通行証を有効期限前に取り消せる仕組みを用意するか</v>
      </c>
      <c r="D126" s="72" t="str">
        <f>進捗一覧!D128</f>
        <v>方向性確定（条件付き）</v>
      </c>
      <c r="E126" s="70" t="s">
        <v>1399</v>
      </c>
      <c r="F126" s="72" t="s">
        <v>1297</v>
      </c>
      <c r="G126" s="72" t="s">
        <v>1294</v>
      </c>
      <c r="H126" s="80" t="s">
        <v>1400</v>
      </c>
    </row>
    <row r="127" spans="1:8" ht="16">
      <c r="A127" s="69" t="str">
        <f>進捗一覧!K129</f>
        <v>NFR-SEC-020</v>
      </c>
      <c r="B127" s="70" t="str">
        <f>進捗一覧!J129</f>
        <v>NFR-SEC トークン・セッション</v>
      </c>
      <c r="C127" s="71" t="str">
        <f>進捗一覧!E129</f>
        <v>なりすましを防ぐため、ログイン時に識別子を作り替えるか</v>
      </c>
      <c r="D127" s="72" t="str">
        <f>進捗一覧!D129</f>
        <v>確定</v>
      </c>
      <c r="E127" s="70" t="s">
        <v>1454</v>
      </c>
      <c r="F127" s="72" t="s">
        <v>1455</v>
      </c>
      <c r="G127" s="72" t="s">
        <v>1423</v>
      </c>
      <c r="H127" s="80" t="s">
        <v>1481</v>
      </c>
    </row>
    <row r="128" spans="1:8" ht="16">
      <c r="A128" s="69" t="str">
        <f>進捗一覧!K130</f>
        <v>NFR-SEC-010</v>
      </c>
      <c r="B128" s="70" t="str">
        <f>進捗一覧!J130</f>
        <v>NFR-SEC 攻撃対策</v>
      </c>
      <c r="C128" s="71" t="str">
        <f>進捗一覧!E130</f>
        <v>パスワードの総当たり攻撃への対処方式をどれにするか</v>
      </c>
      <c r="D128" s="72" t="str">
        <f>進捗一覧!D130</f>
        <v>方向性確定（条件付き）</v>
      </c>
      <c r="E128" s="70" t="s">
        <v>1470</v>
      </c>
      <c r="F128" s="72" t="s">
        <v>1455</v>
      </c>
      <c r="G128" s="72" t="s">
        <v>1431</v>
      </c>
      <c r="H128" s="80" t="s">
        <v>1471</v>
      </c>
    </row>
    <row r="129" spans="1:8" ht="16">
      <c r="A129" s="69" t="str">
        <f>進捗一覧!K131</f>
        <v>NFR-SEC-010-2</v>
      </c>
      <c r="B129" s="70" t="str">
        <f>進捗一覧!J131</f>
        <v>NFR-SEC 攻撃対策</v>
      </c>
      <c r="C129" s="71" t="str">
        <f>進捗一覧!E131</f>
        <v>世の中に漏れていると分かっているパスワードの使用を拒否するか</v>
      </c>
      <c r="D129" s="72" t="str">
        <f>進捗一覧!D131</f>
        <v>外部待ち</v>
      </c>
      <c r="E129" s="70" t="s">
        <v>1482</v>
      </c>
      <c r="F129" s="72" t="s">
        <v>1455</v>
      </c>
      <c r="G129" s="72" t="s">
        <v>1431</v>
      </c>
      <c r="H129" s="80" t="s">
        <v>1483</v>
      </c>
    </row>
    <row r="130" spans="1:8" ht="16">
      <c r="A130" s="69" t="str">
        <f>進捗一覧!K132</f>
        <v>NFR-SEC-012</v>
      </c>
      <c r="B130" s="70" t="str">
        <f>進捗一覧!J132</f>
        <v>NFR-SEC 攻撃対策</v>
      </c>
      <c r="C130" s="71" t="str">
        <f>進捗一覧!E132</f>
        <v>大量アクセス攻撃への備えをどこまで行うか。誰が担うか</v>
      </c>
      <c r="D130" s="72" t="str">
        <f>進捗一覧!D132</f>
        <v>確定</v>
      </c>
      <c r="E130" s="70" t="s">
        <v>1454</v>
      </c>
      <c r="F130" s="72" t="s">
        <v>1455</v>
      </c>
      <c r="G130" s="72" t="s">
        <v>1423</v>
      </c>
      <c r="H130" s="80" t="s">
        <v>1484</v>
      </c>
    </row>
    <row r="131" spans="1:8" ht="16">
      <c r="A131" s="69" t="str">
        <f>進捗一覧!K133</f>
        <v>NFR-SEC-013</v>
      </c>
      <c r="B131" s="70" t="str">
        <f>進捗一覧!J133</f>
        <v>NFR-SEC 攻撃対策</v>
      </c>
      <c r="C131" s="71" t="str">
        <f>進捗一覧!E133</f>
        <v>疑似攻撃による検査を行うか。頻度と実施者をどうするか</v>
      </c>
      <c r="D131" s="72" t="str">
        <f>進捗一覧!D133</f>
        <v>外部待ち</v>
      </c>
      <c r="E131" s="70" t="s">
        <v>1782</v>
      </c>
      <c r="F131" s="72" t="s">
        <v>1455</v>
      </c>
      <c r="G131" s="72" t="s">
        <v>1423</v>
      </c>
      <c r="H131" s="80" t="s">
        <v>1783</v>
      </c>
    </row>
    <row r="132" spans="1:8" ht="16">
      <c r="A132" s="69" t="str">
        <f>進捗一覧!K134</f>
        <v>NFR-SEC-014</v>
      </c>
      <c r="B132" s="70" t="str">
        <f>進捗一覧!J134</f>
        <v>NFR-SEC 攻撃対策</v>
      </c>
      <c r="C132" s="71" t="str">
        <f>進捗一覧!E134</f>
        <v>弱点の自動検査をどの頻度で行うか。何を合格とするか</v>
      </c>
      <c r="D132" s="72" t="str">
        <f>進捗一覧!D134</f>
        <v>方向性確定（条件付き）</v>
      </c>
      <c r="E132" s="70" t="s">
        <v>1473</v>
      </c>
      <c r="F132" s="72" t="s">
        <v>1455</v>
      </c>
      <c r="G132" s="72" t="s">
        <v>1423</v>
      </c>
      <c r="H132" s="80" t="s">
        <v>1485</v>
      </c>
    </row>
    <row r="133" spans="1:8" ht="16">
      <c r="A133" s="69" t="str">
        <f>進捗一覧!K135</f>
        <v>NFR-SEC-011</v>
      </c>
      <c r="B133" s="70" t="str">
        <f>進捗一覧!J135</f>
        <v>NFR-SEC ネットワーク・境界制御</v>
      </c>
      <c r="C133" s="71" t="str">
        <f>進捗一覧!E135</f>
        <v>不正アクセスを入口で遮る仕組みを適用するか。その設定を誰が管理するか</v>
      </c>
      <c r="D133" s="72" t="str">
        <f>進捗一覧!D135</f>
        <v>方向性確定（条件付き）</v>
      </c>
      <c r="E133" s="70" t="s">
        <v>1454</v>
      </c>
      <c r="F133" s="72" t="s">
        <v>1455</v>
      </c>
      <c r="G133" s="72" t="s">
        <v>1423</v>
      </c>
      <c r="H133" s="80" t="s">
        <v>1486</v>
      </c>
    </row>
    <row r="134" spans="1:8" ht="16">
      <c r="A134" s="69" t="str">
        <f>進捗一覧!K136</f>
        <v>NFR-SEC-016</v>
      </c>
      <c r="B134" s="70" t="str">
        <f>進捗一覧!J136</f>
        <v>NFR-SEC ネットワーク・境界制御</v>
      </c>
      <c r="C134" s="71" t="str">
        <f>進捗一覧!E136</f>
        <v>サーバーを外部から直接触れない場所に置くか</v>
      </c>
      <c r="D134" s="72" t="str">
        <f>進捗一覧!D136</f>
        <v>確定</v>
      </c>
      <c r="E134" s="70" t="s">
        <v>1757</v>
      </c>
      <c r="F134" s="72" t="s">
        <v>1567</v>
      </c>
      <c r="G134" s="72" t="s">
        <v>1431</v>
      </c>
      <c r="H134" s="80" t="s">
        <v>1758</v>
      </c>
    </row>
    <row r="135" spans="1:8" ht="16">
      <c r="A135" s="69" t="str">
        <f>進捗一覧!K137</f>
        <v>NFR-SEC-017</v>
      </c>
      <c r="B135" s="70" t="str">
        <f>進捗一覧!J137</f>
        <v>NFR-SEC ネットワーク・境界制御</v>
      </c>
      <c r="C135" s="71" t="str">
        <f>進捗一覧!E137</f>
        <v>管理画面に誰がどこからアクセスできるようにするか</v>
      </c>
      <c r="D135" s="72" t="str">
        <f>進捗一覧!D137</f>
        <v>方向性確定（条件付き）</v>
      </c>
      <c r="E135" s="70" t="s">
        <v>1755</v>
      </c>
      <c r="F135" s="72" t="s">
        <v>1567</v>
      </c>
      <c r="G135" s="72" t="s">
        <v>1431</v>
      </c>
      <c r="H135" s="80" t="s">
        <v>1756</v>
      </c>
    </row>
    <row r="136" spans="1:8" ht="16">
      <c r="A136" s="69" t="str">
        <f>進捗一覧!K138</f>
        <v>NFR-SEC-018</v>
      </c>
      <c r="B136" s="70" t="str">
        <f>進捗一覧!J138</f>
        <v>NFR-SEC ネットワーク・境界制御</v>
      </c>
      <c r="C136" s="71" t="str">
        <f>進捗一覧!E138</f>
        <v>鍵情報の公開窓口をどこまで守るか</v>
      </c>
      <c r="D136" s="72" t="str">
        <f>進捗一覧!D138</f>
        <v>確定</v>
      </c>
      <c r="E136" s="70" t="s">
        <v>1488</v>
      </c>
      <c r="F136" s="72" t="s">
        <v>1465</v>
      </c>
      <c r="G136" s="72" t="s">
        <v>1423</v>
      </c>
      <c r="H136" s="80" t="s">
        <v>1489</v>
      </c>
    </row>
    <row r="137" spans="1:8" ht="16">
      <c r="A137" s="69" t="str">
        <f>進捗一覧!K139</f>
        <v>NFR-SEC-019</v>
      </c>
      <c r="B137" s="70" t="str">
        <f>進捗一覧!J139</f>
        <v>NFR-SEC ネットワーク・境界制御</v>
      </c>
      <c r="C137" s="71" t="str">
        <f>進捗一覧!E139</f>
        <v>内部の部品同士の通信でも身元確認を必須にするか</v>
      </c>
      <c r="D137" s="72" t="str">
        <f>進捗一覧!D139</f>
        <v>確定</v>
      </c>
      <c r="E137" s="70" t="s">
        <v>1491</v>
      </c>
      <c r="F137" s="72" t="s">
        <v>1455</v>
      </c>
      <c r="G137" s="72" t="s">
        <v>1431</v>
      </c>
      <c r="H137" s="80" t="s">
        <v>1492</v>
      </c>
    </row>
    <row r="138" spans="1:8" ht="16">
      <c r="A138" s="69" t="str">
        <f>進捗一覧!K140</f>
        <v>NFR-DR-001</v>
      </c>
      <c r="B138" s="70" t="str">
        <f>進捗一覧!J140</f>
        <v>NFR-DR 災害復旧</v>
      </c>
      <c r="C138" s="71" t="str">
        <f>進捗一覧!E140</f>
        <v>大きな障害からどれだけの時間で復旧させるか。最重要の確認事項</v>
      </c>
      <c r="D138" s="72" t="str">
        <f>進捗一覧!D140</f>
        <v>外部待ち</v>
      </c>
      <c r="E138" s="70" t="s">
        <v>1513</v>
      </c>
      <c r="F138" s="72" t="s">
        <v>1502</v>
      </c>
      <c r="G138" s="72" t="s">
        <v>1431</v>
      </c>
      <c r="H138" s="80" t="s">
        <v>1514</v>
      </c>
    </row>
    <row r="139" spans="1:8" ht="16">
      <c r="A139" s="69" t="str">
        <f>進捗一覧!K141</f>
        <v>NFR-DR-002</v>
      </c>
      <c r="B139" s="70" t="str">
        <f>進捗一覧!J141</f>
        <v>NFR-DR 災害復旧</v>
      </c>
      <c r="C139" s="71" t="str">
        <f>進捗一覧!E141</f>
        <v>障害時にどこまでのデータ喪失を許容するか。最重要の確認事項</v>
      </c>
      <c r="D139" s="72" t="str">
        <f>進捗一覧!D141</f>
        <v>外部待ち</v>
      </c>
      <c r="E139" s="70" t="s">
        <v>1515</v>
      </c>
      <c r="F139" s="72" t="s">
        <v>1502</v>
      </c>
      <c r="G139" s="72" t="s">
        <v>1423</v>
      </c>
      <c r="H139" s="80" t="s">
        <v>1516</v>
      </c>
    </row>
    <row r="140" spans="1:8" ht="16">
      <c r="A140" s="69" t="str">
        <f>進捗一覧!K142</f>
        <v>NFR-DR-003</v>
      </c>
      <c r="B140" s="70" t="str">
        <f>進捗一覧!J142</f>
        <v>NFR-DR 災害復旧</v>
      </c>
      <c r="C140" s="71" t="str">
        <f>進捗一覧!E142</f>
        <v>予備側への切替を自動で行うか、人の判断で行うか</v>
      </c>
      <c r="D140" s="72" t="str">
        <f>進捗一覧!D142</f>
        <v>外部待ち</v>
      </c>
      <c r="E140" s="70" t="s">
        <v>1517</v>
      </c>
      <c r="F140" s="72" t="s">
        <v>1502</v>
      </c>
      <c r="G140" s="72" t="s">
        <v>1431</v>
      </c>
      <c r="H140" s="80" t="s">
        <v>1518</v>
      </c>
    </row>
    <row r="141" spans="1:8" ht="16">
      <c r="A141" s="69" t="str">
        <f>進捗一覧!K143</f>
        <v>NFR-DR-004</v>
      </c>
      <c r="B141" s="70" t="str">
        <f>進捗一覧!J143</f>
        <v>NFR-DR 災害復旧</v>
      </c>
      <c r="C141" s="71" t="str">
        <f>進捗一覧!E143</f>
        <v>バックアップを何日分保持するか</v>
      </c>
      <c r="D141" s="72" t="str">
        <f>進捗一覧!D143</f>
        <v>方向性確定（条件付き）</v>
      </c>
      <c r="E141" s="70" t="s">
        <v>1519</v>
      </c>
      <c r="F141" s="72" t="s">
        <v>1502</v>
      </c>
      <c r="G141" s="72" t="s">
        <v>1423</v>
      </c>
      <c r="H141" s="80" t="s">
        <v>1520</v>
      </c>
    </row>
    <row r="142" spans="1:8" ht="16">
      <c r="A142" s="69" t="str">
        <f>進捗一覧!K144</f>
        <v>NFR-DR-005</v>
      </c>
      <c r="B142" s="70" t="str">
        <f>進捗一覧!J144</f>
        <v>NFR-DR 災害復旧</v>
      </c>
      <c r="C142" s="71" t="str">
        <f>進捗一覧!E144</f>
        <v>任意の時点まで巻き戻せる仕組みを用意するか。遡れる範囲を何日にするか</v>
      </c>
      <c r="D142" s="72" t="str">
        <f>進捗一覧!D144</f>
        <v>方向性確定（条件付き）</v>
      </c>
      <c r="E142" s="70" t="s">
        <v>1521</v>
      </c>
      <c r="F142" s="72" t="s">
        <v>1502</v>
      </c>
      <c r="G142" s="72" t="s">
        <v>1431</v>
      </c>
      <c r="H142" s="80" t="s">
        <v>1522</v>
      </c>
    </row>
    <row r="143" spans="1:8" ht="16">
      <c r="A143" s="69" t="str">
        <f>進捗一覧!K145</f>
        <v>NFR-DR-006</v>
      </c>
      <c r="B143" s="70" t="str">
        <f>進捗一覧!J145</f>
        <v>NFR-DR 災害復旧</v>
      </c>
      <c r="C143" s="71" t="str">
        <f>進捗一覧!E145</f>
        <v>バックアップを別の地域にも複製するか</v>
      </c>
      <c r="D143" s="72" t="str">
        <f>進捗一覧!D145</f>
        <v>方向性確定（条件付き）</v>
      </c>
      <c r="E143" s="70" t="s">
        <v>1519</v>
      </c>
      <c r="F143" s="72" t="s">
        <v>1502</v>
      </c>
      <c r="G143" s="72" t="s">
        <v>1431</v>
      </c>
      <c r="H143" s="80" t="s">
        <v>1523</v>
      </c>
    </row>
    <row r="144" spans="1:8" ht="16">
      <c r="A144" s="69" t="str">
        <f>進捗一覧!K146</f>
        <v>NFR-DR-007</v>
      </c>
      <c r="B144" s="70" t="str">
        <f>進捗一覧!J146</f>
        <v>NFR-DR 災害復旧</v>
      </c>
      <c r="C144" s="71" t="str">
        <f>進捗一覧!E146</f>
        <v>復旧手順の訓練をどの頻度で行うか。誰が参加するか</v>
      </c>
      <c r="D144" s="72" t="str">
        <f>進捗一覧!D146</f>
        <v>外部待ち</v>
      </c>
      <c r="E144" s="70" t="s">
        <v>1524</v>
      </c>
      <c r="F144" s="72" t="s">
        <v>1502</v>
      </c>
      <c r="G144" s="72" t="s">
        <v>1431</v>
      </c>
      <c r="H144" s="80" t="s">
        <v>1525</v>
      </c>
    </row>
    <row r="145" spans="1:8" ht="16">
      <c r="A145" s="69" t="str">
        <f>進捗一覧!K147</f>
        <v>NFR-DR-008</v>
      </c>
      <c r="B145" s="70" t="str">
        <f>進捗一覧!J147</f>
        <v>NFR-DR 災害復旧</v>
      </c>
      <c r="C145" s="71" t="str">
        <f>進捗一覧!E147</f>
        <v>切替時にログイン状態を維持するか、利用者に再ログインを求めるか</v>
      </c>
      <c r="D145" s="72" t="str">
        <f>進捗一覧!D147</f>
        <v>方向性確定（条件付き）</v>
      </c>
      <c r="E145" s="70" t="s">
        <v>1526</v>
      </c>
      <c r="F145" s="72" t="s">
        <v>1502</v>
      </c>
      <c r="G145" s="72" t="s">
        <v>1431</v>
      </c>
      <c r="H145" s="80" t="s">
        <v>1527</v>
      </c>
    </row>
    <row r="146" spans="1:8" ht="16">
      <c r="A146" s="69" t="str">
        <f>進捗一覧!K148</f>
        <v>NFR-OPS-001</v>
      </c>
      <c r="B146" s="70" t="str">
        <f>進捗一覧!J148</f>
        <v>NFR-OPS 監視・ロギング</v>
      </c>
      <c r="C146" s="71" t="str">
        <f>進捗一覧!E148</f>
        <v>何を監視項目とし、どの値を異常とみなすか</v>
      </c>
      <c r="D146" s="72" t="str">
        <f>進捗一覧!D148</f>
        <v>方向性確定（条件付き）</v>
      </c>
      <c r="E146" s="70" t="s">
        <v>1588</v>
      </c>
      <c r="F146" s="72" t="s">
        <v>1528</v>
      </c>
      <c r="G146" s="72" t="s">
        <v>1431</v>
      </c>
      <c r="H146" s="80" t="s">
        <v>1589</v>
      </c>
    </row>
    <row r="147" spans="1:8" ht="16">
      <c r="A147" s="69" t="str">
        <f>進捗一覧!K149</f>
        <v>NFR-OPS-002</v>
      </c>
      <c r="B147" s="70" t="str">
        <f>進捗一覧!J149</f>
        <v>NFR-OPS 監視・ロギング</v>
      </c>
      <c r="C147" s="71" t="str">
        <f>進捗一覧!E149</f>
        <v>誰にどの経路で通知するか。夜間・休日の対応をどうするか</v>
      </c>
      <c r="D147" s="72" t="str">
        <f>進捗一覧!D149</f>
        <v>方向性確定（条件付き）</v>
      </c>
      <c r="E147" s="70" t="s">
        <v>1590</v>
      </c>
      <c r="F147" s="72" t="s">
        <v>1583</v>
      </c>
      <c r="G147" s="72" t="s">
        <v>1431</v>
      </c>
      <c r="H147" s="80" t="s">
        <v>1591</v>
      </c>
    </row>
    <row r="148" spans="1:8" ht="16">
      <c r="A148" s="69" t="str">
        <f>進捗一覧!K150</f>
        <v>NFR-OPS-003</v>
      </c>
      <c r="B148" s="70" t="str">
        <f>進捗一覧!J150</f>
        <v>NFR-OPS 監視・ロギング</v>
      </c>
      <c r="C148" s="71" t="str">
        <f>進捗一覧!E150</f>
        <v>各種ログを何日保存するか</v>
      </c>
      <c r="D148" s="72" t="str">
        <f>進捗一覧!D150</f>
        <v>外部待ち</v>
      </c>
      <c r="E148" s="70" t="s">
        <v>1474</v>
      </c>
      <c r="F148" s="72" t="s">
        <v>1475</v>
      </c>
      <c r="G148" s="72" t="s">
        <v>1431</v>
      </c>
      <c r="H148" s="80" t="s">
        <v>1476</v>
      </c>
    </row>
    <row r="149" spans="1:8" ht="16">
      <c r="A149" s="69" t="str">
        <f>進捗一覧!K151</f>
        <v>NFR-OPS-004</v>
      </c>
      <c r="B149" s="70" t="str">
        <f>進捗一覧!J151</f>
        <v>NFR-OPS 監視・ロギング</v>
      </c>
      <c r="C149" s="71" t="str">
        <f>進捗一覧!E151</f>
        <v>障害時にログをどれだけ速く探せる状態にしておくか</v>
      </c>
      <c r="D149" s="72" t="str">
        <f>進捗一覧!D151</f>
        <v>方向性確定（条件付き）</v>
      </c>
      <c r="E149" s="70" t="s">
        <v>1474</v>
      </c>
      <c r="F149" s="72" t="s">
        <v>1475</v>
      </c>
      <c r="G149" s="72" t="s">
        <v>1423</v>
      </c>
      <c r="H149" s="80" t="s">
        <v>1477</v>
      </c>
    </row>
    <row r="150" spans="1:8" ht="16">
      <c r="A150" s="69" t="str">
        <f>進捗一覧!K152</f>
        <v>NFR-OPS-005</v>
      </c>
      <c r="B150" s="70" t="str">
        <f>進捗一覧!J152</f>
        <v>NFR-OPS デプロイ・パッチ</v>
      </c>
      <c r="C150" s="71" t="str">
        <f>進捗一覧!E152</f>
        <v>製品の更新をどの頻度・どの手順で当てるか</v>
      </c>
      <c r="D150" s="72" t="str">
        <f>進捗一覧!D152</f>
        <v>外部待ち</v>
      </c>
      <c r="E150" s="70" t="s">
        <v>1592</v>
      </c>
      <c r="F150" s="72" t="s">
        <v>1593</v>
      </c>
      <c r="G150" s="72" t="s">
        <v>1431</v>
      </c>
      <c r="H150" s="80" t="s">
        <v>1594</v>
      </c>
    </row>
    <row r="151" spans="1:8" ht="16">
      <c r="A151" s="69" t="str">
        <f>進捗一覧!K153</f>
        <v>NFR-OPS-006</v>
      </c>
      <c r="B151" s="70" t="str">
        <f>進捗一覧!J153</f>
        <v>NFR-OPS デプロイ・パッチ</v>
      </c>
      <c r="C151" s="71" t="str">
        <f>進捗一覧!E153</f>
        <v>脆弱性が公表されたとき、何日以内に対処するか</v>
      </c>
      <c r="D151" s="72" t="str">
        <f>進捗一覧!D153</f>
        <v>方向性確定（条件付き）</v>
      </c>
      <c r="E151" s="70" t="s">
        <v>1595</v>
      </c>
      <c r="F151" s="72" t="s">
        <v>1583</v>
      </c>
      <c r="G151" s="72" t="s">
        <v>1431</v>
      </c>
      <c r="H151" s="80" t="s">
        <v>1596</v>
      </c>
    </row>
    <row r="152" spans="1:8" ht="16">
      <c r="A152" s="69" t="str">
        <f>進捗一覧!K154</f>
        <v>NFR-OPS-007</v>
      </c>
      <c r="B152" s="70" t="str">
        <f>進捗一覧!J154</f>
        <v>NFR-OPS デプロイ・パッチ</v>
      </c>
      <c r="C152" s="71" t="str">
        <f>進捗一覧!E154</f>
        <v>設定変更の申請・承認・適用の流れを誰がどう回すか</v>
      </c>
      <c r="D152" s="72" t="str">
        <f>進捗一覧!D154</f>
        <v>方向性確定（条件付き）</v>
      </c>
      <c r="E152" s="70" t="s">
        <v>1597</v>
      </c>
      <c r="F152" s="72" t="s">
        <v>1583</v>
      </c>
      <c r="G152" s="72" t="s">
        <v>1431</v>
      </c>
      <c r="H152" s="80" t="s">
        <v>1598</v>
      </c>
    </row>
    <row r="153" spans="1:8" ht="16">
      <c r="A153" s="69" t="str">
        <f>進捗一覧!K155</f>
        <v>NFR-OPS-010</v>
      </c>
      <c r="B153" s="70" t="str">
        <f>進捗一覧!J155</f>
        <v>NFR-OPS デプロイ・パッチ</v>
      </c>
      <c r="C153" s="71" t="str">
        <f>進捗一覧!E155</f>
        <v>更新作業の自動化をどこまで行うか</v>
      </c>
      <c r="D153" s="72" t="str">
        <f>進捗一覧!D155</f>
        <v>方向性確定（条件付き）</v>
      </c>
      <c r="E153" s="70" t="s">
        <v>1599</v>
      </c>
      <c r="F153" s="72" t="s">
        <v>1583</v>
      </c>
      <c r="G153" s="72" t="s">
        <v>1431</v>
      </c>
      <c r="H153" s="80" t="s">
        <v>1600</v>
      </c>
    </row>
    <row r="154" spans="1:8" ht="16">
      <c r="A154" s="69" t="str">
        <f>進捗一覧!K156</f>
        <v>NFR-OPS-008</v>
      </c>
      <c r="B154" s="70" t="str">
        <f>進捗一覧!J156</f>
        <v>NFR-OPS 体制・運用SLA</v>
      </c>
      <c r="C154" s="71" t="str">
        <f>進捗一覧!E156</f>
        <v>障害時の連絡体制と役割分担をどう組むか</v>
      </c>
      <c r="D154" s="72" t="str">
        <f>進捗一覧!D156</f>
        <v>外部待ち</v>
      </c>
      <c r="E154" s="70" t="s">
        <v>1601</v>
      </c>
      <c r="F154" s="72" t="s">
        <v>1583</v>
      </c>
      <c r="G154" s="72" t="s">
        <v>1423</v>
      </c>
      <c r="H154" s="80" t="s">
        <v>1602</v>
      </c>
    </row>
    <row r="155" spans="1:8" ht="16">
      <c r="A155" s="69" t="str">
        <f>進捗一覧!K157</f>
        <v>NFR-OPS-009</v>
      </c>
      <c r="B155" s="70" t="str">
        <f>進捗一覧!J157</f>
        <v>NFR-OPS 体制・運用SLA</v>
      </c>
      <c r="C155" s="71" t="str">
        <f>進捗一覧!E157</f>
        <v>運用に何人月かかる前提とするか。誰が担当するか</v>
      </c>
      <c r="D155" s="72" t="str">
        <f>進捗一覧!D157</f>
        <v>方向性確定（条件付き）</v>
      </c>
      <c r="E155" s="70" t="s">
        <v>1784</v>
      </c>
      <c r="F155" s="72" t="s">
        <v>1785</v>
      </c>
      <c r="G155" s="72" t="s">
        <v>1431</v>
      </c>
      <c r="H155" s="80" t="s">
        <v>1786</v>
      </c>
    </row>
    <row r="156" spans="1:8" ht="16">
      <c r="A156" s="69" t="str">
        <f>進捗一覧!K158</f>
        <v>NFR-OPS-011</v>
      </c>
      <c r="B156" s="70" t="str">
        <f>進捗一覧!J158</f>
        <v>NFR-OPS 体制・運用SLA</v>
      </c>
      <c r="C156" s="71" t="str">
        <f>進捗一覧!E158</f>
        <v>顧客追加の作業を何営業日で完了させるか</v>
      </c>
      <c r="D156" s="72" t="str">
        <f>進捗一覧!D158</f>
        <v>外部待ち</v>
      </c>
      <c r="E156" s="70" t="s">
        <v>1603</v>
      </c>
      <c r="F156" s="72" t="s">
        <v>1583</v>
      </c>
      <c r="G156" s="72" t="s">
        <v>1431</v>
      </c>
      <c r="H156" s="80" t="s">
        <v>1604</v>
      </c>
    </row>
    <row r="157" spans="1:8" ht="16">
      <c r="A157" s="69" t="str">
        <f>進捗一覧!K159</f>
        <v>NFR-COMP-001</v>
      </c>
      <c r="B157" s="70" t="str">
        <f>進捗一覧!J159</f>
        <v>NFR-COMP 規制・法令対応</v>
      </c>
      <c r="C157" s="71" t="str">
        <f>進捗一覧!E159</f>
        <v>日本の個人情報保護法への対応範囲をどこまでにするか</v>
      </c>
      <c r="D157" s="72" t="str">
        <f>進捗一覧!D159</f>
        <v>方向性確定（条件付き）</v>
      </c>
      <c r="E157" s="70" t="s">
        <v>1840</v>
      </c>
      <c r="F157" s="72" t="s">
        <v>1458</v>
      </c>
      <c r="G157" s="72" t="s">
        <v>1431</v>
      </c>
      <c r="H157" s="80" t="s">
        <v>1841</v>
      </c>
    </row>
    <row r="158" spans="1:8" ht="16">
      <c r="A158" s="69" t="str">
        <f>進捗一覧!K160</f>
        <v>NFR-COMP-002</v>
      </c>
      <c r="B158" s="70" t="str">
        <f>進捗一覧!J160</f>
        <v>NFR-COMP 規制・法令対応</v>
      </c>
      <c r="C158" s="71" t="str">
        <f>進捗一覧!E160</f>
        <v>海外展開に伴う規制対応が必要か。対象となる地域はどこか</v>
      </c>
      <c r="D158" s="72" t="str">
        <f>進捗一覧!D160</f>
        <v>外部待ち</v>
      </c>
      <c r="E158" s="70" t="s">
        <v>1787</v>
      </c>
      <c r="F158" s="72" t="s">
        <v>1785</v>
      </c>
      <c r="G158" s="72" t="s">
        <v>1438</v>
      </c>
      <c r="H158" s="80" t="s">
        <v>1788</v>
      </c>
    </row>
    <row r="159" spans="1:8" ht="16">
      <c r="A159" s="69" t="str">
        <f>進捗一覧!K161</f>
        <v>NFR-COMP-008</v>
      </c>
      <c r="B159" s="70" t="str">
        <f>進捗一覧!J161</f>
        <v>NFR-COMP 規制・法令対応</v>
      </c>
      <c r="C159" s="71" t="str">
        <f>進捗一覧!E161</f>
        <v>データを日本国内に限定する必要があるか。最重要の確認事項</v>
      </c>
      <c r="D159" s="72" t="str">
        <f>進捗一覧!D161</f>
        <v>外部待ち</v>
      </c>
      <c r="E159" s="70" t="s">
        <v>1842</v>
      </c>
      <c r="F159" s="72" t="s">
        <v>1455</v>
      </c>
      <c r="G159" s="72" t="s">
        <v>1423</v>
      </c>
      <c r="H159" s="80" t="s">
        <v>1843</v>
      </c>
    </row>
    <row r="160" spans="1:8" ht="16">
      <c r="A160" s="69" t="str">
        <f>進捗一覧!K162</f>
        <v>NFR-COMP-003</v>
      </c>
      <c r="B160" s="70" t="str">
        <f>進捗一覧!J162</f>
        <v>NFR-COMP 業界認定・監査</v>
      </c>
      <c r="C160" s="71" t="str">
        <f>進捗一覧!E162</f>
        <v>第三者による内部統制の証明が必要か</v>
      </c>
      <c r="D160" s="72" t="str">
        <f>進捗一覧!D162</f>
        <v>外部待ち</v>
      </c>
      <c r="E160" s="70" t="s">
        <v>1787</v>
      </c>
      <c r="F160" s="72" t="s">
        <v>1785</v>
      </c>
      <c r="G160" s="72" t="s">
        <v>1438</v>
      </c>
      <c r="H160" s="80" t="s">
        <v>1789</v>
      </c>
    </row>
    <row r="161" spans="1:8" ht="16">
      <c r="A161" s="69" t="str">
        <f>進捗一覧!K163</f>
        <v>NFR-COMP-004</v>
      </c>
      <c r="B161" s="70" t="str">
        <f>進捗一覧!J163</f>
        <v>NFR-COMP 業界認定・監査</v>
      </c>
      <c r="C161" s="71" t="str">
        <f>進捗一覧!E163</f>
        <v>情報セキュリティの認証取得が必要か</v>
      </c>
      <c r="D161" s="72" t="str">
        <f>進捗一覧!D163</f>
        <v>外部待ち</v>
      </c>
      <c r="E161" s="70" t="s">
        <v>1787</v>
      </c>
      <c r="F161" s="72" t="s">
        <v>1785</v>
      </c>
      <c r="G161" s="72" t="s">
        <v>1438</v>
      </c>
      <c r="H161" s="80" t="s">
        <v>1790</v>
      </c>
    </row>
    <row r="162" spans="1:8" ht="16">
      <c r="A162" s="69" t="str">
        <f>進捗一覧!K164</f>
        <v>NFR-COMP-005</v>
      </c>
      <c r="B162" s="70" t="str">
        <f>進捗一覧!J164</f>
        <v>NFR-COMP 業界認定・監査</v>
      </c>
      <c r="C162" s="71" t="str">
        <f>進捗一覧!E164</f>
        <v>クレジットカード関連の規格対応が必要か</v>
      </c>
      <c r="D162" s="72" t="str">
        <f>進捗一覧!D164</f>
        <v>外部待ち</v>
      </c>
      <c r="E162" s="70" t="s">
        <v>1791</v>
      </c>
      <c r="F162" s="72" t="s">
        <v>1785</v>
      </c>
      <c r="G162" s="72" t="s">
        <v>1438</v>
      </c>
      <c r="H162" s="80" t="s">
        <v>1792</v>
      </c>
    </row>
    <row r="163" spans="1:8" ht="16">
      <c r="A163" s="69" t="str">
        <f>進捗一覧!K165</f>
        <v>NFR-COMP-006</v>
      </c>
      <c r="B163" s="70" t="str">
        <f>進捗一覧!J165</f>
        <v>NFR-COMP 業界認定・監査</v>
      </c>
      <c r="C163" s="71" t="str">
        <f>進捗一覧!E165</f>
        <v>米国政府が認定した暗号方式が必要か。最重要の確認事項</v>
      </c>
      <c r="D163" s="72" t="str">
        <f>進捗一覧!D165</f>
        <v>外部待ち</v>
      </c>
      <c r="E163" s="70" t="s">
        <v>1425</v>
      </c>
      <c r="F163" s="72" t="s">
        <v>1455</v>
      </c>
      <c r="G163" s="72" t="s">
        <v>1438</v>
      </c>
      <c r="H163" s="80" t="s">
        <v>1490</v>
      </c>
    </row>
    <row r="164" spans="1:8" ht="16">
      <c r="A164" s="69" t="str">
        <f>進捗一覧!K166</f>
        <v>NFR-COMP-007</v>
      </c>
      <c r="B164" s="70" t="str">
        <f>進捗一覧!J166</f>
        <v>NFR-COMP 業界認定・監査</v>
      </c>
      <c r="C164" s="71" t="str">
        <f>進捗一覧!E166</f>
        <v>法令上、操作記録を何年保存する必要があるか</v>
      </c>
      <c r="D164" s="72" t="str">
        <f>進捗一覧!D166</f>
        <v>外部待ち</v>
      </c>
      <c r="E164" s="70" t="s">
        <v>1479</v>
      </c>
      <c r="F164" s="72" t="s">
        <v>1475</v>
      </c>
      <c r="G164" s="72" t="s">
        <v>1431</v>
      </c>
      <c r="H164" s="80" t="s">
        <v>1480</v>
      </c>
    </row>
    <row r="165" spans="1:8" ht="16">
      <c r="A165" s="69" t="str">
        <f>進捗一覧!K167</f>
        <v>NFR-COMP-010</v>
      </c>
      <c r="B165" s="70" t="str">
        <f>進捗一覧!J167</f>
        <v>NFR-COMP 業界認定・監査</v>
      </c>
      <c r="C165" s="71" t="str">
        <f>進捗一覧!E167</f>
        <v>誰がいつ何を見たかを後から追える状態を、どこまで作るか</v>
      </c>
      <c r="D165" s="72" t="str">
        <f>進捗一覧!D167</f>
        <v>方向性確定（条件付き）</v>
      </c>
      <c r="E165" s="70" t="s">
        <v>1844</v>
      </c>
      <c r="F165" s="72" t="s">
        <v>1475</v>
      </c>
      <c r="G165" s="72" t="s">
        <v>1431</v>
      </c>
      <c r="H165" s="80" t="s">
        <v>1845</v>
      </c>
    </row>
    <row r="166" spans="1:8" ht="16">
      <c r="A166" s="69" t="str">
        <f>進捗一覧!K168</f>
        <v>NFR-COMP-009</v>
      </c>
      <c r="B166" s="70" t="str">
        <f>進捗一覧!J168</f>
        <v>NFR-COMP データガバナンス</v>
      </c>
      <c r="C166" s="71" t="str">
        <f>進捗一覧!E168</f>
        <v>利用者からの削除要求に、どの手順・何日以内で応じるか</v>
      </c>
      <c r="D166" s="72" t="str">
        <f>進捗一覧!D168</f>
        <v>方向性確定（条件付き）</v>
      </c>
      <c r="E166" s="70" t="s">
        <v>1846</v>
      </c>
      <c r="F166" s="72" t="s">
        <v>1622</v>
      </c>
      <c r="G166" s="72" t="s">
        <v>1431</v>
      </c>
      <c r="H166" s="80" t="s">
        <v>1847</v>
      </c>
    </row>
    <row r="167" spans="1:8" ht="16">
      <c r="A167" s="69" t="str">
        <f>進捗一覧!K169</f>
        <v>NFR-COMP-011</v>
      </c>
      <c r="B167" s="70" t="str">
        <f>進捗一覧!J169</f>
        <v>NFR-COMP データガバナンス</v>
      </c>
      <c r="C167" s="71" t="str">
        <f>進捗一覧!E169</f>
        <v>暗号鍵をどの頻度で入れ替えるか</v>
      </c>
      <c r="D167" s="72" t="str">
        <f>進捗一覧!D169</f>
        <v>方向性確定（条件付き）</v>
      </c>
      <c r="E167" s="70" t="s">
        <v>1401</v>
      </c>
      <c r="F167" s="72" t="s">
        <v>1402</v>
      </c>
      <c r="G167" s="72" t="s">
        <v>1305</v>
      </c>
      <c r="H167" s="80" t="s">
        <v>1403</v>
      </c>
    </row>
    <row r="168" spans="1:8" ht="16">
      <c r="A168" s="69" t="str">
        <f>進捗一覧!K170</f>
        <v>NFR-COST-001</v>
      </c>
      <c r="B168" s="70" t="str">
        <f>進捗一覧!J170</f>
        <v>NFR-COST コスト</v>
      </c>
      <c r="C168" s="71" t="str">
        <f>進捗一覧!E170</f>
        <v>初期構築にいくらかけるか。予算枠をどこに置くか</v>
      </c>
      <c r="D168" s="72" t="str">
        <f>進捗一覧!D170</f>
        <v>確定</v>
      </c>
      <c r="E168" s="70" t="s">
        <v>1793</v>
      </c>
      <c r="F168" s="72" t="s">
        <v>1785</v>
      </c>
      <c r="G168" s="72" t="s">
        <v>1438</v>
      </c>
      <c r="H168" s="80" t="s">
        <v>1794</v>
      </c>
    </row>
    <row r="169" spans="1:8" ht="16">
      <c r="A169" s="69" t="str">
        <f>進捗一覧!K171</f>
        <v>NFR-COST-002</v>
      </c>
      <c r="B169" s="70" t="str">
        <f>進捗一覧!J171</f>
        <v>NFR-COST コスト</v>
      </c>
      <c r="C169" s="71" t="str">
        <f>進捗一覧!E171</f>
        <v>毎月の設備費をいくらまでとするか</v>
      </c>
      <c r="D169" s="72" t="str">
        <f>進捗一覧!D171</f>
        <v>確定</v>
      </c>
      <c r="E169" s="70" t="s">
        <v>1568</v>
      </c>
      <c r="F169" s="72" t="s">
        <v>1541</v>
      </c>
      <c r="G169" s="72" t="s">
        <v>1423</v>
      </c>
      <c r="H169" s="80" t="s">
        <v>1569</v>
      </c>
    </row>
    <row r="170" spans="1:8" ht="16">
      <c r="A170" s="69" t="str">
        <f>進捗一覧!K172</f>
        <v>NFR-COST-003</v>
      </c>
      <c r="B170" s="70" t="str">
        <f>進捗一覧!J172</f>
        <v>NFR-COST コスト</v>
      </c>
      <c r="C170" s="71" t="str">
        <f>進捗一覧!E172</f>
        <v>利用者1人あたりの単価をいくらと見るか</v>
      </c>
      <c r="D170" s="72" t="str">
        <f>進捗一覧!D172</f>
        <v>確定</v>
      </c>
      <c r="E170" s="70" t="s">
        <v>1793</v>
      </c>
      <c r="F170" s="72" t="s">
        <v>1785</v>
      </c>
      <c r="G170" s="72" t="s">
        <v>1438</v>
      </c>
      <c r="H170" s="80" t="s">
        <v>1795</v>
      </c>
    </row>
    <row r="171" spans="1:8" ht="16">
      <c r="A171" s="69" t="str">
        <f>進捗一覧!K173</f>
        <v>NFR-COST-003-PLUS</v>
      </c>
      <c r="B171" s="70" t="str">
        <f>進捗一覧!J173</f>
        <v>NFR-COST コスト</v>
      </c>
      <c r="C171" s="71" t="str">
        <f>進捗一覧!E173</f>
        <v>上位プランを使う場合の追加費用をどう見るか</v>
      </c>
      <c r="D171" s="72" t="str">
        <f>進捗一覧!D173</f>
        <v>方向性確定（条件付き）</v>
      </c>
      <c r="E171" s="70" t="s">
        <v>1793</v>
      </c>
      <c r="F171" s="72" t="s">
        <v>1785</v>
      </c>
      <c r="G171" s="72" t="s">
        <v>1438</v>
      </c>
      <c r="H171" s="80" t="s">
        <v>1795</v>
      </c>
    </row>
    <row r="172" spans="1:8" ht="16">
      <c r="A172" s="69" t="str">
        <f>進捗一覧!K174</f>
        <v>NFR-COST-004</v>
      </c>
      <c r="B172" s="70" t="str">
        <f>進捗一覧!J174</f>
        <v>NFR-COST コスト</v>
      </c>
      <c r="C172" s="71" t="str">
        <f>進捗一覧!E174</f>
        <v>災害対策のために毎月いくら追加でかけるか</v>
      </c>
      <c r="D172" s="72" t="str">
        <f>進捗一覧!D174</f>
        <v>確定</v>
      </c>
      <c r="E172" s="70" t="s">
        <v>1529</v>
      </c>
      <c r="F172" s="72" t="s">
        <v>1530</v>
      </c>
      <c r="G172" s="72" t="s">
        <v>1423</v>
      </c>
      <c r="H172" s="80" t="s">
        <v>1531</v>
      </c>
    </row>
    <row r="173" spans="1:8" ht="16">
      <c r="A173" s="69" t="str">
        <f>進捗一覧!K175</f>
        <v>NFR-COST-005</v>
      </c>
      <c r="B173" s="70" t="str">
        <f>進捗一覧!J175</f>
        <v>NFR-COST コスト</v>
      </c>
      <c r="C173" s="71" t="str">
        <f>進捗一覧!E175</f>
        <v>運用担当の人件費をいくらと見込むか</v>
      </c>
      <c r="D173" s="72" t="str">
        <f>進捗一覧!D175</f>
        <v>方向性確定（条件付き）</v>
      </c>
      <c r="E173" s="70" t="s">
        <v>1784</v>
      </c>
      <c r="F173" s="72" t="s">
        <v>1785</v>
      </c>
      <c r="G173" s="72" t="s">
        <v>1431</v>
      </c>
      <c r="H173" s="80" t="s">
        <v>1796</v>
      </c>
    </row>
    <row r="174" spans="1:8" ht="16">
      <c r="A174" s="69" t="str">
        <f>進捗一覧!K176</f>
        <v>NFR-COST-006</v>
      </c>
      <c r="B174" s="70" t="str">
        <f>進捗一覧!J176</f>
        <v>NFR-COST コスト</v>
      </c>
      <c r="C174" s="71" t="str">
        <f>進捗一覧!E176</f>
        <v>製品サポート契約の費用をどう扱うか</v>
      </c>
      <c r="D174" s="72" t="str">
        <f>進捗一覧!D176</f>
        <v>外部待ち</v>
      </c>
      <c r="E174" s="70" t="s">
        <v>1570</v>
      </c>
      <c r="F174" s="72" t="s">
        <v>1541</v>
      </c>
      <c r="G174" s="72" t="s">
        <v>1431</v>
      </c>
      <c r="H174" s="80" t="s">
        <v>1571</v>
      </c>
    </row>
    <row r="175" spans="1:8" ht="16">
      <c r="A175" s="69" t="str">
        <f>進捗一覧!K177</f>
        <v>NFR-COST-007</v>
      </c>
      <c r="B175" s="70" t="str">
        <f>進捗一覧!J177</f>
        <v>NFR-COST コスト</v>
      </c>
      <c r="C175" s="71" t="str">
        <f>進捗一覧!E177</f>
        <v>何人以上の規模なら自前で構築するほうが有利になるか</v>
      </c>
      <c r="D175" s="72" t="str">
        <f>進捗一覧!D177</f>
        <v>確定</v>
      </c>
      <c r="E175" s="70" t="s">
        <v>1793</v>
      </c>
      <c r="F175" s="72" t="s">
        <v>1785</v>
      </c>
      <c r="G175" s="72" t="s">
        <v>1438</v>
      </c>
      <c r="H175" s="80" t="s">
        <v>1795</v>
      </c>
    </row>
    <row r="176" spans="1:8" ht="16">
      <c r="A176" s="69" t="str">
        <f>進捗一覧!K178</f>
        <v>NFR-COST-007-PLUS</v>
      </c>
      <c r="B176" s="70" t="str">
        <f>進捗一覧!J178</f>
        <v>NFR-COST コスト</v>
      </c>
      <c r="C176" s="71" t="str">
        <f>進捗一覧!E178</f>
        <v>上位プランと比べた場合、有利になる規模の境目をどこに置くか</v>
      </c>
      <c r="D176" s="72" t="str">
        <f>進捗一覧!D178</f>
        <v>確定</v>
      </c>
      <c r="E176" s="70" t="s">
        <v>1793</v>
      </c>
      <c r="F176" s="72" t="s">
        <v>1785</v>
      </c>
      <c r="G176" s="72" t="s">
        <v>1438</v>
      </c>
      <c r="H176" s="80" t="s">
        <v>1795</v>
      </c>
    </row>
    <row r="177" spans="1:8" ht="16">
      <c r="A177" s="69" t="str">
        <f>進捗一覧!K179</f>
        <v>NFR-COST-008</v>
      </c>
      <c r="B177" s="70" t="str">
        <f>進捗一覧!J179</f>
        <v>NFR-COST コスト</v>
      </c>
      <c r="C177" s="71" t="str">
        <f>進捗一覧!E179</f>
        <v>10万人規模で3年間の総額をいくらと見るか</v>
      </c>
      <c r="D177" s="72" t="str">
        <f>進捗一覧!D179</f>
        <v>確定</v>
      </c>
      <c r="E177" s="70" t="s">
        <v>1568</v>
      </c>
      <c r="F177" s="72" t="s">
        <v>1541</v>
      </c>
      <c r="G177" s="72" t="s">
        <v>1423</v>
      </c>
      <c r="H177" s="80" t="s">
        <v>1572</v>
      </c>
    </row>
    <row r="178" spans="1:8" ht="16">
      <c r="A178" s="69" t="str">
        <f>進捗一覧!K180</f>
        <v>NFR-COST-009</v>
      </c>
      <c r="B178" s="70" t="str">
        <f>進捗一覧!J180</f>
        <v>NFR-COST コスト</v>
      </c>
      <c r="C178" s="71" t="str">
        <f>進捗一覧!E180</f>
        <v>50万人規模で3年間の総額をいくらと見るか</v>
      </c>
      <c r="D178" s="72" t="str">
        <f>進捗一覧!D180</f>
        <v>確定</v>
      </c>
      <c r="E178" s="70" t="s">
        <v>1568</v>
      </c>
      <c r="F178" s="72" t="s">
        <v>1541</v>
      </c>
      <c r="G178" s="72" t="s">
        <v>1423</v>
      </c>
      <c r="H178" s="80" t="s">
        <v>1573</v>
      </c>
    </row>
    <row r="179" spans="1:8" ht="16">
      <c r="A179" s="69" t="str">
        <f>進捗一覧!K181</f>
        <v>NFR-MIG-001</v>
      </c>
      <c r="B179" s="70" t="str">
        <f>進捗一覧!J181</f>
        <v>NFR-MIG 移行性</v>
      </c>
      <c r="C179" s="71" t="str">
        <f>進捗一覧!E181</f>
        <v>今の認証システムから利用者情報をどう移すか。件数と期間をどう見るか</v>
      </c>
      <c r="D179" s="72" t="str">
        <f>進捗一覧!D181</f>
        <v>外部待ち</v>
      </c>
      <c r="E179" s="70" t="s">
        <v>1641</v>
      </c>
      <c r="F179" s="72" t="s">
        <v>1630</v>
      </c>
      <c r="G179" s="72" t="s">
        <v>1431</v>
      </c>
      <c r="H179" s="80" t="s">
        <v>1642</v>
      </c>
    </row>
    <row r="180" spans="1:8" ht="16">
      <c r="A180" s="69" t="str">
        <f>進捗一覧!K182</f>
        <v>NFR-MIG-002</v>
      </c>
      <c r="B180" s="70" t="str">
        <f>進捗一覧!J182</f>
        <v>NFR-MIG 移行性</v>
      </c>
      <c r="C180" s="71" t="str">
        <f>進捗一覧!E182</f>
        <v>パスワードを再設定させずに引き継げるか。無理な場合、利用者にどう案内するか</v>
      </c>
      <c r="D180" s="72" t="str">
        <f>進捗一覧!D182</f>
        <v>外部待ち</v>
      </c>
      <c r="E180" s="70" t="s">
        <v>1641</v>
      </c>
      <c r="F180" s="72" t="s">
        <v>1630</v>
      </c>
      <c r="G180" s="72" t="s">
        <v>1431</v>
      </c>
      <c r="H180" s="80" t="s">
        <v>1643</v>
      </c>
    </row>
    <row r="181" spans="1:8" ht="16">
      <c r="A181" s="69" t="str">
        <f>進捗一覧!K183</f>
        <v>NFR-MIG-003</v>
      </c>
      <c r="B181" s="70" t="str">
        <f>進捗一覧!J183</f>
        <v>NFR-MIG 移行性</v>
      </c>
      <c r="C181" s="71" t="str">
        <f>進捗一覧!E183</f>
        <v>将来ほかの製品に乗り換えられる状態を、どこまで保つか</v>
      </c>
      <c r="D181" s="72" t="str">
        <f>進捗一覧!D183</f>
        <v>確定</v>
      </c>
      <c r="E181" s="70" t="s">
        <v>1644</v>
      </c>
      <c r="F181" s="72" t="s">
        <v>1645</v>
      </c>
      <c r="G181" s="72" t="s">
        <v>1423</v>
      </c>
      <c r="H181" s="80" t="s">
        <v>1646</v>
      </c>
    </row>
    <row r="182" spans="1:8" ht="16">
      <c r="A182" s="69" t="str">
        <f>進捗一覧!K184</f>
        <v>NFR-MIG-004</v>
      </c>
      <c r="B182" s="70" t="str">
        <f>進捗一覧!J184</f>
        <v>NFR-MIG 移行性</v>
      </c>
      <c r="C182" s="71" t="str">
        <f>進捗一覧!E184</f>
        <v>自分たちのデータをいつでも取り出せる手段を用意するか</v>
      </c>
      <c r="D182" s="72" t="str">
        <f>進捗一覧!D184</f>
        <v>方向性確定（条件付き）</v>
      </c>
      <c r="E182" s="70" t="s">
        <v>1647</v>
      </c>
      <c r="F182" s="72" t="s">
        <v>1648</v>
      </c>
      <c r="G182" s="72" t="s">
        <v>1431</v>
      </c>
      <c r="H182" s="80" t="s">
        <v>1649</v>
      </c>
    </row>
    <row r="183" spans="1:8" ht="16">
      <c r="A183" s="73" t="str">
        <f>進捗一覧!K185</f>
        <v>NFR-MIG-005</v>
      </c>
      <c r="B183" s="74" t="str">
        <f>進捗一覧!J185</f>
        <v>NFR-MIG 移行性</v>
      </c>
      <c r="C183" s="75" t="str">
        <f>進捗一覧!E185</f>
        <v>新旧を並行稼働させて少しずつ移すか。並行期間をどれだけ取るか</v>
      </c>
      <c r="D183" s="76" t="str">
        <f>進捗一覧!D185</f>
        <v>方向性確定（条件付き）</v>
      </c>
      <c r="E183" s="74" t="s">
        <v>1650</v>
      </c>
      <c r="F183" s="76" t="s">
        <v>1630</v>
      </c>
      <c r="G183" s="76" t="s">
        <v>1431</v>
      </c>
      <c r="H183" s="81" t="s">
        <v>1651</v>
      </c>
    </row>
  </sheetData>
  <autoFilter ref="A4:H183" xr:uid="{F6284182-FD2C-E145-9717-734327A3CD4B}"/>
  <phoneticPr fontId="2"/>
  <conditionalFormatting sqref="A5:H183">
    <cfRule type="expression" dxfId="40" priority="1">
      <formula>$G5="未対応"</formula>
    </cfRule>
  </conditionalFormatting>
  <conditionalFormatting sqref="A5:H183">
    <cfRule type="expression" dxfId="39" priority="2">
      <formula>$G5="単元未取込"</formula>
    </cfRule>
  </conditionalFormatting>
  <conditionalFormatting sqref="A5:H183">
    <cfRule type="expression" dxfId="38" priority="3">
      <formula>$G5="部分"</formula>
    </cfRule>
  </conditionalFormatting>
  <conditionalFormatting sqref="A5:H183">
    <cfRule type="expression" dxfId="37" priority="4">
      <formula>$G5="設計済"</formula>
    </cfRule>
  </conditionalFormatting>
  <conditionalFormatting sqref="A5:H183">
    <cfRule type="expression" dxfId="36" priority="5">
      <formula>$G5="対象外"</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6" customWidth="1"/>
    <col min="2" max="2" width="24.28515625" style="66" customWidth="1"/>
    <col min="3" max="3" width="40" style="66" customWidth="1"/>
    <col min="4" max="4" width="18.5703125" style="66" customWidth="1"/>
    <col min="5" max="5" width="88.5703125" style="66" customWidth="1"/>
    <col min="6" max="6" width="32.85546875" style="66" customWidth="1"/>
    <col min="7" max="16384" width="10.7109375" style="66"/>
  </cols>
  <sheetData>
    <row r="1" spans="1:6">
      <c r="A1" s="65" t="s">
        <v>1652</v>
      </c>
    </row>
    <row r="2" spans="1:6">
      <c r="A2" s="79" t="s">
        <v>1924</v>
      </c>
    </row>
    <row r="3" spans="1:6">
      <c r="A3" s="84" t="s">
        <v>1653</v>
      </c>
    </row>
    <row r="5" spans="1:6" ht="22" customHeight="1">
      <c r="A5" s="85" t="s">
        <v>1235</v>
      </c>
      <c r="B5" s="86" t="s">
        <v>1236</v>
      </c>
      <c r="C5" s="86" t="s">
        <v>1237</v>
      </c>
      <c r="D5" s="86" t="s">
        <v>1654</v>
      </c>
      <c r="E5" s="86" t="s">
        <v>1655</v>
      </c>
      <c r="F5" s="87" t="s">
        <v>1656</v>
      </c>
    </row>
    <row r="6" spans="1:6" ht="32">
      <c r="A6" s="77" t="s">
        <v>1419</v>
      </c>
      <c r="B6" s="70" t="s">
        <v>1413</v>
      </c>
      <c r="C6" s="70" t="s">
        <v>1420</v>
      </c>
      <c r="D6" s="72" t="s">
        <v>1657</v>
      </c>
      <c r="E6" s="71" t="s">
        <v>1658</v>
      </c>
      <c r="F6" s="80" t="s">
        <v>1659</v>
      </c>
    </row>
    <row r="7" spans="1:6" ht="32">
      <c r="A7" s="77" t="s">
        <v>1415</v>
      </c>
      <c r="B7" s="70" t="s">
        <v>1413</v>
      </c>
      <c r="C7" s="70" t="s">
        <v>1416</v>
      </c>
      <c r="D7" s="72" t="s">
        <v>1657</v>
      </c>
      <c r="E7" s="71" t="s">
        <v>1660</v>
      </c>
      <c r="F7" s="80" t="s">
        <v>1659</v>
      </c>
    </row>
    <row r="8" spans="1:6" ht="16">
      <c r="A8" s="77" t="s">
        <v>1617</v>
      </c>
      <c r="B8" s="70" t="s">
        <v>1606</v>
      </c>
      <c r="C8" s="70" t="s">
        <v>1618</v>
      </c>
      <c r="D8" s="72" t="s">
        <v>1657</v>
      </c>
      <c r="E8" s="71" t="s">
        <v>1661</v>
      </c>
      <c r="F8" s="80" t="s">
        <v>1659</v>
      </c>
    </row>
    <row r="9" spans="1:6" ht="16">
      <c r="A9" s="77" t="s">
        <v>1417</v>
      </c>
      <c r="B9" s="70" t="s">
        <v>1413</v>
      </c>
      <c r="C9" s="70" t="s">
        <v>1418</v>
      </c>
      <c r="D9" s="72" t="s">
        <v>1657</v>
      </c>
      <c r="E9" s="71" t="s">
        <v>1662</v>
      </c>
      <c r="F9" s="80" t="s">
        <v>1659</v>
      </c>
    </row>
    <row r="10" spans="1:6" ht="16">
      <c r="A10" s="77" t="s">
        <v>1291</v>
      </c>
      <c r="B10" s="70" t="s">
        <v>1273</v>
      </c>
      <c r="C10" s="70" t="s">
        <v>1663</v>
      </c>
      <c r="D10" s="72" t="s">
        <v>1657</v>
      </c>
      <c r="E10" s="71" t="s">
        <v>1664</v>
      </c>
      <c r="F10" s="80" t="s">
        <v>173</v>
      </c>
    </row>
    <row r="11" spans="1:6" ht="32">
      <c r="A11" s="77" t="s">
        <v>1615</v>
      </c>
      <c r="B11" s="70" t="s">
        <v>1606</v>
      </c>
      <c r="C11" s="70" t="s">
        <v>1616</v>
      </c>
      <c r="D11" s="72" t="s">
        <v>1657</v>
      </c>
      <c r="E11" s="71" t="s">
        <v>1665</v>
      </c>
      <c r="F11" s="80" t="s">
        <v>250</v>
      </c>
    </row>
    <row r="12" spans="1:6" ht="16">
      <c r="A12" s="77" t="s">
        <v>1450</v>
      </c>
      <c r="B12" s="70" t="s">
        <v>709</v>
      </c>
      <c r="C12" s="70" t="s">
        <v>1451</v>
      </c>
      <c r="D12" s="72" t="s">
        <v>1657</v>
      </c>
      <c r="E12" s="71" t="s">
        <v>1666</v>
      </c>
      <c r="F12" s="80" t="s">
        <v>1667</v>
      </c>
    </row>
    <row r="13" spans="1:6" ht="16">
      <c r="A13" s="77" t="s">
        <v>1271</v>
      </c>
      <c r="B13" s="70" t="s">
        <v>697</v>
      </c>
      <c r="C13" s="70" t="s">
        <v>1668</v>
      </c>
      <c r="D13" s="72" t="s">
        <v>1657</v>
      </c>
      <c r="E13" s="71" t="s">
        <v>1669</v>
      </c>
      <c r="F13" s="80" t="s">
        <v>1659</v>
      </c>
    </row>
    <row r="14" spans="1:6" ht="16">
      <c r="A14" s="77" t="s">
        <v>1577</v>
      </c>
      <c r="B14" s="70" t="s">
        <v>1574</v>
      </c>
      <c r="C14" s="70" t="s">
        <v>1578</v>
      </c>
      <c r="D14" s="72" t="s">
        <v>1657</v>
      </c>
      <c r="E14" s="71" t="s">
        <v>1670</v>
      </c>
      <c r="F14" s="80" t="s">
        <v>485</v>
      </c>
    </row>
    <row r="15" spans="1:6" ht="16">
      <c r="A15" s="77" t="s">
        <v>1611</v>
      </c>
      <c r="B15" s="70" t="s">
        <v>1606</v>
      </c>
      <c r="C15" s="70" t="s">
        <v>1612</v>
      </c>
      <c r="D15" s="72" t="s">
        <v>1657</v>
      </c>
      <c r="E15" s="71" t="s">
        <v>1671</v>
      </c>
      <c r="F15" s="80" t="s">
        <v>1659</v>
      </c>
    </row>
    <row r="16" spans="1:6" ht="16">
      <c r="A16" s="77" t="s">
        <v>1278</v>
      </c>
      <c r="B16" s="70" t="s">
        <v>1273</v>
      </c>
      <c r="C16" s="70" t="s">
        <v>1672</v>
      </c>
      <c r="D16" s="72" t="s">
        <v>1657</v>
      </c>
      <c r="E16" s="71" t="s">
        <v>1673</v>
      </c>
      <c r="F16" s="80" t="s">
        <v>406</v>
      </c>
    </row>
    <row r="17" spans="1:6" ht="32">
      <c r="A17" s="77" t="s">
        <v>1605</v>
      </c>
      <c r="B17" s="70" t="s">
        <v>1606</v>
      </c>
      <c r="C17" s="70" t="s">
        <v>1607</v>
      </c>
      <c r="D17" s="72" t="s">
        <v>1674</v>
      </c>
      <c r="E17" s="71" t="s">
        <v>1675</v>
      </c>
      <c r="F17" s="80" t="s">
        <v>1676</v>
      </c>
    </row>
    <row r="18" spans="1:6" ht="16">
      <c r="A18" s="77" t="s">
        <v>1608</v>
      </c>
      <c r="B18" s="70" t="s">
        <v>1606</v>
      </c>
      <c r="C18" s="70" t="s">
        <v>1609</v>
      </c>
      <c r="D18" s="72" t="s">
        <v>1674</v>
      </c>
      <c r="E18" s="71" t="s">
        <v>1677</v>
      </c>
      <c r="F18" s="80" t="s">
        <v>1676</v>
      </c>
    </row>
    <row r="19" spans="1:6" ht="16">
      <c r="A19" s="77" t="s">
        <v>1613</v>
      </c>
      <c r="B19" s="70" t="s">
        <v>1606</v>
      </c>
      <c r="C19" s="70" t="s">
        <v>1614</v>
      </c>
      <c r="D19" s="72" t="s">
        <v>1674</v>
      </c>
      <c r="E19" s="71" t="s">
        <v>1678</v>
      </c>
      <c r="F19" s="80" t="s">
        <v>1679</v>
      </c>
    </row>
    <row r="20" spans="1:6" ht="16">
      <c r="A20" s="77" t="s">
        <v>1279</v>
      </c>
      <c r="B20" s="70" t="s">
        <v>1273</v>
      </c>
      <c r="C20" s="70" t="s">
        <v>1680</v>
      </c>
      <c r="D20" s="72" t="s">
        <v>1674</v>
      </c>
      <c r="E20" s="71" t="s">
        <v>1681</v>
      </c>
      <c r="F20" s="80" t="s">
        <v>1682</v>
      </c>
    </row>
    <row r="21" spans="1:6" ht="16">
      <c r="A21" s="77" t="s">
        <v>1277</v>
      </c>
      <c r="B21" s="70" t="s">
        <v>1273</v>
      </c>
      <c r="C21" s="70" t="s">
        <v>1683</v>
      </c>
      <c r="D21" s="72" t="s">
        <v>1674</v>
      </c>
      <c r="E21" s="71" t="s">
        <v>1684</v>
      </c>
      <c r="F21" s="80" t="s">
        <v>410</v>
      </c>
    </row>
    <row r="22" spans="1:6" ht="16">
      <c r="A22" s="77" t="s">
        <v>1284</v>
      </c>
      <c r="B22" s="70" t="s">
        <v>1273</v>
      </c>
      <c r="C22" s="70" t="s">
        <v>1685</v>
      </c>
      <c r="D22" s="72" t="s">
        <v>1674</v>
      </c>
      <c r="E22" s="71" t="s">
        <v>1686</v>
      </c>
      <c r="F22" s="80" t="s">
        <v>1687</v>
      </c>
    </row>
    <row r="23" spans="1:6" ht="32">
      <c r="A23" s="77" t="s">
        <v>1285</v>
      </c>
      <c r="B23" s="70" t="s">
        <v>1273</v>
      </c>
      <c r="C23" s="70" t="s">
        <v>1688</v>
      </c>
      <c r="D23" s="72" t="s">
        <v>1674</v>
      </c>
      <c r="E23" s="71" t="s">
        <v>1689</v>
      </c>
      <c r="F23" s="80" t="s">
        <v>158</v>
      </c>
    </row>
    <row r="24" spans="1:6" ht="16">
      <c r="A24" s="77" t="s">
        <v>1282</v>
      </c>
      <c r="B24" s="70" t="s">
        <v>1273</v>
      </c>
      <c r="C24" s="70" t="s">
        <v>1690</v>
      </c>
      <c r="D24" s="72" t="s">
        <v>1674</v>
      </c>
      <c r="E24" s="71" t="s">
        <v>1691</v>
      </c>
      <c r="F24" s="80" t="s">
        <v>419</v>
      </c>
    </row>
    <row r="25" spans="1:6" ht="16">
      <c r="A25" s="77" t="s">
        <v>1275</v>
      </c>
      <c r="B25" s="70" t="s">
        <v>1273</v>
      </c>
      <c r="C25" s="70" t="s">
        <v>1692</v>
      </c>
      <c r="D25" s="72" t="s">
        <v>1674</v>
      </c>
      <c r="E25" s="71" t="s">
        <v>1693</v>
      </c>
      <c r="F25" s="80" t="s">
        <v>1694</v>
      </c>
    </row>
    <row r="26" spans="1:6" ht="16">
      <c r="A26" s="77" t="s">
        <v>1414</v>
      </c>
      <c r="B26" s="70" t="s">
        <v>1413</v>
      </c>
      <c r="C26" s="70" t="s">
        <v>1695</v>
      </c>
      <c r="D26" s="72" t="s">
        <v>1674</v>
      </c>
      <c r="E26" s="71" t="s">
        <v>1696</v>
      </c>
      <c r="F26" s="80" t="s">
        <v>128</v>
      </c>
    </row>
    <row r="27" spans="1:6" ht="16">
      <c r="A27" s="77" t="s">
        <v>1249</v>
      </c>
      <c r="B27" s="70" t="s">
        <v>685</v>
      </c>
      <c r="C27" s="70" t="s">
        <v>1697</v>
      </c>
      <c r="D27" s="72" t="s">
        <v>1674</v>
      </c>
      <c r="E27" s="71" t="s">
        <v>1698</v>
      </c>
      <c r="F27" s="80" t="s">
        <v>128</v>
      </c>
    </row>
    <row r="28" spans="1:6" ht="16">
      <c r="A28" s="77" t="s">
        <v>1499</v>
      </c>
      <c r="B28" s="70" t="s">
        <v>713</v>
      </c>
      <c r="C28" s="70" t="s">
        <v>1500</v>
      </c>
      <c r="D28" s="72" t="s">
        <v>1674</v>
      </c>
      <c r="E28" s="71" t="s">
        <v>1699</v>
      </c>
      <c r="F28" s="80" t="s">
        <v>467</v>
      </c>
    </row>
    <row r="29" spans="1:6" ht="16">
      <c r="A29" s="77" t="s">
        <v>1538</v>
      </c>
      <c r="B29" s="70" t="s">
        <v>701</v>
      </c>
      <c r="C29" s="70" t="s">
        <v>1539</v>
      </c>
      <c r="D29" s="72" t="s">
        <v>1674</v>
      </c>
      <c r="E29" s="71" t="s">
        <v>1700</v>
      </c>
      <c r="F29" s="80" t="s">
        <v>1701</v>
      </c>
    </row>
    <row r="30" spans="1:6" ht="32">
      <c r="A30" s="77" t="s">
        <v>1265</v>
      </c>
      <c r="B30" s="70" t="s">
        <v>697</v>
      </c>
      <c r="C30" s="70" t="s">
        <v>1702</v>
      </c>
      <c r="D30" s="72" t="s">
        <v>1674</v>
      </c>
      <c r="E30" s="71" t="s">
        <v>1703</v>
      </c>
      <c r="F30" s="80" t="s">
        <v>1704</v>
      </c>
    </row>
    <row r="31" spans="1:6" ht="16">
      <c r="A31" s="77" t="s">
        <v>1536</v>
      </c>
      <c r="B31" s="70" t="s">
        <v>701</v>
      </c>
      <c r="C31" s="70" t="s">
        <v>1537</v>
      </c>
      <c r="D31" s="72" t="s">
        <v>1705</v>
      </c>
      <c r="E31" s="71" t="s">
        <v>1706</v>
      </c>
      <c r="F31" s="80" t="s">
        <v>1707</v>
      </c>
    </row>
    <row r="32" spans="1:6" ht="16">
      <c r="A32" s="77" t="s">
        <v>1496</v>
      </c>
      <c r="B32" s="70" t="s">
        <v>713</v>
      </c>
      <c r="C32" s="70" t="s">
        <v>1497</v>
      </c>
      <c r="D32" s="72" t="s">
        <v>1708</v>
      </c>
      <c r="E32" s="71" t="s">
        <v>1709</v>
      </c>
      <c r="F32" s="80" t="s">
        <v>460</v>
      </c>
    </row>
    <row r="33" spans="1:6" ht="16">
      <c r="A33" s="77" t="s">
        <v>1245</v>
      </c>
      <c r="B33" s="70" t="s">
        <v>685</v>
      </c>
      <c r="C33" s="70" t="s">
        <v>1710</v>
      </c>
      <c r="D33" s="72" t="s">
        <v>1711</v>
      </c>
      <c r="E33" s="71" t="s">
        <v>1712</v>
      </c>
      <c r="F33" s="80" t="s">
        <v>1303</v>
      </c>
    </row>
    <row r="34" spans="1:6" ht="16">
      <c r="A34" s="77" t="s">
        <v>1246</v>
      </c>
      <c r="B34" s="70" t="s">
        <v>685</v>
      </c>
      <c r="C34" s="70" t="s">
        <v>1713</v>
      </c>
      <c r="D34" s="72" t="s">
        <v>1711</v>
      </c>
      <c r="E34" s="71" t="s">
        <v>1714</v>
      </c>
      <c r="F34" s="80" t="s">
        <v>1303</v>
      </c>
    </row>
    <row r="35" spans="1:6" ht="16">
      <c r="A35" s="77" t="s">
        <v>1247</v>
      </c>
      <c r="B35" s="70" t="s">
        <v>685</v>
      </c>
      <c r="C35" s="70" t="s">
        <v>1715</v>
      </c>
      <c r="D35" s="72" t="s">
        <v>1711</v>
      </c>
      <c r="E35" s="71" t="s">
        <v>1716</v>
      </c>
      <c r="F35" s="80" t="s">
        <v>1303</v>
      </c>
    </row>
    <row r="36" spans="1:6" ht="16">
      <c r="A36" s="77" t="s">
        <v>1248</v>
      </c>
      <c r="B36" s="70" t="s">
        <v>685</v>
      </c>
      <c r="C36" s="70" t="s">
        <v>1717</v>
      </c>
      <c r="D36" s="72" t="s">
        <v>1711</v>
      </c>
      <c r="E36" s="71" t="s">
        <v>1718</v>
      </c>
      <c r="F36" s="80" t="s">
        <v>1303</v>
      </c>
    </row>
    <row r="37" spans="1:6" ht="16">
      <c r="A37" s="77" t="s">
        <v>1250</v>
      </c>
      <c r="B37" s="70" t="s">
        <v>685</v>
      </c>
      <c r="C37" s="70" t="s">
        <v>1719</v>
      </c>
      <c r="D37" s="72" t="s">
        <v>1711</v>
      </c>
      <c r="E37" s="71" t="s">
        <v>1720</v>
      </c>
      <c r="F37" s="80" t="s">
        <v>1303</v>
      </c>
    </row>
    <row r="38" spans="1:6" ht="16">
      <c r="A38" s="77" t="s">
        <v>1251</v>
      </c>
      <c r="B38" s="70" t="s">
        <v>685</v>
      </c>
      <c r="C38" s="70" t="s">
        <v>1721</v>
      </c>
      <c r="D38" s="72" t="s">
        <v>1711</v>
      </c>
      <c r="E38" s="71" t="s">
        <v>1722</v>
      </c>
      <c r="F38" s="80" t="s">
        <v>1303</v>
      </c>
    </row>
    <row r="39" spans="1:6" ht="16">
      <c r="A39" s="77" t="s">
        <v>1252</v>
      </c>
      <c r="B39" s="70" t="s">
        <v>685</v>
      </c>
      <c r="C39" s="70" t="s">
        <v>1723</v>
      </c>
      <c r="D39" s="72" t="s">
        <v>1711</v>
      </c>
      <c r="E39" s="71" t="s">
        <v>1724</v>
      </c>
      <c r="F39" s="80" t="s">
        <v>1303</v>
      </c>
    </row>
    <row r="40" spans="1:6" ht="16">
      <c r="A40" s="77" t="s">
        <v>1255</v>
      </c>
      <c r="B40" s="70" t="s">
        <v>685</v>
      </c>
      <c r="C40" s="70" t="s">
        <v>1725</v>
      </c>
      <c r="D40" s="72" t="s">
        <v>1711</v>
      </c>
      <c r="E40" s="71" t="s">
        <v>1726</v>
      </c>
      <c r="F40" s="80" t="s">
        <v>1303</v>
      </c>
    </row>
    <row r="41" spans="1:6" ht="16">
      <c r="A41" s="77" t="s">
        <v>1256</v>
      </c>
      <c r="B41" s="70" t="s">
        <v>685</v>
      </c>
      <c r="C41" s="70" t="s">
        <v>1727</v>
      </c>
      <c r="D41" s="72" t="s">
        <v>1711</v>
      </c>
      <c r="E41" s="71" t="s">
        <v>1728</v>
      </c>
      <c r="F41" s="80" t="s">
        <v>1303</v>
      </c>
    </row>
    <row r="42" spans="1:6" ht="16">
      <c r="A42" s="77" t="s">
        <v>1257</v>
      </c>
      <c r="B42" s="70" t="s">
        <v>685</v>
      </c>
      <c r="C42" s="70" t="s">
        <v>1729</v>
      </c>
      <c r="D42" s="72" t="s">
        <v>1711</v>
      </c>
      <c r="E42" s="71" t="s">
        <v>1730</v>
      </c>
      <c r="F42" s="80" t="s">
        <v>1303</v>
      </c>
    </row>
    <row r="43" spans="1:6" ht="16">
      <c r="A43" s="77" t="s">
        <v>1259</v>
      </c>
      <c r="B43" s="70" t="s">
        <v>685</v>
      </c>
      <c r="C43" s="70" t="s">
        <v>1731</v>
      </c>
      <c r="D43" s="72" t="s">
        <v>1711</v>
      </c>
      <c r="E43" s="71" t="s">
        <v>1732</v>
      </c>
      <c r="F43" s="80" t="s">
        <v>1303</v>
      </c>
    </row>
    <row r="44" spans="1:6" ht="16">
      <c r="A44" s="77" t="s">
        <v>1260</v>
      </c>
      <c r="B44" s="70" t="s">
        <v>685</v>
      </c>
      <c r="C44" s="70" t="s">
        <v>1733</v>
      </c>
      <c r="D44" s="72" t="s">
        <v>1711</v>
      </c>
      <c r="E44" s="71" t="s">
        <v>1734</v>
      </c>
      <c r="F44" s="80" t="s">
        <v>1303</v>
      </c>
    </row>
    <row r="45" spans="1:6" ht="16">
      <c r="A45" s="77" t="s">
        <v>1280</v>
      </c>
      <c r="B45" s="70" t="s">
        <v>1273</v>
      </c>
      <c r="C45" s="70" t="s">
        <v>1735</v>
      </c>
      <c r="D45" s="72" t="s">
        <v>1711</v>
      </c>
      <c r="E45" s="71" t="s">
        <v>1736</v>
      </c>
      <c r="F45" s="80" t="s">
        <v>1303</v>
      </c>
    </row>
    <row r="46" spans="1:6" ht="16">
      <c r="A46" s="77" t="s">
        <v>1281</v>
      </c>
      <c r="B46" s="70" t="s">
        <v>1273</v>
      </c>
      <c r="C46" s="70" t="s">
        <v>1737</v>
      </c>
      <c r="D46" s="72" t="s">
        <v>1711</v>
      </c>
      <c r="E46" s="71" t="s">
        <v>1738</v>
      </c>
      <c r="F46" s="80" t="s">
        <v>1303</v>
      </c>
    </row>
    <row r="47" spans="1:6" ht="16">
      <c r="A47" s="77" t="s">
        <v>1289</v>
      </c>
      <c r="B47" s="70" t="s">
        <v>1273</v>
      </c>
      <c r="C47" s="70" t="s">
        <v>1739</v>
      </c>
      <c r="D47" s="72" t="s">
        <v>1711</v>
      </c>
      <c r="E47" s="71" t="s">
        <v>1740</v>
      </c>
      <c r="F47" s="80" t="s">
        <v>1303</v>
      </c>
    </row>
    <row r="48" spans="1:6" ht="16">
      <c r="A48" s="77" t="s">
        <v>1290</v>
      </c>
      <c r="B48" s="70" t="s">
        <v>1273</v>
      </c>
      <c r="C48" s="70" t="s">
        <v>1741</v>
      </c>
      <c r="D48" s="72" t="s">
        <v>1711</v>
      </c>
      <c r="E48" s="71" t="s">
        <v>1742</v>
      </c>
      <c r="F48" s="80" t="s">
        <v>1303</v>
      </c>
    </row>
    <row r="49" spans="1:6" ht="16">
      <c r="A49" s="77" t="s">
        <v>1263</v>
      </c>
      <c r="B49" s="70" t="s">
        <v>697</v>
      </c>
      <c r="C49" s="70" t="s">
        <v>1743</v>
      </c>
      <c r="D49" s="72" t="s">
        <v>1711</v>
      </c>
      <c r="E49" s="71" t="s">
        <v>1744</v>
      </c>
      <c r="F49" s="80" t="s">
        <v>1303</v>
      </c>
    </row>
    <row r="50" spans="1:6" ht="16">
      <c r="A50" s="77" t="s">
        <v>1267</v>
      </c>
      <c r="B50" s="70" t="s">
        <v>697</v>
      </c>
      <c r="C50" s="70" t="s">
        <v>1745</v>
      </c>
      <c r="D50" s="72" t="s">
        <v>1711</v>
      </c>
      <c r="E50" s="71" t="s">
        <v>1746</v>
      </c>
      <c r="F50" s="80" t="s">
        <v>1303</v>
      </c>
    </row>
    <row r="51" spans="1:6" ht="16">
      <c r="A51" s="77" t="s">
        <v>1268</v>
      </c>
      <c r="B51" s="70" t="s">
        <v>697</v>
      </c>
      <c r="C51" s="70" t="s">
        <v>1747</v>
      </c>
      <c r="D51" s="72" t="s">
        <v>1711</v>
      </c>
      <c r="E51" s="71" t="s">
        <v>1748</v>
      </c>
      <c r="F51" s="80" t="s">
        <v>1303</v>
      </c>
    </row>
    <row r="52" spans="1:6" ht="16">
      <c r="A52" s="77" t="s">
        <v>1532</v>
      </c>
      <c r="B52" s="70" t="s">
        <v>701</v>
      </c>
      <c r="C52" s="70" t="s">
        <v>1533</v>
      </c>
      <c r="D52" s="72" t="s">
        <v>1711</v>
      </c>
      <c r="E52" s="71" t="s">
        <v>1749</v>
      </c>
      <c r="F52" s="80" t="s">
        <v>1303</v>
      </c>
    </row>
    <row r="53" spans="1:6" ht="16">
      <c r="A53" s="77" t="s">
        <v>1534</v>
      </c>
      <c r="B53" s="70" t="s">
        <v>701</v>
      </c>
      <c r="C53" s="70" t="s">
        <v>1535</v>
      </c>
      <c r="D53" s="72" t="s">
        <v>1711</v>
      </c>
      <c r="E53" s="71" t="s">
        <v>1750</v>
      </c>
      <c r="F53" s="80" t="s">
        <v>1303</v>
      </c>
    </row>
    <row r="54" spans="1:6" ht="16">
      <c r="A54" s="77" t="s">
        <v>1575</v>
      </c>
      <c r="B54" s="70" t="s">
        <v>1574</v>
      </c>
      <c r="C54" s="70" t="s">
        <v>1751</v>
      </c>
      <c r="D54" s="72" t="s">
        <v>1711</v>
      </c>
      <c r="E54" s="71" t="s">
        <v>1752</v>
      </c>
      <c r="F54" s="80" t="s">
        <v>1303</v>
      </c>
    </row>
    <row r="55" spans="1:6" ht="16">
      <c r="A55" s="78" t="s">
        <v>1576</v>
      </c>
      <c r="B55" s="74" t="s">
        <v>1574</v>
      </c>
      <c r="C55" s="74" t="s">
        <v>1753</v>
      </c>
      <c r="D55" s="76" t="s">
        <v>1711</v>
      </c>
      <c r="E55" s="75" t="s">
        <v>1754</v>
      </c>
      <c r="F55" s="81" t="s">
        <v>1303</v>
      </c>
    </row>
  </sheetData>
  <autoFilter ref="A5:F55" xr:uid="{8B2CA42E-305E-3549-A119-1311DF775CFA}"/>
  <phoneticPr fontId="2"/>
  <conditionalFormatting sqref="A6:F55">
    <cfRule type="expression" dxfId="35" priority="1">
      <formula>$D6="スコープ増"</formula>
    </cfRule>
  </conditionalFormatting>
  <conditionalFormatting sqref="A6:F55">
    <cfRule type="expression" dxfId="34" priority="2">
      <formula>$D6="要件側の書き漏れ"</formula>
    </cfRule>
  </conditionalFormatting>
  <conditionalFormatting sqref="A6:F55">
    <cfRule type="expression" dxfId="33" priority="3">
      <formula>$D6="参照漏れ"</formula>
    </cfRule>
  </conditionalFormatting>
  <conditionalFormatting sqref="A6:F55">
    <cfRule type="expression" dxfId="32" priority="4">
      <formula>$D6="内部技術判断"</formula>
    </cfRule>
  </conditionalFormatting>
  <conditionalFormatting sqref="A6:F55">
    <cfRule type="expression" dxfId="31" priority="5">
      <formula>$D6="廃止済み"</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9" t="s">
        <v>3226</v>
      </c>
    </row>
    <row r="2" spans="1:9">
      <c r="A2" s="3" t="s">
        <v>3227</v>
      </c>
    </row>
    <row r="3" spans="1:9">
      <c r="A3" s="53" t="s">
        <v>3228</v>
      </c>
    </row>
    <row r="4" spans="1:9" ht="22" customHeight="1"/>
    <row r="5" spans="1:9" ht="22" customHeight="1">
      <c r="A5" s="9" t="s">
        <v>1815</v>
      </c>
      <c r="B5" s="10" t="s">
        <v>1816</v>
      </c>
      <c r="C5" s="10" t="s">
        <v>1817</v>
      </c>
      <c r="D5" s="10" t="s">
        <v>3229</v>
      </c>
      <c r="E5" s="11" t="s">
        <v>3230</v>
      </c>
      <c r="G5" s="162" t="s">
        <v>3397</v>
      </c>
    </row>
    <row r="6" spans="1:9">
      <c r="A6" s="51" t="s">
        <v>3231</v>
      </c>
      <c r="B6" s="6" t="s">
        <v>3232</v>
      </c>
      <c r="C6" s="12" t="s">
        <v>3233</v>
      </c>
      <c r="D6" s="189" t="s">
        <v>3398</v>
      </c>
      <c r="E6" s="187"/>
      <c r="G6" s="20" t="s">
        <v>1817</v>
      </c>
      <c r="H6" s="22" t="s">
        <v>1405</v>
      </c>
    </row>
    <row r="7" spans="1:9">
      <c r="A7" s="51" t="s">
        <v>3234</v>
      </c>
      <c r="B7" s="6" t="s">
        <v>3235</v>
      </c>
      <c r="C7" s="12" t="s">
        <v>3233</v>
      </c>
      <c r="D7" s="189" t="s">
        <v>3398</v>
      </c>
      <c r="E7" s="187"/>
      <c r="G7" s="23" t="s">
        <v>3244</v>
      </c>
      <c r="H7" s="163">
        <f>COUNTIF($C$6:$C$72,$G7)</f>
        <v>50</v>
      </c>
    </row>
    <row r="8" spans="1:9">
      <c r="A8" s="51" t="s">
        <v>3236</v>
      </c>
      <c r="B8" s="6" t="s">
        <v>3237</v>
      </c>
      <c r="C8" s="12" t="s">
        <v>3233</v>
      </c>
      <c r="D8" s="189" t="s">
        <v>3398</v>
      </c>
      <c r="E8" s="187"/>
      <c r="G8" s="23" t="s">
        <v>3233</v>
      </c>
      <c r="H8" s="163">
        <f>COUNTIF($C$6:$C$72,$G8)</f>
        <v>12</v>
      </c>
    </row>
    <row r="9" spans="1:9">
      <c r="A9" s="51" t="s">
        <v>3238</v>
      </c>
      <c r="B9" s="6" t="s">
        <v>3239</v>
      </c>
      <c r="C9" s="12" t="s">
        <v>3233</v>
      </c>
      <c r="D9" s="189" t="s">
        <v>3398</v>
      </c>
      <c r="E9" s="187"/>
      <c r="G9" s="23" t="s">
        <v>3362</v>
      </c>
      <c r="H9" s="163">
        <f>COUNTIF($C$6:$C$72,$G9)</f>
        <v>1</v>
      </c>
    </row>
    <row r="10" spans="1:9">
      <c r="A10" s="51" t="s">
        <v>3240</v>
      </c>
      <c r="B10" s="6" t="s">
        <v>3241</v>
      </c>
      <c r="C10" s="12" t="s">
        <v>3233</v>
      </c>
      <c r="D10" s="189" t="s">
        <v>3398</v>
      </c>
      <c r="E10" s="187"/>
      <c r="G10" s="23" t="s">
        <v>3366</v>
      </c>
      <c r="H10" s="163">
        <f>COUNTIF($C$6:$C$72,$G10)</f>
        <v>1</v>
      </c>
    </row>
    <row r="11" spans="1:9">
      <c r="A11" s="51" t="s">
        <v>3242</v>
      </c>
      <c r="B11" s="6" t="s">
        <v>3243</v>
      </c>
      <c r="C11" s="12" t="s">
        <v>3244</v>
      </c>
      <c r="D11" s="189" t="s">
        <v>3398</v>
      </c>
      <c r="E11" s="187"/>
      <c r="G11" s="23" t="s">
        <v>3313</v>
      </c>
      <c r="H11" s="163">
        <f>COUNTIF($C$6:$C$72,$G11)</f>
        <v>2</v>
      </c>
    </row>
    <row r="12" spans="1:9">
      <c r="A12" s="51" t="s">
        <v>3245</v>
      </c>
      <c r="B12" s="6" t="s">
        <v>3246</v>
      </c>
      <c r="C12" s="12" t="s">
        <v>3233</v>
      </c>
      <c r="D12" s="189" t="s">
        <v>3399</v>
      </c>
      <c r="E12" s="187"/>
      <c r="G12" s="23" t="s">
        <v>3325</v>
      </c>
      <c r="H12" s="163">
        <f>COUNTIF($C$6:$C$72,$G12)</f>
        <v>1</v>
      </c>
    </row>
    <row r="13" spans="1:9">
      <c r="A13" s="51" t="s">
        <v>3247</v>
      </c>
      <c r="B13" s="6" t="s">
        <v>3248</v>
      </c>
      <c r="C13" s="12" t="s">
        <v>3233</v>
      </c>
      <c r="D13" s="189" t="s">
        <v>3400</v>
      </c>
      <c r="E13" s="187"/>
      <c r="G13" s="25" t="s">
        <v>13</v>
      </c>
      <c r="H13" s="164">
        <f>SUM(H7:H12)</f>
        <v>67</v>
      </c>
      <c r="I13" s="50" t="str">
        <f>IF(H13=COUNTA($A$6:$A$72),"✓ 明細行数と一致","⚠ 不一致")</f>
        <v>✓ 明細行数と一致</v>
      </c>
    </row>
    <row r="14" spans="1:9">
      <c r="A14" s="51" t="s">
        <v>3249</v>
      </c>
      <c r="B14" s="6" t="s">
        <v>3250</v>
      </c>
      <c r="C14" s="12" t="s">
        <v>3233</v>
      </c>
      <c r="D14" s="189" t="s">
        <v>3401</v>
      </c>
      <c r="E14" s="187"/>
    </row>
    <row r="15" spans="1:9">
      <c r="A15" s="51" t="s">
        <v>3251</v>
      </c>
      <c r="B15" s="6" t="s">
        <v>3252</v>
      </c>
      <c r="C15" s="12" t="s">
        <v>3233</v>
      </c>
      <c r="D15" s="189" t="s">
        <v>3402</v>
      </c>
      <c r="E15" s="187"/>
    </row>
    <row r="16" spans="1:9">
      <c r="A16" s="51" t="s">
        <v>3253</v>
      </c>
      <c r="B16" s="6" t="s">
        <v>3254</v>
      </c>
      <c r="C16" s="12" t="s">
        <v>3244</v>
      </c>
      <c r="D16" s="189" t="s">
        <v>3402</v>
      </c>
      <c r="E16" s="187" t="s">
        <v>3255</v>
      </c>
    </row>
    <row r="17" spans="1:5">
      <c r="A17" s="51" t="s">
        <v>3256</v>
      </c>
      <c r="B17" s="6" t="s">
        <v>3257</v>
      </c>
      <c r="C17" s="12" t="s">
        <v>3233</v>
      </c>
      <c r="D17" s="189" t="s">
        <v>3403</v>
      </c>
      <c r="E17" s="187"/>
    </row>
    <row r="18" spans="1:5">
      <c r="A18" s="51" t="s">
        <v>3258</v>
      </c>
      <c r="B18" s="6" t="s">
        <v>3259</v>
      </c>
      <c r="C18" s="12" t="s">
        <v>3244</v>
      </c>
      <c r="D18" s="189" t="s">
        <v>3404</v>
      </c>
      <c r="E18" s="187"/>
    </row>
    <row r="19" spans="1:5">
      <c r="A19" s="51" t="s">
        <v>3260</v>
      </c>
      <c r="B19" s="6" t="s">
        <v>3261</v>
      </c>
      <c r="C19" s="12" t="s">
        <v>3244</v>
      </c>
      <c r="D19" s="189" t="s">
        <v>3404</v>
      </c>
      <c r="E19" s="187"/>
    </row>
    <row r="20" spans="1:5">
      <c r="A20" s="51" t="s">
        <v>3262</v>
      </c>
      <c r="B20" s="6" t="s">
        <v>3263</v>
      </c>
      <c r="C20" s="12" t="s">
        <v>3244</v>
      </c>
      <c r="D20" s="189" t="s">
        <v>3404</v>
      </c>
      <c r="E20" s="187"/>
    </row>
    <row r="21" spans="1:5">
      <c r="A21" s="51" t="s">
        <v>3264</v>
      </c>
      <c r="B21" s="6" t="s">
        <v>3265</v>
      </c>
      <c r="C21" s="12" t="s">
        <v>3244</v>
      </c>
      <c r="D21" s="189" t="s">
        <v>3405</v>
      </c>
      <c r="E21" s="187" t="s">
        <v>3266</v>
      </c>
    </row>
    <row r="22" spans="1:5">
      <c r="A22" s="51" t="s">
        <v>3267</v>
      </c>
      <c r="B22" s="6" t="s">
        <v>3268</v>
      </c>
      <c r="C22" s="12" t="s">
        <v>3244</v>
      </c>
      <c r="D22" s="189" t="s">
        <v>3269</v>
      </c>
      <c r="E22" s="187" t="s">
        <v>3270</v>
      </c>
    </row>
    <row r="23" spans="1:5">
      <c r="A23" s="51" t="s">
        <v>3271</v>
      </c>
      <c r="B23" s="6" t="s">
        <v>3272</v>
      </c>
      <c r="C23" s="12" t="s">
        <v>3244</v>
      </c>
      <c r="D23" s="189" t="s">
        <v>3406</v>
      </c>
      <c r="E23" s="187"/>
    </row>
    <row r="24" spans="1:5">
      <c r="A24" s="51" t="s">
        <v>3273</v>
      </c>
      <c r="B24" s="6" t="s">
        <v>3274</v>
      </c>
      <c r="C24" s="12" t="s">
        <v>3244</v>
      </c>
      <c r="D24" s="189" t="s">
        <v>3406</v>
      </c>
      <c r="E24" s="187"/>
    </row>
    <row r="25" spans="1:5">
      <c r="A25" s="51" t="s">
        <v>3275</v>
      </c>
      <c r="B25" s="6" t="s">
        <v>3276</v>
      </c>
      <c r="C25" s="12" t="s">
        <v>3244</v>
      </c>
      <c r="D25" s="189" t="s">
        <v>3406</v>
      </c>
      <c r="E25" s="187"/>
    </row>
    <row r="26" spans="1:5">
      <c r="A26" s="51" t="s">
        <v>3277</v>
      </c>
      <c r="B26" s="6" t="s">
        <v>3278</v>
      </c>
      <c r="C26" s="12" t="s">
        <v>3244</v>
      </c>
      <c r="D26" s="189" t="s">
        <v>3406</v>
      </c>
      <c r="E26" s="187"/>
    </row>
    <row r="27" spans="1:5">
      <c r="A27" s="51" t="s">
        <v>3279</v>
      </c>
      <c r="B27" s="6" t="s">
        <v>3280</v>
      </c>
      <c r="C27" s="12" t="s">
        <v>3244</v>
      </c>
      <c r="D27" s="189" t="s">
        <v>3406</v>
      </c>
      <c r="E27" s="187"/>
    </row>
    <row r="28" spans="1:5">
      <c r="A28" s="51" t="s">
        <v>3281</v>
      </c>
      <c r="B28" s="6" t="s">
        <v>3282</v>
      </c>
      <c r="C28" s="12" t="s">
        <v>3244</v>
      </c>
      <c r="D28" s="189" t="s">
        <v>3407</v>
      </c>
      <c r="E28" s="187" t="s">
        <v>3283</v>
      </c>
    </row>
    <row r="29" spans="1:5">
      <c r="A29" s="51" t="s">
        <v>3284</v>
      </c>
      <c r="B29" s="6" t="s">
        <v>3285</v>
      </c>
      <c r="C29" s="12" t="s">
        <v>3244</v>
      </c>
      <c r="D29" s="189" t="s">
        <v>3407</v>
      </c>
      <c r="E29" s="187"/>
    </row>
    <row r="30" spans="1:5">
      <c r="A30" s="51" t="s">
        <v>3286</v>
      </c>
      <c r="B30" s="6" t="s">
        <v>3287</v>
      </c>
      <c r="C30" s="12" t="s">
        <v>3244</v>
      </c>
      <c r="D30" s="189" t="s">
        <v>3407</v>
      </c>
      <c r="E30" s="187" t="s">
        <v>3288</v>
      </c>
    </row>
    <row r="31" spans="1:5">
      <c r="A31" s="51" t="s">
        <v>3289</v>
      </c>
      <c r="B31" s="6" t="s">
        <v>3290</v>
      </c>
      <c r="C31" s="12" t="s">
        <v>3244</v>
      </c>
      <c r="D31" s="189" t="s">
        <v>3407</v>
      </c>
      <c r="E31" s="187"/>
    </row>
    <row r="32" spans="1:5">
      <c r="A32" s="51" t="s">
        <v>3291</v>
      </c>
      <c r="B32" s="6" t="s">
        <v>3292</v>
      </c>
      <c r="C32" s="12" t="s">
        <v>3244</v>
      </c>
      <c r="D32" s="189" t="s">
        <v>3407</v>
      </c>
      <c r="E32" s="187"/>
    </row>
    <row r="33" spans="1:5">
      <c r="A33" s="51" t="s">
        <v>3293</v>
      </c>
      <c r="B33" s="6" t="s">
        <v>3294</v>
      </c>
      <c r="C33" s="12" t="s">
        <v>3244</v>
      </c>
      <c r="D33" s="189" t="s">
        <v>3407</v>
      </c>
      <c r="E33" s="187"/>
    </row>
    <row r="34" spans="1:5">
      <c r="A34" s="51" t="s">
        <v>3295</v>
      </c>
      <c r="B34" s="6" t="s">
        <v>3296</v>
      </c>
      <c r="C34" s="12" t="s">
        <v>3244</v>
      </c>
      <c r="D34" s="189" t="s">
        <v>3407</v>
      </c>
      <c r="E34" s="187"/>
    </row>
    <row r="35" spans="1:5">
      <c r="A35" s="51" t="s">
        <v>3297</v>
      </c>
      <c r="B35" s="6" t="s">
        <v>3298</v>
      </c>
      <c r="C35" s="12" t="s">
        <v>3244</v>
      </c>
      <c r="D35" s="189" t="s">
        <v>3407</v>
      </c>
      <c r="E35" s="187"/>
    </row>
    <row r="36" spans="1:5">
      <c r="A36" s="51" t="s">
        <v>3299</v>
      </c>
      <c r="B36" s="6" t="s">
        <v>3300</v>
      </c>
      <c r="C36" s="12" t="s">
        <v>3244</v>
      </c>
      <c r="D36" s="189" t="s">
        <v>3407</v>
      </c>
      <c r="E36" s="187"/>
    </row>
    <row r="37" spans="1:5">
      <c r="A37" s="51" t="s">
        <v>3301</v>
      </c>
      <c r="B37" s="6" t="s">
        <v>3302</v>
      </c>
      <c r="C37" s="12" t="s">
        <v>3244</v>
      </c>
      <c r="D37" s="189" t="s">
        <v>3406</v>
      </c>
      <c r="E37" s="187"/>
    </row>
    <row r="38" spans="1:5">
      <c r="A38" s="51" t="s">
        <v>3303</v>
      </c>
      <c r="B38" s="6" t="s">
        <v>3304</v>
      </c>
      <c r="C38" s="12" t="s">
        <v>3244</v>
      </c>
      <c r="D38" s="189" t="s">
        <v>3305</v>
      </c>
      <c r="E38" s="187" t="s">
        <v>3306</v>
      </c>
    </row>
    <row r="39" spans="1:5">
      <c r="A39" s="51" t="s">
        <v>3307</v>
      </c>
      <c r="B39" s="6" t="s">
        <v>3308</v>
      </c>
      <c r="C39" s="12" t="s">
        <v>3244</v>
      </c>
      <c r="D39" s="189" t="s">
        <v>3408</v>
      </c>
      <c r="E39" s="187"/>
    </row>
    <row r="40" spans="1:5">
      <c r="A40" s="51" t="s">
        <v>3309</v>
      </c>
      <c r="B40" s="6" t="s">
        <v>3310</v>
      </c>
      <c r="C40" s="12" t="s">
        <v>3244</v>
      </c>
      <c r="D40" s="189" t="s">
        <v>3408</v>
      </c>
      <c r="E40" s="187"/>
    </row>
    <row r="41" spans="1:5">
      <c r="A41" s="51" t="s">
        <v>3311</v>
      </c>
      <c r="B41" s="6" t="s">
        <v>3312</v>
      </c>
      <c r="C41" s="12" t="s">
        <v>3313</v>
      </c>
      <c r="D41" s="189" t="s">
        <v>3408</v>
      </c>
      <c r="E41" s="187" t="s">
        <v>3314</v>
      </c>
    </row>
    <row r="42" spans="1:5">
      <c r="A42" s="51" t="s">
        <v>3315</v>
      </c>
      <c r="B42" s="6" t="s">
        <v>3316</v>
      </c>
      <c r="C42" s="12" t="s">
        <v>3244</v>
      </c>
      <c r="D42" s="189" t="s">
        <v>3408</v>
      </c>
      <c r="E42" s="187"/>
    </row>
    <row r="43" spans="1:5">
      <c r="A43" s="51" t="s">
        <v>3317</v>
      </c>
      <c r="B43" s="6" t="s">
        <v>3318</v>
      </c>
      <c r="C43" s="12" t="s">
        <v>3244</v>
      </c>
      <c r="D43" s="189" t="s">
        <v>3408</v>
      </c>
      <c r="E43" s="187"/>
    </row>
    <row r="44" spans="1:5">
      <c r="A44" s="51" t="s">
        <v>3319</v>
      </c>
      <c r="B44" s="6" t="s">
        <v>3320</v>
      </c>
      <c r="C44" s="12" t="s">
        <v>3244</v>
      </c>
      <c r="D44" s="189" t="s">
        <v>3321</v>
      </c>
      <c r="E44" s="187" t="s">
        <v>3322</v>
      </c>
    </row>
    <row r="45" spans="1:5">
      <c r="A45" s="51" t="s">
        <v>3323</v>
      </c>
      <c r="B45" s="6" t="s">
        <v>3324</v>
      </c>
      <c r="C45" s="12" t="s">
        <v>3325</v>
      </c>
      <c r="D45" s="189" t="s">
        <v>3409</v>
      </c>
      <c r="E45" s="187" t="s">
        <v>3326</v>
      </c>
    </row>
    <row r="46" spans="1:5">
      <c r="A46" s="51" t="s">
        <v>3327</v>
      </c>
      <c r="B46" s="6" t="s">
        <v>3328</v>
      </c>
      <c r="C46" s="12" t="s">
        <v>3244</v>
      </c>
      <c r="D46" s="189" t="s">
        <v>3321</v>
      </c>
      <c r="E46" s="187" t="s">
        <v>3329</v>
      </c>
    </row>
    <row r="47" spans="1:5">
      <c r="A47" s="51" t="s">
        <v>3330</v>
      </c>
      <c r="B47" s="6" t="s">
        <v>3331</v>
      </c>
      <c r="C47" s="12" t="s">
        <v>3244</v>
      </c>
      <c r="D47" s="189" t="s">
        <v>3409</v>
      </c>
      <c r="E47" s="187"/>
    </row>
    <row r="48" spans="1:5">
      <c r="A48" s="51" t="s">
        <v>3332</v>
      </c>
      <c r="B48" s="6" t="s">
        <v>3333</v>
      </c>
      <c r="C48" s="12" t="s">
        <v>3244</v>
      </c>
      <c r="D48" s="189" t="s">
        <v>3409</v>
      </c>
      <c r="E48" s="187" t="s">
        <v>3334</v>
      </c>
    </row>
    <row r="49" spans="1:5">
      <c r="A49" s="51" t="s">
        <v>3335</v>
      </c>
      <c r="B49" s="6" t="s">
        <v>3336</v>
      </c>
      <c r="C49" s="12" t="s">
        <v>3244</v>
      </c>
      <c r="D49" s="189" t="s">
        <v>3409</v>
      </c>
      <c r="E49" s="187"/>
    </row>
    <row r="50" spans="1:5">
      <c r="A50" s="51" t="s">
        <v>3337</v>
      </c>
      <c r="B50" s="6" t="s">
        <v>3338</v>
      </c>
      <c r="C50" s="12" t="s">
        <v>3244</v>
      </c>
      <c r="D50" s="189" t="s">
        <v>3409</v>
      </c>
      <c r="E50" s="187"/>
    </row>
    <row r="51" spans="1:5">
      <c r="A51" s="51" t="s">
        <v>3339</v>
      </c>
      <c r="B51" s="6" t="s">
        <v>3340</v>
      </c>
      <c r="C51" s="12" t="s">
        <v>3244</v>
      </c>
      <c r="D51" s="189" t="s">
        <v>3409</v>
      </c>
      <c r="E51" s="187"/>
    </row>
    <row r="52" spans="1:5">
      <c r="A52" s="51" t="s">
        <v>3341</v>
      </c>
      <c r="B52" s="6" t="s">
        <v>3342</v>
      </c>
      <c r="C52" s="12" t="s">
        <v>3244</v>
      </c>
      <c r="D52" s="189" t="s">
        <v>3409</v>
      </c>
      <c r="E52" s="187"/>
    </row>
    <row r="53" spans="1:5">
      <c r="A53" s="51" t="s">
        <v>3343</v>
      </c>
      <c r="B53" s="6" t="s">
        <v>3344</v>
      </c>
      <c r="C53" s="12" t="s">
        <v>3244</v>
      </c>
      <c r="D53" s="189" t="s">
        <v>3409</v>
      </c>
      <c r="E53" s="187"/>
    </row>
    <row r="54" spans="1:5">
      <c r="A54" s="51" t="s">
        <v>3345</v>
      </c>
      <c r="B54" s="6" t="s">
        <v>3346</v>
      </c>
      <c r="C54" s="12" t="s">
        <v>3244</v>
      </c>
      <c r="D54" s="189" t="s">
        <v>3409</v>
      </c>
      <c r="E54" s="187"/>
    </row>
    <row r="55" spans="1:5">
      <c r="A55" s="51" t="s">
        <v>3347</v>
      </c>
      <c r="B55" s="6" t="s">
        <v>3348</v>
      </c>
      <c r="C55" s="12" t="s">
        <v>3244</v>
      </c>
      <c r="D55" s="189" t="s">
        <v>3409</v>
      </c>
      <c r="E55" s="187"/>
    </row>
    <row r="56" spans="1:5">
      <c r="A56" s="51" t="s">
        <v>3349</v>
      </c>
      <c r="B56" s="6" t="s">
        <v>3350</v>
      </c>
      <c r="C56" s="12" t="s">
        <v>3244</v>
      </c>
      <c r="D56" s="189" t="s">
        <v>3321</v>
      </c>
      <c r="E56" s="187" t="s">
        <v>3351</v>
      </c>
    </row>
    <row r="57" spans="1:5">
      <c r="A57" s="51" t="s">
        <v>3352</v>
      </c>
      <c r="B57" s="6" t="s">
        <v>3353</v>
      </c>
      <c r="C57" s="12" t="s">
        <v>3313</v>
      </c>
      <c r="D57" s="189" t="s">
        <v>3409</v>
      </c>
      <c r="E57" s="187" t="s">
        <v>3354</v>
      </c>
    </row>
    <row r="58" spans="1:5">
      <c r="A58" s="51" t="s">
        <v>3355</v>
      </c>
      <c r="B58" s="6" t="s">
        <v>3356</v>
      </c>
      <c r="C58" s="12" t="s">
        <v>3244</v>
      </c>
      <c r="D58" s="189" t="s">
        <v>3409</v>
      </c>
      <c r="E58" s="187"/>
    </row>
    <row r="59" spans="1:5">
      <c r="A59" s="51" t="s">
        <v>3357</v>
      </c>
      <c r="B59" s="6" t="s">
        <v>3358</v>
      </c>
      <c r="C59" s="12" t="s">
        <v>3244</v>
      </c>
      <c r="D59" s="189" t="s">
        <v>3410</v>
      </c>
      <c r="E59" s="187" t="s">
        <v>3359</v>
      </c>
    </row>
    <row r="60" spans="1:5">
      <c r="A60" s="51" t="s">
        <v>3360</v>
      </c>
      <c r="B60" s="6" t="s">
        <v>3361</v>
      </c>
      <c r="C60" s="12" t="s">
        <v>3362</v>
      </c>
      <c r="D60" s="189" t="s">
        <v>3411</v>
      </c>
      <c r="E60" s="187" t="s">
        <v>3363</v>
      </c>
    </row>
    <row r="61" spans="1:5">
      <c r="A61" s="51" t="s">
        <v>3364</v>
      </c>
      <c r="B61" s="6" t="s">
        <v>3365</v>
      </c>
      <c r="C61" s="12" t="s">
        <v>3366</v>
      </c>
      <c r="D61" s="189" t="s">
        <v>3367</v>
      </c>
      <c r="E61" s="187" t="s">
        <v>3368</v>
      </c>
    </row>
    <row r="62" spans="1:5">
      <c r="A62" s="51" t="s">
        <v>3369</v>
      </c>
      <c r="B62" s="6" t="s">
        <v>3370</v>
      </c>
      <c r="C62" s="12" t="s">
        <v>3244</v>
      </c>
      <c r="D62" s="189" t="s">
        <v>3412</v>
      </c>
      <c r="E62" s="187" t="s">
        <v>3371</v>
      </c>
    </row>
    <row r="63" spans="1:5">
      <c r="A63" s="51" t="s">
        <v>3372</v>
      </c>
      <c r="B63" s="6" t="s">
        <v>3373</v>
      </c>
      <c r="C63" s="12" t="s">
        <v>3233</v>
      </c>
      <c r="D63" s="189" t="s">
        <v>3413</v>
      </c>
      <c r="E63" s="187" t="s">
        <v>3374</v>
      </c>
    </row>
    <row r="64" spans="1:5">
      <c r="A64" s="51" t="s">
        <v>3375</v>
      </c>
      <c r="B64" s="6" t="s">
        <v>3376</v>
      </c>
      <c r="C64" s="12" t="s">
        <v>3244</v>
      </c>
      <c r="D64" s="189" t="s">
        <v>3412</v>
      </c>
      <c r="E64" s="187" t="s">
        <v>3377</v>
      </c>
    </row>
    <row r="65" spans="1:5">
      <c r="A65" s="51" t="s">
        <v>3378</v>
      </c>
      <c r="B65" s="6" t="s">
        <v>3379</v>
      </c>
      <c r="C65" s="12" t="s">
        <v>3244</v>
      </c>
      <c r="D65" s="189" t="s">
        <v>3414</v>
      </c>
      <c r="E65" s="187" t="s">
        <v>3380</v>
      </c>
    </row>
    <row r="66" spans="1:5">
      <c r="A66" s="51" t="s">
        <v>3381</v>
      </c>
      <c r="B66" s="6" t="s">
        <v>3382</v>
      </c>
      <c r="C66" s="12" t="s">
        <v>3233</v>
      </c>
      <c r="D66" s="189" t="s">
        <v>3383</v>
      </c>
      <c r="E66" s="187" t="s">
        <v>3384</v>
      </c>
    </row>
    <row r="67" spans="1:5">
      <c r="A67" s="51" t="s">
        <v>3385</v>
      </c>
      <c r="B67" s="6" t="s">
        <v>3386</v>
      </c>
      <c r="C67" s="12" t="s">
        <v>3244</v>
      </c>
      <c r="D67" s="189" t="s">
        <v>3387</v>
      </c>
      <c r="E67" s="187" t="s">
        <v>3388</v>
      </c>
    </row>
    <row r="68" spans="1:5">
      <c r="A68" s="51" t="s">
        <v>3389</v>
      </c>
      <c r="B68" s="6" t="s">
        <v>3390</v>
      </c>
      <c r="C68" s="12" t="s">
        <v>3244</v>
      </c>
      <c r="D68" s="189" t="s">
        <v>3415</v>
      </c>
      <c r="E68" s="187" t="s">
        <v>3391</v>
      </c>
    </row>
    <row r="69" spans="1:5">
      <c r="A69" s="51" t="s">
        <v>3151</v>
      </c>
      <c r="B69" s="6" t="s">
        <v>3392</v>
      </c>
      <c r="C69" s="12" t="s">
        <v>3244</v>
      </c>
      <c r="D69" s="189" t="s">
        <v>3416</v>
      </c>
      <c r="E69" s="187" t="s">
        <v>3393</v>
      </c>
    </row>
    <row r="70" spans="1:5">
      <c r="A70" s="51" t="s">
        <v>1818</v>
      </c>
      <c r="B70" s="6" t="s">
        <v>1848</v>
      </c>
      <c r="C70" s="12" t="s">
        <v>3244</v>
      </c>
      <c r="D70" s="189" t="s">
        <v>3417</v>
      </c>
      <c r="E70" s="187" t="s">
        <v>3394</v>
      </c>
    </row>
    <row r="71" spans="1:5">
      <c r="A71" s="51" t="s">
        <v>1819</v>
      </c>
      <c r="B71" s="6" t="s">
        <v>1820</v>
      </c>
      <c r="C71" s="12" t="s">
        <v>3244</v>
      </c>
      <c r="D71" s="189" t="s">
        <v>3417</v>
      </c>
      <c r="E71" s="187" t="s">
        <v>3395</v>
      </c>
    </row>
    <row r="72" spans="1:5">
      <c r="A72" s="52" t="s">
        <v>1821</v>
      </c>
      <c r="B72" s="8" t="s">
        <v>1822</v>
      </c>
      <c r="C72" s="13" t="s">
        <v>3244</v>
      </c>
      <c r="D72" s="190" t="s">
        <v>3417</v>
      </c>
      <c r="E72" s="188" t="s">
        <v>3396</v>
      </c>
    </row>
  </sheetData>
  <autoFilter ref="A5:E72" xr:uid="{A4DEADF9-EFAE-A14D-BC4F-3F04ADDCB1E4}"/>
  <phoneticPr fontId="2"/>
  <conditionalFormatting sqref="A6:E72">
    <cfRule type="expression" dxfId="30" priority="1">
      <formula>$C6="Accepted"</formula>
    </cfRule>
  </conditionalFormatting>
  <conditionalFormatting sqref="A6:E72">
    <cfRule type="expression" dxfId="29" priority="2">
      <formula>$C6="Accepted (Phase 1)"</formula>
    </cfRule>
  </conditionalFormatting>
  <conditionalFormatting sqref="A6:E72">
    <cfRule type="expression" dxfId="28" priority="3">
      <formula>$C6="Accepted（条件付き）"</formula>
    </cfRule>
  </conditionalFormatting>
  <conditionalFormatting sqref="A6:E72">
    <cfRule type="expression" dxfId="27" priority="4">
      <formula>$C6="Scope Reduced"</formula>
    </cfRule>
  </conditionalFormatting>
  <conditionalFormatting sqref="A6:E72">
    <cfRule type="expression" dxfId="26" priority="5">
      <formula>$C6="Out of Scope"</formula>
    </cfRule>
  </conditionalFormatting>
  <conditionalFormatting sqref="A6:E72">
    <cfRule type="expression" dxfId="25" priority="6">
      <formula>$A6="ADR-061"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9" t="s">
        <v>3452</v>
      </c>
    </row>
    <row r="2" spans="1:16">
      <c r="A2" s="3" t="s">
        <v>3453</v>
      </c>
    </row>
    <row r="3" spans="1:16">
      <c r="A3" s="54" t="s">
        <v>3454</v>
      </c>
    </row>
    <row r="4" spans="1:16">
      <c r="K4" s="180" t="s">
        <v>3469</v>
      </c>
    </row>
    <row r="5" spans="1:16" ht="24" customHeight="1">
      <c r="A5" s="191" t="s">
        <v>3455</v>
      </c>
      <c r="B5" s="192" t="s">
        <v>16</v>
      </c>
      <c r="C5" s="192" t="s">
        <v>3456</v>
      </c>
      <c r="D5" s="192" t="s">
        <v>1957</v>
      </c>
      <c r="E5" s="192" t="s">
        <v>3201</v>
      </c>
      <c r="F5" s="192" t="s">
        <v>3457</v>
      </c>
      <c r="G5" s="192" t="s">
        <v>3458</v>
      </c>
      <c r="H5" s="192" t="s">
        <v>3459</v>
      </c>
      <c r="I5" s="193" t="s">
        <v>19</v>
      </c>
      <c r="K5" s="199" t="s">
        <v>3455</v>
      </c>
      <c r="L5" s="200" t="s">
        <v>3470</v>
      </c>
      <c r="M5" s="200" t="s">
        <v>3471</v>
      </c>
      <c r="N5" s="200" t="s">
        <v>3472</v>
      </c>
      <c r="O5" s="201" t="s">
        <v>3473</v>
      </c>
      <c r="P5" s="1"/>
    </row>
    <row r="6" spans="1:16">
      <c r="A6" s="5" t="s">
        <v>724</v>
      </c>
      <c r="B6" s="194" t="s">
        <v>725</v>
      </c>
      <c r="C6" s="6" t="s">
        <v>1175</v>
      </c>
      <c r="D6" s="12" t="s">
        <v>3460</v>
      </c>
      <c r="E6" s="174">
        <v>25</v>
      </c>
      <c r="F6" s="6" t="s">
        <v>3692</v>
      </c>
      <c r="G6" s="196" t="s">
        <v>727</v>
      </c>
      <c r="H6" s="12" t="s">
        <v>9</v>
      </c>
      <c r="I6" s="14" t="s">
        <v>728</v>
      </c>
      <c r="K6" s="23" t="s">
        <v>724</v>
      </c>
      <c r="L6" s="30">
        <f>COUNTIF($A$6:$A$91,$K6)</f>
        <v>12</v>
      </c>
      <c r="M6" s="30">
        <f>SUMIF($A$6:$A$91,$K6,$E$6:$E$91)</f>
        <v>87</v>
      </c>
      <c r="N6" s="30">
        <v>87</v>
      </c>
      <c r="O6" s="163">
        <f>M6-N6</f>
        <v>0</v>
      </c>
      <c r="P6" s="1"/>
    </row>
    <row r="7" spans="1:16">
      <c r="A7" s="5" t="s">
        <v>724</v>
      </c>
      <c r="B7" s="194" t="s">
        <v>729</v>
      </c>
      <c r="C7" s="6" t="s">
        <v>1176</v>
      </c>
      <c r="D7" s="12" t="s">
        <v>3460</v>
      </c>
      <c r="E7" s="174">
        <v>10</v>
      </c>
      <c r="F7" s="6" t="s">
        <v>3681</v>
      </c>
      <c r="G7" s="196" t="s">
        <v>731</v>
      </c>
      <c r="H7" s="12" t="s">
        <v>9</v>
      </c>
      <c r="I7" s="14" t="s">
        <v>732</v>
      </c>
      <c r="K7" s="23" t="s">
        <v>764</v>
      </c>
      <c r="L7" s="30">
        <f>COUNTIF($A$6:$A$91,$K7)</f>
        <v>5</v>
      </c>
      <c r="M7" s="30">
        <f>SUMIF($A$6:$A$91,$K7,$E$6:$E$91)</f>
        <v>24</v>
      </c>
      <c r="N7" s="30">
        <v>22</v>
      </c>
      <c r="O7" s="163">
        <f>M7-N7</f>
        <v>2</v>
      </c>
      <c r="P7" s="1"/>
    </row>
    <row r="8" spans="1:16">
      <c r="A8" s="5" t="s">
        <v>724</v>
      </c>
      <c r="B8" s="194" t="s">
        <v>733</v>
      </c>
      <c r="C8" s="6" t="s">
        <v>1177</v>
      </c>
      <c r="D8" s="12" t="s">
        <v>3460</v>
      </c>
      <c r="E8" s="174">
        <v>20</v>
      </c>
      <c r="F8" s="6" t="s">
        <v>734</v>
      </c>
      <c r="G8" s="196" t="s">
        <v>735</v>
      </c>
      <c r="H8" s="12" t="s">
        <v>9</v>
      </c>
      <c r="I8" s="14" t="s">
        <v>728</v>
      </c>
      <c r="K8" s="23" t="s">
        <v>781</v>
      </c>
      <c r="L8" s="30">
        <f>COUNTIF($A$6:$A$91,$K8)</f>
        <v>8</v>
      </c>
      <c r="M8" s="30">
        <f>SUMIF($A$6:$A$91,$K8,$E$6:$E$91)</f>
        <v>17</v>
      </c>
      <c r="N8" s="30">
        <v>17</v>
      </c>
      <c r="O8" s="163">
        <f>M8-N8</f>
        <v>0</v>
      </c>
      <c r="P8" s="1"/>
    </row>
    <row r="9" spans="1:16">
      <c r="A9" s="5" t="s">
        <v>724</v>
      </c>
      <c r="B9" s="194" t="s">
        <v>736</v>
      </c>
      <c r="C9" s="6" t="s">
        <v>1178</v>
      </c>
      <c r="D9" s="12" t="s">
        <v>2681</v>
      </c>
      <c r="E9" s="174">
        <v>0</v>
      </c>
      <c r="F9" s="6" t="s">
        <v>737</v>
      </c>
      <c r="G9" s="196" t="s">
        <v>738</v>
      </c>
      <c r="H9" s="12" t="s">
        <v>1316</v>
      </c>
      <c r="I9" s="14" t="s">
        <v>728</v>
      </c>
      <c r="K9" s="23" t="s">
        <v>807</v>
      </c>
      <c r="L9" s="30">
        <f>COUNTIF($A$6:$A$91,$K9)</f>
        <v>18</v>
      </c>
      <c r="M9" s="30">
        <f>SUMIF($A$6:$A$91,$K9,$E$6:$E$91)</f>
        <v>53</v>
      </c>
      <c r="N9" s="30">
        <v>50</v>
      </c>
      <c r="O9" s="163">
        <f>M9-N9</f>
        <v>3</v>
      </c>
      <c r="P9" s="1"/>
    </row>
    <row r="10" spans="1:16">
      <c r="A10" s="5" t="s">
        <v>724</v>
      </c>
      <c r="B10" s="194" t="s">
        <v>739</v>
      </c>
      <c r="C10" s="6" t="s">
        <v>1179</v>
      </c>
      <c r="D10" s="12" t="s">
        <v>3460</v>
      </c>
      <c r="E10" s="174">
        <v>4</v>
      </c>
      <c r="F10" s="6" t="s">
        <v>740</v>
      </c>
      <c r="G10" s="196" t="s">
        <v>741</v>
      </c>
      <c r="H10" s="12" t="s">
        <v>9</v>
      </c>
      <c r="I10" s="14" t="s">
        <v>728</v>
      </c>
      <c r="K10" s="23" t="s">
        <v>862</v>
      </c>
      <c r="L10" s="30">
        <f>COUNTIF($A$6:$A$91,$K10)</f>
        <v>8</v>
      </c>
      <c r="M10" s="30">
        <f>SUMIF($A$6:$A$91,$K10,$E$6:$E$91)</f>
        <v>33</v>
      </c>
      <c r="N10" s="30">
        <v>33</v>
      </c>
      <c r="O10" s="163">
        <f>M10-N10</f>
        <v>0</v>
      </c>
      <c r="P10" s="1"/>
    </row>
    <row r="11" spans="1:16">
      <c r="A11" s="5" t="s">
        <v>724</v>
      </c>
      <c r="B11" s="194" t="s">
        <v>742</v>
      </c>
      <c r="C11" s="6" t="s">
        <v>1180</v>
      </c>
      <c r="D11" s="12" t="s">
        <v>3460</v>
      </c>
      <c r="E11" s="174">
        <v>8</v>
      </c>
      <c r="F11" s="6" t="s">
        <v>743</v>
      </c>
      <c r="G11" s="196" t="s">
        <v>744</v>
      </c>
      <c r="H11" s="12" t="s">
        <v>9</v>
      </c>
      <c r="I11" s="14" t="s">
        <v>728</v>
      </c>
      <c r="K11" s="23" t="s">
        <v>889</v>
      </c>
      <c r="L11" s="30">
        <f>COUNTIF($A$6:$A$91,$K11)</f>
        <v>4</v>
      </c>
      <c r="M11" s="30">
        <f>SUMIF($A$6:$A$91,$K11,$E$6:$E$91)</f>
        <v>14</v>
      </c>
      <c r="N11" s="30">
        <v>13</v>
      </c>
      <c r="O11" s="163">
        <f>M11-N11</f>
        <v>1</v>
      </c>
      <c r="P11" s="1"/>
    </row>
    <row r="12" spans="1:16">
      <c r="A12" s="5" t="s">
        <v>724</v>
      </c>
      <c r="B12" s="194" t="s">
        <v>745</v>
      </c>
      <c r="C12" s="6" t="s">
        <v>1181</v>
      </c>
      <c r="D12" s="12" t="s">
        <v>3460</v>
      </c>
      <c r="E12" s="174">
        <v>3</v>
      </c>
      <c r="F12" s="6" t="s">
        <v>746</v>
      </c>
      <c r="G12" s="196" t="s">
        <v>747</v>
      </c>
      <c r="H12" s="12" t="s">
        <v>9</v>
      </c>
      <c r="I12" s="14" t="s">
        <v>728</v>
      </c>
      <c r="K12" s="23" t="s">
        <v>905</v>
      </c>
      <c r="L12" s="30">
        <f>COUNTIF($A$6:$A$91,$K12)</f>
        <v>4</v>
      </c>
      <c r="M12" s="30">
        <f>SUMIF($A$6:$A$91,$K12,$E$6:$E$91)</f>
        <v>42</v>
      </c>
      <c r="N12" s="30">
        <v>22</v>
      </c>
      <c r="O12" s="163">
        <f>M12-N12</f>
        <v>20</v>
      </c>
      <c r="P12" s="1"/>
    </row>
    <row r="13" spans="1:16">
      <c r="A13" s="5" t="s">
        <v>724</v>
      </c>
      <c r="B13" s="194" t="s">
        <v>748</v>
      </c>
      <c r="C13" s="6" t="s">
        <v>1182</v>
      </c>
      <c r="D13" s="12" t="s">
        <v>3460</v>
      </c>
      <c r="E13" s="174">
        <v>2</v>
      </c>
      <c r="F13" s="6" t="s">
        <v>749</v>
      </c>
      <c r="G13" s="196" t="s">
        <v>750</v>
      </c>
      <c r="H13" s="12" t="s">
        <v>9</v>
      </c>
      <c r="I13" s="14" t="s">
        <v>728</v>
      </c>
      <c r="K13" s="181" t="s">
        <v>3474</v>
      </c>
      <c r="L13" s="168">
        <f>SUM(L6:L12)</f>
        <v>59</v>
      </c>
      <c r="M13" s="168">
        <f>SUM(M6:M12)</f>
        <v>270</v>
      </c>
      <c r="N13" s="168">
        <f>SUM(N6:N12)</f>
        <v>244</v>
      </c>
      <c r="O13" s="198">
        <f>SUM(O6:O12)</f>
        <v>26</v>
      </c>
      <c r="P13" s="1"/>
    </row>
    <row r="14" spans="1:16">
      <c r="A14" s="5" t="s">
        <v>724</v>
      </c>
      <c r="B14" s="194" t="s">
        <v>751</v>
      </c>
      <c r="C14" s="6" t="s">
        <v>1183</v>
      </c>
      <c r="D14" s="12" t="s">
        <v>3460</v>
      </c>
      <c r="E14" s="174">
        <v>2</v>
      </c>
      <c r="F14" s="6" t="s">
        <v>752</v>
      </c>
      <c r="G14" s="196" t="s">
        <v>753</v>
      </c>
      <c r="H14" s="12" t="s">
        <v>9</v>
      </c>
      <c r="I14" s="14" t="s">
        <v>728</v>
      </c>
      <c r="K14" s="181" t="s">
        <v>3464</v>
      </c>
      <c r="L14" s="168">
        <f>COUNTIF($A$6:$A$91,"（検証ゲート）")</f>
        <v>11</v>
      </c>
      <c r="M14" s="168">
        <v>0</v>
      </c>
      <c r="N14" s="168">
        <v>0</v>
      </c>
      <c r="O14" s="198">
        <v>0</v>
      </c>
      <c r="P14" s="1"/>
    </row>
    <row r="15" spans="1:16">
      <c r="A15" s="5" t="s">
        <v>724</v>
      </c>
      <c r="B15" s="194" t="s">
        <v>754</v>
      </c>
      <c r="C15" s="6" t="s">
        <v>1184</v>
      </c>
      <c r="D15" s="12" t="s">
        <v>3460</v>
      </c>
      <c r="E15" s="174">
        <v>5</v>
      </c>
      <c r="F15" s="6" t="s">
        <v>755</v>
      </c>
      <c r="G15" s="196" t="s">
        <v>756</v>
      </c>
      <c r="H15" s="12" t="s">
        <v>9</v>
      </c>
      <c r="I15" s="14" t="s">
        <v>728</v>
      </c>
      <c r="K15" s="181" t="s">
        <v>3467</v>
      </c>
      <c r="L15" s="168">
        <f>COUNTIF($A$6:$A$91,"（顧客確認）")</f>
        <v>16</v>
      </c>
      <c r="M15" s="168">
        <v>0</v>
      </c>
      <c r="N15" s="168">
        <v>0</v>
      </c>
      <c r="O15" s="198">
        <v>0</v>
      </c>
      <c r="P15" s="1"/>
    </row>
    <row r="16" spans="1:16">
      <c r="A16" s="5" t="s">
        <v>724</v>
      </c>
      <c r="B16" s="194" t="s">
        <v>757</v>
      </c>
      <c r="C16" s="6" t="s">
        <v>1185</v>
      </c>
      <c r="D16" s="12" t="s">
        <v>3460</v>
      </c>
      <c r="E16" s="174">
        <v>2</v>
      </c>
      <c r="F16" s="6" t="s">
        <v>758</v>
      </c>
      <c r="G16" s="196" t="s">
        <v>759</v>
      </c>
      <c r="H16" s="12" t="s">
        <v>9</v>
      </c>
      <c r="I16" s="14" t="s">
        <v>728</v>
      </c>
      <c r="K16" s="25" t="s">
        <v>13</v>
      </c>
      <c r="L16" s="31">
        <f>SUM(L13:L15)</f>
        <v>86</v>
      </c>
      <c r="M16" s="31">
        <f>SUM(M13:M15)</f>
        <v>270</v>
      </c>
      <c r="N16" s="31">
        <f>SUM(N13:N15)</f>
        <v>244</v>
      </c>
      <c r="O16" s="164">
        <f>SUM(O13:O15)</f>
        <v>26</v>
      </c>
      <c r="P16" s="16" t="str">
        <f>IF(L16=COUNTA($B$6:$B$91),"✓ 明細行数と一致","⚠ 不一致")</f>
        <v>✓ 明細行数と一致</v>
      </c>
    </row>
    <row r="17" spans="1:12">
      <c r="A17" s="5" t="s">
        <v>724</v>
      </c>
      <c r="B17" s="194" t="s">
        <v>760</v>
      </c>
      <c r="C17" s="6" t="s">
        <v>1186</v>
      </c>
      <c r="D17" s="12" t="s">
        <v>3460</v>
      </c>
      <c r="E17" s="174">
        <v>6</v>
      </c>
      <c r="F17" s="6" t="s">
        <v>761</v>
      </c>
      <c r="G17" s="196" t="s">
        <v>762</v>
      </c>
      <c r="H17" s="12" t="s">
        <v>9</v>
      </c>
      <c r="I17" s="14" t="s">
        <v>763</v>
      </c>
    </row>
    <row r="18" spans="1:12">
      <c r="A18" s="5" t="s">
        <v>764</v>
      </c>
      <c r="B18" s="194" t="s">
        <v>765</v>
      </c>
      <c r="C18" s="6" t="s">
        <v>1187</v>
      </c>
      <c r="D18" s="12" t="s">
        <v>1928</v>
      </c>
      <c r="E18" s="174">
        <v>12</v>
      </c>
      <c r="F18" s="6" t="s">
        <v>766</v>
      </c>
      <c r="G18" s="196" t="s">
        <v>767</v>
      </c>
      <c r="H18" s="12" t="s">
        <v>1928</v>
      </c>
      <c r="I18" s="14" t="s">
        <v>768</v>
      </c>
      <c r="K18" s="202" t="s">
        <v>3475</v>
      </c>
    </row>
    <row r="19" spans="1:12">
      <c r="A19" s="5" t="s">
        <v>764</v>
      </c>
      <c r="B19" s="194" t="s">
        <v>769</v>
      </c>
      <c r="C19" s="6" t="s">
        <v>1188</v>
      </c>
      <c r="D19" s="12" t="s">
        <v>1928</v>
      </c>
      <c r="E19" s="174">
        <v>5</v>
      </c>
      <c r="F19" s="6" t="s">
        <v>770</v>
      </c>
      <c r="G19" s="196" t="s">
        <v>771</v>
      </c>
      <c r="H19" s="12" t="s">
        <v>1928</v>
      </c>
      <c r="I19" s="14" t="s">
        <v>768</v>
      </c>
      <c r="K19" s="56" t="s">
        <v>3476</v>
      </c>
      <c r="L19" s="55" t="s">
        <v>3477</v>
      </c>
    </row>
    <row r="20" spans="1:12">
      <c r="A20" s="5" t="s">
        <v>764</v>
      </c>
      <c r="B20" s="194" t="s">
        <v>772</v>
      </c>
      <c r="C20" s="6" t="s">
        <v>1189</v>
      </c>
      <c r="D20" s="12" t="s">
        <v>1928</v>
      </c>
      <c r="E20" s="174">
        <v>2</v>
      </c>
      <c r="F20" s="6" t="s">
        <v>773</v>
      </c>
      <c r="G20" s="196" t="s">
        <v>774</v>
      </c>
      <c r="H20" s="12" t="s">
        <v>1928</v>
      </c>
      <c r="I20" s="14" t="s">
        <v>768</v>
      </c>
      <c r="K20" s="56" t="s">
        <v>3478</v>
      </c>
      <c r="L20" s="53" t="s">
        <v>3479</v>
      </c>
    </row>
    <row r="21" spans="1:12">
      <c r="A21" s="5" t="s">
        <v>764</v>
      </c>
      <c r="B21" s="194" t="s">
        <v>775</v>
      </c>
      <c r="C21" s="6" t="s">
        <v>1190</v>
      </c>
      <c r="D21" s="12" t="s">
        <v>1928</v>
      </c>
      <c r="E21" s="174">
        <v>4</v>
      </c>
      <c r="F21" s="6" t="s">
        <v>776</v>
      </c>
      <c r="G21" s="196" t="s">
        <v>777</v>
      </c>
      <c r="H21" s="12" t="s">
        <v>1928</v>
      </c>
      <c r="I21" s="14" t="s">
        <v>768</v>
      </c>
      <c r="K21" s="56" t="s">
        <v>3480</v>
      </c>
      <c r="L21" s="1" t="s">
        <v>3481</v>
      </c>
    </row>
    <row r="22" spans="1:12">
      <c r="A22" s="5" t="s">
        <v>764</v>
      </c>
      <c r="B22" s="194" t="s">
        <v>778</v>
      </c>
      <c r="C22" s="6" t="s">
        <v>1191</v>
      </c>
      <c r="D22" s="12" t="s">
        <v>1928</v>
      </c>
      <c r="E22" s="174">
        <v>1</v>
      </c>
      <c r="F22" s="6" t="s">
        <v>779</v>
      </c>
      <c r="G22" s="196" t="s">
        <v>780</v>
      </c>
      <c r="H22" s="12" t="s">
        <v>1928</v>
      </c>
      <c r="I22" s="14" t="s">
        <v>768</v>
      </c>
    </row>
    <row r="23" spans="1:12">
      <c r="A23" s="5" t="s">
        <v>781</v>
      </c>
      <c r="B23" s="194" t="s">
        <v>782</v>
      </c>
      <c r="C23" s="6" t="s">
        <v>1192</v>
      </c>
      <c r="D23" s="12" t="s">
        <v>3461</v>
      </c>
      <c r="E23" s="174">
        <v>4</v>
      </c>
      <c r="F23" s="6" t="s">
        <v>783</v>
      </c>
      <c r="G23" s="196" t="s">
        <v>784</v>
      </c>
      <c r="H23" s="12" t="s">
        <v>9</v>
      </c>
      <c r="I23" s="14" t="s">
        <v>785</v>
      </c>
    </row>
    <row r="24" spans="1:12">
      <c r="A24" s="5" t="s">
        <v>781</v>
      </c>
      <c r="B24" s="194" t="s">
        <v>786</v>
      </c>
      <c r="C24" s="6" t="s">
        <v>1193</v>
      </c>
      <c r="D24" s="12" t="s">
        <v>3461</v>
      </c>
      <c r="E24" s="174">
        <v>2</v>
      </c>
      <c r="F24" s="6" t="s">
        <v>787</v>
      </c>
      <c r="G24" s="196" t="s">
        <v>788</v>
      </c>
      <c r="H24" s="12" t="s">
        <v>9</v>
      </c>
      <c r="I24" s="14" t="s">
        <v>785</v>
      </c>
    </row>
    <row r="25" spans="1:12">
      <c r="A25" s="5" t="s">
        <v>781</v>
      </c>
      <c r="B25" s="194" t="s">
        <v>789</v>
      </c>
      <c r="C25" s="6" t="s">
        <v>1194</v>
      </c>
      <c r="D25" s="12" t="s">
        <v>3461</v>
      </c>
      <c r="E25" s="174">
        <v>4</v>
      </c>
      <c r="F25" s="6" t="s">
        <v>790</v>
      </c>
      <c r="G25" s="196" t="s">
        <v>791</v>
      </c>
      <c r="H25" s="12" t="s">
        <v>9</v>
      </c>
      <c r="I25" s="14" t="s">
        <v>785</v>
      </c>
    </row>
    <row r="26" spans="1:12">
      <c r="A26" s="5" t="s">
        <v>781</v>
      </c>
      <c r="B26" s="194" t="s">
        <v>792</v>
      </c>
      <c r="C26" s="6" t="s">
        <v>1195</v>
      </c>
      <c r="D26" s="12" t="s">
        <v>3461</v>
      </c>
      <c r="E26" s="174">
        <v>1</v>
      </c>
      <c r="F26" s="6" t="s">
        <v>793</v>
      </c>
      <c r="G26" s="196" t="s">
        <v>794</v>
      </c>
      <c r="H26" s="12" t="s">
        <v>9</v>
      </c>
      <c r="I26" s="14" t="s">
        <v>785</v>
      </c>
    </row>
    <row r="27" spans="1:12">
      <c r="A27" s="5" t="s">
        <v>781</v>
      </c>
      <c r="B27" s="194" t="s">
        <v>795</v>
      </c>
      <c r="C27" s="6" t="s">
        <v>1196</v>
      </c>
      <c r="D27" s="12" t="s">
        <v>3461</v>
      </c>
      <c r="E27" s="174">
        <v>2</v>
      </c>
      <c r="F27" s="6" t="s">
        <v>796</v>
      </c>
      <c r="G27" s="196" t="s">
        <v>797</v>
      </c>
      <c r="H27" s="12" t="s">
        <v>9</v>
      </c>
      <c r="I27" s="14" t="s">
        <v>785</v>
      </c>
    </row>
    <row r="28" spans="1:12">
      <c r="A28" s="5" t="s">
        <v>781</v>
      </c>
      <c r="B28" s="194" t="s">
        <v>798</v>
      </c>
      <c r="C28" s="6" t="s">
        <v>1197</v>
      </c>
      <c r="D28" s="12" t="s">
        <v>3461</v>
      </c>
      <c r="E28" s="174">
        <v>1</v>
      </c>
      <c r="F28" s="6" t="s">
        <v>799</v>
      </c>
      <c r="G28" s="196" t="s">
        <v>800</v>
      </c>
      <c r="H28" s="12" t="s">
        <v>9</v>
      </c>
      <c r="I28" s="14" t="s">
        <v>785</v>
      </c>
    </row>
    <row r="29" spans="1:12">
      <c r="A29" s="5" t="s">
        <v>781</v>
      </c>
      <c r="B29" s="194" t="s">
        <v>801</v>
      </c>
      <c r="C29" s="6" t="s">
        <v>1198</v>
      </c>
      <c r="D29" s="12" t="s">
        <v>3461</v>
      </c>
      <c r="E29" s="174">
        <v>2</v>
      </c>
      <c r="F29" s="6" t="s">
        <v>802</v>
      </c>
      <c r="G29" s="196" t="s">
        <v>803</v>
      </c>
      <c r="H29" s="12" t="s">
        <v>9</v>
      </c>
      <c r="I29" s="14" t="s">
        <v>785</v>
      </c>
    </row>
    <row r="30" spans="1:12">
      <c r="A30" s="5" t="s">
        <v>781</v>
      </c>
      <c r="B30" s="194" t="s">
        <v>804</v>
      </c>
      <c r="C30" s="6" t="s">
        <v>1199</v>
      </c>
      <c r="D30" s="12" t="s">
        <v>3461</v>
      </c>
      <c r="E30" s="174">
        <v>1</v>
      </c>
      <c r="F30" s="6" t="s">
        <v>805</v>
      </c>
      <c r="G30" s="196" t="s">
        <v>806</v>
      </c>
      <c r="H30" s="12" t="s">
        <v>9</v>
      </c>
      <c r="I30" s="14" t="s">
        <v>785</v>
      </c>
    </row>
    <row r="31" spans="1:12">
      <c r="A31" s="5" t="s">
        <v>807</v>
      </c>
      <c r="B31" s="194" t="s">
        <v>808</v>
      </c>
      <c r="C31" s="6" t="s">
        <v>1200</v>
      </c>
      <c r="D31" s="12" t="s">
        <v>3461</v>
      </c>
      <c r="E31" s="174">
        <v>2</v>
      </c>
      <c r="F31" s="6" t="s">
        <v>809</v>
      </c>
      <c r="G31" s="196" t="s">
        <v>810</v>
      </c>
      <c r="H31" s="12" t="s">
        <v>9</v>
      </c>
      <c r="I31" s="14" t="s">
        <v>811</v>
      </c>
    </row>
    <row r="32" spans="1:12">
      <c r="A32" s="5" t="s">
        <v>807</v>
      </c>
      <c r="B32" s="194" t="s">
        <v>812</v>
      </c>
      <c r="C32" s="6" t="s">
        <v>1201</v>
      </c>
      <c r="D32" s="12" t="s">
        <v>3461</v>
      </c>
      <c r="E32" s="174">
        <v>3</v>
      </c>
      <c r="F32" s="6" t="s">
        <v>813</v>
      </c>
      <c r="G32" s="196" t="s">
        <v>814</v>
      </c>
      <c r="H32" s="12" t="s">
        <v>9</v>
      </c>
      <c r="I32" s="14" t="s">
        <v>811</v>
      </c>
    </row>
    <row r="33" spans="1:9">
      <c r="A33" s="5" t="s">
        <v>807</v>
      </c>
      <c r="B33" s="194" t="s">
        <v>815</v>
      </c>
      <c r="C33" s="6" t="s">
        <v>1202</v>
      </c>
      <c r="D33" s="12" t="s">
        <v>3461</v>
      </c>
      <c r="E33" s="174">
        <v>2</v>
      </c>
      <c r="F33" s="6" t="s">
        <v>816</v>
      </c>
      <c r="G33" s="196" t="s">
        <v>817</v>
      </c>
      <c r="H33" s="12" t="s">
        <v>9</v>
      </c>
      <c r="I33" s="14" t="s">
        <v>811</v>
      </c>
    </row>
    <row r="34" spans="1:9">
      <c r="A34" s="5" t="s">
        <v>807</v>
      </c>
      <c r="B34" s="194" t="s">
        <v>818</v>
      </c>
      <c r="C34" s="6" t="s">
        <v>1203</v>
      </c>
      <c r="D34" s="12" t="s">
        <v>3461</v>
      </c>
      <c r="E34" s="174">
        <v>3</v>
      </c>
      <c r="F34" s="6" t="s">
        <v>819</v>
      </c>
      <c r="G34" s="196" t="s">
        <v>820</v>
      </c>
      <c r="H34" s="12" t="s">
        <v>9</v>
      </c>
      <c r="I34" s="14" t="s">
        <v>811</v>
      </c>
    </row>
    <row r="35" spans="1:9">
      <c r="A35" s="5" t="s">
        <v>807</v>
      </c>
      <c r="B35" s="194" t="s">
        <v>821</v>
      </c>
      <c r="C35" s="6" t="s">
        <v>1204</v>
      </c>
      <c r="D35" s="12" t="s">
        <v>3461</v>
      </c>
      <c r="E35" s="174">
        <v>3</v>
      </c>
      <c r="F35" s="6" t="s">
        <v>822</v>
      </c>
      <c r="G35" s="196" t="s">
        <v>3445</v>
      </c>
      <c r="H35" s="12" t="s">
        <v>1926</v>
      </c>
      <c r="I35" s="14" t="s">
        <v>811</v>
      </c>
    </row>
    <row r="36" spans="1:9">
      <c r="A36" s="5" t="s">
        <v>807</v>
      </c>
      <c r="B36" s="194" t="s">
        <v>823</v>
      </c>
      <c r="C36" s="6" t="s">
        <v>1205</v>
      </c>
      <c r="D36" s="12" t="s">
        <v>3461</v>
      </c>
      <c r="E36" s="174">
        <v>3</v>
      </c>
      <c r="F36" s="6" t="s">
        <v>824</v>
      </c>
      <c r="G36" s="196" t="s">
        <v>825</v>
      </c>
      <c r="H36" s="12" t="s">
        <v>9</v>
      </c>
      <c r="I36" s="14" t="s">
        <v>811</v>
      </c>
    </row>
    <row r="37" spans="1:9">
      <c r="A37" s="5" t="s">
        <v>807</v>
      </c>
      <c r="B37" s="194" t="s">
        <v>826</v>
      </c>
      <c r="C37" s="6" t="s">
        <v>1206</v>
      </c>
      <c r="D37" s="12" t="s">
        <v>3461</v>
      </c>
      <c r="E37" s="174">
        <v>3</v>
      </c>
      <c r="F37" s="6" t="s">
        <v>827</v>
      </c>
      <c r="G37" s="196" t="s">
        <v>828</v>
      </c>
      <c r="H37" s="12" t="s">
        <v>9</v>
      </c>
      <c r="I37" s="14" t="s">
        <v>811</v>
      </c>
    </row>
    <row r="38" spans="1:9">
      <c r="A38" s="5" t="s">
        <v>807</v>
      </c>
      <c r="B38" s="194" t="s">
        <v>829</v>
      </c>
      <c r="C38" s="6" t="s">
        <v>1207</v>
      </c>
      <c r="D38" s="12" t="s">
        <v>3461</v>
      </c>
      <c r="E38" s="174">
        <v>2</v>
      </c>
      <c r="F38" s="6" t="s">
        <v>830</v>
      </c>
      <c r="G38" s="196" t="s">
        <v>831</v>
      </c>
      <c r="H38" s="12" t="s">
        <v>9</v>
      </c>
      <c r="I38" s="14" t="s">
        <v>811</v>
      </c>
    </row>
    <row r="39" spans="1:9">
      <c r="A39" s="5" t="s">
        <v>807</v>
      </c>
      <c r="B39" s="194" t="s">
        <v>832</v>
      </c>
      <c r="C39" s="6" t="s">
        <v>1208</v>
      </c>
      <c r="D39" s="12" t="s">
        <v>3461</v>
      </c>
      <c r="E39" s="174">
        <v>5</v>
      </c>
      <c r="F39" s="6" t="s">
        <v>833</v>
      </c>
      <c r="G39" s="196" t="s">
        <v>834</v>
      </c>
      <c r="H39" s="12" t="s">
        <v>9</v>
      </c>
      <c r="I39" s="14" t="s">
        <v>811</v>
      </c>
    </row>
    <row r="40" spans="1:9">
      <c r="A40" s="5" t="s">
        <v>807</v>
      </c>
      <c r="B40" s="194" t="s">
        <v>835</v>
      </c>
      <c r="C40" s="6" t="s">
        <v>1209</v>
      </c>
      <c r="D40" s="12" t="s">
        <v>2681</v>
      </c>
      <c r="E40" s="174">
        <v>0</v>
      </c>
      <c r="F40" s="6" t="s">
        <v>836</v>
      </c>
      <c r="G40" s="196" t="s">
        <v>837</v>
      </c>
      <c r="H40" s="12" t="s">
        <v>1316</v>
      </c>
      <c r="I40" s="14" t="s">
        <v>811</v>
      </c>
    </row>
    <row r="41" spans="1:9">
      <c r="A41" s="5" t="s">
        <v>807</v>
      </c>
      <c r="B41" s="194" t="s">
        <v>838</v>
      </c>
      <c r="C41" s="6" t="s">
        <v>1210</v>
      </c>
      <c r="D41" s="12" t="s">
        <v>3461</v>
      </c>
      <c r="E41" s="174">
        <v>2</v>
      </c>
      <c r="F41" s="6" t="s">
        <v>839</v>
      </c>
      <c r="G41" s="196" t="s">
        <v>840</v>
      </c>
      <c r="H41" s="12" t="s">
        <v>9</v>
      </c>
      <c r="I41" s="14" t="s">
        <v>811</v>
      </c>
    </row>
    <row r="42" spans="1:9">
      <c r="A42" s="5" t="s">
        <v>807</v>
      </c>
      <c r="B42" s="194" t="s">
        <v>841</v>
      </c>
      <c r="C42" s="6" t="s">
        <v>1211</v>
      </c>
      <c r="D42" s="12" t="s">
        <v>3461</v>
      </c>
      <c r="E42" s="174">
        <v>3</v>
      </c>
      <c r="F42" s="6" t="s">
        <v>842</v>
      </c>
      <c r="G42" s="196" t="s">
        <v>843</v>
      </c>
      <c r="H42" s="12" t="s">
        <v>9</v>
      </c>
      <c r="I42" s="14" t="s">
        <v>811</v>
      </c>
    </row>
    <row r="43" spans="1:9">
      <c r="A43" s="5" t="s">
        <v>807</v>
      </c>
      <c r="B43" s="194" t="s">
        <v>844</v>
      </c>
      <c r="C43" s="6" t="s">
        <v>1212</v>
      </c>
      <c r="D43" s="12" t="s">
        <v>3461</v>
      </c>
      <c r="E43" s="174">
        <v>2</v>
      </c>
      <c r="F43" s="6" t="s">
        <v>845</v>
      </c>
      <c r="G43" s="196" t="s">
        <v>846</v>
      </c>
      <c r="H43" s="12" t="s">
        <v>9</v>
      </c>
      <c r="I43" s="14" t="s">
        <v>811</v>
      </c>
    </row>
    <row r="44" spans="1:9">
      <c r="A44" s="5" t="s">
        <v>807</v>
      </c>
      <c r="B44" s="194" t="s">
        <v>847</v>
      </c>
      <c r="C44" s="6" t="s">
        <v>1213</v>
      </c>
      <c r="D44" s="12" t="s">
        <v>3461</v>
      </c>
      <c r="E44" s="174">
        <v>1</v>
      </c>
      <c r="F44" s="6" t="s">
        <v>848</v>
      </c>
      <c r="G44" s="196" t="s">
        <v>849</v>
      </c>
      <c r="H44" s="12" t="s">
        <v>9</v>
      </c>
      <c r="I44" s="14" t="s">
        <v>811</v>
      </c>
    </row>
    <row r="45" spans="1:9">
      <c r="A45" s="5" t="s">
        <v>807</v>
      </c>
      <c r="B45" s="194" t="s">
        <v>850</v>
      </c>
      <c r="C45" s="6" t="s">
        <v>1214</v>
      </c>
      <c r="D45" s="12" t="s">
        <v>3461</v>
      </c>
      <c r="E45" s="174">
        <v>2</v>
      </c>
      <c r="F45" s="6" t="s">
        <v>851</v>
      </c>
      <c r="G45" s="196" t="s">
        <v>852</v>
      </c>
      <c r="H45" s="12" t="s">
        <v>9</v>
      </c>
      <c r="I45" s="14" t="s">
        <v>811</v>
      </c>
    </row>
    <row r="46" spans="1:9">
      <c r="A46" s="5" t="s">
        <v>807</v>
      </c>
      <c r="B46" s="194" t="s">
        <v>853</v>
      </c>
      <c r="C46" s="6" t="s">
        <v>1215</v>
      </c>
      <c r="D46" s="12" t="s">
        <v>3461</v>
      </c>
      <c r="E46" s="174">
        <v>4</v>
      </c>
      <c r="F46" s="6" t="s">
        <v>854</v>
      </c>
      <c r="G46" s="196" t="s">
        <v>3448</v>
      </c>
      <c r="H46" s="12" t="s">
        <v>9</v>
      </c>
      <c r="I46" s="14" t="s">
        <v>855</v>
      </c>
    </row>
    <row r="47" spans="1:9">
      <c r="A47" s="5" t="s">
        <v>807</v>
      </c>
      <c r="B47" s="194" t="s">
        <v>856</v>
      </c>
      <c r="C47" s="6" t="s">
        <v>1216</v>
      </c>
      <c r="D47" s="12" t="s">
        <v>3461</v>
      </c>
      <c r="E47" s="174">
        <v>5</v>
      </c>
      <c r="F47" s="6" t="s">
        <v>857</v>
      </c>
      <c r="G47" s="196" t="s">
        <v>858</v>
      </c>
      <c r="H47" s="12" t="s">
        <v>9</v>
      </c>
      <c r="I47" s="14" t="s">
        <v>811</v>
      </c>
    </row>
    <row r="48" spans="1:9">
      <c r="A48" s="5" t="s">
        <v>807</v>
      </c>
      <c r="B48" s="194" t="s">
        <v>859</v>
      </c>
      <c r="C48" s="6" t="s">
        <v>1217</v>
      </c>
      <c r="D48" s="12" t="s">
        <v>3461</v>
      </c>
      <c r="E48" s="174">
        <v>8</v>
      </c>
      <c r="F48" s="6" t="s">
        <v>860</v>
      </c>
      <c r="G48" s="196" t="s">
        <v>3462</v>
      </c>
      <c r="H48" s="12" t="s">
        <v>9</v>
      </c>
      <c r="I48" s="14" t="s">
        <v>811</v>
      </c>
    </row>
    <row r="49" spans="1:9">
      <c r="A49" s="5" t="s">
        <v>862</v>
      </c>
      <c r="B49" s="194" t="s">
        <v>863</v>
      </c>
      <c r="C49" s="6" t="s">
        <v>1218</v>
      </c>
      <c r="D49" s="12" t="s">
        <v>3463</v>
      </c>
      <c r="E49" s="174">
        <v>8</v>
      </c>
      <c r="F49" s="6" t="s">
        <v>864</v>
      </c>
      <c r="G49" s="196" t="s">
        <v>865</v>
      </c>
      <c r="H49" s="12" t="s">
        <v>9</v>
      </c>
      <c r="I49" s="14" t="s">
        <v>866</v>
      </c>
    </row>
    <row r="50" spans="1:9">
      <c r="A50" s="5" t="s">
        <v>862</v>
      </c>
      <c r="B50" s="194" t="s">
        <v>867</v>
      </c>
      <c r="C50" s="6" t="s">
        <v>1219</v>
      </c>
      <c r="D50" s="12" t="s">
        <v>3461</v>
      </c>
      <c r="E50" s="174">
        <v>4</v>
      </c>
      <c r="F50" s="6" t="s">
        <v>868</v>
      </c>
      <c r="G50" s="196" t="s">
        <v>869</v>
      </c>
      <c r="H50" s="12" t="s">
        <v>9</v>
      </c>
      <c r="I50" s="14" t="s">
        <v>870</v>
      </c>
    </row>
    <row r="51" spans="1:9">
      <c r="A51" s="5" t="s">
        <v>862</v>
      </c>
      <c r="B51" s="194" t="s">
        <v>871</v>
      </c>
      <c r="C51" s="6" t="s">
        <v>1220</v>
      </c>
      <c r="D51" s="12" t="s">
        <v>3461</v>
      </c>
      <c r="E51" s="174">
        <v>4</v>
      </c>
      <c r="F51" s="6" t="s">
        <v>872</v>
      </c>
      <c r="G51" s="196" t="s">
        <v>873</v>
      </c>
      <c r="H51" s="12" t="s">
        <v>9</v>
      </c>
      <c r="I51" s="14" t="s">
        <v>866</v>
      </c>
    </row>
    <row r="52" spans="1:9">
      <c r="A52" s="5" t="s">
        <v>862</v>
      </c>
      <c r="B52" s="194" t="s">
        <v>874</v>
      </c>
      <c r="C52" s="6" t="s">
        <v>1221</v>
      </c>
      <c r="D52" s="12" t="s">
        <v>3463</v>
      </c>
      <c r="E52" s="174">
        <v>5</v>
      </c>
      <c r="F52" s="6" t="s">
        <v>875</v>
      </c>
      <c r="G52" s="196" t="s">
        <v>876</v>
      </c>
      <c r="H52" s="12" t="s">
        <v>9</v>
      </c>
      <c r="I52" s="14" t="s">
        <v>866</v>
      </c>
    </row>
    <row r="53" spans="1:9">
      <c r="A53" s="5" t="s">
        <v>862</v>
      </c>
      <c r="B53" s="194" t="s">
        <v>877</v>
      </c>
      <c r="C53" s="6" t="s">
        <v>1222</v>
      </c>
      <c r="D53" s="12" t="s">
        <v>3463</v>
      </c>
      <c r="E53" s="174">
        <v>5</v>
      </c>
      <c r="F53" s="6" t="s">
        <v>878</v>
      </c>
      <c r="G53" s="196" t="s">
        <v>879</v>
      </c>
      <c r="H53" s="12" t="s">
        <v>9</v>
      </c>
      <c r="I53" s="14" t="s">
        <v>866</v>
      </c>
    </row>
    <row r="54" spans="1:9">
      <c r="A54" s="5" t="s">
        <v>862</v>
      </c>
      <c r="B54" s="194" t="s">
        <v>880</v>
      </c>
      <c r="C54" s="6" t="s">
        <v>1223</v>
      </c>
      <c r="D54" s="12" t="s">
        <v>3463</v>
      </c>
      <c r="E54" s="174">
        <v>3</v>
      </c>
      <c r="F54" s="6" t="s">
        <v>881</v>
      </c>
      <c r="G54" s="196" t="s">
        <v>882</v>
      </c>
      <c r="H54" s="12" t="s">
        <v>9</v>
      </c>
      <c r="I54" s="14" t="s">
        <v>866</v>
      </c>
    </row>
    <row r="55" spans="1:9">
      <c r="A55" s="5" t="s">
        <v>862</v>
      </c>
      <c r="B55" s="194" t="s">
        <v>883</v>
      </c>
      <c r="C55" s="6" t="s">
        <v>1224</v>
      </c>
      <c r="D55" s="12" t="s">
        <v>3463</v>
      </c>
      <c r="E55" s="174">
        <v>3</v>
      </c>
      <c r="F55" s="6" t="s">
        <v>884</v>
      </c>
      <c r="G55" s="196" t="s">
        <v>885</v>
      </c>
      <c r="H55" s="12" t="s">
        <v>9</v>
      </c>
      <c r="I55" s="14" t="s">
        <v>866</v>
      </c>
    </row>
    <row r="56" spans="1:9">
      <c r="A56" s="5" t="s">
        <v>862</v>
      </c>
      <c r="B56" s="194" t="s">
        <v>886</v>
      </c>
      <c r="C56" s="6" t="s">
        <v>1225</v>
      </c>
      <c r="D56" s="12" t="s">
        <v>3461</v>
      </c>
      <c r="E56" s="174">
        <v>1</v>
      </c>
      <c r="F56" s="6" t="s">
        <v>887</v>
      </c>
      <c r="G56" s="196" t="s">
        <v>888</v>
      </c>
      <c r="H56" s="12" t="s">
        <v>9</v>
      </c>
      <c r="I56" s="14" t="s">
        <v>866</v>
      </c>
    </row>
    <row r="57" spans="1:9">
      <c r="A57" s="5" t="s">
        <v>889</v>
      </c>
      <c r="B57" s="194" t="s">
        <v>890</v>
      </c>
      <c r="C57" s="6" t="s">
        <v>1226</v>
      </c>
      <c r="D57" s="12" t="s">
        <v>1928</v>
      </c>
      <c r="E57" s="174">
        <v>2</v>
      </c>
      <c r="F57" s="6" t="s">
        <v>891</v>
      </c>
      <c r="G57" s="196" t="s">
        <v>892</v>
      </c>
      <c r="H57" s="12" t="s">
        <v>1928</v>
      </c>
      <c r="I57" s="14" t="s">
        <v>893</v>
      </c>
    </row>
    <row r="58" spans="1:9">
      <c r="A58" s="5" t="s">
        <v>889</v>
      </c>
      <c r="B58" s="194" t="s">
        <v>894</v>
      </c>
      <c r="C58" s="6" t="s">
        <v>1227</v>
      </c>
      <c r="D58" s="12" t="s">
        <v>1928</v>
      </c>
      <c r="E58" s="174">
        <v>8</v>
      </c>
      <c r="F58" s="6" t="s">
        <v>895</v>
      </c>
      <c r="G58" s="196" t="s">
        <v>896</v>
      </c>
      <c r="H58" s="12" t="s">
        <v>1928</v>
      </c>
      <c r="I58" s="14" t="s">
        <v>897</v>
      </c>
    </row>
    <row r="59" spans="1:9">
      <c r="A59" s="5" t="s">
        <v>889</v>
      </c>
      <c r="B59" s="194" t="s">
        <v>898</v>
      </c>
      <c r="C59" s="6" t="s">
        <v>1228</v>
      </c>
      <c r="D59" s="12" t="s">
        <v>1928</v>
      </c>
      <c r="E59" s="174">
        <v>2</v>
      </c>
      <c r="F59" s="6" t="s">
        <v>899</v>
      </c>
      <c r="G59" s="196" t="s">
        <v>900</v>
      </c>
      <c r="H59" s="12" t="s">
        <v>1928</v>
      </c>
      <c r="I59" s="14" t="s">
        <v>901</v>
      </c>
    </row>
    <row r="60" spans="1:9">
      <c r="A60" s="5" t="s">
        <v>889</v>
      </c>
      <c r="B60" s="194" t="s">
        <v>902</v>
      </c>
      <c r="C60" s="6" t="s">
        <v>1229</v>
      </c>
      <c r="D60" s="12" t="s">
        <v>3461</v>
      </c>
      <c r="E60" s="174">
        <v>2</v>
      </c>
      <c r="F60" s="6" t="s">
        <v>903</v>
      </c>
      <c r="G60" s="196" t="s">
        <v>904</v>
      </c>
      <c r="H60" s="12" t="s">
        <v>9</v>
      </c>
      <c r="I60" s="14" t="s">
        <v>897</v>
      </c>
    </row>
    <row r="61" spans="1:9">
      <c r="A61" s="5" t="s">
        <v>905</v>
      </c>
      <c r="B61" s="194" t="s">
        <v>906</v>
      </c>
      <c r="C61" s="6" t="s">
        <v>1230</v>
      </c>
      <c r="D61" s="12" t="s">
        <v>3461</v>
      </c>
      <c r="E61" s="174">
        <v>16</v>
      </c>
      <c r="F61" s="6" t="s">
        <v>907</v>
      </c>
      <c r="G61" s="196" t="s">
        <v>908</v>
      </c>
      <c r="H61" s="12" t="s">
        <v>9</v>
      </c>
      <c r="I61" s="14" t="s">
        <v>909</v>
      </c>
    </row>
    <row r="62" spans="1:9">
      <c r="A62" s="5" t="s">
        <v>905</v>
      </c>
      <c r="B62" s="194" t="s">
        <v>910</v>
      </c>
      <c r="C62" s="6" t="s">
        <v>1231</v>
      </c>
      <c r="D62" s="12" t="s">
        <v>3461</v>
      </c>
      <c r="E62" s="174">
        <v>20</v>
      </c>
      <c r="F62" s="6" t="s">
        <v>911</v>
      </c>
      <c r="G62" s="196" t="s">
        <v>912</v>
      </c>
      <c r="H62" s="12" t="s">
        <v>9</v>
      </c>
      <c r="I62" s="14" t="s">
        <v>909</v>
      </c>
    </row>
    <row r="63" spans="1:9">
      <c r="A63" s="5" t="s">
        <v>905</v>
      </c>
      <c r="B63" s="194" t="s">
        <v>913</v>
      </c>
      <c r="C63" s="6" t="s">
        <v>1232</v>
      </c>
      <c r="D63" s="12" t="s">
        <v>3461</v>
      </c>
      <c r="E63" s="174">
        <v>2</v>
      </c>
      <c r="F63" s="6" t="s">
        <v>914</v>
      </c>
      <c r="G63" s="196" t="s">
        <v>915</v>
      </c>
      <c r="H63" s="12" t="s">
        <v>9</v>
      </c>
      <c r="I63" s="14" t="s">
        <v>909</v>
      </c>
    </row>
    <row r="64" spans="1:9">
      <c r="A64" s="5" t="s">
        <v>905</v>
      </c>
      <c r="B64" s="194" t="s">
        <v>916</v>
      </c>
      <c r="C64" s="6" t="s">
        <v>1233</v>
      </c>
      <c r="D64" s="12" t="s">
        <v>3461</v>
      </c>
      <c r="E64" s="174">
        <v>4</v>
      </c>
      <c r="F64" s="6" t="s">
        <v>917</v>
      </c>
      <c r="G64" s="196" t="s">
        <v>918</v>
      </c>
      <c r="H64" s="12" t="s">
        <v>9</v>
      </c>
      <c r="I64" s="14" t="s">
        <v>909</v>
      </c>
    </row>
    <row r="65" spans="1:9">
      <c r="A65" s="5" t="s">
        <v>3464</v>
      </c>
      <c r="B65" s="194" t="s">
        <v>686</v>
      </c>
      <c r="C65" s="6" t="s">
        <v>1165</v>
      </c>
      <c r="D65" s="12" t="s">
        <v>3465</v>
      </c>
      <c r="E65" s="174">
        <v>0</v>
      </c>
      <c r="F65" s="6" t="s">
        <v>687</v>
      </c>
      <c r="G65" s="196" t="s">
        <v>3466</v>
      </c>
      <c r="H65" s="12" t="s">
        <v>9</v>
      </c>
      <c r="I65" s="14" t="s">
        <v>689</v>
      </c>
    </row>
    <row r="66" spans="1:9">
      <c r="A66" s="5" t="s">
        <v>3464</v>
      </c>
      <c r="B66" s="194" t="s">
        <v>690</v>
      </c>
      <c r="C66" s="6" t="s">
        <v>1166</v>
      </c>
      <c r="D66" s="12" t="s">
        <v>3465</v>
      </c>
      <c r="E66" s="174">
        <v>0</v>
      </c>
      <c r="F66" s="6" t="s">
        <v>691</v>
      </c>
      <c r="G66" s="196" t="s">
        <v>3466</v>
      </c>
      <c r="H66" s="12" t="s">
        <v>9</v>
      </c>
      <c r="I66" s="14" t="s">
        <v>693</v>
      </c>
    </row>
    <row r="67" spans="1:9">
      <c r="A67" s="5" t="s">
        <v>3464</v>
      </c>
      <c r="B67" s="194" t="s">
        <v>694</v>
      </c>
      <c r="C67" s="6" t="s">
        <v>1167</v>
      </c>
      <c r="D67" s="12" t="s">
        <v>3465</v>
      </c>
      <c r="E67" s="174">
        <v>0</v>
      </c>
      <c r="F67" s="6" t="s">
        <v>695</v>
      </c>
      <c r="G67" s="196" t="s">
        <v>3466</v>
      </c>
      <c r="H67" s="12" t="s">
        <v>9</v>
      </c>
      <c r="I67" s="14" t="s">
        <v>689</v>
      </c>
    </row>
    <row r="68" spans="1:9">
      <c r="A68" s="5" t="s">
        <v>3464</v>
      </c>
      <c r="B68" s="194" t="s">
        <v>698</v>
      </c>
      <c r="C68" s="6" t="s">
        <v>1168</v>
      </c>
      <c r="D68" s="12" t="s">
        <v>3465</v>
      </c>
      <c r="E68" s="174">
        <v>0</v>
      </c>
      <c r="F68" s="6" t="s">
        <v>699</v>
      </c>
      <c r="G68" s="196" t="s">
        <v>3466</v>
      </c>
      <c r="H68" s="12" t="s">
        <v>9</v>
      </c>
      <c r="I68" s="14" t="s">
        <v>689</v>
      </c>
    </row>
    <row r="69" spans="1:9">
      <c r="A69" s="5" t="s">
        <v>3464</v>
      </c>
      <c r="B69" s="194" t="s">
        <v>702</v>
      </c>
      <c r="C69" s="6" t="s">
        <v>1169</v>
      </c>
      <c r="D69" s="12" t="s">
        <v>3465</v>
      </c>
      <c r="E69" s="174">
        <v>0</v>
      </c>
      <c r="F69" s="6" t="s">
        <v>703</v>
      </c>
      <c r="G69" s="196" t="s">
        <v>3466</v>
      </c>
      <c r="H69" s="12" t="s">
        <v>9</v>
      </c>
      <c r="I69" s="14" t="s">
        <v>689</v>
      </c>
    </row>
    <row r="70" spans="1:9">
      <c r="A70" s="5" t="s">
        <v>3464</v>
      </c>
      <c r="B70" s="194" t="s">
        <v>706</v>
      </c>
      <c r="C70" s="6" t="s">
        <v>1170</v>
      </c>
      <c r="D70" s="12" t="s">
        <v>3465</v>
      </c>
      <c r="E70" s="174">
        <v>0</v>
      </c>
      <c r="F70" s="6" t="s">
        <v>707</v>
      </c>
      <c r="G70" s="196" t="s">
        <v>3466</v>
      </c>
      <c r="H70" s="12" t="s">
        <v>8</v>
      </c>
      <c r="I70" s="14" t="s">
        <v>693</v>
      </c>
    </row>
    <row r="71" spans="1:9">
      <c r="A71" s="5" t="s">
        <v>3464</v>
      </c>
      <c r="B71" s="194" t="s">
        <v>710</v>
      </c>
      <c r="C71" s="6" t="s">
        <v>1171</v>
      </c>
      <c r="D71" s="12" t="s">
        <v>3465</v>
      </c>
      <c r="E71" s="174">
        <v>0</v>
      </c>
      <c r="F71" s="6" t="s">
        <v>711</v>
      </c>
      <c r="G71" s="196" t="s">
        <v>3466</v>
      </c>
      <c r="H71" s="12" t="s">
        <v>1928</v>
      </c>
      <c r="I71" s="14" t="s">
        <v>693</v>
      </c>
    </row>
    <row r="72" spans="1:9">
      <c r="A72" s="5" t="s">
        <v>3464</v>
      </c>
      <c r="B72" s="194" t="s">
        <v>714</v>
      </c>
      <c r="C72" s="6" t="s">
        <v>1172</v>
      </c>
      <c r="D72" s="12" t="s">
        <v>3465</v>
      </c>
      <c r="E72" s="174">
        <v>0</v>
      </c>
      <c r="F72" s="6" t="s">
        <v>715</v>
      </c>
      <c r="G72" s="196" t="s">
        <v>3466</v>
      </c>
      <c r="H72" s="12" t="s">
        <v>8</v>
      </c>
      <c r="I72" s="14" t="s">
        <v>693</v>
      </c>
    </row>
    <row r="73" spans="1:9">
      <c r="A73" s="5" t="s">
        <v>3464</v>
      </c>
      <c r="B73" s="194" t="s">
        <v>718</v>
      </c>
      <c r="C73" s="6" t="s">
        <v>1173</v>
      </c>
      <c r="D73" s="12" t="s">
        <v>3465</v>
      </c>
      <c r="E73" s="174">
        <v>0</v>
      </c>
      <c r="F73" s="6" t="s">
        <v>719</v>
      </c>
      <c r="G73" s="196" t="s">
        <v>3466</v>
      </c>
      <c r="H73" s="12" t="s">
        <v>1316</v>
      </c>
      <c r="I73" s="14" t="s">
        <v>693</v>
      </c>
    </row>
    <row r="74" spans="1:9">
      <c r="A74" s="5" t="s">
        <v>3464</v>
      </c>
      <c r="B74" s="194" t="s">
        <v>721</v>
      </c>
      <c r="C74" s="6" t="s">
        <v>1174</v>
      </c>
      <c r="D74" s="12" t="s">
        <v>3465</v>
      </c>
      <c r="E74" s="174">
        <v>0</v>
      </c>
      <c r="F74" s="6" t="s">
        <v>722</v>
      </c>
      <c r="G74" s="196" t="s">
        <v>3466</v>
      </c>
      <c r="H74" s="12" t="s">
        <v>1316</v>
      </c>
      <c r="I74" s="14" t="s">
        <v>693</v>
      </c>
    </row>
    <row r="75" spans="1:9">
      <c r="A75" s="5" t="s">
        <v>3464</v>
      </c>
      <c r="B75" s="194" t="s">
        <v>1824</v>
      </c>
      <c r="C75" s="6" t="s">
        <v>1826</v>
      </c>
      <c r="D75" s="12" t="s">
        <v>3465</v>
      </c>
      <c r="E75" s="174">
        <v>0</v>
      </c>
      <c r="F75" s="6" t="s">
        <v>1825</v>
      </c>
      <c r="G75" s="196" t="s">
        <v>3466</v>
      </c>
      <c r="H75" s="12" t="s">
        <v>9</v>
      </c>
      <c r="I75" s="14" t="s">
        <v>689</v>
      </c>
    </row>
    <row r="76" spans="1:9">
      <c r="A76" s="5" t="s">
        <v>3467</v>
      </c>
      <c r="B76" s="194" t="s">
        <v>1849</v>
      </c>
      <c r="C76" s="6" t="s">
        <v>1851</v>
      </c>
      <c r="D76" s="12" t="s">
        <v>1928</v>
      </c>
      <c r="E76" s="174">
        <v>0</v>
      </c>
      <c r="F76" s="6" t="s">
        <v>1850</v>
      </c>
      <c r="G76" s="196" t="s">
        <v>3468</v>
      </c>
      <c r="H76" s="12" t="s">
        <v>1928</v>
      </c>
      <c r="I76" s="14" t="s">
        <v>1853</v>
      </c>
    </row>
    <row r="77" spans="1:9">
      <c r="A77" s="5" t="s">
        <v>3467</v>
      </c>
      <c r="B77" s="194" t="s">
        <v>1855</v>
      </c>
      <c r="C77" s="6" t="s">
        <v>1857</v>
      </c>
      <c r="D77" s="12" t="s">
        <v>1928</v>
      </c>
      <c r="E77" s="174">
        <v>0</v>
      </c>
      <c r="F77" s="6" t="s">
        <v>1856</v>
      </c>
      <c r="G77" s="196" t="s">
        <v>3468</v>
      </c>
      <c r="H77" s="12" t="s">
        <v>1928</v>
      </c>
      <c r="I77" s="14" t="s">
        <v>1853</v>
      </c>
    </row>
    <row r="78" spans="1:9">
      <c r="A78" s="5" t="s">
        <v>3467</v>
      </c>
      <c r="B78" s="194" t="s">
        <v>1860</v>
      </c>
      <c r="C78" s="6" t="s">
        <v>1862</v>
      </c>
      <c r="D78" s="12" t="s">
        <v>1928</v>
      </c>
      <c r="E78" s="174">
        <v>0</v>
      </c>
      <c r="F78" s="6" t="s">
        <v>1861</v>
      </c>
      <c r="G78" s="196" t="s">
        <v>3468</v>
      </c>
      <c r="H78" s="12" t="s">
        <v>1928</v>
      </c>
      <c r="I78" s="14" t="s">
        <v>1853</v>
      </c>
    </row>
    <row r="79" spans="1:9">
      <c r="A79" s="5" t="s">
        <v>3467</v>
      </c>
      <c r="B79" s="194" t="s">
        <v>1865</v>
      </c>
      <c r="C79" s="6" t="s">
        <v>1867</v>
      </c>
      <c r="D79" s="12" t="s">
        <v>1928</v>
      </c>
      <c r="E79" s="174">
        <v>0</v>
      </c>
      <c r="F79" s="6" t="s">
        <v>1866</v>
      </c>
      <c r="G79" s="196" t="s">
        <v>3468</v>
      </c>
      <c r="H79" s="12" t="s">
        <v>1928</v>
      </c>
      <c r="I79" s="14" t="s">
        <v>1853</v>
      </c>
    </row>
    <row r="80" spans="1:9">
      <c r="A80" s="5" t="s">
        <v>3467</v>
      </c>
      <c r="B80" s="194" t="s">
        <v>1869</v>
      </c>
      <c r="C80" s="6" t="s">
        <v>1871</v>
      </c>
      <c r="D80" s="12" t="s">
        <v>1928</v>
      </c>
      <c r="E80" s="174">
        <v>0</v>
      </c>
      <c r="F80" s="6" t="s">
        <v>1870</v>
      </c>
      <c r="G80" s="196" t="s">
        <v>3468</v>
      </c>
      <c r="H80" s="12" t="s">
        <v>1928</v>
      </c>
      <c r="I80" s="14" t="s">
        <v>1853</v>
      </c>
    </row>
    <row r="81" spans="1:9">
      <c r="A81" s="5" t="s">
        <v>3467</v>
      </c>
      <c r="B81" s="194" t="s">
        <v>1874</v>
      </c>
      <c r="C81" s="6" t="s">
        <v>1876</v>
      </c>
      <c r="D81" s="12" t="s">
        <v>1928</v>
      </c>
      <c r="E81" s="174">
        <v>0</v>
      </c>
      <c r="F81" s="6" t="s">
        <v>1875</v>
      </c>
      <c r="G81" s="196" t="s">
        <v>3468</v>
      </c>
      <c r="H81" s="12" t="s">
        <v>1928</v>
      </c>
      <c r="I81" s="14" t="s">
        <v>1853</v>
      </c>
    </row>
    <row r="82" spans="1:9">
      <c r="A82" s="5" t="s">
        <v>3467</v>
      </c>
      <c r="B82" s="194" t="s">
        <v>1879</v>
      </c>
      <c r="C82" s="6" t="s">
        <v>1881</v>
      </c>
      <c r="D82" s="12" t="s">
        <v>1928</v>
      </c>
      <c r="E82" s="174">
        <v>0</v>
      </c>
      <c r="F82" s="6" t="s">
        <v>1880</v>
      </c>
      <c r="G82" s="196" t="s">
        <v>3468</v>
      </c>
      <c r="H82" s="12" t="s">
        <v>1928</v>
      </c>
      <c r="I82" s="14" t="s">
        <v>1853</v>
      </c>
    </row>
    <row r="83" spans="1:9">
      <c r="A83" s="5" t="s">
        <v>3467</v>
      </c>
      <c r="B83" s="194" t="s">
        <v>1884</v>
      </c>
      <c r="C83" s="6" t="s">
        <v>1886</v>
      </c>
      <c r="D83" s="12" t="s">
        <v>1928</v>
      </c>
      <c r="E83" s="174">
        <v>0</v>
      </c>
      <c r="F83" s="6" t="s">
        <v>1885</v>
      </c>
      <c r="G83" s="196" t="s">
        <v>3468</v>
      </c>
      <c r="H83" s="12" t="s">
        <v>1928</v>
      </c>
      <c r="I83" s="14" t="s">
        <v>1853</v>
      </c>
    </row>
    <row r="84" spans="1:9">
      <c r="A84" s="5" t="s">
        <v>3467</v>
      </c>
      <c r="B84" s="194" t="s">
        <v>1889</v>
      </c>
      <c r="C84" s="6" t="s">
        <v>1891</v>
      </c>
      <c r="D84" s="12" t="s">
        <v>1928</v>
      </c>
      <c r="E84" s="174">
        <v>0</v>
      </c>
      <c r="F84" s="6" t="s">
        <v>1890</v>
      </c>
      <c r="G84" s="196" t="s">
        <v>3468</v>
      </c>
      <c r="H84" s="12" t="s">
        <v>1928</v>
      </c>
      <c r="I84" s="14" t="s">
        <v>1853</v>
      </c>
    </row>
    <row r="85" spans="1:9">
      <c r="A85" s="5" t="s">
        <v>3467</v>
      </c>
      <c r="B85" s="194" t="s">
        <v>1894</v>
      </c>
      <c r="C85" s="6" t="s">
        <v>1896</v>
      </c>
      <c r="D85" s="12" t="s">
        <v>1928</v>
      </c>
      <c r="E85" s="174">
        <v>0</v>
      </c>
      <c r="F85" s="6" t="s">
        <v>1895</v>
      </c>
      <c r="G85" s="196" t="s">
        <v>3468</v>
      </c>
      <c r="H85" s="12" t="s">
        <v>1928</v>
      </c>
      <c r="I85" s="14" t="s">
        <v>1853</v>
      </c>
    </row>
    <row r="86" spans="1:9">
      <c r="A86" s="5" t="s">
        <v>3467</v>
      </c>
      <c r="B86" s="194" t="s">
        <v>1899</v>
      </c>
      <c r="C86" s="6" t="s">
        <v>1901</v>
      </c>
      <c r="D86" s="12" t="s">
        <v>1928</v>
      </c>
      <c r="E86" s="174">
        <v>0</v>
      </c>
      <c r="F86" s="6" t="s">
        <v>1900</v>
      </c>
      <c r="G86" s="196" t="s">
        <v>3468</v>
      </c>
      <c r="H86" s="12" t="s">
        <v>1928</v>
      </c>
      <c r="I86" s="14" t="s">
        <v>1853</v>
      </c>
    </row>
    <row r="87" spans="1:9">
      <c r="A87" s="5" t="s">
        <v>3467</v>
      </c>
      <c r="B87" s="194" t="s">
        <v>1904</v>
      </c>
      <c r="C87" s="6" t="s">
        <v>1906</v>
      </c>
      <c r="D87" s="12" t="s">
        <v>1928</v>
      </c>
      <c r="E87" s="174">
        <v>0</v>
      </c>
      <c r="F87" s="6" t="s">
        <v>1905</v>
      </c>
      <c r="G87" s="196" t="s">
        <v>3468</v>
      </c>
      <c r="H87" s="12" t="s">
        <v>1928</v>
      </c>
      <c r="I87" s="14" t="s">
        <v>1853</v>
      </c>
    </row>
    <row r="88" spans="1:9">
      <c r="A88" s="5" t="s">
        <v>3467</v>
      </c>
      <c r="B88" s="194" t="s">
        <v>1909</v>
      </c>
      <c r="C88" s="6" t="s">
        <v>1911</v>
      </c>
      <c r="D88" s="12" t="s">
        <v>1928</v>
      </c>
      <c r="E88" s="174">
        <v>0</v>
      </c>
      <c r="F88" s="6" t="s">
        <v>1910</v>
      </c>
      <c r="G88" s="196" t="s">
        <v>3468</v>
      </c>
      <c r="H88" s="12" t="s">
        <v>1928</v>
      </c>
      <c r="I88" s="14" t="s">
        <v>1853</v>
      </c>
    </row>
    <row r="89" spans="1:9">
      <c r="A89" s="5" t="s">
        <v>3467</v>
      </c>
      <c r="B89" s="194" t="s">
        <v>1913</v>
      </c>
      <c r="C89" s="6" t="s">
        <v>1915</v>
      </c>
      <c r="D89" s="12" t="s">
        <v>1928</v>
      </c>
      <c r="E89" s="174">
        <v>0</v>
      </c>
      <c r="F89" s="6" t="s">
        <v>1914</v>
      </c>
      <c r="G89" s="196" t="s">
        <v>3468</v>
      </c>
      <c r="H89" s="12" t="s">
        <v>1928</v>
      </c>
      <c r="I89" s="14" t="s">
        <v>1853</v>
      </c>
    </row>
    <row r="90" spans="1:9">
      <c r="A90" s="5" t="s">
        <v>3467</v>
      </c>
      <c r="B90" s="194" t="s">
        <v>1917</v>
      </c>
      <c r="C90" s="6" t="s">
        <v>1919</v>
      </c>
      <c r="D90" s="12" t="s">
        <v>1928</v>
      </c>
      <c r="E90" s="174">
        <v>0</v>
      </c>
      <c r="F90" s="6" t="s">
        <v>1918</v>
      </c>
      <c r="G90" s="196" t="s">
        <v>3468</v>
      </c>
      <c r="H90" s="12" t="s">
        <v>1928</v>
      </c>
      <c r="I90" s="14" t="s">
        <v>1853</v>
      </c>
    </row>
    <row r="91" spans="1:9">
      <c r="A91" s="7" t="s">
        <v>3467</v>
      </c>
      <c r="B91" s="195" t="s">
        <v>3443</v>
      </c>
      <c r="C91" s="8" t="s">
        <v>3438</v>
      </c>
      <c r="D91" s="13" t="s">
        <v>1928</v>
      </c>
      <c r="E91" s="175">
        <v>0</v>
      </c>
      <c r="F91" s="8" t="s">
        <v>3439</v>
      </c>
      <c r="G91" s="197" t="s">
        <v>3468</v>
      </c>
      <c r="H91" s="13" t="s">
        <v>1928</v>
      </c>
      <c r="I91" s="15" t="s">
        <v>3444</v>
      </c>
    </row>
  </sheetData>
  <autoFilter ref="A5:I91" xr:uid="{66250CDA-FE4E-E74B-968F-00BE7CB94CEE}"/>
  <phoneticPr fontId="2"/>
  <conditionalFormatting sqref="A6:I91">
    <cfRule type="expression" dxfId="24" priority="1">
      <formula>$H6="確定"</formula>
    </cfRule>
  </conditionalFormatting>
  <conditionalFormatting sqref="A6:I91">
    <cfRule type="expression" dxfId="23" priority="2">
      <formula>$H6="方向性確定（条件付き）"</formula>
    </cfRule>
  </conditionalFormatting>
  <conditionalFormatting sqref="A6:I91">
    <cfRule type="expression" dxfId="22" priority="3">
      <formula>$H6="検討中"</formula>
    </cfRule>
  </conditionalFormatting>
  <conditionalFormatting sqref="A6:I91">
    <cfRule type="expression" dxfId="21" priority="4">
      <formula>$H6="外部待ち"</formula>
    </cfRule>
  </conditionalFormatting>
  <conditionalFormatting sqref="A6:I91">
    <cfRule type="expression" dxfId="20" priority="5">
      <formula>$H6="対象外"</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9" t="s">
        <v>3486</v>
      </c>
    </row>
    <row r="2" spans="1:25">
      <c r="A2" s="3" t="s">
        <v>3193</v>
      </c>
    </row>
    <row r="3" spans="1:25">
      <c r="A3" s="54" t="s">
        <v>3691</v>
      </c>
    </row>
    <row r="4" spans="1:25">
      <c r="R4" s="180" t="s">
        <v>3194</v>
      </c>
    </row>
    <row r="5" spans="1:25" ht="26" customHeight="1">
      <c r="A5" s="9" t="s">
        <v>3032</v>
      </c>
      <c r="B5" s="10" t="s">
        <v>3033</v>
      </c>
      <c r="C5" s="10" t="s">
        <v>3034</v>
      </c>
      <c r="D5" s="10" t="s">
        <v>3035</v>
      </c>
      <c r="E5" s="10" t="s">
        <v>3036</v>
      </c>
      <c r="F5" s="10" t="s">
        <v>3037</v>
      </c>
      <c r="G5" s="10" t="s">
        <v>3038</v>
      </c>
      <c r="H5" s="10" t="s">
        <v>3039</v>
      </c>
      <c r="I5" s="10" t="s">
        <v>3040</v>
      </c>
      <c r="J5" s="10" t="s">
        <v>3041</v>
      </c>
      <c r="K5" s="10" t="s">
        <v>3043</v>
      </c>
      <c r="L5" s="10" t="s">
        <v>3045</v>
      </c>
      <c r="M5" s="10" t="s">
        <v>3046</v>
      </c>
      <c r="N5" s="10" t="s">
        <v>3047</v>
      </c>
      <c r="O5" s="10" t="s">
        <v>3048</v>
      </c>
      <c r="P5" s="11" t="s">
        <v>3049</v>
      </c>
      <c r="R5" s="20" t="s">
        <v>3195</v>
      </c>
      <c r="S5" s="21" t="s">
        <v>3026</v>
      </c>
      <c r="T5" s="21" t="s">
        <v>3196</v>
      </c>
      <c r="U5" s="21" t="s">
        <v>3042</v>
      </c>
      <c r="V5" s="21" t="s">
        <v>3044</v>
      </c>
      <c r="W5" s="21" t="s">
        <v>3197</v>
      </c>
      <c r="X5" s="22" t="s">
        <v>3688</v>
      </c>
      <c r="Y5" s="211" t="s">
        <v>3689</v>
      </c>
    </row>
    <row r="6" spans="1:25">
      <c r="A6" s="51" t="s">
        <v>2675</v>
      </c>
      <c r="B6" s="6" t="s">
        <v>685</v>
      </c>
      <c r="C6" s="6" t="s">
        <v>2676</v>
      </c>
      <c r="D6" s="12" t="s">
        <v>2677</v>
      </c>
      <c r="E6" s="6" t="s">
        <v>2678</v>
      </c>
      <c r="F6" s="6" t="s">
        <v>2679</v>
      </c>
      <c r="G6" s="158" t="s">
        <v>2680</v>
      </c>
      <c r="H6" s="12" t="s">
        <v>2681</v>
      </c>
      <c r="I6" s="12" t="s">
        <v>2682</v>
      </c>
      <c r="J6" s="178">
        <v>4</v>
      </c>
      <c r="K6" s="176">
        <v>1.6</v>
      </c>
      <c r="L6" s="176">
        <v>2.4</v>
      </c>
      <c r="M6" s="12" t="s">
        <v>3050</v>
      </c>
      <c r="N6" s="12" t="s">
        <v>2683</v>
      </c>
      <c r="O6" s="158" t="s">
        <v>2684</v>
      </c>
      <c r="P6" s="160" t="s">
        <v>3051</v>
      </c>
      <c r="R6" s="23" t="s">
        <v>685</v>
      </c>
      <c r="S6" s="30">
        <f>COUNTIF($B$6:$B$108,$R6)</f>
        <v>10</v>
      </c>
      <c r="T6" s="30">
        <f>SUMIF($B$6:$B$108,$R6,$J$6:$J$108)</f>
        <v>106</v>
      </c>
      <c r="U6" s="30">
        <f>SUMIF($B$6:$B$108,$R6,$K$6:$K$108)</f>
        <v>42.400000000000006</v>
      </c>
      <c r="V6" s="30">
        <f>SUMIF($B$6:$B$108,$R6,$L$6:$L$108)</f>
        <v>63.599999999999994</v>
      </c>
      <c r="W6" s="30" t="s">
        <v>3687</v>
      </c>
      <c r="X6" s="163">
        <f>U6+V6</f>
        <v>106</v>
      </c>
    </row>
    <row r="7" spans="1:25">
      <c r="A7" s="51" t="s">
        <v>2685</v>
      </c>
      <c r="B7" s="6" t="s">
        <v>685</v>
      </c>
      <c r="C7" s="6" t="s">
        <v>2686</v>
      </c>
      <c r="D7" s="12" t="s">
        <v>2677</v>
      </c>
      <c r="E7" s="6" t="s">
        <v>2687</v>
      </c>
      <c r="F7" s="6" t="s">
        <v>3052</v>
      </c>
      <c r="G7" s="158" t="s">
        <v>2688</v>
      </c>
      <c r="H7" s="12" t="s">
        <v>690</v>
      </c>
      <c r="I7" s="12" t="s">
        <v>2689</v>
      </c>
      <c r="J7" s="178">
        <v>10</v>
      </c>
      <c r="K7" s="176">
        <v>4</v>
      </c>
      <c r="L7" s="176">
        <v>6</v>
      </c>
      <c r="M7" s="12" t="s">
        <v>3050</v>
      </c>
      <c r="N7" s="12" t="s">
        <v>2690</v>
      </c>
      <c r="O7" s="158" t="s">
        <v>2684</v>
      </c>
      <c r="P7" s="160" t="s">
        <v>3051</v>
      </c>
      <c r="R7" s="23" t="s">
        <v>697</v>
      </c>
      <c r="S7" s="30">
        <f>COUNTIF($B$6:$B$108,$R7)</f>
        <v>11</v>
      </c>
      <c r="T7" s="30">
        <f>SUMIF($B$6:$B$108,$R7,$J$6:$J$108)</f>
        <v>134</v>
      </c>
      <c r="U7" s="30">
        <f>SUMIF($B$6:$B$108,$R7,$K$6:$K$108)</f>
        <v>53.6</v>
      </c>
      <c r="V7" s="30">
        <f>SUMIF($B$6:$B$108,$R7,$L$6:$L$108)</f>
        <v>80.400000000000006</v>
      </c>
      <c r="W7" s="30" t="s">
        <v>3687</v>
      </c>
      <c r="X7" s="163">
        <f>U7+V7</f>
        <v>134</v>
      </c>
    </row>
    <row r="8" spans="1:25">
      <c r="A8" s="51" t="s">
        <v>2691</v>
      </c>
      <c r="B8" s="6" t="s">
        <v>685</v>
      </c>
      <c r="C8" s="6" t="s">
        <v>2692</v>
      </c>
      <c r="D8" s="12" t="s">
        <v>2677</v>
      </c>
      <c r="E8" s="6" t="s">
        <v>2693</v>
      </c>
      <c r="F8" s="6" t="s">
        <v>2694</v>
      </c>
      <c r="G8" s="158" t="s">
        <v>2695</v>
      </c>
      <c r="H8" s="12" t="s">
        <v>690</v>
      </c>
      <c r="I8" s="12" t="s">
        <v>2689</v>
      </c>
      <c r="J8" s="178">
        <v>11</v>
      </c>
      <c r="K8" s="176">
        <v>4.4000000000000004</v>
      </c>
      <c r="L8" s="176">
        <v>6.6</v>
      </c>
      <c r="M8" s="12" t="s">
        <v>3050</v>
      </c>
      <c r="N8" s="12" t="s">
        <v>2690</v>
      </c>
      <c r="O8" s="158" t="s">
        <v>2684</v>
      </c>
      <c r="P8" s="160" t="s">
        <v>3051</v>
      </c>
      <c r="R8" s="23" t="s">
        <v>1413</v>
      </c>
      <c r="S8" s="30">
        <f>COUNTIF($B$6:$B$108,$R8)</f>
        <v>11</v>
      </c>
      <c r="T8" s="30">
        <f>SUMIF($B$6:$B$108,$R8,$J$6:$J$108)</f>
        <v>74</v>
      </c>
      <c r="U8" s="30">
        <f>SUMIF($B$6:$B$108,$R8,$K$6:$K$108)</f>
        <v>29.600000000000005</v>
      </c>
      <c r="V8" s="30">
        <f>SUMIF($B$6:$B$108,$R8,$L$6:$L$108)</f>
        <v>44.399999999999991</v>
      </c>
      <c r="W8" s="30" t="s">
        <v>3687</v>
      </c>
      <c r="X8" s="163">
        <f>U8+V8</f>
        <v>74</v>
      </c>
    </row>
    <row r="9" spans="1:25">
      <c r="A9" s="51" t="s">
        <v>2695</v>
      </c>
      <c r="B9" s="6" t="s">
        <v>685</v>
      </c>
      <c r="C9" s="6" t="s">
        <v>2696</v>
      </c>
      <c r="D9" s="12" t="s">
        <v>2697</v>
      </c>
      <c r="E9" s="6" t="s">
        <v>2698</v>
      </c>
      <c r="F9" s="6" t="s">
        <v>2699</v>
      </c>
      <c r="G9" s="158" t="s">
        <v>2691</v>
      </c>
      <c r="H9" s="12" t="s">
        <v>690</v>
      </c>
      <c r="I9" s="12" t="s">
        <v>2700</v>
      </c>
      <c r="J9" s="178">
        <v>24</v>
      </c>
      <c r="K9" s="176">
        <v>9.6</v>
      </c>
      <c r="L9" s="176">
        <v>14.4</v>
      </c>
      <c r="M9" s="12" t="s">
        <v>3050</v>
      </c>
      <c r="N9" s="12" t="s">
        <v>2690</v>
      </c>
      <c r="O9" s="158" t="s">
        <v>2684</v>
      </c>
      <c r="P9" s="160" t="s">
        <v>3051</v>
      </c>
      <c r="R9" s="23" t="s">
        <v>1273</v>
      </c>
      <c r="S9" s="30">
        <f>COUNTIF($B$6:$B$108,$R9)</f>
        <v>8</v>
      </c>
      <c r="T9" s="30">
        <f>SUMIF($B$6:$B$108,$R9,$J$6:$J$108)</f>
        <v>74</v>
      </c>
      <c r="U9" s="30">
        <f>SUMIF($B$6:$B$108,$R9,$K$6:$K$108)</f>
        <v>29.6</v>
      </c>
      <c r="V9" s="30">
        <f>SUMIF($B$6:$B$108,$R9,$L$6:$L$108)</f>
        <v>44.4</v>
      </c>
      <c r="W9" s="30" t="s">
        <v>3687</v>
      </c>
      <c r="X9" s="163">
        <f>U9+V9</f>
        <v>74</v>
      </c>
    </row>
    <row r="10" spans="1:25">
      <c r="A10" s="51" t="s">
        <v>2701</v>
      </c>
      <c r="B10" s="6" t="s">
        <v>685</v>
      </c>
      <c r="C10" s="6" t="s">
        <v>2702</v>
      </c>
      <c r="D10" s="12" t="s">
        <v>2677</v>
      </c>
      <c r="E10" s="6" t="s">
        <v>2703</v>
      </c>
      <c r="F10" s="6" t="s">
        <v>2704</v>
      </c>
      <c r="G10" s="158" t="s">
        <v>2705</v>
      </c>
      <c r="H10" s="12" t="s">
        <v>2681</v>
      </c>
      <c r="I10" s="12" t="s">
        <v>2682</v>
      </c>
      <c r="J10" s="178">
        <v>4</v>
      </c>
      <c r="K10" s="176">
        <v>1.6</v>
      </c>
      <c r="L10" s="176">
        <v>2.4</v>
      </c>
      <c r="M10" s="12" t="s">
        <v>3050</v>
      </c>
      <c r="N10" s="12" t="s">
        <v>2683</v>
      </c>
      <c r="O10" s="158" t="s">
        <v>2684</v>
      </c>
      <c r="P10" s="160" t="s">
        <v>3051</v>
      </c>
      <c r="R10" s="23" t="s">
        <v>701</v>
      </c>
      <c r="S10" s="30">
        <f>COUNTIF($B$6:$B$108,$R10)</f>
        <v>13</v>
      </c>
      <c r="T10" s="30">
        <f>SUMIF($B$6:$B$108,$R10,$J$6:$J$108)</f>
        <v>138</v>
      </c>
      <c r="U10" s="30">
        <f>SUMIF($B$6:$B$108,$R10,$K$6:$K$108)</f>
        <v>55.2</v>
      </c>
      <c r="V10" s="30">
        <f>SUMIF($B$6:$B$108,$R10,$L$6:$L$108)</f>
        <v>82.8</v>
      </c>
      <c r="W10" s="30" t="s">
        <v>3687</v>
      </c>
      <c r="X10" s="163">
        <f>U10+V10</f>
        <v>138</v>
      </c>
    </row>
    <row r="11" spans="1:25">
      <c r="A11" s="51" t="s">
        <v>2706</v>
      </c>
      <c r="B11" s="6" t="s">
        <v>685</v>
      </c>
      <c r="C11" s="6" t="s">
        <v>2707</v>
      </c>
      <c r="D11" s="12" t="s">
        <v>2677</v>
      </c>
      <c r="E11" s="6" t="s">
        <v>2708</v>
      </c>
      <c r="F11" s="6" t="s">
        <v>2709</v>
      </c>
      <c r="G11" s="158" t="s">
        <v>2675</v>
      </c>
      <c r="H11" s="12" t="s">
        <v>694</v>
      </c>
      <c r="I11" s="12" t="s">
        <v>2689</v>
      </c>
      <c r="J11" s="178">
        <v>9</v>
      </c>
      <c r="K11" s="176">
        <v>3.6</v>
      </c>
      <c r="L11" s="176">
        <v>5.4</v>
      </c>
      <c r="M11" s="12" t="s">
        <v>3050</v>
      </c>
      <c r="N11" s="12" t="s">
        <v>2690</v>
      </c>
      <c r="O11" s="158" t="s">
        <v>2684</v>
      </c>
      <c r="P11" s="160" t="s">
        <v>3051</v>
      </c>
      <c r="R11" s="23" t="s">
        <v>709</v>
      </c>
      <c r="S11" s="30">
        <f>COUNTIF($B$6:$B$108,$R11)</f>
        <v>15</v>
      </c>
      <c r="T11" s="30">
        <f>SUMIF($B$6:$B$108,$R11,$J$6:$J$108)</f>
        <v>156</v>
      </c>
      <c r="U11" s="30">
        <f>SUMIF($B$6:$B$108,$R11,$K$6:$K$108)</f>
        <v>62.400000000000006</v>
      </c>
      <c r="V11" s="30">
        <f>SUMIF($B$6:$B$108,$R11,$L$6:$L$108)</f>
        <v>93.600000000000023</v>
      </c>
      <c r="W11" s="30" t="s">
        <v>3687</v>
      </c>
      <c r="X11" s="163">
        <f>U11+V11</f>
        <v>156.00000000000003</v>
      </c>
    </row>
    <row r="12" spans="1:25">
      <c r="A12" s="51" t="s">
        <v>2710</v>
      </c>
      <c r="B12" s="6" t="s">
        <v>685</v>
      </c>
      <c r="C12" s="6" t="s">
        <v>2711</v>
      </c>
      <c r="D12" s="12" t="s">
        <v>2677</v>
      </c>
      <c r="E12" s="6" t="s">
        <v>2712</v>
      </c>
      <c r="F12" s="6" t="s">
        <v>2713</v>
      </c>
      <c r="G12" s="158" t="s">
        <v>2675</v>
      </c>
      <c r="H12" s="12" t="s">
        <v>2681</v>
      </c>
      <c r="I12" s="12" t="s">
        <v>2682</v>
      </c>
      <c r="J12" s="178">
        <v>4</v>
      </c>
      <c r="K12" s="176">
        <v>1.6</v>
      </c>
      <c r="L12" s="176">
        <v>2.4</v>
      </c>
      <c r="M12" s="12" t="s">
        <v>3050</v>
      </c>
      <c r="N12" s="12" t="s">
        <v>2683</v>
      </c>
      <c r="O12" s="158" t="s">
        <v>2684</v>
      </c>
      <c r="P12" s="160" t="s">
        <v>3051</v>
      </c>
      <c r="R12" s="23" t="s">
        <v>713</v>
      </c>
      <c r="S12" s="30">
        <f>COUNTIF($B$6:$B$108,$R12)</f>
        <v>12</v>
      </c>
      <c r="T12" s="30">
        <f>SUMIF($B$6:$B$108,$R12,$J$6:$J$108)</f>
        <v>102</v>
      </c>
      <c r="U12" s="30">
        <f>SUMIF($B$6:$B$108,$R12,$K$6:$K$108)</f>
        <v>40.800000000000004</v>
      </c>
      <c r="V12" s="30">
        <f>SUMIF($B$6:$B$108,$R12,$L$6:$L$108)</f>
        <v>61.199999999999989</v>
      </c>
      <c r="W12" s="30" t="s">
        <v>3687</v>
      </c>
      <c r="X12" s="163">
        <f>U12+V12</f>
        <v>102</v>
      </c>
    </row>
    <row r="13" spans="1:25">
      <c r="A13" s="51" t="s">
        <v>2714</v>
      </c>
      <c r="B13" s="6" t="s">
        <v>685</v>
      </c>
      <c r="C13" s="6" t="s">
        <v>2715</v>
      </c>
      <c r="D13" s="12" t="s">
        <v>2716</v>
      </c>
      <c r="E13" s="6" t="s">
        <v>2717</v>
      </c>
      <c r="F13" s="6" t="s">
        <v>2718</v>
      </c>
      <c r="G13" s="158" t="s">
        <v>2719</v>
      </c>
      <c r="H13" s="12" t="s">
        <v>686</v>
      </c>
      <c r="I13" s="12" t="s">
        <v>2689</v>
      </c>
      <c r="J13" s="178">
        <v>12</v>
      </c>
      <c r="K13" s="176">
        <v>4.8</v>
      </c>
      <c r="L13" s="176">
        <v>7.2</v>
      </c>
      <c r="M13" s="12" t="s">
        <v>3050</v>
      </c>
      <c r="N13" s="12" t="s">
        <v>2690</v>
      </c>
      <c r="O13" s="158" t="s">
        <v>2684</v>
      </c>
      <c r="P13" s="160" t="s">
        <v>3051</v>
      </c>
      <c r="R13" s="23" t="s">
        <v>2957</v>
      </c>
      <c r="S13" s="30">
        <f>COUNTIF($B$6:$B$108,$R13)</f>
        <v>3</v>
      </c>
      <c r="T13" s="30">
        <f>SUMIF($B$6:$B$108,$R13,$J$6:$J$108)</f>
        <v>48</v>
      </c>
      <c r="U13" s="30">
        <f>SUMIF($B$6:$B$108,$R13,$K$6:$K$108)</f>
        <v>19.2</v>
      </c>
      <c r="V13" s="30">
        <f>SUMIF($B$6:$B$108,$R13,$L$6:$L$108)</f>
        <v>28.8</v>
      </c>
      <c r="W13" s="30" t="s">
        <v>3687</v>
      </c>
      <c r="X13" s="163">
        <f>U13+V13</f>
        <v>48</v>
      </c>
    </row>
    <row r="14" spans="1:25">
      <c r="A14" s="51" t="s">
        <v>3053</v>
      </c>
      <c r="B14" s="6" t="s">
        <v>685</v>
      </c>
      <c r="C14" s="6" t="s">
        <v>3054</v>
      </c>
      <c r="D14" s="12" t="s">
        <v>2795</v>
      </c>
      <c r="E14" s="6" t="s">
        <v>3055</v>
      </c>
      <c r="F14" s="6" t="s">
        <v>3056</v>
      </c>
      <c r="G14" s="158" t="s">
        <v>2675</v>
      </c>
      <c r="H14" s="12" t="s">
        <v>2681</v>
      </c>
      <c r="I14" s="12" t="s">
        <v>2700</v>
      </c>
      <c r="J14" s="178">
        <v>18</v>
      </c>
      <c r="K14" s="176">
        <v>7.2</v>
      </c>
      <c r="L14" s="176">
        <v>10.8</v>
      </c>
      <c r="M14" s="12" t="s">
        <v>3057</v>
      </c>
      <c r="N14" s="12" t="s">
        <v>3058</v>
      </c>
      <c r="O14" s="158" t="s">
        <v>3059</v>
      </c>
      <c r="P14" s="160" t="s">
        <v>3060</v>
      </c>
      <c r="R14" s="23" t="s">
        <v>2965</v>
      </c>
      <c r="S14" s="30">
        <f>COUNTIF($B$6:$B$108,$R14)</f>
        <v>9</v>
      </c>
      <c r="T14" s="30">
        <f>SUMIF($B$6:$B$108,$R14,$J$6:$J$108)</f>
        <v>102</v>
      </c>
      <c r="U14" s="30">
        <f>SUMIF($B$6:$B$108,$R14,$K$6:$K$108)</f>
        <v>40.800000000000004</v>
      </c>
      <c r="V14" s="30">
        <f>SUMIF($B$6:$B$108,$R14,$L$6:$L$108)</f>
        <v>61.2</v>
      </c>
      <c r="W14" s="30" t="s">
        <v>3687</v>
      </c>
      <c r="X14" s="163">
        <f>U14+V14</f>
        <v>102</v>
      </c>
    </row>
    <row r="15" spans="1:25">
      <c r="A15" s="51" t="s">
        <v>3061</v>
      </c>
      <c r="B15" s="6" t="s">
        <v>685</v>
      </c>
      <c r="C15" s="6" t="s">
        <v>3062</v>
      </c>
      <c r="D15" s="12" t="s">
        <v>2677</v>
      </c>
      <c r="E15" s="6" t="s">
        <v>3063</v>
      </c>
      <c r="F15" s="6" t="s">
        <v>3064</v>
      </c>
      <c r="G15" s="158" t="s">
        <v>2685</v>
      </c>
      <c r="H15" s="12" t="s">
        <v>2681</v>
      </c>
      <c r="I15" s="12" t="s">
        <v>2689</v>
      </c>
      <c r="J15" s="178">
        <v>10</v>
      </c>
      <c r="K15" s="176">
        <v>4</v>
      </c>
      <c r="L15" s="176">
        <v>6</v>
      </c>
      <c r="M15" s="12" t="s">
        <v>3050</v>
      </c>
      <c r="N15" s="12" t="s">
        <v>2683</v>
      </c>
      <c r="O15" s="158" t="s">
        <v>3059</v>
      </c>
      <c r="P15" s="160" t="s">
        <v>3065</v>
      </c>
      <c r="R15" s="23" t="s">
        <v>1606</v>
      </c>
      <c r="S15" s="30">
        <f>COUNTIF($B$6:$B$108,$R15)</f>
        <v>11</v>
      </c>
      <c r="T15" s="30">
        <f>SUMIF($B$6:$B$108,$R15,$J$6:$J$108)</f>
        <v>110</v>
      </c>
      <c r="U15" s="30">
        <f>SUMIF($B$6:$B$108,$R15,$K$6:$K$108)</f>
        <v>44</v>
      </c>
      <c r="V15" s="30">
        <f>SUMIF($B$6:$B$108,$R15,$L$6:$L$108)</f>
        <v>66</v>
      </c>
      <c r="W15" s="30" t="s">
        <v>3687</v>
      </c>
      <c r="X15" s="163">
        <f>U15+V15</f>
        <v>110</v>
      </c>
    </row>
    <row r="16" spans="1:25">
      <c r="A16" s="51" t="s">
        <v>2720</v>
      </c>
      <c r="B16" s="6" t="s">
        <v>697</v>
      </c>
      <c r="C16" s="6" t="s">
        <v>2721</v>
      </c>
      <c r="D16" s="12" t="s">
        <v>2722</v>
      </c>
      <c r="E16" s="6" t="s">
        <v>2723</v>
      </c>
      <c r="F16" s="6" t="s">
        <v>2724</v>
      </c>
      <c r="G16" s="158" t="s">
        <v>2725</v>
      </c>
      <c r="H16" s="12" t="s">
        <v>2681</v>
      </c>
      <c r="I16" s="12" t="s">
        <v>2689</v>
      </c>
      <c r="J16" s="178">
        <v>10</v>
      </c>
      <c r="K16" s="176">
        <v>4</v>
      </c>
      <c r="L16" s="176">
        <v>6</v>
      </c>
      <c r="M16" s="12" t="s">
        <v>3050</v>
      </c>
      <c r="N16" s="12" t="s">
        <v>2683</v>
      </c>
      <c r="O16" s="158" t="s">
        <v>2684</v>
      </c>
      <c r="P16" s="160" t="s">
        <v>3051</v>
      </c>
      <c r="R16" s="23" t="s">
        <v>3198</v>
      </c>
      <c r="S16" s="30" t="s">
        <v>2681</v>
      </c>
      <c r="T16" s="30">
        <v>0</v>
      </c>
      <c r="U16" s="30">
        <v>0</v>
      </c>
      <c r="V16" s="30">
        <v>0</v>
      </c>
      <c r="W16" s="30" t="s">
        <v>3687</v>
      </c>
      <c r="X16" s="163">
        <f>U16+V16</f>
        <v>0</v>
      </c>
    </row>
    <row r="17" spans="1:24">
      <c r="A17" s="51" t="s">
        <v>2726</v>
      </c>
      <c r="B17" s="6" t="s">
        <v>697</v>
      </c>
      <c r="C17" s="6" t="s">
        <v>2727</v>
      </c>
      <c r="D17" s="12" t="s">
        <v>2728</v>
      </c>
      <c r="E17" s="6" t="s">
        <v>2729</v>
      </c>
      <c r="F17" s="6" t="s">
        <v>2730</v>
      </c>
      <c r="G17" s="158" t="s">
        <v>2695</v>
      </c>
      <c r="H17" s="12" t="s">
        <v>690</v>
      </c>
      <c r="I17" s="12" t="s">
        <v>2689</v>
      </c>
      <c r="J17" s="178">
        <v>11</v>
      </c>
      <c r="K17" s="176">
        <v>4.4000000000000004</v>
      </c>
      <c r="L17" s="176">
        <v>6.6</v>
      </c>
      <c r="M17" s="12" t="s">
        <v>3050</v>
      </c>
      <c r="N17" s="12" t="s">
        <v>2690</v>
      </c>
      <c r="O17" s="158" t="s">
        <v>2684</v>
      </c>
      <c r="P17" s="160" t="s">
        <v>3051</v>
      </c>
      <c r="R17" s="25" t="s">
        <v>13</v>
      </c>
      <c r="S17" s="31">
        <f>SUM(S6:S16)</f>
        <v>103</v>
      </c>
      <c r="T17" s="31">
        <f>SUM(T6:T16)</f>
        <v>1044</v>
      </c>
      <c r="U17" s="31">
        <f>SUM(U6:U16)</f>
        <v>417.60000000000008</v>
      </c>
      <c r="V17" s="31">
        <f>SUM(V6:V16)</f>
        <v>626.4</v>
      </c>
      <c r="W17" s="31">
        <f>'WBS(テスト)'!$C$60</f>
        <v>363</v>
      </c>
      <c r="X17" s="164">
        <f>SUM(X6:X16)</f>
        <v>1044</v>
      </c>
    </row>
    <row r="18" spans="1:24">
      <c r="A18" s="51" t="s">
        <v>2731</v>
      </c>
      <c r="B18" s="6" t="s">
        <v>697</v>
      </c>
      <c r="C18" s="6" t="s">
        <v>2732</v>
      </c>
      <c r="D18" s="12" t="s">
        <v>2733</v>
      </c>
      <c r="E18" s="6" t="s">
        <v>2734</v>
      </c>
      <c r="F18" s="6" t="s">
        <v>2735</v>
      </c>
      <c r="G18" s="158" t="s">
        <v>2720</v>
      </c>
      <c r="H18" s="12" t="s">
        <v>698</v>
      </c>
      <c r="I18" s="12" t="s">
        <v>2700</v>
      </c>
      <c r="J18" s="178">
        <v>22</v>
      </c>
      <c r="K18" s="176">
        <v>8.8000000000000007</v>
      </c>
      <c r="L18" s="176">
        <v>13.2</v>
      </c>
      <c r="M18" s="12" t="s">
        <v>3050</v>
      </c>
      <c r="N18" s="12" t="s">
        <v>2690</v>
      </c>
      <c r="O18" s="158" t="s">
        <v>2684</v>
      </c>
      <c r="P18" s="160" t="s">
        <v>3051</v>
      </c>
      <c r="R18" s="1"/>
      <c r="S18" s="1"/>
      <c r="T18" s="1"/>
      <c r="U18" s="1"/>
      <c r="V18" s="1"/>
      <c r="W18" s="1"/>
      <c r="X18" s="1"/>
    </row>
    <row r="19" spans="1:24">
      <c r="A19" s="51" t="s">
        <v>2736</v>
      </c>
      <c r="B19" s="6" t="s">
        <v>697</v>
      </c>
      <c r="C19" s="6" t="s">
        <v>2737</v>
      </c>
      <c r="D19" s="12" t="s">
        <v>2738</v>
      </c>
      <c r="E19" s="6" t="s">
        <v>2739</v>
      </c>
      <c r="F19" s="6" t="s">
        <v>2740</v>
      </c>
      <c r="G19" s="158" t="s">
        <v>2741</v>
      </c>
      <c r="H19" s="12" t="s">
        <v>698</v>
      </c>
      <c r="I19" s="12" t="s">
        <v>2700</v>
      </c>
      <c r="J19" s="178">
        <v>22</v>
      </c>
      <c r="K19" s="176">
        <v>8.8000000000000007</v>
      </c>
      <c r="L19" s="176">
        <v>13.2</v>
      </c>
      <c r="M19" s="12" t="s">
        <v>3050</v>
      </c>
      <c r="N19" s="12" t="s">
        <v>2690</v>
      </c>
      <c r="O19" s="158" t="s">
        <v>2684</v>
      </c>
      <c r="P19" s="160" t="s">
        <v>3051</v>
      </c>
      <c r="R19" s="2" t="s">
        <v>3199</v>
      </c>
      <c r="S19" s="1"/>
      <c r="T19" s="1"/>
      <c r="U19" s="1"/>
      <c r="V19" s="1"/>
      <c r="W19" s="1"/>
      <c r="X19" s="1"/>
    </row>
    <row r="20" spans="1:24">
      <c r="A20" s="51" t="s">
        <v>2742</v>
      </c>
      <c r="B20" s="6" t="s">
        <v>697</v>
      </c>
      <c r="C20" s="6" t="s">
        <v>2743</v>
      </c>
      <c r="D20" s="12" t="s">
        <v>2733</v>
      </c>
      <c r="E20" s="6" t="s">
        <v>2744</v>
      </c>
      <c r="F20" s="6" t="s">
        <v>2745</v>
      </c>
      <c r="G20" s="158" t="s">
        <v>2746</v>
      </c>
      <c r="H20" s="12" t="s">
        <v>2681</v>
      </c>
      <c r="I20" s="12" t="s">
        <v>2689</v>
      </c>
      <c r="J20" s="178">
        <v>12</v>
      </c>
      <c r="K20" s="176">
        <v>4.8</v>
      </c>
      <c r="L20" s="176">
        <v>7.2</v>
      </c>
      <c r="M20" s="12" t="s">
        <v>3050</v>
      </c>
      <c r="N20" s="12" t="s">
        <v>2683</v>
      </c>
      <c r="O20" s="158" t="s">
        <v>2684</v>
      </c>
      <c r="P20" s="160" t="s">
        <v>3051</v>
      </c>
      <c r="R20" s="183" t="s">
        <v>3200</v>
      </c>
      <c r="S20" s="184" t="s">
        <v>3201</v>
      </c>
      <c r="T20" s="185" t="s">
        <v>3202</v>
      </c>
      <c r="U20" s="1"/>
      <c r="V20" s="1"/>
      <c r="W20" s="1"/>
      <c r="X20" s="1"/>
    </row>
    <row r="21" spans="1:24">
      <c r="A21" s="51" t="s">
        <v>2747</v>
      </c>
      <c r="B21" s="6" t="s">
        <v>697</v>
      </c>
      <c r="C21" s="6" t="s">
        <v>2748</v>
      </c>
      <c r="D21" s="12" t="s">
        <v>2749</v>
      </c>
      <c r="E21" s="6" t="s">
        <v>2750</v>
      </c>
      <c r="F21" s="6" t="s">
        <v>2751</v>
      </c>
      <c r="G21" s="158" t="s">
        <v>2742</v>
      </c>
      <c r="H21" s="12" t="s">
        <v>2681</v>
      </c>
      <c r="I21" s="12" t="s">
        <v>2689</v>
      </c>
      <c r="J21" s="178">
        <v>10</v>
      </c>
      <c r="K21" s="176">
        <v>4</v>
      </c>
      <c r="L21" s="176">
        <v>6</v>
      </c>
      <c r="M21" s="171" t="s">
        <v>3050</v>
      </c>
      <c r="N21" s="12" t="s">
        <v>2683</v>
      </c>
      <c r="O21" s="158" t="s">
        <v>2684</v>
      </c>
      <c r="P21" s="160" t="s">
        <v>3051</v>
      </c>
      <c r="R21" s="23" t="s">
        <v>3203</v>
      </c>
      <c r="S21" s="30">
        <v>244</v>
      </c>
      <c r="T21" s="28" t="s">
        <v>3487</v>
      </c>
      <c r="U21" s="1"/>
      <c r="V21" s="1"/>
      <c r="W21" s="1"/>
      <c r="X21" s="1"/>
    </row>
    <row r="22" spans="1:24">
      <c r="A22" s="51" t="s">
        <v>2752</v>
      </c>
      <c r="B22" s="6" t="s">
        <v>697</v>
      </c>
      <c r="C22" s="6" t="s">
        <v>2753</v>
      </c>
      <c r="D22" s="12" t="s">
        <v>2697</v>
      </c>
      <c r="E22" s="6" t="s">
        <v>2754</v>
      </c>
      <c r="F22" s="6" t="s">
        <v>2755</v>
      </c>
      <c r="G22" s="158" t="s">
        <v>2756</v>
      </c>
      <c r="H22" s="12" t="s">
        <v>690</v>
      </c>
      <c r="I22" s="12" t="s">
        <v>2689</v>
      </c>
      <c r="J22" s="178">
        <v>11</v>
      </c>
      <c r="K22" s="176">
        <v>4.4000000000000004</v>
      </c>
      <c r="L22" s="176">
        <v>6.6</v>
      </c>
      <c r="M22" s="171" t="s">
        <v>3050</v>
      </c>
      <c r="N22" s="172" t="s">
        <v>2690</v>
      </c>
      <c r="O22" s="158" t="s">
        <v>2684</v>
      </c>
      <c r="P22" s="160" t="s">
        <v>3051</v>
      </c>
      <c r="R22" s="23" t="s">
        <v>3204</v>
      </c>
      <c r="S22" s="30">
        <f>U17</f>
        <v>417.60000000000008</v>
      </c>
      <c r="T22" s="28" t="s">
        <v>3224</v>
      </c>
      <c r="U22" s="1"/>
      <c r="V22" s="1"/>
      <c r="W22" s="1"/>
      <c r="X22" s="1"/>
    </row>
    <row r="23" spans="1:24">
      <c r="A23" s="51" t="s">
        <v>2757</v>
      </c>
      <c r="B23" s="6" t="s">
        <v>697</v>
      </c>
      <c r="C23" s="6" t="s">
        <v>2758</v>
      </c>
      <c r="D23" s="12" t="s">
        <v>2733</v>
      </c>
      <c r="E23" s="6" t="s">
        <v>2759</v>
      </c>
      <c r="F23" s="6" t="s">
        <v>2760</v>
      </c>
      <c r="G23" s="158" t="s">
        <v>2761</v>
      </c>
      <c r="H23" s="12" t="s">
        <v>2681</v>
      </c>
      <c r="I23" s="12" t="s">
        <v>2689</v>
      </c>
      <c r="J23" s="178">
        <v>12</v>
      </c>
      <c r="K23" s="176">
        <v>4.8</v>
      </c>
      <c r="L23" s="176">
        <v>7.2</v>
      </c>
      <c r="M23" s="171" t="s">
        <v>3050</v>
      </c>
      <c r="N23" s="172" t="s">
        <v>2683</v>
      </c>
      <c r="O23" s="158" t="s">
        <v>2684</v>
      </c>
      <c r="P23" s="160" t="s">
        <v>3051</v>
      </c>
      <c r="R23" s="23" t="s">
        <v>3205</v>
      </c>
      <c r="S23" s="30">
        <f>V17</f>
        <v>626.4</v>
      </c>
      <c r="T23" s="28" t="s">
        <v>3225</v>
      </c>
      <c r="U23" s="1"/>
      <c r="V23" s="1"/>
      <c r="W23" s="1"/>
      <c r="X23" s="1"/>
    </row>
    <row r="24" spans="1:24">
      <c r="A24" s="51" t="s">
        <v>3066</v>
      </c>
      <c r="B24" s="6" t="s">
        <v>697</v>
      </c>
      <c r="C24" s="6" t="s">
        <v>3067</v>
      </c>
      <c r="D24" s="12" t="s">
        <v>2733</v>
      </c>
      <c r="E24" s="6" t="s">
        <v>3068</v>
      </c>
      <c r="F24" s="6" t="s">
        <v>3069</v>
      </c>
      <c r="G24" s="158" t="s">
        <v>2742</v>
      </c>
      <c r="H24" s="12" t="s">
        <v>2681</v>
      </c>
      <c r="I24" s="12" t="s">
        <v>2689</v>
      </c>
      <c r="J24" s="178">
        <v>9</v>
      </c>
      <c r="K24" s="176">
        <v>3.6</v>
      </c>
      <c r="L24" s="176">
        <v>5.4</v>
      </c>
      <c r="M24" s="171" t="s">
        <v>3050</v>
      </c>
      <c r="N24" s="173" t="s">
        <v>2683</v>
      </c>
      <c r="O24" s="158" t="s">
        <v>3059</v>
      </c>
      <c r="P24" s="160" t="s">
        <v>1272</v>
      </c>
      <c r="R24" s="23" t="s">
        <v>3206</v>
      </c>
      <c r="S24" s="30">
        <f>'WBS(テスト)'!$C$60</f>
        <v>363</v>
      </c>
      <c r="T24" s="28" t="s">
        <v>3690</v>
      </c>
      <c r="U24" s="1"/>
      <c r="V24" s="1"/>
      <c r="W24" s="1"/>
      <c r="X24" s="1"/>
    </row>
    <row r="25" spans="1:24">
      <c r="A25" s="51" t="s">
        <v>3070</v>
      </c>
      <c r="B25" s="6" t="s">
        <v>697</v>
      </c>
      <c r="C25" s="6" t="s">
        <v>3071</v>
      </c>
      <c r="D25" s="12" t="s">
        <v>2733</v>
      </c>
      <c r="E25" s="6" t="s">
        <v>3072</v>
      </c>
      <c r="F25" s="6" t="s">
        <v>3073</v>
      </c>
      <c r="G25" s="158" t="s">
        <v>2736</v>
      </c>
      <c r="H25" s="12" t="s">
        <v>2681</v>
      </c>
      <c r="I25" s="12" t="s">
        <v>2689</v>
      </c>
      <c r="J25" s="178">
        <v>9</v>
      </c>
      <c r="K25" s="176">
        <v>3.6</v>
      </c>
      <c r="L25" s="176">
        <v>5.4</v>
      </c>
      <c r="M25" s="171" t="s">
        <v>3050</v>
      </c>
      <c r="N25" s="173" t="s">
        <v>2683</v>
      </c>
      <c r="O25" s="158" t="s">
        <v>3059</v>
      </c>
      <c r="P25" s="160" t="s">
        <v>1271</v>
      </c>
      <c r="R25" s="181" t="s">
        <v>3207</v>
      </c>
      <c r="S25" s="168">
        <f>S22+S23+S24</f>
        <v>1407</v>
      </c>
      <c r="T25" s="182"/>
      <c r="U25" s="1"/>
      <c r="V25" s="1"/>
      <c r="W25" s="1"/>
      <c r="X25" s="1"/>
    </row>
    <row r="26" spans="1:24">
      <c r="A26" s="51" t="s">
        <v>3074</v>
      </c>
      <c r="B26" s="6" t="s">
        <v>697</v>
      </c>
      <c r="C26" s="6" t="s">
        <v>3075</v>
      </c>
      <c r="D26" s="12" t="s">
        <v>2795</v>
      </c>
      <c r="E26" s="6" t="s">
        <v>3076</v>
      </c>
      <c r="F26" s="6" t="s">
        <v>3077</v>
      </c>
      <c r="G26" s="158" t="s">
        <v>2731</v>
      </c>
      <c r="H26" s="12" t="s">
        <v>2681</v>
      </c>
      <c r="I26" s="12" t="s">
        <v>2682</v>
      </c>
      <c r="J26" s="178">
        <v>6</v>
      </c>
      <c r="K26" s="176">
        <v>2.4</v>
      </c>
      <c r="L26" s="176">
        <v>3.6</v>
      </c>
      <c r="M26" s="171" t="s">
        <v>3050</v>
      </c>
      <c r="N26" s="173" t="s">
        <v>2683</v>
      </c>
      <c r="O26" s="158" t="s">
        <v>3059</v>
      </c>
      <c r="P26" s="160" t="s">
        <v>1270</v>
      </c>
      <c r="R26" s="25" t="s">
        <v>3208</v>
      </c>
      <c r="S26" s="31">
        <f>S21+S25</f>
        <v>1651</v>
      </c>
      <c r="T26" s="186"/>
      <c r="U26" s="1" t="str">
        <f>IF(AND(ROUND(S25,0)=1244,ROUND(S26,0)=1488),"✓ レポート§9と一致","⚠ 不一致")</f>
        <v>⚠ 不一致</v>
      </c>
      <c r="V26" s="1"/>
      <c r="W26" s="1"/>
      <c r="X26" s="1"/>
    </row>
    <row r="27" spans="1:24">
      <c r="A27" s="51" t="s">
        <v>2762</v>
      </c>
      <c r="B27" s="6" t="s">
        <v>1413</v>
      </c>
      <c r="C27" s="6" t="s">
        <v>2763</v>
      </c>
      <c r="D27" s="12" t="s">
        <v>2764</v>
      </c>
      <c r="E27" s="6" t="s">
        <v>2765</v>
      </c>
      <c r="F27" s="6" t="s">
        <v>2766</v>
      </c>
      <c r="G27" s="158" t="s">
        <v>2691</v>
      </c>
      <c r="H27" s="12" t="s">
        <v>2681</v>
      </c>
      <c r="I27" s="12" t="s">
        <v>2689</v>
      </c>
      <c r="J27" s="178">
        <v>10</v>
      </c>
      <c r="K27" s="176">
        <v>4</v>
      </c>
      <c r="L27" s="176">
        <v>6</v>
      </c>
      <c r="M27" s="171" t="s">
        <v>3050</v>
      </c>
      <c r="N27" s="173" t="s">
        <v>2683</v>
      </c>
      <c r="O27" s="158" t="s">
        <v>2684</v>
      </c>
      <c r="P27" s="160" t="s">
        <v>3051</v>
      </c>
    </row>
    <row r="28" spans="1:24">
      <c r="A28" s="51" t="s">
        <v>2767</v>
      </c>
      <c r="B28" s="6" t="s">
        <v>1413</v>
      </c>
      <c r="C28" s="6" t="s">
        <v>2768</v>
      </c>
      <c r="D28" s="12" t="s">
        <v>2769</v>
      </c>
      <c r="E28" s="6" t="s">
        <v>2770</v>
      </c>
      <c r="F28" s="6" t="s">
        <v>3078</v>
      </c>
      <c r="G28" s="158" t="s">
        <v>2762</v>
      </c>
      <c r="H28" s="12" t="s">
        <v>2681</v>
      </c>
      <c r="I28" s="12" t="s">
        <v>2682</v>
      </c>
      <c r="J28" s="178">
        <v>5</v>
      </c>
      <c r="K28" s="176">
        <v>2</v>
      </c>
      <c r="L28" s="176">
        <v>3</v>
      </c>
      <c r="M28" s="12" t="s">
        <v>3050</v>
      </c>
      <c r="N28" s="12" t="s">
        <v>2683</v>
      </c>
      <c r="O28" s="158" t="s">
        <v>2684</v>
      </c>
      <c r="P28" s="160" t="s">
        <v>3051</v>
      </c>
      <c r="R28" s="180" t="s">
        <v>3209</v>
      </c>
    </row>
    <row r="29" spans="1:24">
      <c r="A29" s="51" t="s">
        <v>2771</v>
      </c>
      <c r="B29" s="6" t="s">
        <v>1413</v>
      </c>
      <c r="C29" s="6" t="s">
        <v>2772</v>
      </c>
      <c r="D29" s="12" t="s">
        <v>2773</v>
      </c>
      <c r="E29" s="6" t="s">
        <v>2774</v>
      </c>
      <c r="F29" s="6" t="s">
        <v>3079</v>
      </c>
      <c r="G29" s="158" t="s">
        <v>2775</v>
      </c>
      <c r="H29" s="12" t="s">
        <v>2681</v>
      </c>
      <c r="I29" s="12" t="s">
        <v>2689</v>
      </c>
      <c r="J29" s="178">
        <v>12</v>
      </c>
      <c r="K29" s="176">
        <v>4.8</v>
      </c>
      <c r="L29" s="176">
        <v>7.2</v>
      </c>
      <c r="M29" s="12" t="s">
        <v>3050</v>
      </c>
      <c r="N29" s="12" t="s">
        <v>2683</v>
      </c>
      <c r="O29" s="158" t="s">
        <v>2684</v>
      </c>
      <c r="P29" s="160" t="s">
        <v>3051</v>
      </c>
      <c r="R29" s="57" t="s">
        <v>3210</v>
      </c>
      <c r="S29" s="58" t="s">
        <v>3211</v>
      </c>
    </row>
    <row r="30" spans="1:24">
      <c r="A30" s="51" t="s">
        <v>2776</v>
      </c>
      <c r="B30" s="6" t="s">
        <v>1413</v>
      </c>
      <c r="C30" s="6" t="s">
        <v>2777</v>
      </c>
      <c r="D30" s="12" t="s">
        <v>2733</v>
      </c>
      <c r="E30" s="6" t="s">
        <v>2778</v>
      </c>
      <c r="F30" s="6" t="s">
        <v>2779</v>
      </c>
      <c r="G30" s="158" t="s">
        <v>2780</v>
      </c>
      <c r="H30" s="12" t="s">
        <v>2681</v>
      </c>
      <c r="I30" s="12" t="s">
        <v>2689</v>
      </c>
      <c r="J30" s="178">
        <v>12</v>
      </c>
      <c r="K30" s="176">
        <v>4.8</v>
      </c>
      <c r="L30" s="176">
        <v>7.2</v>
      </c>
      <c r="M30" s="12" t="s">
        <v>3050</v>
      </c>
      <c r="N30" s="12" t="s">
        <v>2683</v>
      </c>
      <c r="O30" s="158" t="s">
        <v>2684</v>
      </c>
      <c r="P30" s="160" t="s">
        <v>3051</v>
      </c>
      <c r="R30" s="57" t="s">
        <v>3212</v>
      </c>
      <c r="S30" s="58" t="s">
        <v>3213</v>
      </c>
    </row>
    <row r="31" spans="1:24" ht="34">
      <c r="A31" s="51" t="s">
        <v>2781</v>
      </c>
      <c r="B31" s="6" t="s">
        <v>1413</v>
      </c>
      <c r="C31" s="6" t="s">
        <v>2782</v>
      </c>
      <c r="D31" s="12" t="s">
        <v>2733</v>
      </c>
      <c r="E31" s="6" t="s">
        <v>2783</v>
      </c>
      <c r="F31" s="6" t="s">
        <v>2784</v>
      </c>
      <c r="G31" s="158" t="s">
        <v>2785</v>
      </c>
      <c r="H31" s="12" t="s">
        <v>2681</v>
      </c>
      <c r="I31" s="12" t="s">
        <v>2682</v>
      </c>
      <c r="J31" s="178">
        <v>5</v>
      </c>
      <c r="K31" s="176">
        <v>2</v>
      </c>
      <c r="L31" s="176">
        <v>3</v>
      </c>
      <c r="M31" s="12" t="s">
        <v>3050</v>
      </c>
      <c r="N31" s="12" t="s">
        <v>2683</v>
      </c>
      <c r="O31" s="158" t="s">
        <v>2684</v>
      </c>
      <c r="P31" s="160" t="s">
        <v>3051</v>
      </c>
      <c r="R31" s="57" t="s">
        <v>3214</v>
      </c>
      <c r="S31" s="58" t="s">
        <v>3215</v>
      </c>
    </row>
    <row r="32" spans="1:24" ht="34">
      <c r="A32" s="51" t="s">
        <v>2786</v>
      </c>
      <c r="B32" s="6" t="s">
        <v>1413</v>
      </c>
      <c r="C32" s="6" t="s">
        <v>2787</v>
      </c>
      <c r="D32" s="12" t="s">
        <v>2788</v>
      </c>
      <c r="E32" s="6" t="s">
        <v>2789</v>
      </c>
      <c r="F32" s="6" t="s">
        <v>2790</v>
      </c>
      <c r="G32" s="158" t="s">
        <v>2791</v>
      </c>
      <c r="H32" s="12" t="s">
        <v>2681</v>
      </c>
      <c r="I32" s="12" t="s">
        <v>2689</v>
      </c>
      <c r="J32" s="178">
        <v>10</v>
      </c>
      <c r="K32" s="176">
        <v>4</v>
      </c>
      <c r="L32" s="176">
        <v>6</v>
      </c>
      <c r="M32" s="12" t="s">
        <v>3050</v>
      </c>
      <c r="N32" s="12" t="s">
        <v>2792</v>
      </c>
      <c r="O32" s="158" t="s">
        <v>2684</v>
      </c>
      <c r="P32" s="160" t="s">
        <v>3051</v>
      </c>
      <c r="R32" s="57" t="s">
        <v>3216</v>
      </c>
      <c r="S32" s="58" t="s">
        <v>3217</v>
      </c>
    </row>
    <row r="33" spans="1:19">
      <c r="A33" s="51" t="s">
        <v>2793</v>
      </c>
      <c r="B33" s="6" t="s">
        <v>1413</v>
      </c>
      <c r="C33" s="6" t="s">
        <v>2794</v>
      </c>
      <c r="D33" s="12" t="s">
        <v>2795</v>
      </c>
      <c r="E33" s="6" t="s">
        <v>2796</v>
      </c>
      <c r="F33" s="6" t="s">
        <v>2797</v>
      </c>
      <c r="G33" s="158" t="s">
        <v>2767</v>
      </c>
      <c r="H33" s="12" t="s">
        <v>2681</v>
      </c>
      <c r="I33" s="12" t="s">
        <v>2682</v>
      </c>
      <c r="J33" s="178">
        <v>3</v>
      </c>
      <c r="K33" s="176">
        <v>1.2</v>
      </c>
      <c r="L33" s="176">
        <v>1.8</v>
      </c>
      <c r="M33" s="12" t="s">
        <v>3050</v>
      </c>
      <c r="N33" s="12" t="s">
        <v>2798</v>
      </c>
      <c r="O33" s="158" t="s">
        <v>2684</v>
      </c>
      <c r="P33" s="160" t="s">
        <v>3051</v>
      </c>
      <c r="R33" s="57" t="s">
        <v>3218</v>
      </c>
      <c r="S33" s="58" t="s">
        <v>3219</v>
      </c>
    </row>
    <row r="34" spans="1:19">
      <c r="A34" s="51" t="s">
        <v>2799</v>
      </c>
      <c r="B34" s="6" t="s">
        <v>1413</v>
      </c>
      <c r="C34" s="6" t="s">
        <v>2800</v>
      </c>
      <c r="D34" s="12" t="s">
        <v>2769</v>
      </c>
      <c r="E34" s="6" t="s">
        <v>2801</v>
      </c>
      <c r="F34" s="6" t="s">
        <v>2802</v>
      </c>
      <c r="G34" s="158" t="s">
        <v>2775</v>
      </c>
      <c r="H34" s="12" t="s">
        <v>2681</v>
      </c>
      <c r="I34" s="12" t="s">
        <v>2682</v>
      </c>
      <c r="J34" s="178">
        <v>4</v>
      </c>
      <c r="K34" s="176">
        <v>1.6</v>
      </c>
      <c r="L34" s="176">
        <v>2.4</v>
      </c>
      <c r="M34" s="12" t="s">
        <v>3050</v>
      </c>
      <c r="N34" s="12" t="s">
        <v>2690</v>
      </c>
      <c r="O34" s="158" t="s">
        <v>2684</v>
      </c>
      <c r="P34" s="160" t="s">
        <v>3051</v>
      </c>
      <c r="R34" s="57" t="s">
        <v>3220</v>
      </c>
      <c r="S34" s="58" t="s">
        <v>3221</v>
      </c>
    </row>
    <row r="35" spans="1:19">
      <c r="A35" s="51" t="s">
        <v>2803</v>
      </c>
      <c r="B35" s="6" t="s">
        <v>1413</v>
      </c>
      <c r="C35" s="6" t="s">
        <v>1812</v>
      </c>
      <c r="D35" s="12" t="s">
        <v>2804</v>
      </c>
      <c r="E35" s="6" t="s">
        <v>2805</v>
      </c>
      <c r="F35" s="6" t="s">
        <v>2806</v>
      </c>
      <c r="G35" s="158" t="s">
        <v>2762</v>
      </c>
      <c r="H35" s="12" t="s">
        <v>2681</v>
      </c>
      <c r="I35" s="12" t="s">
        <v>2682</v>
      </c>
      <c r="J35" s="178">
        <v>5</v>
      </c>
      <c r="K35" s="176">
        <v>2</v>
      </c>
      <c r="L35" s="176">
        <v>3</v>
      </c>
      <c r="M35" s="12" t="s">
        <v>3050</v>
      </c>
      <c r="N35" s="12" t="s">
        <v>2683</v>
      </c>
      <c r="O35" s="158" t="s">
        <v>2807</v>
      </c>
      <c r="P35" s="160" t="s">
        <v>3051</v>
      </c>
      <c r="R35" s="57" t="s">
        <v>3222</v>
      </c>
      <c r="S35" s="58" t="s">
        <v>3223</v>
      </c>
    </row>
    <row r="36" spans="1:19">
      <c r="A36" s="51" t="s">
        <v>2808</v>
      </c>
      <c r="B36" s="6" t="s">
        <v>1413</v>
      </c>
      <c r="C36" s="6" t="s">
        <v>1813</v>
      </c>
      <c r="D36" s="12" t="s">
        <v>2677</v>
      </c>
      <c r="E36" s="6" t="s">
        <v>2809</v>
      </c>
      <c r="F36" s="6" t="s">
        <v>2810</v>
      </c>
      <c r="G36" s="158" t="s">
        <v>2771</v>
      </c>
      <c r="H36" s="12" t="s">
        <v>2681</v>
      </c>
      <c r="I36" s="12" t="s">
        <v>2682</v>
      </c>
      <c r="J36" s="178">
        <v>4</v>
      </c>
      <c r="K36" s="176">
        <v>1.6</v>
      </c>
      <c r="L36" s="176">
        <v>2.4</v>
      </c>
      <c r="M36" s="12" t="s">
        <v>3050</v>
      </c>
      <c r="N36" s="12" t="s">
        <v>2683</v>
      </c>
      <c r="O36" s="158" t="s">
        <v>2807</v>
      </c>
      <c r="P36" s="160" t="s">
        <v>3051</v>
      </c>
    </row>
    <row r="37" spans="1:19">
      <c r="A37" s="51" t="s">
        <v>3080</v>
      </c>
      <c r="B37" s="6" t="s">
        <v>1413</v>
      </c>
      <c r="C37" s="6" t="s">
        <v>3081</v>
      </c>
      <c r="D37" s="12" t="s">
        <v>2795</v>
      </c>
      <c r="E37" s="6" t="s">
        <v>3082</v>
      </c>
      <c r="F37" s="6" t="s">
        <v>3083</v>
      </c>
      <c r="G37" s="158" t="s">
        <v>2808</v>
      </c>
      <c r="H37" s="12" t="s">
        <v>2681</v>
      </c>
      <c r="I37" s="12" t="s">
        <v>2682</v>
      </c>
      <c r="J37" s="178">
        <v>4</v>
      </c>
      <c r="K37" s="176">
        <v>1.6</v>
      </c>
      <c r="L37" s="176">
        <v>2.4</v>
      </c>
      <c r="M37" s="12" t="s">
        <v>3050</v>
      </c>
      <c r="N37" s="12" t="s">
        <v>2683</v>
      </c>
      <c r="O37" s="158" t="s">
        <v>3059</v>
      </c>
      <c r="P37" s="160" t="s">
        <v>1814</v>
      </c>
    </row>
    <row r="38" spans="1:19">
      <c r="A38" s="51" t="s">
        <v>2811</v>
      </c>
      <c r="B38" s="6" t="s">
        <v>1273</v>
      </c>
      <c r="C38" s="6" t="s">
        <v>2812</v>
      </c>
      <c r="D38" s="12" t="s">
        <v>2677</v>
      </c>
      <c r="E38" s="6" t="s">
        <v>2813</v>
      </c>
      <c r="F38" s="6" t="s">
        <v>2814</v>
      </c>
      <c r="G38" s="158" t="s">
        <v>2701</v>
      </c>
      <c r="H38" s="12" t="s">
        <v>2681</v>
      </c>
      <c r="I38" s="12" t="s">
        <v>2682</v>
      </c>
      <c r="J38" s="178">
        <v>5</v>
      </c>
      <c r="K38" s="176">
        <v>2</v>
      </c>
      <c r="L38" s="176">
        <v>3</v>
      </c>
      <c r="M38" s="12" t="s">
        <v>3050</v>
      </c>
      <c r="N38" s="12" t="s">
        <v>2683</v>
      </c>
      <c r="O38" s="158" t="s">
        <v>2684</v>
      </c>
      <c r="P38" s="160" t="s">
        <v>3051</v>
      </c>
    </row>
    <row r="39" spans="1:19">
      <c r="A39" s="51" t="s">
        <v>2815</v>
      </c>
      <c r="B39" s="6" t="s">
        <v>1273</v>
      </c>
      <c r="C39" s="6" t="s">
        <v>2816</v>
      </c>
      <c r="D39" s="12" t="s">
        <v>2677</v>
      </c>
      <c r="E39" s="6" t="s">
        <v>2817</v>
      </c>
      <c r="F39" s="6" t="s">
        <v>2818</v>
      </c>
      <c r="G39" s="158" t="s">
        <v>2811</v>
      </c>
      <c r="H39" s="12" t="s">
        <v>2681</v>
      </c>
      <c r="I39" s="12" t="s">
        <v>2689</v>
      </c>
      <c r="J39" s="178">
        <v>8</v>
      </c>
      <c r="K39" s="176">
        <v>3.2</v>
      </c>
      <c r="L39" s="176">
        <v>4.8</v>
      </c>
      <c r="M39" s="12" t="s">
        <v>3050</v>
      </c>
      <c r="N39" s="12" t="s">
        <v>2683</v>
      </c>
      <c r="O39" s="158" t="s">
        <v>2684</v>
      </c>
      <c r="P39" s="160" t="s">
        <v>3051</v>
      </c>
    </row>
    <row r="40" spans="1:19">
      <c r="A40" s="51" t="s">
        <v>2819</v>
      </c>
      <c r="B40" s="6" t="s">
        <v>1273</v>
      </c>
      <c r="C40" s="6" t="s">
        <v>2820</v>
      </c>
      <c r="D40" s="12" t="s">
        <v>2749</v>
      </c>
      <c r="E40" s="6" t="s">
        <v>2821</v>
      </c>
      <c r="F40" s="6" t="s">
        <v>2822</v>
      </c>
      <c r="G40" s="158" t="s">
        <v>2823</v>
      </c>
      <c r="H40" s="12" t="s">
        <v>2681</v>
      </c>
      <c r="I40" s="12" t="s">
        <v>2689</v>
      </c>
      <c r="J40" s="178">
        <v>12</v>
      </c>
      <c r="K40" s="176">
        <v>4.8</v>
      </c>
      <c r="L40" s="176">
        <v>7.2</v>
      </c>
      <c r="M40" s="12" t="s">
        <v>3050</v>
      </c>
      <c r="N40" s="12" t="s">
        <v>2683</v>
      </c>
      <c r="O40" s="158" t="s">
        <v>2684</v>
      </c>
      <c r="P40" s="160" t="s">
        <v>3051</v>
      </c>
    </row>
    <row r="41" spans="1:19">
      <c r="A41" s="51" t="s">
        <v>2824</v>
      </c>
      <c r="B41" s="6" t="s">
        <v>1273</v>
      </c>
      <c r="C41" s="6" t="s">
        <v>2825</v>
      </c>
      <c r="D41" s="12" t="s">
        <v>2677</v>
      </c>
      <c r="E41" s="6" t="s">
        <v>2826</v>
      </c>
      <c r="F41" s="6" t="s">
        <v>2827</v>
      </c>
      <c r="G41" s="158" t="s">
        <v>2828</v>
      </c>
      <c r="H41" s="12" t="s">
        <v>2681</v>
      </c>
      <c r="I41" s="12" t="s">
        <v>2682</v>
      </c>
      <c r="J41" s="178">
        <v>5</v>
      </c>
      <c r="K41" s="176">
        <v>2</v>
      </c>
      <c r="L41" s="176">
        <v>3</v>
      </c>
      <c r="M41" s="12" t="s">
        <v>3050</v>
      </c>
      <c r="N41" s="12" t="s">
        <v>2683</v>
      </c>
      <c r="O41" s="158" t="s">
        <v>2684</v>
      </c>
      <c r="P41" s="160" t="s">
        <v>3051</v>
      </c>
    </row>
    <row r="42" spans="1:19">
      <c r="A42" s="51" t="s">
        <v>2785</v>
      </c>
      <c r="B42" s="6" t="s">
        <v>1273</v>
      </c>
      <c r="C42" s="6" t="s">
        <v>2829</v>
      </c>
      <c r="D42" s="12" t="s">
        <v>2830</v>
      </c>
      <c r="E42" s="6" t="s">
        <v>2831</v>
      </c>
      <c r="F42" s="6" t="s">
        <v>2832</v>
      </c>
      <c r="G42" s="158" t="s">
        <v>2811</v>
      </c>
      <c r="H42" s="12" t="s">
        <v>2681</v>
      </c>
      <c r="I42" s="12" t="s">
        <v>2689</v>
      </c>
      <c r="J42" s="178">
        <v>10</v>
      </c>
      <c r="K42" s="176">
        <v>4</v>
      </c>
      <c r="L42" s="176">
        <v>6</v>
      </c>
      <c r="M42" s="12" t="s">
        <v>3050</v>
      </c>
      <c r="N42" s="12" t="s">
        <v>2683</v>
      </c>
      <c r="O42" s="158" t="s">
        <v>2684</v>
      </c>
      <c r="P42" s="160" t="s">
        <v>3051</v>
      </c>
    </row>
    <row r="43" spans="1:19">
      <c r="A43" s="51" t="s">
        <v>2833</v>
      </c>
      <c r="B43" s="6" t="s">
        <v>1273</v>
      </c>
      <c r="C43" s="6" t="s">
        <v>1848</v>
      </c>
      <c r="D43" s="12" t="s">
        <v>2733</v>
      </c>
      <c r="E43" s="6" t="s">
        <v>2834</v>
      </c>
      <c r="F43" s="6" t="s">
        <v>2835</v>
      </c>
      <c r="G43" s="158" t="s">
        <v>2836</v>
      </c>
      <c r="H43" s="12" t="s">
        <v>1824</v>
      </c>
      <c r="I43" s="12" t="s">
        <v>2700</v>
      </c>
      <c r="J43" s="178">
        <v>20</v>
      </c>
      <c r="K43" s="176">
        <v>8</v>
      </c>
      <c r="L43" s="176">
        <v>12</v>
      </c>
      <c r="M43" s="12" t="s">
        <v>3050</v>
      </c>
      <c r="N43" s="12" t="s">
        <v>2690</v>
      </c>
      <c r="O43" s="158" t="s">
        <v>2807</v>
      </c>
      <c r="P43" s="160" t="s">
        <v>3051</v>
      </c>
    </row>
    <row r="44" spans="1:19">
      <c r="A44" s="51" t="s">
        <v>2837</v>
      </c>
      <c r="B44" s="6" t="s">
        <v>1273</v>
      </c>
      <c r="C44" s="6" t="s">
        <v>2838</v>
      </c>
      <c r="D44" s="12" t="s">
        <v>2677</v>
      </c>
      <c r="E44" s="6" t="s">
        <v>2839</v>
      </c>
      <c r="F44" s="6" t="s">
        <v>3693</v>
      </c>
      <c r="G44" s="158" t="s">
        <v>2840</v>
      </c>
      <c r="H44" s="12" t="s">
        <v>2681</v>
      </c>
      <c r="I44" s="12" t="s">
        <v>2689</v>
      </c>
      <c r="J44" s="178">
        <v>10</v>
      </c>
      <c r="K44" s="176">
        <v>4</v>
      </c>
      <c r="L44" s="176">
        <v>6</v>
      </c>
      <c r="M44" s="12" t="s">
        <v>3050</v>
      </c>
      <c r="N44" s="12" t="s">
        <v>2683</v>
      </c>
      <c r="O44" s="158" t="s">
        <v>2807</v>
      </c>
      <c r="P44" s="160" t="s">
        <v>3051</v>
      </c>
    </row>
    <row r="45" spans="1:19">
      <c r="A45" s="51" t="s">
        <v>3084</v>
      </c>
      <c r="B45" s="6" t="s">
        <v>1273</v>
      </c>
      <c r="C45" s="6" t="s">
        <v>3085</v>
      </c>
      <c r="D45" s="12" t="s">
        <v>2865</v>
      </c>
      <c r="E45" s="6" t="s">
        <v>3086</v>
      </c>
      <c r="F45" s="6" t="s">
        <v>3087</v>
      </c>
      <c r="G45" s="158" t="s">
        <v>2811</v>
      </c>
      <c r="H45" s="12" t="s">
        <v>2681</v>
      </c>
      <c r="I45" s="12" t="s">
        <v>2682</v>
      </c>
      <c r="J45" s="178">
        <v>4</v>
      </c>
      <c r="K45" s="176">
        <v>1.6</v>
      </c>
      <c r="L45" s="176">
        <v>2.4</v>
      </c>
      <c r="M45" s="12" t="s">
        <v>3057</v>
      </c>
      <c r="N45" s="12" t="s">
        <v>3088</v>
      </c>
      <c r="O45" s="158" t="s">
        <v>3059</v>
      </c>
      <c r="P45" s="160" t="s">
        <v>1809</v>
      </c>
    </row>
    <row r="46" spans="1:19">
      <c r="A46" s="51" t="s">
        <v>2680</v>
      </c>
      <c r="B46" s="6" t="s">
        <v>701</v>
      </c>
      <c r="C46" s="6" t="s">
        <v>2841</v>
      </c>
      <c r="D46" s="12" t="s">
        <v>2722</v>
      </c>
      <c r="E46" s="6" t="s">
        <v>2842</v>
      </c>
      <c r="F46" s="6" t="s">
        <v>2843</v>
      </c>
      <c r="G46" s="158" t="s">
        <v>2844</v>
      </c>
      <c r="H46" s="12" t="s">
        <v>2681</v>
      </c>
      <c r="I46" s="12" t="s">
        <v>2689</v>
      </c>
      <c r="J46" s="178">
        <v>12</v>
      </c>
      <c r="K46" s="176">
        <v>4.8</v>
      </c>
      <c r="L46" s="176">
        <v>7.2</v>
      </c>
      <c r="M46" s="12" t="s">
        <v>3050</v>
      </c>
      <c r="N46" s="12" t="s">
        <v>2683</v>
      </c>
      <c r="O46" s="158" t="s">
        <v>2684</v>
      </c>
      <c r="P46" s="160" t="s">
        <v>3051</v>
      </c>
    </row>
    <row r="47" spans="1:19">
      <c r="A47" s="51" t="s">
        <v>2719</v>
      </c>
      <c r="B47" s="6" t="s">
        <v>701</v>
      </c>
      <c r="C47" s="6" t="s">
        <v>2845</v>
      </c>
      <c r="D47" s="12" t="s">
        <v>2722</v>
      </c>
      <c r="E47" s="6" t="s">
        <v>2846</v>
      </c>
      <c r="F47" s="6" t="s">
        <v>2847</v>
      </c>
      <c r="G47" s="158" t="s">
        <v>2680</v>
      </c>
      <c r="H47" s="12" t="s">
        <v>686</v>
      </c>
      <c r="I47" s="12" t="s">
        <v>2700</v>
      </c>
      <c r="J47" s="178">
        <v>24</v>
      </c>
      <c r="K47" s="176">
        <v>9.6</v>
      </c>
      <c r="L47" s="176">
        <v>14.4</v>
      </c>
      <c r="M47" s="12" t="s">
        <v>3050</v>
      </c>
      <c r="N47" s="12" t="s">
        <v>2690</v>
      </c>
      <c r="O47" s="158" t="s">
        <v>2684</v>
      </c>
      <c r="P47" s="160" t="s">
        <v>3051</v>
      </c>
    </row>
    <row r="48" spans="1:19">
      <c r="A48" s="51" t="s">
        <v>2725</v>
      </c>
      <c r="B48" s="6" t="s">
        <v>701</v>
      </c>
      <c r="C48" s="6" t="s">
        <v>2848</v>
      </c>
      <c r="D48" s="12" t="s">
        <v>2722</v>
      </c>
      <c r="E48" s="6" t="s">
        <v>2849</v>
      </c>
      <c r="F48" s="6" t="s">
        <v>3089</v>
      </c>
      <c r="G48" s="158" t="s">
        <v>2850</v>
      </c>
      <c r="H48" s="12" t="s">
        <v>2681</v>
      </c>
      <c r="I48" s="12" t="s">
        <v>2689</v>
      </c>
      <c r="J48" s="178">
        <v>12</v>
      </c>
      <c r="K48" s="176">
        <v>4.8</v>
      </c>
      <c r="L48" s="176">
        <v>7.2</v>
      </c>
      <c r="M48" s="12" t="s">
        <v>3050</v>
      </c>
      <c r="N48" s="12" t="s">
        <v>2683</v>
      </c>
      <c r="O48" s="158" t="s">
        <v>2684</v>
      </c>
      <c r="P48" s="160" t="s">
        <v>3051</v>
      </c>
    </row>
    <row r="49" spans="1:16">
      <c r="A49" s="51" t="s">
        <v>2851</v>
      </c>
      <c r="B49" s="6" t="s">
        <v>701</v>
      </c>
      <c r="C49" s="6" t="s">
        <v>2852</v>
      </c>
      <c r="D49" s="12" t="s">
        <v>2722</v>
      </c>
      <c r="E49" s="6" t="s">
        <v>2853</v>
      </c>
      <c r="F49" s="6" t="s">
        <v>2854</v>
      </c>
      <c r="G49" s="158" t="s">
        <v>2680</v>
      </c>
      <c r="H49" s="12" t="s">
        <v>706</v>
      </c>
      <c r="I49" s="12" t="s">
        <v>2689</v>
      </c>
      <c r="J49" s="178">
        <v>13</v>
      </c>
      <c r="K49" s="176">
        <v>5.2</v>
      </c>
      <c r="L49" s="176">
        <v>7.8</v>
      </c>
      <c r="M49" s="12" t="s">
        <v>3050</v>
      </c>
      <c r="N49" s="12" t="s">
        <v>2690</v>
      </c>
      <c r="O49" s="158" t="s">
        <v>2684</v>
      </c>
      <c r="P49" s="160" t="s">
        <v>3051</v>
      </c>
    </row>
    <row r="50" spans="1:16">
      <c r="A50" s="51" t="s">
        <v>2855</v>
      </c>
      <c r="B50" s="6" t="s">
        <v>701</v>
      </c>
      <c r="C50" s="6" t="s">
        <v>2856</v>
      </c>
      <c r="D50" s="12" t="s">
        <v>2722</v>
      </c>
      <c r="E50" s="6" t="s">
        <v>2857</v>
      </c>
      <c r="F50" s="6" t="s">
        <v>3090</v>
      </c>
      <c r="G50" s="158" t="s">
        <v>2719</v>
      </c>
      <c r="H50" s="12" t="s">
        <v>2681</v>
      </c>
      <c r="I50" s="12" t="s">
        <v>2689</v>
      </c>
      <c r="J50" s="178">
        <v>12</v>
      </c>
      <c r="K50" s="176">
        <v>4.8</v>
      </c>
      <c r="L50" s="176">
        <v>7.2</v>
      </c>
      <c r="M50" s="12" t="s">
        <v>3050</v>
      </c>
      <c r="N50" s="12" t="s">
        <v>2683</v>
      </c>
      <c r="O50" s="158" t="s">
        <v>2684</v>
      </c>
      <c r="P50" s="160" t="s">
        <v>3051</v>
      </c>
    </row>
    <row r="51" spans="1:16">
      <c r="A51" s="51" t="s">
        <v>2858</v>
      </c>
      <c r="B51" s="6" t="s">
        <v>701</v>
      </c>
      <c r="C51" s="6" t="s">
        <v>2859</v>
      </c>
      <c r="D51" s="12" t="s">
        <v>2722</v>
      </c>
      <c r="E51" s="6" t="s">
        <v>2860</v>
      </c>
      <c r="F51" s="6" t="s">
        <v>2861</v>
      </c>
      <c r="G51" s="158" t="s">
        <v>2862</v>
      </c>
      <c r="H51" s="12" t="s">
        <v>2681</v>
      </c>
      <c r="I51" s="12" t="s">
        <v>2689</v>
      </c>
      <c r="J51" s="178">
        <v>10</v>
      </c>
      <c r="K51" s="176">
        <v>4</v>
      </c>
      <c r="L51" s="176">
        <v>6</v>
      </c>
      <c r="M51" s="12" t="s">
        <v>3050</v>
      </c>
      <c r="N51" s="12" t="s">
        <v>2683</v>
      </c>
      <c r="O51" s="158" t="s">
        <v>2684</v>
      </c>
      <c r="P51" s="160" t="s">
        <v>3051</v>
      </c>
    </row>
    <row r="52" spans="1:16">
      <c r="A52" s="51" t="s">
        <v>2863</v>
      </c>
      <c r="B52" s="6" t="s">
        <v>701</v>
      </c>
      <c r="C52" s="6" t="s">
        <v>2864</v>
      </c>
      <c r="D52" s="12" t="s">
        <v>2865</v>
      </c>
      <c r="E52" s="6" t="s">
        <v>2866</v>
      </c>
      <c r="F52" s="6" t="s">
        <v>2867</v>
      </c>
      <c r="G52" s="158" t="s">
        <v>2680</v>
      </c>
      <c r="H52" s="12" t="s">
        <v>706</v>
      </c>
      <c r="I52" s="12" t="s">
        <v>2689</v>
      </c>
      <c r="J52" s="178">
        <v>12</v>
      </c>
      <c r="K52" s="176">
        <v>4.8</v>
      </c>
      <c r="L52" s="176">
        <v>7.2</v>
      </c>
      <c r="M52" s="12" t="s">
        <v>3050</v>
      </c>
      <c r="N52" s="12" t="s">
        <v>2690</v>
      </c>
      <c r="O52" s="158" t="s">
        <v>2684</v>
      </c>
      <c r="P52" s="160" t="s">
        <v>3051</v>
      </c>
    </row>
    <row r="53" spans="1:16">
      <c r="A53" s="51" t="s">
        <v>2868</v>
      </c>
      <c r="B53" s="6" t="s">
        <v>701</v>
      </c>
      <c r="C53" s="6" t="s">
        <v>2869</v>
      </c>
      <c r="D53" s="12" t="s">
        <v>2870</v>
      </c>
      <c r="E53" s="6" t="s">
        <v>2871</v>
      </c>
      <c r="F53" s="6" t="s">
        <v>2872</v>
      </c>
      <c r="G53" s="158" t="s">
        <v>2851</v>
      </c>
      <c r="H53" s="12" t="s">
        <v>2681</v>
      </c>
      <c r="I53" s="12" t="s">
        <v>2682</v>
      </c>
      <c r="J53" s="178">
        <v>5</v>
      </c>
      <c r="K53" s="176">
        <v>2</v>
      </c>
      <c r="L53" s="176">
        <v>3</v>
      </c>
      <c r="M53" s="12" t="s">
        <v>3050</v>
      </c>
      <c r="N53" s="12" t="s">
        <v>2683</v>
      </c>
      <c r="O53" s="158" t="s">
        <v>2684</v>
      </c>
      <c r="P53" s="160" t="s">
        <v>3051</v>
      </c>
    </row>
    <row r="54" spans="1:16">
      <c r="A54" s="51" t="s">
        <v>2873</v>
      </c>
      <c r="B54" s="6" t="s">
        <v>701</v>
      </c>
      <c r="C54" s="6" t="s">
        <v>2874</v>
      </c>
      <c r="D54" s="12" t="s">
        <v>2875</v>
      </c>
      <c r="E54" s="6" t="s">
        <v>2876</v>
      </c>
      <c r="F54" s="6" t="s">
        <v>2877</v>
      </c>
      <c r="G54" s="158" t="s">
        <v>2680</v>
      </c>
      <c r="H54" s="12" t="s">
        <v>2681</v>
      </c>
      <c r="I54" s="12" t="s">
        <v>2682</v>
      </c>
      <c r="J54" s="178">
        <v>5</v>
      </c>
      <c r="K54" s="176">
        <v>2</v>
      </c>
      <c r="L54" s="176">
        <v>3</v>
      </c>
      <c r="M54" s="12" t="s">
        <v>3050</v>
      </c>
      <c r="N54" s="12" t="s">
        <v>2683</v>
      </c>
      <c r="O54" s="158" t="s">
        <v>2684</v>
      </c>
      <c r="P54" s="160" t="s">
        <v>3051</v>
      </c>
    </row>
    <row r="55" spans="1:16">
      <c r="A55" s="51" t="s">
        <v>2878</v>
      </c>
      <c r="B55" s="6" t="s">
        <v>701</v>
      </c>
      <c r="C55" s="6" t="s">
        <v>2879</v>
      </c>
      <c r="D55" s="12" t="s">
        <v>2870</v>
      </c>
      <c r="E55" s="6" t="s">
        <v>2880</v>
      </c>
      <c r="F55" s="6" t="s">
        <v>2881</v>
      </c>
      <c r="G55" s="158" t="s">
        <v>2882</v>
      </c>
      <c r="H55" s="12" t="s">
        <v>2681</v>
      </c>
      <c r="I55" s="12" t="s">
        <v>2689</v>
      </c>
      <c r="J55" s="178">
        <v>9</v>
      </c>
      <c r="K55" s="176">
        <v>3.6</v>
      </c>
      <c r="L55" s="176">
        <v>5.4</v>
      </c>
      <c r="M55" s="12" t="s">
        <v>3050</v>
      </c>
      <c r="N55" s="12" t="s">
        <v>2690</v>
      </c>
      <c r="O55" s="158" t="s">
        <v>2807</v>
      </c>
      <c r="P55" s="160" t="s">
        <v>3051</v>
      </c>
    </row>
    <row r="56" spans="1:16">
      <c r="A56" s="51" t="s">
        <v>3091</v>
      </c>
      <c r="B56" s="6" t="s">
        <v>701</v>
      </c>
      <c r="C56" s="6" t="s">
        <v>3092</v>
      </c>
      <c r="D56" s="12" t="s">
        <v>2722</v>
      </c>
      <c r="E56" s="6" t="s">
        <v>3093</v>
      </c>
      <c r="F56" s="6" t="s">
        <v>3094</v>
      </c>
      <c r="G56" s="158" t="s">
        <v>2855</v>
      </c>
      <c r="H56" s="12" t="s">
        <v>2681</v>
      </c>
      <c r="I56" s="12" t="s">
        <v>2689</v>
      </c>
      <c r="J56" s="178">
        <v>10</v>
      </c>
      <c r="K56" s="176">
        <v>4</v>
      </c>
      <c r="L56" s="176">
        <v>6</v>
      </c>
      <c r="M56" s="12" t="s">
        <v>3050</v>
      </c>
      <c r="N56" s="12" t="s">
        <v>2683</v>
      </c>
      <c r="O56" s="158" t="s">
        <v>3059</v>
      </c>
      <c r="P56" s="160" t="s">
        <v>3095</v>
      </c>
    </row>
    <row r="57" spans="1:16">
      <c r="A57" s="51" t="s">
        <v>3096</v>
      </c>
      <c r="B57" s="6" t="s">
        <v>701</v>
      </c>
      <c r="C57" s="6" t="s">
        <v>3097</v>
      </c>
      <c r="D57" s="12" t="s">
        <v>2722</v>
      </c>
      <c r="E57" s="6" t="s">
        <v>3098</v>
      </c>
      <c r="F57" s="6" t="s">
        <v>3099</v>
      </c>
      <c r="G57" s="158" t="s">
        <v>2680</v>
      </c>
      <c r="H57" s="12" t="s">
        <v>2681</v>
      </c>
      <c r="I57" s="12" t="s">
        <v>2682</v>
      </c>
      <c r="J57" s="178">
        <v>6</v>
      </c>
      <c r="K57" s="176">
        <v>2.4</v>
      </c>
      <c r="L57" s="176">
        <v>3.6</v>
      </c>
      <c r="M57" s="12" t="s">
        <v>3050</v>
      </c>
      <c r="N57" s="12" t="s">
        <v>2683</v>
      </c>
      <c r="O57" s="158" t="s">
        <v>3059</v>
      </c>
      <c r="P57" s="160" t="s">
        <v>3100</v>
      </c>
    </row>
    <row r="58" spans="1:16">
      <c r="A58" s="51" t="s">
        <v>3101</v>
      </c>
      <c r="B58" s="6" t="s">
        <v>701</v>
      </c>
      <c r="C58" s="6" t="s">
        <v>3102</v>
      </c>
      <c r="D58" s="12" t="s">
        <v>2722</v>
      </c>
      <c r="E58" s="6" t="s">
        <v>3103</v>
      </c>
      <c r="F58" s="6" t="s">
        <v>3104</v>
      </c>
      <c r="G58" s="158" t="s">
        <v>2680</v>
      </c>
      <c r="H58" s="12" t="s">
        <v>2681</v>
      </c>
      <c r="I58" s="12" t="s">
        <v>2682</v>
      </c>
      <c r="J58" s="178">
        <v>8</v>
      </c>
      <c r="K58" s="176">
        <v>3.2</v>
      </c>
      <c r="L58" s="176">
        <v>4.8</v>
      </c>
      <c r="M58" s="12" t="s">
        <v>3050</v>
      </c>
      <c r="N58" s="12" t="s">
        <v>2683</v>
      </c>
      <c r="O58" s="158" t="s">
        <v>3059</v>
      </c>
      <c r="P58" s="160" t="s">
        <v>3105</v>
      </c>
    </row>
    <row r="59" spans="1:16">
      <c r="A59" s="51" t="s">
        <v>2883</v>
      </c>
      <c r="B59" s="6" t="s">
        <v>709</v>
      </c>
      <c r="C59" s="6" t="s">
        <v>2884</v>
      </c>
      <c r="D59" s="12" t="s">
        <v>2722</v>
      </c>
      <c r="E59" s="6" t="s">
        <v>2885</v>
      </c>
      <c r="F59" s="6" t="s">
        <v>2886</v>
      </c>
      <c r="G59" s="158" t="s">
        <v>2680</v>
      </c>
      <c r="H59" s="12" t="s">
        <v>2681</v>
      </c>
      <c r="I59" s="12" t="s">
        <v>2689</v>
      </c>
      <c r="J59" s="178">
        <v>12</v>
      </c>
      <c r="K59" s="176">
        <v>4.8</v>
      </c>
      <c r="L59" s="176">
        <v>7.2</v>
      </c>
      <c r="M59" s="12" t="s">
        <v>3050</v>
      </c>
      <c r="N59" s="12" t="s">
        <v>2683</v>
      </c>
      <c r="O59" s="158" t="s">
        <v>2684</v>
      </c>
      <c r="P59" s="160" t="s">
        <v>3051</v>
      </c>
    </row>
    <row r="60" spans="1:16">
      <c r="A60" s="51" t="s">
        <v>2887</v>
      </c>
      <c r="B60" s="6" t="s">
        <v>709</v>
      </c>
      <c r="C60" s="6" t="s">
        <v>2888</v>
      </c>
      <c r="D60" s="12" t="s">
        <v>2749</v>
      </c>
      <c r="E60" s="6" t="s">
        <v>2889</v>
      </c>
      <c r="F60" s="6" t="s">
        <v>2890</v>
      </c>
      <c r="G60" s="158" t="s">
        <v>2891</v>
      </c>
      <c r="H60" s="12" t="s">
        <v>2681</v>
      </c>
      <c r="I60" s="12" t="s">
        <v>2682</v>
      </c>
      <c r="J60" s="178">
        <v>6</v>
      </c>
      <c r="K60" s="176">
        <v>2.4</v>
      </c>
      <c r="L60" s="176">
        <v>3.6</v>
      </c>
      <c r="M60" s="12" t="s">
        <v>3050</v>
      </c>
      <c r="N60" s="12" t="s">
        <v>2683</v>
      </c>
      <c r="O60" s="158" t="s">
        <v>2684</v>
      </c>
      <c r="P60" s="160" t="s">
        <v>3051</v>
      </c>
    </row>
    <row r="61" spans="1:16">
      <c r="A61" s="51" t="s">
        <v>2892</v>
      </c>
      <c r="B61" s="6" t="s">
        <v>709</v>
      </c>
      <c r="C61" s="6" t="s">
        <v>2893</v>
      </c>
      <c r="D61" s="12" t="s">
        <v>2733</v>
      </c>
      <c r="E61" s="6" t="s">
        <v>2894</v>
      </c>
      <c r="F61" s="6" t="s">
        <v>2895</v>
      </c>
      <c r="G61" s="158" t="s">
        <v>2896</v>
      </c>
      <c r="H61" s="12" t="s">
        <v>2681</v>
      </c>
      <c r="I61" s="12" t="s">
        <v>2700</v>
      </c>
      <c r="J61" s="178">
        <v>22</v>
      </c>
      <c r="K61" s="176">
        <v>8.8000000000000007</v>
      </c>
      <c r="L61" s="176">
        <v>13.2</v>
      </c>
      <c r="M61" s="12" t="s">
        <v>3050</v>
      </c>
      <c r="N61" s="12" t="s">
        <v>2683</v>
      </c>
      <c r="O61" s="158" t="s">
        <v>2684</v>
      </c>
      <c r="P61" s="160" t="s">
        <v>3051</v>
      </c>
    </row>
    <row r="62" spans="1:16">
      <c r="A62" s="51" t="s">
        <v>2897</v>
      </c>
      <c r="B62" s="6" t="s">
        <v>709</v>
      </c>
      <c r="C62" s="6" t="s">
        <v>2898</v>
      </c>
      <c r="D62" s="12" t="s">
        <v>2899</v>
      </c>
      <c r="E62" s="6" t="s">
        <v>2900</v>
      </c>
      <c r="F62" s="6" t="s">
        <v>2901</v>
      </c>
      <c r="G62" s="158" t="s">
        <v>2902</v>
      </c>
      <c r="H62" s="12" t="s">
        <v>2681</v>
      </c>
      <c r="I62" s="12" t="s">
        <v>2689</v>
      </c>
      <c r="J62" s="178">
        <v>12</v>
      </c>
      <c r="K62" s="176">
        <v>4.8</v>
      </c>
      <c r="L62" s="176">
        <v>7.2</v>
      </c>
      <c r="M62" s="12" t="s">
        <v>3050</v>
      </c>
      <c r="N62" s="12" t="s">
        <v>2683</v>
      </c>
      <c r="O62" s="158" t="s">
        <v>2684</v>
      </c>
      <c r="P62" s="160" t="s">
        <v>3051</v>
      </c>
    </row>
    <row r="63" spans="1:16">
      <c r="A63" s="51" t="s">
        <v>2903</v>
      </c>
      <c r="B63" s="6" t="s">
        <v>709</v>
      </c>
      <c r="C63" s="6" t="s">
        <v>2904</v>
      </c>
      <c r="D63" s="12" t="s">
        <v>2722</v>
      </c>
      <c r="E63" s="6" t="s">
        <v>2905</v>
      </c>
      <c r="F63" s="6" t="s">
        <v>2906</v>
      </c>
      <c r="G63" s="158" t="s">
        <v>2907</v>
      </c>
      <c r="H63" s="12" t="s">
        <v>2681</v>
      </c>
      <c r="I63" s="12" t="s">
        <v>2682</v>
      </c>
      <c r="J63" s="178">
        <v>5</v>
      </c>
      <c r="K63" s="176">
        <v>2</v>
      </c>
      <c r="L63" s="176">
        <v>3</v>
      </c>
      <c r="M63" s="12" t="s">
        <v>3050</v>
      </c>
      <c r="N63" s="12" t="s">
        <v>2683</v>
      </c>
      <c r="O63" s="158" t="s">
        <v>2684</v>
      </c>
      <c r="P63" s="160" t="s">
        <v>3051</v>
      </c>
    </row>
    <row r="64" spans="1:16">
      <c r="A64" s="51" t="s">
        <v>2908</v>
      </c>
      <c r="B64" s="6" t="s">
        <v>709</v>
      </c>
      <c r="C64" s="6" t="s">
        <v>2909</v>
      </c>
      <c r="D64" s="12" t="s">
        <v>2865</v>
      </c>
      <c r="E64" s="6" t="s">
        <v>2910</v>
      </c>
      <c r="F64" s="6" t="s">
        <v>2911</v>
      </c>
      <c r="G64" s="158" t="s">
        <v>2912</v>
      </c>
      <c r="H64" s="12" t="s">
        <v>2681</v>
      </c>
      <c r="I64" s="12" t="s">
        <v>2700</v>
      </c>
      <c r="J64" s="178">
        <v>22</v>
      </c>
      <c r="K64" s="176">
        <v>8.8000000000000007</v>
      </c>
      <c r="L64" s="176">
        <v>13.2</v>
      </c>
      <c r="M64" s="12" t="s">
        <v>3050</v>
      </c>
      <c r="N64" s="12" t="s">
        <v>2683</v>
      </c>
      <c r="O64" s="158" t="s">
        <v>2684</v>
      </c>
      <c r="P64" s="160" t="s">
        <v>3051</v>
      </c>
    </row>
    <row r="65" spans="1:16">
      <c r="A65" s="51" t="s">
        <v>2913</v>
      </c>
      <c r="B65" s="6" t="s">
        <v>709</v>
      </c>
      <c r="C65" s="6" t="s">
        <v>2914</v>
      </c>
      <c r="D65" s="12" t="s">
        <v>2722</v>
      </c>
      <c r="E65" s="6" t="s">
        <v>2915</v>
      </c>
      <c r="F65" s="6" t="s">
        <v>2916</v>
      </c>
      <c r="G65" s="158" t="s">
        <v>2725</v>
      </c>
      <c r="H65" s="12" t="s">
        <v>2681</v>
      </c>
      <c r="I65" s="12" t="s">
        <v>2689</v>
      </c>
      <c r="J65" s="178">
        <v>10</v>
      </c>
      <c r="K65" s="176">
        <v>4</v>
      </c>
      <c r="L65" s="176">
        <v>6</v>
      </c>
      <c r="M65" s="12" t="s">
        <v>3050</v>
      </c>
      <c r="N65" s="12" t="s">
        <v>2683</v>
      </c>
      <c r="O65" s="158" t="s">
        <v>2684</v>
      </c>
      <c r="P65" s="160" t="s">
        <v>3051</v>
      </c>
    </row>
    <row r="66" spans="1:16">
      <c r="A66" s="51" t="s">
        <v>2917</v>
      </c>
      <c r="B66" s="6" t="s">
        <v>709</v>
      </c>
      <c r="C66" s="6" t="s">
        <v>2918</v>
      </c>
      <c r="D66" s="12" t="s">
        <v>2677</v>
      </c>
      <c r="E66" s="6" t="s">
        <v>2919</v>
      </c>
      <c r="F66" s="6" t="s">
        <v>2920</v>
      </c>
      <c r="G66" s="158" t="s">
        <v>2675</v>
      </c>
      <c r="H66" s="12" t="s">
        <v>2681</v>
      </c>
      <c r="I66" s="12" t="s">
        <v>2682</v>
      </c>
      <c r="J66" s="178">
        <v>5</v>
      </c>
      <c r="K66" s="176">
        <v>2</v>
      </c>
      <c r="L66" s="176">
        <v>3</v>
      </c>
      <c r="M66" s="12" t="s">
        <v>3050</v>
      </c>
      <c r="N66" s="12" t="s">
        <v>2683</v>
      </c>
      <c r="O66" s="158" t="s">
        <v>2684</v>
      </c>
      <c r="P66" s="160" t="s">
        <v>3051</v>
      </c>
    </row>
    <row r="67" spans="1:16">
      <c r="A67" s="51" t="s">
        <v>2921</v>
      </c>
      <c r="B67" s="6" t="s">
        <v>709</v>
      </c>
      <c r="C67" s="6" t="s">
        <v>2922</v>
      </c>
      <c r="D67" s="12" t="s">
        <v>2923</v>
      </c>
      <c r="E67" s="6" t="s">
        <v>2924</v>
      </c>
      <c r="F67" s="6" t="s">
        <v>2925</v>
      </c>
      <c r="G67" s="158" t="s">
        <v>2851</v>
      </c>
      <c r="H67" s="12" t="s">
        <v>2681</v>
      </c>
      <c r="I67" s="12" t="s">
        <v>2689</v>
      </c>
      <c r="J67" s="178">
        <v>9</v>
      </c>
      <c r="K67" s="176">
        <v>3.6</v>
      </c>
      <c r="L67" s="176">
        <v>5.4</v>
      </c>
      <c r="M67" s="12" t="s">
        <v>3050</v>
      </c>
      <c r="N67" s="12" t="s">
        <v>2683</v>
      </c>
      <c r="O67" s="158" t="s">
        <v>2684</v>
      </c>
      <c r="P67" s="160" t="s">
        <v>3051</v>
      </c>
    </row>
    <row r="68" spans="1:16">
      <c r="A68" s="51" t="s">
        <v>2926</v>
      </c>
      <c r="B68" s="6" t="s">
        <v>709</v>
      </c>
      <c r="C68" s="6" t="s">
        <v>2927</v>
      </c>
      <c r="D68" s="12" t="s">
        <v>2738</v>
      </c>
      <c r="E68" s="6" t="s">
        <v>2928</v>
      </c>
      <c r="F68" s="6" t="s">
        <v>2929</v>
      </c>
      <c r="G68" s="158" t="s">
        <v>2930</v>
      </c>
      <c r="H68" s="12" t="s">
        <v>2681</v>
      </c>
      <c r="I68" s="12" t="s">
        <v>2689</v>
      </c>
      <c r="J68" s="178">
        <v>10</v>
      </c>
      <c r="K68" s="176">
        <v>4</v>
      </c>
      <c r="L68" s="176">
        <v>6</v>
      </c>
      <c r="M68" s="12" t="s">
        <v>3050</v>
      </c>
      <c r="N68" s="12" t="s">
        <v>2683</v>
      </c>
      <c r="O68" s="158" t="s">
        <v>2807</v>
      </c>
      <c r="P68" s="160" t="s">
        <v>3051</v>
      </c>
    </row>
    <row r="69" spans="1:16">
      <c r="A69" s="51" t="s">
        <v>2931</v>
      </c>
      <c r="B69" s="6" t="s">
        <v>709</v>
      </c>
      <c r="C69" s="6" t="s">
        <v>1823</v>
      </c>
      <c r="D69" s="12" t="s">
        <v>2932</v>
      </c>
      <c r="E69" s="6" t="s">
        <v>2933</v>
      </c>
      <c r="F69" s="6" t="s">
        <v>2934</v>
      </c>
      <c r="G69" s="158" t="s">
        <v>2780</v>
      </c>
      <c r="H69" s="12" t="s">
        <v>2681</v>
      </c>
      <c r="I69" s="12" t="s">
        <v>2682</v>
      </c>
      <c r="J69" s="178">
        <v>5</v>
      </c>
      <c r="K69" s="176">
        <v>2</v>
      </c>
      <c r="L69" s="176">
        <v>3</v>
      </c>
      <c r="M69" s="12" t="s">
        <v>3050</v>
      </c>
      <c r="N69" s="12" t="s">
        <v>2690</v>
      </c>
      <c r="O69" s="158" t="s">
        <v>2807</v>
      </c>
      <c r="P69" s="160" t="s">
        <v>3051</v>
      </c>
    </row>
    <row r="70" spans="1:16">
      <c r="A70" s="51" t="s">
        <v>3106</v>
      </c>
      <c r="B70" s="6" t="s">
        <v>709</v>
      </c>
      <c r="C70" s="6" t="s">
        <v>3107</v>
      </c>
      <c r="D70" s="12" t="s">
        <v>2738</v>
      </c>
      <c r="E70" s="6" t="s">
        <v>3108</v>
      </c>
      <c r="F70" s="6" t="s">
        <v>3109</v>
      </c>
      <c r="G70" s="158" t="s">
        <v>2883</v>
      </c>
      <c r="H70" s="12" t="s">
        <v>2681</v>
      </c>
      <c r="I70" s="12" t="s">
        <v>2689</v>
      </c>
      <c r="J70" s="178">
        <v>10</v>
      </c>
      <c r="K70" s="176">
        <v>4</v>
      </c>
      <c r="L70" s="176">
        <v>6</v>
      </c>
      <c r="M70" s="12" t="s">
        <v>3050</v>
      </c>
      <c r="N70" s="12" t="s">
        <v>2683</v>
      </c>
      <c r="O70" s="158" t="s">
        <v>3059</v>
      </c>
      <c r="P70" s="160" t="s">
        <v>1452</v>
      </c>
    </row>
    <row r="71" spans="1:16">
      <c r="A71" s="51" t="s">
        <v>3110</v>
      </c>
      <c r="B71" s="6" t="s">
        <v>709</v>
      </c>
      <c r="C71" s="6" t="s">
        <v>3111</v>
      </c>
      <c r="D71" s="12" t="s">
        <v>2993</v>
      </c>
      <c r="E71" s="6" t="s">
        <v>3112</v>
      </c>
      <c r="F71" s="6" t="s">
        <v>3113</v>
      </c>
      <c r="G71" s="158" t="s">
        <v>2961</v>
      </c>
      <c r="H71" s="12" t="s">
        <v>2681</v>
      </c>
      <c r="I71" s="12" t="s">
        <v>2689</v>
      </c>
      <c r="J71" s="178">
        <v>9</v>
      </c>
      <c r="K71" s="176">
        <v>3.6</v>
      </c>
      <c r="L71" s="176">
        <v>5.4</v>
      </c>
      <c r="M71" s="12" t="s">
        <v>3050</v>
      </c>
      <c r="N71" s="12" t="s">
        <v>2683</v>
      </c>
      <c r="O71" s="158" t="s">
        <v>3059</v>
      </c>
      <c r="P71" s="160" t="s">
        <v>3114</v>
      </c>
    </row>
    <row r="72" spans="1:16">
      <c r="A72" s="51" t="s">
        <v>3115</v>
      </c>
      <c r="B72" s="6" t="s">
        <v>709</v>
      </c>
      <c r="C72" s="6" t="s">
        <v>3116</v>
      </c>
      <c r="D72" s="12" t="s">
        <v>2830</v>
      </c>
      <c r="E72" s="6" t="s">
        <v>3117</v>
      </c>
      <c r="F72" s="6" t="s">
        <v>3118</v>
      </c>
      <c r="G72" s="158" t="s">
        <v>2908</v>
      </c>
      <c r="H72" s="12" t="s">
        <v>2681</v>
      </c>
      <c r="I72" s="12" t="s">
        <v>2689</v>
      </c>
      <c r="J72" s="178">
        <v>9</v>
      </c>
      <c r="K72" s="176">
        <v>3.6</v>
      </c>
      <c r="L72" s="176">
        <v>5.4</v>
      </c>
      <c r="M72" s="12" t="s">
        <v>3050</v>
      </c>
      <c r="N72" s="12" t="s">
        <v>2683</v>
      </c>
      <c r="O72" s="158" t="s">
        <v>3059</v>
      </c>
      <c r="P72" s="160" t="s">
        <v>3119</v>
      </c>
    </row>
    <row r="73" spans="1:16">
      <c r="A73" s="51" t="s">
        <v>3120</v>
      </c>
      <c r="B73" s="6" t="s">
        <v>709</v>
      </c>
      <c r="C73" s="6" t="s">
        <v>3121</v>
      </c>
      <c r="D73" s="12" t="s">
        <v>2716</v>
      </c>
      <c r="E73" s="6" t="s">
        <v>3122</v>
      </c>
      <c r="F73" s="6" t="s">
        <v>3123</v>
      </c>
      <c r="G73" s="158" t="s">
        <v>2913</v>
      </c>
      <c r="H73" s="12" t="s">
        <v>2681</v>
      </c>
      <c r="I73" s="12" t="s">
        <v>2689</v>
      </c>
      <c r="J73" s="178">
        <v>10</v>
      </c>
      <c r="K73" s="176">
        <v>4</v>
      </c>
      <c r="L73" s="176">
        <v>6</v>
      </c>
      <c r="M73" s="12" t="s">
        <v>3050</v>
      </c>
      <c r="N73" s="12" t="s">
        <v>2683</v>
      </c>
      <c r="O73" s="158" t="s">
        <v>3059</v>
      </c>
      <c r="P73" s="160" t="s">
        <v>1453</v>
      </c>
    </row>
    <row r="74" spans="1:16">
      <c r="A74" s="51" t="s">
        <v>2935</v>
      </c>
      <c r="B74" s="6" t="s">
        <v>713</v>
      </c>
      <c r="C74" s="6" t="s">
        <v>2936</v>
      </c>
      <c r="D74" s="12" t="s">
        <v>2870</v>
      </c>
      <c r="E74" s="6" t="s">
        <v>2937</v>
      </c>
      <c r="F74" s="6" t="s">
        <v>2938</v>
      </c>
      <c r="G74" s="158" t="s">
        <v>2939</v>
      </c>
      <c r="H74" s="12" t="s">
        <v>2681</v>
      </c>
      <c r="I74" s="12" t="s">
        <v>2689</v>
      </c>
      <c r="J74" s="178">
        <v>10</v>
      </c>
      <c r="K74" s="176">
        <v>4</v>
      </c>
      <c r="L74" s="176">
        <v>6</v>
      </c>
      <c r="M74" s="12" t="s">
        <v>3050</v>
      </c>
      <c r="N74" s="12" t="s">
        <v>2683</v>
      </c>
      <c r="O74" s="158" t="s">
        <v>2684</v>
      </c>
      <c r="P74" s="160" t="s">
        <v>3051</v>
      </c>
    </row>
    <row r="75" spans="1:16">
      <c r="A75" s="51" t="s">
        <v>2940</v>
      </c>
      <c r="B75" s="6" t="s">
        <v>713</v>
      </c>
      <c r="C75" s="6" t="s">
        <v>2941</v>
      </c>
      <c r="D75" s="12" t="s">
        <v>2865</v>
      </c>
      <c r="E75" s="6" t="s">
        <v>2942</v>
      </c>
      <c r="F75" s="6" t="s">
        <v>2943</v>
      </c>
      <c r="G75" s="158" t="s">
        <v>2719</v>
      </c>
      <c r="H75" s="12" t="s">
        <v>714</v>
      </c>
      <c r="I75" s="12" t="s">
        <v>2689</v>
      </c>
      <c r="J75" s="178">
        <v>12</v>
      </c>
      <c r="K75" s="176">
        <v>4.8</v>
      </c>
      <c r="L75" s="176">
        <v>7.2</v>
      </c>
      <c r="M75" s="12" t="s">
        <v>3050</v>
      </c>
      <c r="N75" s="12" t="s">
        <v>2690</v>
      </c>
      <c r="O75" s="158" t="s">
        <v>2684</v>
      </c>
      <c r="P75" s="160" t="s">
        <v>3051</v>
      </c>
    </row>
    <row r="76" spans="1:16">
      <c r="A76" s="51" t="s">
        <v>2944</v>
      </c>
      <c r="B76" s="6" t="s">
        <v>713</v>
      </c>
      <c r="C76" s="6" t="s">
        <v>2945</v>
      </c>
      <c r="D76" s="12" t="s">
        <v>2722</v>
      </c>
      <c r="E76" s="6" t="s">
        <v>2946</v>
      </c>
      <c r="F76" s="6" t="s">
        <v>2947</v>
      </c>
      <c r="G76" s="158" t="s">
        <v>2725</v>
      </c>
      <c r="H76" s="12" t="s">
        <v>2681</v>
      </c>
      <c r="I76" s="12" t="s">
        <v>2689</v>
      </c>
      <c r="J76" s="178">
        <v>12</v>
      </c>
      <c r="K76" s="176">
        <v>4.8</v>
      </c>
      <c r="L76" s="176">
        <v>7.2</v>
      </c>
      <c r="M76" s="12" t="s">
        <v>3050</v>
      </c>
      <c r="N76" s="12" t="s">
        <v>2683</v>
      </c>
      <c r="O76" s="158" t="s">
        <v>2684</v>
      </c>
      <c r="P76" s="160" t="s">
        <v>3051</v>
      </c>
    </row>
    <row r="77" spans="1:16">
      <c r="A77" s="51" t="s">
        <v>2948</v>
      </c>
      <c r="B77" s="6" t="s">
        <v>713</v>
      </c>
      <c r="C77" s="6" t="s">
        <v>2949</v>
      </c>
      <c r="D77" s="12" t="s">
        <v>2788</v>
      </c>
      <c r="E77" s="6" t="s">
        <v>2950</v>
      </c>
      <c r="F77" s="6" t="s">
        <v>3124</v>
      </c>
      <c r="G77" s="158" t="s">
        <v>2951</v>
      </c>
      <c r="H77" s="12" t="s">
        <v>2681</v>
      </c>
      <c r="I77" s="12" t="s">
        <v>2689</v>
      </c>
      <c r="J77" s="178">
        <v>15</v>
      </c>
      <c r="K77" s="176">
        <v>6</v>
      </c>
      <c r="L77" s="176">
        <v>9</v>
      </c>
      <c r="M77" s="12" t="s">
        <v>3050</v>
      </c>
      <c r="N77" s="12" t="s">
        <v>2683</v>
      </c>
      <c r="O77" s="158" t="s">
        <v>2684</v>
      </c>
      <c r="P77" s="160" t="s">
        <v>3051</v>
      </c>
    </row>
    <row r="78" spans="1:16">
      <c r="A78" s="51" t="s">
        <v>2952</v>
      </c>
      <c r="B78" s="6" t="s">
        <v>713</v>
      </c>
      <c r="C78" s="6" t="s">
        <v>2953</v>
      </c>
      <c r="D78" s="12" t="s">
        <v>2865</v>
      </c>
      <c r="E78" s="6" t="s">
        <v>2954</v>
      </c>
      <c r="F78" s="6" t="s">
        <v>2955</v>
      </c>
      <c r="G78" s="158" t="s">
        <v>2956</v>
      </c>
      <c r="H78" s="12" t="s">
        <v>2681</v>
      </c>
      <c r="I78" s="12" t="s">
        <v>2682</v>
      </c>
      <c r="J78" s="178">
        <v>5</v>
      </c>
      <c r="K78" s="176">
        <v>2</v>
      </c>
      <c r="L78" s="176">
        <v>3</v>
      </c>
      <c r="M78" s="12" t="s">
        <v>3050</v>
      </c>
      <c r="N78" s="12" t="s">
        <v>2683</v>
      </c>
      <c r="O78" s="158" t="s">
        <v>2684</v>
      </c>
      <c r="P78" s="160" t="s">
        <v>3051</v>
      </c>
    </row>
    <row r="79" spans="1:16">
      <c r="A79" s="51" t="s">
        <v>3125</v>
      </c>
      <c r="B79" s="6" t="s">
        <v>713</v>
      </c>
      <c r="C79" s="6" t="s">
        <v>3126</v>
      </c>
      <c r="D79" s="12" t="s">
        <v>2722</v>
      </c>
      <c r="E79" s="6" t="s">
        <v>3127</v>
      </c>
      <c r="F79" s="6" t="s">
        <v>3128</v>
      </c>
      <c r="G79" s="158" t="s">
        <v>2719</v>
      </c>
      <c r="H79" s="12" t="s">
        <v>2681</v>
      </c>
      <c r="I79" s="12" t="s">
        <v>2682</v>
      </c>
      <c r="J79" s="178">
        <v>5</v>
      </c>
      <c r="K79" s="176">
        <v>2</v>
      </c>
      <c r="L79" s="176">
        <v>3</v>
      </c>
      <c r="M79" s="12" t="s">
        <v>3050</v>
      </c>
      <c r="N79" s="12" t="s">
        <v>2683</v>
      </c>
      <c r="O79" s="158" t="s">
        <v>3059</v>
      </c>
      <c r="P79" s="160" t="s">
        <v>1493</v>
      </c>
    </row>
    <row r="80" spans="1:16">
      <c r="A80" s="51" t="s">
        <v>3129</v>
      </c>
      <c r="B80" s="6" t="s">
        <v>713</v>
      </c>
      <c r="C80" s="6" t="s">
        <v>3130</v>
      </c>
      <c r="D80" s="12" t="s">
        <v>2870</v>
      </c>
      <c r="E80" s="6" t="s">
        <v>3131</v>
      </c>
      <c r="F80" s="6" t="s">
        <v>3132</v>
      </c>
      <c r="G80" s="158" t="s">
        <v>2725</v>
      </c>
      <c r="H80" s="12" t="s">
        <v>2681</v>
      </c>
      <c r="I80" s="12" t="s">
        <v>2682</v>
      </c>
      <c r="J80" s="178">
        <v>8</v>
      </c>
      <c r="K80" s="176">
        <v>3.2</v>
      </c>
      <c r="L80" s="176">
        <v>4.8</v>
      </c>
      <c r="M80" s="12" t="s">
        <v>3050</v>
      </c>
      <c r="N80" s="12" t="s">
        <v>2683</v>
      </c>
      <c r="O80" s="158" t="s">
        <v>3059</v>
      </c>
      <c r="P80" s="160" t="s">
        <v>1494</v>
      </c>
    </row>
    <row r="81" spans="1:16">
      <c r="A81" s="51" t="s">
        <v>3133</v>
      </c>
      <c r="B81" s="6" t="s">
        <v>713</v>
      </c>
      <c r="C81" s="6" t="s">
        <v>3134</v>
      </c>
      <c r="D81" s="12" t="s">
        <v>2865</v>
      </c>
      <c r="E81" s="6" t="s">
        <v>3135</v>
      </c>
      <c r="F81" s="6" t="s">
        <v>3136</v>
      </c>
      <c r="G81" s="158" t="s">
        <v>2961</v>
      </c>
      <c r="H81" s="12" t="s">
        <v>2681</v>
      </c>
      <c r="I81" s="12" t="s">
        <v>2682</v>
      </c>
      <c r="J81" s="178">
        <v>8</v>
      </c>
      <c r="K81" s="176">
        <v>3.2</v>
      </c>
      <c r="L81" s="176">
        <v>4.8</v>
      </c>
      <c r="M81" s="12" t="s">
        <v>3050</v>
      </c>
      <c r="N81" s="12" t="s">
        <v>2683</v>
      </c>
      <c r="O81" s="158" t="s">
        <v>3059</v>
      </c>
      <c r="P81" s="160" t="s">
        <v>1495</v>
      </c>
    </row>
    <row r="82" spans="1:16">
      <c r="A82" s="51" t="s">
        <v>3137</v>
      </c>
      <c r="B82" s="6" t="s">
        <v>713</v>
      </c>
      <c r="C82" s="6" t="s">
        <v>3138</v>
      </c>
      <c r="D82" s="12" t="s">
        <v>2830</v>
      </c>
      <c r="E82" s="6" t="s">
        <v>3139</v>
      </c>
      <c r="F82" s="6" t="s">
        <v>3140</v>
      </c>
      <c r="G82" s="158" t="s">
        <v>2940</v>
      </c>
      <c r="H82" s="12" t="s">
        <v>2681</v>
      </c>
      <c r="I82" s="12" t="s">
        <v>2682</v>
      </c>
      <c r="J82" s="178">
        <v>6</v>
      </c>
      <c r="K82" s="176">
        <v>2.4</v>
      </c>
      <c r="L82" s="176">
        <v>3.6</v>
      </c>
      <c r="M82" s="12" t="s">
        <v>3050</v>
      </c>
      <c r="N82" s="12" t="s">
        <v>2683</v>
      </c>
      <c r="O82" s="158" t="s">
        <v>3059</v>
      </c>
      <c r="P82" s="160" t="s">
        <v>1498</v>
      </c>
    </row>
    <row r="83" spans="1:16">
      <c r="A83" s="51" t="s">
        <v>3141</v>
      </c>
      <c r="B83" s="6" t="s">
        <v>713</v>
      </c>
      <c r="C83" s="6" t="s">
        <v>3142</v>
      </c>
      <c r="D83" s="12" t="s">
        <v>2722</v>
      </c>
      <c r="E83" s="6" t="s">
        <v>3143</v>
      </c>
      <c r="F83" s="6" t="s">
        <v>3144</v>
      </c>
      <c r="G83" s="158" t="s">
        <v>2944</v>
      </c>
      <c r="H83" s="12" t="s">
        <v>2681</v>
      </c>
      <c r="I83" s="12" t="s">
        <v>2689</v>
      </c>
      <c r="J83" s="178">
        <v>10</v>
      </c>
      <c r="K83" s="176">
        <v>4</v>
      </c>
      <c r="L83" s="176">
        <v>6</v>
      </c>
      <c r="M83" s="12" t="s">
        <v>3050</v>
      </c>
      <c r="N83" s="12" t="s">
        <v>2683</v>
      </c>
      <c r="O83" s="158" t="s">
        <v>3059</v>
      </c>
      <c r="P83" s="160" t="s">
        <v>3145</v>
      </c>
    </row>
    <row r="84" spans="1:16">
      <c r="A84" s="51" t="s">
        <v>3146</v>
      </c>
      <c r="B84" s="6" t="s">
        <v>713</v>
      </c>
      <c r="C84" s="6" t="s">
        <v>3147</v>
      </c>
      <c r="D84" s="12" t="s">
        <v>2733</v>
      </c>
      <c r="E84" s="6" t="s">
        <v>3148</v>
      </c>
      <c r="F84" s="6" t="s">
        <v>3149</v>
      </c>
      <c r="G84" s="158" t="s">
        <v>3150</v>
      </c>
      <c r="H84" s="12" t="s">
        <v>2681</v>
      </c>
      <c r="I84" s="12" t="s">
        <v>2682</v>
      </c>
      <c r="J84" s="178">
        <v>8</v>
      </c>
      <c r="K84" s="176">
        <v>3.2</v>
      </c>
      <c r="L84" s="176">
        <v>4.8</v>
      </c>
      <c r="M84" s="12" t="s">
        <v>3050</v>
      </c>
      <c r="N84" s="12" t="s">
        <v>2683</v>
      </c>
      <c r="O84" s="158" t="s">
        <v>3059</v>
      </c>
      <c r="P84" s="160" t="s">
        <v>3151</v>
      </c>
    </row>
    <row r="85" spans="1:16">
      <c r="A85" s="51" t="s">
        <v>3152</v>
      </c>
      <c r="B85" s="6" t="s">
        <v>713</v>
      </c>
      <c r="C85" s="6" t="s">
        <v>3153</v>
      </c>
      <c r="D85" s="12" t="s">
        <v>2830</v>
      </c>
      <c r="E85" s="6" t="s">
        <v>3154</v>
      </c>
      <c r="F85" s="6" t="s">
        <v>3155</v>
      </c>
      <c r="G85" s="158" t="s">
        <v>2940</v>
      </c>
      <c r="H85" s="12" t="s">
        <v>2681</v>
      </c>
      <c r="I85" s="12" t="s">
        <v>2682</v>
      </c>
      <c r="J85" s="178">
        <v>3</v>
      </c>
      <c r="K85" s="176">
        <v>1.2</v>
      </c>
      <c r="L85" s="176">
        <v>1.8</v>
      </c>
      <c r="M85" s="12" t="s">
        <v>3050</v>
      </c>
      <c r="N85" s="12" t="s">
        <v>2683</v>
      </c>
      <c r="O85" s="158" t="s">
        <v>3059</v>
      </c>
      <c r="P85" s="160" t="s">
        <v>3156</v>
      </c>
    </row>
    <row r="86" spans="1:16">
      <c r="A86" s="51" t="s">
        <v>2844</v>
      </c>
      <c r="B86" s="6" t="s">
        <v>2957</v>
      </c>
      <c r="C86" s="6" t="s">
        <v>2958</v>
      </c>
      <c r="D86" s="12" t="s">
        <v>2722</v>
      </c>
      <c r="E86" s="6" t="s">
        <v>2959</v>
      </c>
      <c r="F86" s="6" t="s">
        <v>2960</v>
      </c>
      <c r="G86" s="158" t="s">
        <v>2681</v>
      </c>
      <c r="H86" s="12" t="s">
        <v>2681</v>
      </c>
      <c r="I86" s="12" t="s">
        <v>2700</v>
      </c>
      <c r="J86" s="178">
        <v>22</v>
      </c>
      <c r="K86" s="176">
        <v>8.8000000000000007</v>
      </c>
      <c r="L86" s="176">
        <v>13.2</v>
      </c>
      <c r="M86" s="12" t="s">
        <v>3050</v>
      </c>
      <c r="N86" s="12" t="s">
        <v>2683</v>
      </c>
      <c r="O86" s="158" t="s">
        <v>2684</v>
      </c>
      <c r="P86" s="160" t="s">
        <v>3051</v>
      </c>
    </row>
    <row r="87" spans="1:16">
      <c r="A87" s="51" t="s">
        <v>2961</v>
      </c>
      <c r="B87" s="6" t="s">
        <v>2957</v>
      </c>
      <c r="C87" s="6" t="s">
        <v>2962</v>
      </c>
      <c r="D87" s="12" t="s">
        <v>2722</v>
      </c>
      <c r="E87" s="6" t="s">
        <v>2963</v>
      </c>
      <c r="F87" s="6" t="s">
        <v>2964</v>
      </c>
      <c r="G87" s="158" t="s">
        <v>2844</v>
      </c>
      <c r="H87" s="12" t="s">
        <v>2681</v>
      </c>
      <c r="I87" s="12" t="s">
        <v>2689</v>
      </c>
      <c r="J87" s="178">
        <v>14</v>
      </c>
      <c r="K87" s="176">
        <v>5.6</v>
      </c>
      <c r="L87" s="176">
        <v>8.4</v>
      </c>
      <c r="M87" s="12" t="s">
        <v>3050</v>
      </c>
      <c r="N87" s="12" t="s">
        <v>2683</v>
      </c>
      <c r="O87" s="158" t="s">
        <v>2684</v>
      </c>
      <c r="P87" s="160" t="s">
        <v>3051</v>
      </c>
    </row>
    <row r="88" spans="1:16">
      <c r="A88" s="51" t="s">
        <v>3157</v>
      </c>
      <c r="B88" s="6" t="s">
        <v>2957</v>
      </c>
      <c r="C88" s="6" t="s">
        <v>3158</v>
      </c>
      <c r="D88" s="12" t="s">
        <v>2722</v>
      </c>
      <c r="E88" s="6" t="s">
        <v>3159</v>
      </c>
      <c r="F88" s="6" t="s">
        <v>3160</v>
      </c>
      <c r="G88" s="158" t="s">
        <v>2961</v>
      </c>
      <c r="H88" s="12" t="s">
        <v>2681</v>
      </c>
      <c r="I88" s="12" t="s">
        <v>2689</v>
      </c>
      <c r="J88" s="178">
        <v>12</v>
      </c>
      <c r="K88" s="176">
        <v>4.8</v>
      </c>
      <c r="L88" s="176">
        <v>7.2</v>
      </c>
      <c r="M88" s="12" t="s">
        <v>3050</v>
      </c>
      <c r="N88" s="12" t="s">
        <v>2683</v>
      </c>
      <c r="O88" s="158" t="s">
        <v>3059</v>
      </c>
      <c r="P88" s="160" t="s">
        <v>1576</v>
      </c>
    </row>
    <row r="89" spans="1:16">
      <c r="A89" s="51" t="s">
        <v>2939</v>
      </c>
      <c r="B89" s="6" t="s">
        <v>2965</v>
      </c>
      <c r="C89" s="6" t="s">
        <v>2966</v>
      </c>
      <c r="D89" s="12" t="s">
        <v>2967</v>
      </c>
      <c r="E89" s="6" t="s">
        <v>2968</v>
      </c>
      <c r="F89" s="6" t="s">
        <v>2969</v>
      </c>
      <c r="G89" s="158" t="s">
        <v>2719</v>
      </c>
      <c r="H89" s="12" t="s">
        <v>2681</v>
      </c>
      <c r="I89" s="12" t="s">
        <v>2689</v>
      </c>
      <c r="J89" s="178">
        <v>13</v>
      </c>
      <c r="K89" s="176">
        <v>5.2</v>
      </c>
      <c r="L89" s="176">
        <v>7.8</v>
      </c>
      <c r="M89" s="12" t="s">
        <v>3050</v>
      </c>
      <c r="N89" s="12" t="s">
        <v>2683</v>
      </c>
      <c r="O89" s="158" t="s">
        <v>2684</v>
      </c>
      <c r="P89" s="160" t="s">
        <v>3051</v>
      </c>
    </row>
    <row r="90" spans="1:16">
      <c r="A90" s="51" t="s">
        <v>2902</v>
      </c>
      <c r="B90" s="6" t="s">
        <v>2965</v>
      </c>
      <c r="C90" s="6" t="s">
        <v>2970</v>
      </c>
      <c r="D90" s="12" t="s">
        <v>2722</v>
      </c>
      <c r="E90" s="6" t="s">
        <v>2971</v>
      </c>
      <c r="F90" s="6" t="s">
        <v>2972</v>
      </c>
      <c r="G90" s="158" t="s">
        <v>2973</v>
      </c>
      <c r="H90" s="12" t="s">
        <v>2681</v>
      </c>
      <c r="I90" s="12" t="s">
        <v>2689</v>
      </c>
      <c r="J90" s="178">
        <v>13</v>
      </c>
      <c r="K90" s="176">
        <v>5.2</v>
      </c>
      <c r="L90" s="176">
        <v>7.8</v>
      </c>
      <c r="M90" s="12" t="s">
        <v>3050</v>
      </c>
      <c r="N90" s="12" t="s">
        <v>2683</v>
      </c>
      <c r="O90" s="158" t="s">
        <v>2684</v>
      </c>
      <c r="P90" s="160" t="s">
        <v>3051</v>
      </c>
    </row>
    <row r="91" spans="1:16">
      <c r="A91" s="51" t="s">
        <v>2974</v>
      </c>
      <c r="B91" s="6" t="s">
        <v>2965</v>
      </c>
      <c r="C91" s="6" t="s">
        <v>2975</v>
      </c>
      <c r="D91" s="12" t="s">
        <v>2830</v>
      </c>
      <c r="E91" s="6" t="s">
        <v>2976</v>
      </c>
      <c r="F91" s="6" t="s">
        <v>3161</v>
      </c>
      <c r="G91" s="158" t="s">
        <v>2977</v>
      </c>
      <c r="H91" s="12" t="s">
        <v>2681</v>
      </c>
      <c r="I91" s="12" t="s">
        <v>2700</v>
      </c>
      <c r="J91" s="178">
        <v>25</v>
      </c>
      <c r="K91" s="176">
        <v>10</v>
      </c>
      <c r="L91" s="176">
        <v>15</v>
      </c>
      <c r="M91" s="12" t="s">
        <v>3050</v>
      </c>
      <c r="N91" s="12" t="s">
        <v>2683</v>
      </c>
      <c r="O91" s="158" t="s">
        <v>2684</v>
      </c>
      <c r="P91" s="160" t="s">
        <v>3051</v>
      </c>
    </row>
    <row r="92" spans="1:16">
      <c r="A92" s="51" t="s">
        <v>2978</v>
      </c>
      <c r="B92" s="6" t="s">
        <v>2965</v>
      </c>
      <c r="C92" s="6" t="s">
        <v>2979</v>
      </c>
      <c r="D92" s="12" t="s">
        <v>2738</v>
      </c>
      <c r="E92" s="6" t="s">
        <v>2980</v>
      </c>
      <c r="F92" s="6" t="s">
        <v>2981</v>
      </c>
      <c r="G92" s="158" t="s">
        <v>2982</v>
      </c>
      <c r="H92" s="12" t="s">
        <v>2681</v>
      </c>
      <c r="I92" s="12" t="s">
        <v>2689</v>
      </c>
      <c r="J92" s="178">
        <v>12</v>
      </c>
      <c r="K92" s="176">
        <v>4.8</v>
      </c>
      <c r="L92" s="176">
        <v>7.2</v>
      </c>
      <c r="M92" s="12" t="s">
        <v>3050</v>
      </c>
      <c r="N92" s="12" t="s">
        <v>2683</v>
      </c>
      <c r="O92" s="158" t="s">
        <v>2684</v>
      </c>
      <c r="P92" s="160" t="s">
        <v>3051</v>
      </c>
    </row>
    <row r="93" spans="1:16">
      <c r="A93" s="51" t="s">
        <v>2983</v>
      </c>
      <c r="B93" s="6" t="s">
        <v>2965</v>
      </c>
      <c r="C93" s="6" t="s">
        <v>2984</v>
      </c>
      <c r="D93" s="12" t="s">
        <v>2738</v>
      </c>
      <c r="E93" s="6" t="s">
        <v>2985</v>
      </c>
      <c r="F93" s="6" t="s">
        <v>2986</v>
      </c>
      <c r="G93" s="158" t="s">
        <v>2939</v>
      </c>
      <c r="H93" s="12" t="s">
        <v>2681</v>
      </c>
      <c r="I93" s="12" t="s">
        <v>2689</v>
      </c>
      <c r="J93" s="178">
        <v>11</v>
      </c>
      <c r="K93" s="176">
        <v>4.4000000000000004</v>
      </c>
      <c r="L93" s="176">
        <v>6.6</v>
      </c>
      <c r="M93" s="12" t="s">
        <v>3050</v>
      </c>
      <c r="N93" s="12" t="s">
        <v>2683</v>
      </c>
      <c r="O93" s="158" t="s">
        <v>2684</v>
      </c>
      <c r="P93" s="160" t="s">
        <v>3051</v>
      </c>
    </row>
    <row r="94" spans="1:16">
      <c r="A94" s="51" t="s">
        <v>2987</v>
      </c>
      <c r="B94" s="6" t="s">
        <v>2965</v>
      </c>
      <c r="C94" s="6" t="s">
        <v>1822</v>
      </c>
      <c r="D94" s="12" t="s">
        <v>2932</v>
      </c>
      <c r="E94" s="6" t="s">
        <v>2988</v>
      </c>
      <c r="F94" s="6" t="s">
        <v>2989</v>
      </c>
      <c r="G94" s="158" t="s">
        <v>2990</v>
      </c>
      <c r="H94" s="12" t="s">
        <v>2681</v>
      </c>
      <c r="I94" s="12" t="s">
        <v>2689</v>
      </c>
      <c r="J94" s="178">
        <v>10</v>
      </c>
      <c r="K94" s="176">
        <v>4</v>
      </c>
      <c r="L94" s="176">
        <v>6</v>
      </c>
      <c r="M94" s="12" t="s">
        <v>3050</v>
      </c>
      <c r="N94" s="12" t="s">
        <v>2683</v>
      </c>
      <c r="O94" s="158" t="s">
        <v>2807</v>
      </c>
      <c r="P94" s="160" t="s">
        <v>3051</v>
      </c>
    </row>
    <row r="95" spans="1:16">
      <c r="A95" s="51" t="s">
        <v>2991</v>
      </c>
      <c r="B95" s="6" t="s">
        <v>2965</v>
      </c>
      <c r="C95" s="6" t="s">
        <v>2992</v>
      </c>
      <c r="D95" s="12" t="s">
        <v>2993</v>
      </c>
      <c r="E95" s="6" t="s">
        <v>2994</v>
      </c>
      <c r="F95" s="6" t="s">
        <v>2995</v>
      </c>
      <c r="G95" s="158" t="s">
        <v>2844</v>
      </c>
      <c r="H95" s="12" t="s">
        <v>2681</v>
      </c>
      <c r="I95" s="12" t="s">
        <v>2682</v>
      </c>
      <c r="J95" s="178">
        <v>5</v>
      </c>
      <c r="K95" s="176">
        <v>2</v>
      </c>
      <c r="L95" s="176">
        <v>3</v>
      </c>
      <c r="M95" s="12" t="s">
        <v>3050</v>
      </c>
      <c r="N95" s="12" t="s">
        <v>2683</v>
      </c>
      <c r="O95" s="158" t="s">
        <v>2807</v>
      </c>
      <c r="P95" s="160" t="s">
        <v>3051</v>
      </c>
    </row>
    <row r="96" spans="1:16">
      <c r="A96" s="51" t="s">
        <v>3162</v>
      </c>
      <c r="B96" s="6" t="s">
        <v>2965</v>
      </c>
      <c r="C96" s="6" t="s">
        <v>3163</v>
      </c>
      <c r="D96" s="12" t="s">
        <v>2967</v>
      </c>
      <c r="E96" s="6" t="s">
        <v>3164</v>
      </c>
      <c r="F96" s="6" t="s">
        <v>3165</v>
      </c>
      <c r="G96" s="158" t="s">
        <v>2939</v>
      </c>
      <c r="H96" s="12" t="s">
        <v>2681</v>
      </c>
      <c r="I96" s="12" t="s">
        <v>2682</v>
      </c>
      <c r="J96" s="178">
        <v>8</v>
      </c>
      <c r="K96" s="176">
        <v>3.2</v>
      </c>
      <c r="L96" s="176">
        <v>4.8</v>
      </c>
      <c r="M96" s="12" t="s">
        <v>3050</v>
      </c>
      <c r="N96" s="12" t="s">
        <v>2683</v>
      </c>
      <c r="O96" s="158" t="s">
        <v>3059</v>
      </c>
      <c r="P96" s="160" t="s">
        <v>3166</v>
      </c>
    </row>
    <row r="97" spans="1:16">
      <c r="A97" s="51" t="s">
        <v>3167</v>
      </c>
      <c r="B97" s="6" t="s">
        <v>2965</v>
      </c>
      <c r="C97" s="6" t="s">
        <v>3168</v>
      </c>
      <c r="D97" s="12" t="s">
        <v>2830</v>
      </c>
      <c r="E97" s="6" t="s">
        <v>3169</v>
      </c>
      <c r="F97" s="6" t="s">
        <v>3170</v>
      </c>
      <c r="G97" s="158" t="s">
        <v>2902</v>
      </c>
      <c r="H97" s="12" t="s">
        <v>2681</v>
      </c>
      <c r="I97" s="12" t="s">
        <v>2682</v>
      </c>
      <c r="J97" s="178">
        <v>5</v>
      </c>
      <c r="K97" s="176">
        <v>2</v>
      </c>
      <c r="L97" s="176">
        <v>3</v>
      </c>
      <c r="M97" s="12" t="s">
        <v>3050</v>
      </c>
      <c r="N97" s="12" t="s">
        <v>3171</v>
      </c>
      <c r="O97" s="158" t="s">
        <v>3059</v>
      </c>
      <c r="P97" s="160" t="s">
        <v>3172</v>
      </c>
    </row>
    <row r="98" spans="1:16">
      <c r="A98" s="51" t="s">
        <v>2996</v>
      </c>
      <c r="B98" s="6" t="s">
        <v>1606</v>
      </c>
      <c r="C98" s="6" t="s">
        <v>2997</v>
      </c>
      <c r="D98" s="12" t="s">
        <v>2998</v>
      </c>
      <c r="E98" s="6" t="s">
        <v>2999</v>
      </c>
      <c r="F98" s="6" t="s">
        <v>3000</v>
      </c>
      <c r="G98" s="158" t="s">
        <v>3001</v>
      </c>
      <c r="H98" s="12" t="s">
        <v>2681</v>
      </c>
      <c r="I98" s="12" t="s">
        <v>2689</v>
      </c>
      <c r="J98" s="178">
        <v>14</v>
      </c>
      <c r="K98" s="176">
        <v>5.6</v>
      </c>
      <c r="L98" s="176">
        <v>8.4</v>
      </c>
      <c r="M98" s="12" t="s">
        <v>3050</v>
      </c>
      <c r="N98" s="12" t="s">
        <v>2683</v>
      </c>
      <c r="O98" s="158" t="s">
        <v>2684</v>
      </c>
      <c r="P98" s="160" t="s">
        <v>3051</v>
      </c>
    </row>
    <row r="99" spans="1:16">
      <c r="A99" s="51" t="s">
        <v>2780</v>
      </c>
      <c r="B99" s="6" t="s">
        <v>1606</v>
      </c>
      <c r="C99" s="6" t="s">
        <v>3002</v>
      </c>
      <c r="D99" s="12" t="s">
        <v>2733</v>
      </c>
      <c r="E99" s="6" t="s">
        <v>3003</v>
      </c>
      <c r="F99" s="6" t="s">
        <v>3173</v>
      </c>
      <c r="G99" s="158" t="s">
        <v>3004</v>
      </c>
      <c r="H99" s="12" t="s">
        <v>2681</v>
      </c>
      <c r="I99" s="12" t="s">
        <v>2700</v>
      </c>
      <c r="J99" s="178">
        <v>24</v>
      </c>
      <c r="K99" s="176">
        <v>9.6</v>
      </c>
      <c r="L99" s="176">
        <v>14.4</v>
      </c>
      <c r="M99" s="12" t="s">
        <v>3050</v>
      </c>
      <c r="N99" s="12" t="s">
        <v>2683</v>
      </c>
      <c r="O99" s="158" t="s">
        <v>2684</v>
      </c>
      <c r="P99" s="160" t="s">
        <v>3051</v>
      </c>
    </row>
    <row r="100" spans="1:16">
      <c r="A100" s="51" t="s">
        <v>3005</v>
      </c>
      <c r="B100" s="6" t="s">
        <v>1606</v>
      </c>
      <c r="C100" s="6" t="s">
        <v>3006</v>
      </c>
      <c r="D100" s="12" t="s">
        <v>2733</v>
      </c>
      <c r="E100" s="6" t="s">
        <v>3007</v>
      </c>
      <c r="F100" s="6" t="s">
        <v>3008</v>
      </c>
      <c r="G100" s="158" t="s">
        <v>2780</v>
      </c>
      <c r="H100" s="12" t="s">
        <v>2681</v>
      </c>
      <c r="I100" s="12" t="s">
        <v>2689</v>
      </c>
      <c r="J100" s="178">
        <v>12</v>
      </c>
      <c r="K100" s="176">
        <v>4.8</v>
      </c>
      <c r="L100" s="176">
        <v>7.2</v>
      </c>
      <c r="M100" s="12" t="s">
        <v>3050</v>
      </c>
      <c r="N100" s="12" t="s">
        <v>2683</v>
      </c>
      <c r="O100" s="158" t="s">
        <v>2684</v>
      </c>
      <c r="P100" s="160" t="s">
        <v>3051</v>
      </c>
    </row>
    <row r="101" spans="1:16">
      <c r="A101" s="51" t="s">
        <v>3009</v>
      </c>
      <c r="B101" s="6" t="s">
        <v>1606</v>
      </c>
      <c r="C101" s="6" t="s">
        <v>3010</v>
      </c>
      <c r="D101" s="12" t="s">
        <v>3011</v>
      </c>
      <c r="E101" s="6" t="s">
        <v>3012</v>
      </c>
      <c r="F101" s="6" t="s">
        <v>3013</v>
      </c>
      <c r="G101" s="158" t="s">
        <v>2741</v>
      </c>
      <c r="H101" s="12" t="s">
        <v>2681</v>
      </c>
      <c r="I101" s="12" t="s">
        <v>2689</v>
      </c>
      <c r="J101" s="178">
        <v>14</v>
      </c>
      <c r="K101" s="176">
        <v>5.6</v>
      </c>
      <c r="L101" s="176">
        <v>8.4</v>
      </c>
      <c r="M101" s="12" t="s">
        <v>3050</v>
      </c>
      <c r="N101" s="12" t="s">
        <v>2690</v>
      </c>
      <c r="O101" s="158" t="s">
        <v>2684</v>
      </c>
      <c r="P101" s="160" t="s">
        <v>3051</v>
      </c>
    </row>
    <row r="102" spans="1:16">
      <c r="A102" s="51" t="s">
        <v>3014</v>
      </c>
      <c r="B102" s="6" t="s">
        <v>1606</v>
      </c>
      <c r="C102" s="6" t="s">
        <v>3015</v>
      </c>
      <c r="D102" s="12" t="s">
        <v>2830</v>
      </c>
      <c r="E102" s="6" t="s">
        <v>3016</v>
      </c>
      <c r="F102" s="6" t="s">
        <v>3017</v>
      </c>
      <c r="G102" s="158" t="s">
        <v>2747</v>
      </c>
      <c r="H102" s="12" t="s">
        <v>2681</v>
      </c>
      <c r="I102" s="12" t="s">
        <v>2682</v>
      </c>
      <c r="J102" s="178">
        <v>5</v>
      </c>
      <c r="K102" s="176">
        <v>2</v>
      </c>
      <c r="L102" s="176">
        <v>3</v>
      </c>
      <c r="M102" s="12" t="s">
        <v>3050</v>
      </c>
      <c r="N102" s="12" t="s">
        <v>2690</v>
      </c>
      <c r="O102" s="158" t="s">
        <v>2684</v>
      </c>
      <c r="P102" s="160" t="s">
        <v>3051</v>
      </c>
    </row>
    <row r="103" spans="1:16">
      <c r="A103" s="51" t="s">
        <v>3018</v>
      </c>
      <c r="B103" s="6" t="s">
        <v>1606</v>
      </c>
      <c r="C103" s="6" t="s">
        <v>3019</v>
      </c>
      <c r="D103" s="12" t="s">
        <v>3011</v>
      </c>
      <c r="E103" s="6" t="s">
        <v>3020</v>
      </c>
      <c r="F103" s="6" t="s">
        <v>3021</v>
      </c>
      <c r="G103" s="158" t="s">
        <v>2836</v>
      </c>
      <c r="H103" s="12" t="s">
        <v>2681</v>
      </c>
      <c r="I103" s="12" t="s">
        <v>2682</v>
      </c>
      <c r="J103" s="178">
        <v>6</v>
      </c>
      <c r="K103" s="176">
        <v>2.4</v>
      </c>
      <c r="L103" s="176">
        <v>3.6</v>
      </c>
      <c r="M103" s="12" t="s">
        <v>3050</v>
      </c>
      <c r="N103" s="12" t="s">
        <v>2683</v>
      </c>
      <c r="O103" s="158" t="s">
        <v>2684</v>
      </c>
      <c r="P103" s="160" t="s">
        <v>3051</v>
      </c>
    </row>
    <row r="104" spans="1:16">
      <c r="A104" s="51" t="s">
        <v>3022</v>
      </c>
      <c r="B104" s="6" t="s">
        <v>1606</v>
      </c>
      <c r="C104" s="6" t="s">
        <v>3023</v>
      </c>
      <c r="D104" s="12" t="s">
        <v>2830</v>
      </c>
      <c r="E104" s="6" t="s">
        <v>3024</v>
      </c>
      <c r="F104" s="6" t="s">
        <v>3025</v>
      </c>
      <c r="G104" s="158" t="s">
        <v>2747</v>
      </c>
      <c r="H104" s="12" t="s">
        <v>2681</v>
      </c>
      <c r="I104" s="12" t="s">
        <v>2682</v>
      </c>
      <c r="J104" s="178">
        <v>4</v>
      </c>
      <c r="K104" s="176">
        <v>1.6</v>
      </c>
      <c r="L104" s="176">
        <v>2.4</v>
      </c>
      <c r="M104" s="12" t="s">
        <v>3050</v>
      </c>
      <c r="N104" s="12" t="s">
        <v>2690</v>
      </c>
      <c r="O104" s="158" t="s">
        <v>2807</v>
      </c>
      <c r="P104" s="160" t="s">
        <v>3051</v>
      </c>
    </row>
    <row r="105" spans="1:16">
      <c r="A105" s="51" t="s">
        <v>3174</v>
      </c>
      <c r="B105" s="6" t="s">
        <v>1606</v>
      </c>
      <c r="C105" s="6" t="s">
        <v>3175</v>
      </c>
      <c r="D105" s="12" t="s">
        <v>2830</v>
      </c>
      <c r="E105" s="6" t="s">
        <v>3176</v>
      </c>
      <c r="F105" s="6" t="s">
        <v>3177</v>
      </c>
      <c r="G105" s="158" t="s">
        <v>2996</v>
      </c>
      <c r="H105" s="12" t="s">
        <v>2681</v>
      </c>
      <c r="I105" s="12" t="s">
        <v>2689</v>
      </c>
      <c r="J105" s="178">
        <v>12</v>
      </c>
      <c r="K105" s="176">
        <v>4.8</v>
      </c>
      <c r="L105" s="176">
        <v>7.2</v>
      </c>
      <c r="M105" s="12" t="s">
        <v>3050</v>
      </c>
      <c r="N105" s="12" t="s">
        <v>2683</v>
      </c>
      <c r="O105" s="158" t="s">
        <v>3059</v>
      </c>
      <c r="P105" s="160" t="s">
        <v>1610</v>
      </c>
    </row>
    <row r="106" spans="1:16">
      <c r="A106" s="51" t="s">
        <v>3178</v>
      </c>
      <c r="B106" s="6" t="s">
        <v>1606</v>
      </c>
      <c r="C106" s="6" t="s">
        <v>3179</v>
      </c>
      <c r="D106" s="12" t="s">
        <v>2795</v>
      </c>
      <c r="E106" s="6" t="s">
        <v>3180</v>
      </c>
      <c r="F106" s="6" t="s">
        <v>3181</v>
      </c>
      <c r="G106" s="158" t="s">
        <v>2996</v>
      </c>
      <c r="H106" s="12" t="s">
        <v>2681</v>
      </c>
      <c r="I106" s="12" t="s">
        <v>2682</v>
      </c>
      <c r="J106" s="178">
        <v>5</v>
      </c>
      <c r="K106" s="176">
        <v>2</v>
      </c>
      <c r="L106" s="176">
        <v>3</v>
      </c>
      <c r="M106" s="12" t="s">
        <v>3050</v>
      </c>
      <c r="N106" s="12" t="s">
        <v>2683</v>
      </c>
      <c r="O106" s="158" t="s">
        <v>3059</v>
      </c>
      <c r="P106" s="160" t="s">
        <v>1611</v>
      </c>
    </row>
    <row r="107" spans="1:16">
      <c r="A107" s="51" t="s">
        <v>3182</v>
      </c>
      <c r="B107" s="6" t="s">
        <v>1606</v>
      </c>
      <c r="C107" s="6" t="s">
        <v>3183</v>
      </c>
      <c r="D107" s="12" t="s">
        <v>2677</v>
      </c>
      <c r="E107" s="6" t="s">
        <v>3184</v>
      </c>
      <c r="F107" s="6" t="s">
        <v>3185</v>
      </c>
      <c r="G107" s="158" t="s">
        <v>2780</v>
      </c>
      <c r="H107" s="12" t="s">
        <v>2681</v>
      </c>
      <c r="I107" s="12" t="s">
        <v>2682</v>
      </c>
      <c r="J107" s="178">
        <v>6</v>
      </c>
      <c r="K107" s="176">
        <v>2.4</v>
      </c>
      <c r="L107" s="176">
        <v>3.6</v>
      </c>
      <c r="M107" s="12" t="s">
        <v>3050</v>
      </c>
      <c r="N107" s="12" t="s">
        <v>2683</v>
      </c>
      <c r="O107" s="158" t="s">
        <v>3059</v>
      </c>
      <c r="P107" s="160" t="s">
        <v>3186</v>
      </c>
    </row>
    <row r="108" spans="1:16">
      <c r="A108" s="52" t="s">
        <v>3187</v>
      </c>
      <c r="B108" s="8" t="s">
        <v>1606</v>
      </c>
      <c r="C108" s="8" t="s">
        <v>3188</v>
      </c>
      <c r="D108" s="13" t="s">
        <v>2697</v>
      </c>
      <c r="E108" s="8" t="s">
        <v>3189</v>
      </c>
      <c r="F108" s="8" t="s">
        <v>3190</v>
      </c>
      <c r="G108" s="159" t="s">
        <v>3009</v>
      </c>
      <c r="H108" s="13" t="s">
        <v>2681</v>
      </c>
      <c r="I108" s="13" t="s">
        <v>2682</v>
      </c>
      <c r="J108" s="179">
        <v>8</v>
      </c>
      <c r="K108" s="177">
        <v>3.2</v>
      </c>
      <c r="L108" s="177">
        <v>4.8</v>
      </c>
      <c r="M108" s="13" t="s">
        <v>3057</v>
      </c>
      <c r="N108" s="13" t="s">
        <v>3191</v>
      </c>
      <c r="O108" s="159" t="s">
        <v>3059</v>
      </c>
      <c r="P108" s="161" t="s">
        <v>3192</v>
      </c>
    </row>
  </sheetData>
  <autoFilter ref="A5:P108" xr:uid="{299E7693-5B40-0444-B227-D6033B94776C}"/>
  <phoneticPr fontId="2"/>
  <conditionalFormatting sqref="A6:P108">
    <cfRule type="expression" dxfId="16" priority="1">
      <formula>$M6="🟡 将来・条件付"</formula>
    </cfRule>
  </conditionalFormatting>
  <conditionalFormatting sqref="A6:P108">
    <cfRule type="expression" dxfId="15" priority="2">
      <formula>$O6="v1.2（2026-08-12 GAP監査）"</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9" t="s">
        <v>3497</v>
      </c>
    </row>
    <row r="2" spans="1:7">
      <c r="A2" s="3" t="s">
        <v>3498</v>
      </c>
    </row>
    <row r="3" spans="1:7">
      <c r="A3" s="54" t="s">
        <v>3499</v>
      </c>
    </row>
    <row r="5" spans="1:7" ht="24" customHeight="1">
      <c r="A5" s="203" t="s">
        <v>6</v>
      </c>
      <c r="B5" s="204" t="s">
        <v>16</v>
      </c>
      <c r="C5" s="204" t="s">
        <v>3482</v>
      </c>
      <c r="D5" s="204" t="s">
        <v>3500</v>
      </c>
      <c r="E5" s="204" t="s">
        <v>3201</v>
      </c>
      <c r="F5" s="204" t="s">
        <v>3501</v>
      </c>
      <c r="G5" s="205" t="s">
        <v>3459</v>
      </c>
    </row>
    <row r="6" spans="1:7">
      <c r="A6" s="5" t="s">
        <v>3502</v>
      </c>
      <c r="B6" s="194" t="s">
        <v>3503</v>
      </c>
      <c r="C6" s="6" t="s">
        <v>3504</v>
      </c>
      <c r="D6" s="216" t="s">
        <v>3505</v>
      </c>
      <c r="E6" s="174">
        <v>6</v>
      </c>
      <c r="F6" s="196" t="s">
        <v>3506</v>
      </c>
      <c r="G6" s="206" t="s">
        <v>3507</v>
      </c>
    </row>
    <row r="7" spans="1:7">
      <c r="A7" s="5" t="s">
        <v>3502</v>
      </c>
      <c r="B7" s="194" t="s">
        <v>3508</v>
      </c>
      <c r="C7" s="6" t="s">
        <v>3509</v>
      </c>
      <c r="D7" s="216" t="s">
        <v>3510</v>
      </c>
      <c r="E7" s="174">
        <v>6</v>
      </c>
      <c r="F7" s="196" t="s">
        <v>3511</v>
      </c>
      <c r="G7" s="206" t="s">
        <v>3507</v>
      </c>
    </row>
    <row r="8" spans="1:7">
      <c r="A8" s="5" t="s">
        <v>3502</v>
      </c>
      <c r="B8" s="194" t="s">
        <v>3512</v>
      </c>
      <c r="C8" s="6" t="s">
        <v>3513</v>
      </c>
      <c r="D8" s="216" t="s">
        <v>3514</v>
      </c>
      <c r="E8" s="174">
        <v>6</v>
      </c>
      <c r="F8" s="196" t="s">
        <v>3515</v>
      </c>
      <c r="G8" s="206" t="s">
        <v>3507</v>
      </c>
    </row>
    <row r="9" spans="1:7">
      <c r="A9" s="5" t="s">
        <v>3502</v>
      </c>
      <c r="B9" s="194" t="s">
        <v>3516</v>
      </c>
      <c r="C9" s="6" t="s">
        <v>3517</v>
      </c>
      <c r="D9" s="216" t="s">
        <v>3518</v>
      </c>
      <c r="E9" s="174">
        <v>5</v>
      </c>
      <c r="F9" s="196" t="s">
        <v>3519</v>
      </c>
      <c r="G9" s="206" t="s">
        <v>3507</v>
      </c>
    </row>
    <row r="10" spans="1:7">
      <c r="A10" s="5" t="s">
        <v>3502</v>
      </c>
      <c r="B10" s="194" t="s">
        <v>3520</v>
      </c>
      <c r="C10" s="6" t="s">
        <v>3521</v>
      </c>
      <c r="D10" s="216" t="s">
        <v>3522</v>
      </c>
      <c r="E10" s="174">
        <v>5</v>
      </c>
      <c r="F10" s="196" t="s">
        <v>3523</v>
      </c>
      <c r="G10" s="206" t="s">
        <v>3507</v>
      </c>
    </row>
    <row r="11" spans="1:7">
      <c r="A11" s="5" t="s">
        <v>3502</v>
      </c>
      <c r="B11" s="194" t="s">
        <v>3524</v>
      </c>
      <c r="C11" s="6" t="s">
        <v>3525</v>
      </c>
      <c r="D11" s="216" t="s">
        <v>3526</v>
      </c>
      <c r="E11" s="174">
        <v>6</v>
      </c>
      <c r="F11" s="196" t="s">
        <v>3527</v>
      </c>
      <c r="G11" s="206" t="s">
        <v>3507</v>
      </c>
    </row>
    <row r="12" spans="1:7">
      <c r="A12" s="5" t="s">
        <v>3502</v>
      </c>
      <c r="B12" s="194" t="s">
        <v>3528</v>
      </c>
      <c r="C12" s="6" t="s">
        <v>3529</v>
      </c>
      <c r="D12" s="216" t="s">
        <v>3530</v>
      </c>
      <c r="E12" s="174">
        <v>4</v>
      </c>
      <c r="F12" s="196" t="s">
        <v>3531</v>
      </c>
      <c r="G12" s="206" t="s">
        <v>3507</v>
      </c>
    </row>
    <row r="13" spans="1:7">
      <c r="A13" s="5" t="s">
        <v>3532</v>
      </c>
      <c r="B13" s="194" t="s">
        <v>3533</v>
      </c>
      <c r="C13" s="6" t="s">
        <v>3534</v>
      </c>
      <c r="D13" s="216" t="s">
        <v>3535</v>
      </c>
      <c r="E13" s="174">
        <v>12</v>
      </c>
      <c r="F13" s="196" t="s">
        <v>3536</v>
      </c>
      <c r="G13" s="206" t="s">
        <v>3507</v>
      </c>
    </row>
    <row r="14" spans="1:7">
      <c r="A14" s="5" t="s">
        <v>3532</v>
      </c>
      <c r="B14" s="194" t="s">
        <v>3537</v>
      </c>
      <c r="C14" s="6" t="s">
        <v>3538</v>
      </c>
      <c r="D14" s="216" t="s">
        <v>3539</v>
      </c>
      <c r="E14" s="174">
        <v>10</v>
      </c>
      <c r="F14" s="196" t="s">
        <v>3540</v>
      </c>
      <c r="G14" s="206" t="s">
        <v>3507</v>
      </c>
    </row>
    <row r="15" spans="1:7">
      <c r="A15" s="5" t="s">
        <v>3532</v>
      </c>
      <c r="B15" s="194" t="s">
        <v>3541</v>
      </c>
      <c r="C15" s="6" t="s">
        <v>3542</v>
      </c>
      <c r="D15" s="216" t="s">
        <v>3543</v>
      </c>
      <c r="E15" s="174">
        <v>12</v>
      </c>
      <c r="F15" s="196" t="s">
        <v>3544</v>
      </c>
      <c r="G15" s="206" t="s">
        <v>3507</v>
      </c>
    </row>
    <row r="16" spans="1:7">
      <c r="A16" s="5" t="s">
        <v>3532</v>
      </c>
      <c r="B16" s="194" t="s">
        <v>3545</v>
      </c>
      <c r="C16" s="6" t="s">
        <v>3546</v>
      </c>
      <c r="D16" s="216" t="s">
        <v>3547</v>
      </c>
      <c r="E16" s="174">
        <v>10</v>
      </c>
      <c r="F16" s="196" t="s">
        <v>3548</v>
      </c>
      <c r="G16" s="206" t="s">
        <v>3507</v>
      </c>
    </row>
    <row r="17" spans="1:7">
      <c r="A17" s="5" t="s">
        <v>3532</v>
      </c>
      <c r="B17" s="194" t="s">
        <v>3549</v>
      </c>
      <c r="C17" s="6" t="s">
        <v>3550</v>
      </c>
      <c r="D17" s="216" t="s">
        <v>3551</v>
      </c>
      <c r="E17" s="174">
        <v>12</v>
      </c>
      <c r="F17" s="196" t="s">
        <v>3483</v>
      </c>
      <c r="G17" s="206" t="s">
        <v>3507</v>
      </c>
    </row>
    <row r="18" spans="1:7">
      <c r="A18" s="5" t="s">
        <v>3532</v>
      </c>
      <c r="B18" s="194" t="s">
        <v>3552</v>
      </c>
      <c r="C18" s="6" t="s">
        <v>3553</v>
      </c>
      <c r="D18" s="216" t="s">
        <v>3554</v>
      </c>
      <c r="E18" s="174">
        <v>8</v>
      </c>
      <c r="F18" s="196" t="s">
        <v>3484</v>
      </c>
      <c r="G18" s="206" t="s">
        <v>3507</v>
      </c>
    </row>
    <row r="19" spans="1:7">
      <c r="A19" s="5" t="s">
        <v>3532</v>
      </c>
      <c r="B19" s="194" t="s">
        <v>3555</v>
      </c>
      <c r="C19" s="6" t="s">
        <v>3556</v>
      </c>
      <c r="D19" s="216" t="s">
        <v>3557</v>
      </c>
      <c r="E19" s="174">
        <v>12</v>
      </c>
      <c r="F19" s="196" t="s">
        <v>3558</v>
      </c>
      <c r="G19" s="206" t="s">
        <v>3507</v>
      </c>
    </row>
    <row r="20" spans="1:7">
      <c r="A20" s="5" t="s">
        <v>3532</v>
      </c>
      <c r="B20" s="194" t="s">
        <v>3559</v>
      </c>
      <c r="C20" s="6" t="s">
        <v>3560</v>
      </c>
      <c r="D20" s="216" t="s">
        <v>3561</v>
      </c>
      <c r="E20" s="174">
        <v>6</v>
      </c>
      <c r="F20" s="196" t="s">
        <v>3562</v>
      </c>
      <c r="G20" s="206" t="s">
        <v>3507</v>
      </c>
    </row>
    <row r="21" spans="1:7">
      <c r="A21" s="5" t="s">
        <v>3532</v>
      </c>
      <c r="B21" s="194" t="s">
        <v>3563</v>
      </c>
      <c r="C21" s="6" t="s">
        <v>3564</v>
      </c>
      <c r="D21" s="216" t="s">
        <v>3565</v>
      </c>
      <c r="E21" s="174">
        <v>5</v>
      </c>
      <c r="F21" s="196" t="s">
        <v>3566</v>
      </c>
      <c r="G21" s="206" t="s">
        <v>3507</v>
      </c>
    </row>
    <row r="22" spans="1:7">
      <c r="A22" s="5" t="s">
        <v>3567</v>
      </c>
      <c r="B22" s="194" t="s">
        <v>3568</v>
      </c>
      <c r="C22" s="6" t="s">
        <v>3569</v>
      </c>
      <c r="D22" s="216" t="s">
        <v>3570</v>
      </c>
      <c r="E22" s="174">
        <v>10</v>
      </c>
      <c r="F22" s="196" t="s">
        <v>3571</v>
      </c>
      <c r="G22" s="206" t="s">
        <v>1928</v>
      </c>
    </row>
    <row r="23" spans="1:7">
      <c r="A23" s="5" t="s">
        <v>3567</v>
      </c>
      <c r="B23" s="194" t="s">
        <v>3572</v>
      </c>
      <c r="C23" s="6" t="s">
        <v>3573</v>
      </c>
      <c r="D23" s="216" t="s">
        <v>3574</v>
      </c>
      <c r="E23" s="174">
        <v>8</v>
      </c>
      <c r="F23" s="196" t="s">
        <v>3575</v>
      </c>
      <c r="G23" s="206" t="s">
        <v>1928</v>
      </c>
    </row>
    <row r="24" spans="1:7">
      <c r="A24" s="5" t="s">
        <v>3567</v>
      </c>
      <c r="B24" s="194" t="s">
        <v>3576</v>
      </c>
      <c r="C24" s="6" t="s">
        <v>3577</v>
      </c>
      <c r="D24" s="216" t="s">
        <v>3578</v>
      </c>
      <c r="E24" s="174">
        <v>12</v>
      </c>
      <c r="F24" s="196" t="s">
        <v>3579</v>
      </c>
      <c r="G24" s="206" t="s">
        <v>1928</v>
      </c>
    </row>
    <row r="25" spans="1:7">
      <c r="A25" s="5" t="s">
        <v>3567</v>
      </c>
      <c r="B25" s="194" t="s">
        <v>3580</v>
      </c>
      <c r="C25" s="6" t="s">
        <v>3581</v>
      </c>
      <c r="D25" s="216" t="s">
        <v>3582</v>
      </c>
      <c r="E25" s="174">
        <v>8</v>
      </c>
      <c r="F25" s="196" t="s">
        <v>3583</v>
      </c>
      <c r="G25" s="206" t="s">
        <v>1928</v>
      </c>
    </row>
    <row r="26" spans="1:7">
      <c r="A26" s="5" t="s">
        <v>3584</v>
      </c>
      <c r="B26" s="194" t="s">
        <v>3585</v>
      </c>
      <c r="C26" s="6" t="s">
        <v>3586</v>
      </c>
      <c r="D26" s="216" t="s">
        <v>3587</v>
      </c>
      <c r="E26" s="174">
        <v>18</v>
      </c>
      <c r="F26" s="196" t="s">
        <v>3588</v>
      </c>
      <c r="G26" s="206" t="s">
        <v>3507</v>
      </c>
    </row>
    <row r="27" spans="1:7">
      <c r="A27" s="5" t="s">
        <v>3584</v>
      </c>
      <c r="B27" s="194" t="s">
        <v>3589</v>
      </c>
      <c r="C27" s="6" t="s">
        <v>3590</v>
      </c>
      <c r="D27" s="216" t="s">
        <v>3591</v>
      </c>
      <c r="E27" s="174">
        <v>14</v>
      </c>
      <c r="F27" s="196" t="s">
        <v>3592</v>
      </c>
      <c r="G27" s="206" t="s">
        <v>3507</v>
      </c>
    </row>
    <row r="28" spans="1:7">
      <c r="A28" s="5" t="s">
        <v>3584</v>
      </c>
      <c r="B28" s="194" t="s">
        <v>3593</v>
      </c>
      <c r="C28" s="6" t="s">
        <v>3594</v>
      </c>
      <c r="D28" s="216" t="s">
        <v>3595</v>
      </c>
      <c r="E28" s="174">
        <v>12</v>
      </c>
      <c r="F28" s="196" t="s">
        <v>3596</v>
      </c>
      <c r="G28" s="206" t="s">
        <v>3507</v>
      </c>
    </row>
    <row r="29" spans="1:7">
      <c r="A29" s="5" t="s">
        <v>3584</v>
      </c>
      <c r="B29" s="194" t="s">
        <v>3597</v>
      </c>
      <c r="C29" s="6" t="s">
        <v>3598</v>
      </c>
      <c r="D29" s="216" t="s">
        <v>3599</v>
      </c>
      <c r="E29" s="174">
        <v>8</v>
      </c>
      <c r="F29" s="196" t="s">
        <v>3600</v>
      </c>
      <c r="G29" s="206" t="s">
        <v>3507</v>
      </c>
    </row>
    <row r="30" spans="1:7">
      <c r="A30" s="5" t="s">
        <v>3584</v>
      </c>
      <c r="B30" s="194" t="s">
        <v>3601</v>
      </c>
      <c r="C30" s="6" t="s">
        <v>3602</v>
      </c>
      <c r="D30" s="216" t="s">
        <v>3603</v>
      </c>
      <c r="E30" s="174">
        <v>6</v>
      </c>
      <c r="F30" s="196" t="s">
        <v>3604</v>
      </c>
      <c r="G30" s="206" t="s">
        <v>3507</v>
      </c>
    </row>
    <row r="31" spans="1:7">
      <c r="A31" s="5" t="s">
        <v>3584</v>
      </c>
      <c r="B31" s="194" t="s">
        <v>3605</v>
      </c>
      <c r="C31" s="6" t="s">
        <v>3606</v>
      </c>
      <c r="D31" s="216" t="s">
        <v>3607</v>
      </c>
      <c r="E31" s="174">
        <v>6</v>
      </c>
      <c r="F31" s="196" t="s">
        <v>3608</v>
      </c>
      <c r="G31" s="206" t="s">
        <v>3507</v>
      </c>
    </row>
    <row r="32" spans="1:7">
      <c r="A32" s="5" t="s">
        <v>3609</v>
      </c>
      <c r="B32" s="194" t="s">
        <v>3610</v>
      </c>
      <c r="C32" s="6" t="s">
        <v>3611</v>
      </c>
      <c r="D32" s="216" t="s">
        <v>3612</v>
      </c>
      <c r="E32" s="174">
        <v>12</v>
      </c>
      <c r="F32" s="196" t="s">
        <v>3613</v>
      </c>
      <c r="G32" s="206" t="s">
        <v>3507</v>
      </c>
    </row>
    <row r="33" spans="1:7">
      <c r="A33" s="5" t="s">
        <v>3609</v>
      </c>
      <c r="B33" s="194" t="s">
        <v>3614</v>
      </c>
      <c r="C33" s="6" t="s">
        <v>3615</v>
      </c>
      <c r="D33" s="216" t="s">
        <v>3616</v>
      </c>
      <c r="E33" s="174">
        <v>8</v>
      </c>
      <c r="F33" s="196" t="s">
        <v>3617</v>
      </c>
      <c r="G33" s="206" t="s">
        <v>3507</v>
      </c>
    </row>
    <row r="34" spans="1:7">
      <c r="A34" s="5" t="s">
        <v>3609</v>
      </c>
      <c r="B34" s="194" t="s">
        <v>3618</v>
      </c>
      <c r="C34" s="6" t="s">
        <v>3619</v>
      </c>
      <c r="D34" s="216" t="s">
        <v>3620</v>
      </c>
      <c r="E34" s="174">
        <v>8</v>
      </c>
      <c r="F34" s="196" t="s">
        <v>3621</v>
      </c>
      <c r="G34" s="206" t="s">
        <v>3507</v>
      </c>
    </row>
    <row r="35" spans="1:7">
      <c r="A35" s="5" t="s">
        <v>3609</v>
      </c>
      <c r="B35" s="194" t="s">
        <v>3622</v>
      </c>
      <c r="C35" s="6" t="s">
        <v>3623</v>
      </c>
      <c r="D35" s="216" t="s">
        <v>3624</v>
      </c>
      <c r="E35" s="174">
        <v>6</v>
      </c>
      <c r="F35" s="196" t="s">
        <v>3625</v>
      </c>
      <c r="G35" s="206" t="s">
        <v>3507</v>
      </c>
    </row>
    <row r="36" spans="1:7">
      <c r="A36" s="5" t="s">
        <v>3609</v>
      </c>
      <c r="B36" s="194" t="s">
        <v>3626</v>
      </c>
      <c r="C36" s="6" t="s">
        <v>3627</v>
      </c>
      <c r="D36" s="216" t="s">
        <v>3628</v>
      </c>
      <c r="E36" s="174">
        <v>6</v>
      </c>
      <c r="F36" s="196" t="s">
        <v>3629</v>
      </c>
      <c r="G36" s="206" t="s">
        <v>3507</v>
      </c>
    </row>
    <row r="37" spans="1:7">
      <c r="A37" s="5" t="s">
        <v>3630</v>
      </c>
      <c r="B37" s="194" t="s">
        <v>3631</v>
      </c>
      <c r="C37" s="6" t="s">
        <v>3632</v>
      </c>
      <c r="D37" s="216" t="s">
        <v>3633</v>
      </c>
      <c r="E37" s="174">
        <v>15</v>
      </c>
      <c r="F37" s="196" t="s">
        <v>3634</v>
      </c>
      <c r="G37" s="206" t="s">
        <v>1928</v>
      </c>
    </row>
    <row r="38" spans="1:7">
      <c r="A38" s="5" t="s">
        <v>3630</v>
      </c>
      <c r="B38" s="194" t="s">
        <v>3635</v>
      </c>
      <c r="C38" s="6" t="s">
        <v>3636</v>
      </c>
      <c r="D38" s="216" t="s">
        <v>3637</v>
      </c>
      <c r="E38" s="174">
        <v>8</v>
      </c>
      <c r="F38" s="196" t="s">
        <v>3638</v>
      </c>
      <c r="G38" s="206" t="s">
        <v>3507</v>
      </c>
    </row>
    <row r="39" spans="1:7">
      <c r="A39" s="5" t="s">
        <v>3630</v>
      </c>
      <c r="B39" s="194" t="s">
        <v>3639</v>
      </c>
      <c r="C39" s="6" t="s">
        <v>3640</v>
      </c>
      <c r="D39" s="216" t="s">
        <v>3641</v>
      </c>
      <c r="E39" s="174">
        <v>6</v>
      </c>
      <c r="F39" s="196" t="s">
        <v>3642</v>
      </c>
      <c r="G39" s="206" t="s">
        <v>3507</v>
      </c>
    </row>
    <row r="40" spans="1:7">
      <c r="A40" s="5" t="s">
        <v>3630</v>
      </c>
      <c r="B40" s="194" t="s">
        <v>3643</v>
      </c>
      <c r="C40" s="6" t="s">
        <v>3644</v>
      </c>
      <c r="D40" s="216" t="s">
        <v>3645</v>
      </c>
      <c r="E40" s="174">
        <v>5</v>
      </c>
      <c r="F40" s="196" t="s">
        <v>3646</v>
      </c>
      <c r="G40" s="206" t="s">
        <v>3507</v>
      </c>
    </row>
    <row r="41" spans="1:7">
      <c r="A41" s="5" t="s">
        <v>3630</v>
      </c>
      <c r="B41" s="194" t="s">
        <v>3647</v>
      </c>
      <c r="C41" s="6" t="s">
        <v>3648</v>
      </c>
      <c r="D41" s="216" t="s">
        <v>3649</v>
      </c>
      <c r="E41" s="174">
        <v>4</v>
      </c>
      <c r="F41" s="196" t="s">
        <v>3650</v>
      </c>
      <c r="G41" s="206" t="s">
        <v>3507</v>
      </c>
    </row>
    <row r="42" spans="1:7">
      <c r="A42" s="5" t="s">
        <v>3651</v>
      </c>
      <c r="B42" s="194" t="s">
        <v>3652</v>
      </c>
      <c r="C42" s="6" t="s">
        <v>3653</v>
      </c>
      <c r="D42" s="216" t="s">
        <v>3654</v>
      </c>
      <c r="E42" s="174">
        <v>10</v>
      </c>
      <c r="F42" s="196" t="s">
        <v>3655</v>
      </c>
      <c r="G42" s="206" t="s">
        <v>3507</v>
      </c>
    </row>
    <row r="43" spans="1:7">
      <c r="A43" s="5" t="s">
        <v>3651</v>
      </c>
      <c r="B43" s="194" t="s">
        <v>3656</v>
      </c>
      <c r="C43" s="6" t="s">
        <v>3657</v>
      </c>
      <c r="D43" s="216" t="s">
        <v>3658</v>
      </c>
      <c r="E43" s="174">
        <v>12</v>
      </c>
      <c r="F43" s="196" t="s">
        <v>3659</v>
      </c>
      <c r="G43" s="206" t="s">
        <v>3507</v>
      </c>
    </row>
    <row r="44" spans="1:7">
      <c r="A44" s="5" t="s">
        <v>3651</v>
      </c>
      <c r="B44" s="194" t="s">
        <v>3660</v>
      </c>
      <c r="C44" s="6" t="s">
        <v>3661</v>
      </c>
      <c r="D44" s="216" t="s">
        <v>3662</v>
      </c>
      <c r="E44" s="174">
        <v>8</v>
      </c>
      <c r="F44" s="196" t="s">
        <v>3663</v>
      </c>
      <c r="G44" s="206" t="s">
        <v>3507</v>
      </c>
    </row>
    <row r="45" spans="1:7">
      <c r="A45" s="5" t="s">
        <v>3651</v>
      </c>
      <c r="B45" s="194" t="s">
        <v>3664</v>
      </c>
      <c r="C45" s="6" t="s">
        <v>3665</v>
      </c>
      <c r="D45" s="216" t="s">
        <v>3666</v>
      </c>
      <c r="E45" s="174">
        <v>6</v>
      </c>
      <c r="F45" s="196" t="s">
        <v>3667</v>
      </c>
      <c r="G45" s="206" t="s">
        <v>3507</v>
      </c>
    </row>
    <row r="46" spans="1:7">
      <c r="A46" s="5" t="s">
        <v>3668</v>
      </c>
      <c r="B46" s="194" t="s">
        <v>3669</v>
      </c>
      <c r="C46" s="6" t="s">
        <v>3670</v>
      </c>
      <c r="D46" s="216" t="s">
        <v>3671</v>
      </c>
      <c r="E46" s="174">
        <v>8</v>
      </c>
      <c r="F46" s="196" t="s">
        <v>3672</v>
      </c>
      <c r="G46" s="206" t="s">
        <v>3507</v>
      </c>
    </row>
    <row r="47" spans="1:7">
      <c r="A47" s="5" t="s">
        <v>3668</v>
      </c>
      <c r="B47" s="194" t="s">
        <v>3673</v>
      </c>
      <c r="C47" s="6" t="s">
        <v>3674</v>
      </c>
      <c r="D47" s="216" t="s">
        <v>3675</v>
      </c>
      <c r="E47" s="174">
        <v>6</v>
      </c>
      <c r="F47" s="196" t="s">
        <v>3676</v>
      </c>
      <c r="G47" s="206" t="s">
        <v>3507</v>
      </c>
    </row>
    <row r="48" spans="1:7">
      <c r="A48" s="7" t="s">
        <v>3668</v>
      </c>
      <c r="B48" s="195" t="s">
        <v>3677</v>
      </c>
      <c r="C48" s="8" t="s">
        <v>3678</v>
      </c>
      <c r="D48" s="217" t="s">
        <v>3679</v>
      </c>
      <c r="E48" s="175">
        <v>8</v>
      </c>
      <c r="F48" s="197" t="s">
        <v>3680</v>
      </c>
      <c r="G48" s="207" t="s">
        <v>3507</v>
      </c>
    </row>
    <row r="50" spans="1:6">
      <c r="A50" s="180" t="s">
        <v>3682</v>
      </c>
    </row>
    <row r="51" spans="1:6">
      <c r="A51" s="208" t="s">
        <v>6</v>
      </c>
      <c r="B51" s="209" t="s">
        <v>3485</v>
      </c>
      <c r="C51" s="209" t="s">
        <v>3683</v>
      </c>
      <c r="D51" s="209" t="s">
        <v>3684</v>
      </c>
      <c r="E51" s="210" t="s">
        <v>3473</v>
      </c>
    </row>
    <row r="52" spans="1:6">
      <c r="A52" s="23" t="s">
        <v>3502</v>
      </c>
      <c r="B52" s="30">
        <f>COUNTIF($A$6:$A$48,$A52)</f>
        <v>7</v>
      </c>
      <c r="C52" s="30">
        <f>SUMIF($A$6:$A$48,$A52,$E$6:$E$48)</f>
        <v>38</v>
      </c>
      <c r="D52" s="30">
        <v>38</v>
      </c>
      <c r="E52" s="163"/>
    </row>
    <row r="53" spans="1:6">
      <c r="A53" s="23" t="s">
        <v>3532</v>
      </c>
      <c r="B53" s="30">
        <f>COUNTIF($A$6:$A$48,$A53)</f>
        <v>9</v>
      </c>
      <c r="C53" s="30">
        <f>SUMIF($A$6:$A$48,$A53,$E$6:$E$48)</f>
        <v>87</v>
      </c>
      <c r="D53" s="30">
        <v>87</v>
      </c>
      <c r="E53" s="163"/>
    </row>
    <row r="54" spans="1:6">
      <c r="A54" s="23" t="s">
        <v>3567</v>
      </c>
      <c r="B54" s="30">
        <f>COUNTIF($A$6:$A$48,$A54)</f>
        <v>4</v>
      </c>
      <c r="C54" s="30">
        <f>SUMIF($A$6:$A$48,$A54,$E$6:$E$48)</f>
        <v>38</v>
      </c>
      <c r="D54" s="30">
        <v>38</v>
      </c>
      <c r="E54" s="163"/>
    </row>
    <row r="55" spans="1:6">
      <c r="A55" s="23" t="s">
        <v>3584</v>
      </c>
      <c r="B55" s="30">
        <f>COUNTIF($A$6:$A$48,$A55)</f>
        <v>6</v>
      </c>
      <c r="C55" s="30">
        <f>SUMIF($A$6:$A$48,$A55,$E$6:$E$48)</f>
        <v>64</v>
      </c>
      <c r="D55" s="30">
        <v>64</v>
      </c>
      <c r="E55" s="163"/>
    </row>
    <row r="56" spans="1:6">
      <c r="A56" s="23" t="s">
        <v>3609</v>
      </c>
      <c r="B56" s="30">
        <f>COUNTIF($A$6:$A$48,$A56)</f>
        <v>5</v>
      </c>
      <c r="C56" s="30">
        <f>SUMIF($A$6:$A$48,$A56,$E$6:$E$48)</f>
        <v>40</v>
      </c>
      <c r="D56" s="30">
        <v>40</v>
      </c>
      <c r="E56" s="163"/>
    </row>
    <row r="57" spans="1:6">
      <c r="A57" s="23" t="s">
        <v>3630</v>
      </c>
      <c r="B57" s="30">
        <f>COUNTIF($A$6:$A$48,$A57)</f>
        <v>5</v>
      </c>
      <c r="C57" s="30">
        <f>SUMIF($A$6:$A$48,$A57,$E$6:$E$48)</f>
        <v>38</v>
      </c>
      <c r="D57" s="30">
        <v>38</v>
      </c>
      <c r="E57" s="163"/>
    </row>
    <row r="58" spans="1:6">
      <c r="A58" s="23" t="s">
        <v>3651</v>
      </c>
      <c r="B58" s="30">
        <f>COUNTIF($A$6:$A$48,$A58)</f>
        <v>4</v>
      </c>
      <c r="C58" s="30">
        <f>SUMIF($A$6:$A$48,$A58,$E$6:$E$48)</f>
        <v>36</v>
      </c>
      <c r="D58" s="30">
        <v>36</v>
      </c>
      <c r="E58" s="163"/>
    </row>
    <row r="59" spans="1:6">
      <c r="A59" s="23" t="s">
        <v>3668</v>
      </c>
      <c r="B59" s="30">
        <f>COUNTIF($A$6:$A$48,$A59)</f>
        <v>3</v>
      </c>
      <c r="C59" s="30">
        <f>SUMIF($A$6:$A$48,$A59,$E$6:$E$48)</f>
        <v>22</v>
      </c>
      <c r="D59" s="30">
        <v>22</v>
      </c>
      <c r="E59" s="163"/>
    </row>
    <row r="60" spans="1:6">
      <c r="A60" s="25" t="s">
        <v>13</v>
      </c>
      <c r="B60" s="31">
        <f>SUM(B52:B59)</f>
        <v>43</v>
      </c>
      <c r="C60" s="31">
        <f>SUM(C52:C59)</f>
        <v>363</v>
      </c>
      <c r="D60" s="31">
        <f>SUM(D52:D59)</f>
        <v>363</v>
      </c>
      <c r="E60" s="164">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0" priority="1">
      <formula>$G6="外部待ち"</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2026-08-13T07:52:54Z</dcterms:modified>
</cp:coreProperties>
</file>