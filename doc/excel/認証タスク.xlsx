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BC2363D-205A-8C4F-B99C-E0BEEF063DC2}"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'WBS(テスト)'!$A$5:$G$51</definedName>
    <definedName name="_xlnm._FilterDatabase" localSheetId="9" hidden="1">'WBS(基本設計)'!$A$6:$O$418</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分岐プール!$A$7:$F$42</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2" l="1"/>
  <c r="I42" i="2"/>
  <c r="B50" i="25"/>
  <c r="B49" i="25"/>
  <c r="B48" i="25"/>
  <c r="B47" i="25"/>
  <c r="B46" i="25"/>
  <c r="Y17" i="8"/>
  <c r="E70" i="10"/>
  <c r="E69" i="10"/>
  <c r="E68" i="10"/>
  <c r="E67" i="10"/>
  <c r="E66" i="10"/>
  <c r="E65" i="10"/>
  <c r="E64" i="10"/>
  <c r="E63" i="10"/>
  <c r="E62" i="10"/>
  <c r="E61" i="10"/>
  <c r="E60" i="10"/>
  <c r="C70" i="10"/>
  <c r="B70" i="10"/>
  <c r="C69" i="10"/>
  <c r="B69" i="10"/>
  <c r="C68" i="10"/>
  <c r="B68" i="10"/>
  <c r="C67" i="10"/>
  <c r="B67" i="10"/>
  <c r="C66" i="10"/>
  <c r="B66" i="10"/>
  <c r="C65" i="10"/>
  <c r="B65" i="10"/>
  <c r="C64" i="10"/>
  <c r="B64" i="10"/>
  <c r="C63" i="10"/>
  <c r="B63" i="10"/>
  <c r="C62" i="10"/>
  <c r="B62" i="10"/>
  <c r="C61" i="10"/>
  <c r="B61" i="10"/>
  <c r="C60" i="10"/>
  <c r="B60" i="10"/>
  <c r="D81"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13" i="2" l="1"/>
  <c r="C13" i="2"/>
  <c r="D13" i="2"/>
  <c r="G13" i="2"/>
  <c r="D82" i="10"/>
  <c r="B63" i="2"/>
  <c r="C60" i="2" s="1"/>
  <c r="B74" i="2"/>
  <c r="F29" i="14"/>
  <c r="D35" i="14" s="1"/>
  <c r="D30" i="14"/>
  <c r="B36" i="14" s="1"/>
  <c r="A41" i="14" s="1"/>
  <c r="C62" i="2" l="1"/>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C75" i="12"/>
  <c r="C79" i="12" s="1"/>
  <c r="B76" i="12"/>
  <c r="B77" i="12" s="1"/>
  <c r="B78" i="12" s="1"/>
  <c r="D76" i="12"/>
  <c r="D77" i="12" s="1"/>
  <c r="D78" i="12" s="1"/>
  <c r="D70" i="12"/>
  <c r="U25" i="8" l="1"/>
  <c r="W26" i="8" s="1"/>
</calcChain>
</file>

<file path=xl/sharedStrings.xml><?xml version="1.0" encoding="utf-8"?>
<sst xmlns="http://schemas.openxmlformats.org/spreadsheetml/2006/main" count="17206" uniqueCount="8058">
  <si>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</si>
  <si>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</si>
  <si>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</si>
  <si>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</si>
  <si>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</si>
  <si>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</si>
  <si>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</si>
  <si>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</si>
  <si>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</si>
  <si>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</si>
  <si>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</si>
  <si>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</si>
  <si>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</si>
  <si>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</si>
  <si>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</si>
  <si>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</si>
  <si>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</si>
  <si>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</si>
  <si>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</si>
  <si>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</si>
  <si>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</si>
  <si>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</si>
  <si>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</si>
  <si>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</si>
  <si>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</si>
  <si>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</si>
  <si>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</si>
  <si>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</si>
  <si>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</si>
  <si>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</si>
  <si>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</si>
  <si>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</si>
  <si>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</si>
  <si>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</si>
  <si>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</si>
  <si>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</si>
  <si>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</si>
  <si>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</si>
  <si>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</si>
  <si>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</si>
  <si>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</si>
  <si>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</si>
  <si>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</si>
  <si>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</si>
  <si>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</si>
  <si>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</si>
  <si>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</si>
  <si>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</si>
  <si>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</si>
  <si>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</si>
  <si>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</si>
  <si>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</si>
  <si>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</si>
  <si>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</si>
  <si>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</si>
  <si>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</si>
  <si>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</si>
  <si>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</si>
  <si>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</si>
  <si>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</si>
  <si>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</si>
  <si>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</si>
  <si>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</si>
  <si>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</si>
  <si>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</si>
  <si>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</si>
  <si>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</si>
  <si>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</si>
  <si>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</si>
  <si>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</si>
  <si>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</si>
  <si>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</si>
  <si>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</si>
  <si>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</si>
  <si>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</si>
  <si>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</si>
  <si>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</si>
  <si>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</si>
  <si>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</si>
  <si>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</si>
  <si>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</si>
  <si>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</si>
  <si>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</si>
  <si>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</si>
  <si>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</si>
  <si>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</si>
  <si>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</si>
  <si>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</si>
  <si>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</si>
  <si>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</si>
  <si>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</si>
  <si>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</si>
  <si>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</si>
  <si>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</si>
  <si>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</si>
  <si>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</si>
  <si>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</si>
  <si>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</si>
  <si>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</si>
  <si>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</si>
  <si>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</si>
  <si>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</si>
  <si>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</si>
  <si>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</si>
  <si>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</si>
  <si>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</si>
  <si>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</si>
  <si>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</si>
  <si>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</si>
  <si>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</si>
  <si>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</si>
  <si>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</si>
  <si>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</si>
  <si>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</si>
  <si>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</si>
  <si>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</si>
  <si>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</si>
  <si>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</si>
  <si>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</si>
  <si>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</si>
  <si>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</si>
  <si>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</si>
  <si>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</si>
  <si>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</si>
  <si>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</si>
  <si>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</si>
  <si>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</si>
  <si>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</si>
  <si>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</si>
  <si>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</si>
  <si>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</si>
  <si>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</si>
  <si>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</si>
  <si>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</si>
  <si>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</si>
  <si>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</si>
  <si>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</si>
  <si>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</si>
  <si>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</si>
  <si>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</si>
  <si>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</si>
  <si>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</si>
  <si>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</si>
  <si>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</si>
  <si>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</si>
  <si>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</si>
  <si>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</si>
  <si>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</si>
  <si>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</si>
  <si>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</si>
  <si>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</si>
  <si>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</si>
  <si>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</si>
  <si>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</si>
  <si>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</si>
  <si>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</si>
  <si>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</si>
  <si>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</si>
  <si>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</si>
  <si>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</si>
  <si>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</si>
  <si>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</si>
  <si>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</si>
  <si>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</si>
  <si>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</si>
  <si>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</si>
  <si>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</si>
  <si>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</si>
  <si>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</si>
  <si>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</si>
  <si>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</si>
  <si>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</si>
  <si>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</si>
  <si>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</si>
  <si>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</si>
  <si>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</si>
  <si>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</si>
  <si>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</si>
  <si>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</si>
  <si>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</si>
  <si>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</si>
  <si>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</si>
  <si>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</si>
  <si>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</si>
  <si>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</si>
  <si>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</si>
  <si>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</si>
  <si>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</si>
  <si>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</si>
  <si>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</si>
  <si>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</si>
  <si>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</si>
  <si>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</si>
  <si>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</si>
  <si>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</si>
  <si>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</si>
  <si>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</si>
  <si>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</si>
  <si>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</si>
  <si>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</si>
  <si>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</si>
  <si>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</si>
  <si>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</si>
  <si>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</si>
  <si>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</si>
  <si>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</si>
  <si>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</si>
  <si>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</si>
  <si>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</si>
  <si>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</si>
  <si>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</si>
  <si>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</si>
  <si>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</si>
  <si>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</si>
  <si>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</si>
  <si>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</si>
  <si>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</si>
  <si>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</si>
  <si>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</si>
  <si>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</si>
  <si>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</si>
  <si>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</si>
  <si>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</si>
  <si>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</si>
  <si>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</si>
  <si>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</si>
  <si>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</si>
  <si>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</si>
  <si>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</si>
  <si>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</si>
  <si>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</si>
  <si>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</si>
  <si>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</si>
  <si>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</si>
  <si>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</si>
  <si>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</si>
  <si>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</si>
  <si>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</si>
  <si>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</si>
  <si>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</si>
  <si>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</si>
  <si>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</si>
  <si>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</si>
  <si>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</si>
  <si>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</si>
  <si>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</si>
  <si>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</si>
  <si>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</si>
  <si>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</si>
  <si>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</si>
  <si>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</si>
  <si>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</si>
  <si>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</si>
  <si>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</si>
  <si>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</si>
  <si>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</si>
  <si>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</si>
  <si>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</si>
  <si>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</si>
  <si>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</si>
  <si>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</si>
  <si>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</si>
  <si>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</si>
  <si>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</si>
  <si>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</si>
  <si>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</si>
  <si>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</si>
  <si>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</si>
  <si>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</si>
  <si>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</si>
  <si>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</si>
  <si>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</si>
  <si>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</si>
  <si>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</si>
  <si>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</si>
  <si>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</si>
  <si>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</si>
  <si>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</si>
  <si>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</si>
  <si>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</si>
  <si>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</si>
  <si>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</si>
  <si>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</si>
  <si>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</si>
  <si>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</si>
  <si>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</si>
  <si>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</si>
  <si>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</si>
  <si>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</si>
  <si>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</si>
  <si>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</si>
  <si>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</si>
  <si>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</si>
  <si>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</si>
  <si>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</si>
  <si>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</si>
  <si>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</si>
  <si>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</si>
  <si>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</si>
  <si>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</si>
  <si>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</si>
  <si>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</si>
  <si>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</si>
  <si>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</si>
  <si>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</si>
  <si>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</si>
  <si>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</si>
  <si>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</si>
  <si>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</si>
  <si>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</si>
  <si>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</si>
  <si>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</si>
  <si>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</si>
  <si>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</si>
  <si>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</si>
  <si>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</si>
  <si>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</si>
  <si>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</si>
  <si>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</si>
  <si>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</si>
  <si>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</si>
  <si>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</si>
  <si>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</si>
  <si>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</si>
  <si>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</si>
  <si>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</si>
  <si>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</si>
  <si>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</si>
  <si>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</si>
  <si>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</si>
  <si>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</si>
  <si>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</si>
  <si>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</si>
  <si>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</si>
  <si>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</si>
  <si>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</si>
  <si>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</si>
  <si>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</si>
  <si>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</si>
  <si>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</si>
  <si>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</si>
  <si>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</si>
  <si>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</si>
  <si>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</si>
  <si>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</si>
  <si>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</si>
  <si>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</si>
  <si>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</si>
  <si>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</si>
  <si>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</si>
  <si>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</si>
  <si>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</si>
  <si>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</si>
  <si>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</si>
  <si>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</si>
  <si>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</si>
  <si>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</si>
  <si>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</si>
  <si>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</si>
  <si>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</si>
  <si>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</si>
  <si>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</si>
  <si>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</si>
  <si>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</si>
  <si>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</si>
  <si>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</si>
  <si>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</si>
  <si>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</si>
  <si>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</si>
  <si>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</si>
  <si>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</si>
  <si>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</si>
  <si>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</si>
  <si>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</si>
  <si>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</si>
  <si>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</si>
  <si>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</si>
  <si>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</si>
  <si>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</si>
  <si>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</si>
  <si>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</si>
  <si>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</si>
  <si>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</si>
  <si>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</si>
  <si>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</si>
  <si>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</si>
  <si>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</si>
  <si>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</si>
  <si>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</si>
  <si>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</si>
  <si>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</si>
  <si>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</si>
  <si>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</si>
  <si>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</si>
  <si>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</si>
  <si>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</si>
  <si>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</si>
  <si>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</si>
  <si>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</si>
  <si>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</si>
  <si>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</si>
  <si>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</si>
  <si>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</si>
  <si>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</si>
  <si>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</si>
  <si>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</si>
  <si>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</si>
  <si>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</si>
  <si>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</si>
  <si>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</si>
  <si>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</si>
  <si>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</si>
  <si>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</si>
  <si>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</si>
  <si>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</si>
  <si>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</si>
  <si>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</si>
  <si>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</si>
  <si>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</si>
  <si>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</si>
  <si>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</si>
  <si>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</si>
  <si>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</si>
  <si>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</si>
  <si>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</si>
  <si>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</si>
  <si>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</si>
  <si>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</si>
  <si>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</si>
  <si>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</si>
  <si>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</si>
  <si>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</si>
  <si>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</si>
  <si>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</si>
  <si>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</si>
  <si>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</si>
  <si>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</si>
  <si>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</si>
  <si>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</si>
  <si>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</si>
  <si>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</si>
  <si>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</si>
  <si>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</si>
  <si>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</si>
  <si>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</si>
  <si>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</si>
  <si>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</si>
  <si>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</si>
  <si>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</si>
  <si>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</si>
  <si>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</si>
  <si>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</si>
  <si>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</si>
  <si>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</si>
  <si>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</si>
  <si>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</si>
  <si>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</si>
  <si>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</si>
  <si>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</si>
  <si>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</si>
  <si>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</si>
  <si>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</si>
  <si>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</si>
  <si>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</si>
  <si>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</si>
  <si>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</si>
  <si>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</si>
  <si>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</si>
  <si>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</si>
  <si>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</si>
  <si>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</si>
  <si>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</si>
  <si>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</si>
  <si>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</si>
  <si>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</si>
  <si>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</si>
  <si>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</si>
  <si>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</si>
  <si>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</si>
  <si>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</si>
  <si>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</si>
  <si>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</si>
  <si>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</si>
  <si>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</si>
  <si>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</si>
  <si>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</si>
  <si>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</si>
  <si>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</si>
  <si>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</si>
  <si>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</si>
  <si>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</si>
  <si>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</si>
  <si>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</si>
  <si>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</si>
  <si>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</si>
  <si>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</si>
  <si>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</si>
  <si>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</si>
  <si>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</si>
  <si>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</si>
  <si>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</si>
  <si>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</si>
  <si>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</si>
  <si>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</si>
  <si>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</si>
  <si>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</si>
  <si>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</si>
  <si>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</si>
  <si>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</si>
  <si>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</si>
  <si>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</si>
  <si>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</si>
  <si>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</si>
  <si>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</si>
  <si>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</si>
  <si>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</si>
  <si>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</si>
  <si>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</si>
  <si>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</si>
  <si>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</si>
  <si>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</si>
  <si>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</si>
  <si>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</si>
  <si>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</si>
  <si>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</si>
  <si>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</si>
  <si>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</si>
  <si>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</si>
  <si>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</si>
  <si>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</si>
  <si>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</si>
  <si>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</si>
  <si>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</si>
  <si>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</si>
  <si>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</si>
  <si>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</si>
  <si>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</si>
  <si>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</si>
  <si>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</si>
  <si>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</si>
  <si>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</si>
  <si>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</si>
  <si>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</si>
  <si>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</si>
  <si>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</si>
  <si>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</si>
  <si>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</si>
  <si>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</si>
  <si>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</si>
  <si>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</si>
  <si>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</si>
  <si>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</si>
  <si>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</si>
  <si>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</si>
  <si>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</si>
  <si>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</si>
  <si>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</si>
  <si>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</si>
  <si>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</si>
  <si>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</si>
  <si>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</si>
  <si>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</si>
  <si>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</si>
  <si>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</si>
  <si>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</si>
  <si>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</si>
  <si>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</si>
  <si>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</si>
  <si>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</si>
  <si>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</si>
  <si>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</si>
  <si>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</si>
  <si>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</si>
  <si>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</si>
  <si>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</si>
  <si>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</si>
  <si>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</si>
  <si>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</si>
  <si>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</si>
  <si>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</si>
  <si>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</si>
  <si>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</si>
  <si>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</si>
  <si>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</si>
  <si>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</si>
  <si>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</si>
  <si>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</si>
  <si>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</si>
  <si>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</si>
  <si>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</si>
  <si>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</si>
  <si>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</si>
  <si>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</si>
  <si>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</si>
  <si>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</si>
  <si>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</si>
  <si>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</si>
  <si>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</si>
  <si>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</si>
  <si>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</si>
  <si>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</si>
  <si>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</si>
  <si>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</si>
  <si>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</si>
  <si>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</si>
  <si>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</si>
  <si>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</si>
  <si>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</si>
  <si>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</si>
  <si>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</si>
  <si>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</si>
  <si>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</si>
  <si>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</si>
  <si>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</si>
  <si>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</si>
  <si>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</si>
  <si>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</si>
  <si>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</si>
  <si>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</si>
  <si>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</si>
  <si>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</si>
  <si>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</si>
  <si>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</si>
  <si>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</si>
  <si>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</si>
  <si>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</si>
  <si>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</si>
  <si>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</si>
  <si>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</si>
  <si>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</si>
  <si>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</si>
  <si>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</si>
  <si>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</si>
  <si>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</si>
  <si>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</si>
  <si>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</si>
  <si>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</si>
  <si>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</si>
  <si>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</si>
  <si>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</si>
  <si>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</si>
  <si>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</si>
  <si>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</si>
  <si>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</si>
  <si>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</si>
  <si>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</si>
  <si>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</si>
  <si>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</si>
  <si>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</si>
  <si>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</si>
  <si>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</si>
  <si>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</si>
  <si>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</si>
  <si>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</si>
  <si>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</si>
  <si>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</si>
  <si>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</si>
  <si>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</si>
  <si>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</si>
  <si>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</si>
  <si>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</si>
  <si>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</si>
  <si>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</si>
  <si>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</si>
  <si>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</si>
  <si>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</si>
  <si>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</si>
  <si>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</si>
  <si>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</si>
  <si>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</si>
  <si>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</si>
  <si>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</si>
  <si>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</si>
  <si>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</si>
  <si>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</si>
  <si>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</si>
  <si>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</si>
  <si>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</si>
  <si>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</si>
  <si>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</si>
  <si>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</si>
  <si>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</si>
  <si>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</si>
  <si>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</si>
  <si>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</si>
  <si>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</si>
  <si>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</si>
  <si>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</si>
  <si>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</si>
  <si>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</si>
  <si>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</si>
  <si>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</si>
  <si>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</si>
  <si>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</si>
  <si>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</si>
  <si>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</si>
  <si>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</si>
  <si>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</si>
  <si>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</si>
  <si>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</si>
  <si>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</si>
  <si>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</si>
  <si>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</si>
  <si>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</si>
  <si>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</si>
  <si>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</si>
  <si>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</si>
  <si>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</si>
  <si>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</si>
  <si>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</si>
  <si>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</si>
  <si>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</si>
  <si>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</si>
  <si>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</si>
  <si>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</si>
  <si>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</si>
  <si>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</si>
  <si>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</si>
  <si>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</si>
  <si>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</si>
  <si>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</si>
  <si>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</si>
  <si>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</si>
  <si>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</si>
  <si>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</si>
  <si>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</si>
  <si>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</si>
  <si>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</si>
  <si>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</si>
  <si>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</si>
  <si>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</si>
  <si>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</si>
  <si>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</si>
  <si>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</si>
  <si>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</si>
  <si>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</si>
  <si>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</si>
  <si>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</si>
  <si>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</si>
  <si>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</si>
  <si>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</si>
  <si>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</si>
  <si>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</si>
  <si>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</si>
  <si>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</si>
  <si>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</si>
  <si>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</si>
  <si>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</si>
  <si>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</si>
  <si>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</si>
  <si>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</si>
  <si>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</si>
  <si>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</si>
  <si>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</si>
  <si>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</si>
  <si>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</si>
  <si>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</si>
  <si>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</si>
  <si>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</si>
  <si>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</si>
  <si>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</si>
  <si>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</si>
  <si>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</si>
  <si>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</si>
  <si>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</si>
  <si>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</si>
  <si>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</si>
  <si>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</si>
  <si>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</si>
  <si>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</si>
  <si>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</si>
  <si>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</si>
  <si>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</si>
  <si>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</si>
  <si>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</si>
  <si>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</si>
  <si>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</si>
  <si>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</si>
  <si>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</si>
  <si>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</si>
  <si>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</si>
  <si>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</si>
  <si>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</si>
  <si>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</si>
  <si>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</si>
  <si>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</si>
  <si>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</si>
  <si>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</si>
  <si>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</si>
  <si>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</si>
  <si>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</si>
  <si>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</si>
  <si>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</si>
  <si>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</si>
  <si>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</si>
  <si>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</si>
  <si>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</si>
  <si>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</si>
  <si>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</si>
  <si>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</si>
  <si>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</si>
  <si>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</si>
  <si>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</si>
  <si>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</si>
  <si>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</si>
  <si>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</si>
  <si>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</si>
  <si>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</si>
  <si>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</si>
  <si>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</si>
  <si>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</si>
  <si>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</si>
  <si>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</si>
  <si>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</si>
  <si>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</si>
  <si>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</si>
  <si>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</si>
  <si>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</si>
  <si>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</si>
  <si>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</si>
  <si>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</si>
  <si>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</si>
  <si>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</si>
  <si>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</si>
  <si>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</si>
  <si>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</si>
  <si>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</si>
  <si>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</si>
  <si>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</si>
  <si>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</si>
  <si>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</si>
  <si>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</si>
  <si>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</si>
  <si>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</si>
  <si>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</si>
  <si>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</si>
  <si>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</si>
  <si>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</si>
  <si>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</si>
  <si>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</si>
  <si>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</si>
  <si>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</si>
  <si>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</si>
  <si>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</si>
  <si>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</si>
  <si>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</si>
  <si>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</si>
  <si>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</si>
  <si>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</si>
  <si>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</si>
  <si>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</si>
  <si>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</si>
  <si>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</si>
  <si>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</si>
  <si>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</si>
  <si>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</si>
  <si>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</si>
  <si>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</si>
  <si>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</si>
  <si>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</si>
  <si>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</si>
  <si>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</si>
  <si>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</si>
  <si>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</si>
  <si>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</si>
  <si>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</si>
  <si>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</si>
  <si>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</si>
  <si>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</si>
  <si>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</si>
  <si>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</si>
  <si>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</si>
  <si>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</si>
  <si>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</si>
  <si>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</si>
  <si>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</si>
  <si>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</si>
  <si>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</si>
  <si>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</si>
  <si>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</si>
  <si>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</si>
  <si>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</si>
  <si>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</si>
  <si>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</si>
  <si>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</si>
  <si>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</si>
  <si>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</si>
  <si>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</si>
  <si>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</si>
  <si>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</si>
  <si>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</si>
  <si>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</si>
  <si>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</si>
  <si>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</si>
  <si>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</si>
  <si>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</si>
  <si>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</si>
  <si>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</si>
  <si>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</si>
  <si>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</si>
  <si>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</si>
  <si>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</si>
  <si>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</si>
  <si>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</si>
  <si>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</si>
  <si>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</si>
  <si>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</si>
  <si>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</si>
  <si>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</si>
  <si>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</si>
  <si>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</si>
  <si>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</si>
  <si>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</si>
  <si>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</si>
  <si>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</si>
  <si>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</si>
  <si>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</si>
  <si>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</si>
  <si>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</si>
  <si>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</si>
  <si>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</si>
  <si>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</si>
  <si>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</si>
  <si>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</si>
  <si>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</si>
  <si>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</si>
  <si>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</si>
  <si>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</si>
  <si>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</si>
  <si>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</si>
  <si>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</si>
  <si>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</si>
  <si>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</si>
  <si>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</si>
  <si>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</si>
  <si>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</si>
  <si>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</si>
  <si>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</si>
  <si>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</si>
  <si>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</si>
  <si>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</si>
  <si>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</si>
  <si>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</si>
  <si>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</si>
  <si>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</si>
  <si>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</si>
  <si>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</si>
  <si>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</si>
  <si>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</si>
  <si>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</si>
  <si>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</si>
  <si>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</si>
  <si>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</si>
  <si>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</si>
  <si>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</si>
  <si>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</si>
  <si>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</si>
  <si>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</si>
  <si>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</si>
  <si>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</si>
  <si>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</si>
  <si>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</si>
  <si>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</si>
  <si>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</si>
  <si>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</si>
  <si>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</si>
  <si>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</si>
  <si>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</si>
  <si>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</si>
  <si>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</si>
  <si>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</si>
  <si>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</si>
  <si>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</si>
  <si>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</si>
  <si>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</si>
  <si>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</si>
  <si>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</si>
  <si>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</si>
  <si>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</si>
  <si>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</si>
  <si>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</si>
  <si>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</si>
  <si>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</si>
  <si>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</si>
  <si>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</si>
  <si>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</si>
  <si>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</si>
  <si>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</si>
  <si>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</si>
  <si>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</si>
  <si>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</si>
  <si>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</si>
  <si>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</si>
  <si>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</si>
  <si>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</si>
  <si>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</si>
  <si>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</si>
  <si>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</si>
  <si>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</si>
  <si>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</si>
  <si>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</si>
  <si>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</si>
  <si>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</si>
  <si>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</si>
  <si>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</si>
  <si>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</si>
  <si>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</si>
  <si>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</si>
  <si>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</si>
  <si>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</si>
  <si>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</si>
  <si>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</si>
  <si>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</si>
  <si>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</si>
  <si>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</si>
  <si>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</si>
  <si>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</si>
  <si>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</si>
  <si>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</si>
  <si>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</si>
  <si>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</si>
  <si>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</si>
  <si>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</si>
  <si>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</si>
  <si>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</si>
  <si>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</si>
  <si>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</si>
  <si>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</si>
  <si>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</si>
  <si>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</si>
  <si>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</si>
  <si>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</si>
  <si>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</si>
  <si>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</si>
  <si>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</si>
  <si>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</si>
  <si>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</si>
  <si>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</si>
  <si>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</si>
  <si>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</si>
  <si>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</si>
  <si>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</si>
  <si>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</si>
  <si>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</si>
  <si>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</si>
  <si>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</si>
  <si>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</si>
  <si>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</si>
  <si>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</si>
  <si>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</si>
  <si>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</si>
  <si>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</si>
  <si>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</si>
  <si>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</si>
  <si>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</si>
  <si>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</si>
  <si>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</si>
  <si>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</si>
  <si>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</si>
  <si>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</si>
  <si>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</si>
  <si>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</si>
  <si>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</si>
  <si>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</si>
  <si>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</si>
  <si>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</si>
  <si>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</si>
  <si>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</si>
  <si>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</si>
  <si>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</si>
  <si>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</si>
  <si>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</si>
  <si>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</si>
  <si>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</si>
  <si>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</si>
  <si>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</si>
  <si>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</si>
  <si>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</si>
  <si>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</si>
  <si>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</si>
  <si>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</si>
  <si>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</si>
  <si>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</si>
  <si>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</si>
  <si>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</si>
  <si>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</si>
  <si>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</si>
  <si>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</si>
  <si>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</si>
  <si>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</si>
  <si>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</si>
  <si>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</si>
  <si>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</si>
  <si>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</si>
  <si>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</si>
  <si>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</si>
  <si>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</si>
  <si>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</si>
  <si>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</si>
  <si>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</si>
  <si>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</si>
  <si>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</si>
  <si>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</si>
  <si>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</si>
  <si>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</si>
  <si>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</si>
  <si>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</si>
  <si>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</si>
  <si>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</si>
  <si>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</si>
  <si>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</si>
  <si>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</si>
  <si>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</si>
  <si>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</si>
  <si>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</si>
  <si>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</si>
  <si>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</si>
  <si>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</si>
  <si>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</si>
  <si>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</si>
  <si>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</si>
  <si>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</si>
  <si>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</si>
  <si>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</si>
  <si>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</si>
  <si>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</si>
  <si>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</si>
  <si>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</si>
  <si>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</si>
  <si>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</si>
  <si>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</si>
  <si>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</si>
  <si>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</si>
  <si>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</si>
  <si>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</si>
  <si>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</si>
  <si>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</si>
  <si>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</si>
  <si>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</si>
  <si>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</si>
  <si>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</si>
  <si>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</si>
  <si>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</si>
  <si>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</si>
  <si>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</si>
  <si>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</si>
  <si>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</si>
  <si>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</si>
  <si>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</si>
  <si>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</si>
  <si>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</si>
  <si>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</si>
  <si>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</si>
  <si>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</si>
  <si>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</si>
  <si>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</si>
  <si>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</si>
  <si>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</si>
  <si>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</si>
  <si>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</si>
  <si>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</si>
  <si>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</si>
  <si>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</si>
  <si>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</si>
  <si>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</si>
  <si>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</si>
  <si>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</si>
  <si>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</si>
  <si>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</si>
  <si>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</si>
  <si>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</si>
  <si>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</si>
  <si>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</si>
  <si>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</si>
  <si>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</si>
  <si>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</si>
  <si>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</si>
  <si>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</si>
  <si>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</si>
  <si>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</si>
  <si>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</si>
  <si>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</si>
  <si>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</si>
  <si>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</si>
  <si>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</si>
  <si>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</si>
  <si>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</si>
  <si>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</si>
  <si>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</si>
  <si>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</si>
  <si>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</si>
  <si>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</si>
  <si>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</si>
  <si>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</si>
  <si>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</si>
  <si>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</si>
  <si>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</si>
  <si>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</si>
  <si>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</si>
  <si>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</si>
  <si>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</si>
  <si>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</si>
  <si>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</si>
  <si>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</si>
  <si>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</si>
  <si>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</si>
  <si>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</si>
  <si>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</si>
  <si>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</si>
  <si>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</si>
  <si>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</si>
  <si>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D-U9-15</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</si>
  <si>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</si>
  <si>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</si>
  <si>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</si>
  <si>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</si>
  <si>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</si>
  <si>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</si>
  <si>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</si>
  <si>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</si>
  <si>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</si>
  <si>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</si>
  <si>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</si>
  <si>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</si>
  <si>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</si>
  <si>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</si>
  <si>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</si>
  <si>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</si>
  <si>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</si>
  <si>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</si>
  <si>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</si>
  <si>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</si>
  <si>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</si>
  <si>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</si>
  <si>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</si>
  <si>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</si>
  <si>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</si>
  <si>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</si>
  <si>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</si>
  <si>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</si>
  <si>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</si>
  <si>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</si>
  <si>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</si>
  <si>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</si>
  <si>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</si>
  <si>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</si>
  <si>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</si>
  <si>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</si>
  <si>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</si>
  <si>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</si>
  <si>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</si>
  <si>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</si>
  <si>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</si>
  <si>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</si>
  <si>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</si>
  <si>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</si>
  <si>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</si>
  <si>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</si>
  <si>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</si>
  <si>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</si>
  <si>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</si>
  <si>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</si>
  <si>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</si>
  <si>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</si>
  <si>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</si>
  <si>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</si>
  <si>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</si>
  <si>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</si>
  <si>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</si>
  <si>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</si>
  <si>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</si>
  <si>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</si>
  <si>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</si>
  <si>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</si>
  <si>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</si>
  <si>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</si>
  <si>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</si>
  <si>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</si>
  <si>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</si>
  <si>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</si>
  <si>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</si>
  <si>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</si>
  <si>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</si>
  <si>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</si>
  <si>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</si>
  <si>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</si>
  <si>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</si>
  <si>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</si>
  <si>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</si>
  <si>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</si>
  <si>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</si>
  <si>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</si>
  <si>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</si>
  <si>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</si>
  <si>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</si>
  <si>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</si>
  <si>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</si>
  <si>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</si>
  <si>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</si>
  <si>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</si>
  <si>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</si>
  <si>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</si>
  <si>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</si>
  <si>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</si>
  <si>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</si>
  <si>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</si>
  <si>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</si>
  <si>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</si>
  <si>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</si>
  <si>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</si>
  <si>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</si>
  <si>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</si>
  <si>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</si>
  <si>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</si>
  <si>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</si>
  <si>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</si>
  <si>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</si>
  <si>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</si>
  <si>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</si>
  <si>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</si>
  <si>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</si>
  <si>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</si>
  <si>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</si>
  <si>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</si>
  <si>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</si>
  <si>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</si>
  <si>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</si>
  <si>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</si>
  <si>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</si>
  <si>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</si>
  <si>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</si>
  <si>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</si>
  <si>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</si>
  <si>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</si>
  <si>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</si>
  <si>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</si>
  <si>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</si>
  <si>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</si>
  <si>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</si>
  <si>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</si>
  <si>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</si>
  <si>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</si>
  <si>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</si>
  <si>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</si>
  <si>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</si>
  <si>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</si>
  <si>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</si>
  <si>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</si>
  <si>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</si>
  <si>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</si>
  <si>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</si>
  <si>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</si>
  <si>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</si>
  <si>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</si>
  <si>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</si>
  <si>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</si>
  <si>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</si>
  <si>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</si>
  <si>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</si>
  <si>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</si>
  <si>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</si>
  <si>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</si>
  <si>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</si>
  <si>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</si>
  <si>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</si>
  <si>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</si>
  <si>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</si>
  <si>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</si>
  <si>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</si>
  <si>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</si>
  <si>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</si>
  <si>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</si>
  <si>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</si>
  <si>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</si>
  <si>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</si>
  <si>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</si>
  <si>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</si>
  <si>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</si>
  <si>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</si>
  <si>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</si>
  <si>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</si>
  <si>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</si>
  <si>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</si>
  <si>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</si>
  <si>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</si>
  <si>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</si>
  <si>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</si>
  <si>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</si>
  <si>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</si>
  <si>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</si>
  <si>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</si>
  <si>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</si>
  <si>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</si>
  <si>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</si>
  <si>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</si>
  <si>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</si>
  <si>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</si>
  <si>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</si>
  <si>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</si>
  <si>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</si>
  <si>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</si>
  <si>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</si>
  <si>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</si>
  <si>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</si>
  <si>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</si>
  <si>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</si>
  <si>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</si>
  <si>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</si>
  <si>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</si>
  <si>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</si>
  <si>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</si>
  <si>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</si>
  <si>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</si>
  <si>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</si>
  <si>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</si>
  <si>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</si>
  <si>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</si>
  <si>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</si>
  <si>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</si>
  <si>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</si>
  <si>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</si>
  <si>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</si>
  <si>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</si>
  <si>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</si>
  <si>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</si>
  <si>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</si>
  <si>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</si>
  <si>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</si>
  <si>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</si>
  <si>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</si>
  <si>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</si>
  <si>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</si>
  <si>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</si>
  <si>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</si>
  <si>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</si>
  <si>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</si>
  <si>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</si>
  <si>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</si>
  <si>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</si>
  <si>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</si>
  <si>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</si>
  <si>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</si>
  <si>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</si>
  <si>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</si>
  <si>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</si>
  <si>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</si>
  <si>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</si>
  <si>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</si>
  <si>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</si>
  <si>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</si>
  <si>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</si>
  <si>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</si>
  <si>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</si>
  <si>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</si>
  <si>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</si>
  <si>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</si>
  <si>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</si>
  <si>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</si>
  <si>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</si>
  <si>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</si>
  <si>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</si>
  <si>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</si>
  <si>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</si>
  <si>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</si>
  <si>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</si>
  <si>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</si>
  <si>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</si>
  <si>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</si>
  <si>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</si>
  <si>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</si>
  <si>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</si>
  <si>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</si>
  <si>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</si>
  <si>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</si>
  <si>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</si>
  <si>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</si>
  <si>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</si>
  <si>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</si>
  <si>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</si>
  <si>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</si>
  <si>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</si>
  <si>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</si>
  <si>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</si>
  <si>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</si>
  <si>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</si>
  <si>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</si>
  <si>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</si>
  <si>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</si>
  <si>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</si>
  <si>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</si>
  <si>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</si>
  <si>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</si>
  <si>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</si>
  <si>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</si>
  <si>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</si>
  <si>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</si>
  <si>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</si>
  <si>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</si>
  <si>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</si>
  <si>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</si>
  <si>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</si>
  <si>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</si>
  <si>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</si>
  <si>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</si>
  <si>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</si>
  <si>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</si>
  <si>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</si>
  <si>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</si>
  <si>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</si>
  <si>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</si>
  <si>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</si>
  <si>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</si>
  <si>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</si>
  <si>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</si>
  <si>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</si>
  <si>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</si>
  <si>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</si>
  <si>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</si>
  <si>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</si>
  <si>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</si>
  <si>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</si>
  <si>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</si>
  <si>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</si>
  <si>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</si>
  <si>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</si>
  <si>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</si>
  <si>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</si>
  <si>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</si>
  <si>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</si>
  <si>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</si>
  <si>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</si>
  <si>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</si>
  <si>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</si>
  <si>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</si>
  <si>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</si>
  <si>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</si>
  <si>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</si>
  <si>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</si>
  <si>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</si>
  <si>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</si>
  <si>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</si>
  <si>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</si>
  <si>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</si>
  <si>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</si>
  <si>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</si>
  <si>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</si>
  <si>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</si>
  <si>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</si>
  <si>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</si>
  <si>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</si>
  <si>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</si>
  <si>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</si>
  <si>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</si>
  <si>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</si>
  <si>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</si>
  <si>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</si>
  <si>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</si>
  <si>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</si>
  <si>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</si>
  <si>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</si>
  <si>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</si>
  <si>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</si>
  <si>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</si>
  <si>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</si>
  <si>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</si>
  <si>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</si>
  <si>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</si>
  <si>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</si>
  <si>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</si>
  <si>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</si>
  <si>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</si>
  <si>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</si>
  <si>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</si>
  <si>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</si>
  <si>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</si>
  <si>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</si>
  <si>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</si>
  <si>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</si>
  <si>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</si>
  <si>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</si>
  <si>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</si>
  <si>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</si>
  <si>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</si>
  <si>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</si>
  <si>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</si>
  <si>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</si>
  <si>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</si>
  <si>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</si>
  <si>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</si>
  <si>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</si>
  <si>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</si>
  <si>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</si>
  <si>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</si>
  <si>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</si>
  <si>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</si>
  <si>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</si>
  <si>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</si>
  <si>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</si>
  <si>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</si>
  <si>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</si>
  <si>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</si>
  <si>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</si>
  <si>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</si>
  <si>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</si>
  <si>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</si>
  <si>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</si>
  <si>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</si>
  <si>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</si>
  <si>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</si>
  <si>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</si>
  <si>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</si>
  <si>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</si>
  <si>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</si>
  <si>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</si>
  <si>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</si>
  <si>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</si>
  <si>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</si>
  <si>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</si>
  <si>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</si>
  <si>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</si>
  <si>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</si>
  <si>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</si>
  <si>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</si>
  <si>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</si>
  <si>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</si>
  <si>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</si>
  <si>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</si>
  <si>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</si>
  <si>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</si>
  <si>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</si>
  <si>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</si>
  <si>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</si>
  <si>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</si>
  <si>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</si>
  <si>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</si>
  <si>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</si>
  <si>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</si>
  <si>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</si>
  <si>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</si>
  <si>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</si>
  <si>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</si>
  <si>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</si>
  <si>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</si>
  <si>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</si>
  <si>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</si>
  <si>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</si>
  <si>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</si>
  <si>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</si>
  <si>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</si>
  <si>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</si>
  <si>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</si>
  <si>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</si>
  <si>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</si>
  <si>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</si>
  <si>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</si>
  <si>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</si>
  <si>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</si>
  <si>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</si>
  <si>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</si>
  <si>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</si>
  <si>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</si>
  <si>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</si>
  <si>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</si>
  <si>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</si>
  <si>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</si>
  <si>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</si>
  <si>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</si>
  <si>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</si>
  <si>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</si>
  <si>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</si>
  <si>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</si>
  <si>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</si>
  <si>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</si>
  <si>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</si>
  <si>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</si>
  <si>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</si>
  <si>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</si>
  <si>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</si>
  <si>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</si>
  <si>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</si>
  <si>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</si>
  <si>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</si>
  <si>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</si>
  <si>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</si>
  <si>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</si>
  <si>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</si>
  <si>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</si>
  <si>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</si>
  <si>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</si>
  <si>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</si>
  <si>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</si>
  <si>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</si>
  <si>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</si>
  <si>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</si>
  <si>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</si>
  <si>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</si>
  <si>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</si>
  <si>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</si>
  <si>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</si>
  <si>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</si>
  <si>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</si>
  <si>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</si>
  <si>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</si>
  <si>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</si>
  <si>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</si>
  <si>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</si>
  <si>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</si>
  <si>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</si>
  <si>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</si>
  <si>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</si>
  <si>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</si>
  <si>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</si>
  <si>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</si>
  <si>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</si>
  <si>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</si>
  <si>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</si>
  <si>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</si>
  <si>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</si>
  <si>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</si>
  <si>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</si>
  <si>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</si>
  <si>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</si>
  <si>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</si>
  <si>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</si>
  <si>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</si>
  <si>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</si>
  <si>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</si>
  <si>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</si>
  <si>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</si>
  <si>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</si>
  <si>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</si>
  <si>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</si>
  <si>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</si>
  <si>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</si>
  <si>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</si>
  <si>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</si>
  <si>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</si>
  <si>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</si>
  <si>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</si>
  <si>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</si>
  <si>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</si>
  <si>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</si>
  <si>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</si>
  <si>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</si>
  <si>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</si>
  <si>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</si>
  <si>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</si>
  <si>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</si>
  <si>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</si>
  <si>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</si>
  <si>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</si>
  <si>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</si>
  <si>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</si>
  <si>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</si>
  <si>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</si>
  <si>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</si>
  <si>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</si>
  <si>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</si>
  <si>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</si>
  <si>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</si>
  <si>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</si>
  <si>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</si>
  <si>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</si>
  <si>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</si>
  <si>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</si>
  <si>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</si>
  <si>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</si>
  <si>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</si>
  <si>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</si>
  <si>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</si>
  <si>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</si>
  <si>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</si>
  <si>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</si>
  <si>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</si>
  <si>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</si>
  <si>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</si>
  <si>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</si>
  <si>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</si>
  <si>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</si>
  <si>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</si>
  <si>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</si>
  <si>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</si>
  <si>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</si>
  <si>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</si>
  <si>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</si>
  <si>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</si>
  <si>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</si>
  <si>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</si>
  <si>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</si>
  <si>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</si>
  <si>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</si>
  <si>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</si>
  <si>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</si>
  <si>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</si>
  <si>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</si>
  <si>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</si>
  <si>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</si>
  <si>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</si>
  <si>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</si>
  <si>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</si>
  <si>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</si>
  <si>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</si>
  <si>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</si>
  <si>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</si>
  <si>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</si>
  <si>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</si>
  <si>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</si>
  <si>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</si>
  <si>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</si>
  <si>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</si>
  <si>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</si>
  <si>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</si>
  <si>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</si>
  <si>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</si>
  <si>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</si>
  <si>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</si>
  <si>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</si>
  <si>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</si>
  <si>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</si>
  <si>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</si>
  <si>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</si>
  <si>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</si>
  <si>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</si>
  <si>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</si>
  <si>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</si>
  <si>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</si>
  <si>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</si>
  <si>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</si>
  <si>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</si>
  <si>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</si>
  <si>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</si>
  <si>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</si>
  <si>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</si>
  <si>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</si>
  <si>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</si>
  <si>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</si>
  <si>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</si>
  <si>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</si>
  <si>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</si>
  <si>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</si>
  <si>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</si>
  <si>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</si>
  <si>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</si>
  <si>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</si>
  <si>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</si>
  <si>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</si>
  <si>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</si>
  <si>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</si>
  <si>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</si>
  <si>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</si>
  <si>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</si>
  <si>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</si>
  <si>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</si>
  <si>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</si>
  <si>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</si>
  <si>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</si>
  <si>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</si>
  <si>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</si>
  <si>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</si>
  <si>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</si>
  <si>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</si>
  <si>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</si>
  <si>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</si>
  <si>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</si>
  <si>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</si>
  <si>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</si>
  <si>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</si>
  <si>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</si>
  <si>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</si>
  <si>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</si>
  <si>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</si>
  <si>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</si>
  <si>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</si>
  <si>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</si>
  <si>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</si>
  <si>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</si>
  <si>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</si>
  <si>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</si>
  <si>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</si>
  <si>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</si>
  <si>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</si>
  <si>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</si>
  <si>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</si>
  <si>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</si>
  <si>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</si>
  <si>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</si>
  <si>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</si>
  <si>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</si>
  <si>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</si>
  <si>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</si>
  <si>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</si>
  <si>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</si>
  <si>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</si>
  <si>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</si>
  <si>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</si>
  <si>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</si>
  <si>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</si>
  <si>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</si>
  <si>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</si>
  <si>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</si>
  <si>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</si>
  <si>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</si>
  <si>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</si>
  <si>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</si>
  <si>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</si>
  <si>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</si>
  <si>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</si>
  <si>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</si>
  <si>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</si>
  <si>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</si>
  <si>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</si>
  <si>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</si>
  <si>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</si>
  <si>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</si>
  <si>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</si>
  <si>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</si>
  <si>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</si>
  <si>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</si>
  <si>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</si>
  <si>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</si>
  <si>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</si>
  <si>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</si>
  <si>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</si>
  <si>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</si>
  <si>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</si>
  <si>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</si>
  <si>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</si>
  <si>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</si>
  <si>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</si>
  <si>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</si>
  <si>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</si>
  <si>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</si>
  <si>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</si>
  <si>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</si>
  <si>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</si>
  <si>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</si>
  <si>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</si>
  <si>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</si>
  <si>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</si>
  <si>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</si>
  <si>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</si>
  <si>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</si>
  <si>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</si>
  <si>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</si>
  <si>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</si>
  <si>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</si>
  <si>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</si>
  <si>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</si>
  <si>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</si>
  <si>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</si>
  <si>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</si>
  <si>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</si>
  <si>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</si>
  <si>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</si>
  <si>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</si>
  <si>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</si>
  <si>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</si>
  <si>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</si>
  <si>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</si>
  <si>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</si>
  <si>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</si>
  <si>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</si>
  <si>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</si>
  <si>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</si>
  <si>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</si>
  <si>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</si>
  <si>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</si>
  <si>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</si>
  <si>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</si>
  <si>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</si>
  <si>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</si>
  <si>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</si>
  <si>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</si>
  <si>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</si>
  <si>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</si>
  <si>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</si>
  <si>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</si>
  <si>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</si>
  <si>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</si>
  <si>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</si>
  <si>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</si>
  <si>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</si>
  <si>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</si>
  <si>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</si>
  <si>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</si>
  <si>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</si>
  <si>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</si>
  <si>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</si>
  <si>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</si>
  <si>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</si>
  <si>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</si>
  <si>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</si>
  <si>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</si>
  <si>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</si>
  <si>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</si>
  <si>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</si>
  <si>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</si>
  <si>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</si>
  <si>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</si>
  <si>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</si>
  <si>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</si>
  <si>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</si>
  <si>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</si>
  <si>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</si>
  <si>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</si>
  <si>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</si>
  <si>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</si>
  <si>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</si>
  <si>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</si>
  <si>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</si>
  <si>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</si>
  <si>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</si>
  <si>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</si>
  <si>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</si>
  <si>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</si>
  <si>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</si>
  <si>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</si>
  <si>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</si>
  <si>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</si>
  <si>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</si>
  <si>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</si>
  <si>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</si>
  <si>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</si>
  <si>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</si>
  <si>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</si>
  <si>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</si>
  <si>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</si>
  <si>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</si>
  <si>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</si>
  <si>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</si>
  <si>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</si>
  <si>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</si>
  <si>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</si>
  <si>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</si>
  <si>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</si>
  <si>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</si>
  <si>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</si>
  <si>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</si>
  <si>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</si>
  <si>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</si>
  <si>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</si>
  <si>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</si>
  <si>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</si>
  <si>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</si>
  <si>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</si>
  <si>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</si>
  <si>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</si>
  <si>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</si>
  <si>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</si>
  <si>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</si>
  <si>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</si>
  <si>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</si>
  <si>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</si>
  <si>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</si>
  <si>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</si>
  <si>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</si>
  <si>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</si>
  <si>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</si>
  <si>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</si>
  <si>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</si>
  <si>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</si>
  <si>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</si>
  <si>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</si>
  <si>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</si>
  <si>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</si>
  <si>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</si>
  <si>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</si>
  <si>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</si>
  <si>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</si>
  <si>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</si>
  <si>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</si>
  <si>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</si>
  <si>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</si>
  <si>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</si>
  <si>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</si>
  <si>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</si>
  <si>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</si>
  <si>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</si>
  <si>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</si>
  <si>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</si>
  <si>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</si>
  <si>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</si>
  <si>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</si>
  <si>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</si>
  <si>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</si>
  <si>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</si>
  <si>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</si>
  <si>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</si>
  <si>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</si>
  <si>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</si>
  <si>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</si>
  <si>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</si>
  <si>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</si>
  <si>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</si>
  <si>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</si>
  <si>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</si>
  <si>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</si>
  <si>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</si>
  <si>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</si>
  <si>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</si>
  <si>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</si>
  <si>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</si>
  <si>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</si>
  <si>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</si>
  <si>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</si>
  <si>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</si>
  <si>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</si>
  <si>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</si>
  <si>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</si>
  <si>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</si>
  <si>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</si>
  <si>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</si>
  <si>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</si>
  <si>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</si>
  <si>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</si>
  <si>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</si>
  <si>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</si>
  <si>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</si>
  <si>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</si>
  <si>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</si>
  <si>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</si>
  <si>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</si>
  <si>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</si>
  <si>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</si>
  <si>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</si>
  <si>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</si>
  <si>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</si>
  <si>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</si>
  <si>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</si>
  <si>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</si>
  <si>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</si>
  <si>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</si>
  <si>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</si>
  <si>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</si>
  <si>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</si>
  <si>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</si>
  <si>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</si>
  <si>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</si>
  <si>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</si>
  <si>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</si>
  <si>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</si>
  <si>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</si>
  <si>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</si>
  <si>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</si>
  <si>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</si>
  <si>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</si>
  <si>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</si>
  <si>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</si>
  <si>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</si>
  <si>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</si>
  <si>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</si>
  <si>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</si>
  <si>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</si>
  <si>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</si>
  <si>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</si>
  <si>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</si>
  <si>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</si>
  <si>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</si>
  <si>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</si>
  <si>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</si>
  <si>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</si>
  <si>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</si>
  <si>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</si>
  <si>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</si>
  <si>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</si>
  <si>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</si>
  <si>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</si>
  <si>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</si>
  <si>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</si>
  <si>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</si>
  <si>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</si>
  <si>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</si>
  <si>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</si>
  <si>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</si>
  <si>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</si>
  <si>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</si>
  <si>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</si>
  <si>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</si>
  <si>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</si>
  <si>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</si>
  <si>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</si>
  <si>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</si>
  <si>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</si>
  <si>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</si>
  <si>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</si>
  <si>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</si>
  <si>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</si>
  <si>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</si>
  <si>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</si>
  <si>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</si>
  <si>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</si>
  <si>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</si>
  <si>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</si>
  <si>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</si>
  <si>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</si>
  <si>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</si>
  <si>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</si>
  <si>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</si>
  <si>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</si>
  <si>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</si>
  <si>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</si>
  <si>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</si>
  <si>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</si>
  <si>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</si>
  <si>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</si>
  <si>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</si>
  <si>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</si>
  <si>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</si>
  <si>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</si>
  <si>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</si>
  <si>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</si>
  <si>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</si>
  <si>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</si>
  <si>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</si>
  <si>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</si>
  <si>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</si>
  <si>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</si>
  <si>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</si>
  <si>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</si>
  <si>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</si>
  <si>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</si>
  <si>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</si>
  <si>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</si>
  <si>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</si>
  <si>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</si>
  <si>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</si>
  <si>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</si>
  <si>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</si>
  <si>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</si>
  <si>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</si>
  <si>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</si>
  <si>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</si>
  <si>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</si>
  <si>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</si>
  <si>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</si>
  <si>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</si>
  <si>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</si>
  <si>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</si>
  <si>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</si>
  <si>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</si>
  <si>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</si>
  <si>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</si>
  <si>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</si>
  <si>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</si>
  <si>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</si>
  <si>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</si>
  <si>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</si>
  <si>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</si>
  <si>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</si>
  <si>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</si>
  <si>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</si>
  <si>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</si>
  <si>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</si>
  <si>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</si>
  <si>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</si>
  <si>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</si>
  <si>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</si>
  <si>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</si>
  <si>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</si>
  <si>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</si>
  <si>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</si>
  <si>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</si>
  <si>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</si>
  <si>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</si>
  <si>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</si>
  <si>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</si>
  <si>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</si>
  <si>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</si>
  <si>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</si>
  <si>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</si>
  <si>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</si>
  <si>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</si>
  <si>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</si>
  <si>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</si>
  <si>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</si>
  <si>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</si>
  <si>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</si>
  <si>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</si>
  <si>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</si>
  <si>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</si>
  <si>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</si>
  <si>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</si>
  <si>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</si>
  <si>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</si>
  <si>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</si>
  <si>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</si>
  <si>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</si>
  <si>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</si>
  <si>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</si>
  <si>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</si>
  <si>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</si>
  <si>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</si>
  <si>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</si>
  <si>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</si>
  <si>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</si>
  <si>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</si>
  <si>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</si>
  <si>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</si>
  <si>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</si>
  <si>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</si>
  <si>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</si>
  <si>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</si>
  <si>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</si>
  <si>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</si>
  <si>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</si>
  <si>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</si>
  <si>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</si>
  <si>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</si>
  <si>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</si>
  <si>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</si>
  <si>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</si>
  <si>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</si>
  <si>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</si>
  <si>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</si>
  <si>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</si>
  <si>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</si>
  <si>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</si>
  <si>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</si>
  <si>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</si>
  <si>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</si>
  <si>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</si>
  <si>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</si>
  <si>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</si>
  <si>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</si>
  <si>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</si>
  <si>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</si>
  <si>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</si>
  <si>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</si>
  <si>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</si>
  <si>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</si>
  <si>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</si>
  <si>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</si>
  <si>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</si>
  <si>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</si>
  <si>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</si>
  <si>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</si>
  <si>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</si>
  <si>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</si>
  <si>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</si>
  <si>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</si>
  <si>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</si>
  <si>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</si>
  <si>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</si>
  <si>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</si>
  <si>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</si>
  <si>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</si>
  <si>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</si>
  <si>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</si>
  <si>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</si>
  <si>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</si>
  <si>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</si>
  <si>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</si>
  <si>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</si>
  <si>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</si>
  <si>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</si>
  <si>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</si>
  <si>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</si>
  <si>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</si>
  <si>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</si>
  <si>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</si>
  <si>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</si>
  <si>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</si>
  <si>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</si>
  <si>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</si>
  <si>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</si>
  <si>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</si>
  <si>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</si>
  <si>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</si>
  <si>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</si>
  <si>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</si>
  <si>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</si>
  <si>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</si>
  <si>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</si>
  <si>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</si>
  <si>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</si>
  <si>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</si>
  <si>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</si>
  <si>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</si>
  <si>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</si>
  <si>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</si>
  <si>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</si>
  <si>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</si>
  <si>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</si>
  <si>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</si>
  <si>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</si>
  <si>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</si>
  <si>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</si>
  <si>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</si>
  <si>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</si>
  <si>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</si>
  <si>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</si>
  <si>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</si>
  <si>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</si>
  <si>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</si>
  <si>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</si>
  <si>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</si>
  <si>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</si>
  <si>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</si>
  <si>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</si>
  <si>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</si>
  <si>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</si>
  <si>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</si>
  <si>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</si>
  <si>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</si>
  <si>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</si>
  <si>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</si>
  <si>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</si>
  <si>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</si>
  <si>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</si>
  <si>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</si>
  <si>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</si>
  <si>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</si>
  <si>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</si>
  <si>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</si>
  <si>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</si>
  <si>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</si>
  <si>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</si>
  <si>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</si>
  <si>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</si>
  <si>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</si>
  <si>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</si>
  <si>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</si>
  <si>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</si>
  <si>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</si>
  <si>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</si>
  <si>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</si>
  <si>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</si>
  <si>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</si>
  <si>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</si>
  <si>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</si>
  <si>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</si>
  <si>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</si>
  <si>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</si>
  <si>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</si>
  <si>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</si>
  <si>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</si>
  <si>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</si>
  <si>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</si>
  <si>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</si>
  <si>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2"/>
  </si>
  <si>
    <t>残り（検討中＋外部待ち）</t>
    <phoneticPr fontId="2"/>
  </si>
  <si>
    <t>内容</t>
    <phoneticPr fontId="2"/>
  </si>
  <si>
    <t>②詳細設計</t>
  </si>
  <si>
    <t>③構築</t>
  </si>
  <si>
    <t>区分</t>
    <phoneticPr fontId="2"/>
  </si>
  <si>
    <t>状態</t>
    <phoneticPr fontId="2"/>
  </si>
  <si>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</si>
  <si>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</si>
  <si>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</si>
  <si>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</si>
  <si>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</si>
  <si>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</si>
  <si>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</si>
  <si>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</si>
  <si>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</si>
  <si>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</si>
  <si>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</si>
  <si>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</si>
  <si>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</si>
  <si>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</si>
  <si>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</si>
  <si>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</si>
  <si>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</si>
  <si>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</si>
  <si>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</si>
  <si>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</si>
  <si>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</si>
  <si>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</si>
  <si>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</si>
  <si>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</si>
  <si>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</si>
  <si>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</si>
  <si>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</si>
  <si>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</si>
  <si>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</si>
  <si>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</si>
  <si>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</si>
  <si>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</si>
  <si>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</si>
  <si>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</si>
  <si>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</si>
  <si>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</si>
  <si>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</si>
  <si>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</si>
  <si>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</si>
  <si>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</si>
  <si>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</si>
  <si>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</si>
  <si>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</si>
  <si>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</si>
  <si>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</si>
  <si>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</si>
  <si>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</si>
  <si>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</si>
  <si>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</si>
  <si>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</si>
  <si>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</si>
  <si>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</si>
  <si>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</si>
  <si>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</si>
  <si>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</si>
  <si>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</si>
  <si>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</si>
  <si>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</si>
  <si>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</si>
  <si>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</si>
  <si>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</si>
  <si>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</si>
  <si>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</si>
  <si>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</si>
  <si>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</si>
  <si>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</si>
  <si>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</si>
  <si>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</si>
  <si>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</si>
  <si>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</si>
  <si>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</si>
  <si>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</si>
  <si>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</si>
  <si>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</si>
  <si>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</si>
  <si>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</si>
  <si>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</si>
  <si>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</si>
  <si>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</si>
  <si>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</si>
  <si>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</si>
  <si>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</si>
  <si>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</si>
  <si>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</si>
  <si>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</si>
  <si>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</si>
  <si>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</si>
  <si>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</si>
  <si>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</si>
  <si>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</si>
  <si>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</si>
  <si>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</si>
  <si>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</si>
  <si>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</si>
  <si>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</si>
  <si>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</si>
  <si>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</si>
  <si>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</si>
  <si>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</si>
  <si>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</si>
  <si>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</si>
  <si>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</si>
  <si>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</si>
  <si>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</si>
  <si>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</si>
  <si>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</si>
  <si>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</si>
  <si>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</si>
  <si>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</si>
  <si>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</si>
  <si>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</si>
  <si>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</si>
  <si>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</si>
  <si>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</si>
  <si>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</si>
  <si>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</si>
  <si>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</si>
  <si>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</si>
  <si>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</si>
  <si>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</si>
  <si>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</si>
  <si>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</si>
  <si>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</si>
  <si>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</si>
  <si>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</si>
  <si>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</si>
  <si>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</si>
  <si>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</si>
  <si>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</si>
  <si>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</si>
  <si>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</si>
  <si>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</si>
  <si>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</si>
  <si>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</si>
  <si>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</si>
  <si>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</si>
  <si>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</si>
  <si>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</si>
  <si>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</si>
  <si>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</si>
  <si>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</si>
  <si>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</si>
  <si>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</si>
  <si>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</si>
  <si>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</si>
  <si>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</si>
  <si>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</si>
  <si>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</si>
  <si>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</si>
  <si>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</si>
  <si>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</si>
  <si>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</si>
  <si>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</si>
  <si>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</si>
  <si>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</si>
  <si>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</si>
  <si>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</si>
  <si>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</si>
  <si>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</si>
  <si>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</si>
  <si>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</si>
  <si>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</si>
  <si>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</si>
  <si>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</si>
  <si>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</si>
  <si>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</si>
  <si>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</si>
  <si>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</si>
  <si>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</si>
  <si>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</si>
  <si>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</si>
  <si>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</si>
  <si>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</si>
  <si>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</si>
  <si>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</si>
  <si>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</si>
  <si>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</si>
  <si>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</si>
  <si>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</si>
  <si>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</si>
  <si>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</si>
  <si>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</si>
  <si>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</si>
  <si>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</si>
  <si>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</si>
  <si>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</si>
  <si>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</si>
  <si>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</si>
  <si>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</si>
  <si>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</si>
  <si>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</si>
  <si>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</si>
  <si>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</si>
  <si>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</si>
  <si>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</si>
  <si>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</si>
  <si>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</si>
  <si>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</si>
  <si>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</si>
  <si>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</si>
  <si>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</si>
  <si>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</si>
  <si>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</si>
  <si>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</si>
  <si>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</si>
  <si>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</si>
  <si>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</si>
  <si>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</si>
  <si>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</si>
  <si>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</si>
  <si>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</si>
  <si>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</si>
  <si>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</si>
  <si>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</si>
  <si>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</si>
  <si>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</si>
  <si>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</si>
  <si>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</si>
  <si>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</si>
  <si>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</si>
  <si>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</si>
  <si>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</si>
  <si>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</si>
  <si>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</si>
  <si>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</si>
  <si>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</si>
  <si>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</si>
  <si>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</si>
  <si>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</si>
  <si>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</si>
  <si>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</si>
  <si>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</si>
  <si>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</si>
  <si>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</si>
  <si>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</si>
  <si>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</si>
  <si>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</si>
  <si>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</si>
  <si>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</si>
  <si>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</si>
  <si>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</si>
  <si>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</si>
  <si>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</si>
  <si>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</si>
  <si>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</si>
  <si>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</si>
  <si>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</si>
  <si>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</si>
  <si>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</si>
  <si>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</si>
  <si>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</si>
  <si>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</si>
  <si>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</si>
  <si>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</si>
  <si>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</si>
  <si>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</si>
  <si>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</si>
  <si>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</si>
  <si>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</si>
  <si>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</si>
  <si>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</si>
  <si>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</si>
  <si>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</si>
  <si>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</si>
  <si>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</si>
  <si>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</si>
  <si>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</si>
  <si>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</si>
  <si>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</si>
  <si>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</si>
  <si>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</si>
  <si>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</si>
  <si>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</si>
  <si>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</si>
  <si>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</si>
  <si>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</si>
  <si>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</si>
  <si>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</si>
  <si>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</si>
  <si>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</si>
  <si>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</si>
  <si>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</si>
  <si>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</si>
  <si>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</si>
  <si>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</si>
  <si>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</si>
  <si>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</si>
  <si>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</si>
  <si>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</si>
  <si>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</si>
  <si>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</si>
  <si>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</si>
  <si>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</si>
  <si>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</si>
  <si>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</si>
  <si>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</si>
  <si>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</si>
  <si>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</si>
  <si>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</si>
  <si>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</si>
  <si>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</si>
  <si>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</si>
  <si>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</si>
  <si>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</si>
  <si>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</si>
  <si>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</si>
  <si>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</si>
  <si>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</si>
  <si>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</si>
  <si>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クラスタ</t>
  </si>
  <si>
    <t>状況</t>
  </si>
  <si>
    <t>調査</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</si>
  <si>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</si>
  <si>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</si>
  <si>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</si>
  <si>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</si>
  <si>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</si>
  <si>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</si>
  <si>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</si>
  <si>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</si>
  <si>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</si>
  <si>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</si>
  <si>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</si>
  <si>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</si>
  <si>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</si>
  <si>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</si>
  <si>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</si>
  <si>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</si>
  <si>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</si>
  <si>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</si>
  <si>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</si>
  <si>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</si>
  <si>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</si>
  <si>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</si>
  <si>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</si>
  <si>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</si>
  <si>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</si>
  <si>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</si>
  <si>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</si>
  <si>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</si>
  <si>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</si>
  <si>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</si>
  <si>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</si>
  <si>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</si>
  <si>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</si>
  <si>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</si>
  <si>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</si>
  <si>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</si>
  <si>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</si>
  <si>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</si>
  <si>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</si>
  <si>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</si>
  <si>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</si>
  <si>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</si>
  <si>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</si>
  <si>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</si>
  <si>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</si>
  <si>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</si>
  <si>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</si>
  <si>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</si>
  <si>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</si>
  <si>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</si>
  <si>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</si>
  <si>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</si>
  <si>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</si>
  <si>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</si>
  <si>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</si>
  <si>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</si>
  <si>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</si>
  <si>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</si>
  <si>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</si>
  <si>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</si>
  <si>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</si>
  <si>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</si>
  <si>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</si>
  <si>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</si>
  <si>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</si>
  <si>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</si>
  <si>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</si>
  <si>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</si>
  <si>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</si>
  <si>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</si>
  <si>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</si>
  <si>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</si>
  <si>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</si>
  <si>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</si>
  <si>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</si>
  <si>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</si>
  <si>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</si>
  <si>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</si>
  <si>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</si>
  <si>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</si>
  <si>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</si>
  <si>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</si>
  <si>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</si>
  <si>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</si>
  <si>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</si>
  <si>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</si>
  <si>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</si>
  <si>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</si>
  <si>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</si>
  <si>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</si>
  <si>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</si>
  <si>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</si>
  <si>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</si>
  <si>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</si>
  <si>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</si>
  <si>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</si>
  <si>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</si>
  <si>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</si>
  <si>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</si>
  <si>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</si>
  <si>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</si>
  <si>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</si>
  <si>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</si>
  <si>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</si>
  <si>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</si>
  <si>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</si>
  <si>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</si>
  <si>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</si>
  <si>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</si>
  <si>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</si>
  <si>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</si>
  <si>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</si>
  <si>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</si>
  <si>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</si>
  <si>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</si>
  <si>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</si>
  <si>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</si>
  <si>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</si>
  <si>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</si>
  <si>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</si>
  <si>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</si>
  <si>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</si>
  <si>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</si>
  <si>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</si>
  <si>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</si>
  <si>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</si>
  <si>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</si>
  <si>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</si>
  <si>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</si>
  <si>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</si>
  <si>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</si>
  <si>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</si>
  <si>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</si>
  <si>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</si>
  <si>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</si>
  <si>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</si>
  <si>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</si>
  <si>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</si>
  <si>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</si>
  <si>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</si>
  <si>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</si>
  <si>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</si>
  <si>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</si>
  <si>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</si>
  <si>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</si>
  <si>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</si>
  <si>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</si>
  <si>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</si>
  <si>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</si>
  <si>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</si>
  <si>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</si>
  <si>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</si>
  <si>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</si>
  <si>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</si>
  <si>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</si>
  <si>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</si>
  <si>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</si>
  <si>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</si>
  <si>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</si>
  <si>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</si>
  <si>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</si>
  <si>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</si>
  <si>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</si>
  <si>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</si>
  <si>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</si>
  <si>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</si>
  <si>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</si>
  <si>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</si>
  <si>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</si>
  <si>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</si>
  <si>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</si>
  <si>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</si>
  <si>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</si>
  <si>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</si>
  <si>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</si>
  <si>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</si>
  <si>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</si>
  <si>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</si>
  <si>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</si>
  <si>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</si>
  <si>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</si>
  <si>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</si>
  <si>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</si>
  <si>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</si>
  <si>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</si>
  <si>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</si>
  <si>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</si>
  <si>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</si>
  <si>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</si>
  <si>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</si>
  <si>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</si>
  <si>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</si>
  <si>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</si>
  <si>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</si>
  <si>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</si>
  <si>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</si>
  <si>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</si>
  <si>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</si>
  <si>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</si>
  <si>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</si>
  <si>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</si>
  <si>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</si>
  <si>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</si>
  <si>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</si>
  <si>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</si>
  <si>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</si>
  <si>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</si>
  <si>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</si>
  <si>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</si>
  <si>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</si>
  <si>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</si>
  <si>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</si>
  <si>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</si>
  <si>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</si>
  <si>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</si>
  <si>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</si>
  <si>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</si>
  <si>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</si>
  <si>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</si>
  <si>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</si>
  <si>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</si>
  <si>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</si>
  <si>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</si>
  <si>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</si>
  <si>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</si>
  <si>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</si>
  <si>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</si>
  <si>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</si>
  <si>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</si>
  <si>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</si>
  <si>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</si>
  <si>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</si>
  <si>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</si>
  <si>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</si>
  <si>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</si>
  <si>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</si>
  <si>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</si>
  <si>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</si>
  <si>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</si>
  <si>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</si>
  <si>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</si>
  <si>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</si>
  <si>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</si>
  <si>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</si>
  <si>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</si>
  <si>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</si>
  <si>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</si>
  <si>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</si>
  <si>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</si>
  <si>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</si>
  <si>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</si>
  <si>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</si>
  <si>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</si>
  <si>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</si>
  <si>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</si>
  <si>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</si>
  <si>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</si>
  <si>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</si>
  <si>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</si>
  <si>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</si>
  <si>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</si>
  <si>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</si>
  <si>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</si>
  <si>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</si>
  <si>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</si>
  <si>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</si>
  <si>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</si>
  <si>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</si>
  <si>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</si>
  <si>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</si>
  <si>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</si>
  <si>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</si>
  <si>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</si>
  <si>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</si>
  <si>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</si>
  <si>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</si>
  <si>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</si>
  <si>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</si>
  <si>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</si>
  <si>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</si>
  <si>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</si>
  <si>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</si>
  <si>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</si>
  <si>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</si>
  <si>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</si>
  <si>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</si>
  <si>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</si>
  <si>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</si>
  <si>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</si>
  <si>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</si>
  <si>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</si>
  <si>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</si>
  <si>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</si>
  <si>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</si>
  <si>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</si>
  <si>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</si>
  <si>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</si>
  <si>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</si>
  <si>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</si>
  <si>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</si>
  <si>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</si>
  <si>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</si>
  <si>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</si>
  <si>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</si>
  <si>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</si>
  <si>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</si>
  <si>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</si>
  <si>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</si>
  <si>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</si>
  <si>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</si>
  <si>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</si>
  <si>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</si>
  <si>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</si>
  <si>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</si>
  <si>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</si>
  <si>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</si>
  <si>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</si>
  <si>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</si>
  <si>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</si>
  <si>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</si>
  <si>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</si>
  <si>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</si>
  <si>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</si>
  <si>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</si>
  <si>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</si>
  <si>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</si>
  <si>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</si>
  <si>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</si>
  <si>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</si>
  <si>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</si>
  <si>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</si>
  <si>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</si>
  <si>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</si>
  <si>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</si>
  <si>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</si>
  <si>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</si>
  <si>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</si>
  <si>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</si>
  <si>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</si>
  <si>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</si>
  <si>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</si>
  <si>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</si>
  <si>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</si>
  <si>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</si>
  <si>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</si>
  <si>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</si>
  <si>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</si>
  <si>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</si>
  <si>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</si>
  <si>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</si>
  <si>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</si>
  <si>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</si>
  <si>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</si>
  <si>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</si>
  <si>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</si>
  <si>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</si>
  <si>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</si>
  <si>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</si>
  <si>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</si>
  <si>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</si>
  <si>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</si>
  <si>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</si>
  <si>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</si>
  <si>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</si>
  <si>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</si>
  <si>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</si>
  <si>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</si>
  <si>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</si>
  <si>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</si>
  <si>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</si>
  <si>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</si>
  <si>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</si>
  <si>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</si>
  <si>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</si>
  <si>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</si>
  <si>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</si>
  <si>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</si>
  <si>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</si>
  <si>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</si>
  <si>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</si>
  <si>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</si>
  <si>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</si>
  <si>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</si>
  <si>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</si>
  <si>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</si>
  <si>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</si>
  <si>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</si>
  <si>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</si>
  <si>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</si>
  <si>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</si>
  <si>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</si>
  <si>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</si>
  <si>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</si>
  <si>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</si>
  <si>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</si>
  <si>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</si>
  <si>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</si>
  <si>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</si>
  <si>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</si>
  <si>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</si>
  <si>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</si>
  <si>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</si>
  <si>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</si>
  <si>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</si>
  <si>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</si>
  <si>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</si>
  <si>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</si>
  <si>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</si>
  <si>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</si>
  <si>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</si>
  <si>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</si>
  <si>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</si>
  <si>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</si>
  <si>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</si>
  <si>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</si>
  <si>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</si>
  <si>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</si>
  <si>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</si>
  <si>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</si>
  <si>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</si>
  <si>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</si>
  <si>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</si>
  <si>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</si>
  <si>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</si>
  <si>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</si>
  <si>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</si>
  <si>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</si>
  <si>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</si>
  <si>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</si>
  <si>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</si>
  <si>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</si>
  <si>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</si>
  <si>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</si>
  <si>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</si>
  <si>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</si>
  <si>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</si>
  <si>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</si>
  <si>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</si>
  <si>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</si>
  <si>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</si>
  <si>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</si>
  <si>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</si>
  <si>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</si>
  <si>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</si>
  <si>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</si>
  <si>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</si>
  <si>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</si>
  <si>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</si>
  <si>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</si>
  <si>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</si>
  <si>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</si>
  <si>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</si>
  <si>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</si>
  <si>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</si>
  <si>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</si>
  <si>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</si>
  <si>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</si>
  <si>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</si>
  <si>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</si>
  <si>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</si>
  <si>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</si>
  <si>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</si>
  <si>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</si>
  <si>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</si>
  <si>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</si>
  <si>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</si>
  <si>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</si>
  <si>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</si>
  <si>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</si>
  <si>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</si>
  <si>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</si>
  <si>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</si>
  <si>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</si>
  <si>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</si>
  <si>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</si>
  <si>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</si>
  <si>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</si>
  <si>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</si>
  <si>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</si>
  <si>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</si>
  <si>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</si>
  <si>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</si>
  <si>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</si>
  <si>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</si>
  <si>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</si>
  <si>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</si>
  <si>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</si>
  <si>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</si>
  <si>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</si>
  <si>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</si>
  <si>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</si>
  <si>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</si>
  <si>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</si>
  <si>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</si>
  <si>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</si>
  <si>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</si>
  <si>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</si>
  <si>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</si>
  <si>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</si>
  <si>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</si>
  <si>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</si>
  <si>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</si>
  <si>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</si>
  <si>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</si>
  <si>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</si>
  <si>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</si>
  <si>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</si>
  <si>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</si>
  <si>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</si>
  <si>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</si>
  <si>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</si>
  <si>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</si>
  <si>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</si>
  <si>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</si>
  <si>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</si>
  <si>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</si>
  <si>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</si>
  <si>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</si>
  <si>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</si>
  <si>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</si>
  <si>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</si>
  <si>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</si>
  <si>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</si>
  <si>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</si>
  <si>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</si>
  <si>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</si>
  <si>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</si>
  <si>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</si>
  <si>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</si>
  <si>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</si>
  <si>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</si>
  <si>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</si>
  <si>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</si>
  <si>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</si>
  <si>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</si>
  <si>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</si>
  <si>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</si>
  <si>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</si>
  <si>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</si>
  <si>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</si>
  <si>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</si>
  <si>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</si>
  <si>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</si>
  <si>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</si>
  <si>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</si>
  <si>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</si>
  <si>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</si>
  <si>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</si>
  <si>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</si>
  <si>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</si>
  <si>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</si>
  <si>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</si>
  <si>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</si>
  <si>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</si>
  <si>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</si>
  <si>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</si>
  <si>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</si>
  <si>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</si>
  <si>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</si>
  <si>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</si>
  <si>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</si>
  <si>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</si>
  <si>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</si>
  <si>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</si>
  <si>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</si>
  <si>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</si>
  <si>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</si>
  <si>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</si>
  <si>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</si>
  <si>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</si>
  <si>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</si>
  <si>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</si>
  <si>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</si>
  <si>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</si>
  <si>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</si>
  <si>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</si>
  <si>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</si>
  <si>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</si>
  <si>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</si>
  <si>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</si>
  <si>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</si>
  <si>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</si>
  <si>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</si>
  <si>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</si>
  <si>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</si>
  <si>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</si>
  <si>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</si>
  <si>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</si>
  <si>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</si>
  <si>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</si>
  <si>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</si>
  <si>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</si>
  <si>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</si>
  <si>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</si>
  <si>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</si>
  <si>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</si>
  <si>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</si>
  <si>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</si>
  <si>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</si>
  <si>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</si>
  <si>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</si>
  <si>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</si>
  <si>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</si>
  <si>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</si>
  <si>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</si>
  <si>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</si>
  <si>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</si>
  <si>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</si>
  <si>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</si>
  <si>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</si>
  <si>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</si>
  <si>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</si>
  <si>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</si>
  <si>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</si>
  <si>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</si>
  <si>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</si>
  <si>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</si>
  <si>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</si>
  <si>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</si>
  <si>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</si>
  <si>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</si>
  <si>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</si>
  <si>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</si>
  <si>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</si>
  <si>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</si>
  <si>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</si>
  <si>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</si>
  <si>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</si>
  <si>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</si>
  <si>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</si>
  <si>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</si>
  <si>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</si>
  <si>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</si>
  <si>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</si>
  <si>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</si>
  <si>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</si>
  <si>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</si>
  <si>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</si>
  <si>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</si>
  <si>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</si>
  <si>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</si>
  <si>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</si>
  <si>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</si>
  <si>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</si>
  <si>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</si>
  <si>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</si>
  <si>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</si>
  <si>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</si>
  <si>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</si>
  <si>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</si>
  <si>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</si>
  <si>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</si>
  <si>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</si>
  <si>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</si>
  <si>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</si>
  <si>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</si>
  <si>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</si>
  <si>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</si>
  <si>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</si>
  <si>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</si>
  <si>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</si>
  <si>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</si>
  <si>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</si>
  <si>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</si>
  <si>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</si>
  <si>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</si>
  <si>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</si>
  <si>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</si>
  <si>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</si>
  <si>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</si>
  <si>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</si>
  <si>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</si>
  <si>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</si>
  <si>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</si>
  <si>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</si>
  <si>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</si>
  <si>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</si>
  <si>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</si>
  <si>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</si>
  <si>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</si>
  <si>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</si>
  <si>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</si>
  <si>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</si>
  <si>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</si>
  <si>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</si>
  <si>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</si>
  <si>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</si>
  <si>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</si>
  <si>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</si>
  <si>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</si>
  <si>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</si>
  <si>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</si>
  <si>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</si>
  <si>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</si>
  <si>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</si>
  <si>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</si>
  <si>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</si>
  <si>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</si>
  <si>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</si>
  <si>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</si>
  <si>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</si>
  <si>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</si>
  <si>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</si>
  <si>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</si>
  <si>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</si>
  <si>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</si>
  <si>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</si>
  <si>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</si>
  <si>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</si>
  <si>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</si>
  <si>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</si>
  <si>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</si>
  <si>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</si>
  <si>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</si>
  <si>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</si>
  <si>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</si>
  <si>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</si>
  <si>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</si>
  <si>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</si>
  <si>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</si>
  <si>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</si>
  <si>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</si>
  <si>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</si>
  <si>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</si>
  <si>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</si>
  <si>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</si>
  <si>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</si>
  <si>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</si>
  <si>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</si>
  <si>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</si>
  <si>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</si>
  <si>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</si>
  <si>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</si>
  <si>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</si>
  <si>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</si>
  <si>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</si>
  <si>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</si>
  <si>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</si>
  <si>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</si>
  <si>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</si>
  <si>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</si>
  <si>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</si>
  <si>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</si>
  <si>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</si>
  <si>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</si>
  <si>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</si>
  <si>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</si>
  <si>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</si>
  <si>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</si>
  <si>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</si>
  <si>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</si>
  <si>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</si>
  <si>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</si>
  <si>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</si>
  <si>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</si>
  <si>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</si>
  <si>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</si>
  <si>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</si>
  <si>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</si>
  <si>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</si>
  <si>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</si>
  <si>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</si>
  <si>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</si>
  <si>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</si>
  <si>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</si>
  <si>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</si>
  <si>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</si>
  <si>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</si>
  <si>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</si>
  <si>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</si>
  <si>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</si>
  <si>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</si>
  <si>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</si>
  <si>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</si>
  <si>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</si>
  <si>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</si>
  <si>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</si>
  <si>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</si>
  <si>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</si>
  <si>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</si>
  <si>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</si>
  <si>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</si>
  <si>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</si>
  <si>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</si>
  <si>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</si>
  <si>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</si>
  <si>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</si>
  <si>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</si>
  <si>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</si>
  <si>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</si>
  <si>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</si>
  <si>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</si>
  <si>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</si>
  <si>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</si>
  <si>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</si>
  <si>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</si>
  <si>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</si>
  <si>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</si>
  <si>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</si>
  <si>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</si>
  <si>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</si>
  <si>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</si>
  <si>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</si>
  <si>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</si>
  <si>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</si>
  <si>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</si>
  <si>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</si>
  <si>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</si>
  <si>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</si>
  <si>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</si>
  <si>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</si>
  <si>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</si>
  <si>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</si>
  <si>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</si>
  <si>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</si>
  <si>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</si>
  <si>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</si>
  <si>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</si>
  <si>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</si>
  <si>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</si>
  <si>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</si>
  <si>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</si>
  <si>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</si>
  <si>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</si>
  <si>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</si>
  <si>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</si>
  <si>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</si>
  <si>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</si>
  <si>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</si>
  <si>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</si>
  <si>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</si>
  <si>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</si>
  <si>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</si>
  <si>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</si>
  <si>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</si>
  <si>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</si>
  <si>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</si>
  <si>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</si>
  <si>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</si>
  <si>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</si>
  <si>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</si>
  <si>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</si>
  <si>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</si>
  <si>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</si>
  <si>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</si>
  <si>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</si>
  <si>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</si>
  <si>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② 詳細設計</t>
    <phoneticPr fontId="2"/>
  </si>
  <si>
    <t>WBS(詳細設計_製造)</t>
    <phoneticPr fontId="2"/>
  </si>
  <si>
    <t>③ 構築（実装＋単体）</t>
    <phoneticPr fontId="2"/>
  </si>
  <si>
    <t>④ テスト</t>
    <phoneticPr fontId="2"/>
  </si>
  <si>
    <t>WBS(テスト)</t>
    <phoneticPr fontId="2"/>
  </si>
  <si>
    <t>②＋③＋④（これから作る工数）</t>
    <phoneticPr fontId="2"/>
  </si>
  <si>
    <t>—</t>
    <phoneticPr fontId="2"/>
  </si>
  <si>
    <t>総計（①含む）</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</si>
  <si>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</si>
  <si>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</si>
  <si>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</si>
  <si>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</si>
  <si>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</si>
  <si>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</si>
  <si>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</si>
  <si>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</si>
  <si>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</si>
  <si>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</si>
  <si>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</si>
  <si>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</si>
  <si>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</si>
  <si>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</si>
  <si>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</si>
  <si>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</si>
  <si>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</si>
  <si>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</si>
  <si>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</si>
  <si>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</si>
  <si>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</si>
  <si>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</si>
  <si>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</si>
  <si>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</si>
  <si>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</si>
  <si>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</si>
  <si>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</si>
  <si>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</si>
  <si>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</si>
  <si>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</si>
  <si>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</si>
  <si>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</si>
  <si>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</si>
  <si>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</si>
  <si>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</si>
  <si>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</si>
  <si>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</si>
  <si>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</si>
  <si>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</si>
  <si>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</si>
  <si>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</si>
  <si>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</si>
  <si>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</si>
  <si>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</si>
  <si>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</si>
  <si>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</si>
  <si>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</si>
  <si>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</si>
  <si>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</si>
  <si>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</si>
  <si>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</si>
  <si>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</si>
  <si>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</si>
  <si>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</si>
  <si>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</si>
  <si>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</si>
  <si>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</si>
  <si>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</si>
  <si>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</si>
  <si>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</si>
  <si>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</si>
  <si>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</si>
  <si>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</si>
  <si>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</si>
  <si>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</si>
  <si>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</si>
  <si>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</si>
  <si>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</si>
  <si>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</si>
  <si>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</si>
  <si>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</si>
  <si>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</si>
  <si>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</si>
  <si>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</si>
  <si>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</si>
  <si>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</si>
  <si>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</si>
  <si>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</si>
  <si>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</si>
  <si>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</si>
  <si>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</si>
  <si>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</si>
  <si>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</si>
  <si>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</si>
  <si>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</si>
  <si>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</si>
  <si>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</si>
  <si>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</si>
  <si>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</si>
  <si>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</si>
  <si>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</si>
  <si>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</si>
  <si>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</si>
  <si>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</si>
  <si>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</si>
  <si>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</si>
  <si>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</si>
  <si>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</si>
  <si>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</si>
  <si>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</si>
  <si>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</si>
  <si>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</si>
  <si>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</si>
  <si>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</si>
  <si>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</si>
  <si>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</si>
  <si>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</si>
  <si>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</si>
  <si>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</si>
  <si>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</si>
  <si>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</si>
  <si>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</si>
  <si>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</si>
  <si>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</si>
  <si>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</si>
  <si>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</si>
  <si>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</si>
  <si>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</si>
  <si>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</si>
  <si>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</si>
  <si>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</si>
  <si>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</si>
  <si>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</si>
  <si>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</si>
  <si>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</si>
  <si>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</si>
  <si>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</si>
  <si>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</si>
  <si>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</si>
  <si>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</si>
  <si>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</si>
  <si>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</si>
  <si>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</si>
  <si>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</si>
  <si>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</si>
  <si>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</si>
  <si>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</si>
  <si>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</si>
  <si>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</si>
  <si>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</si>
  <si>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</si>
  <si>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</si>
  <si>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</si>
  <si>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</si>
  <si>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</si>
  <si>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</si>
  <si>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</si>
  <si>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</si>
  <si>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</si>
  <si>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</si>
  <si>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</si>
  <si>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</si>
  <si>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</si>
  <si>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</si>
  <si>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</si>
  <si>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</si>
  <si>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</si>
  <si>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</si>
  <si>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</si>
  <si>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</si>
  <si>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</si>
  <si>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</si>
  <si>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</si>
  <si>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</si>
  <si>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</si>
  <si>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</si>
  <si>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</si>
  <si>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</si>
  <si>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</si>
  <si>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</si>
  <si>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</si>
  <si>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</si>
  <si>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</si>
  <si>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</si>
  <si>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</si>
  <si>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</si>
  <si>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</si>
  <si>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</si>
  <si>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</si>
  <si>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</si>
  <si>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</si>
  <si>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</si>
  <si>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</si>
  <si>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</si>
  <si>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</si>
  <si>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</si>
  <si>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</si>
  <si>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</si>
  <si>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</si>
  <si>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</si>
  <si>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</si>
  <si>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</si>
  <si>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</si>
  <si>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</si>
  <si>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</si>
  <si>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</si>
  <si>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</si>
  <si>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</si>
  <si>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</si>
  <si>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</si>
  <si>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</si>
  <si>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</si>
  <si>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</si>
  <si>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</si>
  <si>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</si>
  <si>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</si>
  <si>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</si>
  <si>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</si>
  <si>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</si>
  <si>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</si>
  <si>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</si>
  <si>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</si>
  <si>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</si>
  <si>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</si>
  <si>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</si>
  <si>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</si>
  <si>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</si>
  <si>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</si>
  <si>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</si>
  <si>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</si>
  <si>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</si>
  <si>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</si>
  <si>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</si>
  <si>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</si>
  <si>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</si>
  <si>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</si>
  <si>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</si>
  <si>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</si>
  <si>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</si>
  <si>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</si>
  <si>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</si>
  <si>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</si>
  <si>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</si>
  <si>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</si>
  <si>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</si>
  <si>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</si>
  <si>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</si>
  <si>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</si>
  <si>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</si>
  <si>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</si>
  <si>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</si>
  <si>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</si>
  <si>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</si>
  <si>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</si>
  <si>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</si>
  <si>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</si>
  <si>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</si>
  <si>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</si>
  <si>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</si>
  <si>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</si>
  <si>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</si>
  <si>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</si>
  <si>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</si>
  <si>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</si>
  <si>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</si>
  <si>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</si>
  <si>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</si>
  <si>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</si>
  <si>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</si>
  <si>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</si>
  <si>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</si>
  <si>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</si>
  <si>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</si>
  <si>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</si>
  <si>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</si>
  <si>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</si>
  <si>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</si>
  <si>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</si>
  <si>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</si>
  <si>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</si>
  <si>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</si>
  <si>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</si>
  <si>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</si>
  <si>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</si>
  <si>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</si>
  <si>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</si>
  <si>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</si>
  <si>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</si>
  <si>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</si>
  <si>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</si>
  <si>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</si>
  <si>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</si>
  <si>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</si>
  <si>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</si>
  <si>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</si>
  <si>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</si>
  <si>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</si>
  <si>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</si>
  <si>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</si>
  <si>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</si>
  <si>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</si>
  <si>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</si>
  <si>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</si>
  <si>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</si>
  <si>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</si>
  <si>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</si>
  <si>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</si>
  <si>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</si>
  <si>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</si>
  <si>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</si>
  <si>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</si>
  <si>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</si>
  <si>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</si>
  <si>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</si>
  <si>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</si>
  <si>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</si>
  <si>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</si>
  <si>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</si>
  <si>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</si>
  <si>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</si>
  <si>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</si>
  <si>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</si>
  <si>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</si>
  <si>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</si>
  <si>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</si>
  <si>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</si>
  <si>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</si>
  <si>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</si>
  <si>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</si>
  <si>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</si>
  <si>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</si>
  <si>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</si>
  <si>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</si>
  <si>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</si>
  <si>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</si>
  <si>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</si>
  <si>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</si>
  <si>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</si>
  <si>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</si>
  <si>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</si>
  <si>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</si>
  <si>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</si>
  <si>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</si>
  <si>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</si>
  <si>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</si>
  <si>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</si>
  <si>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</si>
  <si>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</si>
  <si>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</si>
  <si>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</si>
  <si>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</si>
  <si>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</si>
  <si>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</si>
  <si>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</si>
  <si>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</si>
  <si>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</si>
  <si>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</si>
  <si>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</si>
  <si>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</si>
  <si>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</si>
  <si>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</si>
  <si>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</si>
  <si>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</si>
  <si>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</si>
  <si>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</si>
  <si>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</si>
  <si>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</si>
  <si>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</si>
  <si>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</si>
  <si>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</si>
  <si>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</si>
  <si>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</si>
  <si>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</si>
  <si>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</si>
  <si>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</si>
  <si>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</si>
  <si>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</si>
  <si>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</si>
  <si>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</si>
  <si>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</si>
  <si>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</si>
  <si>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</si>
  <si>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</si>
  <si>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</si>
  <si>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</si>
  <si>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</si>
  <si>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</si>
  <si>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</si>
  <si>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</si>
  <si>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</si>
  <si>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</si>
  <si>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</si>
  <si>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</si>
  <si>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</si>
  <si>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</si>
  <si>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</si>
  <si>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</si>
  <si>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</si>
  <si>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</si>
  <si>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</si>
  <si>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</si>
  <si>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</si>
  <si>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</si>
  <si>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</si>
  <si>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</si>
  <si>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</si>
  <si>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</si>
  <si>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</si>
  <si>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</si>
  <si>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</si>
  <si>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</si>
  <si>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</si>
  <si>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</si>
  <si>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</si>
  <si>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</si>
  <si>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</si>
  <si>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</si>
  <si>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</si>
  <si>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</si>
  <si>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</si>
  <si>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</si>
  <si>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</si>
  <si>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</si>
  <si>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</si>
  <si>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</si>
  <si>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</si>
  <si>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</si>
  <si>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</si>
  <si>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</si>
  <si>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</si>
  <si>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</si>
  <si>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</si>
  <si>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</si>
  <si>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</si>
  <si>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</si>
  <si>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</si>
  <si>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</si>
  <si>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</si>
  <si>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</si>
  <si>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</si>
  <si>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</si>
  <si>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</si>
  <si>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</si>
  <si>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</si>
  <si>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</si>
  <si>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</si>
  <si>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</si>
  <si>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</si>
  <si>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</si>
  <si>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</si>
  <si>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</si>
  <si>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</si>
  <si>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</si>
  <si>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</si>
  <si>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</si>
  <si>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</si>
  <si>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</si>
  <si>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</si>
  <si>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</si>
  <si>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</si>
  <si>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</si>
  <si>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</si>
  <si>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</si>
  <si>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</si>
  <si>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</si>
  <si>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</si>
  <si>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</si>
  <si>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</si>
  <si>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</si>
  <si>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</si>
  <si>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</si>
  <si>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</si>
  <si>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</si>
  <si>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</si>
  <si>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</si>
  <si>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</si>
  <si>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</si>
  <si>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</si>
  <si>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</si>
  <si>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</si>
  <si>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</si>
  <si>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</si>
  <si>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</si>
  <si>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</si>
  <si>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</si>
  <si>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</si>
  <si>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</si>
  <si>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</si>
  <si>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</si>
  <si>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</si>
  <si>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</si>
  <si>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</si>
  <si>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</si>
  <si>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</si>
  <si>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</si>
  <si>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</si>
  <si>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</si>
  <si>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</si>
  <si>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</si>
  <si>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</si>
  <si>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</si>
  <si>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</si>
  <si>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</si>
  <si>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</si>
  <si>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</si>
  <si>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</si>
  <si>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</si>
  <si>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</si>
  <si>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</si>
  <si>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</si>
  <si>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</si>
  <si>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</si>
  <si>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</si>
  <si>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</si>
  <si>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</si>
  <si>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</si>
  <si>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</si>
  <si>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</si>
  <si>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</si>
  <si>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</si>
  <si>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</si>
  <si>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</si>
  <si>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</si>
  <si>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</si>
  <si>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</si>
  <si>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</si>
  <si>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</si>
  <si>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</si>
  <si>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</si>
  <si>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</si>
  <si>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</si>
  <si>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</si>
  <si>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</si>
  <si>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</si>
  <si>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</si>
  <si>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</si>
  <si>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</si>
  <si>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</si>
  <si>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</si>
  <si>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</si>
  <si>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</si>
  <si>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</si>
  <si>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</si>
  <si>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</si>
  <si>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</si>
  <si>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</si>
  <si>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</si>
  <si>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</si>
  <si>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</si>
  <si>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</si>
  <si>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</si>
  <si>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</si>
  <si>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</si>
  <si>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</si>
  <si>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</si>
  <si>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</si>
  <si>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</si>
  <si>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</si>
  <si>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</si>
  <si>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</si>
  <si>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</si>
  <si>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</si>
  <si>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</si>
  <si>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</si>
  <si>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</si>
  <si>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</si>
  <si>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</si>
  <si>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</si>
  <si>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</si>
  <si>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</si>
  <si>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</si>
  <si>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</si>
  <si>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</si>
  <si>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</si>
  <si>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</si>
  <si>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</si>
  <si>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</si>
  <si>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</si>
  <si>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</si>
  <si>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</si>
  <si>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</si>
  <si>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</si>
  <si>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</si>
  <si>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</si>
  <si>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</si>
  <si>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</si>
  <si>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</si>
  <si>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</si>
  <si>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</si>
  <si>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</si>
  <si>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</si>
  <si>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</si>
  <si>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</si>
  <si>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</si>
  <si>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</si>
  <si>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</si>
  <si>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</si>
  <si>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</si>
  <si>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</si>
  <si>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</si>
  <si>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</si>
  <si>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</si>
  <si>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</si>
  <si>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</si>
  <si>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</si>
  <si>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</si>
  <si>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</si>
  <si>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</si>
  <si>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</si>
  <si>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</si>
  <si>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</si>
  <si>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</si>
  <si>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</si>
  <si>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</si>
  <si>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</si>
  <si>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</si>
  <si>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</si>
  <si>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</si>
  <si>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</si>
  <si>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</si>
  <si>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</si>
  <si>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</si>
  <si>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</si>
  <si>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</si>
  <si>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</si>
  <si>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</si>
  <si>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</si>
  <si>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</si>
  <si>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</si>
  <si>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</si>
  <si>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</si>
  <si>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</si>
  <si>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</si>
  <si>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</si>
  <si>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</si>
  <si>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</si>
  <si>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</si>
  <si>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</si>
  <si>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</si>
  <si>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</si>
  <si>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</si>
  <si>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</si>
  <si>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</si>
  <si>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</si>
  <si>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</si>
  <si>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</si>
  <si>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</si>
  <si>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</si>
  <si>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</si>
  <si>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</si>
  <si>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</si>
  <si>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</si>
  <si>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</si>
  <si>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</si>
  <si>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</si>
  <si>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</si>
  <si>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</si>
  <si>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</si>
  <si>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</si>
  <si>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</si>
  <si>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</si>
  <si>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</si>
  <si>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</si>
  <si>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</si>
  <si>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</si>
  <si>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</si>
  <si>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</si>
  <si>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</si>
  <si>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</si>
  <si>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</si>
  <si>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</si>
  <si>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</si>
  <si>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</si>
  <si>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</si>
  <si>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</si>
  <si>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</si>
  <si>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</si>
  <si>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</si>
  <si>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</si>
  <si>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</si>
  <si>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</si>
  <si>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</si>
  <si>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</si>
  <si>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</si>
  <si>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</si>
  <si>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</si>
  <si>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</si>
  <si>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</si>
  <si>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</si>
  <si>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</si>
  <si>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</si>
  <si>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</si>
  <si>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</si>
  <si>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</si>
  <si>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</si>
  <si>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</si>
  <si>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</si>
  <si>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</si>
  <si>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</si>
  <si>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</si>
  <si>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</si>
  <si>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</si>
  <si>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</si>
  <si>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</si>
  <si>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</si>
  <si>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</si>
  <si>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</si>
  <si>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</si>
  <si>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</si>
  <si>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</si>
  <si>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</si>
  <si>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</si>
  <si>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</si>
  <si>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</si>
  <si>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</si>
  <si>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</si>
  <si>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</si>
  <si>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</si>
  <si>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</si>
  <si>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</si>
  <si>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</si>
  <si>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</si>
  <si>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</si>
  <si>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</si>
  <si>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</si>
  <si>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</si>
  <si>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</si>
  <si>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</si>
  <si>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</si>
  <si>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</si>
  <si>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</si>
  <si>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</si>
  <si>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</si>
  <si>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</si>
  <si>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</si>
  <si>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</si>
  <si>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</si>
  <si>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</si>
  <si>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</si>
  <si>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</si>
  <si>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</si>
  <si>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</si>
  <si>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</si>
  <si>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</si>
  <si>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</si>
  <si>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</si>
  <si>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</si>
  <si>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</si>
  <si>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</si>
  <si>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</si>
  <si>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</si>
  <si>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</si>
  <si>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</si>
  <si>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</si>
  <si>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</si>
  <si>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</si>
  <si>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</si>
  <si>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</si>
  <si>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</si>
  <si>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</si>
  <si>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</si>
  <si>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</si>
  <si>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</si>
  <si>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</si>
  <si>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</si>
  <si>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</si>
  <si>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</si>
  <si>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</si>
  <si>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</si>
  <si>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</si>
  <si>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</si>
  <si>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</si>
  <si>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</si>
  <si>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</si>
  <si>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</si>
  <si>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</si>
  <si>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</si>
  <si>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</si>
  <si>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</si>
  <si>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</si>
  <si>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</si>
  <si>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</si>
  <si>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</si>
  <si>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</si>
  <si>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</si>
  <si>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</si>
  <si>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</si>
  <si>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</si>
  <si>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</si>
  <si>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</si>
  <si>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</si>
  <si>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</si>
  <si>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</si>
  <si>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</si>
  <si>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</si>
  <si>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</si>
  <si>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</si>
  <si>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</si>
  <si>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</si>
  <si>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</si>
  <si>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</si>
  <si>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</si>
  <si>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</si>
  <si>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</si>
  <si>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</si>
  <si>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</si>
  <si>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</si>
  <si>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</si>
  <si>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</si>
  <si>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</si>
  <si>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</si>
  <si>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</si>
  <si>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</si>
  <si>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</si>
  <si>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</si>
  <si>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</si>
  <si>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</si>
  <si>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</si>
  <si>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</si>
  <si>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</si>
  <si>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</si>
  <si>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</si>
  <si>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</si>
  <si>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</si>
  <si>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</si>
  <si>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</si>
  <si>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</si>
  <si>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</si>
  <si>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</si>
  <si>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</si>
  <si>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</si>
  <si>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</si>
  <si>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</si>
  <si>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</si>
  <si>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</si>
  <si>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</si>
  <si>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</si>
  <si>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</si>
  <si>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</si>
  <si>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</si>
  <si>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</si>
  <si>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</si>
  <si>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</si>
  <si>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</si>
  <si>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</si>
  <si>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</si>
  <si>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</si>
  <si>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</si>
  <si>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</si>
  <si>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</si>
  <si>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</si>
  <si>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</si>
  <si>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</si>
  <si>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</si>
  <si>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</si>
  <si>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</si>
  <si>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</si>
  <si>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</si>
  <si>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</si>
  <si>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</si>
  <si>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</si>
  <si>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</si>
  <si>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</si>
  <si>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</si>
  <si>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</si>
  <si>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</si>
  <si>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</si>
  <si>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</si>
  <si>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</si>
  <si>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</si>
  <si>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</si>
  <si>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</si>
  <si>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</si>
  <si>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</si>
  <si>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</si>
  <si>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</si>
  <si>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</si>
  <si>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</si>
  <si>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</si>
  <si>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</si>
  <si>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</si>
  <si>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</si>
  <si>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</si>
  <si>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</si>
  <si>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</si>
  <si>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</si>
  <si>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</si>
  <si>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</si>
  <si>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</si>
  <si>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</si>
  <si>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</si>
  <si>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</si>
  <si>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</si>
  <si>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</si>
  <si>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</si>
  <si>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</si>
  <si>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</si>
  <si>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</si>
  <si>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</si>
  <si>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</si>
  <si>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</si>
  <si>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</si>
  <si>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</si>
  <si>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</si>
  <si>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</si>
  <si>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</si>
  <si>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</si>
  <si>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</si>
  <si>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</si>
  <si>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</si>
  <si>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</si>
  <si>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</si>
  <si>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</si>
  <si>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</si>
  <si>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</si>
  <si>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</si>
  <si>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</si>
  <si>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</si>
  <si>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</si>
  <si>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</si>
  <si>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</si>
  <si>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</si>
  <si>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</si>
  <si>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</si>
  <si>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</si>
  <si>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</si>
  <si>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</si>
  <si>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</si>
  <si>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</si>
  <si>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</si>
  <si>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</si>
  <si>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</si>
  <si>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</si>
  <si>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</si>
  <si>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</si>
  <si>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</si>
  <si>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</si>
  <si>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</si>
  <si>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</si>
  <si>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</si>
  <si>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</si>
  <si>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</si>
  <si>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</si>
  <si>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</si>
  <si>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</si>
  <si>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</si>
  <si>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</si>
  <si>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</si>
  <si>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</si>
  <si>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</si>
  <si>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</si>
  <si>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</si>
  <si>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</si>
  <si>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</si>
  <si>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</si>
  <si>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</si>
  <si>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</si>
  <si>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</si>
  <si>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</si>
  <si>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</si>
  <si>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</si>
  <si>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</si>
  <si>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</si>
  <si>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</si>
  <si>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</si>
  <si>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</si>
  <si>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</si>
  <si>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</si>
  <si>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</si>
  <si>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</si>
  <si>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</si>
  <si>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</si>
  <si>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</si>
  <si>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</si>
  <si>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</si>
  <si>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</si>
  <si>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</si>
  <si>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</si>
  <si>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</si>
  <si>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</si>
  <si>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</si>
  <si>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</si>
  <si>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</si>
  <si>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</si>
  <si>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</si>
  <si>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</si>
  <si>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</si>
  <si>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</si>
  <si>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</si>
  <si>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</si>
  <si>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</si>
  <si>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</si>
  <si>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</si>
  <si>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</si>
  <si>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</si>
  <si>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</si>
  <si>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</si>
  <si>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</si>
  <si>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</si>
  <si>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</si>
  <si>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</si>
  <si>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</si>
  <si>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</si>
  <si>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</si>
  <si>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</si>
  <si>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</si>
  <si>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</si>
  <si>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</si>
  <si>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</si>
  <si>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</si>
  <si>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</si>
  <si>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</si>
  <si>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</si>
  <si>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</si>
  <si>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</si>
  <si>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</si>
  <si>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</si>
  <si>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</si>
  <si>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</si>
  <si>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</si>
  <si>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</si>
  <si>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</si>
  <si>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</si>
  <si>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</si>
  <si>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</si>
  <si>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</si>
  <si>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</si>
  <si>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</si>
  <si>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</si>
  <si>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</si>
  <si>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</si>
  <si>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</si>
  <si>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</si>
  <si>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</si>
  <si>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</si>
  <si>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</si>
  <si>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</si>
  <si>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</si>
  <si>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</si>
  <si>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</si>
  <si>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</si>
  <si>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</si>
  <si>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</si>
  <si>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</si>
  <si>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</si>
  <si>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</si>
  <si>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</si>
  <si>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</si>
  <si>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</si>
  <si>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</si>
  <si>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</si>
  <si>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</si>
  <si>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</si>
  <si>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</si>
  <si>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</si>
  <si>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</si>
  <si>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</si>
  <si>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</si>
  <si>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</si>
  <si>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</si>
  <si>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</si>
  <si>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</si>
  <si>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</si>
  <si>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</si>
  <si>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</si>
  <si>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</si>
  <si>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</si>
  <si>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</si>
  <si>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</si>
  <si>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</si>
  <si>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</si>
  <si>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</si>
  <si>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</si>
  <si>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</si>
  <si>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</si>
  <si>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</si>
  <si>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</si>
  <si>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</si>
  <si>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</si>
  <si>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</si>
  <si>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</si>
  <si>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</si>
  <si>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</si>
  <si>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</si>
  <si>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</si>
  <si>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</si>
  <si>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</si>
  <si>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</si>
  <si>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</si>
  <si>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</si>
  <si>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</si>
  <si>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</si>
  <si>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</si>
  <si>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</si>
  <si>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</si>
  <si>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</si>
  <si>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</si>
  <si>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</si>
  <si>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</si>
  <si>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</si>
  <si>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</si>
  <si>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</si>
  <si>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</si>
  <si>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</si>
  <si>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</si>
  <si>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</si>
  <si>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</si>
  <si>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</si>
  <si>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</si>
  <si>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</si>
  <si>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</si>
  <si>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</si>
  <si>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</si>
  <si>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</si>
  <si>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</si>
  <si>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</si>
  <si>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</si>
  <si>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</si>
  <si>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</si>
  <si>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</si>
  <si>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</si>
  <si>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</si>
  <si>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</si>
  <si>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</si>
  <si>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</si>
  <si>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</si>
  <si>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</si>
  <si>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</si>
  <si>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</si>
  <si>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</si>
  <si>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</si>
  <si>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</si>
  <si>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</si>
  <si>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</si>
  <si>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</si>
  <si>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</si>
  <si>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</si>
  <si>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</si>
  <si>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</si>
  <si>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</si>
  <si>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</si>
  <si>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</si>
  <si>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</si>
  <si>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</si>
  <si>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</si>
  <si>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</si>
  <si>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</si>
  <si>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</si>
  <si>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</si>
  <si>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</si>
  <si>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</si>
  <si>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</si>
  <si>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</si>
  <si>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</si>
  <si>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</si>
  <si>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</si>
  <si>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</si>
  <si>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</si>
  <si>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</si>
  <si>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</si>
  <si>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</si>
  <si>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</si>
  <si>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</si>
  <si>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</si>
  <si>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</si>
  <si>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</si>
  <si>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</si>
  <si>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</si>
  <si>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</si>
  <si>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</si>
  <si>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</si>
  <si>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</si>
  <si>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</si>
  <si>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</si>
  <si>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</si>
  <si>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</si>
  <si>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</si>
  <si>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</si>
  <si>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</si>
  <si>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</si>
  <si>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</si>
  <si>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</si>
  <si>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</si>
  <si>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</si>
  <si>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</si>
  <si>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</si>
  <si>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</si>
  <si>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</si>
  <si>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</si>
  <si>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</si>
  <si>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</si>
  <si>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</si>
  <si>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</si>
  <si>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</si>
  <si>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</si>
  <si>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</si>
  <si>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</si>
  <si>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</si>
  <si>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</si>
  <si>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</si>
  <si>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</si>
  <si>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</si>
  <si>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</si>
  <si>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</si>
  <si>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</si>
  <si>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</si>
  <si>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</si>
  <si>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</si>
  <si>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</si>
  <si>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</si>
  <si>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</si>
  <si>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</si>
  <si>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</si>
  <si>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</si>
  <si>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</si>
  <si>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</si>
  <si>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</si>
  <si>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</si>
  <si>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</si>
  <si>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</si>
  <si>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</si>
  <si>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</si>
  <si>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</si>
  <si>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</si>
  <si>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</si>
  <si>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</si>
  <si>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</si>
  <si>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</si>
  <si>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</si>
  <si>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</si>
  <si>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</si>
  <si>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</si>
  <si>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</si>
  <si>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</si>
  <si>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</si>
  <si>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</si>
  <si>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</si>
  <si>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</si>
  <si>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</si>
  <si>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</si>
  <si>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</si>
  <si>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</si>
  <si>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</si>
  <si>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</si>
  <si>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</si>
  <si>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</si>
  <si>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</si>
  <si>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</si>
  <si>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</si>
  <si>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</si>
  <si>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</si>
  <si>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</si>
  <si>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</si>
  <si>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</si>
  <si>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</si>
  <si>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</si>
  <si>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</si>
  <si>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</si>
  <si>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</si>
  <si>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</si>
  <si>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</si>
  <si>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</si>
  <si>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</si>
  <si>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</si>
  <si>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</si>
  <si>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</si>
  <si>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</si>
  <si>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</si>
  <si>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</si>
  <si>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</si>
  <si>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</si>
  <si>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</si>
  <si>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</si>
  <si>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</si>
  <si>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</si>
  <si>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</si>
  <si>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</si>
  <si>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</si>
  <si>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</si>
  <si>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</si>
  <si>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</si>
  <si>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</si>
  <si>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</si>
  <si>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</si>
  <si>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</si>
  <si>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</si>
  <si>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</si>
  <si>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</si>
  <si>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</si>
  <si>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</si>
  <si>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</si>
  <si>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</si>
  <si>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</si>
  <si>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</si>
  <si>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</si>
  <si>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</si>
  <si>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</si>
  <si>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</si>
  <si>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</si>
  <si>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</si>
  <si>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</si>
  <si>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</si>
  <si>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</si>
  <si>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</si>
  <si>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</si>
  <si>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</si>
  <si>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</si>
  <si>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</si>
  <si>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</si>
  <si>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</si>
  <si>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</si>
  <si>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</si>
  <si>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</si>
  <si>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</si>
  <si>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</si>
  <si>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</si>
  <si>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</si>
  <si>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</si>
  <si>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</si>
  <si>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</si>
  <si>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</si>
  <si>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</si>
  <si>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</si>
  <si>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</si>
  <si>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</si>
  <si>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</si>
  <si>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</si>
  <si>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</si>
  <si>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</si>
  <si>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</si>
  <si>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</si>
  <si>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</si>
  <si>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</si>
  <si>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</si>
  <si>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</si>
  <si>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</si>
  <si>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</si>
  <si>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</si>
  <si>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</si>
  <si>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</si>
  <si>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</si>
  <si>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</si>
  <si>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</si>
  <si>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</si>
  <si>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</si>
  <si>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</si>
  <si>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</si>
  <si>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</si>
  <si>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</si>
  <si>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</si>
  <si>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</si>
  <si>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</si>
  <si>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</si>
  <si>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</si>
  <si>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</si>
  <si>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</si>
  <si>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</si>
  <si>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</si>
  <si>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</si>
  <si>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</si>
  <si>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</si>
  <si>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</si>
  <si>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</si>
  <si>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</si>
  <si>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</si>
  <si>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</si>
  <si>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</si>
  <si>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</si>
  <si>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</si>
  <si>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</si>
  <si>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</si>
  <si>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</si>
  <si>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</si>
  <si>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</si>
  <si>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</si>
  <si>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</si>
  <si>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</si>
  <si>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</si>
  <si>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</si>
  <si>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</si>
  <si>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</si>
  <si>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</si>
  <si>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</si>
  <si>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</si>
  <si>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</si>
  <si>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</si>
  <si>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</si>
  <si>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</si>
  <si>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</si>
  <si>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</si>
  <si>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</si>
  <si>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</si>
  <si>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</si>
  <si>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</si>
  <si>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</si>
  <si>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</si>
  <si>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</si>
  <si>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</si>
  <si>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</si>
  <si>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</si>
  <si>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</si>
  <si>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</si>
  <si>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</si>
  <si>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</si>
  <si>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</si>
  <si>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</si>
  <si>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</si>
  <si>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</si>
  <si>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</si>
  <si>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</si>
  <si>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</si>
  <si>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</si>
  <si>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</si>
  <si>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</si>
  <si>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</si>
  <si>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</si>
  <si>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</si>
  <si>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</si>
  <si>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</si>
  <si>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</si>
  <si>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</si>
  <si>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</si>
  <si>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</si>
  <si>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</si>
  <si>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</si>
  <si>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</si>
  <si>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</si>
  <si>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</si>
  <si>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</si>
  <si>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</si>
  <si>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</si>
  <si>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</si>
  <si>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</si>
  <si>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</si>
  <si>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</si>
  <si>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</si>
  <si>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</si>
  <si>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</si>
  <si>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</si>
  <si>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</si>
  <si>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</si>
  <si>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</si>
  <si>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</si>
  <si>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</si>
  <si>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</si>
  <si>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</si>
  <si>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</si>
  <si>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</si>
  <si>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</si>
  <si>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</si>
  <si>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</si>
  <si>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</si>
  <si>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</si>
  <si>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</si>
  <si>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</si>
  <si>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</si>
  <si>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</si>
  <si>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</si>
  <si>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</si>
  <si>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</si>
  <si>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</si>
  <si>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</si>
  <si>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</si>
  <si>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</si>
  <si>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</si>
  <si>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</si>
  <si>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</si>
  <si>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</si>
  <si>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</si>
  <si>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</si>
  <si>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</si>
  <si>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</si>
  <si>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</si>
  <si>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</si>
  <si>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</si>
  <si>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</si>
  <si>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</si>
  <si>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</si>
  <si>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</si>
  <si>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</si>
  <si>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</si>
  <si>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</si>
  <si>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</si>
  <si>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</si>
  <si>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</si>
  <si>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</si>
  <si>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</si>
  <si>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</si>
  <si>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</si>
  <si>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</si>
  <si>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</si>
  <si>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</si>
  <si>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</si>
  <si>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</si>
  <si>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</si>
  <si>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</si>
  <si>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</si>
  <si>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</si>
  <si>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</si>
  <si>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</si>
  <si>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</si>
  <si>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</si>
  <si>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</si>
  <si>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</si>
  <si>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</si>
  <si>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</si>
  <si>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</si>
  <si>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</si>
  <si>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</si>
  <si>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</si>
  <si>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</si>
  <si>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</si>
  <si>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</si>
  <si>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</si>
  <si>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</si>
  <si>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</si>
  <si>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</si>
  <si>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</si>
  <si>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</si>
  <si>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</si>
  <si>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</si>
  <si>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</si>
  <si>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</si>
  <si>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</si>
  <si>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</si>
  <si>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</si>
  <si>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</si>
  <si>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</si>
  <si>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</si>
  <si>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</si>
  <si>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</si>
  <si>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</si>
  <si>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</si>
  <si>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</si>
  <si>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</si>
  <si>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</si>
  <si>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</si>
  <si>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</si>
  <si>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</si>
  <si>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</si>
  <si>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</si>
  <si>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</si>
  <si>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</si>
  <si>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</si>
  <si>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</si>
  <si>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</si>
  <si>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</si>
  <si>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</si>
  <si>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</si>
  <si>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</si>
  <si>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</si>
  <si>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</si>
  <si>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</si>
  <si>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</si>
  <si>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</si>
  <si>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</si>
  <si>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</si>
  <si>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</si>
  <si>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</si>
  <si>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</si>
  <si>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</si>
  <si>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</si>
  <si>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</si>
  <si>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</si>
  <si>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</si>
  <si>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</si>
  <si>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</si>
  <si>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</si>
  <si>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</si>
  <si>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</si>
  <si>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</si>
  <si>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</si>
  <si>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</si>
  <si>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</si>
  <si>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</si>
  <si>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</si>
  <si>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</si>
  <si>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</si>
  <si>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</si>
  <si>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</si>
  <si>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</si>
  <si>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</si>
  <si>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</si>
  <si>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</si>
  <si>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</si>
  <si>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</si>
  <si>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</si>
  <si>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</si>
  <si>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</si>
  <si>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</si>
  <si>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</si>
  <si>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</si>
  <si>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</si>
  <si>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</si>
  <si>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</si>
  <si>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</si>
  <si>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</si>
  <si>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</si>
  <si>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</si>
  <si>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</si>
  <si>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</si>
  <si>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</si>
  <si>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</si>
  <si>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</si>
  <si>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</si>
  <si>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</si>
  <si>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</si>
  <si>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</si>
  <si>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</si>
  <si>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</si>
  <si>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</si>
  <si>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</si>
  <si>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</si>
  <si>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</si>
  <si>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</si>
  <si>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</si>
  <si>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</si>
  <si>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</si>
  <si>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</si>
  <si>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</si>
  <si>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</si>
  <si>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</si>
  <si>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</si>
  <si>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</si>
  <si>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</si>
  <si>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</si>
  <si>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</si>
  <si>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</si>
  <si>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</si>
  <si>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</si>
  <si>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</si>
  <si>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</si>
  <si>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</si>
  <si>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</si>
  <si>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</si>
  <si>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</si>
  <si>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</si>
  <si>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</si>
  <si>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</si>
  <si>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</si>
  <si>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</si>
  <si>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</si>
  <si>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</si>
  <si>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</si>
  <si>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</si>
  <si>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</si>
  <si>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</si>
  <si>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</si>
  <si>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</si>
  <si>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</si>
  <si>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</si>
  <si>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</si>
  <si>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</si>
  <si>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</si>
  <si>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</si>
  <si>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</si>
  <si>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</si>
  <si>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</si>
  <si>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</si>
  <si>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</si>
  <si>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</si>
  <si>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</si>
  <si>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</si>
  <si>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</si>
  <si>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</si>
  <si>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</si>
  <si>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</si>
  <si>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</si>
  <si>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</si>
  <si>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</si>
  <si>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</si>
  <si>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</si>
  <si>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</si>
  <si>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</si>
  <si>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</si>
  <si>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</si>
  <si>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</si>
  <si>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</si>
  <si>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</si>
  <si>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</si>
  <si>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</si>
  <si>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</si>
  <si>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</si>
  <si>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</si>
  <si>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</si>
  <si>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</si>
  <si>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</si>
  <si>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</si>
  <si>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</si>
  <si>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</si>
  <si>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</si>
  <si>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</si>
  <si>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</si>
  <si>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</si>
  <si>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</si>
  <si>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</si>
  <si>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</si>
  <si>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</si>
  <si>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</si>
  <si>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</si>
  <si>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</si>
  <si>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</si>
  <si>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</si>
  <si>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</si>
  <si>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</si>
  <si>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</si>
  <si>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</si>
  <si>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</si>
  <si>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</si>
  <si>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</si>
  <si>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</si>
  <si>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</si>
  <si>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</si>
  <si>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</si>
  <si>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</si>
  <si>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</si>
  <si>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</si>
  <si>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</si>
  <si>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</si>
  <si>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</si>
  <si>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</si>
  <si>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</si>
  <si>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</si>
  <si>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依存</t>
  </si>
  <si>
    <t>A-1.1</t>
  </si>
  <si>
    <t>E-2 計画</t>
  </si>
  <si>
    <t>A-1.2</t>
  </si>
  <si>
    <t>A-1.3</t>
  </si>
  <si>
    <t>A-1.4</t>
  </si>
  <si>
    <t>A-1.5</t>
  </si>
  <si>
    <t>A-1.6</t>
  </si>
  <si>
    <t>A-1.2〜4</t>
  </si>
  <si>
    <t>A-1.7</t>
  </si>
  <si>
    <t>A-1.2〜6</t>
  </si>
  <si>
    <t>A-2.1</t>
  </si>
  <si>
    <t>RHBK環境</t>
  </si>
  <si>
    <t>A-2.2</t>
  </si>
  <si>
    <t>A-2.3</t>
  </si>
  <si>
    <t>A-2.4</t>
  </si>
  <si>
    <t>A-2.5</t>
  </si>
  <si>
    <t>A-3.1</t>
  </si>
  <si>
    <t>A-3.2</t>
  </si>
  <si>
    <t>A-3.3</t>
  </si>
  <si>
    <t>A-3.4</t>
  </si>
  <si>
    <t>A-3.5</t>
  </si>
  <si>
    <t>A-3.6</t>
  </si>
  <si>
    <t>廃止</t>
  </si>
  <si>
    <t>A-5.1</t>
  </si>
  <si>
    <t>A-5.2</t>
  </si>
  <si>
    <t>A-5.3</t>
  </si>
  <si>
    <t>A-6.1</t>
  </si>
  <si>
    <t>A-5後推奨</t>
  </si>
  <si>
    <t>A-6.2</t>
  </si>
  <si>
    <t>A-6.3</t>
  </si>
  <si>
    <t>A-6.4</t>
  </si>
  <si>
    <t>A-7.1</t>
  </si>
  <si>
    <t>A-7.2</t>
  </si>
  <si>
    <t>Argon2idスループット実測</t>
  </si>
  <si>
    <t>A-1環境相乗り</t>
  </si>
  <si>
    <t>SAMLメタデータ自動更新の実機確認</t>
  </si>
  <si>
    <t>A-10.1</t>
  </si>
  <si>
    <t>A-10.2</t>
  </si>
  <si>
    <t>小粒実機確認バンドル（4点×0.5）</t>
  </si>
  <si>
    <t>A-12.1</t>
  </si>
  <si>
    <t>A-12.2</t>
  </si>
  <si>
    <t>A-12.3</t>
  </si>
  <si>
    <t>A-13</t>
  </si>
  <si>
    <t>G-UProfile-Email 実機（新規・2026-08-03ゲート）</t>
  </si>
  <si>
    <t>A-2環境相乗り</t>
  </si>
  <si>
    <t>A-14</t>
  </si>
  <si>
    <t>G-SSF 実機（新規・2026-08-12ゲート）</t>
  </si>
  <si>
    <t>A-15</t>
  </si>
  <si>
    <t>G-SRE-LogVis 実機（新規・2026-08-14ゲート）</t>
  </si>
  <si>
    <t>D-20 方式</t>
  </si>
  <si>
    <t>B-1.1</t>
  </si>
  <si>
    <t>要求仕様書v1 体裁化・発行</t>
  </si>
  <si>
    <t>DR系のみ D-18.2</t>
  </si>
  <si>
    <t>B-1.2</t>
  </si>
  <si>
    <t>先方QA対応</t>
  </si>
  <si>
    <t>B-1.3</t>
  </si>
  <si>
    <t>回答反映（期待経路）</t>
  </si>
  <si>
    <t>B-2.1</t>
  </si>
  <si>
    <t>CF→エッジLB到達方式の技術詰め</t>
  </si>
  <si>
    <t>B-2.2</t>
  </si>
  <si>
    <t>協議資料化</t>
  </si>
  <si>
    <t>CIDR台帳の凍結</t>
  </si>
  <si>
    <t>社内NW</t>
  </si>
  <si>
    <t>B-4.1</t>
  </si>
  <si>
    <t>G-EGRESS 合意資料</t>
  </si>
  <si>
    <t>B-4.2</t>
  </si>
  <si>
    <t>G-EDGE-DR 合意資料</t>
  </si>
  <si>
    <t>D-18.2</t>
  </si>
  <si>
    <t>Canary Bot除外合意</t>
  </si>
  <si>
    <t>C-1.1</t>
  </si>
  <si>
    <t>C-1.2</t>
  </si>
  <si>
    <t>C-1.3</t>
  </si>
  <si>
    <t>Baseline整合3点（各0.5〜1）</t>
  </si>
  <si>
    <t>ADR反映残の一括処理（7本×0.5）</t>
  </si>
  <si>
    <t>小粒登録4点</t>
  </si>
  <si>
    <t>宙に浮いた参照8件の解消</t>
  </si>
  <si>
    <t>research波及文書修正</t>
  </si>
  <si>
    <t>LDAP経路の対象外化</t>
  </si>
  <si>
    <t>C-9</t>
  </si>
  <si>
    <t>U6 §6.2 の2-VPC分離（B案）本文再編（新規）</t>
  </si>
  <si>
    <t>D-19</t>
  </si>
  <si>
    <t>C-10</t>
  </si>
  <si>
    <t>06a §A.6 の2-VPC反映（新規）</t>
  </si>
  <si>
    <t>idp_priority + Orgセレクター表示順</t>
  </si>
  <si>
    <t>AAL2/AAL3要求操作一覧</t>
  </si>
  <si>
    <t>B-APP-STEPUP-1暫定可</t>
  </si>
  <si>
    <t>完了（解消）</t>
  </si>
  <si>
    <t>SCIM Facade実行形態</t>
  </si>
  <si>
    <t>idm-api S2S認可の残分</t>
  </si>
  <si>
    <t>SES/メール送信設計</t>
  </si>
  <si>
    <t>ITDR DynamoDB大阪 + Break-Glass大阪実体</t>
  </si>
  <si>
    <t>D3-17 portal値 + ext_受入枠 + app 90日オプトイン</t>
  </si>
  <si>
    <t>D-9.1</t>
  </si>
  <si>
    <t>エンタイトルメント×App Registryスキーマ統合</t>
  </si>
  <si>
    <t>D-9.2</t>
  </si>
  <si>
    <t>管理操作監査ログの配置（per-brand vs 中央）</t>
  </si>
  <si>
    <t>D-9.3</t>
  </si>
  <si>
    <t>承認UI共用 + canaryスコープ + SLO境界</t>
  </si>
  <si>
    <t>IdP証明書ローテーション運用設計</t>
  </si>
  <si>
    <t>D-16.1</t>
  </si>
  <si>
    <t>B-SN暫定可</t>
  </si>
  <si>
    <t>D-16.2</t>
  </si>
  <si>
    <t>D-16.3</t>
  </si>
  <si>
    <t>D-17.1</t>
  </si>
  <si>
    <t>D-17.2</t>
  </si>
  <si>
    <t>D-17.3</t>
  </si>
  <si>
    <t>D-17.4</t>
  </si>
  <si>
    <t>D-17.5</t>
  </si>
  <si>
    <t>D-17.1〜4</t>
  </si>
  <si>
    <t>D-18.1</t>
  </si>
  <si>
    <t>D-18.3</t>
  </si>
  <si>
    <t>D-18.4</t>
  </si>
  <si>
    <t>P-17クラスタトポロジ再検討（新規・凍結解除）</t>
  </si>
  <si>
    <t>D-20</t>
  </si>
  <si>
    <t>SRE stdoutマスキング方式設計（新規）</t>
  </si>
  <si>
    <t>E-1.1</t>
  </si>
  <si>
    <t>E-1.2</t>
  </si>
  <si>
    <t>E-1.3</t>
  </si>
  <si>
    <t>負荷試験一元計画書</t>
  </si>
  <si>
    <t>FinOps/継続コスト管理</t>
  </si>
  <si>
    <t>KC本番設定の詰め漏れ反映（5項目×1）</t>
  </si>
  <si>
    <t>アップグレード運用の精密化</t>
  </si>
  <si>
    <t>Aurora接続の公式部品採否</t>
  </si>
  <si>
    <t>ROSA監査ログの中央集約制約</t>
  </si>
  <si>
    <t>brute force戦略 + アカウント列挙対策</t>
  </si>
  <si>
    <t>ヒアリング質問状のパッケージ化</t>
  </si>
  <si>
    <t>法務・Red Hat照会の起票と追撃</t>
  </si>
  <si>
    <t>ADR-040/036別スレッド完了後の統合</t>
  </si>
  <si>
    <t>G-1.1</t>
  </si>
  <si>
    <t>G-1.2</t>
  </si>
  <si>
    <t>G-1.3</t>
  </si>
  <si>
    <t>G-1.4</t>
  </si>
  <si>
    <t>G-1.5</t>
  </si>
  <si>
    <t>G-1.6</t>
  </si>
  <si>
    <t>G-1.7</t>
  </si>
  <si>
    <t>G-1.8</t>
  </si>
  <si>
    <t>G-1.9</t>
  </si>
  <si>
    <t>G-1.10</t>
  </si>
  <si>
    <t>G-1.11</t>
  </si>
  <si>
    <t>オンコール/アラートRouting実体</t>
  </si>
  <si>
    <t>G-4.1</t>
  </si>
  <si>
    <t>G-4.2</t>
  </si>
  <si>
    <t>分岐ID</t>
  </si>
  <si>
    <t>トリガー（〜の状態で〜の場合）</t>
  </si>
  <si>
    <t>追加作業</t>
  </si>
  <si>
    <t>C-A1</t>
  </si>
  <si>
    <t>A-1実測でp99がベースライン比 +10%を超過した場合</t>
  </si>
  <si>
    <t>キャッシュ増強・構成見直しの対策設計 + 再実測</t>
  </si>
  <si>
    <t>C-A2</t>
  </si>
  <si>
    <t>A-2でRHBK互換FAILの場合</t>
  </si>
  <si>
    <t>upstream KC継続判断 or SPI改修方針の再設計（P-01影響評価込み）</t>
  </si>
  <si>
    <t>C-A3</t>
  </si>
  <si>
    <t>A-3でValidator不合格項目が出た場合</t>
  </si>
  <si>
    <t>写像・スキーマ再設計 + 再検証</t>
  </si>
  <si>
    <t>C-A6</t>
  </si>
  <si>
    <t>A-6で実IdPにてSPI不発火ケースを発見した場合</t>
  </si>
  <si>
    <t>Flow配置再設計 + 回帰</t>
  </si>
  <si>
    <t>C-A9</t>
  </si>
  <si>
    <t>A-9で自動更新機能が実在しない場合</t>
  </si>
  <si>
    <t>D-12で運用代替（手動ローテ+監視）設計</t>
  </si>
  <si>
    <t>C-A10</t>
  </si>
  <si>
    <t>A-10.2で同期emitがp99を悪化させる場合</t>
  </si>
  <si>
    <t>非同期化（buffer/バッチ）再設計</t>
  </si>
  <si>
    <t>C-A12</t>
  </si>
  <si>
    <t>B-SN-3回答がパターン②以外の場合</t>
  </si>
  <si>
    <t>該当パターンでA-12再検証 + U10改訂</t>
  </si>
  <si>
    <t>C-B1</t>
  </si>
  <si>
    <t>他組織回答が要求と乖離した場合（In-B不可・NFW例外不可・ヘッダ挿入不可等）</t>
  </si>
  <si>
    <t>該当箇所の設計再検討 + REQ再発行</t>
  </si>
  <si>
    <t>C-B2</t>
  </si>
  <si>
    <t>zero-egressのTGW接続不可（O-10）の場合</t>
  </si>
  <si>
    <t>案A（NAT GW→NFW）へのegress再設計</t>
  </si>
  <si>
    <t>C-B3</t>
  </si>
  <si>
    <t>VPC origins不可の場合</t>
  </si>
  <si>
    <t>custom origin前提のSG/prefix list設計へ切替</t>
  </si>
  <si>
    <t>C-B4</t>
  </si>
  <si>
    <t>B-3でCIDR衝突が発覚した場合</t>
  </si>
  <si>
    <t>C-D18</t>
  </si>
  <si>
    <t>D-18.2で部分ウォーム復活を決定した場合</t>
  </si>
  <si>
    <t>U6常時コスト・大阪常設構成・C-1コストの再設計</t>
  </si>
  <si>
    <t>C-D19</t>
  </si>
  <si>
    <t>D-19で2クラスタ構成を変更する決定の場合</t>
  </si>
  <si>
    <t>U6/06a/CIDR/ADR-033/062/063の波及改訂 + 2-VPC設計（C-9/C-10）の手戻り</t>
  </si>
  <si>
    <t>C-F1</t>
  </si>
  <si>
    <t>U7 FIPS 140-3対応設計（暗号モジュール・ROSA FIPSモード・影響全単元）</t>
  </si>
  <si>
    <t>C-F3</t>
  </si>
  <si>
    <t>識別子/UX系（B-IDM/B-62x）で特殊要望が出た場合</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</si>
  <si>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</si>
  <si>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</si>
  <si>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</si>
  <si>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</si>
  <si>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</si>
  <si>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</si>
  <si>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</si>
  <si>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</si>
  <si>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</si>
  <si>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</si>
  <si>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</si>
  <si>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</si>
  <si>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</si>
  <si>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</si>
  <si>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</si>
  <si>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</si>
  <si>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</si>
  <si>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</si>
  <si>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</si>
  <si>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</si>
  <si>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</si>
  <si>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</si>
  <si>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</si>
  <si>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</si>
  <si>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</si>
  <si>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</si>
  <si>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</si>
  <si>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</si>
  <si>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</si>
  <si>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</si>
  <si>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</si>
  <si>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</si>
  <si>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</si>
  <si>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</si>
  <si>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</si>
  <si>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</si>
  <si>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</si>
  <si>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</si>
  <si>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</si>
  <si>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</si>
  <si>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</si>
  <si>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</si>
  <si>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</si>
  <si>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</si>
  <si>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</si>
  <si>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</si>
  <si>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</si>
  <si>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</si>
  <si>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</si>
  <si>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</si>
  <si>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</si>
  <si>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</si>
  <si>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</si>
  <si>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</si>
  <si>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</si>
  <si>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</si>
  <si>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</si>
  <si>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</si>
  <si>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</si>
  <si>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</si>
  <si>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</si>
  <si>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</si>
  <si>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</si>
  <si>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</si>
  <si>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</si>
  <si>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</si>
  <si>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</si>
  <si>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</si>
  <si>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</si>
  <si>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</si>
  <si>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</si>
  <si>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</si>
  <si>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</si>
  <si>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</si>
  <si>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</si>
  <si>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</si>
  <si>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</si>
  <si>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</si>
  <si>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</si>
  <si>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</si>
  <si>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</si>
  <si>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</si>
  <si>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</si>
  <si>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</si>
  <si>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</si>
  <si>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</si>
  <si>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</si>
  <si>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</si>
  <si>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</si>
  <si>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</si>
  <si>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</si>
  <si>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</si>
  <si>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</si>
  <si>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</si>
  <si>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</si>
  <si>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</si>
  <si>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</si>
  <si>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</si>
  <si>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</si>
  <si>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</si>
  <si>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</si>
  <si>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</si>
  <si>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</si>
  <si>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</si>
  <si>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</si>
  <si>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</si>
  <si>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</si>
  <si>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</si>
  <si>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</si>
  <si>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</si>
  <si>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</si>
  <si>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</si>
  <si>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</si>
  <si>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</si>
  <si>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</si>
  <si>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</si>
  <si>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</si>
  <si>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</si>
  <si>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</si>
  <si>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</si>
  <si>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</si>
  <si>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</si>
  <si>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</si>
  <si>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</si>
  <si>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</si>
  <si>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</si>
  <si>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</si>
  <si>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</si>
  <si>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</si>
  <si>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</si>
  <si>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</si>
  <si>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</si>
  <si>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</si>
  <si>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</si>
  <si>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</si>
  <si>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</si>
  <si>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</si>
  <si>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</si>
  <si>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</si>
  <si>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</si>
  <si>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</si>
  <si>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</si>
  <si>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</si>
  <si>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</si>
  <si>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</si>
  <si>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</si>
  <si>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</si>
  <si>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</si>
  <si>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</si>
  <si>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</si>
  <si>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</si>
  <si>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</si>
  <si>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</si>
  <si>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</si>
  <si>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</si>
  <si>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</si>
  <si>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</si>
  <si>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</si>
  <si>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</si>
  <si>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</si>
  <si>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</si>
  <si>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</si>
  <si>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</si>
  <si>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</si>
  <si>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</si>
  <si>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</si>
  <si>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</si>
  <si>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</si>
  <si>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</si>
  <si>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</si>
  <si>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</si>
  <si>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</si>
  <si>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</si>
  <si>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</si>
  <si>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</si>
  <si>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</si>
  <si>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</si>
  <si>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</si>
  <si>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</si>
  <si>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</si>
  <si>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</si>
  <si>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</si>
  <si>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</si>
  <si>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</si>
  <si>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</si>
  <si>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</si>
  <si>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</si>
  <si>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</si>
  <si>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</si>
  <si>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</si>
  <si>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</si>
  <si>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</si>
  <si>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</si>
  <si>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</si>
  <si>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</si>
  <si>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</si>
  <si>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</si>
  <si>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</si>
  <si>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</si>
  <si>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</si>
  <si>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</si>
  <si>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</si>
  <si>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</si>
  <si>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</si>
  <si>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</si>
  <si>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</si>
  <si>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</si>
  <si>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</si>
  <si>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</si>
  <si>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</si>
  <si>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</si>
  <si>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</si>
  <si>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</si>
  <si>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</si>
  <si>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</si>
  <si>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</si>
  <si>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</si>
  <si>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</si>
  <si>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</si>
  <si>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</si>
  <si>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</si>
  <si>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</si>
  <si>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</si>
  <si>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</si>
  <si>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</si>
  <si>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</si>
  <si>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</si>
  <si>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</si>
  <si>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</si>
  <si>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</si>
  <si>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</si>
  <si>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</si>
  <si>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</si>
  <si>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</si>
  <si>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</si>
  <si>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</si>
  <si>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</si>
  <si>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</si>
  <si>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</si>
  <si>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</si>
  <si>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</si>
  <si>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</si>
  <si>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</si>
  <si>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</si>
  <si>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</si>
  <si>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</si>
  <si>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</si>
  <si>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</si>
  <si>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</si>
  <si>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</si>
  <si>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</si>
  <si>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</si>
  <si>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</si>
  <si>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</si>
  <si>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</si>
  <si>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</si>
  <si>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</si>
  <si>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</si>
  <si>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</si>
  <si>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</si>
  <si>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</si>
  <si>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</si>
  <si>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</si>
  <si>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</si>
  <si>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</si>
  <si>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</si>
  <si>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</si>
  <si>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</si>
  <si>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</si>
  <si>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</si>
  <si>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</si>
  <si>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</si>
  <si>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</si>
  <si>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</si>
  <si>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</si>
  <si>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</si>
  <si>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</si>
  <si>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</si>
  <si>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</si>
  <si>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</si>
  <si>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</si>
  <si>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</si>
  <si>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</si>
  <si>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</si>
  <si>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</si>
  <si>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</si>
  <si>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</si>
  <si>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</si>
  <si>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</si>
  <si>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</si>
  <si>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</si>
  <si>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</si>
  <si>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</si>
  <si>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</si>
  <si>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</si>
  <si>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</si>
  <si>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</si>
  <si>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</si>
  <si>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</si>
  <si>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</si>
  <si>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</si>
  <si>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</si>
  <si>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</si>
  <si>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</si>
  <si>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</si>
  <si>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</si>
  <si>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</si>
  <si>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</si>
  <si>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</si>
  <si>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</si>
  <si>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</si>
  <si>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</si>
  <si>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</si>
  <si>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</si>
  <si>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</si>
  <si>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</si>
  <si>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</si>
  <si>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</si>
  <si>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</si>
  <si>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</si>
  <si>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</si>
  <si>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</si>
  <si>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</si>
  <si>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</si>
  <si>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</si>
  <si>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</si>
  <si>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</si>
  <si>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</si>
  <si>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</si>
  <si>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</si>
  <si>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</si>
  <si>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</si>
  <si>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</si>
  <si>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</si>
  <si>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</si>
  <si>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</si>
  <si>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</si>
  <si>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</si>
  <si>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</si>
  <si>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</si>
  <si>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</si>
  <si>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</si>
  <si>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</si>
  <si>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</si>
  <si>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</si>
  <si>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</si>
  <si>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</si>
  <si>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</si>
  <si>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</si>
  <si>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</si>
  <si>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</si>
  <si>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</si>
  <si>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</si>
  <si>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</si>
  <si>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</si>
  <si>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</si>
  <si>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</si>
  <si>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</si>
  <si>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</si>
  <si>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</si>
  <si>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</si>
  <si>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</si>
  <si>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</si>
  <si>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</si>
  <si>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</si>
  <si>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</si>
  <si>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</si>
  <si>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</si>
  <si>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</si>
  <si>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</si>
  <si>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</si>
  <si>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</si>
  <si>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</si>
  <si>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</si>
  <si>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</si>
  <si>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</si>
  <si>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</si>
  <si>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</si>
  <si>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</si>
  <si>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</si>
  <si>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</si>
  <si>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</si>
  <si>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</si>
  <si>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</si>
  <si>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</si>
  <si>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HJ-01</t>
  </si>
  <si>
    <t>HJ-02</t>
  </si>
  <si>
    <t>HJ-03</t>
  </si>
  <si>
    <t>HJ-04</t>
  </si>
  <si>
    <t>HJ-05</t>
  </si>
  <si>
    <t>HJ-06</t>
  </si>
  <si>
    <t>HJ-03〜05</t>
  </si>
  <si>
    <t>HJ-07</t>
  </si>
  <si>
    <t>HJ-08</t>
  </si>
  <si>
    <t>HJ-09</t>
  </si>
  <si>
    <t>HJ-10</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</si>
  <si>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</si>
  <si>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</si>
  <si>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</si>
  <si>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</si>
  <si>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</si>
  <si>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</si>
  <si>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</si>
  <si>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</si>
  <si>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</si>
  <si>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</si>
  <si>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</si>
  <si>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</si>
  <si>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</si>
  <si>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</si>
  <si>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</si>
  <si>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</si>
  <si>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</si>
  <si>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</si>
  <si>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</si>
  <si>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</si>
  <si>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</si>
  <si>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</si>
  <si>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</si>
  <si>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</si>
  <si>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</si>
  <si>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</si>
  <si>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</si>
  <si>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</si>
  <si>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FIPS（C-201）が「必要」と回答された場合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</si>
  <si>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</si>
  <si>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</si>
  <si>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</si>
  <si>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</si>
  <si>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</si>
  <si>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</si>
  <si>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</si>
  <si>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</si>
  <si>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</si>
  <si>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</si>
  <si>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</si>
  <si>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</si>
  <si>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設計（C-* 16件）</t>
  </si>
  <si>
    <t>① 設計(H)（CH-* 5件）</t>
  </si>
  <si>
    <t>④ テスト（CT-* 6件）</t>
  </si>
  <si>
    <t>★体制目安: 2名で約16ヶ月 ／ 3名で約11ヶ月 ／ 4名で約8.5ヶ月。A系（調査）とH系（設計書執筆）の2系統並走が最も効く</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</si>
  <si>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</si>
  <si>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</si>
  <si>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</si>
  <si>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</si>
  <si>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</si>
  <si>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</si>
  <si>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</si>
  <si>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</si>
  <si>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</si>
  <si>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</si>
  <si>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</si>
  <si>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</si>
  <si>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</si>
  <si>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</si>
  <si>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</si>
  <si>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</si>
  <si>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</si>
  <si>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</si>
  <si>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</si>
  <si>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</si>
  <si>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</si>
  <si>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</si>
  <si>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</si>
  <si>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</si>
  <si>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</si>
  <si>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</si>
  <si>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</si>
  <si>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</si>
  <si>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</si>
  <si>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</si>
  <si>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</si>
  <si>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</si>
  <si>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</si>
  <si>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</si>
  <si>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</si>
  <si>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</si>
  <si>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</si>
  <si>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</si>
  <si>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</si>
  <si>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</si>
  <si>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</si>
  <si>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</si>
  <si>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</si>
  <si>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</si>
  <si>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</si>
  <si>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</si>
  <si>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</si>
  <si>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</si>
  <si>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</si>
  <si>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</si>
  <si>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</si>
  <si>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</si>
  <si>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</si>
  <si>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</si>
  <si>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</si>
  <si>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</si>
  <si>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</si>
  <si>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</si>
  <si>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</si>
  <si>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</si>
  <si>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</si>
  <si>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</si>
  <si>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条件付きプール（分岐）一覧 — 合計 300 人日（設計152 ／ 構築98 ／ テスト50）</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</si>
  <si>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</si>
  <si>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</si>
  <si>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</si>
  <si>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</si>
  <si>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</si>
  <si>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</si>
  <si>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</si>
  <si>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</si>
  <si>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</si>
  <si>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</si>
  <si>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</si>
  <si>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</si>
  <si>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</si>
  <si>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</si>
  <si>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A. PoC・技術ゲート実測（調査98人日／39件）</t>
  </si>
  <si>
    <t>B. 他組織・エッジ連携確定（検討23人日／9件）</t>
  </si>
  <si>
    <t>D. 未確定設計の合同確定（検討56人日／31件）</t>
  </si>
  <si>
    <t>E. 新規検討領域（調査10+検討23人日／10件）</t>
  </si>
  <si>
    <t>F. ヒアリング・契約・法務（検討15人日／4件）</t>
  </si>
  <si>
    <t>G. 運用実体化（検討22人日／14件）</t>
  </si>
  <si>
    <t>HA-01〜HK-09</t>
    <phoneticPr fontId="2"/>
  </si>
  <si>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</si>
  <si>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</si>
  <si>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</si>
  <si>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</si>
  <si>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</si>
  <si>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</si>
  <si>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</si>
  <si>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</si>
  <si>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</si>
  <si>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</si>
  <si>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</si>
  <si>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</si>
  <si>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</si>
  <si>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</si>
  <si>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</si>
  <si>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</si>
  <si>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</si>
  <si>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</si>
  <si>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</si>
  <si>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</si>
  <si>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</si>
  <si>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</si>
  <si>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</si>
  <si>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</si>
  <si>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</si>
  <si>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</si>
  <si>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</si>
  <si>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</si>
  <si>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</si>
  <si>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</si>
  <si>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</si>
  <si>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</si>
  <si>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</si>
  <si>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</si>
  <si>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</si>
  <si>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</si>
  <si>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</si>
  <si>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</si>
  <si>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</si>
  <si>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</si>
  <si>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</si>
  <si>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</si>
  <si>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</si>
  <si>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</si>
  <si>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</si>
  <si>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</si>
  <si>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</si>
  <si>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</si>
  <si>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</si>
  <si>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</si>
  <si>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</si>
  <si>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</si>
  <si>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</si>
  <si>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</si>
  <si>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</si>
  <si>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</si>
  <si>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</si>
  <si>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</si>
  <si>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</si>
  <si>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</si>
  <si>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</si>
  <si>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</si>
  <si>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</si>
  <si>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</si>
  <si>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</si>
  <si>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</si>
  <si>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</si>
  <si>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</si>
  <si>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</si>
  <si>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</si>
  <si>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</si>
  <si>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</si>
  <si>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</si>
  <si>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</si>
  <si>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</si>
  <si>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</si>
  <si>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</si>
  <si>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</si>
  <si>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</si>
  <si>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</si>
  <si>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</si>
  <si>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</si>
  <si>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</si>
  <si>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</si>
  <si>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</si>
  <si>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</si>
  <si>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</si>
  <si>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</si>
  <si>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</si>
  <si>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</si>
  <si>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</si>
  <si>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</si>
  <si>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</si>
  <si>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</si>
  <si>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</si>
  <si>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</si>
  <si>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</si>
  <si>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</si>
  <si>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</si>
  <si>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</si>
  <si>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</si>
  <si>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</si>
  <si>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</si>
  <si>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</si>
  <si>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</si>
  <si>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</si>
  <si>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</si>
  <si>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</si>
  <si>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</si>
  <si>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</si>
  <si>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</si>
  <si>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</si>
  <si>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</si>
  <si>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</si>
  <si>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</si>
  <si>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</si>
  <si>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</si>
  <si>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</si>
  <si>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</si>
  <si>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</si>
  <si>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</si>
  <si>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</si>
  <si>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</si>
  <si>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</si>
  <si>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</si>
  <si>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</si>
  <si>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</si>
  <si>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</si>
  <si>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HRD Authenticatorクラス設計</t>
  </si>
  <si>
    <t>DDH-02</t>
  </si>
  <si>
    <t>JIT制御・Re-Activationクラス設計</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</si>
  <si>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</si>
  <si>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</si>
  <si>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</si>
  <si>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</si>
  <si>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</si>
  <si>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</si>
  <si>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</si>
  <si>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</si>
  <si>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</si>
  <si>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</si>
  <si>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</si>
  <si>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</si>
  <si>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</si>
  <si>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</si>
  <si>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</si>
  <si>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</si>
  <si>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</si>
  <si>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</si>
  <si>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</si>
  <si>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</si>
  <si>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</si>
  <si>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</si>
  <si>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</si>
  <si>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</si>
  <si>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</si>
  <si>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</si>
  <si>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</si>
  <si>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</si>
  <si>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</si>
  <si>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</si>
  <si>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</si>
  <si>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</si>
  <si>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</si>
  <si>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</si>
  <si>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</si>
  <si>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</si>
  <si>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</si>
  <si>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</si>
  <si>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</si>
  <si>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</si>
  <si>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</si>
  <si>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</si>
  <si>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</si>
  <si>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</si>
  <si>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</si>
  <si>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</si>
  <si>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</si>
  <si>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</si>
  <si>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</si>
  <si>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</si>
  <si>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</si>
  <si>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</si>
  <si>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</si>
  <si>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</si>
  <si>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</si>
  <si>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</si>
  <si>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</si>
  <si>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</si>
  <si>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</si>
  <si>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</si>
  <si>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</si>
  <si>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</si>
  <si>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</si>
  <si>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</si>
  <si>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</si>
  <si>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</si>
  <si>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</si>
  <si>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</si>
  <si>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</si>
  <si>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</si>
  <si>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</si>
  <si>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</si>
  <si>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</si>
  <si>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</si>
  <si>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</si>
  <si>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</si>
  <si>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</si>
  <si>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</si>
  <si>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</si>
  <si>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</si>
  <si>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</si>
  <si>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</si>
  <si>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</si>
  <si>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</si>
  <si>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</si>
  <si>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</si>
  <si>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</si>
  <si>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</si>
  <si>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</si>
  <si>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</si>
  <si>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</si>
  <si>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</si>
  <si>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</si>
  <si>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</si>
  <si>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</si>
  <si>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</si>
  <si>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</si>
  <si>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</si>
  <si>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</si>
  <si>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</si>
  <si>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</si>
  <si>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</si>
  <si>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</si>
  <si>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</si>
  <si>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</si>
  <si>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</si>
  <si>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</si>
  <si>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</si>
  <si>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</si>
  <si>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</si>
  <si>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</si>
  <si>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</si>
  <si>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</si>
  <si>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</si>
  <si>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</si>
  <si>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</si>
  <si>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</si>
  <si>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</si>
  <si>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</si>
  <si>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</si>
  <si>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</si>
  <si>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</si>
  <si>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</si>
  <si>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</si>
  <si>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</si>
  <si>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</si>
  <si>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</si>
  <si>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</si>
  <si>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</si>
  <si>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</si>
  <si>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</si>
  <si>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</si>
  <si>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</si>
  <si>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</si>
  <si>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</si>
  <si>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</si>
  <si>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</si>
  <si>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</si>
  <si>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</si>
  <si>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</si>
  <si>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</si>
  <si>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</si>
  <si>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</si>
  <si>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</si>
  <si>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</si>
  <si>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</si>
  <si>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</si>
  <si>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</si>
  <si>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</si>
  <si>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</si>
  <si>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</si>
  <si>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</si>
  <si>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</si>
  <si>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</si>
  <si>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</si>
  <si>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</si>
  <si>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</si>
  <si>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</si>
  <si>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</si>
  <si>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</si>
  <si>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</si>
  <si>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</si>
  <si>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</si>
  <si>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</si>
  <si>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</si>
  <si>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</si>
  <si>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</si>
  <si>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</si>
  <si>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</si>
  <si>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</si>
  <si>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</si>
  <si>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</si>
  <si>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</si>
  <si>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</si>
  <si>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</si>
  <si>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</si>
  <si>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</si>
  <si>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</si>
  <si>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</si>
  <si>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</si>
  <si>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</si>
  <si>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</si>
  <si>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</si>
  <si>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</si>
  <si>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</si>
  <si>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</si>
  <si>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</si>
  <si>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</si>
  <si>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</si>
  <si>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</si>
  <si>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</si>
  <si>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</si>
  <si>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</si>
  <si>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</si>
  <si>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</si>
  <si>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</si>
  <si>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</si>
  <si>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</si>
  <si>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</si>
  <si>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</si>
  <si>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</si>
  <si>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</si>
  <si>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群／サブグループ</t>
  </si>
  <si>
    <t>項目（サブタスク）</t>
  </si>
  <si>
    <t>A-1 G-IdP-Scale</t>
  </si>
  <si>
    <t>環境+データセット</t>
  </si>
  <si>
    <t>認証実測</t>
  </si>
  <si>
    <t>Admin/オンボーディング実測</t>
  </si>
  <si>
    <t>キャッシュ/メモリ実測</t>
  </si>
  <si>
    <t>パッチ回帰</t>
  </si>
  <si>
    <t>infra Pool/監視入力</t>
  </si>
  <si>
    <t>設計反映</t>
  </si>
  <si>
    <t>A-2 G-SPI-Compat</t>
  </si>
  <si>
    <t>環境</t>
  </si>
  <si>
    <t>SPI×4 個別互換</t>
  </si>
  <si>
    <t>Flow配置発火</t>
  </si>
  <si>
    <t>周辺互換</t>
  </si>
  <si>
    <t>Micrometer計装</t>
  </si>
  <si>
    <t>A-3 G-SCIM</t>
  </si>
  <si>
    <t>Facadeプロトタイプ</t>
  </si>
  <si>
    <t>Validator準拠</t>
  </si>
  <si>
    <t>D1/D2 E2E</t>
  </si>
  <si>
    <t>テナントスケール</t>
  </si>
  <si>
    <t>バルク+流量</t>
  </si>
  <si>
    <t>射影読取+反映</t>
  </si>
  <si>
    <t>A-5 SAML経由JIT</t>
  </si>
  <si>
    <t>モック環境</t>
  </si>
  <si>
    <t>NameID差検証</t>
  </si>
  <si>
    <t>D-11入力整理</t>
  </si>
  <si>
    <t>A-6 実IdP</t>
  </si>
  <si>
    <t>Entra ID trial</t>
  </si>
  <si>
    <t>Okta trial</t>
  </si>
  <si>
    <t>SPI発火+mfa_indicator</t>
  </si>
  <si>
    <t>A-7 G-OSAKA</t>
  </si>
  <si>
    <t>在庫・クォータ照会</t>
  </si>
  <si>
    <t>arm64対応確認</t>
  </si>
  <si>
    <t>A-10 SPI負荷</t>
  </si>
  <si>
    <t>debounce</t>
  </si>
  <si>
    <t>Event Listener emit</t>
  </si>
  <si>
    <t>A-12 SN実機</t>
  </si>
  <si>
    <t>SAML Client</t>
  </si>
  <si>
    <t>パターン②統合</t>
  </si>
  <si>
    <t>突合+Webhook</t>
  </si>
  <si>
    <t>C-1 U6是正</t>
  </si>
  <si>
    <t>Podモデル</t>
  </si>
  <si>
    <t>接続予算</t>
  </si>
  <si>
    <t>再計算</t>
  </si>
  <si>
    <t>D-16 SN移行</t>
  </si>
  <si>
    <t>M0〜M3詳細手順</t>
  </si>
  <si>
    <t>削除連鎖 + Break Glass実体</t>
  </si>
  <si>
    <t>SN-onlyユーザ移行/PW移行判定</t>
  </si>
  <si>
    <t>D-17 identity改訂</t>
  </si>
  <si>
    <t>U2 Browser Flow</t>
  </si>
  <si>
    <t>U3プロビ経路表</t>
  </si>
  <si>
    <t>U4 MFA UX</t>
  </si>
  <si>
    <t>U7 MFA責任分界</t>
  </si>
  <si>
    <t>整合レビュー</t>
  </si>
  <si>
    <t>D-18 DR再判断</t>
  </si>
  <si>
    <t>成立性分析（P-05再オープン）</t>
  </si>
  <si>
    <t>方式決定</t>
  </si>
  <si>
    <t>D-18 DR改訂</t>
  </si>
  <si>
    <t>U8/U6/ADR-051反映</t>
  </si>
  <si>
    <t>Runbook骨子</t>
  </si>
  <si>
    <t>E-1 dev/stg</t>
  </si>
  <si>
    <t>Acct/クラスタ方針</t>
  </si>
  <si>
    <t>テストデータ + コスト</t>
  </si>
  <si>
    <t>G-1 Runbook</t>
  </si>
  <si>
    <t>TEN-01（テナント追加）</t>
  </si>
  <si>
    <t>TEN-03（テナント離脱）</t>
  </si>
  <si>
    <t>SEC-01（インシデント初動）</t>
  </si>
  <si>
    <t>SEC-02（漏えい報告SOP実体）</t>
  </si>
  <si>
    <t>SEC-04（緊急鍵ローテ）</t>
  </si>
  <si>
    <t>SEC-05（Break-Glass）</t>
  </si>
  <si>
    <t>SEC-06（強制ログアウト3粒度）</t>
  </si>
  <si>
    <t>DR-00（発動判断）</t>
  </si>
  <si>
    <t>DR-01〜02（大阪再構築）</t>
  </si>
  <si>
    <t>DR-03〜04（リストア）</t>
  </si>
  <si>
    <t>DR-05（切戻し）</t>
  </si>
  <si>
    <t>G-4 drawio清書</t>
  </si>
  <si>
    <t>overview</t>
  </si>
  <si>
    <t>network-detail</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</si>
  <si>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</si>
  <si>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</si>
  <si>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</si>
  <si>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</si>
  <si>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</si>
  <si>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</si>
  <si>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</si>
  <si>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</si>
  <si>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</si>
  <si>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</si>
  <si>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</si>
  <si>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</si>
  <si>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</si>
  <si>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</si>
  <si>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</si>
  <si>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</si>
  <si>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IaC設計規約</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</si>
  <si>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</si>
  <si>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</si>
  <si>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</si>
  <si>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</si>
  <si>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</si>
  <si>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</si>
  <si>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</si>
  <si>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</si>
  <si>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鍵管理設計書（KMS 3階層・暗号化境界、ADR-045）（新規v3）</t>
  </si>
  <si>
    <t>NHI（非人間ID）台帳設計（ADR-066）（新規v3）</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</si>
  <si>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</si>
  <si>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</si>
  <si>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</si>
  <si>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</si>
  <si>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</si>
  <si>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</si>
  <si>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</si>
  <si>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</si>
  <si>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</si>
  <si>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</si>
  <si>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</si>
  <si>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</si>
  <si>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</si>
  <si>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</si>
  <si>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</si>
  <si>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</si>
  <si>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</si>
  <si>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</si>
  <si>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</si>
  <si>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</si>
  <si>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</si>
  <si>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</si>
  <si>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</si>
  <si>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</si>
  <si>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</si>
  <si>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</si>
  <si>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</si>
  <si>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</si>
  <si>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</si>
  <si>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</si>
  <si>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</si>
  <si>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</si>
  <si>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</si>
  <si>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論理ER図</t>
  </si>
  <si>
    <t>物理ER図（identity / authz / projection）</t>
  </si>
  <si>
    <t>テーブル定義書 authz系（8テーブル）</t>
  </si>
  <si>
    <t>テーブル定義書 idmap / projection系（6テーブル）</t>
  </si>
  <si>
    <t>テーブル定義書 outbox / 監査 / NHI系（6テーブル）</t>
  </si>
  <si>
    <t>属性辞書（ユーザー属性定義）</t>
  </si>
  <si>
    <t>正準化sourceレジストリ統合（D3-15）</t>
  </si>
  <si>
    <t>コード体系（識別子3階層）</t>
  </si>
  <si>
    <t>コード体系（tenant_id / brand_id）</t>
  </si>
  <si>
    <t>コード体系（provisioned_by 6値・状態コード）</t>
  </si>
  <si>
    <t>CRUD図（機能×テーブル）</t>
  </si>
  <si>
    <t>CRUD図と権限マトリクスの突合</t>
  </si>
  <si>
    <t>データ保持・アーカイブ設計（7年/3段階削除/物理削除）（新規）</t>
  </si>
  <si>
    <t>インデックス・パーティション設計（新規）</t>
  </si>
  <si>
    <t>IF一覧（内部・同期）</t>
  </si>
  <si>
    <t>IF一覧（内部・非同期）</t>
  </si>
  <si>
    <t>IF一覧（外部）</t>
  </si>
  <si>
    <t>API仕様書 idm-api ユーザー系（12EP）</t>
  </si>
  <si>
    <t>API仕様書 idm-api 権限/認可系（10EP）</t>
  </si>
  <si>
    <t>API仕様書 idm-api 参照系（/api/me/* ほか8EP）</t>
  </si>
  <si>
    <t>API認可スコープ対応表（idm:*）</t>
  </si>
  <si>
    <t>API共通規約（エラー/ページング/冪等）</t>
  </si>
  <si>
    <t>SCIM IF仕様（エンドポイント・属性写像・フィルタ）</t>
  </si>
  <si>
    <t>SCIM Soft Delete写像仕様</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</si>
  <si>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</si>
  <si>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</si>
  <si>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</si>
  <si>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</si>
  <si>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</si>
  <si>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</si>
  <si>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</si>
  <si>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</si>
  <si>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</si>
  <si>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</si>
  <si>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</si>
  <si>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</si>
  <si>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</si>
  <si>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</si>
  <si>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</si>
  <si>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</si>
  <si>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</si>
  <si>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</si>
  <si>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</si>
  <si>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</si>
  <si>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</si>
  <si>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</si>
  <si>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認可判定ログ統合（ADR-067）</t>
  </si>
  <si>
    <t>ITDR検知ルール / Goldenシグナル定義（G-1〜6、ADR-035/060）（新規v3）</t>
  </si>
  <si>
    <t>攻撃経路対応表（33経路×対策、ADR-060）（新規v3）</t>
  </si>
  <si>
    <t>監視項目一覧（メトリクス）</t>
  </si>
  <si>
    <t>監視項目一覧（ログ・合成監視）</t>
  </si>
  <si>
    <t>閾値・通知先設計</t>
  </si>
  <si>
    <t>テナントオンボーディング設計（設計面。Runbookとは別）（新規）</t>
  </si>
  <si>
    <t>環境設計書（本番 / stg / dev の構成差分）（新規）</t>
  </si>
  <si>
    <t>単元間 整合性レビュー（第1回）</t>
  </si>
  <si>
    <t>単元間 整合性レビュー（第2回）</t>
  </si>
  <si>
    <t>ステークホルダー説明資料 作成</t>
  </si>
  <si>
    <t>説明会 実施・指摘対応</t>
  </si>
  <si>
    <t>Realm / Organizations 構成設計書（ADR-017 / 02 §2.1）</t>
  </si>
  <si>
    <t>Authentication Flow 設計書（5系統のFlow木）（02 §2.3）</t>
  </si>
  <si>
    <t>Custom SPI 仕様書（HRD Authenticator）</t>
  </si>
  <si>
    <t>Custom SPI 仕様書（JIT制御・Re-Activation）</t>
  </si>
  <si>
    <t>Custom SPI 仕様書（Event Listener・mfa_indicator）</t>
  </si>
  <si>
    <t>SPI配置・ビルド・版数管理設計</t>
  </si>
  <si>
    <t>Protocol Mapper / Client Scope 定義書（ADR-030）</t>
  </si>
  <si>
    <t>User Profile 宣言設計（email非保有対応）</t>
  </si>
  <si>
    <t>Client 登録テンプレート（アプリオンボーディング標準）</t>
  </si>
  <si>
    <t>Keycloak Realm パラメータ設計書（TTL/brute force/PW/キャッシュ設定値）</t>
  </si>
  <si>
    <t>2-tier フェデレーション設計書（Broker↔IdP-KC、ADR-033/02a）</t>
  </si>
  <si>
    <t>ブランドユニット設計書（brand=Realm・issuer規律、ADR-063）</t>
  </si>
  <si>
    <t>Broker shadow ライフサイクル設計（ADR-064）</t>
  </si>
  <si>
    <t>IdP接続仕様テンプレート（SAML / OIDC別）（1000+ IdPの標準化）</t>
  </si>
  <si>
    <t>IdP属性マッピング設計（IdP Mapper写像規則）</t>
  </si>
  <si>
    <t>HRD解決ロジック設計書（識別子先行の判定・降格、ADR-055）</t>
  </si>
  <si>
    <t>ROSAクラスタ構成設計書（Machine Pool / taint / HPA、ADR-056）</t>
  </si>
  <si>
    <t>RHBK Operator / CR 設計（版数・更新戦略）</t>
  </si>
  <si>
    <t>ROSA運用境界・責任分界（Red Hat SREとの分担、L1-L7）</t>
  </si>
  <si>
    <t>Shared Responsibility Matrix（責任分界表）（ADR-037）／渡す相手: 全顧客（契約添付）</t>
  </si>
  <si>
    <t>SLA / SLO 定義書（顧客向け）／渡す相手: 全顧客（契約添付）</t>
  </si>
  <si>
    <t>RP実装ガイド（アプリ開発者向け）（U5 §5.6 / ADR-057）／渡す相手: 接続アプリ開発者</t>
  </si>
  <si>
    <t>テナント管理者ガイド（ADR-038）／渡す相手: テナント管理者</t>
  </si>
  <si>
    <t>顧客IdP接続ガイド（顧客IT部門向け）／渡す相手: 顧客IT部門</t>
  </si>
  <si>
    <t>Trust Center / 顧客監査対応資料（ADR-036）／渡す相手: 監査要求のある顧客</t>
  </si>
  <si>
    <t>DSAR対応手順（顧客向け、ADR-048）／渡す相手: 全顧客</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</si>
  <si>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</si>
  <si>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</si>
  <si>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2"/>
  </si>
  <si>
    <t>部（ガイド章立て）</t>
  </si>
  <si>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</si>
  <si>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</si>
  <si>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</si>
  <si>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</si>
  <si>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</si>
  <si>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</si>
  <si>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</si>
  <si>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</si>
  <si>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</si>
  <si>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</si>
  <si>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</si>
  <si>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</si>
  <si>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</si>
  <si>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</si>
  <si>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</si>
  <si>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</si>
  <si>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</si>
  <si>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</si>
  <si>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</si>
  <si>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</si>
  <si>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</si>
  <si>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</si>
  <si>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</si>
  <si>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</si>
  <si>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</si>
  <si>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</si>
  <si>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</si>
  <si>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</si>
  <si>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</si>
  <si>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</si>
  <si>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</si>
  <si>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</si>
  <si>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</si>
  <si>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</si>
  <si>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</si>
  <si>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</si>
  <si>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</si>
  <si>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</si>
  <si>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</si>
  <si>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</si>
  <si>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</si>
  <si>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</si>
  <si>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</si>
  <si>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</si>
  <si>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</si>
  <si>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</si>
  <si>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</si>
  <si>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</si>
  <si>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</si>
  <si>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</si>
  <si>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</si>
  <si>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</si>
  <si>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</si>
  <si>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</si>
  <si>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</si>
  <si>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</si>
  <si>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</si>
  <si>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</si>
  <si>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</si>
  <si>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</si>
  <si>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</si>
  <si>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</si>
  <si>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</si>
  <si>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</si>
  <si>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</si>
  <si>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</si>
  <si>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</si>
  <si>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</si>
  <si>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</si>
  <si>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</si>
  <si>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</si>
  <si>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</si>
  <si>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</si>
  <si>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</si>
  <si>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</si>
  <si>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</si>
  <si>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</si>
  <si>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</si>
  <si>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</si>
  <si>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</si>
  <si>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</si>
  <si>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</si>
  <si>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</si>
  <si>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</si>
  <si>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</si>
  <si>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</si>
  <si>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</si>
  <si>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</si>
  <si>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</si>
  <si>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</si>
  <si>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</si>
  <si>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</si>
  <si>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</si>
  <si>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</si>
  <si>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</si>
  <si>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</si>
  <si>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</si>
  <si>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</si>
  <si>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</si>
  <si>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</si>
  <si>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</si>
  <si>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</si>
  <si>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</si>
  <si>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</si>
  <si>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</si>
  <si>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</si>
  <si>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</si>
  <si>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</si>
  <si>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</si>
  <si>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</si>
  <si>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</si>
  <si>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</si>
  <si>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</si>
  <si>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</si>
  <si>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</si>
  <si>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</si>
  <si>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</si>
  <si>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</si>
  <si>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</si>
  <si>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</si>
  <si>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C-11</t>
  </si>
  <si>
    <t>C-11 標準仕様の参照是正</t>
  </si>
  <si>
    <t>IETF draft表記のRFC化対応</t>
  </si>
  <si>
    <t>載せる項目の辞書（最小構成、個人情報非搭載）／DoD: 辞書どおりに搭載され、保護対象の属性が上書きされない／★audがRS識別子になること（accountでない）を検証</t>
  </si>
  <si>
    <t>C. 設計是正・文書整合（検討23人日／13件）</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</si>
  <si>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</si>
  <si>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</si>
  <si>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</si>
  <si>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</si>
  <si>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</si>
  <si>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</si>
  <si>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</si>
  <si>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</si>
  <si>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</si>
  <si>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</si>
  <si>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</si>
  <si>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</si>
  <si>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</si>
  <si>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</si>
  <si>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</si>
  <si>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</si>
  <si>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</si>
  <si>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</si>
  <si>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</si>
  <si>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</si>
  <si>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</si>
  <si>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</si>
  <si>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</si>
  <si>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</si>
  <si>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</si>
  <si>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</si>
  <si>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</si>
  <si>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</si>
  <si>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</si>
  <si>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</si>
  <si>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</si>
  <si>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</si>
  <si>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</si>
  <si>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</si>
  <si>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</si>
  <si>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</si>
  <si>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</si>
  <si>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</si>
  <si>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</si>
  <si>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</si>
  <si>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</si>
  <si>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</si>
  <si>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</si>
  <si>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</si>
  <si>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</si>
  <si>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</si>
  <si>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</si>
  <si>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</si>
  <si>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</si>
  <si>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</si>
  <si>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</si>
  <si>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</si>
  <si>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</si>
  <si>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</si>
  <si>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</si>
  <si>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</si>
  <si>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</si>
  <si>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</si>
  <si>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</si>
  <si>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</si>
  <si>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</si>
  <si>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</si>
  <si>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</si>
  <si>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</si>
  <si>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</si>
  <si>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</si>
  <si>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</si>
  <si>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</si>
  <si>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</si>
  <si>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</si>
  <si>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</si>
  <si>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</si>
  <si>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</si>
  <si>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</si>
  <si>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</si>
  <si>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</si>
  <si>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</si>
  <si>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</si>
  <si>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</si>
  <si>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</si>
  <si>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</si>
  <si>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</si>
  <si>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</si>
  <si>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</si>
  <si>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</si>
  <si>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</si>
  <si>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</si>
  <si>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</si>
  <si>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</si>
  <si>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</si>
  <si>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</si>
  <si>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</si>
  <si>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</si>
  <si>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</si>
  <si>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</si>
  <si>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</si>
  <si>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</si>
  <si>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</si>
  <si>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</si>
  <si>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</si>
  <si>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</si>
  <si>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</si>
  <si>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</si>
  <si>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</si>
  <si>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</si>
  <si>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</si>
  <si>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</si>
  <si>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</si>
  <si>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</si>
  <si>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</si>
  <si>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</si>
  <si>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</si>
  <si>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</si>
  <si>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</si>
  <si>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</si>
  <si>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</si>
  <si>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</si>
  <si>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</si>
  <si>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</si>
  <si>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</si>
  <si>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</si>
  <si>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</si>
  <si>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</si>
  <si>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</si>
  <si>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</si>
  <si>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</si>
  <si>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</si>
  <si>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</si>
  <si>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</si>
  <si>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</si>
  <si>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</si>
  <si>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</si>
  <si>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</si>
  <si>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</si>
  <si>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</si>
  <si>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</si>
  <si>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</si>
  <si>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</si>
  <si>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</si>
  <si>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</si>
  <si>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</si>
  <si>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</si>
  <si>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</si>
  <si>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</si>
  <si>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</si>
  <si>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</si>
  <si>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</si>
  <si>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</si>
  <si>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</si>
  <si>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</si>
  <si>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</si>
  <si>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</si>
  <si>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</si>
  <si>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</si>
  <si>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</si>
  <si>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</si>
  <si>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</si>
  <si>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</si>
  <si>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</si>
  <si>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</si>
  <si>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</si>
  <si>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</si>
  <si>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</si>
  <si>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</si>
  <si>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</si>
  <si>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</si>
  <si>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</si>
  <si>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</si>
  <si>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</si>
  <si>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</si>
  <si>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</si>
  <si>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</si>
  <si>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</si>
  <si>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</si>
  <si>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</si>
  <si>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</si>
  <si>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</si>
  <si>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</si>
  <si>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</si>
  <si>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</si>
  <si>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</si>
  <si>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</si>
  <si>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</si>
  <si>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</si>
  <si>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</si>
  <si>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</si>
  <si>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</si>
  <si>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</si>
  <si>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</si>
  <si>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</si>
  <si>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</si>
  <si>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</si>
  <si>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</si>
  <si>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</si>
  <si>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</si>
  <si>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</si>
  <si>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</si>
  <si>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</si>
  <si>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</si>
  <si>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</si>
  <si>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</si>
  <si>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</si>
  <si>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</si>
  <si>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</si>
  <si>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</si>
  <si>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</si>
  <si>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</si>
  <si>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</si>
  <si>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</si>
  <si>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</si>
  <si>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</si>
  <si>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</si>
  <si>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</si>
  <si>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</si>
  <si>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</si>
  <si>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</si>
  <si>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</si>
  <si>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</si>
  <si>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</si>
  <si>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</si>
  <si>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</si>
  <si>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</si>
  <si>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</si>
  <si>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</si>
  <si>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</si>
  <si>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</si>
  <si>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</si>
  <si>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</si>
  <si>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</si>
  <si>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</si>
  <si>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</si>
  <si>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</si>
  <si>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</si>
  <si>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</si>
  <si>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</si>
  <si>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</si>
  <si>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</si>
  <si>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</si>
  <si>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</si>
  <si>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</si>
  <si>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</si>
  <si>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</si>
  <si>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</si>
  <si>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</si>
  <si>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</si>
  <si>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</si>
  <si>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</si>
  <si>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</si>
  <si>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</si>
  <si>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</si>
  <si>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</si>
  <si>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</si>
  <si>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</si>
  <si>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</si>
  <si>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</si>
  <si>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</si>
  <si>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</si>
  <si>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</si>
  <si>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</si>
  <si>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</si>
  <si>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</si>
  <si>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</si>
  <si>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</si>
  <si>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</si>
  <si>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</si>
  <si>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</si>
  <si>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</si>
  <si>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</si>
  <si>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</si>
  <si>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</si>
  <si>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</si>
  <si>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</si>
  <si>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</si>
  <si>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★運用ルール①: ベース合計（2,417人日）には足さない。顕在化した時点でベースへ繰入れ、各WBSの行とダッシュボードのサマリーを更新する</t>
  </si>
  <si>
    <t>★運用ルール③: 予算上は「ベース 2,417 + リスク引当 300 = 上限 2,717 人日」と読む</t>
  </si>
  <si>
    <t>ベース 2,417 + 条件付き 300 = 上限 2,717 人日</t>
  </si>
  <si>
    <t>★分岐（条件付きプール）は別シート「分岐プール」に集約。設計152／構築98／テスト50 = 合計300。予算上は ベース 2,417 + リスク引当 300 = 上限 2,717 人日</t>
  </si>
  <si>
    <t>★条件付きプール 300（設計152 = C-* 65 + CH-* 87 ／ 構築98 ／ テスト50）はベース外。予算上は ベース 2,417 + リスク引当 300 = 上限 2,717 人日。明細は別シート「分岐プール」</t>
  </si>
  <si>
    <t>★注意: 00a §6「構築+テスト 325〜455人日」は詳細設計を含まない旧値。上記の2,417人日とは別系統のため単純合算しないこと</t>
  </si>
  <si>
    <t>✓ 一致（① 812 ＋ ② 441 ＋ ③ 743 ＋ ④ 421）</t>
  </si>
  <si>
    <t>中核／Phase</t>
  </si>
  <si>
    <t>主な出典（ADR・設計書）</t>
  </si>
  <si>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</si>
  <si>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</si>
  <si>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</si>
  <si>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</si>
  <si>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</si>
  <si>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</si>
  <si>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</si>
  <si>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</si>
  <si>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</si>
  <si>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</si>
  <si>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</si>
  <si>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</si>
  <si>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</si>
  <si>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</si>
  <si>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</si>
  <si>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</si>
  <si>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</si>
  <si>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</si>
  <si>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</si>
  <si>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</si>
  <si>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</si>
  <si>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</si>
  <si>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</si>
  <si>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</si>
  <si>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</si>
  <si>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</si>
  <si>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</si>
  <si>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</si>
  <si>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</si>
  <si>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</si>
  <si>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</si>
  <si>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</si>
  <si>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</si>
  <si>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</si>
  <si>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</si>
  <si>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</si>
  <si>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</si>
  <si>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</si>
  <si>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</si>
  <si>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</si>
  <si>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</si>
  <si>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</si>
  <si>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</si>
  <si>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</si>
  <si>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</si>
  <si>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</si>
  <si>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</si>
  <si>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</si>
  <si>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</si>
  <si>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</si>
  <si>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</si>
  <si>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機能仕様書: SCIM受信: ユーザ作成</t>
  </si>
  <si>
    <t>HB-F-PROV-04</t>
  </si>
  <si>
    <t>機能仕様書: SCIM受信: ユーザ更新</t>
  </si>
  <si>
    <t>HB-F-PROV-05</t>
  </si>
  <si>
    <t>機能仕様書: SCIM受信: ユーザ削除（Soft Delete写像）</t>
  </si>
  <si>
    <t>HB-F-PROV-06</t>
  </si>
  <si>
    <t>機能仕様書: SCIM受信: 検索・フィルタ</t>
  </si>
  <si>
    <t>HB-F-PROV-07</t>
  </si>
  <si>
    <t>機能仕様書: SCIMグループ連携</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</si>
  <si>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</si>
  <si>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</si>
  <si>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</si>
  <si>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</si>
  <si>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</si>
  <si>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</si>
  <si>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</si>
  <si>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</si>
  <si>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</si>
  <si>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</si>
  <si>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</si>
  <si>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</si>
  <si>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</si>
  <si>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</si>
  <si>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</si>
  <si>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</si>
  <si>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</si>
  <si>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</si>
  <si>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</si>
  <si>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</si>
  <si>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</si>
  <si>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</si>
  <si>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</si>
  <si>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</si>
  <si>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</si>
  <si>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</si>
  <si>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</si>
  <si>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</si>
  <si>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</si>
  <si>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</si>
  <si>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</si>
  <si>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</si>
  <si>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</si>
  <si>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</si>
  <si>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</si>
  <si>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</si>
  <si>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</si>
  <si>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</si>
  <si>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</si>
  <si>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</si>
  <si>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</si>
  <si>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</si>
  <si>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機能仕様書: エンタイトルメント編集</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</si>
  <si>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</si>
  <si>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</si>
  <si>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</si>
  <si>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</si>
  <si>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</si>
  <si>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</si>
  <si>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</si>
  <si>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</si>
  <si>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</si>
  <si>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</si>
  <si>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</si>
  <si>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</si>
  <si>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</si>
  <si>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</si>
  <si>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</si>
  <si>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</si>
  <si>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</si>
  <si>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</si>
  <si>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</si>
  <si>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</si>
  <si>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</si>
  <si>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</si>
  <si>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</si>
  <si>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</si>
  <si>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</si>
  <si>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</si>
  <si>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</si>
  <si>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機能仕様書: エンタイトルメント判定</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</si>
  <si>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</si>
  <si>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</si>
  <si>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</si>
  <si>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</si>
  <si>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</si>
  <si>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</si>
  <si>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</si>
  <si>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</si>
  <si>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</si>
  <si>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</si>
  <si>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</si>
  <si>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</si>
  <si>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</si>
  <si>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</si>
  <si>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</si>
  <si>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</si>
  <si>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</si>
  <si>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</si>
  <si>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</si>
  <si>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</si>
  <si>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</si>
  <si>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</si>
  <si>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</si>
  <si>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</si>
  <si>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</si>
  <si>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</si>
  <si>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</si>
  <si>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機能仕様書: ITDR検知（Golden G-1〜6）</t>
  </si>
  <si>
    <t>HB-F-INT-09</t>
  </si>
  <si>
    <t>機能仕様書: Central Canary（外形監視）</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</si>
  <si>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</si>
  <si>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</si>
  <si>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</si>
  <si>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</si>
  <si>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</si>
  <si>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</si>
  <si>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</si>
  <si>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</si>
  <si>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</si>
  <si>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</si>
  <si>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</si>
  <si>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</si>
  <si>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</si>
  <si>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</si>
  <si>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</si>
  <si>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</si>
  <si>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</si>
  <si>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</si>
  <si>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</si>
  <si>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</si>
  <si>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</si>
  <si>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</si>
  <si>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</si>
  <si>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</si>
  <si>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</si>
  <si>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</si>
  <si>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</si>
  <si>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</si>
  <si>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★①812の内訳: 調査 108（PoCゲート A系）＋ 検討 704（うち設計成果物H 542。そのうち認証実装ガイドH-L 108・機能仕様書HB-F-* 57）。※出典の811はC-11（+1）を含まない値</t>
  </si>
  <si>
    <t>H. 設計成果物の執筆（検討542人日／292行）</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</si>
  <si>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</si>
  <si>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</si>
  <si>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</si>
  <si>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</si>
  <si>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</si>
  <si>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</si>
  <si>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</si>
  <si>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</si>
  <si>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</si>
  <si>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</si>
  <si>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</si>
  <si>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</si>
  <si>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</si>
  <si>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成果物と完了条件</t>
  </si>
  <si>
    <t>機能</t>
  </si>
  <si>
    <t>F-AUTH-02, F-AUTH-05</t>
  </si>
  <si>
    <t>F-AUTH-02, F-PROV-01, F-PROV-11</t>
  </si>
  <si>
    <t>F-PROV-03〜06, F-PROV-17</t>
  </si>
  <si>
    <t>F-AUTH-06, F-PROV-01</t>
  </si>
  <si>
    <t>F-AUTH-05, F-AUTH-06</t>
  </si>
  <si>
    <t>F-PROV-09, F-INT-08</t>
  </si>
  <si>
    <t>F-INT-01, F-INT-02</t>
  </si>
  <si>
    <t>F-PROV-01, F-AUTH-16</t>
  </si>
  <si>
    <t>F-AUTH-01, F-AUTH-02</t>
  </si>
  <si>
    <t>F-INT-11, F-BAT-07</t>
  </si>
  <si>
    <t>F-AUTH-02, F-AUTH-03</t>
  </si>
  <si>
    <t>F-AUTH-01, F-PROV-01</t>
  </si>
  <si>
    <t>F-AUTH-20, F-AUTH-21</t>
  </si>
  <si>
    <t>F-ADM-14, F-ADM-16</t>
  </si>
  <si>
    <t>F-ADM-04, F-BAT-*</t>
  </si>
  <si>
    <t>F-AUTH-01, F-AUTH-05</t>
  </si>
  <si>
    <t>F-ADM-01〜22</t>
  </si>
  <si>
    <t>F-INT-01, F-INT-04</t>
  </si>
  <si>
    <t>F-PROV-10, F-PROV-11</t>
  </si>
  <si>
    <t>F-AUTH-01〜19</t>
  </si>
  <si>
    <t>F-ADM-08, F-AUTH-18, F-INT-07</t>
  </si>
  <si>
    <t>F-ADM-11, F-ADM-12, F-AZ-03</t>
  </si>
  <si>
    <t>F-AZ-01, F-AZ-02</t>
  </si>
  <si>
    <t>F-PROV-03〜06</t>
  </si>
  <si>
    <t>F-INT-05, F-INT-06</t>
  </si>
  <si>
    <t>F-INT-07, F-AUTH-22</t>
  </si>
  <si>
    <t>F-BAT-*</t>
  </si>
  <si>
    <t>F-BAT-01, F-BAT-09</t>
  </si>
  <si>
    <t>F-BAT-02, F-BAT-03</t>
  </si>
  <si>
    <t>F-AZ-05, F-AZ-06</t>
  </si>
  <si>
    <t>F-AUTH-01〜09</t>
  </si>
  <si>
    <t>F-PROV-01, F-PROV-11</t>
  </si>
  <si>
    <t>（廃止）旧来の接続方式の検証。対象顧客がいないため実施しない</t>
    <phoneticPr fontId="2"/>
  </si>
  <si>
    <t>作業なし</t>
    <phoneticPr fontId="2"/>
  </si>
  <si>
    <t>（解消済み）識別子の対応づけデータの置き場所の検討。別の判断で決着したため不要</t>
    <phoneticPr fontId="2"/>
  </si>
  <si>
    <t>作業なし。決着内容は他の設計書に反映済み</t>
    <phoneticPr fontId="2"/>
  </si>
  <si>
    <t>（解消済み）利用者情報の受け取り窓口の実行方式の検討。別の判断で決着したため不要</t>
    <phoneticPr fontId="2"/>
  </si>
  <si>
    <t>（廃止）旧来の接続方式向けの追加設計。対象顧客がいないため実施しない</t>
    <phoneticPr fontId="2"/>
  </si>
  <si>
    <t>機能に付ける番号の体系と、大中小の階層の決め方を定める</t>
    <phoneticPr fontId="2"/>
  </si>
  <si>
    <t>体系定義。すべての機能に一意の番号が付けられる規則が定まっている</t>
    <phoneticPr fontId="2"/>
  </si>
  <si>
    <t>ログインや追加認証に関する機能を洗い出す</t>
    <phoneticPr fontId="2"/>
  </si>
  <si>
    <t>機能一覧（認証系 22 件）。番号が付き、重複や抜けがない</t>
    <phoneticPr fontId="2"/>
  </si>
  <si>
    <t>利用者情報の取り込みや削除に関する機能を洗い出す</t>
    <phoneticPr fontId="2"/>
  </si>
  <si>
    <t>機能一覧（プロビジョニング系 17 件）</t>
    <phoneticPr fontId="2"/>
  </si>
  <si>
    <t>管理者が使う機能を洗い出す</t>
    <phoneticPr fontId="2"/>
  </si>
  <si>
    <t>機能一覧（管理系 22 件）</t>
    <phoneticPr fontId="2"/>
  </si>
  <si>
    <t>権限判定に関する機能を洗い出す</t>
    <phoneticPr fontId="2"/>
  </si>
  <si>
    <t>機能一覧（認可系 9 件）</t>
    <phoneticPr fontId="2"/>
  </si>
  <si>
    <t>外部システムとの連携に関する機能を洗い出す</t>
    <phoneticPr fontId="2"/>
  </si>
  <si>
    <t>機能一覧（連携系 12 件）</t>
    <phoneticPr fontId="2"/>
  </si>
  <si>
    <t>定期実行する処理を洗い出す</t>
    <phoneticPr fontId="2"/>
  </si>
  <si>
    <t>機能一覧（バッチ系 9 件）</t>
    <phoneticPr fontId="2"/>
  </si>
  <si>
    <t>洗い出した機能が、これまでの決定事項と食い違っていないかを突き合わせる</t>
    <phoneticPr fontId="2"/>
  </si>
  <si>
    <t>突合結果。抜けや重複がないことが確認されている</t>
    <phoneticPr fontId="2"/>
  </si>
  <si>
    <t>（廃止）認証系の機能仕様書。1 機能 1 行に分割したため、この行では作業しない</t>
    <phoneticPr fontId="2"/>
  </si>
  <si>
    <t>作業なし。分割先の各行で実施する</t>
    <phoneticPr fontId="2"/>
  </si>
  <si>
    <t>（廃止）プロビジョニング系の機能仕様書。1 機能 1 行に分割したため、この行では作業しない</t>
    <phoneticPr fontId="2"/>
  </si>
  <si>
    <t>（廃止）管理系の機能仕様書。1 機能 1 行に分割したため、この行では作業しない</t>
    <phoneticPr fontId="2"/>
  </si>
  <si>
    <t>（廃止）認可系の機能仕様書。1 機能 1 行に分割したため、この行では作業しない</t>
    <phoneticPr fontId="2"/>
  </si>
  <si>
    <t>（廃止）連携系の機能仕様書。1 機能 1 行に分割したため、この行では作業しない</t>
    <phoneticPr fontId="2"/>
  </si>
  <si>
    <t>（廃止）バッチ系の機能仕様書。1 機能 1 行に分割したため、この行では作業しない</t>
    <phoneticPr fontId="2"/>
  </si>
  <si>
    <t>利用者から見た業務の流れを、代表的な 6 場面について図にする</t>
    <phoneticPr fontId="2"/>
  </si>
  <si>
    <t>業務フロー 6 本。利用者とシステムのやり取りが追える</t>
    <phoneticPr fontId="2"/>
  </si>
  <si>
    <t>管理者から見た業務の流れを、代表的な 5 場面について図にする</t>
    <phoneticPr fontId="2"/>
  </si>
  <si>
    <t>業務フロー 5 本</t>
    <phoneticPr fontId="2"/>
  </si>
  <si>
    <t>外部システムとの連携の流れを、代表的な 4 場面について図にする</t>
    <phoneticPr fontId="2"/>
  </si>
  <si>
    <t>業務フロー 4 本</t>
    <phoneticPr fontId="2"/>
  </si>
  <si>
    <t>利用者が登録されてから使えなくなるまでの状態の移り変わりを図にする</t>
    <phoneticPr fontId="2"/>
  </si>
  <si>
    <t>状態遷移図。すべての状態と移り変わりの条件が定まっている</t>
    <phoneticPr fontId="2"/>
  </si>
  <si>
    <t>通行証とログイン状態の移り変わりを図にする</t>
    <phoneticPr fontId="2"/>
  </si>
  <si>
    <t>状態遷移図。有効期限切れや強制終了の扱いが示されている</t>
    <phoneticPr fontId="2"/>
  </si>
  <si>
    <t>一覧画面での検索条件・並び順・件数の区切り方を決める</t>
    <phoneticPr fontId="2"/>
  </si>
  <si>
    <t>設計。大量データでも実用的な速さで返る条件が定まっている</t>
    <phoneticPr fontId="2"/>
  </si>
  <si>
    <t>まとめて登録するためのファイルの形式と取り込み方を決める</t>
    <phoneticPr fontId="2"/>
  </si>
  <si>
    <t>設計。形式・上限件数・一部が失敗した場合の扱いが定まっている</t>
    <phoneticPr fontId="2"/>
  </si>
  <si>
    <t>一覧や記録をファイルとして出力する機能の設計</t>
    <phoneticPr fontId="2"/>
  </si>
  <si>
    <t>設計。出力項目と、個人情報の扱いの注意が定まっている</t>
    <phoneticPr fontId="2"/>
  </si>
  <si>
    <t>（廃止）アプリ開発者向けの実装ガイド。章ごとに分割したため、この行では作業しない</t>
    <phoneticPr fontId="2"/>
  </si>
  <si>
    <t>作業なし。分割先の各章で実施する</t>
    <phoneticPr fontId="2"/>
  </si>
  <si>
    <t>このガイドの目的・想定読者・読み進め方をまとめた導入。改訂の方針もここに書く</t>
    <phoneticPr fontId="2"/>
  </si>
  <si>
    <t>ガイド 1 章。対象読者と前提知識が明示され、どの章から読めばよいかの案内がある</t>
    <phoneticPr fontId="2"/>
  </si>
  <si>
    <t>本基盤がどんな仕組みで、どこまでを引き受け、どこからがアプリ側の責任かを示す全体像</t>
    <phoneticPr fontId="2"/>
  </si>
  <si>
    <t>ガイド 1 章。提供する範囲と提供しない範囲が対比で示されている</t>
    <phoneticPr fontId="2"/>
  </si>
  <si>
    <t>このガイドで使う言葉の意味を揃える用語集</t>
    <phoneticPr fontId="2"/>
  </si>
  <si>
    <t>ガイド 1 章。本文で使う用語が漏れなく定義され、本文からリンクされている</t>
    <phoneticPr fontId="2"/>
  </si>
  <si>
    <t>接続作業を始める前にアプリ側で決めておくべきことを一覧にした章。アプリの種類・認証の強さ・情報の保持方法など</t>
    <phoneticPr fontId="2"/>
  </si>
  <si>
    <t>ガイド 1 章。決定事項が選択肢つきで列挙され、決めないと先に進めない項目が明示されている</t>
    <phoneticPr fontId="2"/>
  </si>
  <si>
    <t>接続の申請手続きと、申請から利用開始までにかかる期間の案内</t>
    <phoneticPr fontId="2"/>
  </si>
  <si>
    <t>ガイド 1 章。申請様式・審査観点・標準的な所要日数が示されている</t>
    <phoneticPr fontId="2"/>
  </si>
  <si>
    <t>開発・検証・本番それぞれの接続先情報の受け取り方と、環境ごとの違い</t>
    <phoneticPr fontId="2"/>
  </si>
  <si>
    <t>ガイド 1 章。接続先はアプリ内に直接書かず設定から読む方式であることが明記されている</t>
    <phoneticPr fontId="2"/>
  </si>
  <si>
    <t>接続に必要な情報を自動取得する仕組みと、その入口となるアドレスの案内</t>
    <phoneticPr fontId="2"/>
  </si>
  <si>
    <t>ガイド 1 章。取得すべき入口が 1 つに定まり、個別のアドレスを直接書かない原則が明記されている</t>
    <phoneticPr fontId="2"/>
  </si>
  <si>
    <t>アプリに配る接続用パスワードの管理方法と、定期的な入れ替えへの追随方法</t>
    <phoneticPr fontId="2"/>
  </si>
  <si>
    <t>ガイド 1 章。入れ替え時に接続が切れないための実装要件が示されている</t>
    <phoneticPr fontId="2"/>
  </si>
  <si>
    <t>サーバー側で処理を受け持つ形式のアプリ向けの実装手順。本基盤の推奨形式</t>
    <phoneticPr fontId="2"/>
  </si>
  <si>
    <t>ガイド 1 章。推奨する理由と、この形式でしか使えない機能が明示されている</t>
    <phoneticPr fontId="2"/>
  </si>
  <si>
    <t>ブラウザだけで動く形式のアプリ向けの実装手順と、認める条件</t>
    <phoneticPr fontId="2"/>
  </si>
  <si>
    <t>ガイド 1 章。通行証をブラウザに保存してはいけない範囲と、使えない機能の制約が明示されている</t>
    <phoneticPr fontId="2"/>
  </si>
  <si>
    <t>スマートフォンアプリ向けの実装方針。初期リリースでは対象外</t>
    <phoneticPr fontId="2"/>
  </si>
  <si>
    <t>ガイド 1 章。対象外である旨と、将来対応時の前提が示されている</t>
    <phoneticPr fontId="2"/>
  </si>
  <si>
    <t>画面を持たないシステム同士の連携で通行証を得る方法</t>
    <phoneticPr fontId="2"/>
  </si>
  <si>
    <t>ガイド 1 章。必要最小限の権限だけを申請する原則が示されている</t>
    <phoneticPr fontId="2"/>
  </si>
  <si>
    <t>旧来の方式で接続している既存システム向けの実装要件</t>
    <phoneticPr fontId="2"/>
  </si>
  <si>
    <t>ガイド 1 章。検証必須項目と、証明書入れ替え時の対応手順が示されている</t>
    <phoneticPr fontId="2"/>
  </si>
  <si>
    <t>ログインを開始するときにアプリが必ず付ける情報と、やってはいけない古い方式</t>
    <phoneticPr fontId="2"/>
  </si>
  <si>
    <t>ガイド 1 章。必須パラメータと禁止事項が判定可能な形で列挙されている</t>
    <phoneticPr fontId="2"/>
  </si>
  <si>
    <t>受け取った通行証をどこに保存してよいか・いけないかの方針</t>
    <phoneticPr fontId="2"/>
  </si>
  <si>
    <t>ガイド 1 章。保存場所ごとの可否と理由が示されている</t>
    <phoneticPr fontId="2"/>
  </si>
  <si>
    <t>アプリが受け取った通行証を検証するときの必須チェック項目。設定を誤ると検証が素通りする落とし穴の警告を含む</t>
    <phoneticPr fontId="2"/>
  </si>
  <si>
    <t>ガイド 1 章。7 つの検証項目と、宛先の設定漏れで検証が無効化される罠の警告が示されている</t>
    <phoneticPr fontId="2"/>
  </si>
  <si>
    <t>ログインした本人を表す情報を検証する手順</t>
    <phoneticPr fontId="2"/>
  </si>
  <si>
    <t>ガイド 1 章。必須の検証項目と、追加情報を問い合わせた場合の突き合わせ要件が示されている</t>
    <phoneticPr fontId="2"/>
  </si>
  <si>
    <t>署名の検証に使う鍵の取得方法と、鍵が入れ替わっても止まらないための保持方法。鍵をアプリ内に直接書くことは禁止</t>
    <phoneticPr fontId="2"/>
  </si>
  <si>
    <t>ガイド 1 章。取得の頻度・保持期間・未知の鍵が来た場合の動き・取得できないときの継続方法が数値で示されている</t>
    <phoneticPr fontId="2"/>
  </si>
  <si>
    <t>他のテナントのデータに触れないようにするための実装要件</t>
    <phoneticPr fontId="2"/>
  </si>
  <si>
    <t>ガイド 1 章。ログイン情報を要求内容より優先する原則と、データ 1 件ごとの確認が必要な理由が示されている</t>
    <phoneticPr fontId="2"/>
  </si>
  <si>
    <t>アプリが「この利用者は何ができるか」を取得する方法。通行証には権限が入っていないことの説明を含む</t>
    <phoneticPr fontId="2"/>
  </si>
  <si>
    <t>ガイド 1 章。取得の入口と、結果を保持してよい時間の考え方が示されている</t>
    <phoneticPr fontId="2"/>
  </si>
  <si>
    <t>ログイン状態がどれくらい続くのか、いつ切れるのかの説明</t>
    <phoneticPr fontId="2"/>
  </si>
  <si>
    <t>ガイド 1 章。有効期間の一覧と、切れたときのアプリ側の動きが示されている</t>
    <phoneticPr fontId="2"/>
  </si>
  <si>
    <t>ログアウトの 3 つの方式の違いと、どれをいつ使うかの整理。1 つ実装すれば全アプリで切れる、という誤解を正す</t>
    <phoneticPr fontId="2"/>
  </si>
  <si>
    <t>ガイド 1 章。3 方式の関係と責任分界が図で示されている</t>
    <phoneticPr fontId="2"/>
  </si>
  <si>
    <t>他のアプリでのログアウトを受け取って自分のセッションも切る実装。受け取った通知の検証項目を含む</t>
    <phoneticPr fontId="2"/>
  </si>
  <si>
    <t>ガイド 1 章。8 つの検証項目が列挙され、検証を省くと強制ログアウトの悪用が可能になる旨が警告されている</t>
    <phoneticPr fontId="2"/>
  </si>
  <si>
    <t>通行証を延長するための仕組みと、不正利用が疑われた場合の挙動</t>
    <phoneticPr fontId="2"/>
  </si>
  <si>
    <t>ガイド 1 章。延長時の入れ替え要件と、失効したときのアプリ側の動きが示されている</t>
    <phoneticPr fontId="2"/>
  </si>
  <si>
    <t>重要操作のときに追加認証を求められた場合のアプリ側の対応方法</t>
    <phoneticPr fontId="2"/>
  </si>
  <si>
    <t>ガイド 1 章。追加認証を求める応答の読み取り方と、再ログイン要求の組み立て方が示されている</t>
    <phoneticPr fontId="2"/>
  </si>
  <si>
    <t>接続前に満たすべきセキュリティ要件を、確認できる形にまとめた一覧</t>
    <phoneticPr fontId="2"/>
  </si>
  <si>
    <t>ガイド 1 章。各項目が満たす／満たさないで判定でき、受入審査に使える</t>
    <phoneticPr fontId="2"/>
  </si>
  <si>
    <t>ブラウザからの通信を安全にするための設定要件</t>
    <phoneticPr fontId="2"/>
  </si>
  <si>
    <t>ガイド 1 章。許可する接続元の指定方法と、緩めてはいけない設定が示されている</t>
    <phoneticPr fontId="2"/>
  </si>
  <si>
    <t>やってはいけない実装をまとめた一覧。実際に事故につながる 23 項目</t>
    <phoneticPr fontId="2"/>
  </si>
  <si>
    <t>ガイド 1 章。各項目に「何が起きるか」が併記され、レビュー時のチェックに使える</t>
    <phoneticPr fontId="2"/>
  </si>
  <si>
    <t>記録に残してよい情報・いけない情報と、問い合わせ調査のための共通の目印</t>
    <phoneticPr fontId="2"/>
  </si>
  <si>
    <t>ガイド 1 章。通行証を記録に残さない原則と、調査用の目印の付け方が示されている</t>
    <phoneticPr fontId="2"/>
  </si>
  <si>
    <t>エラーが返ったときにアプリが取るべき動作の一覧。すぐ再試行すれば成功するものをエラー画面にしない注意を含む</t>
    <phoneticPr fontId="2"/>
  </si>
  <si>
    <t>ガイド 1 章。主要なエラーごとに期待動作が定義され、再試行で回復するものが明示されている</t>
    <phoneticPr fontId="2"/>
  </si>
  <si>
    <t>権限が足りない場合に共通の案内画面へ誘導する決まり</t>
    <phoneticPr fontId="2"/>
  </si>
  <si>
    <t>ガイド 1 章。誘導先と、渡してよい理由コードが限定列挙されている</t>
    <phoneticPr fontId="2"/>
  </si>
  <si>
    <t>ログインできなかったときに利用者へ見せる案内の考え方</t>
    <phoneticPr fontId="2"/>
  </si>
  <si>
    <t>ガイド 1 章。再ログインへの誘導方法と、原因を詳しく出しすぎない方針が示されている</t>
    <phoneticPr fontId="2"/>
  </si>
  <si>
    <t>ログインボタンの表記やロゴの使い方の決まり</t>
    <phoneticPr fontId="2"/>
  </si>
  <si>
    <t>ガイド 1 章。表記の統一ルールと、使用可能な素材が示されている</t>
    <phoneticPr fontId="2"/>
  </si>
  <si>
    <t>あるアプリ向けの通行証を別のアプリ向けに交換する仕組みの使い方</t>
    <phoneticPr fontId="2"/>
  </si>
  <si>
    <t>ガイド 1 章。交換を許す条件と、権限を広げてはいけない原則が示されている</t>
    <phoneticPr fontId="2"/>
  </si>
  <si>
    <t>利用者の変更通知を受け取るアプリ側の実装要件。同じ通知が二重に来ても大丈夫にする方法を含む</t>
    <phoneticPr fontId="2"/>
  </si>
  <si>
    <t>ガイド 1 章。署名の確認・重複排除・順序が保証されない前提での作り方が示されている</t>
    <phoneticPr fontId="2"/>
  </si>
  <si>
    <t>利用者の状態変化を即時に受け取る新方式の姿勢。初期リリースでは対象外</t>
    <phoneticPr fontId="2"/>
  </si>
  <si>
    <t>ガイド 1 章。対象外である旨と、当面の代替手段が示されている</t>
    <phoneticPr fontId="2"/>
  </si>
  <si>
    <t>呼び出し回数の上限と、上限に達したときの正しい待ち方</t>
    <phoneticPr fontId="2"/>
  </si>
  <si>
    <t>ガイド 1 章。応答に含まれる待ち時間の読み方と、自己流の待ち方をしない旨が示されている</t>
    <phoneticPr fontId="2"/>
  </si>
  <si>
    <t>基盤側で障害が起きたときにアプリ側で何が起きるか、どこまで動き続けるかの説明</t>
    <phoneticPr fontId="2"/>
  </si>
  <si>
    <t>ガイド 1 章。止まる範囲・動き続ける範囲と、復旧時に再ログインが必要になる条件が示されている</t>
    <phoneticPr fontId="2"/>
  </si>
  <si>
    <t>アプリ側で持つべき監視の観点と、基盤側の定期確認への協力事項</t>
    <phoneticPr fontId="2"/>
  </si>
  <si>
    <t>ガイド 1 章。調査用の目印の連携方法と、確認用の入口の扱いが示されている</t>
    <phoneticPr fontId="2"/>
  </si>
  <si>
    <t>契約上アプリ側に理解してもらう必要がある制約の一覧。止めてから完全に切れるまでの時間差など</t>
    <phoneticPr fontId="2"/>
  </si>
  <si>
    <t>ガイド 1 章。制約が具体的な時間・条件つきで列挙され、契約文書と対応づいている</t>
    <phoneticPr fontId="2"/>
  </si>
  <si>
    <t>接続仕様が変わるときの通知方法と、移行にかけられる期間の約束</t>
    <phoneticPr fontId="2"/>
  </si>
  <si>
    <t>ガイド 1 章。事前通知の期間と、通知の届く手段が示されている</t>
    <phoneticPr fontId="2"/>
  </si>
  <si>
    <t>本番につなぐ前に試せる環境と、確認しておくべき項目</t>
    <phoneticPr fontId="2"/>
  </si>
  <si>
    <t>ガイド 1 章。検証環境の入手方法と、試験用の利用者の扱いが示されている</t>
    <phoneticPr fontId="2"/>
  </si>
  <si>
    <t>本番接続の前に満たす条件をまとめたチェックリスト</t>
    <phoneticPr fontId="2"/>
  </si>
  <si>
    <t>ガイド 1 章。判定可能な項目で構成され、外部の適合性試験の推奨も含まれている</t>
    <phoneticPr fontId="2"/>
  </si>
  <si>
    <t>本番稼働後に設定を変えたくなったときの手続き</t>
    <phoneticPr fontId="2"/>
  </si>
  <si>
    <t>ガイド 1 章。変更できる項目ごとの申請方法と所要期間が示されている</t>
    <phoneticPr fontId="2"/>
  </si>
  <si>
    <t>旧来のやり方から本基盤へ切り替える場合の移行手順</t>
    <phoneticPr fontId="2"/>
  </si>
  <si>
    <t>ガイド 1 章。切り替え時の並行運用の考え方と、注意点が示されている</t>
    <phoneticPr fontId="2"/>
  </si>
  <si>
    <t>接続に使う各種アドレスの一覧</t>
    <phoneticPr fontId="2"/>
  </si>
  <si>
    <t>ガイド 1 章。用途ごとに整理され、直接書かずに取得する方針と矛盾しない形で示されている</t>
    <phoneticPr fontId="2"/>
  </si>
  <si>
    <t>通行証に入っている情報と、申請できる権限の一覧</t>
    <phoneticPr fontId="2"/>
  </si>
  <si>
    <t>ガイド 1 章。各項目の意味と、権限を認可判断に使ってよい／いけない区別が示されている</t>
    <phoneticPr fontId="2"/>
  </si>
  <si>
    <t>使ってよい実装ライブラリの方針。特定製品専用の古い部品は使わせない</t>
    <phoneticPr fontId="2"/>
  </si>
  <si>
    <t>ガイド 1 章。推奨するライブラリの条件と、使用を認めない部品が明示されている</t>
    <phoneticPr fontId="2"/>
  </si>
  <si>
    <t>困ったときの問い合わせ先と、よくある質問</t>
    <phoneticPr fontId="2"/>
  </si>
  <si>
    <t>ガイド 1 章。緊急度別の連絡先と、回答の目安時間が示されている</t>
    <phoneticPr fontId="2"/>
  </si>
  <si>
    <t>このガイド自体の改訂履歴と、更新の知らせ方</t>
    <phoneticPr fontId="2"/>
  </si>
  <si>
    <t>ガイド 1 章。改訂の記録様式と、読者への通知方法が定義されている</t>
    <phoneticPr fontId="2"/>
  </si>
  <si>
    <t>ガイド内で使う処理の流れ図の作成</t>
    <phoneticPr fontId="2"/>
  </si>
  <si>
    <t>主要 8 パターンの流れ図。各章から参照され、文章と図の内容が一致している</t>
    <phoneticPr fontId="2"/>
  </si>
  <si>
    <t>ガイド全体を通しての整合性の確認と、設計書との突き合わせ</t>
    <phoneticPr fontId="2"/>
  </si>
  <si>
    <t>レビュー記録。設計書の決定と食い違う記述がないことが確認されている</t>
    <phoneticPr fontId="2"/>
  </si>
  <si>
    <t>アプリ開発チームへの説明会と、そこで出た指摘の反映</t>
    <phoneticPr fontId="2"/>
  </si>
  <si>
    <t>説明会の実施記録と改訂版ガイド。参加チームからの指摘が反映されている</t>
    <phoneticPr fontId="2"/>
  </si>
  <si>
    <t>利用者 ID とパスワードで直接ログインする機能。顧客側に認証システムがないテナントの利用者と、基盤の運用担当者が使う</t>
    <phoneticPr fontId="2"/>
  </si>
  <si>
    <t>機能仕様書 1 本。パスワード桁数・履歴・初回変更の扱いと、失敗時に利用者へ返す内容が定義されレビュー承認済み</t>
    <phoneticPr fontId="2"/>
  </si>
  <si>
    <t>ログイン画面で入力された ID から、その人がどの接続先（顧客の認証システム）の利用者かを判定し、自動で振り分ける。接続先の一覧を画面に出さずに済ませるための仕組み</t>
    <phoneticPr fontId="2"/>
  </si>
  <si>
    <t>機能仕様書 1 本。ID の書式から接続先を決める判定ルールと、判定できなかった場合の扱いが定義されレビュー承認済み</t>
    <phoneticPr fontId="2"/>
  </si>
  <si>
    <t>接続先を判定できなかったときに、パスワード入力欄に切り替えて処理を続ける動き。どのテナントか分からない状態でも利用者を止めないための逃げ道</t>
    <phoneticPr fontId="2"/>
  </si>
  <si>
    <t>機能仕様書 1 本。切り替わる条件と、利用者に見せる案内文の方針が定義されレビュー承認済み</t>
    <phoneticPr fontId="2"/>
  </si>
  <si>
    <t>1 つのテナントに接続先が複数ある場合に、利用者にどれを使うか選ばせる画面の動き</t>
    <phoneticPr fontId="2"/>
  </si>
  <si>
    <t>機能仕様書 1 本。選択肢の並び順の決め方と、そのテナント以外の接続先を見せない条件が定義されレビュー承認済み</t>
    <phoneticPr fontId="2"/>
  </si>
  <si>
    <t>顧客が持っている認証システムに認証を委ね、その結果を受け取ってログインさせる機能（標準的な連携方式）</t>
    <phoneticPr fontId="2"/>
  </si>
  <si>
    <t>機能仕様書 1 本。委譲時に渡す情報・受け取る情報と、拒否された場合の扱いが定義されレビュー承認済み</t>
    <phoneticPr fontId="2"/>
  </si>
  <si>
    <t>顧客が持っている認証システムのうち、旧来の方式で連携する場合のログイン機能</t>
    <phoneticPr fontId="2"/>
  </si>
  <si>
    <t>機能仕様書 1 本。旧方式特有の識別子の扱いと、標準方式との差分が定義されレビュー承認済み</t>
    <phoneticPr fontId="2"/>
  </si>
  <si>
    <t>顧客の認証システムで認証された人が初めてログインしたとき、基盤側に利用者の控えを自動で作る機能</t>
    <phoneticPr fontId="2"/>
  </si>
  <si>
    <t>機能仕様書 1 本。控えを作る条件・作らない条件と、既存の人と重なった場合の扱いが定義されレビュー承認済み</t>
    <phoneticPr fontId="2"/>
  </si>
  <si>
    <t>初回登録の後に毎回通る処理。属性の取り込みや必須項目の確認を行う</t>
    <phoneticPr fontId="2"/>
  </si>
  <si>
    <t>機能仕様書 1 本。毎回上書きする項目と保護する項目の区別が定義されレビュー承認済み</t>
    <phoneticPr fontId="2"/>
  </si>
  <si>
    <t>基盤内部で 2 段構えになっている認証システム同士の連携。利用者から見えない内部のログイン委譲</t>
    <phoneticPr fontId="2"/>
  </si>
  <si>
    <t>機能仕様書 1 本。内部連携で渡す情報と、片方が停止した場合の見え方が定義されレビュー承認済み</t>
    <phoneticPr fontId="2"/>
  </si>
  <si>
    <t>スマートフォンアプリで生成する 6 桁の数字による追加認証</t>
    <phoneticPr fontId="2"/>
  </si>
  <si>
    <t>機能仕様書 1 本。桁ずれの許容範囲と、連続失敗時の扱いが定義されレビュー承認済み</t>
    <phoneticPr fontId="2"/>
  </si>
  <si>
    <t>端末の生体認証やセキュリティキーを使った追加認証。本基盤の推奨方式</t>
    <phoneticPr fontId="2"/>
  </si>
  <si>
    <t>機能仕様書 1 本。利用できる認証器の条件と、登録済み端末が使えない場合の代替経路が定義されレビュー承認済み</t>
    <phoneticPr fontId="2"/>
  </si>
  <si>
    <t>スマートフォンアプリの追加認証を初めて登録する画面の流れ</t>
    <phoneticPr fontId="2"/>
  </si>
  <si>
    <t>機能仕様書 1 本。QR と手入力の両方を用意し、登録完了を確認してから有効化する手順が定義されレビュー承認済み</t>
    <phoneticPr fontId="2"/>
  </si>
  <si>
    <t>生体認証やセキュリティキーを初めて登録する画面の流れ</t>
    <phoneticPr fontId="2"/>
  </si>
  <si>
    <t>機能仕様書 1 本。登録時に確認する条件と、登録失敗時の案内が定義されレビュー承認済み</t>
    <phoneticPr fontId="2"/>
  </si>
  <si>
    <t>2 台目以降の認証器を登録するときに、追加認証をもう一度求める仕組み。乗っ取られた状態で勝手に端末を増やされるのを防ぐ</t>
    <phoneticPr fontId="2"/>
  </si>
  <si>
    <t>機能仕様書 1 本。追加認証を必須とする操作の一覧が定義されレビュー承認済み</t>
    <phoneticPr fontId="2"/>
  </si>
  <si>
    <t>端末を失くしたときに使う一度きりのコードを発行し、利用させる機能</t>
    <phoneticPr fontId="2"/>
  </si>
  <si>
    <t>機能仕様書 1 本。発行枚数・再発行条件・使用後の無効化が定義されレビュー承認済み</t>
    <phoneticPr fontId="2"/>
  </si>
  <si>
    <t>メールアドレスを持たない利用者が端末を失くした場合の復旧手段。管理者の承認を経て復旧する</t>
    <phoneticPr fontId="2"/>
  </si>
  <si>
    <t>機能仕様書 1 本。メールに依存しない復旧経路と、承認者の条件が定義されレビュー承認済み</t>
    <phoneticPr fontId="2"/>
  </si>
  <si>
    <t>重要な操作をするときだけ、その場で追加の認証を求める仕組み</t>
    <phoneticPr fontId="2"/>
  </si>
  <si>
    <t>機能仕様書 1 本。追加認証を求める操作の一覧と、断られた場合の扱いが定義されレビュー承認済み</t>
    <phoneticPr fontId="2"/>
  </si>
  <si>
    <t>利用者が自分でパスワードを再設定する機能</t>
    <phoneticPr fontId="2"/>
  </si>
  <si>
    <t>機能仕様書 1 本。本人確認の方法と、メールを持たない利用者の扱いが定義されレビュー承認済み</t>
    <phoneticPr fontId="2"/>
  </si>
  <si>
    <t>パスワードの変更と、初回ログイン時に変更を強制する動き</t>
    <phoneticPr fontId="2"/>
  </si>
  <si>
    <t>機能仕様書 1 本。強制する条件と、変更するまで他の操作をさせない範囲が定義されレビュー承認済み</t>
    <phoneticPr fontId="2"/>
  </si>
  <si>
    <t>パスワードの連続失敗を検知して一時的に受け付けなくする機能</t>
    <phoneticPr fontId="2"/>
  </si>
  <si>
    <t>機能仕様書 1 本。失敗回数・待ち時間・解除条件が定義されレビュー承認済み</t>
    <phoneticPr fontId="2"/>
  </si>
  <si>
    <t>「その ID は存在しない」と分かってしまう応答の違いをなくし、利用者一覧を推測されないようにする対策</t>
    <phoneticPr fontId="2"/>
  </si>
  <si>
    <t>機能仕様書 1 本。存在有無で応答・時間差が変わらないことの確認方法が定義されレビュー承認済み</t>
    <phoneticPr fontId="2"/>
  </si>
  <si>
    <t>過去に流出したパスワードが使われていないか外部サービスに照会する機能</t>
    <phoneticPr fontId="2"/>
  </si>
  <si>
    <t>機能仕様書 1 本。照会のタイミングと、一致した場合の利用者への扱いが定義されレビュー承認済み</t>
    <phoneticPr fontId="2"/>
  </si>
  <si>
    <t>顧客の認証システム経由で初めてログインした人を、その場で利用者として登録する機能</t>
    <phoneticPr fontId="2"/>
  </si>
  <si>
    <t>機能仕様書 1 本。登録時に設定する項目と、登録しない条件が定義されレビュー承認済み</t>
    <phoneticPr fontId="2"/>
  </si>
  <si>
    <t>2 回目以降のログイン時に、顧客側の最新情報で属性を更新する機能</t>
    <phoneticPr fontId="2"/>
  </si>
  <si>
    <t>機能仕様書 1 本。上書きする項目と、基盤側で保護して上書きさせない項目の区別が定義されレビュー承認済み</t>
    <phoneticPr fontId="2"/>
  </si>
  <si>
    <t>顧客の人事システムなどから利用者の新規登録を受け取る機能</t>
    <phoneticPr fontId="2"/>
  </si>
  <si>
    <t>機能仕様書 1 本。受け取る項目・必須条件と、重複時の扱いが定義されレビュー承認済み</t>
    <phoneticPr fontId="2"/>
  </si>
  <si>
    <t>顧客側からの利用者情報の変更を受け取って反映する機能</t>
    <phoneticPr fontId="2"/>
  </si>
  <si>
    <t>機能仕様書 1 本。反映対象の項目と、反映しない項目が定義されレビュー承認済み</t>
    <phoneticPr fontId="2"/>
  </si>
  <si>
    <t>顧客側からの削除通知を受け取り、基盤側では消さずに使えない状態にする機能</t>
    <phoneticPr fontId="2"/>
  </si>
  <si>
    <t>機能仕様書 1 本。削除通知を無効化に読み替える規則と、記録に残す項目が定義されレビュー承認済み</t>
    <phoneticPr fontId="2"/>
  </si>
  <si>
    <t>顧客側から利用者を検索・絞り込みで問い合わせられるようにする機能</t>
    <phoneticPr fontId="2"/>
  </si>
  <si>
    <t>機能仕様書 1 本。検索できる項目と、他テナントの情報が出ないことの担保が定義されレビュー承認済み</t>
    <phoneticPr fontId="2"/>
  </si>
  <si>
    <t>顧客側のグループ情報を受け取る機能。初期リリースでは対象外</t>
    <phoneticPr fontId="2"/>
  </si>
  <si>
    <t>機能仕様書 1 本（対象外の宣言を含む）。将来対応する場合の前提と、当面受け取らない旨が明記されレビュー承認済み</t>
    <phoneticPr fontId="2"/>
  </si>
  <si>
    <t>顧客ごとにバラバラな項目名を、基盤内の共通の呼び方に変換して取り込む仕組み</t>
    <phoneticPr fontId="2"/>
  </si>
  <si>
    <t>機能仕様書 1 本。変換の対応表をどこで管理するかと、対応がない項目の扱いが定義されレビュー承認済み</t>
    <phoneticPr fontId="2"/>
  </si>
  <si>
    <t>その利用者がどの経路で登録されたかを区別し、後の自動処理の対象を判断できるようにする仕組み</t>
    <phoneticPr fontId="2"/>
  </si>
  <si>
    <t>機能仕様書 1 本。区分の一覧と、経路が重なった場合にどれを優先するかが定義されレビュー承認済み</t>
    <phoneticPr fontId="2"/>
  </si>
  <si>
    <t>利用者を削除せず使えない状態にし、いつ止めたかを記録する機能</t>
    <phoneticPr fontId="2"/>
  </si>
  <si>
    <t>機能仕様書 1 本。止める操作の入口と、記録する日時項目が定義されレビュー承認済み</t>
    <phoneticPr fontId="2"/>
  </si>
  <si>
    <t>一度止めた利用者を再び使えるようにする機能。誤って復活させない条件を含む</t>
    <phoneticPr fontId="2"/>
  </si>
  <si>
    <t>機能仕様書 1 本。復活させてよい条件・させてはいけない条件が定義されレビュー承認済み</t>
    <phoneticPr fontId="2"/>
  </si>
  <si>
    <t>片方のシステムで利用者を止めたとき、その事実をもう一方にも必ず伝えて確実に遮断する仕組み</t>
    <phoneticPr fontId="2"/>
  </si>
  <si>
    <t>機能仕様書 1 本。伝わらなかった場合の再送と、遅れた場合の最大の待ち時間が定義されレビュー承認済み</t>
    <phoneticPr fontId="2"/>
  </si>
  <si>
    <t>再び使えるようにした場合も、止めたときと同じ経路でもう一方に伝える仕組み</t>
    <phoneticPr fontId="2"/>
  </si>
  <si>
    <t>機能仕様書 1 本。止める側と戻す側で扱いが対称であることが定義されレビュー承認済み</t>
    <phoneticPr fontId="2"/>
  </si>
  <si>
    <t>初めてログインした人の識別子を、権限を管理する側へ知らせる仕組み</t>
    <phoneticPr fontId="2"/>
  </si>
  <si>
    <t>機能仕様書 1 本。通知する内容と、二重に届いた場合の扱いが定義されレビュー承認済み</t>
    <phoneticPr fontId="2"/>
  </si>
  <si>
    <t>権限管理側で、まだ権限が設定されていない利用者の受け皿となる行を作る機能</t>
    <phoneticPr fontId="2"/>
  </si>
  <si>
    <t>機能仕様書 1 本。作成する条件と、テナントをまたいで混ざらない担保が定義されレビュー承認済み</t>
    <phoneticPr fontId="2"/>
  </si>
  <si>
    <t>顧客側の利用者番号と基盤側の識別子を対応づけて管理する機能</t>
    <phoneticPr fontId="2"/>
  </si>
  <si>
    <t>機能仕様書 1 本。対応づけの登録・更新の経路と、番号が変わった場合の扱いが定義されレビュー承認済み</t>
    <phoneticPr fontId="2"/>
  </si>
  <si>
    <t>アプリが 1 回の問い合わせで必要な情報を得られるよう、複数の情報源をまとめた参照用データを最新に保つ仕組み</t>
    <phoneticPr fontId="2"/>
  </si>
  <si>
    <t>機能仕様書 1 本。更新の入力元と、同じ更新が二重に来た場合の扱いが定義されレビュー承認済み</t>
    <phoneticPr fontId="2"/>
  </si>
  <si>
    <t>管理者が自分のテナントの利用者を検索・一覧表示する機能</t>
    <phoneticPr fontId="2"/>
  </si>
  <si>
    <t>機能仕様書 1 本。検索条件・並び順・件数の上限と、他テナントが出ないことの担保が定義されレビュー承認済み</t>
    <phoneticPr fontId="2"/>
  </si>
  <si>
    <t>利用者 1 人の詳細情報を表示する機能</t>
    <phoneticPr fontId="2"/>
  </si>
  <si>
    <t>機能仕様書 1 本。表示する項目と、権限によって見せない項目が定義されレビュー承認済み</t>
    <phoneticPr fontId="2"/>
  </si>
  <si>
    <t>管理者が利用者を新規に登録する機能</t>
    <phoneticPr fontId="2"/>
  </si>
  <si>
    <t>機能仕様書 1 本。入力必須項目と、登録できない条件が定義されレビュー承認済み</t>
    <phoneticPr fontId="2"/>
  </si>
  <si>
    <t>管理者が利用者の情報を変更する機能</t>
    <phoneticPr fontId="2"/>
  </si>
  <si>
    <t>機能仕様書 1 本。変更できる項目と、顧客側から同期される項目の扱いの違いが定義されレビュー承認済み</t>
    <phoneticPr fontId="2"/>
  </si>
  <si>
    <t>管理者が利用者を一時的に使えなくする／戻す機能</t>
    <phoneticPr fontId="2"/>
  </si>
  <si>
    <t>機能仕様書 1 本。操作の即時性と、利用中のログイン状態への影響が定義されレビュー承認済み</t>
    <phoneticPr fontId="2"/>
  </si>
  <si>
    <t>管理者が利用者を削除する機能。実際には消さずに使えない状態にする</t>
    <phoneticPr fontId="2"/>
  </si>
  <si>
    <t>機能仕様書 1 本。削除操作の入口と、取り消せない旨の確認方法が定義されレビュー承認済み</t>
    <phoneticPr fontId="2"/>
  </si>
  <si>
    <t>管理者が利用者のパスワードを初期化する機能</t>
    <phoneticPr fontId="2"/>
  </si>
  <si>
    <t>機能仕様書 1 本。初期化後の受け渡し方法と、次回ログイン時の強制変更が定義されレビュー承認済み</t>
    <phoneticPr fontId="2"/>
  </si>
  <si>
    <t>新しい利用者に招待を送り、本人に初期設定させる機能</t>
    <phoneticPr fontId="2"/>
  </si>
  <si>
    <t>機能仕様書 1 本。招待の有効期限・再送・失効の扱いが定義されレビュー承認済み</t>
    <phoneticPr fontId="2"/>
  </si>
  <si>
    <t>管理者が利用者の追加認証の登録を解除する機能。端末紛失時の復旧に使う</t>
    <phoneticPr fontId="2"/>
  </si>
  <si>
    <t>機能仕様書 1 本。解除できる条件と、承認・記録の要否が定義されレビュー承認済み</t>
    <phoneticPr fontId="2"/>
  </si>
  <si>
    <t>管理者が利用者のログイン状態を強制的に終了させる機能。個別・テナント単位・全体の 3 段階</t>
    <phoneticPr fontId="2"/>
  </si>
  <si>
    <t>機能仕様書 1 本。3 つの範囲それぞれの適用条件と、影響範囲が定義されレビュー承認済み</t>
    <phoneticPr fontId="2"/>
  </si>
  <si>
    <t>どの利用者にどのアプリを使わせるかを設定する機能</t>
    <phoneticPr fontId="2"/>
  </si>
  <si>
    <t>機能仕様書 1 本。設定の単位と、設定変更がアプリ側に反映されるまでの考え方が定義されレビュー承認済み</t>
    <phoneticPr fontId="2"/>
  </si>
  <si>
    <t>アプリごとの役割（ロール）を利用者に割り当てる機能</t>
    <phoneticPr fontId="2"/>
  </si>
  <si>
    <t>機能仕様書 1 本。役割の値をアプリ側が自由に決められる範囲が定義されレビュー承認済み</t>
    <phoneticPr fontId="2"/>
  </si>
  <si>
    <t>利用者が所属する組織の情報を編集する機能</t>
    <phoneticPr fontId="2"/>
  </si>
  <si>
    <t>機能仕様書 1 本。編集できる属性と、アプリ側へ渡る範囲が定義されレビュー承認済み</t>
    <phoneticPr fontId="2"/>
  </si>
  <si>
    <t>新しい顧客テナントを作成する機能</t>
    <phoneticPr fontId="2"/>
  </si>
  <si>
    <t>機能仕様書 1 本。作成時に必要な情報と、初期状態の設定が定義されレビュー承認済み</t>
    <phoneticPr fontId="2"/>
  </si>
  <si>
    <t>テナントごとの設定（ログイン方式の切り替えなど）を編集する機能</t>
    <phoneticPr fontId="2"/>
  </si>
  <si>
    <t>機能仕様書 1 本。設定できる項目と、変更が利用者に及ぼす影響が定義されレビュー承認済み</t>
    <phoneticPr fontId="2"/>
  </si>
  <si>
    <t>顧客の認証システムを基盤に接続する登録作業を行う機能</t>
    <phoneticPr fontId="2"/>
  </si>
  <si>
    <t>機能仕様書 1 本。登録に必要な情報と、接続確認が取れるまでの手順が定義されレビュー承認済み</t>
    <phoneticPr fontId="2"/>
  </si>
  <si>
    <t>接続済みの認証システムの設定変更と、期限が来る証明書の入れ替えを行う機能</t>
    <phoneticPr fontId="2"/>
  </si>
  <si>
    <t>機能仕様書 1 本。無停止で入れ替える手順と、期限切れ前の通知が定義されレビュー承認済み</t>
    <phoneticPr fontId="2"/>
  </si>
  <si>
    <t>管理操作やログインの記録を、管理者が検索・閲覧する機能</t>
    <phoneticPr fontId="2"/>
  </si>
  <si>
    <t>機能仕様書 1 本。閲覧できる範囲・期間と、他テナントが見えないことの担保が定義されレビュー承認済み</t>
    <phoneticPr fontId="2"/>
  </si>
  <si>
    <t>権限が今も妥当かを定期的に見直させる機能</t>
    <phoneticPr fontId="2"/>
  </si>
  <si>
    <t>機能仕様書 1 本。見直しの周期・対象・未対応時の扱いが定義されレビュー承認済み</t>
    <phoneticPr fontId="2"/>
  </si>
  <si>
    <t>利用者をまとめて登録するためのファイル取り込み機能</t>
    <phoneticPr fontId="2"/>
  </si>
  <si>
    <t>機能仕様書 1 本。ファイル形式・件数上限・一部が失敗した場合の扱いが定義されレビュー承認済み</t>
    <phoneticPr fontId="2"/>
  </si>
  <si>
    <t>利用者一覧や操作記録をファイルとして出力する機能</t>
    <phoneticPr fontId="2"/>
  </si>
  <si>
    <t>機能仕様書 1 本。出力できる項目・件数上限と、個人情報の取り扱い注意が定義されレビュー承認済み</t>
    <phoneticPr fontId="2"/>
  </si>
  <si>
    <t>人ではないシステム用のアカウントを台帳で管理する機能</t>
    <phoneticPr fontId="2"/>
  </si>
  <si>
    <t>機能仕様書 1 本。登録必須項目（管理責任者など）と、使われていないものの検出方針が定義されレビュー承認済み</t>
    <phoneticPr fontId="2"/>
  </si>
  <si>
    <t>アプリが「この利用者は何ができるか」を 1 回の問い合わせで取得できるようにする機能</t>
    <phoneticPr fontId="2"/>
  </si>
  <si>
    <t>機能仕様書 1 本。返す情報の構成と、アプリ側で結果を保持してよい時間の考え方が定義されレビュー承認済み</t>
    <phoneticPr fontId="2"/>
  </si>
  <si>
    <t>ログイン後の入口画面に表示する「使えるアプリの一覧」を返す機能</t>
    <phoneticPr fontId="2"/>
  </si>
  <si>
    <t>機能仕様書 1 本。一覧に出す条件と、権限がないアプリを出さない扱いが定義されレビュー承認済み</t>
    <phoneticPr fontId="2"/>
  </si>
  <si>
    <t>利用者がそのアプリを使ってよいかを判定する処理</t>
    <phoneticPr fontId="2"/>
  </si>
  <si>
    <t>機能仕様書 1 本。判定の入力と結果の種類、判定できない場合の扱いが定義されレビュー承認済み</t>
    <phoneticPr fontId="2"/>
  </si>
  <si>
    <t>アプリごとの役割の値を解決して返す処理</t>
    <phoneticPr fontId="2"/>
  </si>
  <si>
    <t>機能仕様書 1 本。値の受け渡し方式と、アプリ側の解釈に委ねる範囲が定義されレビュー承認済み</t>
    <phoneticPr fontId="2"/>
  </si>
  <si>
    <t>利用者が自分のテナント以外のデータに触れないよう強制する仕組み</t>
    <phoneticPr fontId="2"/>
  </si>
  <si>
    <t>機能仕様書 1 本。要求内容よりログイン情報を優先する原則と、違反時の応答が定義されレビュー承認済み</t>
    <phoneticPr fontId="2"/>
  </si>
  <si>
    <t>管理画面の操作について、テナント・役割・対象の 3 つの観点で権限を確認する仕組み</t>
    <phoneticPr fontId="2"/>
  </si>
  <si>
    <t>機能仕様書 1 本。3 段階それぞれの確認内容と、いずれか失敗時の応答が定義されレビュー承認済み</t>
    <phoneticPr fontId="2"/>
  </si>
  <si>
    <t>アプリやバッチがシステムとして API を呼ぶための通行証を発行する機能</t>
    <phoneticPr fontId="2"/>
  </si>
  <si>
    <t>機能仕様書 1 本。発行できる権限の種類と、最小限に絞る原則が定義されレビュー承認済み</t>
    <phoneticPr fontId="2"/>
  </si>
  <si>
    <t>あるアプリ向けの通行証を、別のアプリ向けに交換する機能</t>
    <phoneticPr fontId="2"/>
  </si>
  <si>
    <t>機能仕様書 1 本。交換を許す組み合わせと、権限を広げない原則が定義されレビュー承認済み</t>
    <phoneticPr fontId="2"/>
  </si>
  <si>
    <t>誰が何を許可・拒否されたかを記録する機能</t>
    <phoneticPr fontId="2"/>
  </si>
  <si>
    <t>機能仕様書 1 本。記録する項目と、量を抑えるための記録対象の絞り方が定義されレビュー承認済み</t>
    <phoneticPr fontId="2"/>
  </si>
  <si>
    <t>業務システムに対して、本基盤が認証の提供元として振る舞う連携機能</t>
    <phoneticPr fontId="2"/>
  </si>
  <si>
    <t>機能仕様書 1 本。連携で渡す識別子と、受け側の設定要件が定義されレビュー承認済み</t>
    <phoneticPr fontId="2"/>
  </si>
  <si>
    <t>業務システム側で、初回ログイン時に利用者を自動作成させる連携</t>
    <phoneticPr fontId="2"/>
  </si>
  <si>
    <t>機能仕様書 1 本。突合に使う項目と、既存利用者と重なった場合の扱いが定義されレビュー承認済み</t>
    <phoneticPr fontId="2"/>
  </si>
  <si>
    <t>業務システムにログインした状態から、他のアプリの API を呼べるようにする連携</t>
    <phoneticPr fontId="2"/>
  </si>
  <si>
    <t>機能仕様書 1 本。通行証の受け渡し経路と、対象アプリの条件が定義されレビュー承認済み</t>
    <phoneticPr fontId="2"/>
  </si>
  <si>
    <t>利用者の変更をアプリ側へ通知する仕組み。届かなかった場合の再送を含む</t>
    <phoneticPr fontId="2"/>
  </si>
  <si>
    <t>機能仕様書 1 本。通知の種類・再送回数・受信側の実装要件が定義されレビュー承認済み</t>
    <phoneticPr fontId="2"/>
  </si>
  <si>
    <t>利用者を止めた事実を、アカウントをまたいで別システムへ伝える連携</t>
    <phoneticPr fontId="2"/>
  </si>
  <si>
    <t>機能仕様書 1 本。伝える内容と、二重に届いた場合の扱いが定義されレビュー承認済み</t>
    <phoneticPr fontId="2"/>
  </si>
  <si>
    <t>初回ログインした人の識別子を、アカウントをまたいで権限管理側へ伝える連携</t>
    <phoneticPr fontId="2"/>
  </si>
  <si>
    <t>機能仕様書 1 本。伝える内容と、順序が入れ替わった場合の扱いが定義されレビュー承認済み</t>
    <phoneticPr fontId="2"/>
  </si>
  <si>
    <t>招待・パスワード再設定・注意喚起などのメールを送る機能</t>
    <phoneticPr fontId="2"/>
  </si>
  <si>
    <t>機能仕様書 1 本。送信する種類と、届かなかった場合の扱いが定義されレビュー承認済み</t>
    <phoneticPr fontId="2"/>
  </si>
  <si>
    <t>不正なログインの兆候を検知して通知する機能</t>
    <phoneticPr fontId="2"/>
  </si>
  <si>
    <t>機能仕様書 1 本。検知する事象の種類と、検知後に何をするかが定義されレビュー承認済み</t>
    <phoneticPr fontId="2"/>
  </si>
  <si>
    <t>本物の利用者を模した定期的なログイン試行で、障害を利用者より先に見つける機能</t>
    <phoneticPr fontId="2"/>
  </si>
  <si>
    <t>機能仕様書 1 本。試行の頻度・対象と、失敗時の通知先が定義されレビュー承認済み</t>
    <phoneticPr fontId="2"/>
  </si>
  <si>
    <t>アプリ側の設置状況を基盤側から定期的に見に行き、設定漏れを見つける機能</t>
    <phoneticPr fontId="2"/>
  </si>
  <si>
    <t>機能仕様書 1 本。巡回の対象と、差分が見つかった場合の扱いが定義されレビュー承認済み</t>
    <phoneticPr fontId="2"/>
  </si>
  <si>
    <t>顧客の認証システムの接続情報を定期的に取り直し、証明書の入れ替えに自動追随する機能</t>
    <phoneticPr fontId="2"/>
  </si>
  <si>
    <t>機能仕様書 1 本。取得の頻度と、取得できなかった場合の代替手順が定義されレビュー承認済み</t>
    <phoneticPr fontId="2"/>
  </si>
  <si>
    <t>利用者の状態変化をアプリ側へ即時に伝える新方式。初期リリースでは対象外</t>
    <phoneticPr fontId="2"/>
  </si>
  <si>
    <t>機能仕様書 1 本（対象外の宣言を含む）。将来導入する場合の前提と、当面は代替手段で運用する旨が明記されレビュー承認済み</t>
    <phoneticPr fontId="2"/>
  </si>
  <si>
    <t>長期間ログインのない利用者を自動で使えない状態にする定期処理</t>
    <phoneticPr fontId="2"/>
  </si>
  <si>
    <t>機能仕様書 1 本。対象とする利用者の条件・除外条件と、実行頻度が定義されレビュー承認済み</t>
    <phoneticPr fontId="2"/>
  </si>
  <si>
    <t>止めた事実が確実に伝わったかを短い間隔で突き合わせ、漏れを直す処理</t>
    <phoneticPr fontId="2"/>
  </si>
  <si>
    <t>機能仕様書 1 本。突き合わせの間隔と、ずれを見つけた場合の直し方が定義されレビュー承認済み</t>
    <phoneticPr fontId="2"/>
  </si>
  <si>
    <t>システム間の情報のずれを 1 日 1 回突き合わせる処理</t>
    <phoneticPr fontId="2"/>
  </si>
  <si>
    <t>機能仕様書 1 本。突き合わせる対象と、差分の報告先が定義されレビュー承認済み</t>
    <phoneticPr fontId="2"/>
  </si>
  <si>
    <t>通行証の署名に使う鍵を定期的に入れ替える処理。切り替え中も止めないための並走期間を含む</t>
    <phoneticPr fontId="2"/>
  </si>
  <si>
    <t>機能仕様書 1 本。入れ替え周期・並走期間と、失敗時の手動手順が定義されレビュー承認済み</t>
    <phoneticPr fontId="2"/>
  </si>
  <si>
    <t>アプリごとの接続用パスワードを定期的に入れ替える処理</t>
    <phoneticPr fontId="2"/>
  </si>
  <si>
    <t>機能仕様書 1 本。入れ替え周期と、切り替え中に接続が切れないための扱いが定義されレビュー承認済み</t>
    <phoneticPr fontId="2"/>
  </si>
  <si>
    <t>使われなくなったシステム用アカウントを検出して通知する処理</t>
    <phoneticPr fontId="2"/>
  </si>
  <si>
    <t>機能仕様書 1 本。未使用と判断する条件と、通知先・対応期限が定義されレビュー承認済み</t>
    <phoneticPr fontId="2"/>
  </si>
  <si>
    <t>証明書の期限切れが近いものを検出して通知する処理</t>
    <phoneticPr fontId="2"/>
  </si>
  <si>
    <t>機能仕様書 1 本。通知するタイミングと、通知先が定義されレビュー承認済み</t>
    <phoneticPr fontId="2"/>
  </si>
  <si>
    <t>権限の見直し依頼を定期的に開始する処理</t>
    <phoneticPr fontId="2"/>
  </si>
  <si>
    <t>機能仕様書 1 本。開始の周期・対象範囲と、未対応時の扱いが定義されレビュー承認済み</t>
    <phoneticPr fontId="2"/>
  </si>
  <si>
    <t>保存期限を過ぎたデータを実際に消去する処理。初期リリースでは準備のみ</t>
    <phoneticPr fontId="2"/>
  </si>
  <si>
    <t>機能仕様書 1 本（準備範囲の宣言を含む）。起算日の考え方と、初期リリースでは実行しない旨が明記されレビュー承認済み</t>
    <phoneticPr fontId="2"/>
  </si>
  <si>
    <t>設計書全体の入口となる章。目的・扱う範囲・読み方をまとめる</t>
    <phoneticPr fontId="2"/>
  </si>
  <si>
    <t>総則の章。範囲外の事項も明示されている</t>
    <phoneticPr fontId="2"/>
  </si>
  <si>
    <t>設計の土台となる前提条件を一覧にし、変わった場合にどこへ影響するかを示す</t>
    <phoneticPr fontId="2"/>
  </si>
  <si>
    <t>前提一覧。各前提に影響範囲が紐づいている</t>
    <phoneticPr fontId="2"/>
  </si>
  <si>
    <t>設計書で使う言葉の意味を統一する</t>
    <phoneticPr fontId="2"/>
  </si>
  <si>
    <t>用語集。本文で使う用語が漏れなく定義されている</t>
    <phoneticPr fontId="2"/>
  </si>
  <si>
    <t>システム全体の構成を、機能のまとまりで表した図</t>
    <phoneticPr fontId="2"/>
  </si>
  <si>
    <t>論理構成図。主要な構成要素と関係が 1 枚で分かる</t>
    <phoneticPr fontId="2"/>
  </si>
  <si>
    <t>システム全体の構成を、実際の設備配置で表した図</t>
    <phoneticPr fontId="2"/>
  </si>
  <si>
    <t>物理構成図。設備の配置と接続経路が示されている</t>
    <phoneticPr fontId="2"/>
  </si>
  <si>
    <t>異常が起きたときの扱い方を全体で統一する方式</t>
    <phoneticPr fontId="2"/>
  </si>
  <si>
    <t>方式設計。異常の分類と、それぞれの扱いが定まっている</t>
    <phoneticPr fontId="2"/>
  </si>
  <si>
    <t>記録の出し方を全体で統一する方式</t>
    <phoneticPr fontId="2"/>
  </si>
  <si>
    <t>方式設計。出力の粒度・形式・保存期間が定まっている</t>
    <phoneticPr fontId="2"/>
  </si>
  <si>
    <t>複数の処理をまとめて確定させる／取り消す仕組みの方針</t>
    <phoneticPr fontId="2"/>
  </si>
  <si>
    <t>方式設計。まとめる単位と、失敗時の戻し方が定まっている</t>
    <phoneticPr fontId="2"/>
  </si>
  <si>
    <t>同じデータを同時に触ったときの競合の防ぎ方</t>
    <phoneticPr fontId="2"/>
  </si>
  <si>
    <t>方式設計。競合の検出方法と、後勝ち／先勝ちの決めが定まっている</t>
    <phoneticPr fontId="2"/>
  </si>
  <si>
    <t>ログイン状態をどう保持するかの全体方針</t>
    <phoneticPr fontId="2"/>
  </si>
  <si>
    <t>方式設計。保持する場所と有効期間の考え方が定まっている</t>
    <phoneticPr fontId="2"/>
  </si>
  <si>
    <t>文字の扱い・日時の扱い・時差の扱いを統一する方針</t>
    <phoneticPr fontId="2"/>
  </si>
  <si>
    <t>方式設計。保存時と表示時の扱いが定まっている</t>
    <phoneticPr fontId="2"/>
  </si>
  <si>
    <t>画面や通知を複数の言語で出せるようにするための作り方の方針。初期リリースでどこまで対応するかを含む</t>
    <phoneticPr fontId="2"/>
  </si>
  <si>
    <t>方式設計。初期リリースの対応言語と、将来増やす際の作りが定まっている</t>
    <phoneticPr fontId="2"/>
  </si>
  <si>
    <t>よく使うデータを一時的に手元に置く仕組みの方針</t>
    <phoneticPr fontId="2"/>
  </si>
  <si>
    <t>方式設計。置く対象・保持時間・古くなった際の捨て方が定まっている</t>
    <phoneticPr fontId="2"/>
  </si>
  <si>
    <t>各種の識別番号を誰がどう採番するかの方針</t>
    <phoneticPr fontId="2"/>
  </si>
  <si>
    <t>方式設計。重複しない仕組みと、採番の責任者が定まっている</t>
    <phoneticPr fontId="2"/>
  </si>
  <si>
    <t>接続仕様を変えるときの版の付け方と、古い版をいつまで残すかの方針</t>
    <phoneticPr fontId="2"/>
  </si>
  <si>
    <t>方式設計。事前通知期間と移行猶予が定まっている</t>
    <phoneticPr fontId="2"/>
  </si>
  <si>
    <t>設備・接続先・データの名前の付け方の決まり</t>
    <phoneticPr fontId="2"/>
  </si>
  <si>
    <t>命名規約。名前から用途と所属が分かる形になっている</t>
    <phoneticPr fontId="2"/>
  </si>
  <si>
    <t>設備を設定ファイルで管理する際の書き方の決まり</t>
    <phoneticPr fontId="2"/>
  </si>
  <si>
    <t>規約。書き方の統一と、レビュー観点が定まっている</t>
    <phoneticPr fontId="2"/>
  </si>
  <si>
    <t>接続仕様（API）を設計するときに全体で守る決まり。名前の付け方・エラーの返し方・件数の区切り方など</t>
    <phoneticPr fontId="2"/>
  </si>
  <si>
    <t>規約。作り方の統一と、守るべき最低条件が定まっている</t>
    <phoneticPr fontId="2"/>
  </si>
  <si>
    <t>画面を設計するときに全体で守る決まり。共通部品の使い方・入力チェックの書き方・権限による出し分けの表現など</t>
    <phoneticPr fontId="2"/>
  </si>
  <si>
    <t>規約。共通部品の使い方と守るべき条件が定まっている</t>
    <phoneticPr fontId="2"/>
  </si>
  <si>
    <t>性能や可用性などの目標値が、設計のどこで実現されるかを対応づけた表</t>
    <phoneticPr fontId="2"/>
  </si>
  <si>
    <t>対応表。すべての目標値に実現手段が紐づいている</t>
    <phoneticPr fontId="2"/>
  </si>
  <si>
    <t>性能の目標値と、それを達成するための考え方をまとめた設計書</t>
    <phoneticPr fontId="2"/>
  </si>
  <si>
    <t>性能設計書。目標値・処理方式・調整の余地が示されている</t>
    <phoneticPr fontId="2"/>
  </si>
  <si>
    <t>保管するデータがどれくらいの量になり、5 年後どこまで増えるかの見積もり</t>
    <phoneticPr fontId="2"/>
  </si>
  <si>
    <t>見積書。表ごとの件数と増加率、必要な容量が数値で示されている</t>
    <phoneticPr fontId="2"/>
  </si>
  <si>
    <t>対応するブラウザや端末の範囲を決める</t>
    <phoneticPr fontId="2"/>
  </si>
  <si>
    <t>方針書。対応範囲と、対象外の環境での挙動が定まっている</t>
    <phoneticPr fontId="2"/>
  </si>
  <si>
    <t>要件・機能・設計・試験の対応関係を一覧にした表</t>
    <phoneticPr fontId="2"/>
  </si>
  <si>
    <t>対応表。要件から試験まで追跡でき、抜けが検出できる</t>
    <phoneticPr fontId="2"/>
  </si>
  <si>
    <t>上記の対応表を、変更が入っても維持し続けるための運用ルール</t>
    <phoneticPr fontId="2"/>
  </si>
  <si>
    <t>運用ルール。更新の責任者とタイミングが定まっている</t>
    <phoneticPr fontId="2"/>
  </si>
  <si>
    <t>暗号化に使う鍵を、種類ごとにどう管理するかの設計</t>
    <phoneticPr fontId="2"/>
  </si>
  <si>
    <t>鍵管理設計書。鍵の種類・保管場所・入れ替え周期が定まっている</t>
    <phoneticPr fontId="2"/>
  </si>
  <si>
    <t>人ではないシステム用アカウントを台帳で管理する設計</t>
    <phoneticPr fontId="2"/>
  </si>
  <si>
    <t>台帳設計。登録必須項目と、放置されたものの検出方法が定まっている</t>
    <phoneticPr fontId="2"/>
  </si>
  <si>
    <t>システム全体でどんな画面があるかを一覧にし、番号を付ける</t>
    <phoneticPr fontId="2"/>
  </si>
  <si>
    <t>画面一覧。約 32 画面に番号が付き、重複や抜けがない</t>
    <phoneticPr fontId="2"/>
  </si>
  <si>
    <t>利用者が使う画面の遷移関係を図にする</t>
    <phoneticPr fontId="2"/>
  </si>
  <si>
    <t>遷移図。ログインから各機能までの経路が追える</t>
    <phoneticPr fontId="2"/>
  </si>
  <si>
    <t>管理者が使う画面の遷移関係を図にする</t>
    <phoneticPr fontId="2"/>
  </si>
  <si>
    <t>遷移図。管理操作の経路が追える</t>
    <phoneticPr fontId="2"/>
  </si>
  <si>
    <t>利用者が使う 12 画面それぞれの項目・入力チェック・動作を決める</t>
    <phoneticPr fontId="2"/>
  </si>
  <si>
    <t>画面仕様書 12 本。画面一覧と 1 対 1 で対応している</t>
    <phoneticPr fontId="2"/>
  </si>
  <si>
    <t>管理者が使う 20 画面それぞれの項目・入力チェック・権限による表示差を決める</t>
    <phoneticPr fontId="2"/>
  </si>
  <si>
    <t>画面仕様書 20 本。権限別の表示差が明記されている</t>
    <phoneticPr fontId="2"/>
  </si>
  <si>
    <t>全画面で共通に使うレイアウトと部品を決める</t>
    <phoneticPr fontId="2"/>
  </si>
  <si>
    <t>共通設計。部品の一覧と使い方が定まっている</t>
    <phoneticPr fontId="2"/>
  </si>
  <si>
    <t>身体的な制約がある人でも使えるようにするための設計基準</t>
    <phoneticPr fontId="2"/>
  </si>
  <si>
    <t>設計基準。守るべき項目と確認方法が定まっている</t>
    <phoneticPr fontId="2"/>
  </si>
  <si>
    <t>画面に表示する案内文・警告文を一覧にする</t>
    <phoneticPr fontId="2"/>
  </si>
  <si>
    <t>メッセージ一覧。文言が統一され、画面仕様から参照できる</t>
    <phoneticPr fontId="2"/>
  </si>
  <si>
    <t>接続仕様が返すエラーの種類と番号の体系を決める</t>
    <phoneticPr fontId="2"/>
  </si>
  <si>
    <t>エラーコード体系。番号の付け方と、意味の一覧が定まっている</t>
    <phoneticPr fontId="2"/>
  </si>
  <si>
    <t>記録に出力するメッセージの一覧</t>
    <phoneticPr fontId="2"/>
  </si>
  <si>
    <t>メッセージ一覧。調査時に検索できる形になっている</t>
    <phoneticPr fontId="2"/>
  </si>
  <si>
    <t>送信するメールの種類ごとの文面のひな形</t>
    <phoneticPr fontId="2"/>
  </si>
  <si>
    <t>テンプレート一覧。種類ごとの文面と差し込み項目が定まっている</t>
    <phoneticPr fontId="2"/>
  </si>
  <si>
    <t>データの構造を、業務の意味に沿って図にする</t>
    <phoneticPr fontId="2"/>
  </si>
  <si>
    <t>論理データ構造図。主要な情報とその関係が示されている</t>
    <phoneticPr fontId="2"/>
  </si>
  <si>
    <t>データの構造を、実際の保管場所ごとに図にする</t>
    <phoneticPr fontId="2"/>
  </si>
  <si>
    <t>物理データ構造図。3 つの保管先それぞれの構造が示されている</t>
    <phoneticPr fontId="2"/>
  </si>
  <si>
    <t>権限を管理するデータの表の定義</t>
    <phoneticPr fontId="2"/>
  </si>
  <si>
    <t>表定義 8 本。項目・型・制約が定まっている</t>
    <phoneticPr fontId="2"/>
  </si>
  <si>
    <t>識別子の対応づけと、参照用データの表の定義</t>
    <phoneticPr fontId="2"/>
  </si>
  <si>
    <t>表定義 6 本</t>
    <phoneticPr fontId="2"/>
  </si>
  <si>
    <t>送信予定・操作記録・システム用アカウントの表の定義</t>
    <phoneticPr fontId="2"/>
  </si>
  <si>
    <t>利用者の属性項目の意味を統一する辞書</t>
    <phoneticPr fontId="2"/>
  </si>
  <si>
    <t>属性辞書。各項目の意味・型・必須かどうかが定まっている</t>
    <phoneticPr fontId="2"/>
  </si>
  <si>
    <t>顧客ごとにバラバラな項目名の変換表を、どこで一元管理するかの設計</t>
    <phoneticPr fontId="2"/>
  </si>
  <si>
    <t>管理方式の設計。変換表の置き場所と更新方法が定まっている</t>
    <phoneticPr fontId="2"/>
  </si>
  <si>
    <t>利用者を識別する 3 段階の番号体系を決める</t>
    <phoneticPr fontId="2"/>
  </si>
  <si>
    <t>体系設計。3 段階それぞれの用途と作り方が定まっている</t>
    <phoneticPr fontId="2"/>
  </si>
  <si>
    <t>テナントとブランドを識別する番号体系を決める</t>
    <phoneticPr fontId="2"/>
  </si>
  <si>
    <t>体系設計。付け方と、重複しない仕組みが定まっている</t>
    <phoneticPr fontId="2"/>
  </si>
  <si>
    <t>登録経路の区分と状態を表す値の一覧を決める</t>
    <phoneticPr fontId="2"/>
  </si>
  <si>
    <t>値の一覧。取りうる値がすべて列挙されている</t>
    <phoneticPr fontId="2"/>
  </si>
  <si>
    <t>どの機能がどの表を作成・参照・更新・削除するかの対応表</t>
    <phoneticPr fontId="2"/>
  </si>
  <si>
    <t>対応表。すべての表に少なくとも 1 つの機能が紐づいている</t>
    <phoneticPr fontId="2"/>
  </si>
  <si>
    <t>上記の対応表と、権限の設計に食い違いがないかを突き合わせる</t>
    <phoneticPr fontId="2"/>
  </si>
  <si>
    <t>突合結果。矛盾がないことが確認されている</t>
    <phoneticPr fontId="2"/>
  </si>
  <si>
    <t>データを何年保ち、いつ消すかの設計</t>
    <phoneticPr fontId="2"/>
  </si>
  <si>
    <t>保持設計。保存年数・消去の起算日・消去方法が定まっている</t>
    <phoneticPr fontId="2"/>
  </si>
  <si>
    <t>検索を速くするための索引と、大きな表の分割方法の設計</t>
    <phoneticPr fontId="2"/>
  </si>
  <si>
    <t>索引・分割設計。想定する検索が目標時間内に収まる根拠がある</t>
    <phoneticPr fontId="2"/>
  </si>
  <si>
    <t>システム内部で即時に呼び合う接続の一覧</t>
    <phoneticPr fontId="2"/>
  </si>
  <si>
    <t>接続一覧。呼び出し元・先・目的が整理されている</t>
    <phoneticPr fontId="2"/>
  </si>
  <si>
    <t>システム内部で時間差を許して伝える接続の一覧</t>
    <phoneticPr fontId="2"/>
  </si>
  <si>
    <t>接続一覧。伝達経路と遅れの許容範囲が整理されている</t>
    <phoneticPr fontId="2"/>
  </si>
  <si>
    <t>外部システムとの接続の一覧</t>
    <phoneticPr fontId="2"/>
  </si>
  <si>
    <t>接続一覧。相手先・方式・データの向きが整理されている</t>
    <phoneticPr fontId="2"/>
  </si>
  <si>
    <t>管理画面から利用者を操作するための接続仕様</t>
    <phoneticPr fontId="2"/>
  </si>
  <si>
    <t>仕様書。約 12 種の操作それぞれの入出力が定まっている</t>
    <phoneticPr fontId="2"/>
  </si>
  <si>
    <t>権限を設定するための接続仕様</t>
    <phoneticPr fontId="2"/>
  </si>
  <si>
    <t>仕様書。約 10 種の操作それぞれの入出力が定まっている</t>
    <phoneticPr fontId="2"/>
  </si>
  <si>
    <t>アプリが利用者の権限情報を取得するための接続仕様</t>
    <phoneticPr fontId="2"/>
  </si>
  <si>
    <t>仕様書。取得できる情報と、呼び出し頻度の目安が定まっている</t>
    <phoneticPr fontId="2"/>
  </si>
  <si>
    <t>接続ごとに必要な権限の対応表</t>
    <phoneticPr fontId="2"/>
  </si>
  <si>
    <t>対応表。すべての接続に必要権限が紐づいている</t>
    <phoneticPr fontId="2"/>
  </si>
  <si>
    <t>接続仕様に共通する決まり（エラーの返し方・件数の区切り方など）</t>
    <phoneticPr fontId="2"/>
  </si>
  <si>
    <t>共通規約。全接続で統一された扱いが定まっている</t>
    <phoneticPr fontId="2"/>
  </si>
  <si>
    <t>顧客システムから利用者情報を受け取る接続の仕様</t>
    <phoneticPr fontId="2"/>
  </si>
  <si>
    <t>仕様書。受け取れる項目と検索の方法が定まっている</t>
    <phoneticPr fontId="2"/>
  </si>
  <si>
    <t>削除通知を「消さずに止める」に読み替える仕様</t>
    <phoneticPr fontId="2"/>
  </si>
  <si>
    <t>仕様書。読み替えの規則が明記されている</t>
    <phoneticPr fontId="2"/>
  </si>
  <si>
    <t>アカウントをまたいで伝えるイベントの中身の定義</t>
    <phoneticPr fontId="2"/>
  </si>
  <si>
    <t>イベント定義。2 種類それぞれの項目が定まっている</t>
    <phoneticPr fontId="2"/>
  </si>
  <si>
    <t>送信予定を記録しておく仕組みのデータ仕様</t>
    <phoneticPr fontId="2"/>
  </si>
  <si>
    <t>仕様書。記録する項目と送信済みの判定方法が定まっている</t>
    <phoneticPr fontId="2"/>
  </si>
  <si>
    <t>アプリへ変更を通知する仕組みの仕様</t>
    <phoneticPr fontId="2"/>
  </si>
  <si>
    <t>仕様書。7 種類の通知内容・署名・再送条件が定まっている</t>
    <phoneticPr fontId="2"/>
  </si>
  <si>
    <t>標準方式の認証連携で、やり取りする情報の仕様</t>
    <phoneticPr fontId="2"/>
  </si>
  <si>
    <t>仕様書。接続先の情報と、渡す項目が定まっている</t>
    <phoneticPr fontId="2"/>
  </si>
  <si>
    <t>旧方式の認証連携で、やり取りする情報の仕様</t>
    <phoneticPr fontId="2"/>
  </si>
  <si>
    <t>仕様書。接続情報の受け渡し方と項目が定まっている</t>
    <phoneticPr fontId="2"/>
  </si>
  <si>
    <t>業務システムとの接続仕様</t>
    <phoneticPr fontId="2"/>
  </si>
  <si>
    <t>仕様書。相手側の設定要件が明記されている</t>
    <phoneticPr fontId="2"/>
  </si>
  <si>
    <t>顧客の認証システムごとの接続仕様の差分整理</t>
    <phoneticPr fontId="2"/>
  </si>
  <si>
    <t>差分表。製品ごとの違いが一覧化されている</t>
    <phoneticPr fontId="2"/>
  </si>
  <si>
    <t>外部サービス（メール送信・流出確認）との接続仕様</t>
    <phoneticPr fontId="2"/>
  </si>
  <si>
    <t>仕様書。呼び出し条件と失敗時の扱いが定まっている</t>
    <phoneticPr fontId="2"/>
  </si>
  <si>
    <t>使用する証明書と鍵の一覧、および期限管理の方法</t>
    <phoneticPr fontId="2"/>
  </si>
  <si>
    <t>一覧と管理設計。すべての証明書に期限と更新責任者が紐づいている</t>
    <phoneticPr fontId="2"/>
  </si>
  <si>
    <t>使用するアドレス名の一覧と、内外での解決方法の違い</t>
    <phoneticPr fontId="2"/>
  </si>
  <si>
    <t>一覧。用途ごとに整理され、内部と外部での違いが示されている</t>
    <phoneticPr fontId="2"/>
  </si>
  <si>
    <t>定期的に自動実行する処理が全部でいくつあり、それぞれ何のために動くのかを一覧にする</t>
    <phoneticPr fontId="2"/>
  </si>
  <si>
    <t>一覧。8 本それぞれの目的と実行タイミングが整理されている</t>
    <phoneticPr fontId="2"/>
  </si>
  <si>
    <t>定期処理をどの仕組みで動かすかの整理</t>
    <phoneticPr fontId="2"/>
  </si>
  <si>
    <t>方式整理。処理ごとの実行基盤が定まっている</t>
    <phoneticPr fontId="2"/>
  </si>
  <si>
    <t>利用者の整理に関する定期処理の仕様</t>
    <phoneticPr fontId="2"/>
  </si>
  <si>
    <t>仕様書 2 本。対象条件と除外条件が定まっている</t>
    <phoneticPr fontId="2"/>
  </si>
  <si>
    <t>システム間のずれを直す定期処理の仕様</t>
    <phoneticPr fontId="2"/>
  </si>
  <si>
    <t>仕様書 3 本。突き合わせる対象と直し方が定まっている</t>
    <phoneticPr fontId="2"/>
  </si>
  <si>
    <t>鍵・証明書・権限見直しに関する定期処理の仕様</t>
    <phoneticPr fontId="2"/>
  </si>
  <si>
    <t>仕様書 5 本。実行周期と通知先が定まっている</t>
    <phoneticPr fontId="2"/>
  </si>
  <si>
    <t>定期処理の実行時刻と、前後関係の設計</t>
    <phoneticPr fontId="2"/>
  </si>
  <si>
    <t>スケジュール設計。処理の順序と重なりが整理されている</t>
    <phoneticPr fontId="2"/>
  </si>
  <si>
    <t>定期処理が二重に動かないようにする方法と、失敗時のやり直し方</t>
    <phoneticPr fontId="2"/>
  </si>
  <si>
    <t>設計。重複起動の防止方法と再実行の手順が定まっている</t>
    <phoneticPr fontId="2"/>
  </si>
  <si>
    <t>管理操作を行う人の役割を定義する。どの範囲まで操作できるかを 3 段階で分ける</t>
    <phoneticPr fontId="2"/>
  </si>
  <si>
    <t>役割定義。3 段階の権限範囲が定まっている</t>
    <phoneticPr fontId="2"/>
  </si>
  <si>
    <t>役割ごとにどの機能を使えるかの対応表</t>
    <phoneticPr fontId="2"/>
  </si>
  <si>
    <t>権限表。すべての機能に使える役割が紐づいている</t>
    <phoneticPr fontId="2"/>
  </si>
  <si>
    <t>役割ごとにどのデータを見られるかの対応表</t>
    <phoneticPr fontId="2"/>
  </si>
  <si>
    <t>権限表。テナントをまたいだ参照ができないことが示されている</t>
    <phoneticPr fontId="2"/>
  </si>
  <si>
    <t>あとから追跡できるよう記録に残しておく操作を洗い出して一覧にする</t>
    <phoneticPr fontId="2"/>
  </si>
  <si>
    <t>イベント一覧。監査で必要な操作が漏れなく含まれている</t>
    <phoneticPr fontId="2"/>
  </si>
  <si>
    <t>記録に残す項目と、何年保つかの表</t>
    <phoneticPr fontId="2"/>
  </si>
  <si>
    <t>項目表。すべての記録に保存年数が紐づいている</t>
    <phoneticPr fontId="2"/>
  </si>
  <si>
    <t>権限の判定結果をどこまで記録するかの設計</t>
    <phoneticPr fontId="2"/>
  </si>
  <si>
    <t>記録設計。記録する範囲と量を抑える方法が定まっている</t>
    <phoneticPr fontId="2"/>
  </si>
  <si>
    <t>不正の兆候を判定する条件の一覧</t>
    <phoneticPr fontId="2"/>
  </si>
  <si>
    <t>条件一覧。検知する事象と閾値が定まっている</t>
    <phoneticPr fontId="2"/>
  </si>
  <si>
    <t>想定される攻撃の経路と、それぞれへの対策の対応表</t>
    <phoneticPr fontId="2"/>
  </si>
  <si>
    <t>対応表。すべての経路に対策が紐づいている</t>
    <phoneticPr fontId="2"/>
  </si>
  <si>
    <t>システムが正常に動いているか判断するために監視する数値を洗い出して一覧にする</t>
    <phoneticPr fontId="2"/>
  </si>
  <si>
    <t>項目一覧。取得元と用途が整理されている</t>
    <phoneticPr fontId="2"/>
  </si>
  <si>
    <t>監視する記録と、外形からの確認項目の一覧</t>
    <phoneticPr fontId="2"/>
  </si>
  <si>
    <t>項目一覧。確認の頻度が定まっている</t>
    <phoneticPr fontId="2"/>
  </si>
  <si>
    <t>異常と判断する基準値と、誰に知らせるかの設計</t>
    <phoneticPr fontId="2"/>
  </si>
  <si>
    <t>閾値設計。すべての監視項目に基準値と通知先が紐づいている</t>
    <phoneticPr fontId="2"/>
  </si>
  <si>
    <t>新しい顧客を受け入れる際の設計面の整理</t>
    <phoneticPr fontId="2"/>
  </si>
  <si>
    <t>設計。受け入れに必要な設定項目と順序が定まっている</t>
    <phoneticPr fontId="2"/>
  </si>
  <si>
    <t>本番・検証・開発の各環境の違いをまとめた設計書</t>
    <phoneticPr fontId="2"/>
  </si>
  <si>
    <t>環境設計書。環境ごとの差分が一覧化されている</t>
    <phoneticPr fontId="2"/>
  </si>
  <si>
    <t>設計書間で矛盾がないかを通しで確認する（1 回目）</t>
    <phoneticPr fontId="2"/>
  </si>
  <si>
    <t>レビュー記録。指摘が一覧化されている</t>
    <phoneticPr fontId="2"/>
  </si>
  <si>
    <t>1 回目の指摘に対応して設計書を直す</t>
    <phoneticPr fontId="2"/>
  </si>
  <si>
    <t>改訂済みの設計書。指摘がすべて処理されている</t>
    <phoneticPr fontId="2"/>
  </si>
  <si>
    <t>設計書間で矛盾がないかを通しで確認する（2 回目）</t>
    <phoneticPr fontId="2"/>
  </si>
  <si>
    <t>レビュー記録。1 回目の指摘が解消されている</t>
    <phoneticPr fontId="2"/>
  </si>
  <si>
    <t>2 回目の指摘に対応して設計書を直す</t>
    <phoneticPr fontId="2"/>
  </si>
  <si>
    <t>改訂済みの設計書。残課題が明示されている</t>
    <phoneticPr fontId="2"/>
  </si>
  <si>
    <t>関係者へ説明するための資料を作る</t>
    <phoneticPr fontId="2"/>
  </si>
  <si>
    <t>説明資料。専門用語を使わずに全体像が伝わる</t>
    <phoneticPr fontId="2"/>
  </si>
  <si>
    <t>説明会を開き、出た指摘を反映する</t>
    <phoneticPr fontId="2"/>
  </si>
  <si>
    <t>実施記録と改訂版。指摘の処理状況が追える</t>
    <phoneticPr fontId="2"/>
  </si>
  <si>
    <t>認証システム内部の区画と、顧客ごとのまとまりの構成設計</t>
    <phoneticPr fontId="2"/>
  </si>
  <si>
    <t>構成設計書。区画の分け方と顧客の収容方法が定まっている</t>
    <phoneticPr fontId="2"/>
  </si>
  <si>
    <t>ログイン処理をどんな順序で組み立てるかの設計。5 系統ぶん</t>
    <phoneticPr fontId="2"/>
  </si>
  <si>
    <t>処理順序の設計書。5 系統それぞれの分岐が図で示されている</t>
    <phoneticPr fontId="2"/>
  </si>
  <si>
    <t>接続先を判定する拡張機能の入出力と動作条件の仕様</t>
    <phoneticPr fontId="2"/>
  </si>
  <si>
    <t>仕様書。入力・出力・判定できない場合の動きが定まっている</t>
    <phoneticPr fontId="2"/>
  </si>
  <si>
    <t>初回登録と再有効化を制御する拡張機能の仕様</t>
    <phoneticPr fontId="2"/>
  </si>
  <si>
    <t>仕様書。動作条件と、誤って動かさないための条件が定まっている</t>
    <phoneticPr fontId="2"/>
  </si>
  <si>
    <t>利用状況を外部へ知らせる拡張機能の仕様</t>
    <phoneticPr fontId="2"/>
  </si>
  <si>
    <t>仕様書。送る内容と送信頻度が定まっている</t>
    <phoneticPr fontId="2"/>
  </si>
  <si>
    <t>拡張機能をどこに配置し、どう版を管理するかの設計</t>
    <phoneticPr fontId="2"/>
  </si>
  <si>
    <t>配置設計。組み込み方法と版の管理方法が定まっている</t>
    <phoneticPr fontId="2"/>
  </si>
  <si>
    <t>通行証に載せる情報の生成規則の定義</t>
    <phoneticPr fontId="2"/>
  </si>
  <si>
    <t>定義書。載せる項目と、載せない項目の区別が明確</t>
    <phoneticPr fontId="2"/>
  </si>
  <si>
    <t>利用者の属性項目をどう宣言するかの設計。メールを持たない人への対応を含む</t>
    <phoneticPr fontId="2"/>
  </si>
  <si>
    <t>宣言設計。必須と任意の区別が定まっている</t>
    <phoneticPr fontId="2"/>
  </si>
  <si>
    <t>新しいアプリを接続するときの登録内容のひな形</t>
    <phoneticPr fontId="2"/>
  </si>
  <si>
    <t>ひな形。必要な設定が漏れなく含まれ、宛先の設定漏れを防ぐ仕組みがある</t>
    <phoneticPr fontId="2"/>
  </si>
  <si>
    <t>認証システムの各種設定値の一覧</t>
    <phoneticPr fontId="2"/>
  </si>
  <si>
    <t>設定値一覧。有効期間・回数制限・保持時間などが数値で定まっている</t>
    <phoneticPr fontId="2"/>
  </si>
  <si>
    <t>内部で 2 段構えになっている認証システム同士の連携設計</t>
    <phoneticPr fontId="2"/>
  </si>
  <si>
    <t>連携設計書。やり取りする情報と経路が定まっている</t>
    <phoneticPr fontId="2"/>
  </si>
  <si>
    <t>将来ブランドを増やす場合の区画の分け方の設計</t>
    <phoneticPr fontId="2"/>
  </si>
  <si>
    <t>設計書。増やすときの手順と、今のうちに守る決まりが定まっている</t>
    <phoneticPr fontId="2"/>
  </si>
  <si>
    <t>利用者の控えが作られてから消えるまでの一生の設計</t>
    <phoneticPr fontId="2"/>
  </si>
  <si>
    <t>ライフサイクル設計。作成・停止・再開の条件が定まっている</t>
    <phoneticPr fontId="2"/>
  </si>
  <si>
    <t>顧客の認証システムを接続するときの設定項目のひな形</t>
    <phoneticPr fontId="2"/>
  </si>
  <si>
    <t>ひな形。方式ごとに必要な項目が整理されている</t>
    <phoneticPr fontId="2"/>
  </si>
  <si>
    <t>顧客側の項目名を基盤側の呼び方へ変換する規則の設計</t>
    <phoneticPr fontId="2"/>
  </si>
  <si>
    <t>変換規則の設計。対応がない場合の扱いも定まっている</t>
    <phoneticPr fontId="2"/>
  </si>
  <si>
    <t>入力された ID から接続先を判定するロジックの設計</t>
    <phoneticPr fontId="2"/>
  </si>
  <si>
    <t>ロジック設計。判定の順序と、判定できない場合の動きが定まっている</t>
    <phoneticPr fontId="2"/>
  </si>
  <si>
    <t>実行基盤の構成設計。サーバーの種類・台数・役割分担</t>
    <phoneticPr fontId="2"/>
  </si>
  <si>
    <t>構成設計書。役割ごとの分離と増減の考え方が定まっている</t>
    <phoneticPr fontId="2"/>
  </si>
  <si>
    <t>製品の管理部品の版と更新方針の設計</t>
    <phoneticPr fontId="2"/>
  </si>
  <si>
    <t>設計書。版の固定方法と更新の承認手順が定まっている</t>
    <phoneticPr fontId="2"/>
  </si>
  <si>
    <t>実行基盤の運用について、委託先と自社の分担を整理する</t>
    <phoneticPr fontId="2"/>
  </si>
  <si>
    <t>分担表。どちらが何をするかが明確になっている</t>
    <phoneticPr fontId="2"/>
  </si>
  <si>
    <t>顧客と本基盤のどちらが何に責任を持つかを示す表</t>
    <phoneticPr fontId="2"/>
  </si>
  <si>
    <t>責任分界表。契約に添付できる粒度で整理されている</t>
    <phoneticPr fontId="2"/>
  </si>
  <si>
    <t>顧客に約束する稼働率と復旧目標をまとめた文書</t>
    <phoneticPr fontId="2"/>
  </si>
  <si>
    <t>定義書。数値と、達成できなかった場合の扱いが定まっている</t>
    <phoneticPr fontId="2"/>
  </si>
  <si>
    <t>テナント管理者向けの操作説明書</t>
    <phoneticPr fontId="2"/>
  </si>
  <si>
    <t>操作ガイド。管理画面の全機能が手順つきで説明されている</t>
    <phoneticPr fontId="2"/>
  </si>
  <si>
    <t>顧客の情報システム部門向けの接続手順書</t>
    <phoneticPr fontId="2"/>
  </si>
  <si>
    <t>接続ガイド。準備するものと手順、確認方法が示されている</t>
    <phoneticPr fontId="2"/>
  </si>
  <si>
    <t>顧客の監査対応に使う説明資料</t>
    <phoneticPr fontId="2"/>
  </si>
  <si>
    <t>説明資料。よく聞かれる質問に答えられる内容になっている</t>
    <phoneticPr fontId="2"/>
  </si>
  <si>
    <t>利用者本人からのデータ開示・削除依頼への対応手順</t>
    <phoneticPr fontId="2"/>
  </si>
  <si>
    <t>対応手順書。受付から回答までの流れと期限が定まっている</t>
    <phoneticPr fontId="2"/>
  </si>
  <si>
    <t>新しい顧客を迎えるときの案内文のひな形</t>
    <phoneticPr fontId="2"/>
  </si>
  <si>
    <t>案内テンプレート。必要な連絡事項が漏れなく含まれている</t>
    <phoneticPr fontId="2"/>
  </si>
  <si>
    <t>サービスの仕様と、利用上の制約をまとめた文書</t>
    <phoneticPr fontId="2"/>
  </si>
  <si>
    <t>仕様書。止めてから完全に切れるまでの時間差など、注意すべき制約が明記されている</t>
    <phoneticPr fontId="2"/>
  </si>
  <si>
    <t>接続先が 1000 社規模になったときの性能を測るための試験環境と試験データを用意する</t>
    <phoneticPr fontId="2"/>
  </si>
  <si>
    <t>試験環境と生成スクリプト。1000/2000 件の接続先と組織を投入でき、繰り返し実行できる</t>
    <phoneticPr fontId="2"/>
  </si>
  <si>
    <t>接続先が大量にある状態で、ログインの待ち時間が実用の範囲に収まるかを実測する</t>
    <phoneticPr fontId="2"/>
  </si>
  <si>
    <t>測定レポート。応答時間が基準比 +10% 以内であることを数値で示す。超過時は A-1.7 で対策</t>
    <phoneticPr fontId="2"/>
  </si>
  <si>
    <t>接続先を追加する管理操作が、件数が増えても現実的な時間で終わるかを実測する</t>
    <phoneticPr fontId="2"/>
  </si>
  <si>
    <t>測定レポート。追加操作と一覧表示の所要時間、および設定投入を分割すべき件数の目安が出ている</t>
    <phoneticPr fontId="2"/>
  </si>
  <si>
    <t>大量の接続先を保持したときのメモリ使用量と、再起動後に性能が戻るまでの時間を測る</t>
    <phoneticPr fontId="2"/>
  </si>
  <si>
    <t>測定レポート。必要メモリ量と、再起動後に通常性能へ戻るまでの時間が数値で出ている</t>
    <phoneticPr fontId="2"/>
  </si>
  <si>
    <t>接続先が大量にある状態で、修正版の適用が問題なく行えるかを確認する</t>
    <phoneticPr fontId="2"/>
  </si>
  <si>
    <t>確認記録。適用中も停止せず、適用後に機能が壊れていないことが確認されている</t>
    <phoneticPr fontId="2"/>
  </si>
  <si>
    <t>測定結果を、監視設計とサーバー台数の設計にそのまま使える形に整理する</t>
    <phoneticPr fontId="2"/>
  </si>
  <si>
    <t>整理表。監視項目の数と必要な処理能力の見積もりに使える数値が揃っている</t>
    <phoneticPr fontId="2"/>
  </si>
  <si>
    <t>測定結果を設計書に反映し、性能面の前提が確定したことを記録する</t>
    <phoneticPr fontId="2"/>
  </si>
  <si>
    <t>改訂済みの設計記述と判定記録。前提が「暫定」から「確定」に変わっている</t>
    <phoneticPr fontId="2"/>
  </si>
  <si>
    <t>商用版の製品で自社の拡張機能を動かすための検証環境を用意する</t>
    <phoneticPr fontId="2"/>
  </si>
  <si>
    <t>検証環境。自社拡張を組み込んだ状態で起動でき、繰り返し試験できる</t>
    <phoneticPr fontId="2"/>
  </si>
  <si>
    <t>自社で作った 4 つの拡張機能が、商用版でも同じように動くかを確かめる</t>
    <phoneticPr fontId="2"/>
  </si>
  <si>
    <t>検証結果表。4 機能すべての可否と、動かない場合の代替方針が決まっている</t>
    <phoneticPr fontId="2"/>
  </si>
  <si>
    <t>拡張機能がログインの各経路で確実に呼び出されるかを確かめる</t>
    <phoneticPr fontId="2"/>
  </si>
  <si>
    <t>検証結果。3 系統すべての経路で呼び出されることが確認されている</t>
    <phoneticPr fontId="2"/>
  </si>
  <si>
    <t>拡張機能の周辺で、製品の仕様変更や既知の不具合の影響がないかを確かめる</t>
    <phoneticPr fontId="2"/>
  </si>
  <si>
    <t>検証結果。影響の有無と、回避が必要な場合の方法が記録されている</t>
    <phoneticPr fontId="2"/>
  </si>
  <si>
    <t>拡張機能から性能情報を取り出す仕組みが商用版でも動くかを確かめる</t>
    <phoneticPr fontId="2"/>
  </si>
  <si>
    <t>検証結果。取得できる情報と、取得できない場合の代替が記録されている</t>
    <phoneticPr fontId="2"/>
  </si>
  <si>
    <t>顧客システムから利用者情報を受け取る窓口の試作品を作る</t>
    <phoneticPr fontId="2"/>
  </si>
  <si>
    <t>試作品。基本的な受け取り・認証・振り分けが動作する</t>
    <phoneticPr fontId="2"/>
  </si>
  <si>
    <t>作った窓口が業界標準に沿っているかを、公開されている検査ツールで確認する</t>
    <phoneticPr fontId="2"/>
  </si>
  <si>
    <t>検査結果。不合格項目がゼロ、または不合格項目と対応方針が記録されている</t>
    <phoneticPr fontId="2"/>
  </si>
  <si>
    <t>登録・変更・削除の一連の流れが端から端まで通ることを確認する</t>
    <phoneticPr fontId="2"/>
  </si>
  <si>
    <t>検証結果。削除通知が「消さずに止める」動作に正しく変換されることが確認されている</t>
    <phoneticPr fontId="2"/>
  </si>
  <si>
    <t>顧客が 500〜1000 社になったときに、利用者の検索が現実的な速さで返るかを測る</t>
    <phoneticPr fontId="2"/>
  </si>
  <si>
    <t>測定レポート。検索の応答時間が目標内であることが数値で示されている</t>
    <phoneticPr fontId="2"/>
  </si>
  <si>
    <t>大量の一括登録が、他の顧客の処理を遅くしないかを測る</t>
    <phoneticPr fontId="2"/>
  </si>
  <si>
    <t>測定レポート。一括処理中の他テナントへの影響が数値で示されている</t>
    <phoneticPr fontId="2"/>
  </si>
  <si>
    <t>アプリ向けの参照用データの読み取り速度を測り、設計に反映する</t>
    <phoneticPr fontId="2"/>
  </si>
  <si>
    <t>測定レポートと改訂済み設計記述。読み取り速度が目標内である</t>
    <phoneticPr fontId="2"/>
  </si>
  <si>
    <t>旧方式の接続先を模した試験用の環境を用意する</t>
    <phoneticPr fontId="2"/>
  </si>
  <si>
    <t>試験用の模擬環境。旧方式でのログインを再現できる</t>
    <phoneticPr fontId="2"/>
  </si>
  <si>
    <t>旧方式では利用者の識別子の渡され方が異なるため、その差で自動登録が正しく動くかを確かめる</t>
    <phoneticPr fontId="2"/>
  </si>
  <si>
    <t>検証結果。識別子の型ごとの動作差が記録されている</t>
    <phoneticPr fontId="2"/>
  </si>
  <si>
    <t>検証で分かった差分を、接続設定のひな形づくりに引き渡せる形に整理する</t>
    <phoneticPr fontId="2"/>
  </si>
  <si>
    <t>整理メモ。ひな形設計に必要な差分が列挙されている</t>
    <phoneticPr fontId="2"/>
  </si>
  <si>
    <t>実際の商用サービスを 1 つ契約し、本番同様の接続で動作差を確認する</t>
    <phoneticPr fontId="2"/>
  </si>
  <si>
    <t>検証結果。渡ってくる情報の実際の中身と、想定との差が記録されている</t>
    <phoneticPr fontId="2"/>
  </si>
  <si>
    <t>もう 1 つ別の商用サービスでも同様に確認し、製品ごとの差を洗い出す</t>
    <phoneticPr fontId="2"/>
  </si>
  <si>
    <t>検証結果。2 製品間の差分が一覧化されている</t>
    <phoneticPr fontId="2"/>
  </si>
  <si>
    <t>実サービス接続時に自社の拡張機能が正しく動くかを確認する</t>
    <phoneticPr fontId="2"/>
  </si>
  <si>
    <t>検証結果。拡張機能の動作と、追加認証の情報が正しく渡ることが確認されている</t>
    <phoneticPr fontId="2"/>
  </si>
  <si>
    <t>確認で分かった差分を設計書に反映する</t>
    <phoneticPr fontId="2"/>
  </si>
  <si>
    <t>改訂済みの設計記述。製品ごとの差が設定で吸収できる形になっている</t>
    <phoneticPr fontId="2"/>
  </si>
  <si>
    <t>災害時の切り替え先となる地域で、必要な機材が確保できるかを確認する</t>
    <phoneticPr fontId="2"/>
  </si>
  <si>
    <t>確認結果。必要な種類・台数が確保可能か、上限の引き上げが必要かが分かっている</t>
    <phoneticPr fontId="2"/>
  </si>
  <si>
    <t>切り替え先の地域で、省電力型の機材が使えるかを確認し設計に反映する</t>
    <phoneticPr fontId="2"/>
  </si>
  <si>
    <t>確認結果と改訂済み設計記述。使える／使えないが確定している</t>
    <phoneticPr fontId="2"/>
  </si>
  <si>
    <t>パスワードの安全な保管方式が、1 秒あたり何件処理できるかを実測してサーバー台数の根拠にする</t>
    <phoneticPr fontId="2"/>
  </si>
  <si>
    <t>測定レポート。処理能力の数値が出て、台数見積もりに反映されている</t>
    <phoneticPr fontId="2"/>
  </si>
  <si>
    <t>接続先の証明書入れ替えに自動追随する機能が実在し、実際に動くかを確認する</t>
    <phoneticPr fontId="2"/>
  </si>
  <si>
    <t>確認結果。機能の有無が確定し、無い場合の代替運用の必要性が判断できている</t>
    <phoneticPr fontId="2"/>
  </si>
  <si>
    <t>利用状況の記録を高頻度で書き込んだときの、データベースへの負荷を測る</t>
    <phoneticPr fontId="2"/>
  </si>
  <si>
    <t>測定レポート。負荷が許容範囲か、対策が必要かが判断できている</t>
    <phoneticPr fontId="2"/>
  </si>
  <si>
    <t>検知用の情報を送る処理が、ログインの応答時間を悪化させないかを測る</t>
    <phoneticPr fontId="2"/>
  </si>
  <si>
    <t>測定レポート。応答時間への影響が数値で示され、対策要否が判断できている</t>
    <phoneticPr fontId="2"/>
  </si>
  <si>
    <t>単独では小さい実機確認 4 件をまとめて片付ける</t>
    <phoneticPr fontId="2"/>
  </si>
  <si>
    <t>確認結果 4 件。各項目の可否が確定している</t>
    <phoneticPr fontId="2"/>
  </si>
  <si>
    <t>業務システムとの接続設定を実機で作り、ログインが通ることを確認する</t>
    <phoneticPr fontId="2"/>
  </si>
  <si>
    <t>確認結果。接続設定が完成し、実際にログインできている</t>
    <phoneticPr fontId="2"/>
  </si>
  <si>
    <t>利用者情報の同期とログインを組み合わせた一連の流れを実機で確認する</t>
    <phoneticPr fontId="2"/>
  </si>
  <si>
    <t>確認結果。想定した組み合わせで端から端まで動作している</t>
    <phoneticPr fontId="2"/>
  </si>
  <si>
    <t>利用者の突き合わせに使う項目と、変更通知の受け渡しを実機で確認する</t>
    <phoneticPr fontId="2"/>
  </si>
  <si>
    <t>確認結果。突き合わせが正しく動き、通知が届いている</t>
    <phoneticPr fontId="2"/>
  </si>
  <si>
    <t>メールアドレスを持たない利用者が、登録・ログイン・更新の 3 経路すべてを完走できるかを実機で確認する</t>
    <phoneticPr fontId="2"/>
  </si>
  <si>
    <t>確認結果。3 経路すべてで完走でき、製品の既知不具合を回避できている</t>
    <phoneticPr fontId="2"/>
  </si>
  <si>
    <t>利用者の状態変化を即時に伝える新方式が、現行製品でどこまで使えるかを確認する</t>
    <phoneticPr fontId="2"/>
  </si>
  <si>
    <t>確認結果。使える範囲と、自作が必要な部分の切り分けができている</t>
    <phoneticPr fontId="2"/>
  </si>
  <si>
    <t>運用委託先の担当者が、記録に残る利用者情報をどこまで見られるかを実機で確認する</t>
    <phoneticPr fontId="2"/>
  </si>
  <si>
    <t>確認結果。個人情報が見えないことが確認され、見えてしまう場合の対策が決まっている</t>
    <phoneticPr fontId="2"/>
  </si>
  <si>
    <t>インターネットの出入口を管理する別組織へ出す要求仕様書を作って発行する</t>
    <phoneticPr fontId="2"/>
  </si>
  <si>
    <t>要求仕様書 v1。全要求項目が漏れなく記載され、発行済み</t>
    <phoneticPr fontId="2"/>
  </si>
  <si>
    <t>先方からの質問に回答し、認識のずれを解消する</t>
    <phoneticPr fontId="2"/>
  </si>
  <si>
    <t>質疑応答記録。主要な論点が合意または保留として整理されている</t>
    <phoneticPr fontId="2"/>
  </si>
  <si>
    <t>回答内容を各設計書に反映する</t>
    <phoneticPr fontId="2"/>
  </si>
  <si>
    <t>改訂済みの設計記述。回答と設計が一致している</t>
    <phoneticPr fontId="2"/>
  </si>
  <si>
    <t>入口の機器をどう経由させるかについて、方式の候補を技術的に詰める</t>
    <phoneticPr fontId="2"/>
  </si>
  <si>
    <t>比較検討結果。方式ごとの可否と制約が整理されている</t>
    <phoneticPr fontId="2"/>
  </si>
  <si>
    <t>先方と協議するための資料を作る</t>
    <phoneticPr fontId="2"/>
  </si>
  <si>
    <t>協議資料。選択肢と各案の影響が先方にも分かる形で書かれている</t>
    <phoneticPr fontId="2"/>
  </si>
  <si>
    <t>社内・他組織・顧客のネットワーク番号帯を集め、重複がないことを確認して確定する</t>
    <phoneticPr fontId="2"/>
  </si>
  <si>
    <t>確定した番号帯の台帳。重複がないことが確認されている（構築開始後は変更できないため必須）</t>
    <phoneticPr fontId="2"/>
  </si>
  <si>
    <t>外部への通信許可の申請方式について、合意用の資料を作る</t>
    <phoneticPr fontId="2"/>
  </si>
  <si>
    <t>合意資料。申請の流れと所要日数が示されている</t>
    <phoneticPr fontId="2"/>
  </si>
  <si>
    <t>災害復旧の方式について、決定内容を反映した合意用の資料を作る</t>
    <phoneticPr fontId="2"/>
  </si>
  <si>
    <t>合意資料。決定した復旧方式に沿った要求内容になっている</t>
    <phoneticPr fontId="2"/>
  </si>
  <si>
    <t>定期確認の通信が誤って遮断されないよう、除外設定を要求に追加する</t>
    <phoneticPr fontId="2"/>
  </si>
  <si>
    <t>要求の追補。除外対象と条件が明記されている</t>
    <phoneticPr fontId="2"/>
  </si>
  <si>
    <t>設計書内でサーバー構成の記述が食い違っているので、正しい考え方に統一する</t>
    <phoneticPr fontId="2"/>
  </si>
  <si>
    <t>是正済みの設計記述。台数の根拠が 1 つに揃っている</t>
    <phoneticPr fontId="2"/>
  </si>
  <si>
    <t>データベースへの同時接続数の上限を、設計の決まりごととして明文化する</t>
    <phoneticPr fontId="2"/>
  </si>
  <si>
    <t>追記済みの設計記述。上限と配分の考え方が明記されている</t>
    <phoneticPr fontId="2"/>
  </si>
  <si>
    <t>利用者数の想定が初期と最大で分かれたことを受け、初期の設備量とコストを計算し直す</t>
    <phoneticPr fontId="2"/>
  </si>
  <si>
    <t>再計算結果。初期リリース時点の必要量と費用が示されている</t>
    <phoneticPr fontId="2"/>
  </si>
  <si>
    <t>設計書間で食い違っている 3 点を突き合わせて直す</t>
    <phoneticPr fontId="2"/>
  </si>
  <si>
    <t>是正済みの記述 3 点。相互に矛盾がない</t>
    <phoneticPr fontId="2"/>
  </si>
  <si>
    <t>各設計書で確定済みの内容を、判断記録の文書側にも反映する</t>
    <phoneticPr fontId="2"/>
  </si>
  <si>
    <t>改訂済みの判断記録 7 本。設計書と内容が一致している</t>
    <phoneticPr fontId="2"/>
  </si>
  <si>
    <t>登録漏れになっている小さな項目 4 件を追記する</t>
    <phoneticPr fontId="2"/>
  </si>
  <si>
    <t>追記済みの記述 4 件</t>
    <phoneticPr fontId="2"/>
  </si>
  <si>
    <t>行き先が決まっていない参照 8 件について、担当と行き先を確定する</t>
    <phoneticPr fontId="2"/>
  </si>
  <si>
    <t>整理表。8 件すべての行き先が決まり、追跡対象に登録されている</t>
    <phoneticPr fontId="2"/>
  </si>
  <si>
    <t>調査メモ側の古くなった記述を現行に合わせる</t>
    <phoneticPr fontId="2"/>
  </si>
  <si>
    <t>改訂済みの調査メモ</t>
    <phoneticPr fontId="2"/>
  </si>
  <si>
    <t>対応不要となった規制対応の記述を、削除せず「当面対象外」に格下げする</t>
    <phoneticPr fontId="2"/>
  </si>
  <si>
    <t>格下げ済みの記述。将来再開できる形で残っている</t>
    <phoneticPr fontId="2"/>
  </si>
  <si>
    <t>対象外となった接続方式の記述を「当面対象外」に格下げする</t>
    <phoneticPr fontId="2"/>
  </si>
  <si>
    <t>格下げ済みの記述。将来用の区分は予約されている</t>
    <phoneticPr fontId="2"/>
  </si>
  <si>
    <t>ネットワークの区画を 2 つに分ける決定を、設計書の本文として書き直す</t>
    <phoneticPr fontId="2"/>
  </si>
  <si>
    <t>全面改訂された設計記述。区画の分け方と接続方法が本文として成立している</t>
    <phoneticPr fontId="2"/>
  </si>
  <si>
    <t>ネットワーク構成図と割り当て表を、2 区画の構成に更新する</t>
    <phoneticPr fontId="2"/>
  </si>
  <si>
    <t>更新済みの構成図と割り当て表。本文と図が一致している</t>
    <phoneticPr fontId="2"/>
  </si>
  <si>
    <t>参照している業界標準が正式版になったため、記述を最新の名称と強度に直す</t>
    <phoneticPr fontId="2"/>
  </si>
  <si>
    <t>改訂済みの記述。名称が最新になり、禁止事項の強さも最新に合っている</t>
    <phoneticPr fontId="2"/>
  </si>
  <si>
    <t>接続先が複数あるときの表示順の決め方を、画面側と設定側で合わせて決める</t>
    <phoneticPr fontId="2"/>
  </si>
  <si>
    <t>決定記録と設計反映。並び順の決め方が 1 つに定まっている</t>
    <phoneticPr fontId="2"/>
  </si>
  <si>
    <t>どの操作のときに追加認証を求めるかの一覧を、アプリとの取り決めとして先に確定する</t>
    <phoneticPr fontId="2"/>
  </si>
  <si>
    <t>操作一覧。アプリ側が実装できる粒度で列挙されている</t>
    <phoneticPr fontId="2"/>
  </si>
  <si>
    <t>システム同士が呼び合うときの権限確認の具体を決める</t>
    <phoneticPr fontId="2"/>
  </si>
  <si>
    <t>決定記録。呼び出す側と受ける側の確認内容が定まっている</t>
    <phoneticPr fontId="2"/>
  </si>
  <si>
    <t>通知メールを送るための送信基盤の設定方針を決める</t>
    <phoneticPr fontId="2"/>
  </si>
  <si>
    <t>決定記録。送信元の設定・なりすまし対策・送信できなかった場合の扱いが定まっている</t>
    <phoneticPr fontId="2"/>
  </si>
  <si>
    <t>不正検知の情報を災害時にどう引き継ぐか、緊急時の管理者用経路をどう用意するかを決める</t>
    <phoneticPr fontId="2"/>
  </si>
  <si>
    <t>決定記録。復旧方式と整合している</t>
    <phoneticPr fontId="2"/>
  </si>
  <si>
    <t>登録経路の区分に新しい値を足すか、拡張項目の受け入れ枠をどうするかを決める</t>
    <phoneticPr fontId="2"/>
  </si>
  <si>
    <t>決定記録。区分の一覧が確定している</t>
    <phoneticPr fontId="2"/>
  </si>
  <si>
    <t>利用できるアプリの情報を、どの台帳で一元管理するかを決める</t>
    <phoneticPr fontId="2"/>
  </si>
  <si>
    <t>決定記録。管理場所と更新経路が定まっている</t>
    <phoneticPr fontId="2"/>
  </si>
  <si>
    <t>管理操作の記録をどこに置き、何年保つかを決める</t>
    <phoneticPr fontId="2"/>
  </si>
  <si>
    <t>決定記録。置き場所と保存年数が契約に書ける形で定まっている</t>
    <phoneticPr fontId="2"/>
  </si>
  <si>
    <t>承認画面の共用範囲・定期確認の対象範囲・目標値の境界を決める</t>
    <phoneticPr fontId="2"/>
  </si>
  <si>
    <t>決定記録 3 件</t>
    <phoneticPr fontId="2"/>
  </si>
  <si>
    <t>旧方式の接続先を登録するときのひな形を作る</t>
    <phoneticPr fontId="2"/>
  </si>
  <si>
    <t>ひな形定義。項目の対応づけが定まっている</t>
    <phoneticPr fontId="2"/>
  </si>
  <si>
    <t>接続先の証明書を止めずに入れ替えるための運用手順を決める</t>
    <phoneticPr fontId="2"/>
  </si>
  <si>
    <t>決定記録。自動追随が使えない場合の手動手順も含む</t>
    <phoneticPr fontId="2"/>
  </si>
  <si>
    <t>連続失敗による締め出しと、危険度の判定をどう組み合わせるかを決める</t>
    <phoneticPr fontId="2"/>
  </si>
  <si>
    <t>決定記録。二重に締め出さない条件が定まっている</t>
    <phoneticPr fontId="2"/>
  </si>
  <si>
    <t>入口の防御に必要な情報の受け渡しと、判定できないときの案内文を確定する</t>
    <phoneticPr fontId="2"/>
  </si>
  <si>
    <t>決定記録と文言案</t>
    <phoneticPr fontId="2"/>
  </si>
  <si>
    <t>一時的に強い権限を出す機能をどこに置くかを決める</t>
    <phoneticPr fontId="2"/>
  </si>
  <si>
    <t>決定記録</t>
    <phoneticPr fontId="2"/>
  </si>
  <si>
    <t>業務システムへの移行を 4 段階で進める詳細手順を決める</t>
    <phoneticPr fontId="2"/>
  </si>
  <si>
    <t>段階別の手順書。各段階で元に戻せることが示されている</t>
    <phoneticPr fontId="2"/>
  </si>
  <si>
    <t>利用者を止めたときに業務システム側でも使えなくなる連鎖の仕組みを決める</t>
    <phoneticPr fontId="2"/>
  </si>
  <si>
    <t>決定記録。業務履歴を残しつつ利用を止められる方式が定まっている</t>
    <phoneticPr fontId="2"/>
  </si>
  <si>
    <t>業務システムにしかいない利用者の移行方針を決める</t>
    <phoneticPr fontId="2"/>
  </si>
  <si>
    <t>決定記録。対象者の扱いが定まっている</t>
    <phoneticPr fontId="2"/>
  </si>
  <si>
    <t>全利用者を顧客の認証システム経由に統一する方針に合わせ、ログイン処理の流れを書き直す</t>
    <phoneticPr fontId="2"/>
  </si>
  <si>
    <t>改訂済みの設計記述</t>
    <phoneticPr fontId="2"/>
  </si>
  <si>
    <t>利用者がどの経路で登録されたかの区分を、新方針に合わせて整理し直す</t>
    <phoneticPr fontId="2"/>
  </si>
  <si>
    <t>改訂済みの経路表。区分が重複しない</t>
    <phoneticPr fontId="2"/>
  </si>
  <si>
    <t>追加認証の画面の流れを、新方針での利用者区分に合わせて見直す</t>
    <phoneticPr fontId="2"/>
  </si>
  <si>
    <t>追加認証の実施責任が顧客側に移る部分を、設計書に明記する</t>
    <phoneticPr fontId="2"/>
  </si>
  <si>
    <t>改訂済みの設計記述。責任の所在が明確になっている</t>
    <phoneticPr fontId="2"/>
  </si>
  <si>
    <t>書き直した 4 つの設計書の間で矛盾がないかを突き合わせる</t>
    <phoneticPr fontId="2"/>
  </si>
  <si>
    <t>顧客の希望する復旧時間と、現在の方式で実現できる時間の差を数値で明らかにする</t>
    <phoneticPr fontId="2"/>
  </si>
  <si>
    <t>分析結果。差分と、その原因となる制約が数値で示されている</t>
    <phoneticPr fontId="2"/>
  </si>
  <si>
    <t>分析を踏まえ、復旧方式をどうするかを決める</t>
    <phoneticPr fontId="2"/>
  </si>
  <si>
    <t>決定記録。方式が 1 つに確定している</t>
    <phoneticPr fontId="2"/>
  </si>
  <si>
    <t>決めた復旧方式を関連する設計書に反映する</t>
    <phoneticPr fontId="2"/>
  </si>
  <si>
    <t>改訂済みの設計記述 3 冊</t>
    <phoneticPr fontId="2"/>
  </si>
  <si>
    <t>復旧作業の手順書の骨子を作る</t>
    <phoneticPr fontId="2"/>
  </si>
  <si>
    <t>手順書の骨子。実際の作業順序が追える</t>
    <phoneticPr fontId="2"/>
  </si>
  <si>
    <t>認証システムをいくつのまとまりで構成するかを再検討して決める</t>
    <phoneticPr fontId="2"/>
  </si>
  <si>
    <t>決定記録。構成が確定し、ネットワーク設計の前提が定まる</t>
    <phoneticPr fontId="2"/>
  </si>
  <si>
    <t>運用委託先から個人情報が見えないよう、記録の出し方の方式を決める</t>
    <phoneticPr fontId="2"/>
  </si>
  <si>
    <t>決定記録。出力内容の伏せ方と、設定を固定する方法が定まっている</t>
    <phoneticPr fontId="2"/>
  </si>
  <si>
    <t>開発用・検証用の環境について、他社事例や費用面を調べる</t>
    <phoneticPr fontId="2"/>
  </si>
  <si>
    <t>調査結果。選択肢と概算費用が整理されている</t>
    <phoneticPr fontId="2"/>
  </si>
  <si>
    <t>開発用・検証用の環境をどう構成するかを決める</t>
    <phoneticPr fontId="2"/>
  </si>
  <si>
    <t>決定記録。環境の数と共用範囲が定まっている</t>
    <phoneticPr fontId="2"/>
  </si>
  <si>
    <t>試験用データの作り方と、環境の維持費用を決める</t>
    <phoneticPr fontId="2"/>
  </si>
  <si>
    <t>決定記録。本番の個人情報を使わない方針が定まっている</t>
    <phoneticPr fontId="2"/>
  </si>
  <si>
    <t>性能試験の進め方を 1 冊にまとめる</t>
    <phoneticPr fontId="2"/>
  </si>
  <si>
    <t>試験計画書。試験項目・合格基準・実施順序が定まっている</t>
    <phoneticPr fontId="2"/>
  </si>
  <si>
    <t>運用開始後の費用管理の仕組みを決める</t>
    <phoneticPr fontId="2"/>
  </si>
  <si>
    <t>決定記録。費用の見える化と超過時の警告の仕組みが定まっている</t>
    <phoneticPr fontId="2"/>
  </si>
  <si>
    <t>本番運用で必要な製品設定のうち、抜けていた 5 項目を調べて設計に反映する</t>
    <phoneticPr fontId="2"/>
  </si>
  <si>
    <t>改訂済みの設計記述。5 項目すべてが反映されている</t>
    <phoneticPr fontId="2"/>
  </si>
  <si>
    <t>製品の更新作業をどう安全に行うかを詰める</t>
    <phoneticPr fontId="2"/>
  </si>
  <si>
    <t>決定記録。停止が必要な更新の見分け方と作業時間帯の設計が定まっている</t>
    <phoneticPr fontId="2"/>
  </si>
  <si>
    <t>データベース接続に公式部品を使うかどうかを決める</t>
    <phoneticPr fontId="2"/>
  </si>
  <si>
    <t>決定記録。採否とその理由が定まっている</t>
    <phoneticPr fontId="2"/>
  </si>
  <si>
    <t>運用記録を中央に集める際の製品側の制約を確認し、設計と整合させる</t>
    <phoneticPr fontId="2"/>
  </si>
  <si>
    <t>確認結果と改訂済み設計記述</t>
    <phoneticPr fontId="2"/>
  </si>
  <si>
    <t>連続失敗への対処方式を選び、利用者一覧を推測されない対策と併せて明文化する</t>
    <phoneticPr fontId="2"/>
  </si>
  <si>
    <t>決定記録。方式が 1 つに定まり、推測対策と両立している</t>
    <phoneticPr fontId="2"/>
  </si>
  <si>
    <t>顧客への質問状を、優先度をつけて 1 つのパッケージにまとめる</t>
    <phoneticPr fontId="2"/>
  </si>
  <si>
    <t>質問状パッケージ。優先度順に整理され、発行できる状態</t>
    <phoneticPr fontId="2"/>
  </si>
  <si>
    <t>顧客からの回答を受けて、前提と各設計書を更新する</t>
    <phoneticPr fontId="2"/>
  </si>
  <si>
    <t>更新済みの前提表と設計記述。回答と設計が一致している</t>
    <phoneticPr fontId="2"/>
  </si>
  <si>
    <t>法務確認と製品ベンダーへの照会を起票し、回答を追いかける</t>
    <phoneticPr fontId="2"/>
  </si>
  <si>
    <t>起票記録と回答。契約前に確認が必要な項目が追跡できている</t>
    <phoneticPr fontId="2"/>
  </si>
  <si>
    <t>別の作業で進んでいる 2 件の判断記録が完了した後、残っている参照を整理する</t>
    <phoneticPr fontId="2"/>
  </si>
  <si>
    <t>整理済みの参照。矛盾する記述が残っていない</t>
    <phoneticPr fontId="2"/>
  </si>
  <si>
    <t>顧客テナントを新しく追加するときの作業手順書を作る</t>
    <phoneticPr fontId="2"/>
  </si>
  <si>
    <t>手順書 1 冊。担当者が手順どおりに実施できる粒度</t>
    <phoneticPr fontId="2"/>
  </si>
  <si>
    <t>顧客がサービスを離れるときの段階的な手順書を作る</t>
    <phoneticPr fontId="2"/>
  </si>
  <si>
    <t>手順書 1 冊。猶予期間とデータの引き渡しが手順化されている</t>
    <phoneticPr fontId="2"/>
  </si>
  <si>
    <t>不正の兆候を検知したときの初動手順書を作る</t>
    <phoneticPr fontId="2"/>
  </si>
  <si>
    <t>手順書 1 冊。報告期限に間に合う初動が手順化されている</t>
    <phoneticPr fontId="2"/>
  </si>
  <si>
    <t>情報漏えいが疑われる場合の届出手順書を作る</t>
    <phoneticPr fontId="2"/>
  </si>
  <si>
    <t>手順書 1 冊。法定の期限に沿った作業順序になっている</t>
    <phoneticPr fontId="2"/>
  </si>
  <si>
    <t>緊急で鍵を入れ替えるときの手順書を作る</t>
    <phoneticPr fontId="2"/>
  </si>
  <si>
    <t>手順書 1 冊。停止時間を最小にする順序で書かれている</t>
    <phoneticPr fontId="2"/>
  </si>
  <si>
    <t>通常経路が使えないときの緊急用アクセス手順書を作る</t>
    <phoneticPr fontId="2"/>
  </si>
  <si>
    <t>手順書 1 冊。承認・使用・事後処理が含まれている</t>
    <phoneticPr fontId="2"/>
  </si>
  <si>
    <t>利用者を強制的にログアウトさせる 3 段階の手順書を作る</t>
    <phoneticPr fontId="2"/>
  </si>
  <si>
    <t>手順書 1 冊。範囲ごとの影響が明記されている</t>
    <phoneticPr fontId="2"/>
  </si>
  <si>
    <t>災害復旧を発動するかどうかの判断手順書を作る</t>
    <phoneticPr fontId="2"/>
  </si>
  <si>
    <t>手順書 1 冊。判断基準が明確で迷わない</t>
    <phoneticPr fontId="2"/>
  </si>
  <si>
    <t>切り替え先の地域でシステムを作り直す手順書を作る</t>
    <phoneticPr fontId="2"/>
  </si>
  <si>
    <t>手順書 1 冊。決定した復旧方式に沿っている</t>
    <phoneticPr fontId="2"/>
  </si>
  <si>
    <t>データを過去の時点に戻す手順書を作る</t>
    <phoneticPr fontId="2"/>
  </si>
  <si>
    <t>手順書 1 冊。復元できる時点と所要時間が明記されている</t>
    <phoneticPr fontId="2"/>
  </si>
  <si>
    <t>復旧後に元の地域へ戻す手順書を作る</t>
    <phoneticPr fontId="2"/>
  </si>
  <si>
    <t>手順書 1 冊。戻す際の確認項目が含まれている</t>
    <phoneticPr fontId="2"/>
  </si>
  <si>
    <t>障害時の連絡体制と当番の仕組みを整える</t>
    <phoneticPr fontId="2"/>
  </si>
  <si>
    <t>体制の定義。連絡先と交代の仕組みが定まっている</t>
    <phoneticPr fontId="2"/>
  </si>
  <si>
    <t>全体構成図を正式な清書版にする</t>
    <phoneticPr fontId="2"/>
  </si>
  <si>
    <t>清書版の全体構成図。最新の構成を反映している</t>
    <phoneticPr fontId="2"/>
  </si>
  <si>
    <t>ネットワーク詳細図を正式な清書版にする</t>
    <phoneticPr fontId="2"/>
  </si>
  <si>
    <t>清書版のネットワーク図。最新の経路を反映している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</si>
</sst>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1" formatCode="#,##0.0"/>
    <numFmt numFmtId="186" formatCode="#,##0.0000"/>
    <numFmt numFmtId="187" formatCode="#,##0.###"/>
    <numFmt numFmtId="188" formatCode="\¥#,##0"/>
    <numFmt numFmtId="189" formatCode="\¥#,##0.00"/>
    <numFmt numFmtId="190" formatCode="0.00000000"/>
    <numFmt numFmtId="191" formatCode="0.0#"/>
  </numFmts>
  <fonts count="7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b/>
      <sz val="10"/>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sz val="10"/>
      <color rgb="FF1F4E79"/>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0"/>
      <color theme="1"/>
      <name val="游ゴシック"/>
      <family val="2"/>
      <charset val="128"/>
      <scheme val="minor"/>
    </font>
    <font>
      <sz val="10"/>
      <color rgb="FFC00000"/>
      <name val="Meiryo UI"/>
      <family val="2"/>
      <charset val="128"/>
    </font>
    <font>
      <sz val="10"/>
      <color rgb="FF000000"/>
      <name val="游ゴシック"/>
      <family val="2"/>
      <charset val="128"/>
      <scheme val="minor"/>
    </font>
  </fonts>
  <fills count="17">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s>
  <borders count="2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s>
  <cellStyleXfs count="1">
    <xf numFmtId="0" fontId="0" fillId="0" borderId="0">
      <alignment vertical="center"/>
    </xf>
  </cellStyleXfs>
  <cellXfs count="39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9" fillId="0" borderId="5" xfId="0" applyFont="1" applyBorder="1" applyAlignment="1">
      <alignment vertical="top"/>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3" fillId="0" borderId="0" xfId="0" applyFont="1" applyFill="1" applyBorder="1">
      <alignment vertical="center"/>
    </xf>
    <xf numFmtId="0" fontId="25" fillId="0" borderId="0" xfId="0" applyFont="1">
      <alignment vertical="center"/>
    </xf>
    <xf numFmtId="0" fontId="10"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51" fillId="0" borderId="0" xfId="0" applyFont="1">
      <alignment vertical="center"/>
    </xf>
    <xf numFmtId="0" fontId="3" fillId="0" borderId="8" xfId="0" applyFont="1" applyBorder="1" applyAlignment="1">
      <alignment horizontal="center" vertical="center"/>
    </xf>
    <xf numFmtId="0" fontId="52" fillId="0" borderId="5" xfId="0" applyFont="1" applyBorder="1">
      <alignment vertical="center"/>
    </xf>
    <xf numFmtId="0" fontId="53" fillId="0" borderId="3" xfId="0" applyFont="1" applyBorder="1" applyAlignment="1">
      <alignment vertical="top"/>
    </xf>
    <xf numFmtId="0" fontId="53" fillId="0" borderId="7" xfId="0" applyFont="1" applyBorder="1" applyAlignment="1">
      <alignment vertical="top"/>
    </xf>
    <xf numFmtId="0" fontId="53"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5"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2" fillId="0" borderId="2" xfId="0" applyFont="1" applyBorder="1">
      <alignment vertical="center"/>
    </xf>
    <xf numFmtId="0" fontId="4" fillId="0" borderId="4" xfId="0" applyFont="1" applyBorder="1" applyAlignment="1">
      <alignment horizontal="center" vertical="top"/>
    </xf>
    <xf numFmtId="0" fontId="4" fillId="0" borderId="8" xfId="0" applyFont="1" applyBorder="1" applyAlignment="1">
      <alignment horizontal="center" vertical="top"/>
    </xf>
    <xf numFmtId="0" fontId="56"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8" fillId="0" borderId="5" xfId="0" applyFont="1" applyBorder="1" applyAlignment="1">
      <alignment vertical="top"/>
    </xf>
    <xf numFmtId="0" fontId="58" fillId="0" borderId="9" xfId="0" applyFont="1" applyBorder="1" applyAlignment="1">
      <alignment vertical="top"/>
    </xf>
    <xf numFmtId="49" fontId="57" fillId="0" borderId="4" xfId="0" applyNumberFormat="1" applyFont="1" applyBorder="1" applyAlignment="1">
      <alignment horizontal="center" vertical="top"/>
    </xf>
    <xf numFmtId="49" fontId="57" fillId="0" borderId="8" xfId="0" applyNumberFormat="1" applyFont="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8" fillId="0" borderId="4" xfId="0" applyFont="1" applyBorder="1" applyAlignment="1">
      <alignment vertical="top"/>
    </xf>
    <xf numFmtId="0" fontId="58" fillId="0" borderId="8" xfId="0" applyFont="1" applyBorder="1" applyAlignment="1">
      <alignment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6" fillId="9" borderId="10" xfId="0" applyFont="1" applyFill="1" applyBorder="1" applyAlignment="1">
      <alignment horizontal="center" vertical="top"/>
    </xf>
    <xf numFmtId="0" fontId="6" fillId="9" borderId="11" xfId="0" applyFont="1" applyFill="1" applyBorder="1" applyAlignment="1">
      <alignment horizontal="center" vertical="top"/>
    </xf>
    <xf numFmtId="0" fontId="6" fillId="9"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59"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8" fillId="0" borderId="4" xfId="0" applyFont="1" applyBorder="1" applyAlignment="1">
      <alignment horizontal="center" vertical="top"/>
    </xf>
    <xf numFmtId="0" fontId="58"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3"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4" fillId="0" borderId="4" xfId="0" applyFont="1" applyBorder="1">
      <alignment vertical="center"/>
    </xf>
    <xf numFmtId="0" fontId="54"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6"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8"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9"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7" fillId="3" borderId="4" xfId="0" applyNumberFormat="1" applyFont="1" applyFill="1" applyBorder="1" applyAlignment="1">
      <alignment horizontal="center" vertical="top"/>
    </xf>
    <xf numFmtId="0" fontId="58" fillId="3" borderId="5" xfId="0" applyFont="1" applyFill="1" applyBorder="1" applyAlignment="1">
      <alignment vertical="top"/>
    </xf>
    <xf numFmtId="0" fontId="4" fillId="4" borderId="3" xfId="0" applyFont="1" applyFill="1" applyBorder="1" applyAlignment="1">
      <alignment vertical="top"/>
    </xf>
    <xf numFmtId="49" fontId="57" fillId="4" borderId="4" xfId="0" applyNumberFormat="1" applyFont="1" applyFill="1" applyBorder="1" applyAlignment="1">
      <alignment horizontal="center" vertical="top"/>
    </xf>
    <xf numFmtId="0" fontId="58"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7"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3" fillId="13" borderId="4" xfId="0" applyFont="1" applyFill="1" applyBorder="1" applyAlignment="1">
      <alignment vertical="top"/>
    </xf>
    <xf numFmtId="0" fontId="7" fillId="2" borderId="20" xfId="0" applyFont="1" applyFill="1" applyBorder="1">
      <alignment vertical="center"/>
    </xf>
    <xf numFmtId="0" fontId="7" fillId="2" borderId="21" xfId="0" applyFont="1" applyFill="1" applyBorder="1">
      <alignment vertical="center"/>
    </xf>
    <xf numFmtId="0" fontId="7"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1" fillId="4" borderId="23" xfId="0" applyFont="1" applyFill="1" applyBorder="1">
      <alignment vertical="center"/>
    </xf>
    <xf numFmtId="0" fontId="1" fillId="4" borderId="17" xfId="0" applyFont="1" applyFill="1" applyBorder="1">
      <alignment vertical="center"/>
    </xf>
    <xf numFmtId="0" fontId="1" fillId="4" borderId="13" xfId="0" applyFont="1" applyFill="1" applyBorder="1">
      <alignment vertical="center"/>
    </xf>
    <xf numFmtId="0" fontId="1" fillId="7" borderId="24" xfId="0" applyFont="1" applyFill="1" applyBorder="1">
      <alignment vertical="center"/>
    </xf>
    <xf numFmtId="0" fontId="1" fillId="7" borderId="25" xfId="0" applyFont="1" applyFill="1" applyBorder="1">
      <alignment vertical="center"/>
    </xf>
    <xf numFmtId="0" fontId="1" fillId="7" borderId="19" xfId="0" applyFont="1" applyFill="1" applyBorder="1">
      <alignment vertical="center"/>
    </xf>
    <xf numFmtId="0" fontId="0" fillId="0" borderId="17" xfId="0" applyBorder="1" applyAlignment="1">
      <alignment vertical="center" wrapText="1"/>
    </xf>
    <xf numFmtId="0" fontId="3" fillId="13" borderId="3" xfId="0" applyFont="1" applyFill="1" applyBorder="1" applyAlignment="1">
      <alignment vertical="top"/>
    </xf>
    <xf numFmtId="0" fontId="4" fillId="13" borderId="4" xfId="0" applyFont="1" applyFill="1" applyBorder="1" applyAlignment="1">
      <alignment vertical="top"/>
    </xf>
    <xf numFmtId="0" fontId="58" fillId="13" borderId="4" xfId="0" applyFont="1" applyFill="1" applyBorder="1" applyAlignment="1">
      <alignment horizontal="center" vertical="top"/>
    </xf>
    <xf numFmtId="0" fontId="4" fillId="13" borderId="4" xfId="0" applyFont="1" applyFill="1" applyBorder="1" applyAlignment="1">
      <alignment horizontal="center" vertical="top"/>
    </xf>
    <xf numFmtId="0" fontId="58" fillId="13" borderId="4" xfId="0" applyFont="1" applyFill="1" applyBorder="1" applyAlignment="1">
      <alignment vertical="top"/>
    </xf>
    <xf numFmtId="0" fontId="3" fillId="13" borderId="5" xfId="0" applyFont="1" applyFill="1" applyBorder="1" applyAlignment="1">
      <alignment horizontal="center" vertical="top"/>
    </xf>
    <xf numFmtId="0" fontId="3" fillId="8" borderId="7" xfId="0" applyFont="1" applyFill="1" applyBorder="1" applyAlignment="1">
      <alignment vertical="top"/>
    </xf>
    <xf numFmtId="0" fontId="4" fillId="8" borderId="8" xfId="0" applyFont="1" applyFill="1" applyBorder="1" applyAlignment="1">
      <alignment vertical="top"/>
    </xf>
    <xf numFmtId="0" fontId="3" fillId="8" borderId="8" xfId="0" applyFont="1" applyFill="1" applyBorder="1" applyAlignment="1">
      <alignment vertical="top"/>
    </xf>
    <xf numFmtId="0" fontId="58" fillId="8" borderId="8" xfId="0" applyFont="1" applyFill="1" applyBorder="1" applyAlignment="1">
      <alignment horizontal="center" vertical="top"/>
    </xf>
    <xf numFmtId="0" fontId="4" fillId="8" borderId="8" xfId="0" applyFont="1" applyFill="1" applyBorder="1" applyAlignment="1">
      <alignment horizontal="center" vertical="top"/>
    </xf>
    <xf numFmtId="0" fontId="58" fillId="8" borderId="8" xfId="0" applyFont="1" applyFill="1" applyBorder="1" applyAlignment="1">
      <alignment vertical="top"/>
    </xf>
    <xf numFmtId="0" fontId="3" fillId="8" borderId="9" xfId="0" applyFont="1" applyFill="1" applyBorder="1" applyAlignment="1">
      <alignment horizontal="center" vertical="top"/>
    </xf>
    <xf numFmtId="0" fontId="6" fillId="6" borderId="18" xfId="0" applyFont="1" applyFill="1" applyBorder="1" applyAlignment="1">
      <alignment horizontal="center" vertical="top"/>
    </xf>
    <xf numFmtId="0" fontId="3" fillId="13" borderId="0" xfId="0" applyFont="1" applyFill="1" applyAlignment="1">
      <alignment vertical="top" wrapText="1"/>
    </xf>
    <xf numFmtId="0" fontId="3" fillId="8" borderId="0" xfId="0" applyFont="1" applyFill="1" applyAlignment="1">
      <alignment vertical="top" wrapText="1"/>
    </xf>
    <xf numFmtId="0" fontId="1" fillId="5" borderId="24" xfId="0" applyFont="1" applyFill="1" applyBorder="1">
      <alignment vertical="center"/>
    </xf>
    <xf numFmtId="0" fontId="1" fillId="5" borderId="25" xfId="0" applyFont="1" applyFill="1" applyBorder="1">
      <alignment vertical="center"/>
    </xf>
    <xf numFmtId="0" fontId="1" fillId="5" borderId="19" xfId="0" applyFont="1" applyFill="1" applyBorder="1">
      <alignment vertical="center"/>
    </xf>
    <xf numFmtId="0" fontId="7"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72" fillId="0" borderId="0" xfId="0" applyFont="1">
      <alignment vertical="center"/>
    </xf>
    <xf numFmtId="0" fontId="42" fillId="0" borderId="0" xfId="0" applyFont="1">
      <alignment vertical="center"/>
    </xf>
    <xf numFmtId="0" fontId="73" fillId="0" borderId="0" xfId="0" applyFont="1">
      <alignment vertical="center"/>
    </xf>
    <xf numFmtId="0" fontId="17" fillId="2" borderId="20" xfId="0" applyFont="1" applyFill="1" applyBorder="1" applyAlignment="1">
      <alignment horizontal="center" vertical="center"/>
    </xf>
    <xf numFmtId="0" fontId="17" fillId="2" borderId="21" xfId="0" applyFont="1" applyFill="1" applyBorder="1" applyAlignment="1">
      <alignment horizontal="center" vertical="center"/>
    </xf>
    <xf numFmtId="0" fontId="8" fillId="2" borderId="21" xfId="0" applyFont="1" applyFill="1" applyBorder="1" applyAlignment="1">
      <alignment horizontal="center" vertical="center"/>
    </xf>
    <xf numFmtId="0" fontId="8" fillId="2" borderId="22" xfId="0" applyFont="1" applyFill="1" applyBorder="1" applyAlignment="1">
      <alignment horizontal="center" vertical="center"/>
    </xf>
    <xf numFmtId="0" fontId="8" fillId="2" borderId="0" xfId="0" applyFont="1" applyFill="1" applyAlignment="1">
      <alignment horizontal="center" vertical="center"/>
    </xf>
    <xf numFmtId="0" fontId="32" fillId="0" borderId="23" xfId="0" applyFont="1" applyFill="1" applyBorder="1" applyAlignment="1">
      <alignment horizontal="center" vertical="top"/>
    </xf>
    <xf numFmtId="0" fontId="32" fillId="0" borderId="17" xfId="0" applyFont="1" applyFill="1" applyBorder="1" applyAlignment="1">
      <alignment vertical="top"/>
    </xf>
    <xf numFmtId="0" fontId="32" fillId="0" borderId="17" xfId="0" applyFont="1" applyFill="1" applyBorder="1" applyAlignment="1">
      <alignment vertical="top" wrapText="1"/>
    </xf>
    <xf numFmtId="0" fontId="32" fillId="0" borderId="17" xfId="0" applyFont="1" applyFill="1" applyBorder="1" applyAlignment="1">
      <alignment horizontal="center" vertical="top" wrapText="1"/>
    </xf>
    <xf numFmtId="191" fontId="32" fillId="0" borderId="17" xfId="0" applyNumberFormat="1" applyFont="1" applyFill="1" applyBorder="1" applyAlignment="1">
      <alignment vertical="top"/>
    </xf>
    <xf numFmtId="0" fontId="32"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3" xfId="0" applyFont="1" applyFill="1" applyBorder="1" applyAlignment="1">
      <alignment vertical="top"/>
    </xf>
    <xf numFmtId="0" fontId="74" fillId="0" borderId="0" xfId="0" applyFont="1" applyFill="1" applyAlignment="1">
      <alignment vertical="top"/>
    </xf>
    <xf numFmtId="0" fontId="26" fillId="0" borderId="23" xfId="0" applyFont="1" applyFill="1" applyBorder="1" applyAlignment="1">
      <alignment vertical="top"/>
    </xf>
    <xf numFmtId="0" fontId="26" fillId="0" borderId="17" xfId="0" applyFont="1" applyFill="1" applyBorder="1" applyAlignment="1">
      <alignment vertical="top"/>
    </xf>
    <xf numFmtId="0" fontId="26" fillId="0" borderId="17" xfId="0" applyFont="1" applyFill="1" applyBorder="1" applyAlignment="1">
      <alignment vertical="top" wrapText="1"/>
    </xf>
    <xf numFmtId="191" fontId="26" fillId="0" borderId="17" xfId="0" applyNumberFormat="1" applyFont="1" applyFill="1" applyBorder="1" applyAlignment="1">
      <alignment vertical="top"/>
    </xf>
    <xf numFmtId="0" fontId="26" fillId="0" borderId="24" xfId="0" applyFont="1" applyFill="1" applyBorder="1" applyAlignment="1">
      <alignment vertical="top"/>
    </xf>
    <xf numFmtId="0" fontId="26" fillId="0" borderId="25" xfId="0" applyFont="1" applyFill="1" applyBorder="1" applyAlignment="1">
      <alignment vertical="top"/>
    </xf>
    <xf numFmtId="0" fontId="26" fillId="0" borderId="25" xfId="0" applyFont="1" applyFill="1" applyBorder="1" applyAlignment="1">
      <alignment vertical="top" wrapText="1"/>
    </xf>
    <xf numFmtId="191" fontId="26" fillId="0" borderId="25" xfId="0" applyNumberFormat="1" applyFont="1" applyFill="1" applyBorder="1" applyAlignment="1">
      <alignment vertical="top"/>
    </xf>
    <xf numFmtId="0" fontId="26" fillId="0" borderId="25" xfId="0" applyFont="1" applyFill="1" applyBorder="1" applyAlignment="1">
      <alignment horizontal="center" vertical="top"/>
    </xf>
    <xf numFmtId="0" fontId="26" fillId="0" borderId="19" xfId="0" applyFont="1" applyFill="1" applyBorder="1" applyAlignment="1">
      <alignment vertical="top"/>
    </xf>
  </cellXfs>
  <cellStyles count="1">
    <cellStyle name="標準" xfId="0" builtinId="0"/>
  </cellStyles>
  <dxfs count="151">
    <dxf>
      <font>
        <b/>
        <i val="0"/>
        <color rgb="FF9C0006"/>
      </font>
      <fill>
        <patternFill patternType="solid">
          <fgColor indexed="64"/>
          <bgColor rgb="FFFFC7CE"/>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3041</v>
      </c>
    </row>
    <row r="2" spans="1:4">
      <c r="A2" s="48" t="s">
        <v>3042</v>
      </c>
    </row>
    <row r="4" spans="1:4" ht="24" customHeight="1">
      <c r="A4" s="109" t="s">
        <v>3043</v>
      </c>
      <c r="B4" s="110" t="s">
        <v>3044</v>
      </c>
      <c r="C4" s="110" t="s">
        <v>3045</v>
      </c>
      <c r="D4" s="111" t="s">
        <v>3046</v>
      </c>
    </row>
    <row r="5" spans="1:4" ht="300" customHeight="1">
      <c r="A5" s="112" t="s">
        <v>3037</v>
      </c>
      <c r="B5" s="202">
        <v>57</v>
      </c>
      <c r="C5" s="51" t="s">
        <v>3047</v>
      </c>
      <c r="D5" s="204" t="s">
        <v>3051</v>
      </c>
    </row>
    <row r="6" spans="1:4" ht="300" customHeight="1">
      <c r="A6" s="112" t="s">
        <v>3036</v>
      </c>
      <c r="B6" s="202">
        <v>45</v>
      </c>
      <c r="C6" s="51" t="s">
        <v>3048</v>
      </c>
      <c r="D6" s="204" t="s">
        <v>3053</v>
      </c>
    </row>
    <row r="7" spans="1:4" ht="300" customHeight="1">
      <c r="A7" s="113" t="s">
        <v>3049</v>
      </c>
      <c r="B7" s="203">
        <v>130</v>
      </c>
      <c r="C7" s="52" t="s">
        <v>3050</v>
      </c>
      <c r="D7" s="205" t="s">
        <v>3052</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3054</v>
      </c>
    </row>
    <row r="2" spans="1:6">
      <c r="A2" s="3" t="s">
        <v>3055</v>
      </c>
    </row>
    <row r="3" spans="1:6">
      <c r="A3" s="54" t="s">
        <v>3056</v>
      </c>
    </row>
    <row r="5" spans="1:6">
      <c r="A5" s="4" t="s">
        <v>3057</v>
      </c>
    </row>
    <row r="6" spans="1:6">
      <c r="A6" s="18" t="s">
        <v>3058</v>
      </c>
      <c r="B6" s="19" t="s">
        <v>3059</v>
      </c>
      <c r="C6" s="19" t="s">
        <v>3060</v>
      </c>
      <c r="D6" s="20" t="s">
        <v>3061</v>
      </c>
    </row>
    <row r="7" spans="1:6">
      <c r="A7" s="21" t="s">
        <v>3062</v>
      </c>
      <c r="B7" s="223" t="s">
        <v>3063</v>
      </c>
      <c r="C7" s="22" t="s">
        <v>2236</v>
      </c>
      <c r="D7" s="27" t="s">
        <v>3064</v>
      </c>
    </row>
    <row r="8" spans="1:6">
      <c r="A8" s="21" t="s">
        <v>3065</v>
      </c>
      <c r="B8" s="223">
        <v>730</v>
      </c>
      <c r="C8" s="22" t="s">
        <v>3066</v>
      </c>
      <c r="D8" s="27" t="s">
        <v>3067</v>
      </c>
    </row>
    <row r="9" spans="1:6">
      <c r="A9" s="21" t="s">
        <v>3068</v>
      </c>
      <c r="B9" s="223">
        <v>150</v>
      </c>
      <c r="C9" s="22" t="s">
        <v>3069</v>
      </c>
      <c r="D9" s="27" t="s">
        <v>3070</v>
      </c>
    </row>
    <row r="10" spans="1:6">
      <c r="A10" s="21" t="s">
        <v>3071</v>
      </c>
      <c r="B10" s="223">
        <v>1000000</v>
      </c>
      <c r="C10" s="22" t="s">
        <v>3072</v>
      </c>
      <c r="D10" s="27" t="s">
        <v>3073</v>
      </c>
    </row>
    <row r="11" spans="1:6">
      <c r="A11" s="21" t="s">
        <v>3074</v>
      </c>
      <c r="B11" s="223">
        <v>5000000</v>
      </c>
      <c r="C11" s="22" t="s">
        <v>3072</v>
      </c>
      <c r="D11" s="27" t="s">
        <v>3075</v>
      </c>
    </row>
    <row r="12" spans="1:6">
      <c r="A12" s="25" t="s">
        <v>3076</v>
      </c>
      <c r="B12" s="224">
        <v>10000000</v>
      </c>
      <c r="C12" s="26" t="s">
        <v>3072</v>
      </c>
      <c r="D12" s="28" t="s">
        <v>3077</v>
      </c>
    </row>
    <row r="14" spans="1:6">
      <c r="A14" s="4" t="s">
        <v>3078</v>
      </c>
    </row>
    <row r="15" spans="1:6">
      <c r="A15" s="182" t="s">
        <v>1</v>
      </c>
      <c r="B15" s="183" t="s">
        <v>3058</v>
      </c>
      <c r="C15" s="183" t="s">
        <v>3079</v>
      </c>
      <c r="D15" s="183" t="s">
        <v>3060</v>
      </c>
      <c r="E15" s="183" t="s">
        <v>12</v>
      </c>
      <c r="F15" s="184" t="s">
        <v>666</v>
      </c>
    </row>
    <row r="16" spans="1:6">
      <c r="A16" s="21" t="s">
        <v>2998</v>
      </c>
      <c r="B16" s="22" t="s">
        <v>3080</v>
      </c>
      <c r="C16" s="225">
        <v>0.25</v>
      </c>
      <c r="D16" s="22" t="s">
        <v>3081</v>
      </c>
      <c r="E16" s="22" t="s">
        <v>3082</v>
      </c>
      <c r="F16" s="27" t="s">
        <v>3083</v>
      </c>
    </row>
    <row r="17" spans="1:14">
      <c r="A17" s="21" t="s">
        <v>2998</v>
      </c>
      <c r="B17" s="22" t="s">
        <v>3084</v>
      </c>
      <c r="C17" s="225">
        <v>0.17100000000000001</v>
      </c>
      <c r="D17" s="22" t="s">
        <v>3085</v>
      </c>
      <c r="E17" s="22" t="s">
        <v>3082</v>
      </c>
      <c r="F17" s="27" t="s">
        <v>3083</v>
      </c>
    </row>
    <row r="18" spans="1:14">
      <c r="A18" s="21" t="s">
        <v>2998</v>
      </c>
      <c r="B18" s="22" t="s">
        <v>3086</v>
      </c>
      <c r="C18" s="225">
        <v>1500</v>
      </c>
      <c r="D18" s="22" t="s">
        <v>3087</v>
      </c>
      <c r="E18" s="22" t="s">
        <v>3082</v>
      </c>
      <c r="F18" s="27" t="s">
        <v>3083</v>
      </c>
    </row>
    <row r="19" spans="1:14">
      <c r="A19" s="21" t="s">
        <v>2998</v>
      </c>
      <c r="B19" s="22" t="s">
        <v>3088</v>
      </c>
      <c r="C19" s="225">
        <v>1000</v>
      </c>
      <c r="D19" s="22" t="s">
        <v>3087</v>
      </c>
      <c r="E19" s="22" t="s">
        <v>3082</v>
      </c>
      <c r="F19" s="27" t="s">
        <v>3083</v>
      </c>
    </row>
    <row r="20" spans="1:14">
      <c r="A20" s="25" t="s">
        <v>2998</v>
      </c>
      <c r="B20" s="26" t="s">
        <v>3089</v>
      </c>
      <c r="C20" s="226">
        <v>667</v>
      </c>
      <c r="D20" s="26" t="s">
        <v>3087</v>
      </c>
      <c r="E20" s="26" t="s">
        <v>3082</v>
      </c>
      <c r="F20" s="28" t="s">
        <v>3083</v>
      </c>
    </row>
    <row r="21" spans="1:14">
      <c r="A21" s="124" t="s">
        <v>3090</v>
      </c>
    </row>
    <row r="23" spans="1:14">
      <c r="A23" s="4" t="s">
        <v>3091</v>
      </c>
    </row>
    <row r="24" spans="1:14" ht="30" customHeight="1">
      <c r="A24" s="9" t="s">
        <v>1</v>
      </c>
      <c r="B24" s="10" t="s">
        <v>3092</v>
      </c>
      <c r="C24" s="10" t="s">
        <v>3093</v>
      </c>
      <c r="D24" s="10" t="s">
        <v>3094</v>
      </c>
      <c r="E24" s="10" t="s">
        <v>3095</v>
      </c>
      <c r="F24" s="10" t="s">
        <v>3096</v>
      </c>
      <c r="G24" s="10" t="s">
        <v>3097</v>
      </c>
      <c r="H24" s="10" t="s">
        <v>3060</v>
      </c>
      <c r="I24" s="10" t="s">
        <v>3098</v>
      </c>
      <c r="J24" s="10" t="s">
        <v>3099</v>
      </c>
      <c r="K24" s="10" t="s">
        <v>3100</v>
      </c>
      <c r="L24" s="10" t="s">
        <v>3101</v>
      </c>
      <c r="M24" s="11" t="s">
        <v>3102</v>
      </c>
      <c r="N24" s="250" t="s">
        <v>3061</v>
      </c>
    </row>
    <row r="25" spans="1:14">
      <c r="A25" s="212" t="s">
        <v>3103</v>
      </c>
      <c r="B25" s="6" t="s">
        <v>3104</v>
      </c>
      <c r="C25" s="180" t="s">
        <v>3105</v>
      </c>
      <c r="D25" s="180" t="s">
        <v>3106</v>
      </c>
      <c r="E25" s="207">
        <v>2190</v>
      </c>
      <c r="F25" s="207">
        <v>4380</v>
      </c>
      <c r="G25" s="207">
        <v>6570</v>
      </c>
      <c r="H25" s="12" t="s">
        <v>3107</v>
      </c>
      <c r="I25" s="209">
        <v>0.18190000000000001</v>
      </c>
      <c r="J25" s="210">
        <f>E25*$I25</f>
        <v>398.36099999999999</v>
      </c>
      <c r="K25" s="210">
        <f>F25*$I25</f>
        <v>796.72199999999998</v>
      </c>
      <c r="L25" s="210">
        <f>G25*$I25</f>
        <v>1195.0830000000001</v>
      </c>
      <c r="M25" s="14" t="s">
        <v>4664</v>
      </c>
      <c r="N25" t="s">
        <v>4665</v>
      </c>
    </row>
    <row r="26" spans="1:14">
      <c r="A26" s="212" t="s">
        <v>3103</v>
      </c>
      <c r="B26" s="6" t="s">
        <v>3108</v>
      </c>
      <c r="C26" s="180" t="s">
        <v>3109</v>
      </c>
      <c r="D26" s="180" t="s">
        <v>3110</v>
      </c>
      <c r="E26" s="207">
        <v>2190</v>
      </c>
      <c r="F26" s="207">
        <v>6570</v>
      </c>
      <c r="G26" s="207">
        <v>13140</v>
      </c>
      <c r="H26" s="12" t="s">
        <v>3107</v>
      </c>
      <c r="I26" s="209">
        <v>0.18190000000000001</v>
      </c>
      <c r="J26" s="210">
        <f>E26*$I26</f>
        <v>398.36099999999999</v>
      </c>
      <c r="K26" s="210">
        <f>F26*$I26</f>
        <v>1195.0830000000001</v>
      </c>
      <c r="L26" s="210">
        <f>G26*$I26</f>
        <v>2390.1660000000002</v>
      </c>
      <c r="M26" s="14" t="s">
        <v>4664</v>
      </c>
      <c r="N26" t="s">
        <v>4665</v>
      </c>
    </row>
    <row r="27" spans="1:14">
      <c r="A27" s="212" t="s">
        <v>3103</v>
      </c>
      <c r="B27" s="6" t="s">
        <v>3111</v>
      </c>
      <c r="C27" s="180" t="s">
        <v>3112</v>
      </c>
      <c r="D27" s="180" t="s">
        <v>3113</v>
      </c>
      <c r="E27" s="207">
        <v>4380</v>
      </c>
      <c r="F27" s="207">
        <v>4380</v>
      </c>
      <c r="G27" s="207">
        <v>4380</v>
      </c>
      <c r="H27" s="12" t="s">
        <v>3107</v>
      </c>
      <c r="I27" s="209">
        <v>9.0999999999999998E-2</v>
      </c>
      <c r="J27" s="210">
        <f>E27*$I27</f>
        <v>398.58</v>
      </c>
      <c r="K27" s="210">
        <f>F27*$I27</f>
        <v>398.58</v>
      </c>
      <c r="L27" s="210">
        <f>G27*$I27</f>
        <v>398.58</v>
      </c>
      <c r="M27" s="14" t="s">
        <v>4664</v>
      </c>
      <c r="N27" t="s">
        <v>4666</v>
      </c>
    </row>
    <row r="28" spans="1:14">
      <c r="A28" s="212" t="s">
        <v>3103</v>
      </c>
      <c r="B28" s="6" t="s">
        <v>3114</v>
      </c>
      <c r="C28" s="180" t="s">
        <v>3115</v>
      </c>
      <c r="D28" s="180" t="s">
        <v>3116</v>
      </c>
      <c r="E28" s="207">
        <v>1460</v>
      </c>
      <c r="F28" s="207">
        <v>1460</v>
      </c>
      <c r="G28" s="207">
        <v>1460</v>
      </c>
      <c r="H28" s="12" t="s">
        <v>3117</v>
      </c>
      <c r="I28" s="209">
        <v>0.25</v>
      </c>
      <c r="J28" s="210">
        <f>E28*$I28</f>
        <v>365</v>
      </c>
      <c r="K28" s="210">
        <f>F28*$I28</f>
        <v>365</v>
      </c>
      <c r="L28" s="210">
        <f>G28*$I28</f>
        <v>365</v>
      </c>
      <c r="M28" s="14" t="s">
        <v>4667</v>
      </c>
      <c r="N28" t="s">
        <v>4668</v>
      </c>
    </row>
    <row r="29" spans="1:14">
      <c r="A29" s="212" t="s">
        <v>3103</v>
      </c>
      <c r="B29" s="6" t="s">
        <v>3118</v>
      </c>
      <c r="C29" s="180" t="s">
        <v>3119</v>
      </c>
      <c r="D29" s="180" t="s">
        <v>3120</v>
      </c>
      <c r="E29" s="207">
        <v>1642</v>
      </c>
      <c r="F29" s="207">
        <v>3103</v>
      </c>
      <c r="G29" s="207">
        <v>5658</v>
      </c>
      <c r="H29" s="12" t="s">
        <v>3121</v>
      </c>
      <c r="I29" s="209">
        <v>0.17100000000000001</v>
      </c>
      <c r="J29" s="210">
        <f>E29*$I29</f>
        <v>280.78200000000004</v>
      </c>
      <c r="K29" s="210">
        <f>F29*$I29</f>
        <v>530.61300000000006</v>
      </c>
      <c r="L29" s="210">
        <f>G29*$I29</f>
        <v>967.51800000000003</v>
      </c>
      <c r="M29" s="14" t="s">
        <v>4667</v>
      </c>
      <c r="N29" t="s">
        <v>4668</v>
      </c>
    </row>
    <row r="30" spans="1:14">
      <c r="A30" s="273" t="s">
        <v>3103</v>
      </c>
      <c r="B30" s="274" t="s">
        <v>3122</v>
      </c>
      <c r="C30" s="275" t="s">
        <v>3123</v>
      </c>
      <c r="D30" s="275" t="s">
        <v>4866</v>
      </c>
      <c r="E30" s="276">
        <v>1320</v>
      </c>
      <c r="F30" s="276">
        <v>2400</v>
      </c>
      <c r="G30" s="276">
        <v>3840</v>
      </c>
      <c r="H30" s="277" t="s">
        <v>3124</v>
      </c>
      <c r="I30" s="278">
        <v>9.6000000000000002E-2</v>
      </c>
      <c r="J30" s="279">
        <f>E30*$I30</f>
        <v>126.72</v>
      </c>
      <c r="K30" s="279">
        <f>F30*$I30</f>
        <v>230.4</v>
      </c>
      <c r="L30" s="279">
        <f>G30*$I30</f>
        <v>368.64</v>
      </c>
      <c r="M30" s="280" t="s">
        <v>4669</v>
      </c>
      <c r="N30" s="227" t="s">
        <v>4867</v>
      </c>
    </row>
    <row r="31" spans="1:14">
      <c r="A31" s="212" t="s">
        <v>3125</v>
      </c>
      <c r="B31" s="6" t="s">
        <v>3126</v>
      </c>
      <c r="C31" s="180" t="s">
        <v>3127</v>
      </c>
      <c r="D31" s="180" t="s">
        <v>3128</v>
      </c>
      <c r="E31" s="207">
        <v>2190</v>
      </c>
      <c r="F31" s="207">
        <v>2190</v>
      </c>
      <c r="G31" s="207">
        <v>2190</v>
      </c>
      <c r="H31" s="12" t="s">
        <v>3107</v>
      </c>
      <c r="I31" s="209">
        <v>0.66500000000000004</v>
      </c>
      <c r="J31" s="210">
        <f>E31*$I31</f>
        <v>1456.3500000000001</v>
      </c>
      <c r="K31" s="210">
        <f>F31*$I31</f>
        <v>1456.3500000000001</v>
      </c>
      <c r="L31" s="210">
        <f>G31*$I31</f>
        <v>1456.3500000000001</v>
      </c>
      <c r="M31" s="14" t="s">
        <v>4670</v>
      </c>
      <c r="N31" t="s">
        <v>4671</v>
      </c>
    </row>
    <row r="32" spans="1:14">
      <c r="A32" s="212" t="s">
        <v>3125</v>
      </c>
      <c r="B32" s="6" t="s">
        <v>3129</v>
      </c>
      <c r="C32" s="180" t="s">
        <v>3130</v>
      </c>
      <c r="D32" s="180" t="s">
        <v>3128</v>
      </c>
      <c r="E32" s="207">
        <v>2190</v>
      </c>
      <c r="F32" s="207">
        <v>2190</v>
      </c>
      <c r="G32" s="207">
        <v>2190</v>
      </c>
      <c r="H32" s="12" t="s">
        <v>3107</v>
      </c>
      <c r="I32" s="209">
        <v>0.66500000000000004</v>
      </c>
      <c r="J32" s="210">
        <f>E32*$I32</f>
        <v>1456.3500000000001</v>
      </c>
      <c r="K32" s="210">
        <f>F32*$I32</f>
        <v>1456.3500000000001</v>
      </c>
      <c r="L32" s="210">
        <f>G32*$I32</f>
        <v>1456.3500000000001</v>
      </c>
      <c r="M32" s="14" t="s">
        <v>4670</v>
      </c>
      <c r="N32" t="s">
        <v>4671</v>
      </c>
    </row>
    <row r="33" spans="1:14">
      <c r="A33" s="212" t="s">
        <v>3125</v>
      </c>
      <c r="B33" s="6" t="s">
        <v>3131</v>
      </c>
      <c r="C33" s="180" t="s">
        <v>3132</v>
      </c>
      <c r="D33" s="180" t="s">
        <v>3133</v>
      </c>
      <c r="E33" s="207">
        <v>200</v>
      </c>
      <c r="F33" s="207">
        <v>1000</v>
      </c>
      <c r="G33" s="207">
        <v>2000</v>
      </c>
      <c r="H33" s="12" t="s">
        <v>3124</v>
      </c>
      <c r="I33" s="209">
        <v>0.12</v>
      </c>
      <c r="J33" s="210">
        <f>E33*$I33</f>
        <v>24</v>
      </c>
      <c r="K33" s="210">
        <f>F33*$I33</f>
        <v>120</v>
      </c>
      <c r="L33" s="210">
        <f>G33*$I33</f>
        <v>240</v>
      </c>
      <c r="M33" s="14" t="s">
        <v>4670</v>
      </c>
      <c r="N33" t="s">
        <v>4672</v>
      </c>
    </row>
    <row r="34" spans="1:14">
      <c r="A34" s="273" t="s">
        <v>3125</v>
      </c>
      <c r="B34" s="274" t="s">
        <v>3134</v>
      </c>
      <c r="C34" s="275" t="s">
        <v>3135</v>
      </c>
      <c r="D34" s="275" t="s">
        <v>3136</v>
      </c>
      <c r="E34" s="276">
        <v>50000000</v>
      </c>
      <c r="F34" s="276">
        <v>250000000</v>
      </c>
      <c r="G34" s="276">
        <v>500000000</v>
      </c>
      <c r="H34" s="277" t="s">
        <v>4673</v>
      </c>
      <c r="I34" s="278">
        <v>2.3999999999999998E-7</v>
      </c>
      <c r="J34" s="279">
        <f>E34*$I34</f>
        <v>11.999999999999998</v>
      </c>
      <c r="K34" s="279">
        <f>F34*$I34</f>
        <v>59.999999999999993</v>
      </c>
      <c r="L34" s="279">
        <f>G34*$I34</f>
        <v>119.99999999999999</v>
      </c>
      <c r="M34" s="280" t="s">
        <v>4670</v>
      </c>
      <c r="N34" s="227" t="s">
        <v>4674</v>
      </c>
    </row>
    <row r="35" spans="1:14">
      <c r="A35" s="212" t="s">
        <v>3125</v>
      </c>
      <c r="B35" s="6" t="s">
        <v>3138</v>
      </c>
      <c r="C35" s="180" t="s">
        <v>3139</v>
      </c>
      <c r="D35" s="180" t="s">
        <v>3140</v>
      </c>
      <c r="E35" s="207">
        <v>400</v>
      </c>
      <c r="F35" s="207">
        <v>2000</v>
      </c>
      <c r="G35" s="207">
        <v>4000</v>
      </c>
      <c r="H35" s="12" t="s">
        <v>3124</v>
      </c>
      <c r="I35" s="209">
        <v>2.3E-2</v>
      </c>
      <c r="J35" s="210">
        <f>E35*$I35</f>
        <v>9.1999999999999993</v>
      </c>
      <c r="K35" s="210">
        <f>F35*$I35</f>
        <v>46</v>
      </c>
      <c r="L35" s="210">
        <f>G35*$I35</f>
        <v>92</v>
      </c>
      <c r="M35" s="14" t="s">
        <v>4670</v>
      </c>
    </row>
    <row r="36" spans="1:14">
      <c r="A36" s="212" t="s">
        <v>3125</v>
      </c>
      <c r="B36" s="6" t="s">
        <v>3141</v>
      </c>
      <c r="C36" s="180" t="s">
        <v>3142</v>
      </c>
      <c r="D36" s="180" t="s">
        <v>3143</v>
      </c>
      <c r="E36" s="207">
        <v>200</v>
      </c>
      <c r="F36" s="207">
        <v>1000</v>
      </c>
      <c r="G36" s="207">
        <v>2000</v>
      </c>
      <c r="H36" s="12" t="s">
        <v>3124</v>
      </c>
      <c r="I36" s="209">
        <v>0.12</v>
      </c>
      <c r="J36" s="210">
        <f>E36*$I36</f>
        <v>24</v>
      </c>
      <c r="K36" s="210">
        <f>F36*$I36</f>
        <v>120</v>
      </c>
      <c r="L36" s="210">
        <f>G36*$I36</f>
        <v>240</v>
      </c>
      <c r="M36" s="14" t="s">
        <v>4670</v>
      </c>
      <c r="N36" t="s">
        <v>4675</v>
      </c>
    </row>
    <row r="37" spans="1:14">
      <c r="A37" s="212" t="s">
        <v>3144</v>
      </c>
      <c r="B37" s="6" t="s">
        <v>3145</v>
      </c>
      <c r="C37" s="180" t="s">
        <v>3146</v>
      </c>
      <c r="D37" s="180" t="s">
        <v>3147</v>
      </c>
      <c r="E37" s="207">
        <v>1460</v>
      </c>
      <c r="F37" s="207">
        <v>1460</v>
      </c>
      <c r="G37" s="207">
        <v>1460</v>
      </c>
      <c r="H37" s="12" t="s">
        <v>3148</v>
      </c>
      <c r="I37" s="209">
        <v>2.4299999999999999E-2</v>
      </c>
      <c r="J37" s="210">
        <f>E37*$I37</f>
        <v>35.478000000000002</v>
      </c>
      <c r="K37" s="210">
        <f>F37*$I37</f>
        <v>35.478000000000002</v>
      </c>
      <c r="L37" s="210">
        <f>G37*$I37</f>
        <v>35.478000000000002</v>
      </c>
      <c r="M37" s="14" t="s">
        <v>4676</v>
      </c>
      <c r="N37" t="s">
        <v>4677</v>
      </c>
    </row>
    <row r="38" spans="1:14">
      <c r="A38" s="212" t="s">
        <v>3144</v>
      </c>
      <c r="B38" s="6" t="s">
        <v>3149</v>
      </c>
      <c r="C38" s="180" t="s">
        <v>3150</v>
      </c>
      <c r="D38" s="180" t="s">
        <v>3151</v>
      </c>
      <c r="E38" s="207">
        <v>730</v>
      </c>
      <c r="F38" s="207">
        <v>730</v>
      </c>
      <c r="G38" s="207">
        <v>730</v>
      </c>
      <c r="H38" s="12" t="s">
        <v>3152</v>
      </c>
      <c r="I38" s="209">
        <v>2.4299999999999999E-2</v>
      </c>
      <c r="J38" s="210">
        <f>E38*$I38</f>
        <v>17.739000000000001</v>
      </c>
      <c r="K38" s="210">
        <f>F38*$I38</f>
        <v>17.739000000000001</v>
      </c>
      <c r="L38" s="210">
        <f>G38*$I38</f>
        <v>17.739000000000001</v>
      </c>
      <c r="M38" s="14" t="s">
        <v>4676</v>
      </c>
      <c r="N38" t="s">
        <v>4678</v>
      </c>
    </row>
    <row r="39" spans="1:14">
      <c r="A39" s="212" t="s">
        <v>3144</v>
      </c>
      <c r="B39" s="6" t="s">
        <v>3153</v>
      </c>
      <c r="C39" s="180" t="s">
        <v>3154</v>
      </c>
      <c r="D39" s="180" t="s">
        <v>3155</v>
      </c>
      <c r="E39" s="207">
        <v>500</v>
      </c>
      <c r="F39" s="207">
        <v>2500</v>
      </c>
      <c r="G39" s="207">
        <v>5000</v>
      </c>
      <c r="H39" s="12" t="s">
        <v>3156</v>
      </c>
      <c r="I39" s="209">
        <v>0.114</v>
      </c>
      <c r="J39" s="210">
        <f>E39*$I39</f>
        <v>57</v>
      </c>
      <c r="K39" s="210">
        <f>F39*$I39</f>
        <v>285</v>
      </c>
      <c r="L39" s="210">
        <f>G39*$I39</f>
        <v>570</v>
      </c>
      <c r="M39" s="14" t="s">
        <v>4679</v>
      </c>
      <c r="N39" t="s">
        <v>4680</v>
      </c>
    </row>
    <row r="40" spans="1:14">
      <c r="A40" s="212" t="s">
        <v>3144</v>
      </c>
      <c r="B40" s="6" t="s">
        <v>3157</v>
      </c>
      <c r="C40" s="180" t="s">
        <v>3158</v>
      </c>
      <c r="D40" s="180" t="s">
        <v>3159</v>
      </c>
      <c r="E40" s="207">
        <v>10</v>
      </c>
      <c r="F40" s="207">
        <v>50</v>
      </c>
      <c r="G40" s="207">
        <v>100</v>
      </c>
      <c r="H40" s="12" t="s">
        <v>3137</v>
      </c>
      <c r="I40" s="209">
        <v>0.6</v>
      </c>
      <c r="J40" s="210">
        <f>E40*$I40</f>
        <v>6</v>
      </c>
      <c r="K40" s="210">
        <f>F40*$I40</f>
        <v>30</v>
      </c>
      <c r="L40" s="210">
        <f>G40*$I40</f>
        <v>60</v>
      </c>
      <c r="M40" s="14" t="s">
        <v>4681</v>
      </c>
      <c r="N40" t="s">
        <v>4682</v>
      </c>
    </row>
    <row r="41" spans="1:14">
      <c r="A41" s="212" t="s">
        <v>3144</v>
      </c>
      <c r="B41" s="6" t="s">
        <v>3160</v>
      </c>
      <c r="C41" s="180" t="s">
        <v>3161</v>
      </c>
      <c r="D41" s="180" t="s">
        <v>3162</v>
      </c>
      <c r="E41" s="207">
        <v>1460</v>
      </c>
      <c r="F41" s="207">
        <v>1460</v>
      </c>
      <c r="G41" s="207">
        <v>1460</v>
      </c>
      <c r="H41" s="12" t="s">
        <v>3163</v>
      </c>
      <c r="I41" s="209">
        <v>1.4E-2</v>
      </c>
      <c r="J41" s="210">
        <f>E41*$I41</f>
        <v>20.440000000000001</v>
      </c>
      <c r="K41" s="210">
        <f>F41*$I41</f>
        <v>20.440000000000001</v>
      </c>
      <c r="L41" s="210">
        <f>G41*$I41</f>
        <v>20.440000000000001</v>
      </c>
      <c r="M41" s="14" t="s">
        <v>4683</v>
      </c>
    </row>
    <row r="42" spans="1:14">
      <c r="A42" s="212" t="s">
        <v>3144</v>
      </c>
      <c r="B42" s="6" t="s">
        <v>3164</v>
      </c>
      <c r="C42" s="180" t="s">
        <v>3165</v>
      </c>
      <c r="D42" s="180" t="s">
        <v>3166</v>
      </c>
      <c r="E42" s="207">
        <v>7300</v>
      </c>
      <c r="F42" s="207">
        <v>7300</v>
      </c>
      <c r="G42" s="207">
        <v>7300</v>
      </c>
      <c r="H42" s="12" t="s">
        <v>3163</v>
      </c>
      <c r="I42" s="209">
        <v>1.4E-2</v>
      </c>
      <c r="J42" s="210">
        <f>E42*$I42</f>
        <v>102.2</v>
      </c>
      <c r="K42" s="210">
        <f>F42*$I42</f>
        <v>102.2</v>
      </c>
      <c r="L42" s="210">
        <f>G42*$I42</f>
        <v>102.2</v>
      </c>
      <c r="M42" s="14" t="s">
        <v>4683</v>
      </c>
    </row>
    <row r="43" spans="1:14">
      <c r="A43" s="212" t="s">
        <v>3144</v>
      </c>
      <c r="B43" s="6" t="s">
        <v>3167</v>
      </c>
      <c r="C43" s="180" t="s">
        <v>3168</v>
      </c>
      <c r="D43" s="180" t="s">
        <v>3169</v>
      </c>
      <c r="E43" s="207">
        <v>10000000</v>
      </c>
      <c r="F43" s="207">
        <v>50000000</v>
      </c>
      <c r="G43" s="207">
        <v>100000000</v>
      </c>
      <c r="H43" s="12" t="s">
        <v>4684</v>
      </c>
      <c r="I43" s="209">
        <v>3.9999999999999998E-7</v>
      </c>
      <c r="J43" s="210">
        <f>E43*$I43</f>
        <v>4</v>
      </c>
      <c r="K43" s="210">
        <f>F43*$I43</f>
        <v>20</v>
      </c>
      <c r="L43" s="210">
        <f>G43*$I43</f>
        <v>40</v>
      </c>
      <c r="M43" s="14" t="s">
        <v>4685</v>
      </c>
      <c r="N43" t="s">
        <v>4686</v>
      </c>
    </row>
    <row r="44" spans="1:14">
      <c r="A44" s="212" t="s">
        <v>3144</v>
      </c>
      <c r="B44" s="6" t="s">
        <v>3170</v>
      </c>
      <c r="C44" s="180" t="s">
        <v>3171</v>
      </c>
      <c r="D44" s="180" t="s">
        <v>3172</v>
      </c>
      <c r="E44" s="207">
        <v>100</v>
      </c>
      <c r="F44" s="207">
        <v>500</v>
      </c>
      <c r="G44" s="207">
        <v>1000</v>
      </c>
      <c r="H44" s="12" t="s">
        <v>3156</v>
      </c>
      <c r="I44" s="209">
        <v>0.09</v>
      </c>
      <c r="J44" s="210">
        <f>E44*$I44</f>
        <v>9</v>
      </c>
      <c r="K44" s="210">
        <f>F44*$I44</f>
        <v>45</v>
      </c>
      <c r="L44" s="210">
        <f>G44*$I44</f>
        <v>90</v>
      </c>
      <c r="M44" s="14" t="s">
        <v>4664</v>
      </c>
      <c r="N44" t="s">
        <v>4687</v>
      </c>
    </row>
    <row r="45" spans="1:14">
      <c r="A45" s="212" t="s">
        <v>3144</v>
      </c>
      <c r="B45" s="6" t="s">
        <v>3173</v>
      </c>
      <c r="C45" s="180" t="s">
        <v>3174</v>
      </c>
      <c r="D45" s="180" t="s">
        <v>3175</v>
      </c>
      <c r="E45" s="207">
        <v>50</v>
      </c>
      <c r="F45" s="207">
        <v>250</v>
      </c>
      <c r="G45" s="207">
        <v>500</v>
      </c>
      <c r="H45" s="12" t="s">
        <v>3156</v>
      </c>
      <c r="I45" s="209">
        <v>0.114</v>
      </c>
      <c r="J45" s="210">
        <f>E45*$I45</f>
        <v>5.7</v>
      </c>
      <c r="K45" s="210">
        <f>F45*$I45</f>
        <v>28.5</v>
      </c>
      <c r="L45" s="210">
        <f>G45*$I45</f>
        <v>57</v>
      </c>
      <c r="M45" s="14" t="s">
        <v>4664</v>
      </c>
      <c r="N45" t="s">
        <v>4688</v>
      </c>
    </row>
    <row r="46" spans="1:14">
      <c r="A46" s="212" t="s">
        <v>3176</v>
      </c>
      <c r="B46" s="6" t="s">
        <v>3177</v>
      </c>
      <c r="C46" s="180" t="s">
        <v>3178</v>
      </c>
      <c r="D46" s="180" t="s">
        <v>3179</v>
      </c>
      <c r="E46" s="207">
        <v>10000000</v>
      </c>
      <c r="F46" s="207">
        <v>30000000</v>
      </c>
      <c r="G46" s="207">
        <v>50000000</v>
      </c>
      <c r="H46" s="12" t="s">
        <v>4689</v>
      </c>
      <c r="I46" s="209">
        <v>1.9999999999999999E-7</v>
      </c>
      <c r="J46" s="210">
        <f>E46*$I46</f>
        <v>2</v>
      </c>
      <c r="K46" s="210">
        <f>F46*$I46</f>
        <v>6</v>
      </c>
      <c r="L46" s="210">
        <f>G46*$I46</f>
        <v>10</v>
      </c>
      <c r="M46" s="14" t="s">
        <v>4690</v>
      </c>
      <c r="N46" t="s">
        <v>4691</v>
      </c>
    </row>
    <row r="47" spans="1:14">
      <c r="A47" s="212" t="s">
        <v>3176</v>
      </c>
      <c r="B47" s="6" t="s">
        <v>3180</v>
      </c>
      <c r="C47" s="180" t="s">
        <v>3181</v>
      </c>
      <c r="D47" s="180" t="s">
        <v>3182</v>
      </c>
      <c r="E47" s="207">
        <v>5000000</v>
      </c>
      <c r="F47" s="207">
        <v>15000000</v>
      </c>
      <c r="G47" s="207">
        <v>25000000</v>
      </c>
      <c r="H47" s="12" t="s">
        <v>4689</v>
      </c>
      <c r="I47" s="209">
        <v>1.9999999999999999E-7</v>
      </c>
      <c r="J47" s="210">
        <f>E47*$I47</f>
        <v>1</v>
      </c>
      <c r="K47" s="210">
        <f>F47*$I47</f>
        <v>3</v>
      </c>
      <c r="L47" s="210">
        <f>G47*$I47</f>
        <v>5</v>
      </c>
      <c r="M47" s="14" t="s">
        <v>4690</v>
      </c>
      <c r="N47" t="s">
        <v>4692</v>
      </c>
    </row>
    <row r="48" spans="1:14">
      <c r="A48" s="212" t="s">
        <v>3176</v>
      </c>
      <c r="B48" s="6" t="s">
        <v>3183</v>
      </c>
      <c r="C48" s="180" t="s">
        <v>3184</v>
      </c>
      <c r="D48" s="180" t="s">
        <v>3185</v>
      </c>
      <c r="E48" s="207">
        <v>10000000</v>
      </c>
      <c r="F48" s="207">
        <v>30000000</v>
      </c>
      <c r="G48" s="207">
        <v>50000000</v>
      </c>
      <c r="H48" s="12" t="s">
        <v>4689</v>
      </c>
      <c r="I48" s="209">
        <v>1.2899999999999999E-6</v>
      </c>
      <c r="J48" s="210">
        <f>E48*$I48</f>
        <v>12.899999999999999</v>
      </c>
      <c r="K48" s="210">
        <f>F48*$I48</f>
        <v>38.699999999999996</v>
      </c>
      <c r="L48" s="210">
        <f>G48*$I48</f>
        <v>64.5</v>
      </c>
      <c r="M48" s="14" t="s">
        <v>4693</v>
      </c>
      <c r="N48" t="s">
        <v>4694</v>
      </c>
    </row>
    <row r="49" spans="1:14">
      <c r="A49" s="212" t="s">
        <v>3176</v>
      </c>
      <c r="B49" s="6" t="s">
        <v>3186</v>
      </c>
      <c r="C49" s="180" t="s">
        <v>3187</v>
      </c>
      <c r="D49" s="180" t="s">
        <v>3188</v>
      </c>
      <c r="E49" s="207">
        <v>5000000</v>
      </c>
      <c r="F49" s="207">
        <v>15000000</v>
      </c>
      <c r="G49" s="207">
        <v>25000000</v>
      </c>
      <c r="H49" s="12" t="s">
        <v>4695</v>
      </c>
      <c r="I49" s="209">
        <v>9.9999999999999995E-8</v>
      </c>
      <c r="J49" s="210">
        <f>E49*$I49</f>
        <v>0.5</v>
      </c>
      <c r="K49" s="210">
        <f>F49*$I49</f>
        <v>1.5</v>
      </c>
      <c r="L49" s="210">
        <f>G49*$I49</f>
        <v>2.5</v>
      </c>
      <c r="M49" s="14" t="s">
        <v>4696</v>
      </c>
      <c r="N49" t="s">
        <v>4697</v>
      </c>
    </row>
    <row r="50" spans="1:14">
      <c r="A50" s="212" t="s">
        <v>3176</v>
      </c>
      <c r="B50" s="6" t="s">
        <v>3189</v>
      </c>
      <c r="C50" s="180" t="s">
        <v>3190</v>
      </c>
      <c r="D50" s="180" t="s">
        <v>3191</v>
      </c>
      <c r="E50" s="207">
        <v>5000000</v>
      </c>
      <c r="F50" s="207">
        <v>25000000</v>
      </c>
      <c r="G50" s="207">
        <v>50000000</v>
      </c>
      <c r="H50" s="12" t="s">
        <v>4698</v>
      </c>
      <c r="I50" s="209">
        <v>8.8999999999999995E-7</v>
      </c>
      <c r="J50" s="210">
        <f>E50*$I50</f>
        <v>4.45</v>
      </c>
      <c r="K50" s="210">
        <f>F50*$I50</f>
        <v>22.25</v>
      </c>
      <c r="L50" s="210">
        <f>G50*$I50</f>
        <v>44.5</v>
      </c>
      <c r="M50" s="14" t="s">
        <v>4699</v>
      </c>
      <c r="N50" t="s">
        <v>4700</v>
      </c>
    </row>
    <row r="51" spans="1:14">
      <c r="A51" s="212" t="s">
        <v>1532</v>
      </c>
      <c r="B51" s="6" t="s">
        <v>3192</v>
      </c>
      <c r="C51" s="180" t="s">
        <v>3193</v>
      </c>
      <c r="D51" s="180" t="s">
        <v>3194</v>
      </c>
      <c r="E51" s="207">
        <v>10</v>
      </c>
      <c r="F51" s="207">
        <v>10</v>
      </c>
      <c r="G51" s="207">
        <v>10</v>
      </c>
      <c r="H51" s="12" t="s">
        <v>3195</v>
      </c>
      <c r="I51" s="209">
        <v>1</v>
      </c>
      <c r="J51" s="210">
        <f>E51*$I51</f>
        <v>10</v>
      </c>
      <c r="K51" s="210">
        <f>F51*$I51</f>
        <v>10</v>
      </c>
      <c r="L51" s="210">
        <f>G51*$I51</f>
        <v>10</v>
      </c>
      <c r="M51" s="14" t="s">
        <v>4701</v>
      </c>
      <c r="N51" t="s">
        <v>4702</v>
      </c>
    </row>
    <row r="52" spans="1:14">
      <c r="A52" s="212" t="s">
        <v>1532</v>
      </c>
      <c r="B52" s="6" t="s">
        <v>3196</v>
      </c>
      <c r="C52" s="180" t="s">
        <v>3197</v>
      </c>
      <c r="D52" s="180" t="s">
        <v>3198</v>
      </c>
      <c r="E52" s="207">
        <v>30</v>
      </c>
      <c r="F52" s="207">
        <v>30</v>
      </c>
      <c r="G52" s="207">
        <v>30</v>
      </c>
      <c r="H52" s="12" t="s">
        <v>3199</v>
      </c>
      <c r="I52" s="209">
        <v>0.4</v>
      </c>
      <c r="J52" s="210">
        <f>E52*$I52</f>
        <v>12</v>
      </c>
      <c r="K52" s="210">
        <f>F52*$I52</f>
        <v>12</v>
      </c>
      <c r="L52" s="210">
        <f>G52*$I52</f>
        <v>12</v>
      </c>
      <c r="M52" s="14" t="s">
        <v>4703</v>
      </c>
    </row>
    <row r="53" spans="1:14">
      <c r="A53" s="273" t="s">
        <v>1532</v>
      </c>
      <c r="B53" s="274" t="s">
        <v>3200</v>
      </c>
      <c r="C53" s="275" t="s">
        <v>3201</v>
      </c>
      <c r="D53" s="275" t="s">
        <v>3202</v>
      </c>
      <c r="E53" s="276">
        <v>1</v>
      </c>
      <c r="F53" s="276">
        <v>1</v>
      </c>
      <c r="G53" s="276">
        <v>1</v>
      </c>
      <c r="H53" s="277" t="s">
        <v>3203</v>
      </c>
      <c r="I53" s="278">
        <v>400</v>
      </c>
      <c r="J53" s="279">
        <f>E53*$I53</f>
        <v>400</v>
      </c>
      <c r="K53" s="279">
        <f>F53*$I53</f>
        <v>400</v>
      </c>
      <c r="L53" s="279">
        <f>G53*$I53</f>
        <v>400</v>
      </c>
      <c r="M53" s="280" t="s">
        <v>4704</v>
      </c>
      <c r="N53" s="227" t="s">
        <v>4868</v>
      </c>
    </row>
    <row r="54" spans="1:14">
      <c r="A54" s="212" t="s">
        <v>1532</v>
      </c>
      <c r="B54" s="6" t="s">
        <v>3204</v>
      </c>
      <c r="C54" s="180" t="s">
        <v>3205</v>
      </c>
      <c r="D54" s="180" t="s">
        <v>3206</v>
      </c>
      <c r="E54" s="207">
        <v>400</v>
      </c>
      <c r="F54" s="207">
        <v>2000</v>
      </c>
      <c r="G54" s="207">
        <v>4000</v>
      </c>
      <c r="H54" s="12" t="s">
        <v>3124</v>
      </c>
      <c r="I54" s="209">
        <v>0.09</v>
      </c>
      <c r="J54" s="210">
        <f>E54*$I54</f>
        <v>36</v>
      </c>
      <c r="K54" s="210">
        <f>F54*$I54</f>
        <v>180</v>
      </c>
      <c r="L54" s="210">
        <f>G54*$I54</f>
        <v>360</v>
      </c>
      <c r="M54" s="14" t="s">
        <v>4705</v>
      </c>
    </row>
    <row r="55" spans="1:14">
      <c r="A55" s="212" t="s">
        <v>3207</v>
      </c>
      <c r="B55" s="6" t="s">
        <v>3208</v>
      </c>
      <c r="C55" s="180" t="s">
        <v>3209</v>
      </c>
      <c r="D55" s="180" t="s">
        <v>3210</v>
      </c>
      <c r="E55" s="207">
        <v>100</v>
      </c>
      <c r="F55" s="207">
        <v>500</v>
      </c>
      <c r="G55" s="207">
        <v>1000</v>
      </c>
      <c r="H55" s="12" t="s">
        <v>3156</v>
      </c>
      <c r="I55" s="209">
        <v>0.76</v>
      </c>
      <c r="J55" s="210">
        <f>E55*$I55</f>
        <v>76</v>
      </c>
      <c r="K55" s="210">
        <f>F55*$I55</f>
        <v>380</v>
      </c>
      <c r="L55" s="210">
        <f>G55*$I55</f>
        <v>760</v>
      </c>
      <c r="M55" s="14" t="s">
        <v>4706</v>
      </c>
      <c r="N55" t="s">
        <v>4707</v>
      </c>
    </row>
    <row r="56" spans="1:14">
      <c r="A56" s="212" t="s">
        <v>3207</v>
      </c>
      <c r="B56" s="6" t="s">
        <v>3211</v>
      </c>
      <c r="C56" s="180" t="s">
        <v>3212</v>
      </c>
      <c r="D56" s="180" t="s">
        <v>3213</v>
      </c>
      <c r="E56" s="207">
        <v>1460</v>
      </c>
      <c r="F56" s="207">
        <v>2190</v>
      </c>
      <c r="G56" s="207">
        <v>2920</v>
      </c>
      <c r="H56" s="12" t="s">
        <v>3107</v>
      </c>
      <c r="I56" s="209">
        <v>0.16400000000000001</v>
      </c>
      <c r="J56" s="210">
        <f>E56*$I56</f>
        <v>239.44</v>
      </c>
      <c r="K56" s="210">
        <f>F56*$I56</f>
        <v>359.16</v>
      </c>
      <c r="L56" s="210">
        <f>G56*$I56</f>
        <v>478.88</v>
      </c>
      <c r="M56" s="14" t="s">
        <v>4708</v>
      </c>
      <c r="N56" t="s">
        <v>4709</v>
      </c>
    </row>
    <row r="57" spans="1:14">
      <c r="A57" s="212" t="s">
        <v>3207</v>
      </c>
      <c r="B57" s="6" t="s">
        <v>3214</v>
      </c>
      <c r="C57" s="180" t="s">
        <v>3215</v>
      </c>
      <c r="D57" s="180" t="s">
        <v>3216</v>
      </c>
      <c r="E57" s="207">
        <v>5000</v>
      </c>
      <c r="F57" s="207">
        <v>25000</v>
      </c>
      <c r="G57" s="207">
        <v>50000</v>
      </c>
      <c r="H57" s="12" t="s">
        <v>3124</v>
      </c>
      <c r="I57" s="209">
        <v>2E-3</v>
      </c>
      <c r="J57" s="210">
        <f>E57*$I57</f>
        <v>10</v>
      </c>
      <c r="K57" s="210">
        <f>F57*$I57</f>
        <v>50</v>
      </c>
      <c r="L57" s="210">
        <f>G57*$I57</f>
        <v>100</v>
      </c>
      <c r="M57" s="14" t="s">
        <v>4710</v>
      </c>
      <c r="N57" t="s">
        <v>4711</v>
      </c>
    </row>
    <row r="58" spans="1:14">
      <c r="A58" s="212" t="s">
        <v>3207</v>
      </c>
      <c r="B58" s="6" t="s">
        <v>3217</v>
      </c>
      <c r="C58" s="180" t="s">
        <v>3218</v>
      </c>
      <c r="D58" s="180" t="s">
        <v>3219</v>
      </c>
      <c r="E58" s="207">
        <v>100000</v>
      </c>
      <c r="F58" s="207">
        <v>500000</v>
      </c>
      <c r="G58" s="207">
        <v>1000000</v>
      </c>
      <c r="H58" s="12" t="s">
        <v>4712</v>
      </c>
      <c r="I58" s="209">
        <v>1E-4</v>
      </c>
      <c r="J58" s="210">
        <f>E58*$I58</f>
        <v>10</v>
      </c>
      <c r="K58" s="210">
        <f>F58*$I58</f>
        <v>50</v>
      </c>
      <c r="L58" s="210">
        <f>G58*$I58</f>
        <v>100</v>
      </c>
      <c r="M58" s="14" t="s">
        <v>4713</v>
      </c>
      <c r="N58" t="s">
        <v>4714</v>
      </c>
    </row>
    <row r="59" spans="1:14">
      <c r="A59" s="212" t="s">
        <v>3207</v>
      </c>
      <c r="B59" s="6" t="s">
        <v>3220</v>
      </c>
      <c r="C59" s="180" t="s">
        <v>3221</v>
      </c>
      <c r="D59" s="180" t="s">
        <v>3222</v>
      </c>
      <c r="E59" s="207">
        <v>131400</v>
      </c>
      <c r="F59" s="207">
        <v>131400</v>
      </c>
      <c r="G59" s="207">
        <v>131400</v>
      </c>
      <c r="H59" s="12" t="s">
        <v>3223</v>
      </c>
      <c r="I59" s="209">
        <v>1.9E-3</v>
      </c>
      <c r="J59" s="210">
        <f>E59*$I59</f>
        <v>249.66</v>
      </c>
      <c r="K59" s="210">
        <f>F59*$I59</f>
        <v>249.66</v>
      </c>
      <c r="L59" s="210">
        <f>G59*$I59</f>
        <v>249.66</v>
      </c>
      <c r="M59" s="14" t="s">
        <v>4706</v>
      </c>
      <c r="N59" t="s">
        <v>4715</v>
      </c>
    </row>
    <row r="60" spans="1:14">
      <c r="A60" s="50" t="s">
        <v>3224</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3225</v>
      </c>
    </row>
    <row r="63" spans="1:14">
      <c r="A63" s="18" t="s">
        <v>1</v>
      </c>
      <c r="B63" s="19" t="s">
        <v>2763</v>
      </c>
      <c r="C63" s="19" t="s">
        <v>3099</v>
      </c>
      <c r="D63" s="19" t="s">
        <v>3100</v>
      </c>
      <c r="E63" s="20" t="s">
        <v>3101</v>
      </c>
    </row>
    <row r="64" spans="1:14">
      <c r="A64" s="21" t="s">
        <v>3103</v>
      </c>
      <c r="B64" s="213">
        <f>COUNTIF($A$25:$A$59,$A64)</f>
        <v>6</v>
      </c>
      <c r="C64" s="214">
        <f>SUMIF($A$25:$A$59,$A64,$J$25:$J$59)</f>
        <v>1967.8039999999999</v>
      </c>
      <c r="D64" s="214">
        <f>SUMIF($A$25:$A$59,$A64,$K$25:$K$59)</f>
        <v>3516.3980000000006</v>
      </c>
      <c r="E64" s="215">
        <f>SUMIF($A$25:$A$59,$A64,$L$25:$L$59)</f>
        <v>5684.9870000000001</v>
      </c>
    </row>
    <row r="65" spans="1:6">
      <c r="A65" s="21" t="s">
        <v>3125</v>
      </c>
      <c r="B65" s="213">
        <f>COUNTIF($A$25:$A$59,$A65)</f>
        <v>6</v>
      </c>
      <c r="C65" s="214">
        <f>SUMIF($A$25:$A$59,$A65,$J$25:$J$59)</f>
        <v>2981.9</v>
      </c>
      <c r="D65" s="214">
        <f>SUMIF($A$25:$A$59,$A65,$K$25:$K$59)</f>
        <v>3258.7000000000003</v>
      </c>
      <c r="E65" s="215">
        <f>SUMIF($A$25:$A$59,$A65,$L$25:$L$59)</f>
        <v>3604.7000000000003</v>
      </c>
    </row>
    <row r="66" spans="1:6">
      <c r="A66" s="21" t="s">
        <v>3144</v>
      </c>
      <c r="B66" s="213">
        <f>COUNTIF($A$25:$A$59,$A66)</f>
        <v>9</v>
      </c>
      <c r="C66" s="214">
        <f>SUMIF($A$25:$A$59,$A66,$J$25:$J$59)</f>
        <v>257.55700000000002</v>
      </c>
      <c r="D66" s="214">
        <f>SUMIF($A$25:$A$59,$A66,$K$25:$K$59)</f>
        <v>584.35699999999997</v>
      </c>
      <c r="E66" s="215">
        <f>SUMIF($A$25:$A$59,$A66,$L$25:$L$59)</f>
        <v>992.85700000000008</v>
      </c>
    </row>
    <row r="67" spans="1:6">
      <c r="A67" s="21" t="s">
        <v>3176</v>
      </c>
      <c r="B67" s="213">
        <f>COUNTIF($A$25:$A$59,$A67)</f>
        <v>5</v>
      </c>
      <c r="C67" s="214">
        <f>SUMIF($A$25:$A$59,$A67,$J$25:$J$59)</f>
        <v>20.849999999999998</v>
      </c>
      <c r="D67" s="214">
        <f>SUMIF($A$25:$A$59,$A67,$K$25:$K$59)</f>
        <v>71.449999999999989</v>
      </c>
      <c r="E67" s="215">
        <f>SUMIF($A$25:$A$59,$A67,$L$25:$L$59)</f>
        <v>126.5</v>
      </c>
    </row>
    <row r="68" spans="1:6">
      <c r="A68" s="21" t="s">
        <v>1532</v>
      </c>
      <c r="B68" s="213">
        <f>COUNTIF($A$25:$A$59,$A68)</f>
        <v>4</v>
      </c>
      <c r="C68" s="214">
        <f>SUMIF($A$25:$A$59,$A68,$J$25:$J$59)</f>
        <v>458</v>
      </c>
      <c r="D68" s="214">
        <f>SUMIF($A$25:$A$59,$A68,$K$25:$K$59)</f>
        <v>602</v>
      </c>
      <c r="E68" s="215">
        <f>SUMIF($A$25:$A$59,$A68,$L$25:$L$59)</f>
        <v>782</v>
      </c>
    </row>
    <row r="69" spans="1:6">
      <c r="A69" s="21" t="s">
        <v>3207</v>
      </c>
      <c r="B69" s="213">
        <f>COUNTIF($A$25:$A$59,$A69)</f>
        <v>5</v>
      </c>
      <c r="C69" s="214">
        <f>SUMIF($A$25:$A$59,$A69,$J$25:$J$59)</f>
        <v>585.1</v>
      </c>
      <c r="D69" s="214">
        <f>SUMIF($A$25:$A$59,$A69,$K$25:$K$59)</f>
        <v>1088.8200000000002</v>
      </c>
      <c r="E69" s="215">
        <f>SUMIF($A$25:$A$59,$A69,$L$25:$L$59)</f>
        <v>1688.5400000000002</v>
      </c>
    </row>
    <row r="70" spans="1:6">
      <c r="A70" s="23"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3226</v>
      </c>
    </row>
    <row r="73" spans="1:6">
      <c r="A73" s="18" t="s">
        <v>3058</v>
      </c>
      <c r="B73" s="19" t="s">
        <v>3227</v>
      </c>
      <c r="C73" s="19" t="s">
        <v>3228</v>
      </c>
      <c r="D73" s="19" t="s">
        <v>3229</v>
      </c>
      <c r="E73" s="20" t="s">
        <v>3061</v>
      </c>
    </row>
    <row r="74" spans="1:6">
      <c r="A74" s="21" t="s">
        <v>3230</v>
      </c>
      <c r="B74" s="214">
        <f>J60</f>
        <v>6271.2109999999975</v>
      </c>
      <c r="C74" s="214">
        <f>K60</f>
        <v>9121.7249999999985</v>
      </c>
      <c r="D74" s="214">
        <f>L60</f>
        <v>12879.583999999999</v>
      </c>
      <c r="E74" s="27" t="s">
        <v>3231</v>
      </c>
    </row>
    <row r="75" spans="1:6">
      <c r="A75" s="21" t="s">
        <v>3232</v>
      </c>
      <c r="B75" s="219">
        <f>B74*$B$9</f>
        <v>940681.64999999967</v>
      </c>
      <c r="C75" s="219">
        <f>C74*$B$9</f>
        <v>1368258.7499999998</v>
      </c>
      <c r="D75" s="219">
        <f>D74*$B$9</f>
        <v>1931937.5999999999</v>
      </c>
      <c r="E75" s="27" t="s">
        <v>3233</v>
      </c>
    </row>
    <row r="76" spans="1:6">
      <c r="A76" s="21" t="s">
        <v>3234</v>
      </c>
      <c r="B76" s="220">
        <f>B74*12</f>
        <v>75254.531999999977</v>
      </c>
      <c r="C76" s="220">
        <f>C74*12</f>
        <v>109460.69999999998</v>
      </c>
      <c r="D76" s="220">
        <f>D74*12</f>
        <v>154555.00799999997</v>
      </c>
      <c r="E76" s="27" t="s">
        <v>3235</v>
      </c>
    </row>
    <row r="77" spans="1:6">
      <c r="A77" s="21" t="s">
        <v>3236</v>
      </c>
      <c r="B77" s="220">
        <f>B76*3</f>
        <v>225763.59599999993</v>
      </c>
      <c r="C77" s="220">
        <f>C76*3</f>
        <v>328382.09999999998</v>
      </c>
      <c r="D77" s="220">
        <f>D76*3</f>
        <v>463665.02399999992</v>
      </c>
      <c r="E77" s="27" t="s">
        <v>3237</v>
      </c>
    </row>
    <row r="78" spans="1:6">
      <c r="A78" s="21" t="s">
        <v>3238</v>
      </c>
      <c r="B78" s="219">
        <f>B77*$B$9</f>
        <v>33864539.399999991</v>
      </c>
      <c r="C78" s="219">
        <f>C77*$B$9</f>
        <v>49257315</v>
      </c>
      <c r="D78" s="219">
        <f>D77*$B$9</f>
        <v>69549753.599999994</v>
      </c>
      <c r="E78" s="27"/>
    </row>
    <row r="79" spans="1:6">
      <c r="A79" s="21" t="s">
        <v>3239</v>
      </c>
      <c r="B79" s="221">
        <f>IFERROR(B75/$B$10,0)</f>
        <v>0.9406816499999997</v>
      </c>
      <c r="C79" s="221">
        <f>IFERROR(C75/$B$11,0)</f>
        <v>0.27365174999999997</v>
      </c>
      <c r="D79" s="221">
        <f>IFERROR(D75/$B$12,0)</f>
        <v>0.19319375999999999</v>
      </c>
      <c r="E79" s="27" t="s">
        <v>3240</v>
      </c>
    </row>
    <row r="80" spans="1:6">
      <c r="A80" s="25" t="s">
        <v>3241</v>
      </c>
      <c r="B80" s="222">
        <v>2032</v>
      </c>
      <c r="C80" s="222">
        <v>2032</v>
      </c>
      <c r="D80" s="222">
        <v>2032</v>
      </c>
      <c r="E80" s="28" t="s">
        <v>3242</v>
      </c>
    </row>
    <row r="82" spans="1:1">
      <c r="A82" s="271" t="s">
        <v>4800</v>
      </c>
    </row>
    <row r="83" spans="1:1">
      <c r="A83" s="272" t="s">
        <v>4801</v>
      </c>
    </row>
    <row r="84" spans="1:1">
      <c r="A84" s="272" t="s">
        <v>4802</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4803</v>
      </c>
    </row>
    <row r="87" spans="1:1">
      <c r="A87" s="116" t="s">
        <v>4804</v>
      </c>
    </row>
    <row r="88" spans="1:1">
      <c r="A88" s="116" t="s">
        <v>4805</v>
      </c>
    </row>
  </sheetData>
  <autoFilter ref="A24:M59" xr:uid="{B411B8B0-C590-3C46-80D6-CB350769A192}"/>
  <phoneticPr fontId="2"/>
  <conditionalFormatting sqref="A25:M59">
    <cfRule type="expression" dxfId="150"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7"/>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3567</v>
      </c>
    </row>
    <row r="2" spans="1:13">
      <c r="A2" s="48" t="s">
        <v>3568</v>
      </c>
    </row>
    <row r="4" spans="1:13" ht="23">
      <c r="A4" s="118" t="s">
        <v>3569</v>
      </c>
      <c r="E4" s="119" t="s">
        <v>3570</v>
      </c>
      <c r="I4" s="120" t="s">
        <v>3571</v>
      </c>
    </row>
    <row r="5" spans="1:13" ht="61">
      <c r="A5" s="121">
        <f>COUNTIF(進捗一覧!$H$4:$H$337,"確定")+COUNTIF(進捗一覧!$H$4:$H$337,"方向性確定（条件付き）")</f>
        <v>78</v>
      </c>
      <c r="B5" t="s">
        <v>3572</v>
      </c>
      <c r="E5" s="122">
        <f>COUNTIF(進捗一覧!$H$4:$H$337,"検討中")</f>
        <v>75</v>
      </c>
      <c r="F5" t="s">
        <v>3572</v>
      </c>
      <c r="I5" s="123">
        <f>COUNTIF(進捗一覧!$H$4:$H$337,"外部待ち")</f>
        <v>166</v>
      </c>
      <c r="J5" t="s">
        <v>3572</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3573</v>
      </c>
      <c r="I6" s="124" t="s">
        <v>3574</v>
      </c>
    </row>
    <row r="8" spans="1:13">
      <c r="A8" s="4" t="s">
        <v>3575</v>
      </c>
      <c r="E8" s="4" t="s">
        <v>3576</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5" t="s">
        <v>3577</v>
      </c>
      <c r="F9" s="16" t="s">
        <v>3578</v>
      </c>
      <c r="G9" s="16" t="s">
        <v>3579</v>
      </c>
      <c r="H9" s="17" t="s">
        <v>2441</v>
      </c>
    </row>
    <row r="10" spans="1:13">
      <c r="E10" s="21" t="s">
        <v>3580</v>
      </c>
      <c r="F10" s="29">
        <f>COUNTIFS(進捗一覧!$B$4:$B$337,"検証ゲート",進捗一覧!$H$4:$H$337,"検討中")</f>
        <v>3</v>
      </c>
      <c r="G10" s="29" t="str">
        <f>IF(F10=0,"● 充足",IF(F10&lt;=5,"▲ あと少し","× 未充足"))</f>
        <v>▲ あと少し</v>
      </c>
      <c r="H10" s="27" t="s">
        <v>3581</v>
      </c>
    </row>
    <row r="11" spans="1:13">
      <c r="E11" s="21" t="s">
        <v>3582</v>
      </c>
      <c r="F11" s="29">
        <f>COUNTIFS(進捗一覧!$B$4:$B$337,"設計タスク",進捗一覧!$H$4:$H$337,"外部待ち")</f>
        <v>1</v>
      </c>
      <c r="G11" s="29" t="str">
        <f>IF(F11=0,"● 充足",IF(F11&lt;=5,"▲ あと少し","× 未充足"))</f>
        <v>▲ あと少し</v>
      </c>
      <c r="H11" s="27" t="s">
        <v>3583</v>
      </c>
    </row>
    <row r="12" spans="1:13">
      <c r="E12" s="25" t="s">
        <v>3584</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8" t="s">
        <v>3585</v>
      </c>
    </row>
    <row r="14" spans="1:13">
      <c r="A14" s="4" t="s">
        <v>3586</v>
      </c>
      <c r="J14" s="4" t="s">
        <v>3587</v>
      </c>
    </row>
    <row r="15" spans="1:13">
      <c r="A15" s="18" t="s">
        <v>3588</v>
      </c>
      <c r="B15" s="19" t="s">
        <v>2198</v>
      </c>
      <c r="C15" s="19" t="s">
        <v>2199</v>
      </c>
      <c r="D15" s="20" t="s">
        <v>2200</v>
      </c>
      <c r="J15" s="18" t="s">
        <v>2439</v>
      </c>
      <c r="K15" s="19" t="s">
        <v>2198</v>
      </c>
      <c r="L15" s="19" t="s">
        <v>2440</v>
      </c>
      <c r="M15" s="20" t="s">
        <v>2441</v>
      </c>
    </row>
    <row r="16" spans="1:13">
      <c r="A16" s="21" t="s">
        <v>3453</v>
      </c>
      <c r="B16" s="29">
        <f>COUNTIF(進捗一覧!$C$4:$C$337,$A16)</f>
        <v>18</v>
      </c>
      <c r="C16" s="29">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1" t="s">
        <v>3452</v>
      </c>
      <c r="K16" s="29">
        <f>COUNTIF(進捗一覧!$A$4:$A$337,$J16)</f>
        <v>232</v>
      </c>
      <c r="L16" s="29">
        <f>COUNTIFS(進捗一覧!$A$4:$A$337,$J16,進捗一覧!$H$4:$H$337,"検討中")+COUNTIFS(進捗一覧!$A$4:$A$337,$J16,進捗一覧!$H$4:$H$337,"外部待ち")</f>
        <v>165</v>
      </c>
      <c r="M16" s="27" t="s">
        <v>3589</v>
      </c>
    </row>
    <row r="17" spans="1:14">
      <c r="A17" s="21" t="s">
        <v>3456</v>
      </c>
      <c r="B17" s="29">
        <f>COUNTIF(進捗一覧!$C$4:$C$337,$A17)</f>
        <v>25</v>
      </c>
      <c r="C17" s="29">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1" t="s">
        <v>3472</v>
      </c>
      <c r="K17" s="29">
        <f>COUNTIF(進捗一覧!$A$4:$A$337,$J17)</f>
        <v>102</v>
      </c>
      <c r="L17" s="29">
        <f>COUNTIFS(進捗一覧!$A$4:$A$337,$J17,進捗一覧!$H$4:$H$337,"検討中")+COUNTIFS(進捗一覧!$A$4:$A$337,$J17,進捗一覧!$H$4:$H$337,"外部待ち")</f>
        <v>76</v>
      </c>
      <c r="M17" s="27" t="s">
        <v>3590</v>
      </c>
    </row>
    <row r="18" spans="1:14">
      <c r="A18" s="21" t="s">
        <v>3458</v>
      </c>
      <c r="B18" s="29">
        <f>COUNTIF(進捗一覧!$C$4:$C$337,$A18)</f>
        <v>14</v>
      </c>
      <c r="C18" s="29">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3" t="s">
        <v>3486</v>
      </c>
      <c r="K18" s="30">
        <f>SUM(K16:K17)</f>
        <v>334</v>
      </c>
      <c r="L18" s="30">
        <f>SUM(L16:L17)</f>
        <v>241</v>
      </c>
      <c r="M18" s="173"/>
      <c r="N18" s="48" t="str">
        <f>IF(K18=COUNTA(進捗一覧!$P$4:$P$337),"✓ 明細行数と一致","⚠ 不一致")</f>
        <v>✓ 明細行数と一致</v>
      </c>
    </row>
    <row r="19" spans="1:14">
      <c r="A19" s="21" t="s">
        <v>3459</v>
      </c>
      <c r="B19" s="29">
        <f>COUNTIF(進捗一覧!$C$4:$C$337,$A19)</f>
        <v>17</v>
      </c>
      <c r="C19" s="29">
        <f>COUNTIFS(進捗一覧!$C$4:$C$337,$A19,進捗一覧!$H$4:$H$337,"確定")</f>
        <v>1</v>
      </c>
      <c r="D19" s="29">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1" t="s">
        <v>3455</v>
      </c>
      <c r="B20" s="29">
        <f>COUNTIF(進捗一覧!$C$4:$C$337,$A20)</f>
        <v>18</v>
      </c>
      <c r="C20" s="29">
        <f>COUNTIFS(進捗一覧!$C$4:$C$337,$A20,進捗一覧!$H$4:$H$337,"確定")</f>
        <v>4</v>
      </c>
      <c r="D20" s="29">
        <f>COUNTIFS(進捗一覧!$C$4:$C$337,$A20,進捗一覧!$H$4:$H$337,"方向性確定（条件付き）")</f>
        <v>0</v>
      </c>
      <c r="E20" s="29">
        <f>COUNTIFS(進捗一覧!$C$4:$C$337,$A20,進捗一覧!$H$4:$H$337,"検討中")</f>
        <v>1</v>
      </c>
      <c r="F20" s="29">
        <f>COUNTIFS(進捗一覧!$C$4:$C$337,$A20,進捗一覧!$H$4:$H$337,"外部待ち")</f>
        <v>9</v>
      </c>
      <c r="G20" s="29">
        <f>COUNTIFS(進捗一覧!$C$4:$C$337,$A20,進捗一覧!$H$4:$H$337,"対象外")</f>
        <v>4</v>
      </c>
      <c r="H20" s="127"/>
    </row>
    <row r="21" spans="1:14">
      <c r="A21" s="21" t="s">
        <v>3460</v>
      </c>
      <c r="B21" s="29">
        <f>COUNTIF(進捗一覧!$C$4:$C$337,$A21)</f>
        <v>27</v>
      </c>
      <c r="C21" s="29">
        <f>COUNTIFS(進捗一覧!$C$4:$C$337,$A21,進捗一覧!$H$4:$H$337,"確定")</f>
        <v>10</v>
      </c>
      <c r="D21" s="29">
        <f>COUNTIFS(進捗一覧!$C$4:$C$337,$A21,進捗一覧!$H$4:$H$337,"方向性確定（条件付き）")</f>
        <v>0</v>
      </c>
      <c r="E21" s="29">
        <f>COUNTIFS(進捗一覧!$C$4:$C$337,$A21,進捗一覧!$H$4:$H$337,"検討中")</f>
        <v>6</v>
      </c>
      <c r="F21" s="29">
        <f>COUNTIFS(進捗一覧!$C$4:$C$337,$A21,進捗一覧!$H$4:$H$337,"外部待ち")</f>
        <v>11</v>
      </c>
      <c r="G21" s="29">
        <f>COUNTIFS(進捗一覧!$C$4:$C$337,$A21,進捗一覧!$H$4:$H$337,"対象外")</f>
        <v>0</v>
      </c>
      <c r="H21" s="127"/>
    </row>
    <row r="22" spans="1:14">
      <c r="A22" s="21" t="s">
        <v>3454</v>
      </c>
      <c r="B22" s="29">
        <f>COUNTIF(進捗一覧!$C$4:$C$337,$A22)</f>
        <v>13</v>
      </c>
      <c r="C22" s="29">
        <f>COUNTIFS(進捗一覧!$C$4:$C$337,$A22,進捗一覧!$H$4:$H$337,"確定")</f>
        <v>3</v>
      </c>
      <c r="D22" s="29">
        <f>COUNTIFS(進捗一覧!$C$4:$C$337,$A22,進捗一覧!$H$4:$H$337,"方向性確定（条件付き）")</f>
        <v>0</v>
      </c>
      <c r="E22" s="29">
        <f>COUNTIFS(進捗一覧!$C$4:$C$337,$A22,進捗一覧!$H$4:$H$337,"検討中")</f>
        <v>1</v>
      </c>
      <c r="F22" s="29">
        <f>COUNTIFS(進捗一覧!$C$4:$C$337,$A22,進捗一覧!$H$4:$H$337,"外部待ち")</f>
        <v>9</v>
      </c>
      <c r="G22" s="29">
        <f>COUNTIFS(進捗一覧!$C$4:$C$337,$A22,進捗一覧!$H$4:$H$337,"対象外")</f>
        <v>0</v>
      </c>
      <c r="H22" s="127"/>
    </row>
    <row r="23" spans="1:14">
      <c r="A23" s="21" t="s">
        <v>3457</v>
      </c>
      <c r="B23" s="29">
        <f>COUNTIF(進捗一覧!$C$4:$C$337,$A23)</f>
        <v>19</v>
      </c>
      <c r="C23" s="29">
        <f>COUNTIFS(進捗一覧!$C$4:$C$337,$A23,進捗一覧!$H$4:$H$337,"確定")</f>
        <v>8</v>
      </c>
      <c r="D23" s="29">
        <f>COUNTIFS(進捗一覧!$C$4:$C$337,$A23,進捗一覧!$H$4:$H$337,"方向性確定（条件付き）")</f>
        <v>1</v>
      </c>
      <c r="E23" s="29">
        <f>COUNTIFS(進捗一覧!$C$4:$C$337,$A23,進捗一覧!$H$4:$H$337,"検討中")</f>
        <v>8</v>
      </c>
      <c r="F23" s="29">
        <f>COUNTIFS(進捗一覧!$C$4:$C$337,$A23,進捗一覧!$H$4:$H$337,"外部待ち")</f>
        <v>2</v>
      </c>
      <c r="G23" s="29">
        <f>COUNTIFS(進捗一覧!$C$4:$C$337,$A23,進捗一覧!$H$4:$H$337,"対象外")</f>
        <v>0</v>
      </c>
      <c r="H23" s="127"/>
    </row>
    <row r="24" spans="1:14">
      <c r="A24" s="21" t="s">
        <v>3474</v>
      </c>
      <c r="B24" s="29">
        <f>COUNTIF(進捗一覧!$C$4:$C$337,$A24)</f>
        <v>13</v>
      </c>
      <c r="C24" s="29">
        <f>COUNTIFS(進捗一覧!$C$4:$C$337,$A24,進捗一覧!$H$4:$H$337,"確定")</f>
        <v>3</v>
      </c>
      <c r="D24" s="29">
        <f>COUNTIFS(進捗一覧!$C$4:$C$337,$A24,進捗一覧!$H$4:$H$337,"方向性確定（条件付き）")</f>
        <v>1</v>
      </c>
      <c r="E24" s="29">
        <f>COUNTIFS(進捗一覧!$C$4:$C$337,$A24,進捗一覧!$H$4:$H$337,"検討中")</f>
        <v>7</v>
      </c>
      <c r="F24" s="29">
        <f>COUNTIFS(進捗一覧!$C$4:$C$337,$A24,進捗一覧!$H$4:$H$337,"外部待ち")</f>
        <v>2</v>
      </c>
      <c r="G24" s="29">
        <f>COUNTIFS(進捗一覧!$C$4:$C$337,$A24,進捗一覧!$H$4:$H$337,"対象外")</f>
        <v>0</v>
      </c>
      <c r="H24" s="127"/>
    </row>
    <row r="25" spans="1:14">
      <c r="A25" s="21" t="s">
        <v>3470</v>
      </c>
      <c r="B25" s="29">
        <f>COUNTIF(進捗一覧!$C$4:$C$337,$A25)</f>
        <v>26</v>
      </c>
      <c r="C25" s="29">
        <f>COUNTIFS(進捗一覧!$C$4:$C$337,$A25,進捗一覧!$H$4:$H$337,"確定")</f>
        <v>4</v>
      </c>
      <c r="D25" s="29">
        <f>COUNTIFS(進捗一覧!$C$4:$C$337,$A25,進捗一覧!$H$4:$H$337,"方向性確定（条件付き）")</f>
        <v>2</v>
      </c>
      <c r="E25" s="29">
        <f>COUNTIFS(進捗一覧!$C$4:$C$337,$A25,進捗一覧!$H$4:$H$337,"検討中")</f>
        <v>8</v>
      </c>
      <c r="F25" s="29">
        <f>COUNTIFS(進捗一覧!$C$4:$C$337,$A25,進捗一覧!$H$4:$H$337,"外部待ち")</f>
        <v>11</v>
      </c>
      <c r="G25" s="29">
        <f>COUNTIFS(進捗一覧!$C$4:$C$337,$A25,進捗一覧!$H$4:$H$337,"対象外")</f>
        <v>1</v>
      </c>
      <c r="H25" s="127" t="s">
        <v>3591</v>
      </c>
    </row>
    <row r="26" spans="1:14">
      <c r="A26" s="21" t="s">
        <v>3465</v>
      </c>
      <c r="B26" s="29">
        <f>COUNTIF(進捗一覧!$C$4:$C$337,$A26)</f>
        <v>23</v>
      </c>
      <c r="C26" s="29">
        <f>COUNTIFS(進捗一覧!$C$4:$C$337,$A26,進捗一覧!$H$4:$H$337,"確定")</f>
        <v>7</v>
      </c>
      <c r="D26" s="29">
        <f>COUNTIFS(進捗一覧!$C$4:$C$337,$A26,進捗一覧!$H$4:$H$337,"方向性確定（条件付き）")</f>
        <v>0</v>
      </c>
      <c r="E26" s="29">
        <f>COUNTIFS(進捗一覧!$C$4:$C$337,$A26,進捗一覧!$H$4:$H$337,"検討中")</f>
        <v>2</v>
      </c>
      <c r="F26" s="29">
        <f>COUNTIFS(進捗一覧!$C$4:$C$337,$A26,進捗一覧!$H$4:$H$337,"外部待ち")</f>
        <v>14</v>
      </c>
      <c r="G26" s="29">
        <f>COUNTIFS(進捗一覧!$C$4:$C$337,$A26,進捗一覧!$H$4:$H$337,"対象外")</f>
        <v>0</v>
      </c>
      <c r="H26" s="127" t="s">
        <v>3592</v>
      </c>
    </row>
    <row r="27" spans="1:14">
      <c r="A27" s="21" t="s">
        <v>3461</v>
      </c>
      <c r="B27" s="29">
        <f>COUNTIF(進捗一覧!$C$4:$C$337,$A27)</f>
        <v>34</v>
      </c>
      <c r="C27" s="29">
        <f>COUNTIFS(進捗一覧!$C$4:$C$337,$A27,進捗一覧!$H$4:$H$337,"確定")</f>
        <v>10</v>
      </c>
      <c r="D27" s="29">
        <f>COUNTIFS(進捗一覧!$C$4:$C$337,$A27,進捗一覧!$H$4:$H$337,"方向性確定（条件付き）")</f>
        <v>0</v>
      </c>
      <c r="E27" s="29">
        <f>COUNTIFS(進捗一覧!$C$4:$C$337,$A27,進捗一覧!$H$4:$H$337,"検討中")</f>
        <v>7</v>
      </c>
      <c r="F27" s="29">
        <f>COUNTIFS(進捗一覧!$C$4:$C$337,$A27,進捗一覧!$H$4:$H$337,"外部待ち")</f>
        <v>16</v>
      </c>
      <c r="G27" s="29">
        <f>COUNTIFS(進捗一覧!$C$4:$C$337,$A27,進捗一覧!$H$4:$H$337,"対象外")</f>
        <v>1</v>
      </c>
      <c r="H27" s="127"/>
    </row>
    <row r="28" spans="1:14">
      <c r="A28" s="21" t="s">
        <v>3467</v>
      </c>
      <c r="B28" s="29">
        <f>COUNTIF(進捗一覧!$C$4:$C$337,$A28)</f>
        <v>29</v>
      </c>
      <c r="C28" s="29">
        <f>COUNTIFS(進捗一覧!$C$4:$C$337,$A28,進捗一覧!$H$4:$H$337,"確定")</f>
        <v>2</v>
      </c>
      <c r="D28" s="29">
        <f>COUNTIFS(進捗一覧!$C$4:$C$337,$A28,進捗一覧!$H$4:$H$337,"方向性確定（条件付き）")</f>
        <v>0</v>
      </c>
      <c r="E28" s="29">
        <f>COUNTIFS(進捗一覧!$C$4:$C$337,$A28,進捗一覧!$H$4:$H$337,"検討中")</f>
        <v>3</v>
      </c>
      <c r="F28" s="29">
        <f>COUNTIFS(進捗一覧!$C$4:$C$337,$A28,進捗一覧!$H$4:$H$337,"外部待ち")</f>
        <v>23</v>
      </c>
      <c r="G28" s="29">
        <f>COUNTIFS(進捗一覧!$C$4:$C$337,$A28,進捗一覧!$H$4:$H$337,"対象外")</f>
        <v>1</v>
      </c>
      <c r="H28" s="127" t="s">
        <v>3593</v>
      </c>
    </row>
    <row r="29" spans="1:14">
      <c r="A29" s="21" t="s">
        <v>3469</v>
      </c>
      <c r="B29" s="29">
        <f>COUNTIF(進捗一覧!$C$4:$C$337,$A29)</f>
        <v>30</v>
      </c>
      <c r="C29" s="29">
        <f>COUNTIFS(進捗一覧!$C$4:$C$337,$A29,進捗一覧!$H$4:$H$337,"確定")</f>
        <v>4</v>
      </c>
      <c r="D29" s="29">
        <f>COUNTIFS(進捗一覧!$C$4:$C$337,$A29,進捗一覧!$H$4:$H$337,"方向性確定（条件付き）")</f>
        <v>0</v>
      </c>
      <c r="E29" s="29">
        <f>COUNTIFS(進捗一覧!$C$4:$C$337,$A29,進捗一覧!$H$4:$H$337,"検討中")</f>
        <v>8</v>
      </c>
      <c r="F29" s="29">
        <f>COUNTIFS(進捗一覧!$C$4:$C$337,$A29,進捗一覧!$H$4:$H$337,"外部待ち")</f>
        <v>17</v>
      </c>
      <c r="G29" s="29">
        <f>COUNTIFS(進捗一覧!$C$4:$C$337,$A29,進捗一覧!$H$4:$H$337,"対象外")</f>
        <v>1</v>
      </c>
      <c r="H29" s="127" t="s">
        <v>3594</v>
      </c>
    </row>
    <row r="30" spans="1:14">
      <c r="A30" s="21" t="s">
        <v>3462</v>
      </c>
      <c r="B30" s="29">
        <f>COUNTIF(進捗一覧!$C$4:$C$337,$A30)</f>
        <v>12</v>
      </c>
      <c r="C30" s="29">
        <f>COUNTIFS(進捗一覧!$C$4:$C$337,$A30,進捗一覧!$H$4:$H$337,"確定")</f>
        <v>4</v>
      </c>
      <c r="D30" s="29">
        <f>COUNTIFS(進捗一覧!$C$4:$C$337,$A30,進捗一覧!$H$4:$H$337,"方向性確定（条件付き）")</f>
        <v>0</v>
      </c>
      <c r="E30" s="29">
        <f>COUNTIFS(進捗一覧!$C$4:$C$337,$A30,進捗一覧!$H$4:$H$337,"検討中")</f>
        <v>7</v>
      </c>
      <c r="F30" s="29">
        <f>COUNTIFS(進捗一覧!$C$4:$C$337,$A30,進捗一覧!$H$4:$H$337,"外部待ち")</f>
        <v>0</v>
      </c>
      <c r="G30" s="29">
        <f>COUNTIFS(進捗一覧!$C$4:$C$337,$A30,進捗一覧!$H$4:$H$337,"対象外")</f>
        <v>1</v>
      </c>
      <c r="H30" s="127" t="s">
        <v>3595</v>
      </c>
    </row>
    <row r="31" spans="1:14">
      <c r="A31" s="21" t="s">
        <v>3464</v>
      </c>
      <c r="B31" s="29">
        <f>COUNTIF(進捗一覧!$C$4:$C$337,$A31)</f>
        <v>7</v>
      </c>
      <c r="C31" s="29">
        <f>COUNTIFS(進捗一覧!$C$4:$C$337,$A31,進捗一覧!$H$4:$H$337,"確定")</f>
        <v>2</v>
      </c>
      <c r="D31" s="29">
        <f>COUNTIFS(進捗一覧!$C$4:$C$337,$A31,進捗一覧!$H$4:$H$337,"方向性確定（条件付き）")</f>
        <v>0</v>
      </c>
      <c r="E31" s="29">
        <f>COUNTIFS(進捗一覧!$C$4:$C$337,$A31,進捗一覧!$H$4:$H$337,"検討中")</f>
        <v>1</v>
      </c>
      <c r="F31" s="29">
        <f>COUNTIFS(進捗一覧!$C$4:$C$337,$A31,進捗一覧!$H$4:$H$337,"外部待ち")</f>
        <v>3</v>
      </c>
      <c r="G31" s="29">
        <f>COUNTIFS(進捗一覧!$C$4:$C$337,$A31,進捗一覧!$H$4:$H$337,"対象外")</f>
        <v>1</v>
      </c>
      <c r="H31" s="127" t="s">
        <v>3596</v>
      </c>
    </row>
    <row r="32" spans="1:14">
      <c r="A32" s="21" t="s">
        <v>3477</v>
      </c>
      <c r="B32" s="29">
        <f>COUNTIF(進捗一覧!$C$4:$C$337,$A32)</f>
        <v>9</v>
      </c>
      <c r="C32" s="29">
        <f>COUNTIFS(進捗一覧!$C$4:$C$337,$A32,進捗一覧!$H$4:$H$337,"確定")</f>
        <v>1</v>
      </c>
      <c r="D32" s="29">
        <f>COUNTIFS(進捗一覧!$C$4:$C$337,$A32,進捗一覧!$H$4:$H$337,"方向性確定（条件付き）")</f>
        <v>0</v>
      </c>
      <c r="E32" s="29">
        <f>COUNTIFS(進捗一覧!$C$4:$C$337,$A32,進捗一覧!$H$4:$H$337,"検討中")</f>
        <v>7</v>
      </c>
      <c r="F32" s="29">
        <f>COUNTIFS(進捗一覧!$C$4:$C$337,$A32,進捗一覧!$H$4:$H$337,"外部待ち")</f>
        <v>1</v>
      </c>
      <c r="G32" s="29">
        <f>COUNTIFS(進捗一覧!$C$4:$C$337,$A32,進捗一覧!$H$4:$H$337,"対象外")</f>
        <v>0</v>
      </c>
      <c r="H32" s="127" t="s">
        <v>3597</v>
      </c>
    </row>
    <row r="33" spans="1:8">
      <c r="A33" s="23" t="s">
        <v>3486</v>
      </c>
      <c r="B33" s="30">
        <f>SUM(B16:B32)</f>
        <v>334</v>
      </c>
      <c r="C33" s="30">
        <f>SUM(C16:C32)</f>
        <v>74</v>
      </c>
      <c r="D33" s="30">
        <f>SUM(D16:D32)</f>
        <v>4</v>
      </c>
      <c r="E33" s="30">
        <f>SUM(E16:E32)</f>
        <v>75</v>
      </c>
      <c r="F33" s="30">
        <f>SUM(F16:F32)</f>
        <v>166</v>
      </c>
      <c r="G33" s="30">
        <f>SUM(G16:G32)</f>
        <v>15</v>
      </c>
      <c r="H33" s="28"/>
    </row>
    <row r="36" spans="1:8">
      <c r="A36" s="4" t="s">
        <v>3598</v>
      </c>
    </row>
    <row r="37" spans="1:8">
      <c r="A37" s="18" t="s">
        <v>3599</v>
      </c>
      <c r="B37" s="19" t="s">
        <v>3600</v>
      </c>
      <c r="C37" s="19" t="s">
        <v>3601</v>
      </c>
      <c r="D37" s="19" t="s">
        <v>3533</v>
      </c>
      <c r="E37" s="20" t="s">
        <v>3602</v>
      </c>
    </row>
    <row r="38" spans="1:8">
      <c r="A38" s="21" t="s">
        <v>3603</v>
      </c>
      <c r="B38" s="191">
        <v>812</v>
      </c>
      <c r="C38" s="22" t="s">
        <v>3604</v>
      </c>
      <c r="D38" s="29">
        <v>412</v>
      </c>
      <c r="E38" s="27" t="s">
        <v>7194</v>
      </c>
    </row>
    <row r="39" spans="1:8">
      <c r="A39" s="21" t="s">
        <v>3605</v>
      </c>
      <c r="B39" s="191">
        <v>441</v>
      </c>
      <c r="C39" s="22" t="s">
        <v>3606</v>
      </c>
      <c r="D39" s="29">
        <v>64</v>
      </c>
      <c r="E39" s="27" t="s">
        <v>6214</v>
      </c>
      <c r="F39" s="53" t="s">
        <v>6215</v>
      </c>
    </row>
    <row r="40" spans="1:8">
      <c r="A40" s="21" t="s">
        <v>3607</v>
      </c>
      <c r="B40" s="191">
        <v>743</v>
      </c>
      <c r="C40" s="22" t="s">
        <v>3606</v>
      </c>
      <c r="D40" s="29">
        <v>113</v>
      </c>
      <c r="E40" s="27" t="s">
        <v>6029</v>
      </c>
      <c r="F40" s="53" t="s">
        <v>6216</v>
      </c>
    </row>
    <row r="41" spans="1:8">
      <c r="A41" s="21" t="s">
        <v>3608</v>
      </c>
      <c r="B41" s="191">
        <v>421</v>
      </c>
      <c r="C41" s="22" t="s">
        <v>3609</v>
      </c>
      <c r="D41" s="29">
        <v>50</v>
      </c>
      <c r="E41" s="27" t="s">
        <v>5775</v>
      </c>
    </row>
    <row r="42" spans="1:8">
      <c r="A42" s="168" t="s">
        <v>3610</v>
      </c>
      <c r="B42" s="192">
        <f>B39+B40+B41</f>
        <v>1605</v>
      </c>
      <c r="C42" s="193" t="s">
        <v>3611</v>
      </c>
      <c r="D42" s="162"/>
      <c r="E42" s="169"/>
    </row>
    <row r="43" spans="1:8">
      <c r="A43" s="23" t="s">
        <v>3612</v>
      </c>
      <c r="B43" s="194">
        <v>2417</v>
      </c>
      <c r="C43" s="24" t="s">
        <v>3611</v>
      </c>
      <c r="D43" s="30"/>
      <c r="E43" s="173"/>
      <c r="F43" s="48" t="s">
        <v>7003</v>
      </c>
    </row>
    <row r="44" spans="1:8">
      <c r="A44" s="362" t="s">
        <v>7195</v>
      </c>
    </row>
    <row r="45" spans="1:8">
      <c r="A45" s="289" t="s">
        <v>7001</v>
      </c>
    </row>
    <row r="46" spans="1:8">
      <c r="A46" s="363" t="s">
        <v>5954</v>
      </c>
    </row>
    <row r="47" spans="1:8">
      <c r="A47" s="48" t="s">
        <v>7002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2" customWidth="1"/>
    <col min="2" max="2" width="24.28515625" style="32" customWidth="1"/>
    <col min="3" max="3" width="74.28515625" style="32" customWidth="1"/>
    <col min="4" max="4" width="24.28515625" style="32" customWidth="1"/>
    <col min="5" max="5" width="10.7109375" style="32"/>
    <col min="6" max="7" width="11.42578125" style="32" customWidth="1"/>
    <col min="8" max="16384" width="10.7109375" style="32"/>
  </cols>
  <sheetData>
    <row r="1" spans="1:10" ht="22">
      <c r="A1" s="31" t="s">
        <v>3482</v>
      </c>
    </row>
    <row r="2" spans="1:10">
      <c r="A2" s="34" t="s">
        <v>3483</v>
      </c>
    </row>
    <row r="3" spans="1:10">
      <c r="A3" s="35" t="s">
        <v>3484</v>
      </c>
    </row>
    <row r="5" spans="1:10">
      <c r="A5" s="84" t="s">
        <v>3485</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3473</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3475</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6042</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6043</v>
      </c>
    </row>
    <row r="12" spans="1:10">
      <c r="A12" s="114" t="s">
        <v>3471</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3486</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3487</v>
      </c>
      <c r="B15" s="59" t="s">
        <v>3488</v>
      </c>
      <c r="C15" s="59" t="s">
        <v>2205</v>
      </c>
      <c r="D15" s="59" t="s">
        <v>2198</v>
      </c>
      <c r="E15" s="59" t="s">
        <v>2199</v>
      </c>
      <c r="F15" s="59" t="s">
        <v>2200</v>
      </c>
      <c r="G15" s="59" t="s">
        <v>2201</v>
      </c>
      <c r="H15" s="60" t="s">
        <v>2202</v>
      </c>
    </row>
    <row r="16" spans="1:10">
      <c r="A16" s="58" t="s">
        <v>3489</v>
      </c>
      <c r="B16" s="152" t="s">
        <v>2204</v>
      </c>
      <c r="C16" s="152" t="s">
        <v>2205</v>
      </c>
      <c r="D16" s="151" t="s">
        <v>2198</v>
      </c>
      <c r="E16" s="151" t="s">
        <v>2199</v>
      </c>
      <c r="F16" s="151" t="s">
        <v>2200</v>
      </c>
      <c r="G16" s="151" t="s">
        <v>2201</v>
      </c>
      <c r="H16" s="153" t="s">
        <v>2202</v>
      </c>
      <c r="I16" s="32" t="s">
        <v>6039</v>
      </c>
      <c r="J16" s="32" t="s">
        <v>6040</v>
      </c>
    </row>
    <row r="17" spans="1:8">
      <c r="A17" s="85" t="s">
        <v>3490</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3491</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3492</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3493</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3494</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3495</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3496</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3497</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3466</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3498</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3499</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3500</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3468</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3501</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3502</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3463</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3503</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6032</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2">
        <v>98</v>
      </c>
      <c r="J34" s="32">
        <v>39</v>
      </c>
    </row>
    <row r="35" spans="1:11">
      <c r="A35" s="85" t="s">
        <v>6033</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2">
        <v>23</v>
      </c>
      <c r="J35" s="32">
        <v>9</v>
      </c>
    </row>
    <row r="36" spans="1:11">
      <c r="A36" s="85" t="s">
        <v>6723</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2">
        <v>23</v>
      </c>
      <c r="J36" s="32">
        <v>13</v>
      </c>
    </row>
    <row r="37" spans="1:11">
      <c r="A37" s="85" t="s">
        <v>6034</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2">
        <v>56</v>
      </c>
      <c r="J37" s="32">
        <v>31</v>
      </c>
    </row>
    <row r="38" spans="1:11">
      <c r="A38" s="85" t="s">
        <v>6035</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2">
        <v>33</v>
      </c>
      <c r="J38" s="32">
        <v>10</v>
      </c>
    </row>
    <row r="39" spans="1:11">
      <c r="A39" s="85" t="s">
        <v>6036</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2">
        <v>15</v>
      </c>
      <c r="J39" s="32">
        <v>4</v>
      </c>
    </row>
    <row r="40" spans="1:11">
      <c r="A40" s="91" t="s">
        <v>6037</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2">
        <v>22</v>
      </c>
      <c r="J40" s="32">
        <v>14</v>
      </c>
    </row>
    <row r="41" spans="1:11">
      <c r="A41" s="364" t="s">
        <v>7196</v>
      </c>
      <c r="B41" s="365" t="s">
        <v>2197</v>
      </c>
      <c r="C41" s="365" t="s">
        <v>6038</v>
      </c>
      <c r="D41" s="366">
        <v>148</v>
      </c>
      <c r="E41" s="366"/>
      <c r="F41" s="366"/>
      <c r="G41" s="366"/>
      <c r="H41" s="366"/>
      <c r="I41" s="32">
        <v>542</v>
      </c>
      <c r="J41" s="32">
        <v>292</v>
      </c>
      <c r="K41" s="32" t="s">
        <v>7197</v>
      </c>
    </row>
    <row r="42" spans="1:11">
      <c r="A42" s="32" t="s">
        <v>6041</v>
      </c>
      <c r="I42" s="32">
        <f>SUM(I34:I41)</f>
        <v>812</v>
      </c>
      <c r="J42" s="32">
        <f>SUM(J34:J41)</f>
        <v>412</v>
      </c>
    </row>
    <row r="43" spans="1:11">
      <c r="A43" s="84" t="s">
        <v>3504</v>
      </c>
      <c r="B43" s="59" t="s">
        <v>3505</v>
      </c>
      <c r="C43" s="59" t="s">
        <v>3506</v>
      </c>
      <c r="D43" s="60" t="s">
        <v>2445</v>
      </c>
    </row>
    <row r="44" spans="1:11">
      <c r="A44" s="367" t="s">
        <v>6044</v>
      </c>
      <c r="B44" s="89" t="s">
        <v>3507</v>
      </c>
      <c r="C44" s="89" t="s">
        <v>3508</v>
      </c>
      <c r="D44" s="94" t="s">
        <v>3509</v>
      </c>
    </row>
    <row r="45" spans="1:11">
      <c r="A45" s="85" t="s">
        <v>3510</v>
      </c>
      <c r="B45" s="89" t="s">
        <v>3511</v>
      </c>
      <c r="C45" s="89" t="s">
        <v>3512</v>
      </c>
      <c r="D45" s="94" t="s">
        <v>3513</v>
      </c>
    </row>
    <row r="46" spans="1:11">
      <c r="A46" s="85" t="s">
        <v>3514</v>
      </c>
      <c r="B46" s="89" t="s">
        <v>3480</v>
      </c>
      <c r="C46" s="89" t="s">
        <v>3515</v>
      </c>
      <c r="D46" s="94" t="s">
        <v>3516</v>
      </c>
    </row>
    <row r="47" spans="1:11">
      <c r="A47" s="85" t="s">
        <v>3517</v>
      </c>
      <c r="B47" s="89" t="s">
        <v>3476</v>
      </c>
      <c r="C47" s="89" t="s">
        <v>3518</v>
      </c>
      <c r="D47" s="94" t="s">
        <v>3516</v>
      </c>
    </row>
    <row r="48" spans="1:11">
      <c r="A48" s="85" t="s">
        <v>3517</v>
      </c>
      <c r="B48" s="89" t="s">
        <v>3481</v>
      </c>
      <c r="C48" s="89" t="s">
        <v>3519</v>
      </c>
      <c r="D48" s="94" t="s">
        <v>3513</v>
      </c>
    </row>
    <row r="49" spans="1:5">
      <c r="A49" s="85" t="s">
        <v>3517</v>
      </c>
      <c r="B49" s="89" t="s">
        <v>3520</v>
      </c>
      <c r="C49" s="89" t="s">
        <v>3521</v>
      </c>
      <c r="D49" s="94" t="s">
        <v>3516</v>
      </c>
    </row>
    <row r="50" spans="1:5">
      <c r="A50" s="85" t="s">
        <v>3522</v>
      </c>
      <c r="B50" s="89" t="s">
        <v>3478</v>
      </c>
      <c r="C50" s="89" t="s">
        <v>3523</v>
      </c>
      <c r="D50" s="94" t="s">
        <v>3516</v>
      </c>
    </row>
    <row r="51" spans="1:5">
      <c r="A51" s="85" t="s">
        <v>3524</v>
      </c>
      <c r="B51" s="89" t="s">
        <v>3479</v>
      </c>
      <c r="C51" s="89" t="s">
        <v>3525</v>
      </c>
      <c r="D51" s="94" t="s">
        <v>3516</v>
      </c>
    </row>
    <row r="52" spans="1:5">
      <c r="A52" s="85" t="s">
        <v>3524</v>
      </c>
      <c r="B52" s="89" t="s">
        <v>3526</v>
      </c>
      <c r="C52" s="89" t="s">
        <v>3527</v>
      </c>
      <c r="D52" s="94" t="s">
        <v>3528</v>
      </c>
    </row>
    <row r="53" spans="1:5">
      <c r="A53" s="85" t="s">
        <v>3529</v>
      </c>
      <c r="B53" s="92" t="s">
        <v>3530</v>
      </c>
      <c r="C53" s="92" t="s">
        <v>3531</v>
      </c>
      <c r="D53" s="95" t="s">
        <v>3528</v>
      </c>
    </row>
    <row r="54" spans="1:5">
      <c r="A54" s="91" t="s">
        <v>3529</v>
      </c>
    </row>
    <row r="56" spans="1:5">
      <c r="A56" s="96" t="s">
        <v>3532</v>
      </c>
      <c r="B56" s="59" t="s">
        <v>3533</v>
      </c>
      <c r="C56" s="59" t="s">
        <v>3534</v>
      </c>
      <c r="D56" s="60" t="s">
        <v>3535</v>
      </c>
    </row>
    <row r="57" spans="1:5">
      <c r="A57" s="58" t="s">
        <v>3536</v>
      </c>
      <c r="B57" s="86"/>
      <c r="C57" s="97"/>
      <c r="D57" s="94" t="s">
        <v>3537</v>
      </c>
    </row>
    <row r="58" spans="1:5">
      <c r="A58" s="85" t="s">
        <v>1065</v>
      </c>
      <c r="B58" s="86">
        <f>COUNTIF(要件→設計!$G$5:$G$183,$A58)</f>
        <v>114</v>
      </c>
      <c r="C58" s="97">
        <f>IFERROR(B58/$B$63,"-")</f>
        <v>0.63687150837988826</v>
      </c>
      <c r="D58" s="94" t="s">
        <v>3538</v>
      </c>
    </row>
    <row r="59" spans="1:5">
      <c r="A59" s="85" t="s">
        <v>1057</v>
      </c>
      <c r="B59" s="86">
        <f>COUNTIF(要件→設計!$G$5:$G$183,$A59)</f>
        <v>47</v>
      </c>
      <c r="C59" s="97">
        <f>IFERROR(B59/$B$63,"-")</f>
        <v>0.26256983240223464</v>
      </c>
      <c r="D59" s="98" t="s">
        <v>3539</v>
      </c>
    </row>
    <row r="60" spans="1:5">
      <c r="A60" s="85" t="s">
        <v>1060</v>
      </c>
      <c r="B60" s="86">
        <f>COUNTIF(要件→設計!$G$5:$G$183,$A60)</f>
        <v>1</v>
      </c>
      <c r="C60" s="97">
        <f>IFERROR(B60/$B$63,"-")</f>
        <v>5.5865921787709499E-3</v>
      </c>
      <c r="D60" s="94" t="s">
        <v>3540</v>
      </c>
    </row>
    <row r="61" spans="1:5">
      <c r="A61" s="85" t="s">
        <v>1072</v>
      </c>
      <c r="B61" s="86">
        <f>COUNTIF(要件→設計!$G$5:$G$183,$A61)</f>
        <v>17</v>
      </c>
      <c r="C61" s="97">
        <f>IFERROR(B61/$B$63,"-")</f>
        <v>9.4972067039106142E-2</v>
      </c>
      <c r="D61" s="99" t="s">
        <v>3541</v>
      </c>
    </row>
    <row r="62" spans="1:5">
      <c r="A62" s="85" t="s">
        <v>3542</v>
      </c>
      <c r="B62" s="88">
        <f>COUNTIF(要件→設計!$G$5:$G$183,$A62)</f>
        <v>0</v>
      </c>
      <c r="C62" s="100">
        <f>IFERROR(B62/$B$63,"-")</f>
        <v>0</v>
      </c>
      <c r="D62" s="95"/>
      <c r="E62" s="61"/>
    </row>
    <row r="63" spans="1:5">
      <c r="A63" s="87" t="s">
        <v>3486</v>
      </c>
      <c r="B63" s="32">
        <f>SUM(B58:B62)</f>
        <v>179</v>
      </c>
      <c r="C63" s="115">
        <f>IFERROR(B63/B63,"-")</f>
        <v>1</v>
      </c>
      <c r="E63" s="32" t="str">
        <f>IF(B63=COUNTA(要件→設計!$A$5:$A$183),"✓ マッピング行数と一致","⚠ 不一致")</f>
        <v>✓ マッピング行数と一致</v>
      </c>
    </row>
    <row r="66" spans="1:5">
      <c r="A66" s="84" t="s">
        <v>3543</v>
      </c>
      <c r="B66" s="59" t="s">
        <v>3533</v>
      </c>
      <c r="C66" s="59" t="s">
        <v>3534</v>
      </c>
      <c r="D66" s="60" t="s">
        <v>3544</v>
      </c>
    </row>
    <row r="67" spans="1:5">
      <c r="A67" s="58" t="s">
        <v>2444</v>
      </c>
      <c r="B67" s="86"/>
      <c r="C67" s="97"/>
      <c r="D67" s="94" t="s">
        <v>3545</v>
      </c>
    </row>
    <row r="68" spans="1:5">
      <c r="A68" s="85" t="s">
        <v>3546</v>
      </c>
      <c r="B68" s="86">
        <f>COUNTA(設計決定一覧!$A$5:$A$189)-COUNTA(設計→要件!$A$6:$A$55)</f>
        <v>135</v>
      </c>
      <c r="C68" s="97">
        <f>IFERROR(B68/$B$74,"-")</f>
        <v>0.72972972972972971</v>
      </c>
      <c r="D68" s="98" t="s">
        <v>3547</v>
      </c>
    </row>
    <row r="69" spans="1:5">
      <c r="A69" s="85" t="s">
        <v>3548</v>
      </c>
      <c r="B69" s="86">
        <f>COUNTIF(設計→要件!$D$6:$D$55,$A69)</f>
        <v>11</v>
      </c>
      <c r="C69" s="97">
        <f>IFERROR(B69/$B$74,"-")</f>
        <v>5.9459459459459463E-2</v>
      </c>
      <c r="D69" s="99" t="s">
        <v>3549</v>
      </c>
    </row>
    <row r="70" spans="1:5">
      <c r="A70" s="85" t="s">
        <v>3550</v>
      </c>
      <c r="B70" s="86">
        <f>COUNTIF(設計→要件!$D$6:$D$55,$A70)</f>
        <v>14</v>
      </c>
      <c r="C70" s="97">
        <f>IFERROR(B70/$B$74,"-")</f>
        <v>7.567567567567568E-2</v>
      </c>
      <c r="D70" s="101" t="s">
        <v>3551</v>
      </c>
    </row>
    <row r="71" spans="1:5">
      <c r="A71" s="85" t="s">
        <v>3552</v>
      </c>
      <c r="B71" s="86">
        <f>COUNTIF(設計→要件!$D$6:$D$55,$A71)</f>
        <v>1</v>
      </c>
      <c r="C71" s="97">
        <f>IFERROR(B71/$B$74,"-")</f>
        <v>5.4054054054054057E-3</v>
      </c>
      <c r="D71" s="94" t="s">
        <v>3553</v>
      </c>
    </row>
    <row r="72" spans="1:5">
      <c r="A72" s="85" t="s">
        <v>3554</v>
      </c>
      <c r="B72" s="86">
        <f>COUNTIF(設計→要件!$D$6:$D$55,$A72)</f>
        <v>23</v>
      </c>
      <c r="C72" s="97">
        <f>IFERROR(B72/$B$74,"-")</f>
        <v>0.12432432432432433</v>
      </c>
      <c r="D72" s="94" t="s">
        <v>3555</v>
      </c>
    </row>
    <row r="73" spans="1:5">
      <c r="A73" s="85" t="s">
        <v>3556</v>
      </c>
      <c r="B73" s="88">
        <f>COUNTIF(設計→要件!$D$6:$D$55,$A73)</f>
        <v>1</v>
      </c>
      <c r="C73" s="100">
        <f>IFERROR(B73/$B$74,"-")</f>
        <v>5.4054054054054057E-3</v>
      </c>
      <c r="D73" s="95"/>
      <c r="E73" s="61"/>
    </row>
    <row r="74" spans="1:5">
      <c r="A74" s="87" t="s">
        <v>3486</v>
      </c>
      <c r="B74" s="32">
        <f>SUM(B68:B73)</f>
        <v>185</v>
      </c>
      <c r="C74" s="115">
        <f>IFERROR(B74/$B$74,"-")</f>
        <v>1</v>
      </c>
      <c r="E74" s="32" t="str">
        <f>IF(B74=COUNTA(設計決定一覧!$A$5:$A$189),"✓ 設計決定の総数と一致","⚠ 不一致")</f>
        <v>✓ 設計決定の総数と一致</v>
      </c>
    </row>
    <row r="75" spans="1:5">
      <c r="B75" s="103"/>
    </row>
    <row r="76" spans="1:5" ht="75">
      <c r="A76" s="102" t="s">
        <v>3557</v>
      </c>
      <c r="B76" s="105" t="s">
        <v>3558</v>
      </c>
    </row>
    <row r="77" spans="1:5" ht="60">
      <c r="A77" s="104" t="s">
        <v>3473</v>
      </c>
      <c r="B77" s="106" t="s">
        <v>3559</v>
      </c>
    </row>
    <row r="78" spans="1:5" ht="60">
      <c r="A78" s="104" t="s">
        <v>3560</v>
      </c>
      <c r="B78" s="105" t="s">
        <v>3561</v>
      </c>
    </row>
    <row r="79" spans="1:5" ht="60">
      <c r="A79" s="107" t="s">
        <v>3562</v>
      </c>
      <c r="B79" s="105" t="s">
        <v>3563</v>
      </c>
    </row>
    <row r="80" spans="1:5" ht="75">
      <c r="A80" s="107" t="s">
        <v>3564</v>
      </c>
      <c r="B80" s="108" t="s">
        <v>3565</v>
      </c>
    </row>
    <row r="81" spans="1:1">
      <c r="A81" s="107" t="s">
        <v>3566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8" t="s">
        <v>2436</v>
      </c>
      <c r="B3" s="79" t="s">
        <v>1543</v>
      </c>
      <c r="C3" s="79" t="s">
        <v>1542</v>
      </c>
      <c r="D3" s="79" t="s">
        <v>10</v>
      </c>
      <c r="E3" s="79" t="s">
        <v>667</v>
      </c>
      <c r="F3" s="79" t="s">
        <v>11</v>
      </c>
      <c r="G3" s="79" t="s">
        <v>3033</v>
      </c>
      <c r="H3" s="79" t="s">
        <v>1544</v>
      </c>
      <c r="I3" s="79" t="s">
        <v>3039</v>
      </c>
      <c r="J3" s="79" t="s">
        <v>3040</v>
      </c>
      <c r="K3" s="79" t="s">
        <v>4116</v>
      </c>
      <c r="L3" s="79" t="s">
        <v>4117</v>
      </c>
      <c r="M3" s="79" t="s">
        <v>4118</v>
      </c>
      <c r="N3" s="79" t="s">
        <v>4277</v>
      </c>
      <c r="O3" s="248" t="s">
        <v>8</v>
      </c>
      <c r="P3" s="248" t="s">
        <v>9</v>
      </c>
      <c r="Q3" s="249" t="s">
        <v>3244</v>
      </c>
      <c r="R3" s="248" t="s">
        <v>2936</v>
      </c>
      <c r="S3" s="248" t="s">
        <v>12</v>
      </c>
      <c r="T3" s="248" t="s">
        <v>3613</v>
      </c>
    </row>
    <row r="4" spans="1:20" ht="58" customHeight="1">
      <c r="A4" s="230" t="s">
        <v>2437</v>
      </c>
      <c r="B4" s="41" t="s">
        <v>5</v>
      </c>
      <c r="C4" s="40" t="s">
        <v>1520</v>
      </c>
      <c r="D4" s="40" t="s">
        <v>15</v>
      </c>
      <c r="E4" s="199" t="s">
        <v>2937</v>
      </c>
      <c r="F4" s="199" t="s">
        <v>3965</v>
      </c>
      <c r="G4" s="243" t="s">
        <v>3026</v>
      </c>
      <c r="H4" s="41" t="s">
        <v>2</v>
      </c>
      <c r="I4" s="246" t="s">
        <v>3034</v>
      </c>
      <c r="J4" s="232" t="s">
        <v>3243</v>
      </c>
      <c r="K4" s="161"/>
      <c r="L4" s="240"/>
      <c r="M4" s="240"/>
      <c r="N4" s="160"/>
      <c r="O4" s="139" t="s">
        <v>13</v>
      </c>
      <c r="P4" s="39" t="s">
        <v>14</v>
      </c>
      <c r="Q4" s="228" t="s">
        <v>3245</v>
      </c>
      <c r="R4" s="200" t="s">
        <v>2938</v>
      </c>
      <c r="S4" s="141" t="s">
        <v>16</v>
      </c>
      <c r="T4" s="241"/>
    </row>
    <row r="5" spans="1:20" ht="58" customHeight="1">
      <c r="A5" s="230" t="s">
        <v>2437</v>
      </c>
      <c r="B5" s="41" t="s">
        <v>5</v>
      </c>
      <c r="C5" s="40" t="s">
        <v>1520</v>
      </c>
      <c r="D5" s="40" t="s">
        <v>18</v>
      </c>
      <c r="E5" s="199" t="s">
        <v>668</v>
      </c>
      <c r="F5" s="199" t="s">
        <v>4076</v>
      </c>
      <c r="G5" s="243" t="s">
        <v>3026</v>
      </c>
      <c r="H5" s="41" t="s">
        <v>2</v>
      </c>
      <c r="I5" s="246" t="s">
        <v>3034</v>
      </c>
      <c r="J5" s="232" t="s">
        <v>3243</v>
      </c>
      <c r="K5" s="161"/>
      <c r="L5" s="240"/>
      <c r="M5" s="240"/>
      <c r="N5" s="160"/>
      <c r="O5" s="139" t="s">
        <v>13</v>
      </c>
      <c r="P5" s="39" t="s">
        <v>17</v>
      </c>
      <c r="Q5" s="228" t="s">
        <v>3245</v>
      </c>
      <c r="R5" s="200" t="s">
        <v>2938</v>
      </c>
      <c r="S5" s="141" t="s">
        <v>16</v>
      </c>
      <c r="T5" s="241"/>
    </row>
    <row r="6" spans="1:20" ht="58" customHeight="1">
      <c r="A6" s="230" t="s">
        <v>2437</v>
      </c>
      <c r="B6" s="41" t="s">
        <v>5</v>
      </c>
      <c r="C6" s="40" t="s">
        <v>1520</v>
      </c>
      <c r="D6" s="40" t="s">
        <v>20</v>
      </c>
      <c r="E6" s="199" t="s">
        <v>669</v>
      </c>
      <c r="F6" s="199" t="s">
        <v>4077</v>
      </c>
      <c r="G6" s="243" t="s">
        <v>3026</v>
      </c>
      <c r="H6" s="41" t="s">
        <v>2</v>
      </c>
      <c r="I6" s="246" t="s">
        <v>3034</v>
      </c>
      <c r="J6" s="232" t="s">
        <v>3243</v>
      </c>
      <c r="K6" s="161"/>
      <c r="L6" s="240"/>
      <c r="M6" s="240"/>
      <c r="N6" s="160"/>
      <c r="O6" s="139" t="s">
        <v>13</v>
      </c>
      <c r="P6" s="39" t="s">
        <v>19</v>
      </c>
      <c r="Q6" s="228" t="s">
        <v>3245</v>
      </c>
      <c r="R6" s="200" t="s">
        <v>2939</v>
      </c>
      <c r="S6" s="141" t="s">
        <v>16</v>
      </c>
      <c r="T6" s="241"/>
    </row>
    <row r="7" spans="1:20" ht="58" customHeight="1">
      <c r="A7" s="230" t="s">
        <v>2437</v>
      </c>
      <c r="B7" s="41" t="s">
        <v>5</v>
      </c>
      <c r="C7" s="40" t="s">
        <v>1520</v>
      </c>
      <c r="D7" s="40" t="s">
        <v>22</v>
      </c>
      <c r="E7" s="199" t="s">
        <v>670</v>
      </c>
      <c r="F7" s="199" t="s">
        <v>3966</v>
      </c>
      <c r="G7" s="243" t="s">
        <v>3027</v>
      </c>
      <c r="H7" s="41" t="s">
        <v>958</v>
      </c>
      <c r="I7" s="246" t="s">
        <v>3035</v>
      </c>
      <c r="J7" s="232" t="s">
        <v>3243</v>
      </c>
      <c r="K7" s="161"/>
      <c r="L7" s="240"/>
      <c r="M7" s="240"/>
      <c r="N7" s="160"/>
      <c r="O7" s="139" t="s">
        <v>13</v>
      </c>
      <c r="P7" s="39" t="s">
        <v>21</v>
      </c>
      <c r="Q7" s="228" t="s">
        <v>3245</v>
      </c>
      <c r="R7" s="200" t="s">
        <v>2940</v>
      </c>
      <c r="S7" s="141" t="s">
        <v>16</v>
      </c>
      <c r="T7" s="241"/>
    </row>
    <row r="8" spans="1:20" ht="58" customHeight="1">
      <c r="A8" s="230" t="s">
        <v>2437</v>
      </c>
      <c r="B8" s="41" t="s">
        <v>5</v>
      </c>
      <c r="C8" s="40" t="s">
        <v>1520</v>
      </c>
      <c r="D8" s="40" t="s">
        <v>24</v>
      </c>
      <c r="E8" s="199" t="s">
        <v>671</v>
      </c>
      <c r="F8" s="199" t="s">
        <v>3967</v>
      </c>
      <c r="G8" s="243" t="s">
        <v>3028</v>
      </c>
      <c r="H8" s="41" t="s">
        <v>1522</v>
      </c>
      <c r="I8" s="246" t="s">
        <v>4500</v>
      </c>
      <c r="J8" s="232" t="s">
        <v>3827</v>
      </c>
      <c r="K8" s="161" t="s">
        <v>4286</v>
      </c>
      <c r="L8" s="240" t="s">
        <v>4408</v>
      </c>
      <c r="M8" s="240" t="s">
        <v>4409</v>
      </c>
      <c r="N8" s="160" t="s">
        <v>4279</v>
      </c>
      <c r="O8" s="139" t="s">
        <v>13</v>
      </c>
      <c r="P8" s="39" t="s">
        <v>23</v>
      </c>
      <c r="Q8" s="228" t="s">
        <v>3245</v>
      </c>
      <c r="R8" s="200" t="s">
        <v>2941</v>
      </c>
      <c r="S8" s="141" t="s">
        <v>16</v>
      </c>
      <c r="T8" s="241"/>
    </row>
    <row r="9" spans="1:20" ht="58" customHeight="1">
      <c r="A9" s="230" t="s">
        <v>2437</v>
      </c>
      <c r="B9" s="41" t="s">
        <v>5</v>
      </c>
      <c r="C9" s="40" t="s">
        <v>1520</v>
      </c>
      <c r="D9" s="40" t="s">
        <v>26</v>
      </c>
      <c r="E9" s="199" t="s">
        <v>672</v>
      </c>
      <c r="F9" s="199" t="s">
        <v>4114</v>
      </c>
      <c r="G9" s="243" t="s">
        <v>4115</v>
      </c>
      <c r="H9" s="41" t="s">
        <v>958</v>
      </c>
      <c r="I9" s="246" t="s">
        <v>3035</v>
      </c>
      <c r="J9" s="232" t="s">
        <v>3942</v>
      </c>
      <c r="K9" s="161" t="s">
        <v>958</v>
      </c>
      <c r="L9" s="240"/>
      <c r="M9" s="240"/>
      <c r="N9" s="160"/>
      <c r="O9" s="139" t="s">
        <v>13</v>
      </c>
      <c r="P9" s="39" t="s">
        <v>25</v>
      </c>
      <c r="Q9" s="228" t="s">
        <v>3245</v>
      </c>
      <c r="R9" s="200" t="s">
        <v>446</v>
      </c>
      <c r="S9" s="141" t="s">
        <v>16</v>
      </c>
      <c r="T9" s="241"/>
    </row>
    <row r="10" spans="1:20" ht="58" customHeight="1">
      <c r="A10" s="230" t="s">
        <v>2437</v>
      </c>
      <c r="B10" s="41" t="s">
        <v>5</v>
      </c>
      <c r="C10" s="40" t="s">
        <v>1520</v>
      </c>
      <c r="D10" s="40" t="s">
        <v>28</v>
      </c>
      <c r="E10" s="199" t="s">
        <v>673</v>
      </c>
      <c r="F10" s="199" t="s">
        <v>4300</v>
      </c>
      <c r="G10" s="243" t="s">
        <v>4301</v>
      </c>
      <c r="H10" s="41" t="s">
        <v>958</v>
      </c>
      <c r="I10" s="246" t="s">
        <v>3035</v>
      </c>
      <c r="J10" s="232" t="s">
        <v>3243</v>
      </c>
      <c r="K10" s="161"/>
      <c r="L10" s="240"/>
      <c r="M10" s="240"/>
      <c r="N10" s="160"/>
      <c r="O10" s="139" t="s">
        <v>13</v>
      </c>
      <c r="P10" s="39" t="s">
        <v>27</v>
      </c>
      <c r="Q10" s="228" t="s">
        <v>3245</v>
      </c>
      <c r="R10" s="200" t="s">
        <v>446</v>
      </c>
      <c r="S10" s="141" t="s">
        <v>16</v>
      </c>
      <c r="T10" s="241"/>
    </row>
    <row r="11" spans="1:20" ht="58" customHeight="1">
      <c r="A11" s="230" t="s">
        <v>2437</v>
      </c>
      <c r="B11" s="41" t="s">
        <v>5</v>
      </c>
      <c r="C11" s="40" t="s">
        <v>1520</v>
      </c>
      <c r="D11" s="40" t="s">
        <v>30</v>
      </c>
      <c r="E11" s="199" t="s">
        <v>674</v>
      </c>
      <c r="F11" s="199" t="s">
        <v>3968</v>
      </c>
      <c r="G11" s="243" t="s">
        <v>3026</v>
      </c>
      <c r="H11" s="41" t="s">
        <v>2</v>
      </c>
      <c r="I11" s="246" t="s">
        <v>3034</v>
      </c>
      <c r="J11" s="232" t="s">
        <v>3243</v>
      </c>
      <c r="K11" s="161"/>
      <c r="L11" s="240"/>
      <c r="M11" s="240"/>
      <c r="N11" s="160"/>
      <c r="O11" s="139" t="s">
        <v>13</v>
      </c>
      <c r="P11" s="39" t="s">
        <v>29</v>
      </c>
      <c r="Q11" s="228" t="s">
        <v>3245</v>
      </c>
      <c r="R11" s="200" t="s">
        <v>2938</v>
      </c>
      <c r="S11" s="141" t="s">
        <v>16</v>
      </c>
      <c r="T11" s="241"/>
    </row>
    <row r="12" spans="1:20" ht="58" customHeight="1">
      <c r="A12" s="230" t="s">
        <v>2437</v>
      </c>
      <c r="B12" s="41" t="s">
        <v>5</v>
      </c>
      <c r="C12" s="40" t="s">
        <v>1520</v>
      </c>
      <c r="D12" s="40" t="s">
        <v>33</v>
      </c>
      <c r="E12" s="199" t="s">
        <v>675</v>
      </c>
      <c r="F12" s="199" t="s">
        <v>3969</v>
      </c>
      <c r="G12" s="243" t="s">
        <v>3026</v>
      </c>
      <c r="H12" s="41" t="s">
        <v>2</v>
      </c>
      <c r="I12" s="246" t="s">
        <v>3034</v>
      </c>
      <c r="J12" s="232" t="s">
        <v>3243</v>
      </c>
      <c r="K12" s="161"/>
      <c r="L12" s="240"/>
      <c r="M12" s="240"/>
      <c r="N12" s="160"/>
      <c r="O12" s="139" t="s">
        <v>31</v>
      </c>
      <c r="P12" s="39" t="s">
        <v>32</v>
      </c>
      <c r="Q12" s="228" t="s">
        <v>3245</v>
      </c>
      <c r="R12" s="200" t="s">
        <v>2942</v>
      </c>
      <c r="S12" s="141" t="s">
        <v>34</v>
      </c>
      <c r="T12" s="241"/>
    </row>
    <row r="13" spans="1:20" ht="58" customHeight="1">
      <c r="A13" s="230" t="s">
        <v>2437</v>
      </c>
      <c r="B13" s="41" t="s">
        <v>5</v>
      </c>
      <c r="C13" s="40" t="s">
        <v>1520</v>
      </c>
      <c r="D13" s="40" t="s">
        <v>36</v>
      </c>
      <c r="E13" s="199" t="s">
        <v>676</v>
      </c>
      <c r="F13" s="199" t="s">
        <v>3970</v>
      </c>
      <c r="G13" s="243" t="s">
        <v>3029</v>
      </c>
      <c r="H13" s="41" t="s">
        <v>1522</v>
      </c>
      <c r="I13" s="246" t="s">
        <v>3036</v>
      </c>
      <c r="J13" s="232" t="s">
        <v>3828</v>
      </c>
      <c r="K13" s="161" t="s">
        <v>4258</v>
      </c>
      <c r="L13" s="240" t="s">
        <v>4364</v>
      </c>
      <c r="M13" s="240" t="s">
        <v>4365</v>
      </c>
      <c r="N13" s="160" t="s">
        <v>4279</v>
      </c>
      <c r="O13" s="139" t="s">
        <v>31</v>
      </c>
      <c r="P13" s="39" t="s">
        <v>35</v>
      </c>
      <c r="Q13" s="228" t="s">
        <v>3245</v>
      </c>
      <c r="R13" s="200" t="s">
        <v>2943</v>
      </c>
      <c r="S13" s="141" t="s">
        <v>34</v>
      </c>
      <c r="T13" s="241"/>
    </row>
    <row r="14" spans="1:20" ht="58" customHeight="1">
      <c r="A14" s="230" t="s">
        <v>2437</v>
      </c>
      <c r="B14" s="41" t="s">
        <v>5</v>
      </c>
      <c r="C14" s="40" t="s">
        <v>1520</v>
      </c>
      <c r="D14" s="40" t="s">
        <v>4162</v>
      </c>
      <c r="E14" s="199" t="s">
        <v>677</v>
      </c>
      <c r="F14" s="199" t="s">
        <v>3971</v>
      </c>
      <c r="G14" s="243" t="s">
        <v>3029</v>
      </c>
      <c r="H14" s="41" t="s">
        <v>1522</v>
      </c>
      <c r="I14" s="246" t="s">
        <v>3036</v>
      </c>
      <c r="J14" s="232" t="s">
        <v>3829</v>
      </c>
      <c r="K14" s="161" t="s">
        <v>4163</v>
      </c>
      <c r="L14" s="240" t="s">
        <v>4366</v>
      </c>
      <c r="M14" s="240" t="s">
        <v>4367</v>
      </c>
      <c r="N14" s="160" t="s">
        <v>4279</v>
      </c>
      <c r="O14" s="139" t="s">
        <v>31</v>
      </c>
      <c r="P14" s="39" t="s">
        <v>4161</v>
      </c>
      <c r="Q14" s="228" t="s">
        <v>3245</v>
      </c>
      <c r="R14" s="200" t="s">
        <v>2943</v>
      </c>
      <c r="S14" s="141" t="s">
        <v>34</v>
      </c>
      <c r="T14" s="241"/>
    </row>
    <row r="15" spans="1:20" ht="58" customHeight="1">
      <c r="A15" s="230" t="s">
        <v>2437</v>
      </c>
      <c r="B15" s="41" t="s">
        <v>5</v>
      </c>
      <c r="C15" s="40" t="s">
        <v>1520</v>
      </c>
      <c r="D15" s="40" t="s">
        <v>4164</v>
      </c>
      <c r="E15" s="199" t="s">
        <v>677</v>
      </c>
      <c r="F15" s="199" t="s">
        <v>3971</v>
      </c>
      <c r="G15" s="243" t="s">
        <v>3029</v>
      </c>
      <c r="H15" s="41" t="s">
        <v>1522</v>
      </c>
      <c r="I15" s="246" t="s">
        <v>3036</v>
      </c>
      <c r="J15" s="232" t="s">
        <v>3829</v>
      </c>
      <c r="K15" s="161" t="s">
        <v>4166</v>
      </c>
      <c r="L15" s="240" t="s">
        <v>4386</v>
      </c>
      <c r="M15" s="240" t="s">
        <v>4387</v>
      </c>
      <c r="N15" s="160" t="s">
        <v>4280</v>
      </c>
      <c r="O15" s="139" t="s">
        <v>31</v>
      </c>
      <c r="P15" s="39" t="s">
        <v>4165</v>
      </c>
      <c r="Q15" s="228" t="s">
        <v>3245</v>
      </c>
      <c r="R15" s="200" t="s">
        <v>2943</v>
      </c>
      <c r="S15" s="141" t="s">
        <v>34</v>
      </c>
      <c r="T15" s="241"/>
    </row>
    <row r="16" spans="1:20" ht="58" customHeight="1">
      <c r="A16" s="230" t="s">
        <v>2437</v>
      </c>
      <c r="B16" s="41" t="s">
        <v>5</v>
      </c>
      <c r="C16" s="40" t="s">
        <v>1520</v>
      </c>
      <c r="D16" s="40" t="s">
        <v>39</v>
      </c>
      <c r="E16" s="199" t="s">
        <v>678</v>
      </c>
      <c r="F16" s="199" t="s">
        <v>3972</v>
      </c>
      <c r="G16" s="243" t="s">
        <v>3029</v>
      </c>
      <c r="H16" s="41" t="s">
        <v>1522</v>
      </c>
      <c r="I16" s="246" t="s">
        <v>3036</v>
      </c>
      <c r="J16" s="232" t="s">
        <v>3830</v>
      </c>
      <c r="K16" s="161" t="s">
        <v>4259</v>
      </c>
      <c r="L16" s="240" t="s">
        <v>4368</v>
      </c>
      <c r="M16" s="240" t="s">
        <v>4369</v>
      </c>
      <c r="N16" s="160" t="s">
        <v>4279</v>
      </c>
      <c r="O16" s="139" t="s">
        <v>31</v>
      </c>
      <c r="P16" s="39" t="s">
        <v>38</v>
      </c>
      <c r="Q16" s="228" t="s">
        <v>3245</v>
      </c>
      <c r="R16" s="200" t="s">
        <v>2943</v>
      </c>
      <c r="S16" s="141" t="s">
        <v>34</v>
      </c>
      <c r="T16" s="241"/>
    </row>
    <row r="17" spans="1:20" ht="58" customHeight="1">
      <c r="A17" s="230" t="s">
        <v>2437</v>
      </c>
      <c r="B17" s="41" t="s">
        <v>5</v>
      </c>
      <c r="C17" s="40" t="s">
        <v>1520</v>
      </c>
      <c r="D17" s="40" t="s">
        <v>4168</v>
      </c>
      <c r="E17" s="199" t="s">
        <v>679</v>
      </c>
      <c r="F17" s="199" t="s">
        <v>4078</v>
      </c>
      <c r="G17" s="243" t="s">
        <v>3029</v>
      </c>
      <c r="H17" s="41" t="s">
        <v>1522</v>
      </c>
      <c r="I17" s="246" t="s">
        <v>3036</v>
      </c>
      <c r="J17" s="232" t="s">
        <v>3831</v>
      </c>
      <c r="K17" s="161" t="s">
        <v>4169</v>
      </c>
      <c r="L17" s="240" t="s">
        <v>4370</v>
      </c>
      <c r="M17" s="240" t="s">
        <v>4371</v>
      </c>
      <c r="N17" s="160" t="s">
        <v>4279</v>
      </c>
      <c r="O17" s="139" t="s">
        <v>31</v>
      </c>
      <c r="P17" s="39" t="s">
        <v>4167</v>
      </c>
      <c r="Q17" s="228" t="s">
        <v>3245</v>
      </c>
      <c r="R17" s="200" t="s">
        <v>2943</v>
      </c>
      <c r="S17" s="141" t="s">
        <v>34</v>
      </c>
      <c r="T17" s="241"/>
    </row>
    <row r="18" spans="1:20" ht="58" customHeight="1">
      <c r="A18" s="230" t="s">
        <v>2437</v>
      </c>
      <c r="B18" s="41" t="s">
        <v>5</v>
      </c>
      <c r="C18" s="40" t="s">
        <v>1520</v>
      </c>
      <c r="D18" s="40" t="s">
        <v>4170</v>
      </c>
      <c r="E18" s="199" t="s">
        <v>679</v>
      </c>
      <c r="F18" s="199" t="s">
        <v>4078</v>
      </c>
      <c r="G18" s="243" t="s">
        <v>3029</v>
      </c>
      <c r="H18" s="41" t="s">
        <v>1522</v>
      </c>
      <c r="I18" s="246" t="s">
        <v>3036</v>
      </c>
      <c r="J18" s="232" t="s">
        <v>3831</v>
      </c>
      <c r="K18" s="161" t="s">
        <v>4172</v>
      </c>
      <c r="L18" s="240" t="s">
        <v>4372</v>
      </c>
      <c r="M18" s="240" t="s">
        <v>4373</v>
      </c>
      <c r="N18" s="160" t="s">
        <v>4279</v>
      </c>
      <c r="O18" s="139" t="s">
        <v>31</v>
      </c>
      <c r="P18" s="39" t="s">
        <v>4171</v>
      </c>
      <c r="Q18" s="228" t="s">
        <v>3245</v>
      </c>
      <c r="R18" s="200" t="s">
        <v>2943</v>
      </c>
      <c r="S18" s="141" t="s">
        <v>34</v>
      </c>
      <c r="T18" s="241"/>
    </row>
    <row r="19" spans="1:20" ht="58" customHeight="1">
      <c r="A19" s="230" t="s">
        <v>2437</v>
      </c>
      <c r="B19" s="41" t="s">
        <v>5</v>
      </c>
      <c r="C19" s="40" t="s">
        <v>1520</v>
      </c>
      <c r="D19" s="40" t="s">
        <v>42</v>
      </c>
      <c r="E19" s="199" t="s">
        <v>680</v>
      </c>
      <c r="F19" s="199" t="s">
        <v>4079</v>
      </c>
      <c r="G19" s="243" t="s">
        <v>3029</v>
      </c>
      <c r="H19" s="41" t="s">
        <v>1522</v>
      </c>
      <c r="I19" s="246" t="s">
        <v>3036</v>
      </c>
      <c r="J19" s="232" t="s">
        <v>3832</v>
      </c>
      <c r="K19" s="161" t="s">
        <v>4264</v>
      </c>
      <c r="L19" s="240" t="s">
        <v>4388</v>
      </c>
      <c r="M19" s="240" t="s">
        <v>4389</v>
      </c>
      <c r="N19" s="160" t="s">
        <v>4280</v>
      </c>
      <c r="O19" s="139" t="s">
        <v>31</v>
      </c>
      <c r="P19" s="39" t="s">
        <v>41</v>
      </c>
      <c r="Q19" s="228" t="s">
        <v>3245</v>
      </c>
      <c r="R19" s="200" t="s">
        <v>2943</v>
      </c>
      <c r="S19" s="141" t="s">
        <v>34</v>
      </c>
      <c r="T19" s="241"/>
    </row>
    <row r="20" spans="1:20" ht="58" customHeight="1">
      <c r="A20" s="230" t="s">
        <v>2437</v>
      </c>
      <c r="B20" s="41" t="s">
        <v>5</v>
      </c>
      <c r="C20" s="40" t="s">
        <v>1523</v>
      </c>
      <c r="D20" s="40" t="s">
        <v>45</v>
      </c>
      <c r="E20" s="199" t="s">
        <v>681</v>
      </c>
      <c r="F20" s="199" t="s">
        <v>3973</v>
      </c>
      <c r="G20" s="243" t="s">
        <v>3029</v>
      </c>
      <c r="H20" s="41" t="s">
        <v>1522</v>
      </c>
      <c r="I20" s="246" t="s">
        <v>3036</v>
      </c>
      <c r="J20" s="232" t="s">
        <v>3833</v>
      </c>
      <c r="K20" s="161" t="s">
        <v>4249</v>
      </c>
      <c r="L20" s="240" t="s">
        <v>4330</v>
      </c>
      <c r="M20" s="240" t="s">
        <v>4331</v>
      </c>
      <c r="N20" s="160" t="s">
        <v>4278</v>
      </c>
      <c r="O20" s="139" t="s">
        <v>43</v>
      </c>
      <c r="P20" s="39" t="s">
        <v>44</v>
      </c>
      <c r="Q20" s="228" t="s">
        <v>3245</v>
      </c>
      <c r="R20" s="200" t="s">
        <v>2943</v>
      </c>
      <c r="S20" s="141" t="s">
        <v>46</v>
      </c>
      <c r="T20" s="241"/>
    </row>
    <row r="21" spans="1:20" ht="58" customHeight="1">
      <c r="A21" s="230" t="s">
        <v>2437</v>
      </c>
      <c r="B21" s="41" t="s">
        <v>5</v>
      </c>
      <c r="C21" s="40" t="s">
        <v>1523</v>
      </c>
      <c r="D21" s="40" t="s">
        <v>48</v>
      </c>
      <c r="E21" s="199" t="s">
        <v>682</v>
      </c>
      <c r="F21" s="199" t="s">
        <v>3974</v>
      </c>
      <c r="G21" s="243" t="s">
        <v>3029</v>
      </c>
      <c r="H21" s="41" t="s">
        <v>1522</v>
      </c>
      <c r="I21" s="246" t="s">
        <v>3036</v>
      </c>
      <c r="J21" s="232" t="s">
        <v>3834</v>
      </c>
      <c r="K21" s="161" t="s">
        <v>4250</v>
      </c>
      <c r="L21" s="240" t="s">
        <v>4332</v>
      </c>
      <c r="M21" s="240" t="s">
        <v>4333</v>
      </c>
      <c r="N21" s="160" t="s">
        <v>4278</v>
      </c>
      <c r="O21" s="139" t="s">
        <v>43</v>
      </c>
      <c r="P21" s="39" t="s">
        <v>47</v>
      </c>
      <c r="Q21" s="228" t="s">
        <v>3245</v>
      </c>
      <c r="R21" s="200" t="s">
        <v>2943</v>
      </c>
      <c r="S21" s="141" t="s">
        <v>46</v>
      </c>
      <c r="T21" s="241"/>
    </row>
    <row r="22" spans="1:20" ht="58" customHeight="1">
      <c r="A22" s="230" t="s">
        <v>2437</v>
      </c>
      <c r="B22" s="41" t="s">
        <v>5</v>
      </c>
      <c r="C22" s="40" t="s">
        <v>1523</v>
      </c>
      <c r="D22" s="40" t="s">
        <v>50</v>
      </c>
      <c r="E22" s="199" t="s">
        <v>683</v>
      </c>
      <c r="F22" s="199" t="s">
        <v>3975</v>
      </c>
      <c r="G22" s="243" t="s">
        <v>3029</v>
      </c>
      <c r="H22" s="41" t="s">
        <v>1522</v>
      </c>
      <c r="I22" s="246" t="s">
        <v>3036</v>
      </c>
      <c r="J22" s="232" t="s">
        <v>3835</v>
      </c>
      <c r="K22" s="161" t="s">
        <v>4251</v>
      </c>
      <c r="L22" s="240" t="s">
        <v>4334</v>
      </c>
      <c r="M22" s="240" t="s">
        <v>4335</v>
      </c>
      <c r="N22" s="160" t="s">
        <v>4278</v>
      </c>
      <c r="O22" s="139" t="s">
        <v>43</v>
      </c>
      <c r="P22" s="39" t="s">
        <v>49</v>
      </c>
      <c r="Q22" s="228" t="s">
        <v>3245</v>
      </c>
      <c r="R22" s="200" t="s">
        <v>2943</v>
      </c>
      <c r="S22" s="141" t="s">
        <v>46</v>
      </c>
      <c r="T22" s="241"/>
    </row>
    <row r="23" spans="1:20" ht="58" customHeight="1">
      <c r="A23" s="230" t="s">
        <v>2437</v>
      </c>
      <c r="B23" s="41" t="s">
        <v>5</v>
      </c>
      <c r="C23" s="40" t="s">
        <v>1523</v>
      </c>
      <c r="D23" s="40" t="s">
        <v>52</v>
      </c>
      <c r="E23" s="199" t="s">
        <v>684</v>
      </c>
      <c r="F23" s="199" t="s">
        <v>3976</v>
      </c>
      <c r="G23" s="243" t="s">
        <v>3029</v>
      </c>
      <c r="H23" s="41" t="s">
        <v>1522</v>
      </c>
      <c r="I23" s="246" t="s">
        <v>3036</v>
      </c>
      <c r="J23" s="232" t="s">
        <v>3836</v>
      </c>
      <c r="K23" s="161" t="s">
        <v>4252</v>
      </c>
      <c r="L23" s="240" t="s">
        <v>4336</v>
      </c>
      <c r="M23" s="240" t="s">
        <v>4337</v>
      </c>
      <c r="N23" s="160" t="s">
        <v>4278</v>
      </c>
      <c r="O23" s="139" t="s">
        <v>43</v>
      </c>
      <c r="P23" s="39" t="s">
        <v>51</v>
      </c>
      <c r="Q23" s="228" t="s">
        <v>3245</v>
      </c>
      <c r="R23" s="200" t="s">
        <v>2943</v>
      </c>
      <c r="S23" s="141" t="s">
        <v>46</v>
      </c>
      <c r="T23" s="241"/>
    </row>
    <row r="24" spans="1:20" ht="58" customHeight="1">
      <c r="A24" s="230" t="s">
        <v>2437</v>
      </c>
      <c r="B24" s="41" t="s">
        <v>5</v>
      </c>
      <c r="C24" s="40" t="s">
        <v>1523</v>
      </c>
      <c r="D24" s="40" t="s">
        <v>54</v>
      </c>
      <c r="E24" s="199" t="s">
        <v>685</v>
      </c>
      <c r="F24" s="199" t="s">
        <v>3975</v>
      </c>
      <c r="G24" s="243" t="s">
        <v>3028</v>
      </c>
      <c r="H24" s="41" t="s">
        <v>1522</v>
      </c>
      <c r="I24" s="246" t="s">
        <v>3036</v>
      </c>
      <c r="J24" s="232" t="s">
        <v>3837</v>
      </c>
      <c r="K24" s="161" t="s">
        <v>4542</v>
      </c>
      <c r="L24" s="240" t="s">
        <v>4543</v>
      </c>
      <c r="M24" s="240"/>
      <c r="N24" s="160" t="s">
        <v>4278</v>
      </c>
      <c r="O24" s="139" t="s">
        <v>43</v>
      </c>
      <c r="P24" s="39" t="s">
        <v>53</v>
      </c>
      <c r="Q24" s="228" t="s">
        <v>3245</v>
      </c>
      <c r="R24" s="200" t="s">
        <v>2985</v>
      </c>
      <c r="S24" s="141" t="s">
        <v>46</v>
      </c>
      <c r="T24" s="241"/>
    </row>
    <row r="25" spans="1:20" ht="58" customHeight="1">
      <c r="A25" s="230" t="s">
        <v>2437</v>
      </c>
      <c r="B25" s="41" t="s">
        <v>5</v>
      </c>
      <c r="C25" s="40" t="s">
        <v>1523</v>
      </c>
      <c r="D25" s="40" t="s">
        <v>56</v>
      </c>
      <c r="E25" s="199" t="s">
        <v>686</v>
      </c>
      <c r="F25" s="199" t="s">
        <v>3977</v>
      </c>
      <c r="G25" s="243" t="s">
        <v>3028</v>
      </c>
      <c r="H25" s="41" t="s">
        <v>1522</v>
      </c>
      <c r="I25" s="246" t="s">
        <v>4500</v>
      </c>
      <c r="J25" s="232" t="s">
        <v>3838</v>
      </c>
      <c r="K25" s="161" t="s">
        <v>4281</v>
      </c>
      <c r="L25" s="240" t="s">
        <v>4398</v>
      </c>
      <c r="M25" s="240" t="s">
        <v>4399</v>
      </c>
      <c r="N25" s="160" t="s">
        <v>4278</v>
      </c>
      <c r="O25" s="139" t="s">
        <v>43</v>
      </c>
      <c r="P25" s="39" t="s">
        <v>55</v>
      </c>
      <c r="Q25" s="228" t="s">
        <v>3245</v>
      </c>
      <c r="R25" s="200" t="s">
        <v>2985</v>
      </c>
      <c r="S25" s="141" t="s">
        <v>46</v>
      </c>
      <c r="T25" s="241"/>
    </row>
    <row r="26" spans="1:20" ht="58" customHeight="1">
      <c r="A26" s="230" t="s">
        <v>2437</v>
      </c>
      <c r="B26" s="41" t="s">
        <v>5</v>
      </c>
      <c r="C26" s="40" t="s">
        <v>1523</v>
      </c>
      <c r="D26" s="40" t="s">
        <v>58</v>
      </c>
      <c r="E26" s="199" t="s">
        <v>687</v>
      </c>
      <c r="F26" s="199" t="s">
        <v>3961</v>
      </c>
      <c r="G26" s="243" t="s">
        <v>4560</v>
      </c>
      <c r="H26" s="41" t="s">
        <v>2</v>
      </c>
      <c r="I26" s="246" t="s">
        <v>3034</v>
      </c>
      <c r="J26" s="232" t="s">
        <v>3243</v>
      </c>
      <c r="K26" s="161"/>
      <c r="L26" s="240"/>
      <c r="M26" s="240"/>
      <c r="N26" s="160"/>
      <c r="O26" s="139" t="s">
        <v>43</v>
      </c>
      <c r="P26" s="39" t="s">
        <v>57</v>
      </c>
      <c r="Q26" s="228" t="s">
        <v>3245</v>
      </c>
      <c r="R26" s="200" t="s">
        <v>2945</v>
      </c>
      <c r="S26" s="141" t="s">
        <v>46</v>
      </c>
      <c r="T26" s="241"/>
    </row>
    <row r="27" spans="1:20" ht="58" customHeight="1">
      <c r="A27" s="230" t="s">
        <v>2437</v>
      </c>
      <c r="B27" s="41" t="s">
        <v>5</v>
      </c>
      <c r="C27" s="40" t="s">
        <v>1523</v>
      </c>
      <c r="D27" s="40" t="s">
        <v>62</v>
      </c>
      <c r="E27" s="199" t="s">
        <v>3767</v>
      </c>
      <c r="F27" s="199" t="s">
        <v>3352</v>
      </c>
      <c r="G27" s="243" t="s">
        <v>3353</v>
      </c>
      <c r="H27" s="41" t="s">
        <v>1522</v>
      </c>
      <c r="I27" s="246" t="s">
        <v>3036</v>
      </c>
      <c r="J27" s="232" t="s">
        <v>4087</v>
      </c>
      <c r="K27" s="161" t="s">
        <v>4558</v>
      </c>
      <c r="L27" s="240" t="s">
        <v>4559</v>
      </c>
      <c r="M27" s="240"/>
      <c r="N27" s="160" t="s">
        <v>4278</v>
      </c>
      <c r="O27" s="139" t="s">
        <v>60</v>
      </c>
      <c r="P27" s="39" t="s">
        <v>61</v>
      </c>
      <c r="Q27" s="228" t="s">
        <v>3245</v>
      </c>
      <c r="R27" s="200" t="s">
        <v>2946</v>
      </c>
      <c r="S27" s="141" t="s">
        <v>63</v>
      </c>
      <c r="T27" s="241"/>
    </row>
    <row r="28" spans="1:20" ht="58" customHeight="1">
      <c r="A28" s="230" t="s">
        <v>2437</v>
      </c>
      <c r="B28" s="41" t="s">
        <v>5</v>
      </c>
      <c r="C28" s="40" t="s">
        <v>1523</v>
      </c>
      <c r="D28" s="40" t="s">
        <v>4144</v>
      </c>
      <c r="E28" s="199" t="s">
        <v>3769</v>
      </c>
      <c r="F28" s="199" t="s">
        <v>3978</v>
      </c>
      <c r="G28" s="243" t="s">
        <v>3029</v>
      </c>
      <c r="H28" s="41" t="s">
        <v>1522</v>
      </c>
      <c r="I28" s="246" t="s">
        <v>4113</v>
      </c>
      <c r="J28" s="232" t="s">
        <v>3839</v>
      </c>
      <c r="K28" s="161" t="s">
        <v>4145</v>
      </c>
      <c r="L28" s="240" t="s">
        <v>4344</v>
      </c>
      <c r="M28" s="240" t="s">
        <v>4345</v>
      </c>
      <c r="N28" s="160" t="s">
        <v>4279</v>
      </c>
      <c r="O28" s="139" t="s">
        <v>60</v>
      </c>
      <c r="P28" s="39" t="s">
        <v>4143</v>
      </c>
      <c r="Q28" s="228" t="s">
        <v>3245</v>
      </c>
      <c r="R28" s="200" t="s">
        <v>2947</v>
      </c>
      <c r="S28" s="141" t="s">
        <v>63</v>
      </c>
      <c r="T28" s="241"/>
    </row>
    <row r="29" spans="1:20" ht="58" customHeight="1">
      <c r="A29" s="230" t="s">
        <v>2437</v>
      </c>
      <c r="B29" s="41" t="s">
        <v>5</v>
      </c>
      <c r="C29" s="40" t="s">
        <v>1523</v>
      </c>
      <c r="D29" s="40" t="s">
        <v>4146</v>
      </c>
      <c r="E29" s="199" t="s">
        <v>3769</v>
      </c>
      <c r="F29" s="199" t="s">
        <v>3978</v>
      </c>
      <c r="G29" s="243" t="s">
        <v>3029</v>
      </c>
      <c r="H29" s="41" t="s">
        <v>1522</v>
      </c>
      <c r="I29" s="246" t="s">
        <v>4113</v>
      </c>
      <c r="J29" s="232" t="s">
        <v>3839</v>
      </c>
      <c r="K29" s="161" t="s">
        <v>4148</v>
      </c>
      <c r="L29" s="240" t="s">
        <v>4346</v>
      </c>
      <c r="M29" s="240" t="s">
        <v>4347</v>
      </c>
      <c r="N29" s="160" t="s">
        <v>4279</v>
      </c>
      <c r="O29" s="139" t="s">
        <v>60</v>
      </c>
      <c r="P29" s="39" t="s">
        <v>4147</v>
      </c>
      <c r="Q29" s="228" t="s">
        <v>3245</v>
      </c>
      <c r="R29" s="200" t="s">
        <v>2947</v>
      </c>
      <c r="S29" s="141" t="s">
        <v>63</v>
      </c>
      <c r="T29" s="241"/>
    </row>
    <row r="30" spans="1:20" ht="58" customHeight="1">
      <c r="A30" s="230" t="s">
        <v>2437</v>
      </c>
      <c r="B30" s="41" t="s">
        <v>5</v>
      </c>
      <c r="C30" s="40" t="s">
        <v>1523</v>
      </c>
      <c r="D30" s="40" t="s">
        <v>69</v>
      </c>
      <c r="E30" s="199" t="s">
        <v>690</v>
      </c>
      <c r="F30" s="199" t="s">
        <v>3979</v>
      </c>
      <c r="G30" s="243" t="s">
        <v>3026</v>
      </c>
      <c r="H30" s="41" t="s">
        <v>2</v>
      </c>
      <c r="I30" s="246" t="s">
        <v>3034</v>
      </c>
      <c r="J30" s="232" t="s">
        <v>3243</v>
      </c>
      <c r="K30" s="161"/>
      <c r="L30" s="240"/>
      <c r="M30" s="240"/>
      <c r="N30" s="160"/>
      <c r="O30" s="139" t="s">
        <v>67</v>
      </c>
      <c r="P30" s="39" t="s">
        <v>68</v>
      </c>
      <c r="Q30" s="228" t="s">
        <v>3245</v>
      </c>
      <c r="R30" s="200" t="s">
        <v>2948</v>
      </c>
      <c r="S30" s="141" t="s">
        <v>70</v>
      </c>
      <c r="T30" s="241"/>
    </row>
    <row r="31" spans="1:20" ht="58" customHeight="1">
      <c r="A31" s="230" t="s">
        <v>2437</v>
      </c>
      <c r="B31" s="41" t="s">
        <v>5</v>
      </c>
      <c r="C31" s="40" t="s">
        <v>1523</v>
      </c>
      <c r="D31" s="40" t="s">
        <v>72</v>
      </c>
      <c r="E31" s="199" t="s">
        <v>691</v>
      </c>
      <c r="F31" s="199" t="s">
        <v>3980</v>
      </c>
      <c r="G31" s="243" t="s">
        <v>3029</v>
      </c>
      <c r="H31" s="41" t="s">
        <v>1522</v>
      </c>
      <c r="I31" s="246" t="s">
        <v>3036</v>
      </c>
      <c r="J31" s="232" t="s">
        <v>3840</v>
      </c>
      <c r="K31" s="161" t="s">
        <v>4254</v>
      </c>
      <c r="L31" s="240" t="s">
        <v>4348</v>
      </c>
      <c r="M31" s="240" t="s">
        <v>4349</v>
      </c>
      <c r="N31" s="160" t="s">
        <v>4279</v>
      </c>
      <c r="O31" s="139" t="s">
        <v>67</v>
      </c>
      <c r="P31" s="39" t="s">
        <v>71</v>
      </c>
      <c r="Q31" s="228" t="s">
        <v>3245</v>
      </c>
      <c r="R31" s="200" t="s">
        <v>2943</v>
      </c>
      <c r="S31" s="141" t="s">
        <v>70</v>
      </c>
      <c r="T31" s="241"/>
    </row>
    <row r="32" spans="1:20" ht="58" customHeight="1">
      <c r="A32" s="230" t="s">
        <v>2437</v>
      </c>
      <c r="B32" s="41" t="s">
        <v>5</v>
      </c>
      <c r="C32" s="40" t="s">
        <v>1523</v>
      </c>
      <c r="D32" s="40" t="s">
        <v>66</v>
      </c>
      <c r="E32" s="199" t="s">
        <v>689</v>
      </c>
      <c r="F32" s="199" t="s">
        <v>3981</v>
      </c>
      <c r="G32" s="243" t="s">
        <v>3026</v>
      </c>
      <c r="H32" s="41" t="s">
        <v>2</v>
      </c>
      <c r="I32" s="246" t="s">
        <v>3034</v>
      </c>
      <c r="J32" s="232" t="s">
        <v>3243</v>
      </c>
      <c r="K32" s="161"/>
      <c r="L32" s="240"/>
      <c r="M32" s="240"/>
      <c r="N32" s="160"/>
      <c r="O32" s="139" t="s">
        <v>60</v>
      </c>
      <c r="P32" s="39" t="s">
        <v>65</v>
      </c>
      <c r="Q32" s="228" t="s">
        <v>3245</v>
      </c>
      <c r="R32" s="200" t="s">
        <v>2948</v>
      </c>
      <c r="S32" s="141" t="s">
        <v>63</v>
      </c>
      <c r="T32" s="241"/>
    </row>
    <row r="33" spans="1:20" ht="58" customHeight="1">
      <c r="A33" s="230" t="s">
        <v>2437</v>
      </c>
      <c r="B33" s="41" t="s">
        <v>5</v>
      </c>
      <c r="C33" s="40" t="s">
        <v>1523</v>
      </c>
      <c r="D33" s="40" t="s">
        <v>4138</v>
      </c>
      <c r="E33" s="199" t="s">
        <v>692</v>
      </c>
      <c r="F33" s="199" t="s">
        <v>3982</v>
      </c>
      <c r="G33" s="243" t="s">
        <v>3029</v>
      </c>
      <c r="H33" s="41" t="s">
        <v>1522</v>
      </c>
      <c r="I33" s="246" t="s">
        <v>4113</v>
      </c>
      <c r="J33" s="232" t="s">
        <v>3841</v>
      </c>
      <c r="K33" s="161" t="s">
        <v>4139</v>
      </c>
      <c r="L33" s="240" t="s">
        <v>4338</v>
      </c>
      <c r="M33" s="240" t="s">
        <v>4339</v>
      </c>
      <c r="N33" s="160" t="s">
        <v>4278</v>
      </c>
      <c r="O33" s="139" t="s">
        <v>67</v>
      </c>
      <c r="P33" s="39" t="s">
        <v>4137</v>
      </c>
      <c r="Q33" s="228" t="s">
        <v>3245</v>
      </c>
      <c r="R33" s="200" t="s">
        <v>2943</v>
      </c>
      <c r="S33" s="141" t="s">
        <v>70</v>
      </c>
      <c r="T33" s="241"/>
    </row>
    <row r="34" spans="1:20" ht="58" customHeight="1">
      <c r="A34" s="230" t="s">
        <v>2437</v>
      </c>
      <c r="B34" s="41" t="s">
        <v>5</v>
      </c>
      <c r="C34" s="40" t="s">
        <v>1523</v>
      </c>
      <c r="D34" s="40" t="s">
        <v>4140</v>
      </c>
      <c r="E34" s="199" t="s">
        <v>692</v>
      </c>
      <c r="F34" s="199" t="s">
        <v>3982</v>
      </c>
      <c r="G34" s="243" t="s">
        <v>3029</v>
      </c>
      <c r="H34" s="41" t="s">
        <v>1522</v>
      </c>
      <c r="I34" s="246" t="s">
        <v>4113</v>
      </c>
      <c r="J34" s="232" t="s">
        <v>3841</v>
      </c>
      <c r="K34" s="161" t="s">
        <v>4142</v>
      </c>
      <c r="L34" s="240" t="s">
        <v>4340</v>
      </c>
      <c r="M34" s="240" t="s">
        <v>4341</v>
      </c>
      <c r="N34" s="160" t="s">
        <v>4278</v>
      </c>
      <c r="O34" s="139" t="s">
        <v>67</v>
      </c>
      <c r="P34" s="39" t="s">
        <v>4141</v>
      </c>
      <c r="Q34" s="228" t="s">
        <v>3245</v>
      </c>
      <c r="R34" s="200" t="s">
        <v>2943</v>
      </c>
      <c r="S34" s="141" t="s">
        <v>70</v>
      </c>
      <c r="T34" s="241"/>
    </row>
    <row r="35" spans="1:20" ht="58" customHeight="1">
      <c r="A35" s="230" t="s">
        <v>2437</v>
      </c>
      <c r="B35" s="41" t="s">
        <v>5</v>
      </c>
      <c r="C35" s="40" t="s">
        <v>1523</v>
      </c>
      <c r="D35" s="40" t="s">
        <v>4150</v>
      </c>
      <c r="E35" s="199" t="s">
        <v>688</v>
      </c>
      <c r="F35" s="199" t="s">
        <v>3983</v>
      </c>
      <c r="G35" s="243" t="s">
        <v>3029</v>
      </c>
      <c r="H35" s="41" t="s">
        <v>1522</v>
      </c>
      <c r="I35" s="246" t="s">
        <v>3036</v>
      </c>
      <c r="J35" s="232" t="s">
        <v>3842</v>
      </c>
      <c r="K35" s="161" t="s">
        <v>4151</v>
      </c>
      <c r="L35" s="240" t="s">
        <v>4350</v>
      </c>
      <c r="M35" s="240" t="s">
        <v>4351</v>
      </c>
      <c r="N35" s="160" t="s">
        <v>4279</v>
      </c>
      <c r="O35" s="139" t="s">
        <v>43</v>
      </c>
      <c r="P35" s="39" t="s">
        <v>4149</v>
      </c>
      <c r="Q35" s="228" t="s">
        <v>3245</v>
      </c>
      <c r="R35" s="200" t="s">
        <v>2943</v>
      </c>
      <c r="S35" s="141" t="s">
        <v>46</v>
      </c>
      <c r="T35" s="241"/>
    </row>
    <row r="36" spans="1:20" ht="58" customHeight="1">
      <c r="A36" s="230" t="s">
        <v>2437</v>
      </c>
      <c r="B36" s="41" t="s">
        <v>5</v>
      </c>
      <c r="C36" s="40" t="s">
        <v>1523</v>
      </c>
      <c r="D36" s="40" t="s">
        <v>4152</v>
      </c>
      <c r="E36" s="199" t="s">
        <v>688</v>
      </c>
      <c r="F36" s="199" t="s">
        <v>3983</v>
      </c>
      <c r="G36" s="243" t="s">
        <v>3029</v>
      </c>
      <c r="H36" s="41" t="s">
        <v>1522</v>
      </c>
      <c r="I36" s="246" t="s">
        <v>3036</v>
      </c>
      <c r="J36" s="232" t="s">
        <v>3842</v>
      </c>
      <c r="K36" s="161" t="s">
        <v>4154</v>
      </c>
      <c r="L36" s="240" t="s">
        <v>4352</v>
      </c>
      <c r="M36" s="240" t="s">
        <v>4353</v>
      </c>
      <c r="N36" s="160" t="s">
        <v>4279</v>
      </c>
      <c r="O36" s="139" t="s">
        <v>43</v>
      </c>
      <c r="P36" s="39" t="s">
        <v>4153</v>
      </c>
      <c r="Q36" s="228" t="s">
        <v>3245</v>
      </c>
      <c r="R36" s="200" t="s">
        <v>2943</v>
      </c>
      <c r="S36" s="141" t="s">
        <v>46</v>
      </c>
      <c r="T36" s="241"/>
    </row>
    <row r="37" spans="1:20" ht="58" customHeight="1">
      <c r="A37" s="230" t="s">
        <v>2437</v>
      </c>
      <c r="B37" s="41" t="s">
        <v>5</v>
      </c>
      <c r="C37" s="40" t="s">
        <v>1524</v>
      </c>
      <c r="D37" s="40" t="s">
        <v>76</v>
      </c>
      <c r="E37" s="199" t="s">
        <v>693</v>
      </c>
      <c r="F37" s="199" t="s">
        <v>3984</v>
      </c>
      <c r="G37" s="243" t="s">
        <v>3029</v>
      </c>
      <c r="H37" s="41" t="s">
        <v>1522</v>
      </c>
      <c r="I37" s="246" t="s">
        <v>3036</v>
      </c>
      <c r="J37" s="232" t="s">
        <v>3843</v>
      </c>
      <c r="K37" s="161" t="s">
        <v>4260</v>
      </c>
      <c r="L37" s="240" t="s">
        <v>4374</v>
      </c>
      <c r="M37" s="240" t="s">
        <v>4375</v>
      </c>
      <c r="N37" s="160" t="s">
        <v>4279</v>
      </c>
      <c r="O37" s="139" t="s">
        <v>74</v>
      </c>
      <c r="P37" s="39" t="s">
        <v>75</v>
      </c>
      <c r="Q37" s="228" t="s">
        <v>3245</v>
      </c>
      <c r="R37" s="200" t="s">
        <v>2943</v>
      </c>
      <c r="S37" s="141" t="s">
        <v>77</v>
      </c>
      <c r="T37" s="241"/>
    </row>
    <row r="38" spans="1:20" ht="58" customHeight="1">
      <c r="A38" s="230" t="s">
        <v>2437</v>
      </c>
      <c r="B38" s="41" t="s">
        <v>5</v>
      </c>
      <c r="C38" s="40" t="s">
        <v>1524</v>
      </c>
      <c r="D38" s="40" t="s">
        <v>79</v>
      </c>
      <c r="E38" s="199" t="s">
        <v>694</v>
      </c>
      <c r="F38" s="199" t="s">
        <v>3985</v>
      </c>
      <c r="G38" s="243" t="s">
        <v>3029</v>
      </c>
      <c r="H38" s="41" t="s">
        <v>1522</v>
      </c>
      <c r="I38" s="246" t="s">
        <v>3036</v>
      </c>
      <c r="J38" s="232" t="s">
        <v>3844</v>
      </c>
      <c r="K38" s="161" t="s">
        <v>4261</v>
      </c>
      <c r="L38" s="240" t="s">
        <v>4376</v>
      </c>
      <c r="M38" s="240" t="s">
        <v>4377</v>
      </c>
      <c r="N38" s="160" t="s">
        <v>4279</v>
      </c>
      <c r="O38" s="139" t="s">
        <v>74</v>
      </c>
      <c r="P38" s="39" t="s">
        <v>78</v>
      </c>
      <c r="Q38" s="228" t="s">
        <v>3245</v>
      </c>
      <c r="R38" s="200" t="s">
        <v>2943</v>
      </c>
      <c r="S38" s="141" t="s">
        <v>77</v>
      </c>
      <c r="T38" s="241"/>
    </row>
    <row r="39" spans="1:20" ht="58" customHeight="1">
      <c r="A39" s="230" t="s">
        <v>2437</v>
      </c>
      <c r="B39" s="41" t="s">
        <v>5</v>
      </c>
      <c r="C39" s="40" t="s">
        <v>1524</v>
      </c>
      <c r="D39" s="40" t="s">
        <v>81</v>
      </c>
      <c r="E39" s="199" t="s">
        <v>695</v>
      </c>
      <c r="F39" s="199" t="s">
        <v>3986</v>
      </c>
      <c r="G39" s="243" t="s">
        <v>3029</v>
      </c>
      <c r="H39" s="41" t="s">
        <v>1522</v>
      </c>
      <c r="I39" s="246" t="s">
        <v>3036</v>
      </c>
      <c r="J39" s="232" t="s">
        <v>3845</v>
      </c>
      <c r="K39" s="161" t="s">
        <v>4262</v>
      </c>
      <c r="L39" s="240" t="s">
        <v>4378</v>
      </c>
      <c r="M39" s="240" t="s">
        <v>4379</v>
      </c>
      <c r="N39" s="160" t="s">
        <v>4279</v>
      </c>
      <c r="O39" s="139" t="s">
        <v>74</v>
      </c>
      <c r="P39" s="39" t="s">
        <v>80</v>
      </c>
      <c r="Q39" s="228" t="s">
        <v>3245</v>
      </c>
      <c r="R39" s="200" t="s">
        <v>2943</v>
      </c>
      <c r="S39" s="141" t="s">
        <v>77</v>
      </c>
      <c r="T39" s="241"/>
    </row>
    <row r="40" spans="1:20" ht="58" customHeight="1">
      <c r="A40" s="230" t="s">
        <v>2437</v>
      </c>
      <c r="B40" s="41" t="s">
        <v>5</v>
      </c>
      <c r="C40" s="40" t="s">
        <v>1524</v>
      </c>
      <c r="D40" s="40" t="s">
        <v>83</v>
      </c>
      <c r="E40" s="199" t="s">
        <v>696</v>
      </c>
      <c r="F40" s="199" t="s">
        <v>3987</v>
      </c>
      <c r="G40" s="243" t="s">
        <v>3029</v>
      </c>
      <c r="H40" s="41" t="s">
        <v>1522</v>
      </c>
      <c r="I40" s="246" t="s">
        <v>3036</v>
      </c>
      <c r="J40" s="232" t="s">
        <v>3846</v>
      </c>
      <c r="K40" s="161" t="s">
        <v>4263</v>
      </c>
      <c r="L40" s="240" t="s">
        <v>4380</v>
      </c>
      <c r="M40" s="240" t="s">
        <v>4381</v>
      </c>
      <c r="N40" s="160" t="s">
        <v>4279</v>
      </c>
      <c r="O40" s="139" t="s">
        <v>74</v>
      </c>
      <c r="P40" s="39" t="s">
        <v>82</v>
      </c>
      <c r="Q40" s="228" t="s">
        <v>3245</v>
      </c>
      <c r="R40" s="200" t="s">
        <v>2943</v>
      </c>
      <c r="S40" s="141" t="s">
        <v>77</v>
      </c>
      <c r="T40" s="241"/>
    </row>
    <row r="41" spans="1:20" ht="58" customHeight="1">
      <c r="A41" s="230" t="s">
        <v>2437</v>
      </c>
      <c r="B41" s="41" t="s">
        <v>5</v>
      </c>
      <c r="C41" s="40" t="s">
        <v>1524</v>
      </c>
      <c r="D41" s="40" t="s">
        <v>4174</v>
      </c>
      <c r="E41" s="199" t="s">
        <v>697</v>
      </c>
      <c r="F41" s="199" t="s">
        <v>3988</v>
      </c>
      <c r="G41" s="243" t="s">
        <v>3029</v>
      </c>
      <c r="H41" s="41" t="s">
        <v>1522</v>
      </c>
      <c r="I41" s="246" t="s">
        <v>3036</v>
      </c>
      <c r="J41" s="232" t="s">
        <v>3847</v>
      </c>
      <c r="K41" s="161" t="s">
        <v>4175</v>
      </c>
      <c r="L41" s="240" t="s">
        <v>4382</v>
      </c>
      <c r="M41" s="240" t="s">
        <v>4383</v>
      </c>
      <c r="N41" s="160" t="s">
        <v>4279</v>
      </c>
      <c r="O41" s="139" t="s">
        <v>74</v>
      </c>
      <c r="P41" s="39" t="s">
        <v>4173</v>
      </c>
      <c r="Q41" s="228" t="s">
        <v>3245</v>
      </c>
      <c r="R41" s="200" t="s">
        <v>2943</v>
      </c>
      <c r="S41" s="141" t="s">
        <v>77</v>
      </c>
      <c r="T41" s="241"/>
    </row>
    <row r="42" spans="1:20" ht="58" customHeight="1">
      <c r="A42" s="230" t="s">
        <v>2437</v>
      </c>
      <c r="B42" s="41" t="s">
        <v>5</v>
      </c>
      <c r="C42" s="40" t="s">
        <v>1524</v>
      </c>
      <c r="D42" s="40" t="s">
        <v>4176</v>
      </c>
      <c r="E42" s="199" t="s">
        <v>697</v>
      </c>
      <c r="F42" s="199" t="s">
        <v>3988</v>
      </c>
      <c r="G42" s="243" t="s">
        <v>3029</v>
      </c>
      <c r="H42" s="41" t="s">
        <v>1522</v>
      </c>
      <c r="I42" s="246" t="s">
        <v>3036</v>
      </c>
      <c r="J42" s="232" t="s">
        <v>3847</v>
      </c>
      <c r="K42" s="161" t="s">
        <v>4178</v>
      </c>
      <c r="L42" s="240" t="s">
        <v>4390</v>
      </c>
      <c r="M42" s="240" t="s">
        <v>4391</v>
      </c>
      <c r="N42" s="160" t="s">
        <v>4280</v>
      </c>
      <c r="O42" s="139" t="s">
        <v>74</v>
      </c>
      <c r="P42" s="39" t="s">
        <v>4177</v>
      </c>
      <c r="Q42" s="228" t="s">
        <v>3245</v>
      </c>
      <c r="R42" s="200" t="s">
        <v>2943</v>
      </c>
      <c r="S42" s="141" t="s">
        <v>77</v>
      </c>
      <c r="T42" s="241"/>
    </row>
    <row r="43" spans="1:20" ht="58" customHeight="1">
      <c r="A43" s="230" t="s">
        <v>2437</v>
      </c>
      <c r="B43" s="41" t="s">
        <v>5</v>
      </c>
      <c r="C43" s="40" t="s">
        <v>1524</v>
      </c>
      <c r="D43" s="40" t="s">
        <v>87</v>
      </c>
      <c r="E43" s="199" t="s">
        <v>698</v>
      </c>
      <c r="F43" s="199" t="s">
        <v>3989</v>
      </c>
      <c r="G43" s="243" t="s">
        <v>3026</v>
      </c>
      <c r="H43" s="41" t="s">
        <v>2</v>
      </c>
      <c r="I43" s="246" t="s">
        <v>3034</v>
      </c>
      <c r="J43" s="232" t="s">
        <v>3243</v>
      </c>
      <c r="K43" s="161"/>
      <c r="L43" s="240"/>
      <c r="M43" s="240"/>
      <c r="N43" s="160"/>
      <c r="O43" s="139" t="s">
        <v>85</v>
      </c>
      <c r="P43" s="39" t="s">
        <v>86</v>
      </c>
      <c r="Q43" s="228" t="s">
        <v>3245</v>
      </c>
      <c r="R43" s="200" t="s">
        <v>2945</v>
      </c>
      <c r="S43" s="141" t="s">
        <v>88</v>
      </c>
      <c r="T43" s="241"/>
    </row>
    <row r="44" spans="1:20" ht="58" customHeight="1">
      <c r="A44" s="230" t="s">
        <v>2437</v>
      </c>
      <c r="B44" s="41" t="s">
        <v>5</v>
      </c>
      <c r="C44" s="40" t="s">
        <v>1524</v>
      </c>
      <c r="D44" s="40" t="s">
        <v>90</v>
      </c>
      <c r="E44" s="199" t="s">
        <v>699</v>
      </c>
      <c r="F44" s="199" t="s">
        <v>3990</v>
      </c>
      <c r="G44" s="243" t="s">
        <v>3026</v>
      </c>
      <c r="H44" s="41" t="s">
        <v>2</v>
      </c>
      <c r="I44" s="246" t="s">
        <v>3034</v>
      </c>
      <c r="J44" s="232" t="s">
        <v>3243</v>
      </c>
      <c r="K44" s="161"/>
      <c r="L44" s="240"/>
      <c r="M44" s="240"/>
      <c r="N44" s="160"/>
      <c r="O44" s="139" t="s">
        <v>85</v>
      </c>
      <c r="P44" s="39" t="s">
        <v>89</v>
      </c>
      <c r="Q44" s="228" t="s">
        <v>3245</v>
      </c>
      <c r="R44" s="200" t="s">
        <v>2945</v>
      </c>
      <c r="S44" s="141" t="s">
        <v>88</v>
      </c>
      <c r="T44" s="241"/>
    </row>
    <row r="45" spans="1:20" ht="58" customHeight="1">
      <c r="A45" s="230" t="s">
        <v>2437</v>
      </c>
      <c r="B45" s="41" t="s">
        <v>5</v>
      </c>
      <c r="C45" s="40" t="s">
        <v>1524</v>
      </c>
      <c r="D45" s="40" t="s">
        <v>4180</v>
      </c>
      <c r="E45" s="199" t="s">
        <v>700</v>
      </c>
      <c r="F45" s="199" t="s">
        <v>3991</v>
      </c>
      <c r="G45" s="243" t="s">
        <v>3029</v>
      </c>
      <c r="H45" s="41" t="s">
        <v>1522</v>
      </c>
      <c r="I45" s="246" t="s">
        <v>3036</v>
      </c>
      <c r="J45" s="232" t="s">
        <v>3848</v>
      </c>
      <c r="K45" s="161" t="s">
        <v>4181</v>
      </c>
      <c r="L45" s="240" t="s">
        <v>4384</v>
      </c>
      <c r="M45" s="240" t="s">
        <v>4385</v>
      </c>
      <c r="N45" s="160" t="s">
        <v>4279</v>
      </c>
      <c r="O45" s="139" t="s">
        <v>85</v>
      </c>
      <c r="P45" s="39" t="s">
        <v>4179</v>
      </c>
      <c r="Q45" s="228" t="s">
        <v>3245</v>
      </c>
      <c r="R45" s="200" t="s">
        <v>2943</v>
      </c>
      <c r="S45" s="141" t="s">
        <v>88</v>
      </c>
      <c r="T45" s="241"/>
    </row>
    <row r="46" spans="1:20" ht="58" customHeight="1">
      <c r="A46" s="230" t="s">
        <v>2437</v>
      </c>
      <c r="B46" s="41" t="s">
        <v>5</v>
      </c>
      <c r="C46" s="40" t="s">
        <v>1524</v>
      </c>
      <c r="D46" s="40" t="s">
        <v>4182</v>
      </c>
      <c r="E46" s="199" t="s">
        <v>700</v>
      </c>
      <c r="F46" s="199" t="s">
        <v>3991</v>
      </c>
      <c r="G46" s="243" t="s">
        <v>3029</v>
      </c>
      <c r="H46" s="41" t="s">
        <v>1522</v>
      </c>
      <c r="I46" s="246" t="s">
        <v>3036</v>
      </c>
      <c r="J46" s="232" t="s">
        <v>3848</v>
      </c>
      <c r="K46" s="161" t="s">
        <v>4184</v>
      </c>
      <c r="L46" s="240" t="s">
        <v>4392</v>
      </c>
      <c r="M46" s="240" t="s">
        <v>4393</v>
      </c>
      <c r="N46" s="160" t="s">
        <v>4280</v>
      </c>
      <c r="O46" s="139" t="s">
        <v>85</v>
      </c>
      <c r="P46" s="39" t="s">
        <v>4183</v>
      </c>
      <c r="Q46" s="228" t="s">
        <v>3245</v>
      </c>
      <c r="R46" s="200" t="s">
        <v>2943</v>
      </c>
      <c r="S46" s="141" t="s">
        <v>88</v>
      </c>
      <c r="T46" s="241"/>
    </row>
    <row r="47" spans="1:20" ht="58" customHeight="1">
      <c r="A47" s="230" t="s">
        <v>2437</v>
      </c>
      <c r="B47" s="41" t="s">
        <v>5</v>
      </c>
      <c r="C47" s="40" t="s">
        <v>1524</v>
      </c>
      <c r="D47" s="40" t="s">
        <v>93</v>
      </c>
      <c r="E47" s="199" t="s">
        <v>701</v>
      </c>
      <c r="F47" s="199" t="s">
        <v>3992</v>
      </c>
      <c r="G47" s="243" t="s">
        <v>3026</v>
      </c>
      <c r="H47" s="41" t="s">
        <v>2</v>
      </c>
      <c r="I47" s="246" t="s">
        <v>3034</v>
      </c>
      <c r="J47" s="232" t="s">
        <v>3243</v>
      </c>
      <c r="K47" s="161"/>
      <c r="L47" s="240"/>
      <c r="M47" s="240"/>
      <c r="N47" s="160"/>
      <c r="O47" s="139" t="s">
        <v>85</v>
      </c>
      <c r="P47" s="39" t="s">
        <v>92</v>
      </c>
      <c r="Q47" s="228" t="s">
        <v>3245</v>
      </c>
      <c r="R47" s="200" t="s">
        <v>2945</v>
      </c>
      <c r="S47" s="141" t="s">
        <v>88</v>
      </c>
      <c r="T47" s="241"/>
    </row>
    <row r="48" spans="1:20" ht="58" customHeight="1">
      <c r="A48" s="230" t="s">
        <v>2437</v>
      </c>
      <c r="B48" s="41" t="s">
        <v>5</v>
      </c>
      <c r="C48" s="40" t="s">
        <v>1525</v>
      </c>
      <c r="D48" s="40" t="s">
        <v>96</v>
      </c>
      <c r="E48" s="199" t="s">
        <v>702</v>
      </c>
      <c r="F48" s="199" t="s">
        <v>3287</v>
      </c>
      <c r="G48" s="243" t="s">
        <v>3288</v>
      </c>
      <c r="H48" s="41" t="s">
        <v>2</v>
      </c>
      <c r="I48" s="246" t="s">
        <v>3034</v>
      </c>
      <c r="J48" s="232" t="s">
        <v>3243</v>
      </c>
      <c r="K48" s="161"/>
      <c r="L48" s="240"/>
      <c r="M48" s="240"/>
      <c r="N48" s="160"/>
      <c r="O48" s="139" t="s">
        <v>94</v>
      </c>
      <c r="P48" s="39" t="s">
        <v>95</v>
      </c>
      <c r="Q48" s="228" t="s">
        <v>3245</v>
      </c>
      <c r="R48" s="200" t="s">
        <v>2949</v>
      </c>
      <c r="S48" s="141" t="s">
        <v>97</v>
      </c>
      <c r="T48" s="241"/>
    </row>
    <row r="49" spans="1:20" ht="58" customHeight="1">
      <c r="A49" s="230" t="s">
        <v>2437</v>
      </c>
      <c r="B49" s="41" t="s">
        <v>5</v>
      </c>
      <c r="C49" s="40" t="s">
        <v>1525</v>
      </c>
      <c r="D49" s="40" t="s">
        <v>99</v>
      </c>
      <c r="E49" s="199" t="s">
        <v>703</v>
      </c>
      <c r="F49" s="199" t="s">
        <v>3993</v>
      </c>
      <c r="G49" s="243" t="s">
        <v>3029</v>
      </c>
      <c r="H49" s="41" t="s">
        <v>1522</v>
      </c>
      <c r="I49" s="246" t="s">
        <v>4113</v>
      </c>
      <c r="J49" s="232" t="s">
        <v>3849</v>
      </c>
      <c r="K49" s="161" t="s">
        <v>4255</v>
      </c>
      <c r="L49" s="240" t="s">
        <v>4354</v>
      </c>
      <c r="M49" s="240" t="s">
        <v>4355</v>
      </c>
      <c r="N49" s="160" t="s">
        <v>4279</v>
      </c>
      <c r="O49" s="139" t="s">
        <v>94</v>
      </c>
      <c r="P49" s="39" t="s">
        <v>98</v>
      </c>
      <c r="Q49" s="228" t="s">
        <v>3245</v>
      </c>
      <c r="R49" s="200" t="s">
        <v>2943</v>
      </c>
      <c r="S49" s="141" t="s">
        <v>97</v>
      </c>
      <c r="T49" s="241"/>
    </row>
    <row r="50" spans="1:20" ht="58" customHeight="1">
      <c r="A50" s="230" t="s">
        <v>2437</v>
      </c>
      <c r="B50" s="41" t="s">
        <v>5</v>
      </c>
      <c r="C50" s="40" t="s">
        <v>1525</v>
      </c>
      <c r="D50" s="40" t="s">
        <v>4156</v>
      </c>
      <c r="E50" s="199" t="s">
        <v>704</v>
      </c>
      <c r="F50" s="199" t="s">
        <v>3994</v>
      </c>
      <c r="G50" s="243" t="s">
        <v>3029</v>
      </c>
      <c r="H50" s="41" t="s">
        <v>1522</v>
      </c>
      <c r="I50" s="246" t="s">
        <v>4113</v>
      </c>
      <c r="J50" s="232" t="s">
        <v>3850</v>
      </c>
      <c r="K50" s="161" t="s">
        <v>4157</v>
      </c>
      <c r="L50" s="240" t="s">
        <v>4356</v>
      </c>
      <c r="M50" s="240" t="s">
        <v>4357</v>
      </c>
      <c r="N50" s="160" t="s">
        <v>4279</v>
      </c>
      <c r="O50" s="139" t="s">
        <v>100</v>
      </c>
      <c r="P50" s="39" t="s">
        <v>4155</v>
      </c>
      <c r="Q50" s="228" t="s">
        <v>3245</v>
      </c>
      <c r="R50" s="200" t="s">
        <v>2943</v>
      </c>
      <c r="S50" s="141" t="s">
        <v>102</v>
      </c>
      <c r="T50" s="241"/>
    </row>
    <row r="51" spans="1:20" ht="58" customHeight="1">
      <c r="A51" s="230" t="s">
        <v>2437</v>
      </c>
      <c r="B51" s="41" t="s">
        <v>5</v>
      </c>
      <c r="C51" s="40" t="s">
        <v>1525</v>
      </c>
      <c r="D51" s="40" t="s">
        <v>4158</v>
      </c>
      <c r="E51" s="199" t="s">
        <v>704</v>
      </c>
      <c r="F51" s="199" t="s">
        <v>3994</v>
      </c>
      <c r="G51" s="243" t="s">
        <v>3029</v>
      </c>
      <c r="H51" s="41" t="s">
        <v>1522</v>
      </c>
      <c r="I51" s="246" t="s">
        <v>4113</v>
      </c>
      <c r="J51" s="232" t="s">
        <v>3850</v>
      </c>
      <c r="K51" s="161" t="s">
        <v>4160</v>
      </c>
      <c r="L51" s="240" t="s">
        <v>4358</v>
      </c>
      <c r="M51" s="240" t="s">
        <v>4359</v>
      </c>
      <c r="N51" s="160" t="s">
        <v>4279</v>
      </c>
      <c r="O51" s="139" t="s">
        <v>100</v>
      </c>
      <c r="P51" s="39" t="s">
        <v>4159</v>
      </c>
      <c r="Q51" s="228" t="s">
        <v>3245</v>
      </c>
      <c r="R51" s="200" t="s">
        <v>2943</v>
      </c>
      <c r="S51" s="141" t="s">
        <v>102</v>
      </c>
      <c r="T51" s="241"/>
    </row>
    <row r="52" spans="1:20" ht="58" customHeight="1">
      <c r="A52" s="230" t="s">
        <v>2437</v>
      </c>
      <c r="B52" s="41" t="s">
        <v>5</v>
      </c>
      <c r="C52" s="40" t="s">
        <v>1525</v>
      </c>
      <c r="D52" s="40" t="s">
        <v>104</v>
      </c>
      <c r="E52" s="199" t="s">
        <v>705</v>
      </c>
      <c r="F52" s="199" t="s">
        <v>3994</v>
      </c>
      <c r="G52" s="243" t="s">
        <v>3029</v>
      </c>
      <c r="H52" s="41" t="s">
        <v>1522</v>
      </c>
      <c r="I52" s="246" t="s">
        <v>4500</v>
      </c>
      <c r="J52" s="232" t="s">
        <v>3851</v>
      </c>
      <c r="K52" s="161" t="s">
        <v>4256</v>
      </c>
      <c r="L52" s="240" t="s">
        <v>4360</v>
      </c>
      <c r="M52" s="240" t="s">
        <v>4361</v>
      </c>
      <c r="N52" s="160" t="s">
        <v>4279</v>
      </c>
      <c r="O52" s="139" t="s">
        <v>100</v>
      </c>
      <c r="P52" s="39" t="s">
        <v>103</v>
      </c>
      <c r="Q52" s="228" t="s">
        <v>3245</v>
      </c>
      <c r="R52" s="200" t="s">
        <v>2943</v>
      </c>
      <c r="S52" s="141" t="s">
        <v>102</v>
      </c>
      <c r="T52" s="241"/>
    </row>
    <row r="53" spans="1:20" ht="58" customHeight="1">
      <c r="A53" s="230" t="s">
        <v>2437</v>
      </c>
      <c r="B53" s="41" t="s">
        <v>5</v>
      </c>
      <c r="C53" s="40" t="s">
        <v>1525</v>
      </c>
      <c r="D53" s="40" t="s">
        <v>106</v>
      </c>
      <c r="E53" s="199" t="s">
        <v>706</v>
      </c>
      <c r="F53" s="199" t="s">
        <v>3995</v>
      </c>
      <c r="G53" s="243" t="s">
        <v>3029</v>
      </c>
      <c r="H53" s="41" t="s">
        <v>1522</v>
      </c>
      <c r="I53" s="246" t="s">
        <v>3036</v>
      </c>
      <c r="J53" s="232" t="s">
        <v>3852</v>
      </c>
      <c r="K53" s="161" t="s">
        <v>4257</v>
      </c>
      <c r="L53" s="240" t="s">
        <v>4362</v>
      </c>
      <c r="M53" s="240" t="s">
        <v>4363</v>
      </c>
      <c r="N53" s="160" t="s">
        <v>4279</v>
      </c>
      <c r="O53" s="139" t="s">
        <v>100</v>
      </c>
      <c r="P53" s="39" t="s">
        <v>105</v>
      </c>
      <c r="Q53" s="228" t="s">
        <v>3245</v>
      </c>
      <c r="R53" s="200" t="s">
        <v>2943</v>
      </c>
      <c r="S53" s="141" t="s">
        <v>102</v>
      </c>
      <c r="T53" s="241"/>
    </row>
    <row r="54" spans="1:20" ht="58" customHeight="1">
      <c r="A54" s="230" t="s">
        <v>2437</v>
      </c>
      <c r="B54" s="41" t="s">
        <v>5</v>
      </c>
      <c r="C54" s="40" t="s">
        <v>1525</v>
      </c>
      <c r="D54" s="40" t="s">
        <v>108</v>
      </c>
      <c r="E54" s="199" t="s">
        <v>707</v>
      </c>
      <c r="F54" s="199" t="s">
        <v>3996</v>
      </c>
      <c r="G54" s="243" t="s">
        <v>3030</v>
      </c>
      <c r="H54" s="41" t="s">
        <v>1522</v>
      </c>
      <c r="I54" s="246" t="s">
        <v>4500</v>
      </c>
      <c r="J54" s="232" t="s">
        <v>3853</v>
      </c>
      <c r="K54" s="161" t="s">
        <v>4284</v>
      </c>
      <c r="L54" s="240" t="s">
        <v>4404</v>
      </c>
      <c r="M54" s="240" t="s">
        <v>4405</v>
      </c>
      <c r="N54" s="160" t="s">
        <v>4278</v>
      </c>
      <c r="O54" s="139" t="s">
        <v>100</v>
      </c>
      <c r="P54" s="39" t="s">
        <v>107</v>
      </c>
      <c r="Q54" s="228" t="s">
        <v>3245</v>
      </c>
      <c r="R54" s="200" t="s">
        <v>2944</v>
      </c>
      <c r="S54" s="141" t="s">
        <v>102</v>
      </c>
      <c r="T54" s="241"/>
    </row>
    <row r="55" spans="1:20" ht="58" customHeight="1">
      <c r="A55" s="230" t="s">
        <v>2437</v>
      </c>
      <c r="B55" s="41" t="s">
        <v>5</v>
      </c>
      <c r="C55" s="40" t="s">
        <v>1525</v>
      </c>
      <c r="D55" s="40" t="s">
        <v>110</v>
      </c>
      <c r="E55" s="199" t="s">
        <v>708</v>
      </c>
      <c r="F55" s="199" t="s">
        <v>3997</v>
      </c>
      <c r="G55" s="243" t="s">
        <v>3030</v>
      </c>
      <c r="H55" s="41" t="s">
        <v>1522</v>
      </c>
      <c r="I55" s="246" t="s">
        <v>4500</v>
      </c>
      <c r="J55" s="232" t="s">
        <v>3854</v>
      </c>
      <c r="K55" s="161" t="s">
        <v>4271</v>
      </c>
      <c r="L55" s="240" t="s">
        <v>4430</v>
      </c>
      <c r="M55" s="240"/>
      <c r="N55" s="160" t="s">
        <v>4278</v>
      </c>
      <c r="O55" s="139" t="s">
        <v>100</v>
      </c>
      <c r="P55" s="39" t="s">
        <v>109</v>
      </c>
      <c r="Q55" s="228" t="s">
        <v>3245</v>
      </c>
      <c r="R55" s="200" t="s">
        <v>2944</v>
      </c>
      <c r="S55" s="141" t="s">
        <v>102</v>
      </c>
      <c r="T55" s="241"/>
    </row>
    <row r="56" spans="1:20" ht="58" customHeight="1">
      <c r="A56" s="230" t="s">
        <v>2437</v>
      </c>
      <c r="B56" s="41" t="s">
        <v>5</v>
      </c>
      <c r="C56" s="40" t="s">
        <v>1525</v>
      </c>
      <c r="D56" s="40" t="s">
        <v>113</v>
      </c>
      <c r="E56" s="199" t="s">
        <v>709</v>
      </c>
      <c r="F56" s="199" t="s">
        <v>3998</v>
      </c>
      <c r="G56" s="243" t="s">
        <v>3030</v>
      </c>
      <c r="H56" s="41" t="s">
        <v>1522</v>
      </c>
      <c r="I56" s="246" t="s">
        <v>4113</v>
      </c>
      <c r="J56" s="232" t="s">
        <v>3855</v>
      </c>
      <c r="K56" s="161" t="s">
        <v>4296</v>
      </c>
      <c r="L56" s="240" t="s">
        <v>4428</v>
      </c>
      <c r="M56" s="240" t="s">
        <v>4429</v>
      </c>
      <c r="N56" s="160" t="s">
        <v>4280</v>
      </c>
      <c r="O56" s="139" t="s">
        <v>111</v>
      </c>
      <c r="P56" s="39" t="s">
        <v>112</v>
      </c>
      <c r="Q56" s="228" t="s">
        <v>3245</v>
      </c>
      <c r="R56" s="200" t="s">
        <v>2944</v>
      </c>
      <c r="S56" s="141" t="s">
        <v>114</v>
      </c>
      <c r="T56" s="241"/>
    </row>
    <row r="57" spans="1:20" ht="58" customHeight="1">
      <c r="A57" s="230" t="s">
        <v>2437</v>
      </c>
      <c r="B57" s="41" t="s">
        <v>5</v>
      </c>
      <c r="C57" s="40" t="s">
        <v>1525</v>
      </c>
      <c r="D57" s="40" t="s">
        <v>116</v>
      </c>
      <c r="E57" s="199" t="s">
        <v>710</v>
      </c>
      <c r="F57" s="199" t="s">
        <v>3999</v>
      </c>
      <c r="G57" s="243" t="s">
        <v>3030</v>
      </c>
      <c r="H57" s="41" t="s">
        <v>1522</v>
      </c>
      <c r="I57" s="246" t="s">
        <v>4500</v>
      </c>
      <c r="J57" s="232" t="s">
        <v>3856</v>
      </c>
      <c r="K57" s="161" t="s">
        <v>4283</v>
      </c>
      <c r="L57" s="240" t="s">
        <v>4402</v>
      </c>
      <c r="M57" s="240" t="s">
        <v>4403</v>
      </c>
      <c r="N57" s="160" t="s">
        <v>4278</v>
      </c>
      <c r="O57" s="139" t="s">
        <v>111</v>
      </c>
      <c r="P57" s="39" t="s">
        <v>115</v>
      </c>
      <c r="Q57" s="228" t="s">
        <v>3245</v>
      </c>
      <c r="R57" s="200" t="s">
        <v>2944</v>
      </c>
      <c r="S57" s="141" t="s">
        <v>114</v>
      </c>
      <c r="T57" s="241"/>
    </row>
    <row r="58" spans="1:20" ht="58" customHeight="1">
      <c r="A58" s="230" t="s">
        <v>2437</v>
      </c>
      <c r="B58" s="41" t="s">
        <v>5</v>
      </c>
      <c r="C58" s="40" t="s">
        <v>1525</v>
      </c>
      <c r="D58" s="40" t="s">
        <v>118</v>
      </c>
      <c r="E58" s="199" t="s">
        <v>711</v>
      </c>
      <c r="F58" s="199" t="s">
        <v>4000</v>
      </c>
      <c r="G58" s="243" t="s">
        <v>3030</v>
      </c>
      <c r="H58" s="41" t="s">
        <v>1522</v>
      </c>
      <c r="I58" s="246" t="s">
        <v>4113</v>
      </c>
      <c r="J58" s="232" t="s">
        <v>3857</v>
      </c>
      <c r="K58" s="161" t="s">
        <v>4295</v>
      </c>
      <c r="L58" s="240" t="s">
        <v>4426</v>
      </c>
      <c r="M58" s="240" t="s">
        <v>4427</v>
      </c>
      <c r="N58" s="160" t="s">
        <v>4280</v>
      </c>
      <c r="O58" s="139" t="s">
        <v>111</v>
      </c>
      <c r="P58" s="39" t="s">
        <v>117</v>
      </c>
      <c r="Q58" s="228" t="s">
        <v>3245</v>
      </c>
      <c r="R58" s="200" t="s">
        <v>2944</v>
      </c>
      <c r="S58" s="141" t="s">
        <v>114</v>
      </c>
      <c r="T58" s="241"/>
    </row>
    <row r="59" spans="1:20" ht="58" customHeight="1">
      <c r="A59" s="230" t="s">
        <v>2437</v>
      </c>
      <c r="B59" s="41" t="s">
        <v>5</v>
      </c>
      <c r="C59" s="40" t="s">
        <v>1526</v>
      </c>
      <c r="D59" s="40" t="s">
        <v>121</v>
      </c>
      <c r="E59" s="199" t="s">
        <v>712</v>
      </c>
      <c r="F59" s="199" t="s">
        <v>4001</v>
      </c>
      <c r="G59" s="243" t="s">
        <v>3026</v>
      </c>
      <c r="H59" s="41" t="s">
        <v>2</v>
      </c>
      <c r="I59" s="246" t="s">
        <v>3034</v>
      </c>
      <c r="J59" s="232" t="s">
        <v>3243</v>
      </c>
      <c r="K59" s="161"/>
      <c r="L59" s="240"/>
      <c r="M59" s="240"/>
      <c r="N59" s="160"/>
      <c r="O59" s="139" t="s">
        <v>119</v>
      </c>
      <c r="P59" s="39" t="s">
        <v>120</v>
      </c>
      <c r="Q59" s="228" t="s">
        <v>3245</v>
      </c>
      <c r="R59" s="200" t="s">
        <v>2</v>
      </c>
      <c r="S59" s="141" t="s">
        <v>122</v>
      </c>
      <c r="T59" s="241"/>
    </row>
    <row r="60" spans="1:20" ht="58" customHeight="1">
      <c r="A60" s="230" t="s">
        <v>2437</v>
      </c>
      <c r="B60" s="41" t="s">
        <v>5</v>
      </c>
      <c r="C60" s="40" t="s">
        <v>1526</v>
      </c>
      <c r="D60" s="40" t="s">
        <v>124</v>
      </c>
      <c r="E60" s="199" t="s">
        <v>713</v>
      </c>
      <c r="F60" s="199" t="s">
        <v>4002</v>
      </c>
      <c r="G60" s="243" t="s">
        <v>3026</v>
      </c>
      <c r="H60" s="41" t="s">
        <v>2</v>
      </c>
      <c r="I60" s="246" t="s">
        <v>3034</v>
      </c>
      <c r="J60" s="232" t="s">
        <v>3243</v>
      </c>
      <c r="K60" s="161"/>
      <c r="L60" s="240"/>
      <c r="M60" s="240"/>
      <c r="N60" s="160"/>
      <c r="O60" s="139" t="s">
        <v>119</v>
      </c>
      <c r="P60" s="39" t="s">
        <v>123</v>
      </c>
      <c r="Q60" s="228" t="s">
        <v>3245</v>
      </c>
      <c r="R60" s="200" t="s">
        <v>2</v>
      </c>
      <c r="S60" s="141" t="s">
        <v>122</v>
      </c>
      <c r="T60" s="241"/>
    </row>
    <row r="61" spans="1:20" ht="58" customHeight="1">
      <c r="A61" s="230" t="s">
        <v>2437</v>
      </c>
      <c r="B61" s="41" t="s">
        <v>5</v>
      </c>
      <c r="C61" s="40" t="s">
        <v>1526</v>
      </c>
      <c r="D61" s="40" t="s">
        <v>126</v>
      </c>
      <c r="E61" s="199" t="s">
        <v>714</v>
      </c>
      <c r="F61" s="199" t="s">
        <v>4003</v>
      </c>
      <c r="G61" s="243" t="s">
        <v>3030</v>
      </c>
      <c r="H61" s="41" t="s">
        <v>1522</v>
      </c>
      <c r="I61" s="246" t="s">
        <v>4500</v>
      </c>
      <c r="J61" s="232" t="s">
        <v>3858</v>
      </c>
      <c r="K61" s="161" t="s">
        <v>4285</v>
      </c>
      <c r="L61" s="240" t="s">
        <v>4406</v>
      </c>
      <c r="M61" s="240" t="s">
        <v>4407</v>
      </c>
      <c r="N61" s="160" t="s">
        <v>4278</v>
      </c>
      <c r="O61" s="139" t="s">
        <v>119</v>
      </c>
      <c r="P61" s="39" t="s">
        <v>125</v>
      </c>
      <c r="Q61" s="228" t="s">
        <v>3245</v>
      </c>
      <c r="R61" s="200" t="s">
        <v>2944</v>
      </c>
      <c r="S61" s="141" t="s">
        <v>122</v>
      </c>
      <c r="T61" s="241"/>
    </row>
    <row r="62" spans="1:20" ht="58" customHeight="1">
      <c r="A62" s="230" t="s">
        <v>2437</v>
      </c>
      <c r="B62" s="41" t="s">
        <v>5</v>
      </c>
      <c r="C62" s="40" t="s">
        <v>1526</v>
      </c>
      <c r="D62" s="40" t="s">
        <v>128</v>
      </c>
      <c r="E62" s="199" t="s">
        <v>715</v>
      </c>
      <c r="F62" s="199" t="s">
        <v>4004</v>
      </c>
      <c r="G62" s="243" t="s">
        <v>3030</v>
      </c>
      <c r="H62" s="41" t="s">
        <v>1522</v>
      </c>
      <c r="I62" s="246" t="s">
        <v>4500</v>
      </c>
      <c r="J62" s="232" t="s">
        <v>3859</v>
      </c>
      <c r="K62" s="161" t="s">
        <v>4287</v>
      </c>
      <c r="L62" s="240" t="s">
        <v>4410</v>
      </c>
      <c r="M62" s="240" t="s">
        <v>4411</v>
      </c>
      <c r="N62" s="160" t="s">
        <v>4279</v>
      </c>
      <c r="O62" s="139" t="s">
        <v>119</v>
      </c>
      <c r="P62" s="39" t="s">
        <v>127</v>
      </c>
      <c r="Q62" s="228" t="s">
        <v>3245</v>
      </c>
      <c r="R62" s="200" t="s">
        <v>2944</v>
      </c>
      <c r="S62" s="141" t="s">
        <v>122</v>
      </c>
      <c r="T62" s="241"/>
    </row>
    <row r="63" spans="1:20" ht="58" customHeight="1">
      <c r="A63" s="230" t="s">
        <v>2437</v>
      </c>
      <c r="B63" s="41" t="s">
        <v>5</v>
      </c>
      <c r="C63" s="40" t="s">
        <v>1526</v>
      </c>
      <c r="D63" s="40" t="s">
        <v>130</v>
      </c>
      <c r="E63" s="199" t="s">
        <v>716</v>
      </c>
      <c r="F63" s="199" t="s">
        <v>4005</v>
      </c>
      <c r="G63" s="243" t="s">
        <v>3027</v>
      </c>
      <c r="H63" s="41" t="s">
        <v>958</v>
      </c>
      <c r="I63" s="246" t="s">
        <v>3035</v>
      </c>
      <c r="J63" s="232" t="s">
        <v>3243</v>
      </c>
      <c r="K63" s="161"/>
      <c r="L63" s="240"/>
      <c r="M63" s="240"/>
      <c r="N63" s="160"/>
      <c r="O63" s="139" t="s">
        <v>119</v>
      </c>
      <c r="P63" s="39" t="s">
        <v>129</v>
      </c>
      <c r="Q63" s="228" t="s">
        <v>3245</v>
      </c>
      <c r="R63" s="200" t="s">
        <v>2940</v>
      </c>
      <c r="S63" s="141" t="s">
        <v>122</v>
      </c>
      <c r="T63" s="241"/>
    </row>
    <row r="64" spans="1:20" ht="58" customHeight="1">
      <c r="A64" s="230" t="s">
        <v>2437</v>
      </c>
      <c r="B64" s="41" t="s">
        <v>5</v>
      </c>
      <c r="C64" s="40" t="s">
        <v>1526</v>
      </c>
      <c r="D64" s="40" t="s">
        <v>132</v>
      </c>
      <c r="E64" s="199" t="s">
        <v>717</v>
      </c>
      <c r="F64" s="199" t="s">
        <v>4006</v>
      </c>
      <c r="G64" s="243" t="s">
        <v>3030</v>
      </c>
      <c r="H64" s="41" t="s">
        <v>1522</v>
      </c>
      <c r="I64" s="246" t="s">
        <v>4500</v>
      </c>
      <c r="J64" s="232" t="s">
        <v>3860</v>
      </c>
      <c r="K64" s="161" t="s">
        <v>4272</v>
      </c>
      <c r="L64" s="240" t="s">
        <v>4431</v>
      </c>
      <c r="M64" s="240"/>
      <c r="N64" s="160" t="s">
        <v>4278</v>
      </c>
      <c r="O64" s="139" t="s">
        <v>119</v>
      </c>
      <c r="P64" s="39" t="s">
        <v>131</v>
      </c>
      <c r="Q64" s="228" t="s">
        <v>3245</v>
      </c>
      <c r="R64" s="200" t="s">
        <v>2944</v>
      </c>
      <c r="S64" s="141" t="s">
        <v>122</v>
      </c>
      <c r="T64" s="241"/>
    </row>
    <row r="65" spans="1:20" ht="58" customHeight="1">
      <c r="A65" s="230" t="s">
        <v>2437</v>
      </c>
      <c r="B65" s="41" t="s">
        <v>5</v>
      </c>
      <c r="C65" s="40" t="s">
        <v>1526</v>
      </c>
      <c r="D65" s="40" t="s">
        <v>134</v>
      </c>
      <c r="E65" s="199" t="s">
        <v>718</v>
      </c>
      <c r="F65" s="199" t="s">
        <v>4007</v>
      </c>
      <c r="G65" s="243" t="s">
        <v>3027</v>
      </c>
      <c r="H65" s="41" t="s">
        <v>958</v>
      </c>
      <c r="I65" s="246" t="s">
        <v>3035</v>
      </c>
      <c r="J65" s="232" t="s">
        <v>3243</v>
      </c>
      <c r="K65" s="161"/>
      <c r="L65" s="240"/>
      <c r="M65" s="240"/>
      <c r="N65" s="160"/>
      <c r="O65" s="139" t="s">
        <v>119</v>
      </c>
      <c r="P65" s="39" t="s">
        <v>133</v>
      </c>
      <c r="Q65" s="228" t="s">
        <v>3245</v>
      </c>
      <c r="R65" s="200" t="s">
        <v>2940</v>
      </c>
      <c r="S65" s="141" t="s">
        <v>122</v>
      </c>
      <c r="T65" s="241"/>
    </row>
    <row r="66" spans="1:20" ht="58" customHeight="1">
      <c r="A66" s="230" t="s">
        <v>2437</v>
      </c>
      <c r="B66" s="41" t="s">
        <v>5</v>
      </c>
      <c r="C66" s="40" t="s">
        <v>1526</v>
      </c>
      <c r="D66" s="40" t="s">
        <v>136</v>
      </c>
      <c r="E66" s="199" t="s">
        <v>3945</v>
      </c>
      <c r="F66" s="199" t="s">
        <v>3946</v>
      </c>
      <c r="G66" s="243" t="s">
        <v>3947</v>
      </c>
      <c r="H66" s="41" t="s">
        <v>2</v>
      </c>
      <c r="I66" s="246" t="s">
        <v>3034</v>
      </c>
      <c r="J66" s="232" t="s">
        <v>3243</v>
      </c>
      <c r="K66" s="161"/>
      <c r="L66" s="240"/>
      <c r="M66" s="240"/>
      <c r="N66" s="160"/>
      <c r="O66" s="139" t="s">
        <v>119</v>
      </c>
      <c r="P66" s="39" t="s">
        <v>135</v>
      </c>
      <c r="Q66" s="228" t="s">
        <v>3245</v>
      </c>
      <c r="R66" s="200" t="s">
        <v>2950</v>
      </c>
      <c r="S66" s="141" t="s">
        <v>122</v>
      </c>
      <c r="T66" s="241"/>
    </row>
    <row r="67" spans="1:20" ht="58" customHeight="1">
      <c r="A67" s="230" t="s">
        <v>2437</v>
      </c>
      <c r="B67" s="41" t="s">
        <v>5</v>
      </c>
      <c r="C67" s="40" t="s">
        <v>1526</v>
      </c>
      <c r="D67" s="40" t="s">
        <v>139</v>
      </c>
      <c r="E67" s="199" t="s">
        <v>3780</v>
      </c>
      <c r="F67" s="199" t="s">
        <v>4008</v>
      </c>
      <c r="G67" s="243" t="s">
        <v>3027</v>
      </c>
      <c r="H67" s="41" t="s">
        <v>958</v>
      </c>
      <c r="I67" s="246" t="s">
        <v>3035</v>
      </c>
      <c r="J67" s="232" t="s">
        <v>3243</v>
      </c>
      <c r="K67" s="161"/>
      <c r="L67" s="240"/>
      <c r="M67" s="240"/>
      <c r="N67" s="160"/>
      <c r="O67" s="139" t="s">
        <v>137</v>
      </c>
      <c r="P67" s="39" t="s">
        <v>138</v>
      </c>
      <c r="Q67" s="228" t="s">
        <v>3245</v>
      </c>
      <c r="R67" s="200" t="s">
        <v>2951</v>
      </c>
      <c r="S67" s="141" t="s">
        <v>140</v>
      </c>
      <c r="T67" s="241"/>
    </row>
    <row r="68" spans="1:20" ht="58" customHeight="1">
      <c r="A68" s="230" t="s">
        <v>2437</v>
      </c>
      <c r="B68" s="41" t="s">
        <v>5</v>
      </c>
      <c r="C68" s="40" t="s">
        <v>1526</v>
      </c>
      <c r="D68" s="40" t="s">
        <v>142</v>
      </c>
      <c r="E68" s="199" t="s">
        <v>3781</v>
      </c>
      <c r="F68" s="199" t="s">
        <v>4009</v>
      </c>
      <c r="G68" s="243" t="s">
        <v>3027</v>
      </c>
      <c r="H68" s="41" t="s">
        <v>958</v>
      </c>
      <c r="I68" s="246" t="s">
        <v>3035</v>
      </c>
      <c r="J68" s="232" t="s">
        <v>3243</v>
      </c>
      <c r="K68" s="161"/>
      <c r="L68" s="240"/>
      <c r="M68" s="240"/>
      <c r="N68" s="160"/>
      <c r="O68" s="139" t="s">
        <v>137</v>
      </c>
      <c r="P68" s="39" t="s">
        <v>141</v>
      </c>
      <c r="Q68" s="228" t="s">
        <v>3245</v>
      </c>
      <c r="R68" s="200" t="s">
        <v>2951</v>
      </c>
      <c r="S68" s="141" t="s">
        <v>140</v>
      </c>
      <c r="T68" s="241"/>
    </row>
    <row r="69" spans="1:20" ht="58" customHeight="1">
      <c r="A69" s="230" t="s">
        <v>2437</v>
      </c>
      <c r="B69" s="41" t="s">
        <v>5</v>
      </c>
      <c r="C69" s="40" t="s">
        <v>1527</v>
      </c>
      <c r="D69" s="40" t="s">
        <v>145</v>
      </c>
      <c r="E69" s="199" t="s">
        <v>719</v>
      </c>
      <c r="F69" s="199" t="s">
        <v>3318</v>
      </c>
      <c r="G69" s="243" t="s">
        <v>3319</v>
      </c>
      <c r="H69" s="41" t="s">
        <v>1522</v>
      </c>
      <c r="I69" s="246" t="s">
        <v>3036</v>
      </c>
      <c r="J69" s="232" t="s">
        <v>3243</v>
      </c>
      <c r="K69" s="161" t="s">
        <v>4617</v>
      </c>
      <c r="L69" s="240" t="s">
        <v>4618</v>
      </c>
      <c r="M69" s="240"/>
      <c r="N69" s="160"/>
      <c r="O69" s="139" t="s">
        <v>143</v>
      </c>
      <c r="P69" s="39" t="s">
        <v>144</v>
      </c>
      <c r="Q69" s="228" t="s">
        <v>3245</v>
      </c>
      <c r="R69" s="200" t="s">
        <v>2952</v>
      </c>
      <c r="S69" s="141" t="s">
        <v>146</v>
      </c>
      <c r="T69" s="241" t="s">
        <v>4619</v>
      </c>
    </row>
    <row r="70" spans="1:20" ht="58" customHeight="1">
      <c r="A70" s="230" t="s">
        <v>2437</v>
      </c>
      <c r="B70" s="41" t="s">
        <v>5</v>
      </c>
      <c r="C70" s="40" t="s">
        <v>1527</v>
      </c>
      <c r="D70" s="40" t="s">
        <v>155</v>
      </c>
      <c r="E70" s="199" t="s">
        <v>722</v>
      </c>
      <c r="F70" s="199" t="s">
        <v>4010</v>
      </c>
      <c r="G70" s="243" t="s">
        <v>3030</v>
      </c>
      <c r="H70" s="41" t="s">
        <v>1522</v>
      </c>
      <c r="I70" s="246" t="s">
        <v>4500</v>
      </c>
      <c r="J70" s="232" t="s">
        <v>3861</v>
      </c>
      <c r="K70" s="161" t="s">
        <v>4288</v>
      </c>
      <c r="L70" s="240" t="s">
        <v>4412</v>
      </c>
      <c r="M70" s="240" t="s">
        <v>4413</v>
      </c>
      <c r="N70" s="160" t="s">
        <v>4279</v>
      </c>
      <c r="O70" s="139" t="s">
        <v>153</v>
      </c>
      <c r="P70" s="39" t="s">
        <v>154</v>
      </c>
      <c r="Q70" s="228" t="s">
        <v>3245</v>
      </c>
      <c r="R70" s="200" t="s">
        <v>2944</v>
      </c>
      <c r="S70" s="141" t="s">
        <v>156</v>
      </c>
      <c r="T70" s="241"/>
    </row>
    <row r="71" spans="1:20" ht="58" customHeight="1">
      <c r="A71" s="230" t="s">
        <v>2437</v>
      </c>
      <c r="B71" s="41" t="s">
        <v>5</v>
      </c>
      <c r="C71" s="40" t="s">
        <v>1527</v>
      </c>
      <c r="D71" s="40" t="s">
        <v>169</v>
      </c>
      <c r="E71" s="199" t="s">
        <v>3768</v>
      </c>
      <c r="F71" s="199" t="s">
        <v>3962</v>
      </c>
      <c r="G71" s="243" t="s">
        <v>4561</v>
      </c>
      <c r="H71" s="41" t="s">
        <v>2</v>
      </c>
      <c r="I71" s="246" t="s">
        <v>3034</v>
      </c>
      <c r="J71" s="232" t="s">
        <v>3243</v>
      </c>
      <c r="K71" s="161"/>
      <c r="L71" s="240"/>
      <c r="M71" s="240"/>
      <c r="N71" s="160"/>
      <c r="O71" s="139" t="s">
        <v>167</v>
      </c>
      <c r="P71" s="39" t="s">
        <v>168</v>
      </c>
      <c r="Q71" s="228" t="s">
        <v>3245</v>
      </c>
      <c r="R71" s="200" t="s">
        <v>2955</v>
      </c>
      <c r="S71" s="141" t="s">
        <v>170</v>
      </c>
      <c r="T71" s="241"/>
    </row>
    <row r="72" spans="1:20" ht="58" customHeight="1">
      <c r="A72" s="230" t="s">
        <v>2437</v>
      </c>
      <c r="B72" s="41" t="s">
        <v>5</v>
      </c>
      <c r="C72" s="40" t="s">
        <v>1527</v>
      </c>
      <c r="D72" s="40" t="s">
        <v>163</v>
      </c>
      <c r="E72" s="199" t="s">
        <v>725</v>
      </c>
      <c r="F72" s="199" t="s">
        <v>3320</v>
      </c>
      <c r="G72" s="243" t="s">
        <v>3321</v>
      </c>
      <c r="H72" s="41" t="s">
        <v>1522</v>
      </c>
      <c r="I72" s="246" t="s">
        <v>3036</v>
      </c>
      <c r="J72" s="232" t="s">
        <v>3243</v>
      </c>
      <c r="K72" s="161" t="s">
        <v>4620</v>
      </c>
      <c r="L72" s="240" t="s">
        <v>4621</v>
      </c>
      <c r="M72" s="240"/>
      <c r="N72" s="160"/>
      <c r="O72" s="139" t="s">
        <v>161</v>
      </c>
      <c r="P72" s="39" t="s">
        <v>162</v>
      </c>
      <c r="Q72" s="228" t="s">
        <v>3245</v>
      </c>
      <c r="R72" s="200" t="s">
        <v>2952</v>
      </c>
      <c r="S72" s="141" t="s">
        <v>164</v>
      </c>
      <c r="T72" s="241" t="s">
        <v>4619</v>
      </c>
    </row>
    <row r="73" spans="1:20" ht="58" customHeight="1">
      <c r="A73" s="230" t="s">
        <v>2437</v>
      </c>
      <c r="B73" s="41" t="s">
        <v>5</v>
      </c>
      <c r="C73" s="40" t="s">
        <v>1527</v>
      </c>
      <c r="D73" s="40" t="s">
        <v>148</v>
      </c>
      <c r="E73" s="199" t="s">
        <v>720</v>
      </c>
      <c r="F73" s="199" t="s">
        <v>3322</v>
      </c>
      <c r="G73" s="243" t="s">
        <v>3297</v>
      </c>
      <c r="H73" s="41" t="s">
        <v>2</v>
      </c>
      <c r="I73" s="246" t="s">
        <v>3034</v>
      </c>
      <c r="J73" s="232" t="s">
        <v>3243</v>
      </c>
      <c r="K73" s="161"/>
      <c r="L73" s="240"/>
      <c r="M73" s="240"/>
      <c r="N73" s="160"/>
      <c r="O73" s="139" t="s">
        <v>143</v>
      </c>
      <c r="P73" s="39" t="s">
        <v>147</v>
      </c>
      <c r="Q73" s="228" t="s">
        <v>3245</v>
      </c>
      <c r="R73" s="200" t="s">
        <v>2952</v>
      </c>
      <c r="S73" s="141" t="s">
        <v>146</v>
      </c>
      <c r="T73" s="241"/>
    </row>
    <row r="74" spans="1:20" ht="58" customHeight="1">
      <c r="A74" s="230" t="s">
        <v>2437</v>
      </c>
      <c r="B74" s="41" t="s">
        <v>5</v>
      </c>
      <c r="C74" s="40" t="s">
        <v>1527</v>
      </c>
      <c r="D74" s="40" t="s">
        <v>150</v>
      </c>
      <c r="E74" s="199" t="s">
        <v>3779</v>
      </c>
      <c r="F74" s="199" t="s">
        <v>3291</v>
      </c>
      <c r="G74" s="243" t="s">
        <v>3292</v>
      </c>
      <c r="H74" s="41" t="s">
        <v>2</v>
      </c>
      <c r="I74" s="246" t="s">
        <v>3034</v>
      </c>
      <c r="J74" s="232" t="s">
        <v>3243</v>
      </c>
      <c r="K74" s="161"/>
      <c r="L74" s="240"/>
      <c r="M74" s="240"/>
      <c r="N74" s="160"/>
      <c r="O74" s="139" t="s">
        <v>143</v>
      </c>
      <c r="P74" s="39" t="s">
        <v>149</v>
      </c>
      <c r="Q74" s="228" t="s">
        <v>3245</v>
      </c>
      <c r="R74" s="200" t="s">
        <v>2953</v>
      </c>
      <c r="S74" s="141" t="s">
        <v>146</v>
      </c>
      <c r="T74" s="241"/>
    </row>
    <row r="75" spans="1:20" ht="58" customHeight="1">
      <c r="A75" s="230" t="s">
        <v>2437</v>
      </c>
      <c r="B75" s="41" t="s">
        <v>5</v>
      </c>
      <c r="C75" s="40" t="s">
        <v>1527</v>
      </c>
      <c r="D75" s="40" t="s">
        <v>158</v>
      </c>
      <c r="E75" s="199" t="s">
        <v>723</v>
      </c>
      <c r="F75" s="199" t="s">
        <v>4011</v>
      </c>
      <c r="G75" s="243" t="s">
        <v>3026</v>
      </c>
      <c r="H75" s="41" t="s">
        <v>2</v>
      </c>
      <c r="I75" s="246" t="s">
        <v>3034</v>
      </c>
      <c r="J75" s="232" t="s">
        <v>3243</v>
      </c>
      <c r="K75" s="161"/>
      <c r="L75" s="240"/>
      <c r="M75" s="240"/>
      <c r="N75" s="160"/>
      <c r="O75" s="139" t="s">
        <v>153</v>
      </c>
      <c r="P75" s="39" t="s">
        <v>157</v>
      </c>
      <c r="Q75" s="228" t="s">
        <v>3245</v>
      </c>
      <c r="R75" s="200" t="s">
        <v>2954</v>
      </c>
      <c r="S75" s="141" t="s">
        <v>156</v>
      </c>
      <c r="T75" s="241"/>
    </row>
    <row r="76" spans="1:20" ht="58" customHeight="1">
      <c r="A76" s="230" t="s">
        <v>2437</v>
      </c>
      <c r="B76" s="41" t="s">
        <v>5</v>
      </c>
      <c r="C76" s="40" t="s">
        <v>1527</v>
      </c>
      <c r="D76" s="40" t="s">
        <v>160</v>
      </c>
      <c r="E76" s="199" t="s">
        <v>724</v>
      </c>
      <c r="F76" s="199" t="s">
        <v>4012</v>
      </c>
      <c r="G76" s="243" t="s">
        <v>3026</v>
      </c>
      <c r="H76" s="41" t="s">
        <v>2</v>
      </c>
      <c r="I76" s="246" t="s">
        <v>3034</v>
      </c>
      <c r="J76" s="232" t="s">
        <v>3243</v>
      </c>
      <c r="K76" s="161"/>
      <c r="L76" s="240"/>
      <c r="M76" s="240"/>
      <c r="N76" s="160"/>
      <c r="O76" s="139" t="s">
        <v>153</v>
      </c>
      <c r="P76" s="39" t="s">
        <v>159</v>
      </c>
      <c r="Q76" s="228" t="s">
        <v>3245</v>
      </c>
      <c r="R76" s="200" t="s">
        <v>2954</v>
      </c>
      <c r="S76" s="141" t="s">
        <v>156</v>
      </c>
      <c r="T76" s="241"/>
    </row>
    <row r="77" spans="1:20" ht="58" customHeight="1">
      <c r="A77" s="230" t="s">
        <v>2437</v>
      </c>
      <c r="B77" s="41" t="s">
        <v>5</v>
      </c>
      <c r="C77" s="40" t="s">
        <v>1527</v>
      </c>
      <c r="D77" s="40" t="s">
        <v>172</v>
      </c>
      <c r="E77" s="199" t="s">
        <v>727</v>
      </c>
      <c r="F77" s="199" t="s">
        <v>3323</v>
      </c>
      <c r="G77" s="243" t="s">
        <v>4562</v>
      </c>
      <c r="H77" s="41" t="s">
        <v>1522</v>
      </c>
      <c r="I77" s="246" t="s">
        <v>4500</v>
      </c>
      <c r="J77" s="232" t="s">
        <v>3243</v>
      </c>
      <c r="K77" s="161" t="s">
        <v>4626</v>
      </c>
      <c r="L77" s="240" t="s">
        <v>4627</v>
      </c>
      <c r="M77" s="240"/>
      <c r="N77" s="160"/>
      <c r="O77" s="139" t="s">
        <v>167</v>
      </c>
      <c r="P77" s="39" t="s">
        <v>171</v>
      </c>
      <c r="Q77" s="228" t="s">
        <v>3245</v>
      </c>
      <c r="R77" s="200" t="s">
        <v>2952</v>
      </c>
      <c r="S77" s="141" t="s">
        <v>170</v>
      </c>
      <c r="T77" s="241" t="s">
        <v>4619</v>
      </c>
    </row>
    <row r="78" spans="1:20" ht="58" customHeight="1">
      <c r="A78" s="230" t="s">
        <v>2437</v>
      </c>
      <c r="B78" s="41" t="s">
        <v>5</v>
      </c>
      <c r="C78" s="40" t="s">
        <v>1527</v>
      </c>
      <c r="D78" s="40" t="s">
        <v>174</v>
      </c>
      <c r="E78" s="199" t="s">
        <v>4089</v>
      </c>
      <c r="F78" s="199" t="s">
        <v>3324</v>
      </c>
      <c r="G78" s="243" t="s">
        <v>4090</v>
      </c>
      <c r="H78" s="41" t="s">
        <v>1522</v>
      </c>
      <c r="I78" s="246" t="s">
        <v>3036</v>
      </c>
      <c r="J78" s="232" t="s">
        <v>4091</v>
      </c>
      <c r="K78" s="161" t="s">
        <v>4549</v>
      </c>
      <c r="L78" s="240" t="s">
        <v>4550</v>
      </c>
      <c r="M78" s="240"/>
      <c r="N78" s="160" t="s">
        <v>4279</v>
      </c>
      <c r="O78" s="139" t="s">
        <v>167</v>
      </c>
      <c r="P78" s="39" t="s">
        <v>173</v>
      </c>
      <c r="Q78" s="228" t="s">
        <v>3245</v>
      </c>
      <c r="R78" s="200" t="s">
        <v>2952</v>
      </c>
      <c r="S78" s="141" t="s">
        <v>170</v>
      </c>
      <c r="T78" s="241"/>
    </row>
    <row r="79" spans="1:20" ht="58" customHeight="1">
      <c r="A79" s="230" t="s">
        <v>2437</v>
      </c>
      <c r="B79" s="41" t="s">
        <v>5</v>
      </c>
      <c r="C79" s="40" t="s">
        <v>1527</v>
      </c>
      <c r="D79" s="40" t="s">
        <v>152</v>
      </c>
      <c r="E79" s="199" t="s">
        <v>721</v>
      </c>
      <c r="F79" s="199" t="s">
        <v>4013</v>
      </c>
      <c r="G79" s="243" t="s">
        <v>3030</v>
      </c>
      <c r="H79" s="41" t="s">
        <v>1522</v>
      </c>
      <c r="I79" s="246" t="s">
        <v>4500</v>
      </c>
      <c r="J79" s="232" t="s">
        <v>3862</v>
      </c>
      <c r="K79" s="161" t="s">
        <v>4290</v>
      </c>
      <c r="L79" s="240" t="s">
        <v>4416</v>
      </c>
      <c r="M79" s="240" t="s">
        <v>4417</v>
      </c>
      <c r="N79" s="160" t="s">
        <v>4279</v>
      </c>
      <c r="O79" s="139" t="s">
        <v>143</v>
      </c>
      <c r="P79" s="39" t="s">
        <v>151</v>
      </c>
      <c r="Q79" s="228" t="s">
        <v>3245</v>
      </c>
      <c r="R79" s="200" t="s">
        <v>2944</v>
      </c>
      <c r="S79" s="141" t="s">
        <v>146</v>
      </c>
      <c r="T79" s="241"/>
    </row>
    <row r="80" spans="1:20" ht="58" customHeight="1">
      <c r="A80" s="230" t="s">
        <v>2437</v>
      </c>
      <c r="B80" s="41" t="s">
        <v>5</v>
      </c>
      <c r="C80" s="40" t="s">
        <v>1527</v>
      </c>
      <c r="D80" s="40" t="s">
        <v>166</v>
      </c>
      <c r="E80" s="199" t="s">
        <v>726</v>
      </c>
      <c r="F80" s="199" t="s">
        <v>3325</v>
      </c>
      <c r="G80" s="243" t="s">
        <v>4563</v>
      </c>
      <c r="H80" s="41" t="s">
        <v>3</v>
      </c>
      <c r="I80" s="246" t="s">
        <v>1539</v>
      </c>
      <c r="J80" s="232" t="s">
        <v>3243</v>
      </c>
      <c r="K80" s="161" t="s">
        <v>958</v>
      </c>
      <c r="L80" s="240"/>
      <c r="M80" s="240"/>
      <c r="N80" s="160"/>
      <c r="O80" s="139" t="s">
        <v>161</v>
      </c>
      <c r="P80" s="39" t="s">
        <v>165</v>
      </c>
      <c r="Q80" s="228" t="s">
        <v>3245</v>
      </c>
      <c r="R80" s="200" t="s">
        <v>2952</v>
      </c>
      <c r="S80" s="141" t="s">
        <v>164</v>
      </c>
      <c r="T80" s="241" t="s">
        <v>4628</v>
      </c>
    </row>
    <row r="81" spans="1:20" ht="58" customHeight="1">
      <c r="A81" s="230" t="s">
        <v>2437</v>
      </c>
      <c r="B81" s="41" t="s">
        <v>5</v>
      </c>
      <c r="C81" s="40" t="s">
        <v>1528</v>
      </c>
      <c r="D81" s="40" t="s">
        <v>177</v>
      </c>
      <c r="E81" s="199" t="s">
        <v>728</v>
      </c>
      <c r="F81" s="199" t="s">
        <v>4014</v>
      </c>
      <c r="G81" s="243" t="s">
        <v>3026</v>
      </c>
      <c r="H81" s="41" t="s">
        <v>2</v>
      </c>
      <c r="I81" s="246" t="s">
        <v>3034</v>
      </c>
      <c r="J81" s="232" t="s">
        <v>3243</v>
      </c>
      <c r="K81" s="161"/>
      <c r="L81" s="240"/>
      <c r="M81" s="240"/>
      <c r="N81" s="160"/>
      <c r="O81" s="139" t="s">
        <v>175</v>
      </c>
      <c r="P81" s="39" t="s">
        <v>176</v>
      </c>
      <c r="Q81" s="228" t="s">
        <v>3245</v>
      </c>
      <c r="R81" s="200" t="s">
        <v>2956</v>
      </c>
      <c r="S81" s="141" t="s">
        <v>178</v>
      </c>
      <c r="T81" s="241"/>
    </row>
    <row r="82" spans="1:20" ht="58" customHeight="1">
      <c r="A82" s="230" t="s">
        <v>2437</v>
      </c>
      <c r="B82" s="41" t="s">
        <v>5</v>
      </c>
      <c r="C82" s="40" t="s">
        <v>1528</v>
      </c>
      <c r="D82" s="40" t="s">
        <v>180</v>
      </c>
      <c r="E82" s="199" t="s">
        <v>729</v>
      </c>
      <c r="F82" s="199" t="s">
        <v>3326</v>
      </c>
      <c r="G82" s="243" t="s">
        <v>3327</v>
      </c>
      <c r="H82" s="41" t="s">
        <v>1522</v>
      </c>
      <c r="I82" s="246" t="s">
        <v>3036</v>
      </c>
      <c r="J82" s="232" t="s">
        <v>3243</v>
      </c>
      <c r="K82" s="161" t="s">
        <v>4622</v>
      </c>
      <c r="L82" s="240" t="s">
        <v>4623</v>
      </c>
      <c r="M82" s="240"/>
      <c r="N82" s="160"/>
      <c r="O82" s="139" t="s">
        <v>175</v>
      </c>
      <c r="P82" s="39" t="s">
        <v>179</v>
      </c>
      <c r="Q82" s="228" t="s">
        <v>3245</v>
      </c>
      <c r="R82" s="200" t="s">
        <v>2952</v>
      </c>
      <c r="S82" s="141" t="s">
        <v>178</v>
      </c>
      <c r="T82" s="241" t="s">
        <v>4619</v>
      </c>
    </row>
    <row r="83" spans="1:20" ht="58" customHeight="1">
      <c r="A83" s="230" t="s">
        <v>2437</v>
      </c>
      <c r="B83" s="41" t="s">
        <v>5</v>
      </c>
      <c r="C83" s="40" t="s">
        <v>1528</v>
      </c>
      <c r="D83" s="40" t="s">
        <v>182</v>
      </c>
      <c r="E83" s="199" t="s">
        <v>730</v>
      </c>
      <c r="F83" s="199" t="s">
        <v>3328</v>
      </c>
      <c r="G83" s="243" t="s">
        <v>4564</v>
      </c>
      <c r="H83" s="41" t="s">
        <v>1522</v>
      </c>
      <c r="I83" s="246" t="s">
        <v>3036</v>
      </c>
      <c r="J83" s="232" t="s">
        <v>3243</v>
      </c>
      <c r="K83" s="161" t="s">
        <v>4482</v>
      </c>
      <c r="L83" s="240" t="s">
        <v>4483</v>
      </c>
      <c r="M83" s="240"/>
      <c r="N83" s="160"/>
      <c r="O83" s="139" t="s">
        <v>175</v>
      </c>
      <c r="P83" s="39" t="s">
        <v>181</v>
      </c>
      <c r="Q83" s="228" t="s">
        <v>3245</v>
      </c>
      <c r="R83" s="200" t="s">
        <v>2952</v>
      </c>
      <c r="S83" s="141" t="s">
        <v>178</v>
      </c>
      <c r="T83" s="241"/>
    </row>
    <row r="84" spans="1:20" ht="58" customHeight="1">
      <c r="A84" s="230" t="s">
        <v>2437</v>
      </c>
      <c r="B84" s="41" t="s">
        <v>5</v>
      </c>
      <c r="C84" s="40" t="s">
        <v>1528</v>
      </c>
      <c r="D84" s="40" t="s">
        <v>184</v>
      </c>
      <c r="E84" s="199" t="s">
        <v>731</v>
      </c>
      <c r="F84" s="199" t="s">
        <v>3329</v>
      </c>
      <c r="G84" s="243" t="s">
        <v>4565</v>
      </c>
      <c r="H84" s="41" t="s">
        <v>3</v>
      </c>
      <c r="I84" s="246" t="s">
        <v>1539</v>
      </c>
      <c r="J84" s="232" t="s">
        <v>3243</v>
      </c>
      <c r="K84" s="161" t="s">
        <v>958</v>
      </c>
      <c r="L84" s="240"/>
      <c r="M84" s="240"/>
      <c r="N84" s="160"/>
      <c r="O84" s="139" t="s">
        <v>175</v>
      </c>
      <c r="P84" s="39" t="s">
        <v>183</v>
      </c>
      <c r="Q84" s="228" t="s">
        <v>3245</v>
      </c>
      <c r="R84" s="200" t="s">
        <v>2952</v>
      </c>
      <c r="S84" s="141" t="s">
        <v>178</v>
      </c>
      <c r="T84" s="241" t="s">
        <v>4629</v>
      </c>
    </row>
    <row r="85" spans="1:20" ht="58" customHeight="1">
      <c r="A85" s="230" t="s">
        <v>2437</v>
      </c>
      <c r="B85" s="41" t="s">
        <v>5</v>
      </c>
      <c r="C85" s="40" t="s">
        <v>1528</v>
      </c>
      <c r="D85" s="40" t="s">
        <v>186</v>
      </c>
      <c r="E85" s="199" t="s">
        <v>732</v>
      </c>
      <c r="F85" s="199" t="s">
        <v>3330</v>
      </c>
      <c r="G85" s="243" t="s">
        <v>4566</v>
      </c>
      <c r="H85" s="41" t="s">
        <v>1522</v>
      </c>
      <c r="I85" s="246" t="s">
        <v>3036</v>
      </c>
      <c r="J85" s="232" t="s">
        <v>3243</v>
      </c>
      <c r="K85" s="161" t="s">
        <v>4624</v>
      </c>
      <c r="L85" s="240" t="s">
        <v>4625</v>
      </c>
      <c r="M85" s="240"/>
      <c r="N85" s="160"/>
      <c r="O85" s="139" t="s">
        <v>175</v>
      </c>
      <c r="P85" s="39" t="s">
        <v>185</v>
      </c>
      <c r="Q85" s="228" t="s">
        <v>3245</v>
      </c>
      <c r="R85" s="200" t="s">
        <v>2952</v>
      </c>
      <c r="S85" s="141" t="s">
        <v>178</v>
      </c>
      <c r="T85" s="241" t="s">
        <v>4619</v>
      </c>
    </row>
    <row r="86" spans="1:20" ht="58" customHeight="1">
      <c r="A86" s="230" t="s">
        <v>2437</v>
      </c>
      <c r="B86" s="41" t="s">
        <v>5</v>
      </c>
      <c r="C86" s="40" t="s">
        <v>1528</v>
      </c>
      <c r="D86" s="40" t="s">
        <v>197</v>
      </c>
      <c r="E86" s="199" t="s">
        <v>4498</v>
      </c>
      <c r="F86" s="199" t="s">
        <v>4015</v>
      </c>
      <c r="G86" s="243" t="s">
        <v>3031</v>
      </c>
      <c r="H86" s="41" t="s">
        <v>1522</v>
      </c>
      <c r="I86" s="246" t="s">
        <v>3036</v>
      </c>
      <c r="J86" s="232" t="s">
        <v>3863</v>
      </c>
      <c r="K86" s="161" t="s">
        <v>4654</v>
      </c>
      <c r="L86" s="240" t="s">
        <v>4655</v>
      </c>
      <c r="M86" s="240"/>
      <c r="N86" s="160" t="s">
        <v>4279</v>
      </c>
      <c r="O86" s="139" t="s">
        <v>195</v>
      </c>
      <c r="P86" s="39" t="s">
        <v>196</v>
      </c>
      <c r="Q86" s="228" t="s">
        <v>3245</v>
      </c>
      <c r="R86" s="200" t="s">
        <v>2986</v>
      </c>
      <c r="S86" s="141" t="s">
        <v>198</v>
      </c>
      <c r="T86" s="241"/>
    </row>
    <row r="87" spans="1:20" ht="58" customHeight="1">
      <c r="A87" s="230" t="s">
        <v>2437</v>
      </c>
      <c r="B87" s="41" t="s">
        <v>5</v>
      </c>
      <c r="C87" s="40" t="s">
        <v>1528</v>
      </c>
      <c r="D87" s="40" t="s">
        <v>191</v>
      </c>
      <c r="E87" s="199" t="s">
        <v>733</v>
      </c>
      <c r="F87" s="199" t="s">
        <v>4016</v>
      </c>
      <c r="G87" s="243" t="s">
        <v>3030</v>
      </c>
      <c r="H87" s="41" t="s">
        <v>1522</v>
      </c>
      <c r="I87" s="246" t="s">
        <v>3036</v>
      </c>
      <c r="J87" s="232" t="s">
        <v>3864</v>
      </c>
      <c r="K87" s="161" t="s">
        <v>4557</v>
      </c>
      <c r="L87" s="240"/>
      <c r="M87" s="240"/>
      <c r="N87" s="160"/>
      <c r="O87" s="139" t="s">
        <v>189</v>
      </c>
      <c r="P87" s="39" t="s">
        <v>190</v>
      </c>
      <c r="Q87" s="228" t="s">
        <v>3245</v>
      </c>
      <c r="R87" s="200" t="s">
        <v>2944</v>
      </c>
      <c r="S87" s="141" t="s">
        <v>192</v>
      </c>
      <c r="T87" s="241"/>
    </row>
    <row r="88" spans="1:20" ht="58" customHeight="1">
      <c r="A88" s="230" t="s">
        <v>2437</v>
      </c>
      <c r="B88" s="41" t="s">
        <v>5</v>
      </c>
      <c r="C88" s="40" t="s">
        <v>1528</v>
      </c>
      <c r="D88" s="40" t="s">
        <v>194</v>
      </c>
      <c r="E88" s="199" t="s">
        <v>734</v>
      </c>
      <c r="F88" s="199" t="s">
        <v>4017</v>
      </c>
      <c r="G88" s="243" t="s">
        <v>3030</v>
      </c>
      <c r="H88" s="41" t="s">
        <v>1522</v>
      </c>
      <c r="I88" s="246" t="s">
        <v>3036</v>
      </c>
      <c r="J88" s="232" t="s">
        <v>3865</v>
      </c>
      <c r="K88" s="161" t="s">
        <v>4520</v>
      </c>
      <c r="L88" s="240" t="s">
        <v>4521</v>
      </c>
      <c r="M88" s="240" t="s">
        <v>4522</v>
      </c>
      <c r="N88" s="160" t="s">
        <v>4279</v>
      </c>
      <c r="O88" s="139" t="s">
        <v>189</v>
      </c>
      <c r="P88" s="39" t="s">
        <v>193</v>
      </c>
      <c r="Q88" s="228" t="s">
        <v>3245</v>
      </c>
      <c r="R88" s="200" t="s">
        <v>2944</v>
      </c>
      <c r="S88" s="141" t="s">
        <v>192</v>
      </c>
      <c r="T88" s="241"/>
    </row>
    <row r="89" spans="1:20" ht="58" customHeight="1">
      <c r="A89" s="230" t="s">
        <v>2437</v>
      </c>
      <c r="B89" s="41" t="s">
        <v>5</v>
      </c>
      <c r="C89" s="40" t="s">
        <v>1528</v>
      </c>
      <c r="D89" s="40" t="s">
        <v>188</v>
      </c>
      <c r="E89" s="199" t="s">
        <v>3770</v>
      </c>
      <c r="F89" s="199" t="s">
        <v>3293</v>
      </c>
      <c r="G89" s="243" t="s">
        <v>3294</v>
      </c>
      <c r="H89" s="41" t="s">
        <v>2</v>
      </c>
      <c r="I89" s="246" t="s">
        <v>3034</v>
      </c>
      <c r="J89" s="232" t="s">
        <v>3243</v>
      </c>
      <c r="K89" s="161"/>
      <c r="L89" s="240"/>
      <c r="M89" s="240"/>
      <c r="N89" s="160"/>
      <c r="O89" s="139" t="s">
        <v>175</v>
      </c>
      <c r="P89" s="39" t="s">
        <v>187</v>
      </c>
      <c r="Q89" s="228" t="s">
        <v>3245</v>
      </c>
      <c r="R89" s="200" t="s">
        <v>2957</v>
      </c>
      <c r="S89" s="141" t="s">
        <v>178</v>
      </c>
      <c r="T89" s="241"/>
    </row>
    <row r="90" spans="1:20" ht="58" customHeight="1">
      <c r="A90" s="230" t="s">
        <v>2437</v>
      </c>
      <c r="B90" s="41" t="s">
        <v>5</v>
      </c>
      <c r="C90" s="40" t="s">
        <v>1528</v>
      </c>
      <c r="D90" s="40" t="s">
        <v>200</v>
      </c>
      <c r="E90" s="199" t="s">
        <v>735</v>
      </c>
      <c r="F90" s="199" t="s">
        <v>4018</v>
      </c>
      <c r="G90" s="243" t="s">
        <v>3030</v>
      </c>
      <c r="H90" s="41" t="s">
        <v>1522</v>
      </c>
      <c r="I90" s="246" t="s">
        <v>3036</v>
      </c>
      <c r="J90" s="232" t="s">
        <v>3866</v>
      </c>
      <c r="K90" s="161" t="s">
        <v>4523</v>
      </c>
      <c r="L90" s="240" t="s">
        <v>4524</v>
      </c>
      <c r="M90" s="240" t="s">
        <v>4653</v>
      </c>
      <c r="N90" s="160" t="s">
        <v>4279</v>
      </c>
      <c r="O90" s="139" t="s">
        <v>195</v>
      </c>
      <c r="P90" s="39" t="s">
        <v>199</v>
      </c>
      <c r="Q90" s="228" t="s">
        <v>3245</v>
      </c>
      <c r="R90" s="200" t="s">
        <v>2944</v>
      </c>
      <c r="S90" s="141" t="s">
        <v>198</v>
      </c>
      <c r="T90" s="241"/>
    </row>
    <row r="91" spans="1:20" ht="58" customHeight="1">
      <c r="A91" s="230" t="s">
        <v>2437</v>
      </c>
      <c r="B91" s="41" t="s">
        <v>5</v>
      </c>
      <c r="C91" s="40" t="s">
        <v>1528</v>
      </c>
      <c r="D91" s="40" t="s">
        <v>202</v>
      </c>
      <c r="E91" s="199" t="s">
        <v>736</v>
      </c>
      <c r="F91" s="199" t="s">
        <v>4019</v>
      </c>
      <c r="G91" s="243" t="s">
        <v>3030</v>
      </c>
      <c r="H91" s="41" t="s">
        <v>1522</v>
      </c>
      <c r="I91" s="246" t="s">
        <v>3036</v>
      </c>
      <c r="J91" s="232" t="s">
        <v>3867</v>
      </c>
      <c r="K91" s="161" t="s">
        <v>4555</v>
      </c>
      <c r="L91" s="240"/>
      <c r="M91" s="240"/>
      <c r="N91" s="160"/>
      <c r="O91" s="139" t="s">
        <v>195</v>
      </c>
      <c r="P91" s="39" t="s">
        <v>201</v>
      </c>
      <c r="Q91" s="228" t="s">
        <v>3245</v>
      </c>
      <c r="R91" s="200" t="s">
        <v>2944</v>
      </c>
      <c r="S91" s="141" t="s">
        <v>198</v>
      </c>
      <c r="T91" s="241" t="s">
        <v>4556</v>
      </c>
    </row>
    <row r="92" spans="1:20" ht="58" customHeight="1">
      <c r="A92" s="230" t="s">
        <v>2437</v>
      </c>
      <c r="B92" s="41" t="s">
        <v>5</v>
      </c>
      <c r="C92" s="40" t="s">
        <v>1528</v>
      </c>
      <c r="D92" s="40" t="s">
        <v>204</v>
      </c>
      <c r="E92" s="199" t="s">
        <v>737</v>
      </c>
      <c r="F92" s="199" t="s">
        <v>4020</v>
      </c>
      <c r="G92" s="243" t="s">
        <v>3030</v>
      </c>
      <c r="H92" s="41" t="s">
        <v>1522</v>
      </c>
      <c r="I92" s="246" t="s">
        <v>3036</v>
      </c>
      <c r="J92" s="232" t="s">
        <v>3868</v>
      </c>
      <c r="K92" s="161" t="s">
        <v>4553</v>
      </c>
      <c r="L92" s="240" t="s">
        <v>4554</v>
      </c>
      <c r="M92" s="240"/>
      <c r="N92" s="160" t="s">
        <v>4279</v>
      </c>
      <c r="O92" s="139" t="s">
        <v>195</v>
      </c>
      <c r="P92" s="39" t="s">
        <v>203</v>
      </c>
      <c r="Q92" s="228" t="s">
        <v>3245</v>
      </c>
      <c r="R92" s="200" t="s">
        <v>2944</v>
      </c>
      <c r="S92" s="141" t="s">
        <v>198</v>
      </c>
      <c r="T92" s="241"/>
    </row>
    <row r="93" spans="1:20" ht="58" customHeight="1">
      <c r="A93" s="230" t="s">
        <v>2437</v>
      </c>
      <c r="B93" s="41" t="s">
        <v>5</v>
      </c>
      <c r="C93" s="40" t="s">
        <v>1529</v>
      </c>
      <c r="D93" s="40" t="s">
        <v>207</v>
      </c>
      <c r="E93" s="199" t="s">
        <v>3771</v>
      </c>
      <c r="F93" s="199" t="s">
        <v>3994</v>
      </c>
      <c r="G93" s="243" t="s">
        <v>3026</v>
      </c>
      <c r="H93" s="41" t="s">
        <v>2</v>
      </c>
      <c r="I93" s="246" t="s">
        <v>3034</v>
      </c>
      <c r="J93" s="232" t="s">
        <v>3243</v>
      </c>
      <c r="K93" s="161"/>
      <c r="L93" s="240"/>
      <c r="M93" s="240"/>
      <c r="N93" s="160"/>
      <c r="O93" s="139" t="s">
        <v>205</v>
      </c>
      <c r="P93" s="39" t="s">
        <v>206</v>
      </c>
      <c r="Q93" s="228" t="s">
        <v>3245</v>
      </c>
      <c r="R93" s="200" t="s">
        <v>2958</v>
      </c>
      <c r="S93" s="141" t="s">
        <v>208</v>
      </c>
      <c r="T93" s="241"/>
    </row>
    <row r="94" spans="1:20" ht="58" customHeight="1">
      <c r="A94" s="230" t="s">
        <v>2437</v>
      </c>
      <c r="B94" s="41" t="s">
        <v>5</v>
      </c>
      <c r="C94" s="40" t="s">
        <v>1529</v>
      </c>
      <c r="D94" s="40" t="s">
        <v>210</v>
      </c>
      <c r="E94" s="199" t="s">
        <v>3772</v>
      </c>
      <c r="F94" s="199" t="s">
        <v>3295</v>
      </c>
      <c r="G94" s="243" t="s">
        <v>4567</v>
      </c>
      <c r="H94" s="41" t="s">
        <v>2</v>
      </c>
      <c r="I94" s="246" t="s">
        <v>3034</v>
      </c>
      <c r="J94" s="232" t="s">
        <v>3243</v>
      </c>
      <c r="K94" s="161"/>
      <c r="L94" s="240"/>
      <c r="M94" s="240"/>
      <c r="N94" s="160"/>
      <c r="O94" s="139" t="s">
        <v>205</v>
      </c>
      <c r="P94" s="39" t="s">
        <v>209</v>
      </c>
      <c r="Q94" s="228" t="s">
        <v>3245</v>
      </c>
      <c r="R94" s="200" t="s">
        <v>2959</v>
      </c>
      <c r="S94" s="141" t="s">
        <v>208</v>
      </c>
      <c r="T94" s="241"/>
    </row>
    <row r="95" spans="1:20" ht="58" customHeight="1">
      <c r="A95" s="230" t="s">
        <v>2437</v>
      </c>
      <c r="B95" s="41" t="s">
        <v>5</v>
      </c>
      <c r="C95" s="40" t="s">
        <v>1529</v>
      </c>
      <c r="D95" s="40" t="s">
        <v>212</v>
      </c>
      <c r="E95" s="199" t="s">
        <v>3773</v>
      </c>
      <c r="F95" s="199" t="s">
        <v>3296</v>
      </c>
      <c r="G95" s="243" t="s">
        <v>3297</v>
      </c>
      <c r="H95" s="41" t="s">
        <v>2</v>
      </c>
      <c r="I95" s="246" t="s">
        <v>3034</v>
      </c>
      <c r="J95" s="232" t="s">
        <v>3243</v>
      </c>
      <c r="K95" s="161"/>
      <c r="L95" s="240"/>
      <c r="M95" s="240"/>
      <c r="N95" s="160"/>
      <c r="O95" s="139" t="s">
        <v>205</v>
      </c>
      <c r="P95" s="39" t="s">
        <v>211</v>
      </c>
      <c r="Q95" s="228" t="s">
        <v>3245</v>
      </c>
      <c r="R95" s="200" t="s">
        <v>2976</v>
      </c>
      <c r="S95" s="141" t="s">
        <v>208</v>
      </c>
      <c r="T95" s="241"/>
    </row>
    <row r="96" spans="1:20" ht="58" customHeight="1">
      <c r="A96" s="230" t="s">
        <v>2437</v>
      </c>
      <c r="B96" s="41" t="s">
        <v>5</v>
      </c>
      <c r="C96" s="40" t="s">
        <v>1529</v>
      </c>
      <c r="D96" s="40" t="s">
        <v>214</v>
      </c>
      <c r="E96" s="199" t="s">
        <v>3774</v>
      </c>
      <c r="F96" s="199" t="s">
        <v>3298</v>
      </c>
      <c r="G96" s="243" t="s">
        <v>4568</v>
      </c>
      <c r="H96" s="41" t="s">
        <v>3</v>
      </c>
      <c r="I96" s="246" t="s">
        <v>1539</v>
      </c>
      <c r="J96" s="232" t="s">
        <v>3243</v>
      </c>
      <c r="K96" s="161"/>
      <c r="L96" s="240"/>
      <c r="M96" s="240"/>
      <c r="N96" s="160"/>
      <c r="O96" s="139" t="s">
        <v>205</v>
      </c>
      <c r="P96" s="39" t="s">
        <v>213</v>
      </c>
      <c r="Q96" s="228" t="s">
        <v>3245</v>
      </c>
      <c r="R96" s="200" t="s">
        <v>2960</v>
      </c>
      <c r="S96" s="141" t="s">
        <v>208</v>
      </c>
      <c r="T96" s="241"/>
    </row>
    <row r="97" spans="1:20" ht="58" customHeight="1">
      <c r="A97" s="230" t="s">
        <v>2437</v>
      </c>
      <c r="B97" s="41" t="s">
        <v>5</v>
      </c>
      <c r="C97" s="40" t="s">
        <v>1529</v>
      </c>
      <c r="D97" s="40" t="s">
        <v>225</v>
      </c>
      <c r="E97" s="199" t="s">
        <v>3775</v>
      </c>
      <c r="F97" s="199" t="s">
        <v>4021</v>
      </c>
      <c r="G97" s="243" t="s">
        <v>3030</v>
      </c>
      <c r="H97" s="41" t="s">
        <v>1522</v>
      </c>
      <c r="I97" s="246" t="s">
        <v>4500</v>
      </c>
      <c r="J97" s="232" t="s">
        <v>3869</v>
      </c>
      <c r="K97" s="161" t="s">
        <v>4289</v>
      </c>
      <c r="L97" s="240" t="s">
        <v>4414</v>
      </c>
      <c r="M97" s="240" t="s">
        <v>4415</v>
      </c>
      <c r="N97" s="160" t="s">
        <v>4279</v>
      </c>
      <c r="O97" s="139" t="s">
        <v>223</v>
      </c>
      <c r="P97" s="39" t="s">
        <v>224</v>
      </c>
      <c r="Q97" s="228" t="s">
        <v>3245</v>
      </c>
      <c r="R97" s="235" t="s">
        <v>2977</v>
      </c>
      <c r="S97" s="141" t="s">
        <v>226</v>
      </c>
      <c r="T97" s="241"/>
    </row>
    <row r="98" spans="1:20" ht="58" customHeight="1">
      <c r="A98" s="230" t="s">
        <v>2437</v>
      </c>
      <c r="B98" s="41" t="s">
        <v>5</v>
      </c>
      <c r="C98" s="40" t="s">
        <v>1529</v>
      </c>
      <c r="D98" s="40" t="s">
        <v>228</v>
      </c>
      <c r="E98" s="199" t="s">
        <v>3776</v>
      </c>
      <c r="F98" s="199" t="s">
        <v>3331</v>
      </c>
      <c r="G98" s="243" t="s">
        <v>4569</v>
      </c>
      <c r="H98" s="41" t="s">
        <v>1521</v>
      </c>
      <c r="I98" s="246" t="s">
        <v>1539</v>
      </c>
      <c r="J98" s="232" t="s">
        <v>3243</v>
      </c>
      <c r="K98" s="161" t="s">
        <v>958</v>
      </c>
      <c r="L98" s="240"/>
      <c r="M98" s="240"/>
      <c r="N98" s="160"/>
      <c r="O98" s="139" t="s">
        <v>223</v>
      </c>
      <c r="P98" s="39" t="s">
        <v>227</v>
      </c>
      <c r="Q98" s="228" t="s">
        <v>3245</v>
      </c>
      <c r="R98" s="200" t="s">
        <v>2964</v>
      </c>
      <c r="S98" s="141" t="s">
        <v>226</v>
      </c>
      <c r="T98" s="241" t="s">
        <v>4630</v>
      </c>
    </row>
    <row r="99" spans="1:20" ht="58" customHeight="1">
      <c r="A99" s="230" t="s">
        <v>2437</v>
      </c>
      <c r="B99" s="41" t="s">
        <v>5</v>
      </c>
      <c r="C99" s="40" t="s">
        <v>1529</v>
      </c>
      <c r="D99" s="40" t="s">
        <v>216</v>
      </c>
      <c r="E99" s="199" t="s">
        <v>738</v>
      </c>
      <c r="F99" s="199" t="s">
        <v>4022</v>
      </c>
      <c r="G99" s="243" t="s">
        <v>3026</v>
      </c>
      <c r="H99" s="41" t="s">
        <v>2</v>
      </c>
      <c r="I99" s="246" t="s">
        <v>3034</v>
      </c>
      <c r="J99" s="232" t="s">
        <v>3243</v>
      </c>
      <c r="K99" s="161"/>
      <c r="L99" s="240"/>
      <c r="M99" s="240"/>
      <c r="N99" s="160"/>
      <c r="O99" s="139" t="s">
        <v>205</v>
      </c>
      <c r="P99" s="39" t="s">
        <v>215</v>
      </c>
      <c r="Q99" s="228" t="s">
        <v>3245</v>
      </c>
      <c r="R99" s="200" t="s">
        <v>2961</v>
      </c>
      <c r="S99" s="141" t="s">
        <v>208</v>
      </c>
      <c r="T99" s="241"/>
    </row>
    <row r="100" spans="1:20" ht="58" customHeight="1">
      <c r="A100" s="230" t="s">
        <v>2437</v>
      </c>
      <c r="B100" s="41" t="s">
        <v>5</v>
      </c>
      <c r="C100" s="40" t="s">
        <v>1529</v>
      </c>
      <c r="D100" s="40" t="s">
        <v>219</v>
      </c>
      <c r="E100" s="199" t="s">
        <v>739</v>
      </c>
      <c r="F100" s="199" t="s">
        <v>4023</v>
      </c>
      <c r="G100" s="243" t="s">
        <v>3026</v>
      </c>
      <c r="H100" s="41" t="s">
        <v>2</v>
      </c>
      <c r="I100" s="246" t="s">
        <v>3034</v>
      </c>
      <c r="J100" s="232" t="s">
        <v>3243</v>
      </c>
      <c r="K100" s="161"/>
      <c r="L100" s="240"/>
      <c r="M100" s="240"/>
      <c r="N100" s="160"/>
      <c r="O100" s="139" t="s">
        <v>217</v>
      </c>
      <c r="P100" s="39" t="s">
        <v>218</v>
      </c>
      <c r="Q100" s="228" t="s">
        <v>3245</v>
      </c>
      <c r="R100" s="200" t="s">
        <v>2963</v>
      </c>
      <c r="S100" s="141" t="s">
        <v>220</v>
      </c>
      <c r="T100" s="241"/>
    </row>
    <row r="101" spans="1:20" ht="58" customHeight="1">
      <c r="A101" s="230" t="s">
        <v>2437</v>
      </c>
      <c r="B101" s="41" t="s">
        <v>5</v>
      </c>
      <c r="C101" s="40" t="s">
        <v>1529</v>
      </c>
      <c r="D101" s="40" t="s">
        <v>222</v>
      </c>
      <c r="E101" s="199" t="s">
        <v>3777</v>
      </c>
      <c r="F101" s="199" t="s">
        <v>4024</v>
      </c>
      <c r="G101" s="243" t="s">
        <v>3026</v>
      </c>
      <c r="H101" s="41" t="s">
        <v>2</v>
      </c>
      <c r="I101" s="246" t="s">
        <v>3034</v>
      </c>
      <c r="J101" s="232" t="s">
        <v>3243</v>
      </c>
      <c r="K101" s="161"/>
      <c r="L101" s="240"/>
      <c r="M101" s="240"/>
      <c r="N101" s="160"/>
      <c r="O101" s="139" t="s">
        <v>217</v>
      </c>
      <c r="P101" s="39" t="s">
        <v>221</v>
      </c>
      <c r="Q101" s="228" t="s">
        <v>3245</v>
      </c>
      <c r="R101" s="200" t="s">
        <v>2962</v>
      </c>
      <c r="S101" s="141" t="s">
        <v>220</v>
      </c>
      <c r="T101" s="241"/>
    </row>
    <row r="102" spans="1:20" ht="58" customHeight="1">
      <c r="A102" s="230" t="s">
        <v>2437</v>
      </c>
      <c r="B102" s="41" t="s">
        <v>5</v>
      </c>
      <c r="C102" s="40" t="s">
        <v>1529</v>
      </c>
      <c r="D102" s="40" t="s">
        <v>230</v>
      </c>
      <c r="E102" s="199" t="s">
        <v>3778</v>
      </c>
      <c r="F102" s="199" t="s">
        <v>4302</v>
      </c>
      <c r="G102" s="243" t="s">
        <v>4303</v>
      </c>
      <c r="H102" s="41" t="s">
        <v>3</v>
      </c>
      <c r="I102" s="246" t="s">
        <v>1539</v>
      </c>
      <c r="J102" s="232" t="s">
        <v>3243</v>
      </c>
      <c r="K102" s="161"/>
      <c r="L102" s="240"/>
      <c r="M102" s="240"/>
      <c r="N102" s="160"/>
      <c r="O102" s="139" t="s">
        <v>223</v>
      </c>
      <c r="P102" s="39" t="s">
        <v>229</v>
      </c>
      <c r="Q102" s="228" t="s">
        <v>3245</v>
      </c>
      <c r="R102" s="200" t="s">
        <v>2965</v>
      </c>
      <c r="S102" s="141" t="s">
        <v>226</v>
      </c>
      <c r="T102" s="241"/>
    </row>
    <row r="103" spans="1:20" ht="58" customHeight="1">
      <c r="A103" s="230" t="s">
        <v>2437</v>
      </c>
      <c r="B103" s="41" t="s">
        <v>6</v>
      </c>
      <c r="C103" s="40" t="s">
        <v>1531</v>
      </c>
      <c r="D103" s="40" t="s">
        <v>245</v>
      </c>
      <c r="E103" s="199" t="s">
        <v>746</v>
      </c>
      <c r="F103" s="199" t="s">
        <v>4025</v>
      </c>
      <c r="G103" s="243" t="s">
        <v>3030</v>
      </c>
      <c r="H103" s="41" t="s">
        <v>1522</v>
      </c>
      <c r="I103" s="246" t="s">
        <v>4113</v>
      </c>
      <c r="J103" s="232" t="s">
        <v>3870</v>
      </c>
      <c r="K103" s="161" t="s">
        <v>4291</v>
      </c>
      <c r="L103" s="240" t="s">
        <v>4418</v>
      </c>
      <c r="M103" s="240" t="s">
        <v>4419</v>
      </c>
      <c r="N103" s="160" t="s">
        <v>4279</v>
      </c>
      <c r="O103" s="139" t="s">
        <v>243</v>
      </c>
      <c r="P103" s="39" t="s">
        <v>244</v>
      </c>
      <c r="Q103" s="228" t="s">
        <v>3245</v>
      </c>
      <c r="R103" s="200" t="s">
        <v>2978</v>
      </c>
      <c r="S103" s="141" t="s">
        <v>246</v>
      </c>
      <c r="T103" s="241"/>
    </row>
    <row r="104" spans="1:20" ht="58" customHeight="1">
      <c r="A104" s="230" t="s">
        <v>2437</v>
      </c>
      <c r="B104" s="41" t="s">
        <v>6</v>
      </c>
      <c r="C104" s="40" t="s">
        <v>1531</v>
      </c>
      <c r="D104" s="40" t="s">
        <v>257</v>
      </c>
      <c r="E104" s="199" t="s">
        <v>748</v>
      </c>
      <c r="F104" s="199" t="s">
        <v>4026</v>
      </c>
      <c r="G104" s="243" t="s">
        <v>3030</v>
      </c>
      <c r="H104" s="41" t="s">
        <v>1522</v>
      </c>
      <c r="I104" s="246" t="s">
        <v>4500</v>
      </c>
      <c r="J104" s="232" t="s">
        <v>3871</v>
      </c>
      <c r="K104" s="161" t="s">
        <v>4292</v>
      </c>
      <c r="L104" s="240" t="s">
        <v>4420</v>
      </c>
      <c r="M104" s="240" t="s">
        <v>4421</v>
      </c>
      <c r="N104" s="160" t="s">
        <v>4279</v>
      </c>
      <c r="O104" s="139" t="s">
        <v>255</v>
      </c>
      <c r="P104" s="39" t="s">
        <v>256</v>
      </c>
      <c r="Q104" s="228" t="s">
        <v>3245</v>
      </c>
      <c r="R104" s="200" t="s">
        <v>2944</v>
      </c>
      <c r="S104" s="141" t="s">
        <v>258</v>
      </c>
      <c r="T104" s="241"/>
    </row>
    <row r="105" spans="1:20" ht="58" customHeight="1">
      <c r="A105" s="230" t="s">
        <v>2437</v>
      </c>
      <c r="B105" s="41" t="s">
        <v>6</v>
      </c>
      <c r="C105" s="40" t="s">
        <v>1531</v>
      </c>
      <c r="D105" s="40" t="s">
        <v>248</v>
      </c>
      <c r="E105" s="199" t="s">
        <v>747</v>
      </c>
      <c r="F105" s="199" t="s">
        <v>4027</v>
      </c>
      <c r="G105" s="243" t="s">
        <v>3027</v>
      </c>
      <c r="H105" s="41" t="s">
        <v>958</v>
      </c>
      <c r="I105" s="246" t="s">
        <v>3035</v>
      </c>
      <c r="J105" s="232" t="s">
        <v>3243</v>
      </c>
      <c r="K105" s="161"/>
      <c r="L105" s="240"/>
      <c r="M105" s="240"/>
      <c r="N105" s="160"/>
      <c r="O105" s="139" t="s">
        <v>243</v>
      </c>
      <c r="P105" s="39" t="s">
        <v>247</v>
      </c>
      <c r="Q105" s="228" t="s">
        <v>3245</v>
      </c>
      <c r="R105" s="200" t="s">
        <v>2940</v>
      </c>
      <c r="S105" s="141" t="s">
        <v>246</v>
      </c>
      <c r="T105" s="241"/>
    </row>
    <row r="106" spans="1:20" ht="58" customHeight="1">
      <c r="A106" s="230" t="s">
        <v>2437</v>
      </c>
      <c r="B106" s="41" t="s">
        <v>6</v>
      </c>
      <c r="C106" s="40" t="s">
        <v>1531</v>
      </c>
      <c r="D106" s="40" t="s">
        <v>250</v>
      </c>
      <c r="E106" s="199" t="s">
        <v>3782</v>
      </c>
      <c r="F106" s="199" t="s">
        <v>3299</v>
      </c>
      <c r="G106" s="243" t="s">
        <v>3300</v>
      </c>
      <c r="H106" s="41" t="s">
        <v>2</v>
      </c>
      <c r="I106" s="246" t="s">
        <v>3034</v>
      </c>
      <c r="J106" s="232" t="s">
        <v>3243</v>
      </c>
      <c r="K106" s="161"/>
      <c r="L106" s="240"/>
      <c r="M106" s="240"/>
      <c r="N106" s="160"/>
      <c r="O106" s="139" t="s">
        <v>243</v>
      </c>
      <c r="P106" s="39" t="s">
        <v>249</v>
      </c>
      <c r="Q106" s="228" t="s">
        <v>3245</v>
      </c>
      <c r="R106" s="200" t="s">
        <v>2966</v>
      </c>
      <c r="S106" s="141" t="s">
        <v>246</v>
      </c>
      <c r="T106" s="241"/>
    </row>
    <row r="107" spans="1:20" ht="58" customHeight="1">
      <c r="A107" s="230" t="s">
        <v>2437</v>
      </c>
      <c r="B107" s="41" t="s">
        <v>6</v>
      </c>
      <c r="C107" s="40" t="s">
        <v>1531</v>
      </c>
      <c r="D107" s="40" t="s">
        <v>252</v>
      </c>
      <c r="E107" s="199" t="s">
        <v>3783</v>
      </c>
      <c r="F107" s="199" t="s">
        <v>3301</v>
      </c>
      <c r="G107" s="243" t="s">
        <v>3302</v>
      </c>
      <c r="H107" s="41" t="s">
        <v>2</v>
      </c>
      <c r="I107" s="246" t="s">
        <v>3034</v>
      </c>
      <c r="J107" s="232" t="s">
        <v>3243</v>
      </c>
      <c r="K107" s="161"/>
      <c r="L107" s="240"/>
      <c r="M107" s="240"/>
      <c r="N107" s="160"/>
      <c r="O107" s="139" t="s">
        <v>243</v>
      </c>
      <c r="P107" s="39" t="s">
        <v>251</v>
      </c>
      <c r="Q107" s="228" t="s">
        <v>3245</v>
      </c>
      <c r="R107" s="200" t="s">
        <v>2966</v>
      </c>
      <c r="S107" s="141" t="s">
        <v>246</v>
      </c>
      <c r="T107" s="241"/>
    </row>
    <row r="108" spans="1:20" ht="58" customHeight="1">
      <c r="A108" s="230" t="s">
        <v>2437</v>
      </c>
      <c r="B108" s="41" t="s">
        <v>6</v>
      </c>
      <c r="C108" s="40" t="s">
        <v>1531</v>
      </c>
      <c r="D108" s="40" t="s">
        <v>260</v>
      </c>
      <c r="E108" s="199" t="s">
        <v>749</v>
      </c>
      <c r="F108" s="199" t="s">
        <v>4083</v>
      </c>
      <c r="G108" s="243" t="s">
        <v>3030</v>
      </c>
      <c r="H108" s="41" t="s">
        <v>1522</v>
      </c>
      <c r="I108" s="246" t="s">
        <v>3036</v>
      </c>
      <c r="J108" s="232" t="s">
        <v>3872</v>
      </c>
      <c r="K108" s="161" t="s">
        <v>4499</v>
      </c>
      <c r="L108" s="240" t="s">
        <v>4512</v>
      </c>
      <c r="M108" s="240" t="s">
        <v>4513</v>
      </c>
      <c r="N108" s="160" t="s">
        <v>4278</v>
      </c>
      <c r="O108" s="139" t="s">
        <v>255</v>
      </c>
      <c r="P108" s="39" t="s">
        <v>259</v>
      </c>
      <c r="Q108" s="228" t="s">
        <v>3245</v>
      </c>
      <c r="R108" s="200" t="s">
        <v>2944</v>
      </c>
      <c r="S108" s="141" t="s">
        <v>258</v>
      </c>
      <c r="T108" s="241"/>
    </row>
    <row r="109" spans="1:20" ht="58" customHeight="1">
      <c r="A109" s="230" t="s">
        <v>2437</v>
      </c>
      <c r="B109" s="41" t="s">
        <v>6</v>
      </c>
      <c r="C109" s="40" t="s">
        <v>1531</v>
      </c>
      <c r="D109" s="40" t="s">
        <v>262</v>
      </c>
      <c r="E109" s="199" t="s">
        <v>750</v>
      </c>
      <c r="F109" s="199" t="s">
        <v>4028</v>
      </c>
      <c r="G109" s="243" t="s">
        <v>3030</v>
      </c>
      <c r="H109" s="41" t="s">
        <v>1522</v>
      </c>
      <c r="I109" s="246" t="s">
        <v>4500</v>
      </c>
      <c r="J109" s="232" t="s">
        <v>3873</v>
      </c>
      <c r="K109" s="161" t="s">
        <v>4273</v>
      </c>
      <c r="L109" s="240" t="s">
        <v>4432</v>
      </c>
      <c r="M109" s="240"/>
      <c r="N109" s="160" t="s">
        <v>4279</v>
      </c>
      <c r="O109" s="139" t="s">
        <v>255</v>
      </c>
      <c r="P109" s="39" t="s">
        <v>261</v>
      </c>
      <c r="Q109" s="228" t="s">
        <v>3245</v>
      </c>
      <c r="R109" s="200" t="s">
        <v>2944</v>
      </c>
      <c r="S109" s="141" t="s">
        <v>258</v>
      </c>
      <c r="T109" s="241"/>
    </row>
    <row r="110" spans="1:20" ht="58" customHeight="1">
      <c r="A110" s="230" t="s">
        <v>2437</v>
      </c>
      <c r="B110" s="41" t="s">
        <v>6</v>
      </c>
      <c r="C110" s="40" t="s">
        <v>1531</v>
      </c>
      <c r="D110" s="40" t="s">
        <v>254</v>
      </c>
      <c r="E110" s="199" t="s">
        <v>3784</v>
      </c>
      <c r="F110" s="199" t="s">
        <v>3303</v>
      </c>
      <c r="G110" s="243" t="s">
        <v>4570</v>
      </c>
      <c r="H110" s="41" t="s">
        <v>3</v>
      </c>
      <c r="I110" s="246" t="s">
        <v>3038</v>
      </c>
      <c r="J110" s="232" t="s">
        <v>3243</v>
      </c>
      <c r="K110" s="161"/>
      <c r="L110" s="240"/>
      <c r="M110" s="240"/>
      <c r="N110" s="160"/>
      <c r="O110" s="139" t="s">
        <v>243</v>
      </c>
      <c r="P110" s="39" t="s">
        <v>253</v>
      </c>
      <c r="Q110" s="228" t="s">
        <v>3245</v>
      </c>
      <c r="R110" s="200" t="s">
        <v>2966</v>
      </c>
      <c r="S110" s="141" t="s">
        <v>246</v>
      </c>
      <c r="T110" s="241"/>
    </row>
    <row r="111" spans="1:20" ht="58" customHeight="1">
      <c r="A111" s="230" t="s">
        <v>2437</v>
      </c>
      <c r="B111" s="41" t="s">
        <v>6</v>
      </c>
      <c r="C111" s="40" t="s">
        <v>1531</v>
      </c>
      <c r="D111" s="40" t="s">
        <v>4120</v>
      </c>
      <c r="E111" s="199" t="s">
        <v>751</v>
      </c>
      <c r="F111" s="199" t="s">
        <v>4029</v>
      </c>
      <c r="G111" s="243" t="s">
        <v>3029</v>
      </c>
      <c r="H111" s="41" t="s">
        <v>1522</v>
      </c>
      <c r="I111" s="246" t="s">
        <v>3036</v>
      </c>
      <c r="J111" s="232" t="s">
        <v>3874</v>
      </c>
      <c r="K111" s="161" t="s">
        <v>4121</v>
      </c>
      <c r="L111" s="240" t="s">
        <v>4308</v>
      </c>
      <c r="M111" s="240" t="s">
        <v>4309</v>
      </c>
      <c r="N111" s="160" t="s">
        <v>4278</v>
      </c>
      <c r="O111" s="139" t="s">
        <v>263</v>
      </c>
      <c r="P111" s="39" t="s">
        <v>4119</v>
      </c>
      <c r="Q111" s="228" t="s">
        <v>3245</v>
      </c>
      <c r="R111" s="200" t="s">
        <v>2943</v>
      </c>
      <c r="S111" s="141" t="s">
        <v>265</v>
      </c>
      <c r="T111" s="241"/>
    </row>
    <row r="112" spans="1:20" ht="58" customHeight="1">
      <c r="A112" s="230" t="s">
        <v>2437</v>
      </c>
      <c r="B112" s="41" t="s">
        <v>6</v>
      </c>
      <c r="C112" s="40" t="s">
        <v>1531</v>
      </c>
      <c r="D112" s="40" t="s">
        <v>4122</v>
      </c>
      <c r="E112" s="199" t="s">
        <v>751</v>
      </c>
      <c r="F112" s="199" t="s">
        <v>4029</v>
      </c>
      <c r="G112" s="243" t="s">
        <v>3029</v>
      </c>
      <c r="H112" s="41" t="s">
        <v>1522</v>
      </c>
      <c r="I112" s="246" t="s">
        <v>3036</v>
      </c>
      <c r="J112" s="232" t="s">
        <v>3874</v>
      </c>
      <c r="K112" s="161" t="s">
        <v>4124</v>
      </c>
      <c r="L112" s="240" t="s">
        <v>4310</v>
      </c>
      <c r="M112" s="240" t="s">
        <v>4311</v>
      </c>
      <c r="N112" s="160" t="s">
        <v>4278</v>
      </c>
      <c r="O112" s="139" t="s">
        <v>263</v>
      </c>
      <c r="P112" s="39" t="s">
        <v>4123</v>
      </c>
      <c r="Q112" s="228" t="s">
        <v>3245</v>
      </c>
      <c r="R112" s="200" t="s">
        <v>2943</v>
      </c>
      <c r="S112" s="141" t="s">
        <v>265</v>
      </c>
      <c r="T112" s="241"/>
    </row>
    <row r="113" spans="1:20" ht="58" customHeight="1">
      <c r="A113" s="230" t="s">
        <v>2437</v>
      </c>
      <c r="B113" s="41" t="s">
        <v>6</v>
      </c>
      <c r="C113" s="40" t="s">
        <v>1531</v>
      </c>
      <c r="D113" s="40" t="s">
        <v>267</v>
      </c>
      <c r="E113" s="199" t="s">
        <v>752</v>
      </c>
      <c r="F113" s="199" t="s">
        <v>4030</v>
      </c>
      <c r="G113" s="243" t="s">
        <v>3030</v>
      </c>
      <c r="H113" s="41" t="s">
        <v>1522</v>
      </c>
      <c r="I113" s="246" t="s">
        <v>3036</v>
      </c>
      <c r="J113" s="232" t="s">
        <v>3875</v>
      </c>
      <c r="K113" s="161" t="s">
        <v>4557</v>
      </c>
      <c r="L113" s="240"/>
      <c r="M113" s="240"/>
      <c r="N113" s="160"/>
      <c r="O113" s="139" t="s">
        <v>263</v>
      </c>
      <c r="P113" s="39" t="s">
        <v>266</v>
      </c>
      <c r="Q113" s="228" t="s">
        <v>3245</v>
      </c>
      <c r="R113" s="200" t="s">
        <v>2944</v>
      </c>
      <c r="S113" s="141" t="s">
        <v>265</v>
      </c>
      <c r="T113" s="241"/>
    </row>
    <row r="114" spans="1:20" ht="58" customHeight="1">
      <c r="A114" s="230" t="s">
        <v>2437</v>
      </c>
      <c r="B114" s="41" t="s">
        <v>6</v>
      </c>
      <c r="C114" s="40" t="s">
        <v>1531</v>
      </c>
      <c r="D114" s="40" t="s">
        <v>269</v>
      </c>
      <c r="E114" s="199" t="s">
        <v>753</v>
      </c>
      <c r="F114" s="199" t="s">
        <v>4031</v>
      </c>
      <c r="G114" s="243" t="s">
        <v>3030</v>
      </c>
      <c r="H114" s="41" t="s">
        <v>1522</v>
      </c>
      <c r="I114" s="246" t="s">
        <v>3036</v>
      </c>
      <c r="J114" s="232" t="s">
        <v>3876</v>
      </c>
      <c r="K114" s="161" t="s">
        <v>4542</v>
      </c>
      <c r="L114" s="240" t="s">
        <v>4544</v>
      </c>
      <c r="M114" s="240"/>
      <c r="N114" s="160" t="s">
        <v>4278</v>
      </c>
      <c r="O114" s="139" t="s">
        <v>263</v>
      </c>
      <c r="P114" s="39" t="s">
        <v>268</v>
      </c>
      <c r="Q114" s="228" t="s">
        <v>3245</v>
      </c>
      <c r="R114" s="200" t="s">
        <v>2944</v>
      </c>
      <c r="S114" s="141" t="s">
        <v>265</v>
      </c>
      <c r="T114" s="241"/>
    </row>
    <row r="115" spans="1:20" ht="58" customHeight="1">
      <c r="A115" s="230" t="s">
        <v>2437</v>
      </c>
      <c r="B115" s="41" t="s">
        <v>6</v>
      </c>
      <c r="C115" s="40" t="s">
        <v>1531</v>
      </c>
      <c r="D115" s="40" t="s">
        <v>271</v>
      </c>
      <c r="E115" s="199" t="s">
        <v>754</v>
      </c>
      <c r="F115" s="199" t="s">
        <v>4080</v>
      </c>
      <c r="G115" s="243" t="s">
        <v>3029</v>
      </c>
      <c r="H115" s="41" t="s">
        <v>1522</v>
      </c>
      <c r="I115" s="246" t="s">
        <v>3036</v>
      </c>
      <c r="J115" s="232" t="s">
        <v>3877</v>
      </c>
      <c r="K115" s="161" t="s">
        <v>4245</v>
      </c>
      <c r="L115" s="240" t="s">
        <v>4659</v>
      </c>
      <c r="M115" s="240" t="s">
        <v>4660</v>
      </c>
      <c r="N115" s="160" t="s">
        <v>4279</v>
      </c>
      <c r="O115" s="139" t="s">
        <v>263</v>
      </c>
      <c r="P115" s="39" t="s">
        <v>270</v>
      </c>
      <c r="Q115" s="228" t="s">
        <v>3245</v>
      </c>
      <c r="R115" s="200" t="s">
        <v>2943</v>
      </c>
      <c r="S115" s="141" t="s">
        <v>265</v>
      </c>
      <c r="T115" s="241" t="s">
        <v>4489</v>
      </c>
    </row>
    <row r="116" spans="1:20" ht="58" customHeight="1">
      <c r="A116" s="230" t="s">
        <v>2437</v>
      </c>
      <c r="B116" s="41" t="s">
        <v>6</v>
      </c>
      <c r="C116" s="40" t="s">
        <v>1531</v>
      </c>
      <c r="D116" s="40" t="s">
        <v>273</v>
      </c>
      <c r="E116" s="199" t="s">
        <v>755</v>
      </c>
      <c r="F116" s="199" t="s">
        <v>4032</v>
      </c>
      <c r="G116" s="243" t="s">
        <v>3026</v>
      </c>
      <c r="H116" s="41" t="s">
        <v>2</v>
      </c>
      <c r="I116" s="246" t="s">
        <v>3034</v>
      </c>
      <c r="J116" s="232" t="s">
        <v>3243</v>
      </c>
      <c r="K116" s="161"/>
      <c r="L116" s="240"/>
      <c r="M116" s="240"/>
      <c r="N116" s="160"/>
      <c r="O116" s="139" t="s">
        <v>263</v>
      </c>
      <c r="P116" s="39" t="s">
        <v>272</v>
      </c>
      <c r="Q116" s="228" t="s">
        <v>3245</v>
      </c>
      <c r="R116" s="200" t="s">
        <v>2963</v>
      </c>
      <c r="S116" s="141" t="s">
        <v>265</v>
      </c>
      <c r="T116" s="241"/>
    </row>
    <row r="117" spans="1:20" ht="58" customHeight="1">
      <c r="A117" s="230" t="s">
        <v>2437</v>
      </c>
      <c r="B117" s="41" t="s">
        <v>6</v>
      </c>
      <c r="C117" s="40" t="s">
        <v>1531</v>
      </c>
      <c r="D117" s="40" t="s">
        <v>275</v>
      </c>
      <c r="E117" s="199" t="s">
        <v>756</v>
      </c>
      <c r="F117" s="199" t="s">
        <v>4650</v>
      </c>
      <c r="G117" s="243" t="s">
        <v>4651</v>
      </c>
      <c r="H117" s="41" t="s">
        <v>1522</v>
      </c>
      <c r="I117" s="246" t="s">
        <v>3036</v>
      </c>
      <c r="J117" s="232" t="s">
        <v>3243</v>
      </c>
      <c r="K117" s="161" t="s">
        <v>4269</v>
      </c>
      <c r="L117" s="240" t="s">
        <v>4652</v>
      </c>
      <c r="M117" s="240"/>
      <c r="N117" s="160" t="s">
        <v>4278</v>
      </c>
      <c r="O117" s="139" t="s">
        <v>263</v>
      </c>
      <c r="P117" s="39" t="s">
        <v>274</v>
      </c>
      <c r="Q117" s="228" t="s">
        <v>3245</v>
      </c>
      <c r="R117" s="200" t="s">
        <v>2963</v>
      </c>
      <c r="S117" s="141" t="s">
        <v>265</v>
      </c>
      <c r="T117" s="241"/>
    </row>
    <row r="118" spans="1:20" ht="58" customHeight="1">
      <c r="A118" s="230" t="s">
        <v>2437</v>
      </c>
      <c r="B118" s="41" t="s">
        <v>6</v>
      </c>
      <c r="C118" s="40" t="s">
        <v>1531</v>
      </c>
      <c r="D118" s="40" t="s">
        <v>277</v>
      </c>
      <c r="E118" s="199" t="s">
        <v>3785</v>
      </c>
      <c r="F118" s="199" t="s">
        <v>3332</v>
      </c>
      <c r="G118" s="243" t="s">
        <v>4571</v>
      </c>
      <c r="H118" s="41" t="s">
        <v>3</v>
      </c>
      <c r="I118" s="246" t="s">
        <v>3038</v>
      </c>
      <c r="J118" s="232" t="s">
        <v>3243</v>
      </c>
      <c r="K118" s="161"/>
      <c r="L118" s="240"/>
      <c r="M118" s="240"/>
      <c r="N118" s="160"/>
      <c r="O118" s="139" t="s">
        <v>263</v>
      </c>
      <c r="P118" s="39" t="s">
        <v>276</v>
      </c>
      <c r="Q118" s="228" t="s">
        <v>3245</v>
      </c>
      <c r="R118" s="200" t="s">
        <v>2979</v>
      </c>
      <c r="S118" s="141" t="s">
        <v>265</v>
      </c>
      <c r="T118" s="241"/>
    </row>
    <row r="119" spans="1:20" ht="58" customHeight="1">
      <c r="A119" s="230" t="s">
        <v>2437</v>
      </c>
      <c r="B119" s="41" t="s">
        <v>6</v>
      </c>
      <c r="C119" s="40" t="s">
        <v>1530</v>
      </c>
      <c r="D119" s="40" t="s">
        <v>4126</v>
      </c>
      <c r="E119" s="199" t="s">
        <v>740</v>
      </c>
      <c r="F119" s="199" t="s">
        <v>4033</v>
      </c>
      <c r="G119" s="243" t="s">
        <v>3029</v>
      </c>
      <c r="H119" s="41" t="s">
        <v>1522</v>
      </c>
      <c r="I119" s="246" t="s">
        <v>3036</v>
      </c>
      <c r="J119" s="232" t="s">
        <v>3878</v>
      </c>
      <c r="K119" s="161" t="s">
        <v>4127</v>
      </c>
      <c r="L119" s="240" t="s">
        <v>4312</v>
      </c>
      <c r="M119" s="240" t="s">
        <v>4313</v>
      </c>
      <c r="N119" s="160" t="s">
        <v>4278</v>
      </c>
      <c r="O119" s="139" t="s">
        <v>231</v>
      </c>
      <c r="P119" s="39" t="s">
        <v>4125</v>
      </c>
      <c r="Q119" s="228" t="s">
        <v>3245</v>
      </c>
      <c r="R119" s="200" t="s">
        <v>2943</v>
      </c>
      <c r="S119" s="141" t="s">
        <v>233</v>
      </c>
      <c r="T119" s="241"/>
    </row>
    <row r="120" spans="1:20" ht="58" customHeight="1">
      <c r="A120" s="230" t="s">
        <v>2437</v>
      </c>
      <c r="B120" s="41" t="s">
        <v>6</v>
      </c>
      <c r="C120" s="40" t="s">
        <v>1530</v>
      </c>
      <c r="D120" s="40" t="s">
        <v>4128</v>
      </c>
      <c r="E120" s="199" t="s">
        <v>740</v>
      </c>
      <c r="F120" s="199" t="s">
        <v>4033</v>
      </c>
      <c r="G120" s="243" t="s">
        <v>3029</v>
      </c>
      <c r="H120" s="41" t="s">
        <v>1522</v>
      </c>
      <c r="I120" s="246" t="s">
        <v>3036</v>
      </c>
      <c r="J120" s="232" t="s">
        <v>3878</v>
      </c>
      <c r="K120" s="161" t="s">
        <v>4130</v>
      </c>
      <c r="L120" s="240" t="s">
        <v>4318</v>
      </c>
      <c r="M120" s="240" t="s">
        <v>4319</v>
      </c>
      <c r="N120" s="160" t="s">
        <v>4279</v>
      </c>
      <c r="O120" s="139" t="s">
        <v>231</v>
      </c>
      <c r="P120" s="39" t="s">
        <v>4129</v>
      </c>
      <c r="Q120" s="228" t="s">
        <v>3245</v>
      </c>
      <c r="R120" s="200" t="s">
        <v>2943</v>
      </c>
      <c r="S120" s="141" t="s">
        <v>233</v>
      </c>
      <c r="T120" s="241"/>
    </row>
    <row r="121" spans="1:20" ht="58" customHeight="1">
      <c r="A121" s="230" t="s">
        <v>2437</v>
      </c>
      <c r="B121" s="41" t="s">
        <v>6</v>
      </c>
      <c r="C121" s="40" t="s">
        <v>1530</v>
      </c>
      <c r="D121" s="40" t="s">
        <v>4132</v>
      </c>
      <c r="E121" s="199" t="s">
        <v>741</v>
      </c>
      <c r="F121" s="199" t="s">
        <v>4034</v>
      </c>
      <c r="G121" s="243" t="s">
        <v>3029</v>
      </c>
      <c r="H121" s="41" t="s">
        <v>1522</v>
      </c>
      <c r="I121" s="246" t="s">
        <v>4113</v>
      </c>
      <c r="J121" s="232" t="s">
        <v>3879</v>
      </c>
      <c r="K121" s="161" t="s">
        <v>4133</v>
      </c>
      <c r="L121" s="240" t="s">
        <v>4320</v>
      </c>
      <c r="M121" s="240" t="s">
        <v>4321</v>
      </c>
      <c r="N121" s="160" t="s">
        <v>4279</v>
      </c>
      <c r="O121" s="139" t="s">
        <v>231</v>
      </c>
      <c r="P121" s="39" t="s">
        <v>4131</v>
      </c>
      <c r="Q121" s="228" t="s">
        <v>3245</v>
      </c>
      <c r="R121" s="200" t="s">
        <v>2943</v>
      </c>
      <c r="S121" s="141" t="s">
        <v>233</v>
      </c>
      <c r="T121" s="241"/>
    </row>
    <row r="122" spans="1:20" ht="58" customHeight="1">
      <c r="A122" s="230" t="s">
        <v>2437</v>
      </c>
      <c r="B122" s="41" t="s">
        <v>6</v>
      </c>
      <c r="C122" s="40" t="s">
        <v>1530</v>
      </c>
      <c r="D122" s="40" t="s">
        <v>4134</v>
      </c>
      <c r="E122" s="199" t="s">
        <v>741</v>
      </c>
      <c r="F122" s="199" t="s">
        <v>4034</v>
      </c>
      <c r="G122" s="243" t="s">
        <v>3029</v>
      </c>
      <c r="H122" s="41" t="s">
        <v>1522</v>
      </c>
      <c r="I122" s="246" t="s">
        <v>4113</v>
      </c>
      <c r="J122" s="232" t="s">
        <v>3879</v>
      </c>
      <c r="K122" s="161" t="s">
        <v>4136</v>
      </c>
      <c r="L122" s="240" t="s">
        <v>4328</v>
      </c>
      <c r="M122" s="240" t="s">
        <v>4329</v>
      </c>
      <c r="N122" s="160" t="s">
        <v>4280</v>
      </c>
      <c r="O122" s="139" t="s">
        <v>231</v>
      </c>
      <c r="P122" s="39" t="s">
        <v>4135</v>
      </c>
      <c r="Q122" s="228" t="s">
        <v>3245</v>
      </c>
      <c r="R122" s="200" t="s">
        <v>2943</v>
      </c>
      <c r="S122" s="141" t="s">
        <v>233</v>
      </c>
      <c r="T122" s="241"/>
    </row>
    <row r="123" spans="1:20" ht="58" customHeight="1">
      <c r="A123" s="230" t="s">
        <v>2437</v>
      </c>
      <c r="B123" s="41" t="s">
        <v>6</v>
      </c>
      <c r="C123" s="40" t="s">
        <v>1530</v>
      </c>
      <c r="D123" s="40" t="s">
        <v>236</v>
      </c>
      <c r="E123" s="199" t="s">
        <v>742</v>
      </c>
      <c r="F123" s="199" t="s">
        <v>4035</v>
      </c>
      <c r="G123" s="243" t="s">
        <v>3026</v>
      </c>
      <c r="H123" s="41" t="s">
        <v>2</v>
      </c>
      <c r="I123" s="246" t="s">
        <v>3034</v>
      </c>
      <c r="J123" s="232" t="s">
        <v>3243</v>
      </c>
      <c r="K123" s="161"/>
      <c r="L123" s="240"/>
      <c r="M123" s="240"/>
      <c r="N123" s="160"/>
      <c r="O123" s="139" t="s">
        <v>231</v>
      </c>
      <c r="P123" s="39" t="s">
        <v>235</v>
      </c>
      <c r="Q123" s="228" t="s">
        <v>3245</v>
      </c>
      <c r="R123" s="200" t="s">
        <v>2963</v>
      </c>
      <c r="S123" s="141" t="s">
        <v>233</v>
      </c>
      <c r="T123" s="241"/>
    </row>
    <row r="124" spans="1:20" ht="58" customHeight="1">
      <c r="A124" s="230" t="s">
        <v>2437</v>
      </c>
      <c r="B124" s="41" t="s">
        <v>6</v>
      </c>
      <c r="C124" s="40" t="s">
        <v>1530</v>
      </c>
      <c r="D124" s="40" t="s">
        <v>238</v>
      </c>
      <c r="E124" s="199" t="s">
        <v>743</v>
      </c>
      <c r="F124" s="199" t="s">
        <v>4036</v>
      </c>
      <c r="G124" s="243" t="s">
        <v>3026</v>
      </c>
      <c r="H124" s="41" t="s">
        <v>2</v>
      </c>
      <c r="I124" s="246" t="s">
        <v>3034</v>
      </c>
      <c r="J124" s="232" t="s">
        <v>3243</v>
      </c>
      <c r="K124" s="161"/>
      <c r="L124" s="240"/>
      <c r="M124" s="240"/>
      <c r="N124" s="160"/>
      <c r="O124" s="139" t="s">
        <v>231</v>
      </c>
      <c r="P124" s="39" t="s">
        <v>237</v>
      </c>
      <c r="Q124" s="228" t="s">
        <v>3245</v>
      </c>
      <c r="R124" s="200" t="s">
        <v>2963</v>
      </c>
      <c r="S124" s="141" t="s">
        <v>233</v>
      </c>
      <c r="T124" s="241"/>
    </row>
    <row r="125" spans="1:20" ht="58" customHeight="1">
      <c r="A125" s="230" t="s">
        <v>2437</v>
      </c>
      <c r="B125" s="41" t="s">
        <v>6</v>
      </c>
      <c r="C125" s="40" t="s">
        <v>1530</v>
      </c>
      <c r="D125" s="40" t="s">
        <v>240</v>
      </c>
      <c r="E125" s="199" t="s">
        <v>744</v>
      </c>
      <c r="F125" s="199" t="s">
        <v>4037</v>
      </c>
      <c r="G125" s="243" t="s">
        <v>3026</v>
      </c>
      <c r="H125" s="41" t="s">
        <v>2</v>
      </c>
      <c r="I125" s="246" t="s">
        <v>3034</v>
      </c>
      <c r="J125" s="232" t="s">
        <v>3243</v>
      </c>
      <c r="K125" s="161"/>
      <c r="L125" s="240"/>
      <c r="M125" s="240"/>
      <c r="N125" s="160"/>
      <c r="O125" s="139" t="s">
        <v>231</v>
      </c>
      <c r="P125" s="39" t="s">
        <v>239</v>
      </c>
      <c r="Q125" s="228" t="s">
        <v>3245</v>
      </c>
      <c r="R125" s="200" t="s">
        <v>2963</v>
      </c>
      <c r="S125" s="141" t="s">
        <v>233</v>
      </c>
      <c r="T125" s="241"/>
    </row>
    <row r="126" spans="1:20" ht="58" customHeight="1">
      <c r="A126" s="230" t="s">
        <v>2437</v>
      </c>
      <c r="B126" s="41" t="s">
        <v>6</v>
      </c>
      <c r="C126" s="40" t="s">
        <v>1530</v>
      </c>
      <c r="D126" s="40" t="s">
        <v>242</v>
      </c>
      <c r="E126" s="199" t="s">
        <v>745</v>
      </c>
      <c r="F126" s="199" t="s">
        <v>4038</v>
      </c>
      <c r="G126" s="243" t="s">
        <v>3026</v>
      </c>
      <c r="H126" s="41" t="s">
        <v>2</v>
      </c>
      <c r="I126" s="246" t="s">
        <v>3034</v>
      </c>
      <c r="J126" s="232" t="s">
        <v>3243</v>
      </c>
      <c r="K126" s="161"/>
      <c r="L126" s="240"/>
      <c r="M126" s="240"/>
      <c r="N126" s="160"/>
      <c r="O126" s="139" t="s">
        <v>231</v>
      </c>
      <c r="P126" s="39" t="s">
        <v>241</v>
      </c>
      <c r="Q126" s="228" t="s">
        <v>3245</v>
      </c>
      <c r="R126" s="200" t="s">
        <v>2963</v>
      </c>
      <c r="S126" s="141" t="s">
        <v>233</v>
      </c>
      <c r="T126" s="241"/>
    </row>
    <row r="127" spans="1:20" ht="58" customHeight="1">
      <c r="A127" s="230" t="s">
        <v>2437</v>
      </c>
      <c r="B127" s="41" t="s">
        <v>6</v>
      </c>
      <c r="C127" s="40" t="s">
        <v>1530</v>
      </c>
      <c r="D127" s="40" t="s">
        <v>331</v>
      </c>
      <c r="E127" s="199" t="s">
        <v>3955</v>
      </c>
      <c r="F127" s="199" t="s">
        <v>3304</v>
      </c>
      <c r="G127" s="243" t="s">
        <v>4658</v>
      </c>
      <c r="H127" s="41" t="s">
        <v>1522</v>
      </c>
      <c r="I127" s="246" t="s">
        <v>3036</v>
      </c>
      <c r="J127" s="232" t="s">
        <v>3958</v>
      </c>
      <c r="K127" s="161" t="s">
        <v>4242</v>
      </c>
      <c r="L127" s="240" t="s">
        <v>4656</v>
      </c>
      <c r="M127" s="240" t="s">
        <v>4657</v>
      </c>
      <c r="N127" s="160" t="s">
        <v>4278</v>
      </c>
      <c r="O127" s="139" t="s">
        <v>329</v>
      </c>
      <c r="P127" s="39" t="s">
        <v>330</v>
      </c>
      <c r="Q127" s="228" t="s">
        <v>3245</v>
      </c>
      <c r="R127" s="200" t="s">
        <v>2983</v>
      </c>
      <c r="S127" s="141" t="s">
        <v>332</v>
      </c>
      <c r="T127" s="241"/>
    </row>
    <row r="128" spans="1:20" ht="58" customHeight="1">
      <c r="A128" s="230" t="s">
        <v>2437</v>
      </c>
      <c r="B128" s="41" t="s">
        <v>6</v>
      </c>
      <c r="C128" s="40" t="s">
        <v>1530</v>
      </c>
      <c r="D128" s="40" t="s">
        <v>334</v>
      </c>
      <c r="E128" s="199" t="s">
        <v>3948</v>
      </c>
      <c r="F128" s="199" t="s">
        <v>3949</v>
      </c>
      <c r="G128" s="243" t="s">
        <v>3950</v>
      </c>
      <c r="H128" s="41" t="s">
        <v>1522</v>
      </c>
      <c r="I128" s="246" t="s">
        <v>3036</v>
      </c>
      <c r="J128" s="232" t="s">
        <v>3957</v>
      </c>
      <c r="K128" s="161" t="s">
        <v>4269</v>
      </c>
      <c r="L128" s="240" t="s">
        <v>4661</v>
      </c>
      <c r="M128" s="240"/>
      <c r="N128" s="160" t="s">
        <v>4278</v>
      </c>
      <c r="O128" s="139" t="s">
        <v>329</v>
      </c>
      <c r="P128" s="39" t="s">
        <v>333</v>
      </c>
      <c r="Q128" s="228" t="s">
        <v>3245</v>
      </c>
      <c r="R128" s="200" t="s">
        <v>2982</v>
      </c>
      <c r="S128" s="141" t="s">
        <v>332</v>
      </c>
      <c r="T128" s="241" t="s">
        <v>3951</v>
      </c>
    </row>
    <row r="129" spans="1:20" ht="58" customHeight="1">
      <c r="A129" s="230" t="s">
        <v>2437</v>
      </c>
      <c r="B129" s="41" t="s">
        <v>6</v>
      </c>
      <c r="C129" s="40" t="s">
        <v>1530</v>
      </c>
      <c r="D129" s="40" t="s">
        <v>336</v>
      </c>
      <c r="E129" s="199" t="s">
        <v>3952</v>
      </c>
      <c r="F129" s="199" t="s">
        <v>3305</v>
      </c>
      <c r="G129" s="243" t="s">
        <v>3953</v>
      </c>
      <c r="H129" s="41" t="s">
        <v>2</v>
      </c>
      <c r="I129" s="246" t="s">
        <v>3034</v>
      </c>
      <c r="J129" s="232" t="s">
        <v>3938</v>
      </c>
      <c r="K129" s="161" t="s">
        <v>958</v>
      </c>
      <c r="L129" s="240"/>
      <c r="M129" s="240"/>
      <c r="N129" s="160"/>
      <c r="O129" s="139" t="s">
        <v>329</v>
      </c>
      <c r="P129" s="39" t="s">
        <v>335</v>
      </c>
      <c r="Q129" s="228" t="s">
        <v>3245</v>
      </c>
      <c r="R129" s="200" t="s">
        <v>2984</v>
      </c>
      <c r="S129" s="141" t="s">
        <v>332</v>
      </c>
      <c r="T129" s="241" t="s">
        <v>3954</v>
      </c>
    </row>
    <row r="130" spans="1:20" ht="58" customHeight="1">
      <c r="A130" s="230" t="s">
        <v>2437</v>
      </c>
      <c r="B130" s="41" t="s">
        <v>6</v>
      </c>
      <c r="C130" s="40" t="s">
        <v>1530</v>
      </c>
      <c r="D130" s="40" t="s">
        <v>338</v>
      </c>
      <c r="E130" s="199" t="s">
        <v>776</v>
      </c>
      <c r="F130" s="199" t="s">
        <v>4039</v>
      </c>
      <c r="G130" s="243" t="s">
        <v>3029</v>
      </c>
      <c r="H130" s="41" t="s">
        <v>1522</v>
      </c>
      <c r="I130" s="246" t="s">
        <v>3036</v>
      </c>
      <c r="J130" s="232" t="s">
        <v>3880</v>
      </c>
      <c r="K130" s="161" t="s">
        <v>4246</v>
      </c>
      <c r="L130" s="240" t="s">
        <v>4322</v>
      </c>
      <c r="M130" s="240" t="s">
        <v>4323</v>
      </c>
      <c r="N130" s="160" t="s">
        <v>4279</v>
      </c>
      <c r="O130" s="139" t="s">
        <v>329</v>
      </c>
      <c r="P130" s="39" t="s">
        <v>337</v>
      </c>
      <c r="Q130" s="228" t="s">
        <v>3245</v>
      </c>
      <c r="R130" s="200" t="s">
        <v>2943</v>
      </c>
      <c r="S130" s="141" t="s">
        <v>332</v>
      </c>
      <c r="T130" s="241"/>
    </row>
    <row r="131" spans="1:20" ht="58" customHeight="1">
      <c r="A131" s="230" t="s">
        <v>2437</v>
      </c>
      <c r="B131" s="41" t="s">
        <v>6</v>
      </c>
      <c r="C131" s="40" t="s">
        <v>1530</v>
      </c>
      <c r="D131" s="40" t="s">
        <v>340</v>
      </c>
      <c r="E131" s="199" t="s">
        <v>777</v>
      </c>
      <c r="F131" s="199" t="s">
        <v>4040</v>
      </c>
      <c r="G131" s="243" t="s">
        <v>3029</v>
      </c>
      <c r="H131" s="41" t="s">
        <v>1522</v>
      </c>
      <c r="I131" s="246" t="s">
        <v>3036</v>
      </c>
      <c r="J131" s="232" t="s">
        <v>3881</v>
      </c>
      <c r="K131" s="161" t="s">
        <v>4247</v>
      </c>
      <c r="L131" s="240" t="s">
        <v>4324</v>
      </c>
      <c r="M131" s="240" t="s">
        <v>4325</v>
      </c>
      <c r="N131" s="160" t="s">
        <v>4279</v>
      </c>
      <c r="O131" s="139" t="s">
        <v>329</v>
      </c>
      <c r="P131" s="39" t="s">
        <v>339</v>
      </c>
      <c r="Q131" s="228" t="s">
        <v>3245</v>
      </c>
      <c r="R131" s="200" t="s">
        <v>2943</v>
      </c>
      <c r="S131" s="141" t="s">
        <v>332</v>
      </c>
      <c r="T131" s="241"/>
    </row>
    <row r="132" spans="1:20" ht="58" customHeight="1">
      <c r="A132" s="230" t="s">
        <v>2437</v>
      </c>
      <c r="B132" s="41" t="s">
        <v>6</v>
      </c>
      <c r="C132" s="40" t="s">
        <v>1530</v>
      </c>
      <c r="D132" s="40" t="s">
        <v>342</v>
      </c>
      <c r="E132" s="199" t="s">
        <v>778</v>
      </c>
      <c r="F132" s="199" t="s">
        <v>4041</v>
      </c>
      <c r="G132" s="243" t="s">
        <v>3029</v>
      </c>
      <c r="H132" s="41" t="s">
        <v>1522</v>
      </c>
      <c r="I132" s="246" t="s">
        <v>3036</v>
      </c>
      <c r="J132" s="232" t="s">
        <v>3882</v>
      </c>
      <c r="K132" s="161" t="s">
        <v>4269</v>
      </c>
      <c r="L132" s="240" t="s">
        <v>4662</v>
      </c>
      <c r="M132" s="240"/>
      <c r="N132" s="160" t="s">
        <v>4278</v>
      </c>
      <c r="O132" s="139" t="s">
        <v>329</v>
      </c>
      <c r="P132" s="39" t="s">
        <v>341</v>
      </c>
      <c r="Q132" s="228" t="s">
        <v>3245</v>
      </c>
      <c r="R132" s="200" t="s">
        <v>2943</v>
      </c>
      <c r="S132" s="141" t="s">
        <v>332</v>
      </c>
      <c r="T132" s="241"/>
    </row>
    <row r="133" spans="1:20" ht="58" customHeight="1">
      <c r="A133" s="230" t="s">
        <v>2437</v>
      </c>
      <c r="B133" s="41" t="s">
        <v>6</v>
      </c>
      <c r="C133" s="40" t="s">
        <v>1530</v>
      </c>
      <c r="D133" s="40" t="s">
        <v>344</v>
      </c>
      <c r="E133" s="199" t="s">
        <v>779</v>
      </c>
      <c r="F133" s="199" t="s">
        <v>345</v>
      </c>
      <c r="G133" s="243" t="s">
        <v>3029</v>
      </c>
      <c r="H133" s="41" t="s">
        <v>1522</v>
      </c>
      <c r="I133" s="246" t="s">
        <v>4113</v>
      </c>
      <c r="J133" s="232" t="s">
        <v>3883</v>
      </c>
      <c r="K133" s="161" t="s">
        <v>4248</v>
      </c>
      <c r="L133" s="240" t="s">
        <v>4326</v>
      </c>
      <c r="M133" s="240" t="s">
        <v>4327</v>
      </c>
      <c r="N133" s="160" t="s">
        <v>4279</v>
      </c>
      <c r="O133" s="139" t="s">
        <v>329</v>
      </c>
      <c r="P133" s="39" t="s">
        <v>343</v>
      </c>
      <c r="Q133" s="228" t="s">
        <v>3245</v>
      </c>
      <c r="R133" s="200" t="s">
        <v>2943</v>
      </c>
      <c r="S133" s="141" t="s">
        <v>332</v>
      </c>
      <c r="T133" s="241"/>
    </row>
    <row r="134" spans="1:20" ht="58" customHeight="1">
      <c r="A134" s="230" t="s">
        <v>2437</v>
      </c>
      <c r="B134" s="41" t="s">
        <v>6</v>
      </c>
      <c r="C134" s="40" t="s">
        <v>1530</v>
      </c>
      <c r="D134" s="40" t="s">
        <v>347</v>
      </c>
      <c r="E134" s="199" t="s">
        <v>780</v>
      </c>
      <c r="F134" s="199" t="s">
        <v>4042</v>
      </c>
      <c r="G134" s="243" t="s">
        <v>3029</v>
      </c>
      <c r="H134" s="41" t="s">
        <v>1522</v>
      </c>
      <c r="I134" s="246" t="s">
        <v>4113</v>
      </c>
      <c r="J134" s="232" t="s">
        <v>3884</v>
      </c>
      <c r="K134" s="161" t="s">
        <v>4243</v>
      </c>
      <c r="L134" s="240" t="s">
        <v>4314</v>
      </c>
      <c r="M134" s="240" t="s">
        <v>4315</v>
      </c>
      <c r="N134" s="160" t="s">
        <v>4278</v>
      </c>
      <c r="O134" s="139" t="s">
        <v>329</v>
      </c>
      <c r="P134" s="39" t="s">
        <v>346</v>
      </c>
      <c r="Q134" s="228" t="s">
        <v>3245</v>
      </c>
      <c r="R134" s="200" t="s">
        <v>2943</v>
      </c>
      <c r="S134" s="141" t="s">
        <v>332</v>
      </c>
      <c r="T134" s="241"/>
    </row>
    <row r="135" spans="1:20" ht="58" customHeight="1">
      <c r="A135" s="230" t="s">
        <v>2437</v>
      </c>
      <c r="B135" s="41" t="s">
        <v>6</v>
      </c>
      <c r="C135" s="40" t="s">
        <v>1532</v>
      </c>
      <c r="D135" s="40" t="s">
        <v>280</v>
      </c>
      <c r="E135" s="199" t="s">
        <v>757</v>
      </c>
      <c r="F135" s="199" t="s">
        <v>4043</v>
      </c>
      <c r="G135" s="243" t="s">
        <v>3026</v>
      </c>
      <c r="H135" s="41" t="s">
        <v>2</v>
      </c>
      <c r="I135" s="246" t="s">
        <v>3034</v>
      </c>
      <c r="J135" s="232" t="s">
        <v>3243</v>
      </c>
      <c r="K135" s="161"/>
      <c r="L135" s="240"/>
      <c r="M135" s="240"/>
      <c r="N135" s="160"/>
      <c r="O135" s="139" t="s">
        <v>278</v>
      </c>
      <c r="P135" s="39" t="s">
        <v>279</v>
      </c>
      <c r="Q135" s="228" t="s">
        <v>3245</v>
      </c>
      <c r="R135" s="200" t="s">
        <v>2963</v>
      </c>
      <c r="S135" s="141" t="s">
        <v>281</v>
      </c>
      <c r="T135" s="241"/>
    </row>
    <row r="136" spans="1:20" ht="58" customHeight="1">
      <c r="A136" s="230" t="s">
        <v>2437</v>
      </c>
      <c r="B136" s="41" t="s">
        <v>6</v>
      </c>
      <c r="C136" s="40" t="s">
        <v>1532</v>
      </c>
      <c r="D136" s="40" t="s">
        <v>283</v>
      </c>
      <c r="E136" s="199" t="s">
        <v>758</v>
      </c>
      <c r="F136" s="199" t="s">
        <v>4044</v>
      </c>
      <c r="G136" s="243" t="s">
        <v>3026</v>
      </c>
      <c r="H136" s="41" t="s">
        <v>2</v>
      </c>
      <c r="I136" s="246" t="s">
        <v>3034</v>
      </c>
      <c r="J136" s="232" t="s">
        <v>3243</v>
      </c>
      <c r="K136" s="161"/>
      <c r="L136" s="240"/>
      <c r="M136" s="240"/>
      <c r="N136" s="160"/>
      <c r="O136" s="139" t="s">
        <v>278</v>
      </c>
      <c r="P136" s="39" t="s">
        <v>282</v>
      </c>
      <c r="Q136" s="228" t="s">
        <v>3245</v>
      </c>
      <c r="R136" s="200" t="s">
        <v>2963</v>
      </c>
      <c r="S136" s="141" t="s">
        <v>281</v>
      </c>
      <c r="T136" s="241"/>
    </row>
    <row r="137" spans="1:20" ht="58" customHeight="1">
      <c r="A137" s="230" t="s">
        <v>2437</v>
      </c>
      <c r="B137" s="41" t="s">
        <v>6</v>
      </c>
      <c r="C137" s="40" t="s">
        <v>1532</v>
      </c>
      <c r="D137" s="40" t="s">
        <v>285</v>
      </c>
      <c r="E137" s="199" t="s">
        <v>759</v>
      </c>
      <c r="F137" s="199" t="s">
        <v>4045</v>
      </c>
      <c r="G137" s="243" t="s">
        <v>3030</v>
      </c>
      <c r="H137" s="41" t="s">
        <v>1522</v>
      </c>
      <c r="I137" s="246" t="s">
        <v>3036</v>
      </c>
      <c r="J137" s="232" t="s">
        <v>3885</v>
      </c>
      <c r="K137" s="161" t="s">
        <v>4557</v>
      </c>
      <c r="L137" s="240"/>
      <c r="M137" s="240"/>
      <c r="N137" s="160"/>
      <c r="O137" s="139" t="s">
        <v>278</v>
      </c>
      <c r="P137" s="39" t="s">
        <v>284</v>
      </c>
      <c r="Q137" s="228" t="s">
        <v>3245</v>
      </c>
      <c r="R137" s="200" t="s">
        <v>2944</v>
      </c>
      <c r="S137" s="141" t="s">
        <v>281</v>
      </c>
      <c r="T137" s="241"/>
    </row>
    <row r="138" spans="1:20" ht="58" customHeight="1">
      <c r="A138" s="230" t="s">
        <v>2437</v>
      </c>
      <c r="B138" s="41" t="s">
        <v>6</v>
      </c>
      <c r="C138" s="40" t="s">
        <v>1532</v>
      </c>
      <c r="D138" s="40" t="s">
        <v>292</v>
      </c>
      <c r="E138" s="199" t="s">
        <v>762</v>
      </c>
      <c r="F138" s="199" t="s">
        <v>4046</v>
      </c>
      <c r="G138" s="243" t="s">
        <v>3030</v>
      </c>
      <c r="H138" s="41" t="s">
        <v>1522</v>
      </c>
      <c r="I138" s="246" t="s">
        <v>3036</v>
      </c>
      <c r="J138" s="232" t="s">
        <v>3886</v>
      </c>
      <c r="K138" s="161" t="s">
        <v>4557</v>
      </c>
      <c r="L138" s="240"/>
      <c r="M138" s="240"/>
      <c r="N138" s="160"/>
      <c r="O138" s="139" t="s">
        <v>290</v>
      </c>
      <c r="P138" s="39" t="s">
        <v>291</v>
      </c>
      <c r="Q138" s="228" t="s">
        <v>3245</v>
      </c>
      <c r="R138" s="200" t="s">
        <v>2944</v>
      </c>
      <c r="S138" s="141" t="s">
        <v>293</v>
      </c>
      <c r="T138" s="241"/>
    </row>
    <row r="139" spans="1:20" ht="58" customHeight="1">
      <c r="A139" s="230" t="s">
        <v>2437</v>
      </c>
      <c r="B139" s="41" t="s">
        <v>6</v>
      </c>
      <c r="C139" s="40" t="s">
        <v>1532</v>
      </c>
      <c r="D139" s="40" t="s">
        <v>295</v>
      </c>
      <c r="E139" s="199" t="s">
        <v>763</v>
      </c>
      <c r="F139" s="199" t="s">
        <v>4047</v>
      </c>
      <c r="G139" s="243" t="s">
        <v>3030</v>
      </c>
      <c r="H139" s="41" t="s">
        <v>1522</v>
      </c>
      <c r="I139" s="246" t="s">
        <v>3036</v>
      </c>
      <c r="J139" s="232" t="s">
        <v>3887</v>
      </c>
      <c r="K139" s="161" t="s">
        <v>4557</v>
      </c>
      <c r="L139" s="240"/>
      <c r="M139" s="240"/>
      <c r="N139" s="160"/>
      <c r="O139" s="139" t="s">
        <v>290</v>
      </c>
      <c r="P139" s="39" t="s">
        <v>294</v>
      </c>
      <c r="Q139" s="228" t="s">
        <v>3245</v>
      </c>
      <c r="R139" s="200" t="s">
        <v>2944</v>
      </c>
      <c r="S139" s="141" t="s">
        <v>293</v>
      </c>
      <c r="T139" s="241"/>
    </row>
    <row r="140" spans="1:20" ht="58" customHeight="1">
      <c r="A140" s="230" t="s">
        <v>2437</v>
      </c>
      <c r="B140" s="41" t="s">
        <v>6</v>
      </c>
      <c r="C140" s="40" t="s">
        <v>1532</v>
      </c>
      <c r="D140" s="40" t="s">
        <v>297</v>
      </c>
      <c r="E140" s="199" t="s">
        <v>764</v>
      </c>
      <c r="F140" s="199" t="s">
        <v>4048</v>
      </c>
      <c r="G140" s="243" t="s">
        <v>3030</v>
      </c>
      <c r="H140" s="41" t="s">
        <v>1522</v>
      </c>
      <c r="I140" s="246" t="s">
        <v>3036</v>
      </c>
      <c r="J140" s="232" t="s">
        <v>3888</v>
      </c>
      <c r="K140" s="161" t="s">
        <v>4557</v>
      </c>
      <c r="L140" s="240"/>
      <c r="M140" s="240"/>
      <c r="N140" s="160"/>
      <c r="O140" s="139" t="s">
        <v>290</v>
      </c>
      <c r="P140" s="39" t="s">
        <v>296</v>
      </c>
      <c r="Q140" s="228" t="s">
        <v>3245</v>
      </c>
      <c r="R140" s="200" t="s">
        <v>2944</v>
      </c>
      <c r="S140" s="141" t="s">
        <v>293</v>
      </c>
      <c r="T140" s="241"/>
    </row>
    <row r="141" spans="1:20" ht="58" customHeight="1">
      <c r="A141" s="230" t="s">
        <v>2437</v>
      </c>
      <c r="B141" s="41" t="s">
        <v>6</v>
      </c>
      <c r="C141" s="40" t="s">
        <v>1532</v>
      </c>
      <c r="D141" s="40" t="s">
        <v>299</v>
      </c>
      <c r="E141" s="199" t="s">
        <v>765</v>
      </c>
      <c r="F141" s="199" t="s">
        <v>4049</v>
      </c>
      <c r="G141" s="243" t="s">
        <v>3030</v>
      </c>
      <c r="H141" s="41" t="s">
        <v>1522</v>
      </c>
      <c r="I141" s="246" t="s">
        <v>3036</v>
      </c>
      <c r="J141" s="232" t="s">
        <v>3889</v>
      </c>
      <c r="K141" s="161" t="s">
        <v>4557</v>
      </c>
      <c r="L141" s="240"/>
      <c r="M141" s="240"/>
      <c r="N141" s="160"/>
      <c r="O141" s="139" t="s">
        <v>290</v>
      </c>
      <c r="P141" s="39" t="s">
        <v>298</v>
      </c>
      <c r="Q141" s="228" t="s">
        <v>3245</v>
      </c>
      <c r="R141" s="200" t="s">
        <v>2944</v>
      </c>
      <c r="S141" s="141" t="s">
        <v>293</v>
      </c>
      <c r="T141" s="241"/>
    </row>
    <row r="142" spans="1:20" ht="58" customHeight="1">
      <c r="A142" s="230" t="s">
        <v>2437</v>
      </c>
      <c r="B142" s="41" t="s">
        <v>6</v>
      </c>
      <c r="C142" s="40" t="s">
        <v>1532</v>
      </c>
      <c r="D142" s="40" t="s">
        <v>301</v>
      </c>
      <c r="E142" s="199" t="s">
        <v>766</v>
      </c>
      <c r="F142" s="199" t="s">
        <v>4050</v>
      </c>
      <c r="G142" s="243" t="s">
        <v>3030</v>
      </c>
      <c r="H142" s="41" t="s">
        <v>1522</v>
      </c>
      <c r="I142" s="246" t="s">
        <v>3036</v>
      </c>
      <c r="J142" s="232" t="s">
        <v>3890</v>
      </c>
      <c r="K142" s="161" t="s">
        <v>4557</v>
      </c>
      <c r="L142" s="240"/>
      <c r="M142" s="240"/>
      <c r="N142" s="160"/>
      <c r="O142" s="139" t="s">
        <v>290</v>
      </c>
      <c r="P142" s="39" t="s">
        <v>300</v>
      </c>
      <c r="Q142" s="228" t="s">
        <v>3245</v>
      </c>
      <c r="R142" s="200" t="s">
        <v>2944</v>
      </c>
      <c r="S142" s="141" t="s">
        <v>293</v>
      </c>
      <c r="T142" s="241"/>
    </row>
    <row r="143" spans="1:20" ht="58" customHeight="1">
      <c r="A143" s="230" t="s">
        <v>2437</v>
      </c>
      <c r="B143" s="41" t="s">
        <v>6</v>
      </c>
      <c r="C143" s="40" t="s">
        <v>1532</v>
      </c>
      <c r="D143" s="40" t="s">
        <v>287</v>
      </c>
      <c r="E143" s="199" t="s">
        <v>760</v>
      </c>
      <c r="F143" s="199" t="s">
        <v>4051</v>
      </c>
      <c r="G143" s="243" t="s">
        <v>3030</v>
      </c>
      <c r="H143" s="41" t="s">
        <v>1522</v>
      </c>
      <c r="I143" s="246" t="s">
        <v>3036</v>
      </c>
      <c r="J143" s="232" t="s">
        <v>3891</v>
      </c>
      <c r="K143" s="161" t="s">
        <v>4557</v>
      </c>
      <c r="L143" s="240"/>
      <c r="M143" s="240"/>
      <c r="N143" s="160"/>
      <c r="O143" s="139" t="s">
        <v>278</v>
      </c>
      <c r="P143" s="39" t="s">
        <v>286</v>
      </c>
      <c r="Q143" s="228" t="s">
        <v>3245</v>
      </c>
      <c r="R143" s="200" t="s">
        <v>2944</v>
      </c>
      <c r="S143" s="141" t="s">
        <v>281</v>
      </c>
      <c r="T143" s="241"/>
    </row>
    <row r="144" spans="1:20" ht="58" customHeight="1">
      <c r="A144" s="230" t="s">
        <v>2437</v>
      </c>
      <c r="B144" s="41" t="s">
        <v>6</v>
      </c>
      <c r="C144" s="40" t="s">
        <v>1532</v>
      </c>
      <c r="D144" s="40" t="s">
        <v>306</v>
      </c>
      <c r="E144" s="199" t="s">
        <v>768</v>
      </c>
      <c r="F144" s="199" t="s">
        <v>4084</v>
      </c>
      <c r="G144" s="243" t="s">
        <v>3030</v>
      </c>
      <c r="H144" s="41" t="s">
        <v>1522</v>
      </c>
      <c r="I144" s="246" t="s">
        <v>3036</v>
      </c>
      <c r="J144" s="232" t="s">
        <v>3892</v>
      </c>
      <c r="K144" s="161" t="s">
        <v>4557</v>
      </c>
      <c r="L144" s="240"/>
      <c r="M144" s="240"/>
      <c r="N144" s="160"/>
      <c r="O144" s="139" t="s">
        <v>304</v>
      </c>
      <c r="P144" s="39" t="s">
        <v>305</v>
      </c>
      <c r="Q144" s="228" t="s">
        <v>3245</v>
      </c>
      <c r="R144" s="200" t="s">
        <v>2944</v>
      </c>
      <c r="S144" s="141" t="s">
        <v>307</v>
      </c>
      <c r="T144" s="241"/>
    </row>
    <row r="145" spans="1:20" ht="58" customHeight="1">
      <c r="A145" s="230" t="s">
        <v>2437</v>
      </c>
      <c r="B145" s="41" t="s">
        <v>6</v>
      </c>
      <c r="C145" s="40" t="s">
        <v>1532</v>
      </c>
      <c r="D145" s="40" t="s">
        <v>309</v>
      </c>
      <c r="E145" s="199" t="s">
        <v>769</v>
      </c>
      <c r="F145" s="199" t="s">
        <v>4085</v>
      </c>
      <c r="G145" s="243" t="s">
        <v>3030</v>
      </c>
      <c r="H145" s="41" t="s">
        <v>1522</v>
      </c>
      <c r="I145" s="246" t="s">
        <v>3036</v>
      </c>
      <c r="J145" s="232" t="s">
        <v>3893</v>
      </c>
      <c r="K145" s="161" t="s">
        <v>4517</v>
      </c>
      <c r="L145" s="240" t="s">
        <v>4518</v>
      </c>
      <c r="M145" s="240" t="s">
        <v>4519</v>
      </c>
      <c r="N145" s="160" t="s">
        <v>4279</v>
      </c>
      <c r="O145" s="139" t="s">
        <v>304</v>
      </c>
      <c r="P145" s="39" t="s">
        <v>308</v>
      </c>
      <c r="Q145" s="228" t="s">
        <v>3245</v>
      </c>
      <c r="R145" s="200" t="s">
        <v>2944</v>
      </c>
      <c r="S145" s="141" t="s">
        <v>307</v>
      </c>
      <c r="T145" s="241"/>
    </row>
    <row r="146" spans="1:20" ht="58" customHeight="1">
      <c r="A146" s="230" t="s">
        <v>2437</v>
      </c>
      <c r="B146" s="41" t="s">
        <v>6</v>
      </c>
      <c r="C146" s="40" t="s">
        <v>1532</v>
      </c>
      <c r="D146" s="40" t="s">
        <v>319</v>
      </c>
      <c r="E146" s="199" t="s">
        <v>3786</v>
      </c>
      <c r="F146" s="199" t="s">
        <v>4052</v>
      </c>
      <c r="G146" s="243" t="s">
        <v>3026</v>
      </c>
      <c r="H146" s="41" t="s">
        <v>2</v>
      </c>
      <c r="I146" s="246" t="s">
        <v>3034</v>
      </c>
      <c r="J146" s="232" t="s">
        <v>3243</v>
      </c>
      <c r="K146" s="161"/>
      <c r="L146" s="240"/>
      <c r="M146" s="240"/>
      <c r="N146" s="160"/>
      <c r="O146" s="139" t="s">
        <v>317</v>
      </c>
      <c r="P146" s="39" t="s">
        <v>318</v>
      </c>
      <c r="Q146" s="228" t="s">
        <v>3245</v>
      </c>
      <c r="R146" s="200" t="s">
        <v>2967</v>
      </c>
      <c r="S146" s="141" t="s">
        <v>320</v>
      </c>
      <c r="T146" s="241"/>
    </row>
    <row r="147" spans="1:20" ht="58" customHeight="1">
      <c r="A147" s="230" t="s">
        <v>2437</v>
      </c>
      <c r="B147" s="41" t="s">
        <v>6</v>
      </c>
      <c r="C147" s="40" t="s">
        <v>1532</v>
      </c>
      <c r="D147" s="40" t="s">
        <v>311</v>
      </c>
      <c r="E147" s="199" t="s">
        <v>770</v>
      </c>
      <c r="F147" s="199" t="s">
        <v>4081</v>
      </c>
      <c r="G147" s="243" t="s">
        <v>3026</v>
      </c>
      <c r="H147" s="41" t="s">
        <v>2</v>
      </c>
      <c r="I147" s="246" t="s">
        <v>3034</v>
      </c>
      <c r="J147" s="232" t="s">
        <v>3243</v>
      </c>
      <c r="K147" s="161"/>
      <c r="L147" s="240"/>
      <c r="M147" s="240"/>
      <c r="N147" s="160"/>
      <c r="O147" s="139" t="s">
        <v>304</v>
      </c>
      <c r="P147" s="39" t="s">
        <v>310</v>
      </c>
      <c r="Q147" s="228" t="s">
        <v>3245</v>
      </c>
      <c r="R147" s="200" t="s">
        <v>2963</v>
      </c>
      <c r="S147" s="141" t="s">
        <v>307</v>
      </c>
      <c r="T147" s="241"/>
    </row>
    <row r="148" spans="1:20" ht="58" customHeight="1">
      <c r="A148" s="230" t="s">
        <v>2437</v>
      </c>
      <c r="B148" s="41" t="s">
        <v>6</v>
      </c>
      <c r="C148" s="40" t="s">
        <v>1532</v>
      </c>
      <c r="D148" s="40" t="s">
        <v>313</v>
      </c>
      <c r="E148" s="199" t="s">
        <v>771</v>
      </c>
      <c r="F148" s="199" t="s">
        <v>314</v>
      </c>
      <c r="G148" s="243" t="s">
        <v>3030</v>
      </c>
      <c r="H148" s="41" t="s">
        <v>1522</v>
      </c>
      <c r="I148" s="246" t="s">
        <v>3036</v>
      </c>
      <c r="J148" s="232" t="s">
        <v>3894</v>
      </c>
      <c r="K148" s="161" t="s">
        <v>4531</v>
      </c>
      <c r="L148" s="240" t="s">
        <v>4532</v>
      </c>
      <c r="M148" s="240" t="s">
        <v>4533</v>
      </c>
      <c r="N148" s="160" t="s">
        <v>4279</v>
      </c>
      <c r="O148" s="139" t="s">
        <v>304</v>
      </c>
      <c r="P148" s="39" t="s">
        <v>312</v>
      </c>
      <c r="Q148" s="228" t="s">
        <v>3245</v>
      </c>
      <c r="R148" s="200" t="s">
        <v>2944</v>
      </c>
      <c r="S148" s="141" t="s">
        <v>307</v>
      </c>
      <c r="T148" s="241"/>
    </row>
    <row r="149" spans="1:20" ht="58" customHeight="1">
      <c r="A149" s="230" t="s">
        <v>2437</v>
      </c>
      <c r="B149" s="41" t="s">
        <v>6</v>
      </c>
      <c r="C149" s="40" t="s">
        <v>1532</v>
      </c>
      <c r="D149" s="40" t="s">
        <v>316</v>
      </c>
      <c r="E149" s="199" t="s">
        <v>772</v>
      </c>
      <c r="F149" s="199" t="s">
        <v>4304</v>
      </c>
      <c r="G149" s="243" t="s">
        <v>4305</v>
      </c>
      <c r="H149" s="41" t="s">
        <v>3</v>
      </c>
      <c r="I149" s="246" t="s">
        <v>3038</v>
      </c>
      <c r="J149" s="232" t="s">
        <v>3895</v>
      </c>
      <c r="K149" s="161" t="s">
        <v>958</v>
      </c>
      <c r="L149" s="240"/>
      <c r="M149" s="240"/>
      <c r="N149" s="160"/>
      <c r="O149" s="139" t="s">
        <v>304</v>
      </c>
      <c r="P149" s="39" t="s">
        <v>315</v>
      </c>
      <c r="Q149" s="228" t="s">
        <v>3245</v>
      </c>
      <c r="R149" s="200" t="s">
        <v>2980</v>
      </c>
      <c r="S149" s="141" t="s">
        <v>307</v>
      </c>
      <c r="T149" s="241"/>
    </row>
    <row r="150" spans="1:20" ht="58" customHeight="1">
      <c r="A150" s="230" t="s">
        <v>2437</v>
      </c>
      <c r="B150" s="41" t="s">
        <v>6</v>
      </c>
      <c r="C150" s="40" t="s">
        <v>1532</v>
      </c>
      <c r="D150" s="40" t="s">
        <v>289</v>
      </c>
      <c r="E150" s="199" t="s">
        <v>761</v>
      </c>
      <c r="F150" s="199" t="s">
        <v>4053</v>
      </c>
      <c r="G150" s="243" t="s">
        <v>3026</v>
      </c>
      <c r="H150" s="41" t="s">
        <v>2</v>
      </c>
      <c r="I150" s="246" t="s">
        <v>3034</v>
      </c>
      <c r="J150" s="232" t="s">
        <v>3243</v>
      </c>
      <c r="K150" s="161"/>
      <c r="L150" s="240"/>
      <c r="M150" s="240"/>
      <c r="N150" s="160"/>
      <c r="O150" s="139" t="s">
        <v>278</v>
      </c>
      <c r="P150" s="39" t="s">
        <v>288</v>
      </c>
      <c r="Q150" s="228" t="s">
        <v>3245</v>
      </c>
      <c r="R150" s="200" t="s">
        <v>2963</v>
      </c>
      <c r="S150" s="141" t="s">
        <v>281</v>
      </c>
      <c r="T150" s="241"/>
    </row>
    <row r="151" spans="1:20" ht="58" customHeight="1">
      <c r="A151" s="230" t="s">
        <v>2437</v>
      </c>
      <c r="B151" s="41" t="s">
        <v>6</v>
      </c>
      <c r="C151" s="40" t="s">
        <v>1532</v>
      </c>
      <c r="D151" s="40" t="s">
        <v>322</v>
      </c>
      <c r="E151" s="199" t="s">
        <v>773</v>
      </c>
      <c r="F151" s="199" t="s">
        <v>4054</v>
      </c>
      <c r="G151" s="243" t="s">
        <v>3026</v>
      </c>
      <c r="H151" s="41" t="s">
        <v>2</v>
      </c>
      <c r="I151" s="246" t="s">
        <v>3034</v>
      </c>
      <c r="J151" s="232" t="s">
        <v>3243</v>
      </c>
      <c r="K151" s="161"/>
      <c r="L151" s="240"/>
      <c r="M151" s="240"/>
      <c r="N151" s="160"/>
      <c r="O151" s="139" t="s">
        <v>317</v>
      </c>
      <c r="P151" s="39" t="s">
        <v>321</v>
      </c>
      <c r="Q151" s="228" t="s">
        <v>3245</v>
      </c>
      <c r="R151" s="200" t="s">
        <v>2963</v>
      </c>
      <c r="S151" s="141" t="s">
        <v>320</v>
      </c>
      <c r="T151" s="241"/>
    </row>
    <row r="152" spans="1:20" ht="58" customHeight="1">
      <c r="A152" s="230" t="s">
        <v>2437</v>
      </c>
      <c r="B152" s="41" t="s">
        <v>6</v>
      </c>
      <c r="C152" s="40" t="s">
        <v>1532</v>
      </c>
      <c r="D152" s="40" t="s">
        <v>324</v>
      </c>
      <c r="E152" s="199" t="s">
        <v>3787</v>
      </c>
      <c r="F152" s="199" t="s">
        <v>3306</v>
      </c>
      <c r="G152" s="243" t="s">
        <v>3297</v>
      </c>
      <c r="H152" s="41" t="s">
        <v>2</v>
      </c>
      <c r="I152" s="246" t="s">
        <v>3034</v>
      </c>
      <c r="J152" s="232" t="s">
        <v>3243</v>
      </c>
      <c r="K152" s="161"/>
      <c r="L152" s="240"/>
      <c r="M152" s="240"/>
      <c r="N152" s="160"/>
      <c r="O152" s="139" t="s">
        <v>317</v>
      </c>
      <c r="P152" s="39" t="s">
        <v>323</v>
      </c>
      <c r="Q152" s="228" t="s">
        <v>3245</v>
      </c>
      <c r="R152" s="200" t="s">
        <v>2981</v>
      </c>
      <c r="S152" s="141" t="s">
        <v>320</v>
      </c>
      <c r="T152" s="241"/>
    </row>
    <row r="153" spans="1:20" ht="58" customHeight="1">
      <c r="A153" s="230" t="s">
        <v>2437</v>
      </c>
      <c r="B153" s="41" t="s">
        <v>6</v>
      </c>
      <c r="C153" s="40" t="s">
        <v>1532</v>
      </c>
      <c r="D153" s="40" t="s">
        <v>326</v>
      </c>
      <c r="E153" s="199" t="s">
        <v>774</v>
      </c>
      <c r="F153" s="199" t="s">
        <v>4055</v>
      </c>
      <c r="G153" s="243" t="s">
        <v>3026</v>
      </c>
      <c r="H153" s="41" t="s">
        <v>2</v>
      </c>
      <c r="I153" s="246" t="s">
        <v>3034</v>
      </c>
      <c r="J153" s="232" t="s">
        <v>3243</v>
      </c>
      <c r="K153" s="161"/>
      <c r="L153" s="240"/>
      <c r="M153" s="240"/>
      <c r="N153" s="160"/>
      <c r="O153" s="139" t="s">
        <v>317</v>
      </c>
      <c r="P153" s="39" t="s">
        <v>325</v>
      </c>
      <c r="Q153" s="228" t="s">
        <v>3245</v>
      </c>
      <c r="R153" s="200" t="s">
        <v>2968</v>
      </c>
      <c r="S153" s="141" t="s">
        <v>320</v>
      </c>
      <c r="T153" s="241"/>
    </row>
    <row r="154" spans="1:20" ht="58" customHeight="1">
      <c r="A154" s="230" t="s">
        <v>2437</v>
      </c>
      <c r="B154" s="41" t="s">
        <v>6</v>
      </c>
      <c r="C154" s="40" t="s">
        <v>1532</v>
      </c>
      <c r="D154" s="40" t="s">
        <v>328</v>
      </c>
      <c r="E154" s="199" t="s">
        <v>775</v>
      </c>
      <c r="F154" s="199" t="s">
        <v>4056</v>
      </c>
      <c r="G154" s="243" t="s">
        <v>3026</v>
      </c>
      <c r="H154" s="41" t="s">
        <v>2</v>
      </c>
      <c r="I154" s="246" t="s">
        <v>3034</v>
      </c>
      <c r="J154" s="232" t="s">
        <v>3243</v>
      </c>
      <c r="K154" s="161"/>
      <c r="L154" s="240"/>
      <c r="M154" s="240"/>
      <c r="N154" s="160"/>
      <c r="O154" s="139" t="s">
        <v>317</v>
      </c>
      <c r="P154" s="39" t="s">
        <v>327</v>
      </c>
      <c r="Q154" s="228" t="s">
        <v>3245</v>
      </c>
      <c r="R154" s="200" t="s">
        <v>2968</v>
      </c>
      <c r="S154" s="141" t="s">
        <v>320</v>
      </c>
      <c r="T154" s="241"/>
    </row>
    <row r="155" spans="1:20" ht="58" customHeight="1">
      <c r="A155" s="230" t="s">
        <v>2437</v>
      </c>
      <c r="B155" s="41" t="s">
        <v>6</v>
      </c>
      <c r="C155" s="40" t="s">
        <v>1532</v>
      </c>
      <c r="D155" s="40" t="s">
        <v>303</v>
      </c>
      <c r="E155" s="199" t="s">
        <v>767</v>
      </c>
      <c r="F155" s="199" t="s">
        <v>4633</v>
      </c>
      <c r="G155" s="243" t="s">
        <v>4634</v>
      </c>
      <c r="H155" s="41" t="s">
        <v>2</v>
      </c>
      <c r="I155" s="246" t="s">
        <v>3034</v>
      </c>
      <c r="J155" s="232" t="s">
        <v>3243</v>
      </c>
      <c r="K155" s="161" t="s">
        <v>958</v>
      </c>
      <c r="L155" s="240"/>
      <c r="M155" s="240"/>
      <c r="N155" s="160"/>
      <c r="O155" s="139" t="s">
        <v>290</v>
      </c>
      <c r="P155" s="39" t="s">
        <v>302</v>
      </c>
      <c r="Q155" s="228" t="s">
        <v>3245</v>
      </c>
      <c r="R155" s="200" t="s">
        <v>2944</v>
      </c>
      <c r="S155" s="141" t="s">
        <v>293</v>
      </c>
      <c r="T155" s="241" t="s">
        <v>4635</v>
      </c>
    </row>
    <row r="156" spans="1:20" ht="58" customHeight="1">
      <c r="A156" s="230" t="s">
        <v>2437</v>
      </c>
      <c r="B156" s="41" t="s">
        <v>6</v>
      </c>
      <c r="C156" s="40" t="s">
        <v>1534</v>
      </c>
      <c r="D156" s="40" t="s">
        <v>377</v>
      </c>
      <c r="E156" s="199" t="s">
        <v>791</v>
      </c>
      <c r="F156" s="199" t="s">
        <v>4057</v>
      </c>
      <c r="G156" s="243" t="s">
        <v>3030</v>
      </c>
      <c r="H156" s="41" t="s">
        <v>1522</v>
      </c>
      <c r="I156" s="246" t="s">
        <v>3036</v>
      </c>
      <c r="J156" s="232" t="s">
        <v>3896</v>
      </c>
      <c r="K156" s="161" t="s">
        <v>4557</v>
      </c>
      <c r="L156" s="240"/>
      <c r="M156" s="240"/>
      <c r="N156" s="160"/>
      <c r="O156" s="139" t="s">
        <v>375</v>
      </c>
      <c r="P156" s="39" t="s">
        <v>376</v>
      </c>
      <c r="Q156" s="228" t="s">
        <v>3245</v>
      </c>
      <c r="R156" s="200" t="s">
        <v>2970</v>
      </c>
      <c r="S156" s="141" t="s">
        <v>378</v>
      </c>
      <c r="T156" s="241"/>
    </row>
    <row r="157" spans="1:20" ht="58" customHeight="1">
      <c r="A157" s="230" t="s">
        <v>2437</v>
      </c>
      <c r="B157" s="41" t="s">
        <v>6</v>
      </c>
      <c r="C157" s="40" t="s">
        <v>1534</v>
      </c>
      <c r="D157" s="40" t="s">
        <v>380</v>
      </c>
      <c r="E157" s="199" t="s">
        <v>3788</v>
      </c>
      <c r="F157" s="199" t="s">
        <v>4058</v>
      </c>
      <c r="G157" s="243" t="s">
        <v>3029</v>
      </c>
      <c r="H157" s="41" t="s">
        <v>1522</v>
      </c>
      <c r="I157" s="246" t="s">
        <v>3036</v>
      </c>
      <c r="J157" s="232" t="s">
        <v>3897</v>
      </c>
      <c r="K157" s="161" t="s">
        <v>4265</v>
      </c>
      <c r="L157" s="240" t="s">
        <v>4433</v>
      </c>
      <c r="M157" s="240" t="s">
        <v>4434</v>
      </c>
      <c r="N157" s="160" t="s">
        <v>4278</v>
      </c>
      <c r="O157" s="139" t="s">
        <v>375</v>
      </c>
      <c r="P157" s="39" t="s">
        <v>379</v>
      </c>
      <c r="Q157" s="228" t="s">
        <v>3245</v>
      </c>
      <c r="R157" s="200" t="s">
        <v>2971</v>
      </c>
      <c r="S157" s="141" t="s">
        <v>378</v>
      </c>
      <c r="T157" s="241"/>
    </row>
    <row r="158" spans="1:20" ht="58" customHeight="1">
      <c r="A158" s="230" t="s">
        <v>2437</v>
      </c>
      <c r="B158" s="41" t="s">
        <v>6</v>
      </c>
      <c r="C158" s="40" t="s">
        <v>1534</v>
      </c>
      <c r="D158" s="40" t="s">
        <v>385</v>
      </c>
      <c r="E158" s="199" t="s">
        <v>792</v>
      </c>
      <c r="F158" s="199" t="s">
        <v>4059</v>
      </c>
      <c r="G158" s="243" t="s">
        <v>3029</v>
      </c>
      <c r="H158" s="41" t="s">
        <v>1522</v>
      </c>
      <c r="I158" s="246" t="s">
        <v>3036</v>
      </c>
      <c r="J158" s="232" t="s">
        <v>3898</v>
      </c>
      <c r="K158" s="161" t="s">
        <v>4266</v>
      </c>
      <c r="L158" s="240" t="s">
        <v>4443</v>
      </c>
      <c r="M158" s="240" t="s">
        <v>4444</v>
      </c>
      <c r="N158" s="160" t="s">
        <v>4279</v>
      </c>
      <c r="O158" s="139" t="s">
        <v>383</v>
      </c>
      <c r="P158" s="39" t="s">
        <v>384</v>
      </c>
      <c r="Q158" s="228" t="s">
        <v>3245</v>
      </c>
      <c r="R158" s="200" t="s">
        <v>2943</v>
      </c>
      <c r="S158" s="141" t="s">
        <v>386</v>
      </c>
      <c r="T158" s="241"/>
    </row>
    <row r="159" spans="1:20" ht="58" customHeight="1">
      <c r="A159" s="230" t="s">
        <v>2437</v>
      </c>
      <c r="B159" s="41" t="s">
        <v>6</v>
      </c>
      <c r="C159" s="40" t="s">
        <v>1534</v>
      </c>
      <c r="D159" s="40" t="s">
        <v>388</v>
      </c>
      <c r="E159" s="199" t="s">
        <v>3789</v>
      </c>
      <c r="F159" s="199" t="s">
        <v>3963</v>
      </c>
      <c r="G159" s="243" t="s">
        <v>3964</v>
      </c>
      <c r="H159" s="41" t="s">
        <v>2</v>
      </c>
      <c r="I159" s="246" t="s">
        <v>3034</v>
      </c>
      <c r="J159" s="232" t="s">
        <v>3243</v>
      </c>
      <c r="K159" s="161"/>
      <c r="L159" s="240"/>
      <c r="M159" s="240"/>
      <c r="N159" s="160"/>
      <c r="O159" s="139" t="s">
        <v>383</v>
      </c>
      <c r="P159" s="39" t="s">
        <v>387</v>
      </c>
      <c r="Q159" s="228" t="s">
        <v>3245</v>
      </c>
      <c r="R159" s="200" t="s">
        <v>2973</v>
      </c>
      <c r="S159" s="141" t="s">
        <v>386</v>
      </c>
      <c r="T159" s="241"/>
    </row>
    <row r="160" spans="1:20" ht="58" customHeight="1">
      <c r="A160" s="230" t="s">
        <v>2437</v>
      </c>
      <c r="B160" s="41" t="s">
        <v>6</v>
      </c>
      <c r="C160" s="40" t="s">
        <v>1534</v>
      </c>
      <c r="D160" s="40" t="s">
        <v>4213</v>
      </c>
      <c r="E160" s="199" t="s">
        <v>793</v>
      </c>
      <c r="F160" s="199" t="s">
        <v>4060</v>
      </c>
      <c r="G160" s="243" t="s">
        <v>3029</v>
      </c>
      <c r="H160" s="41" t="s">
        <v>1522</v>
      </c>
      <c r="I160" s="246" t="s">
        <v>4113</v>
      </c>
      <c r="J160" s="232" t="s">
        <v>3899</v>
      </c>
      <c r="K160" s="161" t="s">
        <v>4214</v>
      </c>
      <c r="L160" s="240" t="s">
        <v>4471</v>
      </c>
      <c r="M160" s="240" t="s">
        <v>4472</v>
      </c>
      <c r="N160" s="160" t="s">
        <v>4280</v>
      </c>
      <c r="O160" s="139" t="s">
        <v>383</v>
      </c>
      <c r="P160" s="39" t="s">
        <v>4212</v>
      </c>
      <c r="Q160" s="228" t="s">
        <v>3245</v>
      </c>
      <c r="R160" s="200" t="s">
        <v>2943</v>
      </c>
      <c r="S160" s="141" t="s">
        <v>386</v>
      </c>
      <c r="T160" s="241"/>
    </row>
    <row r="161" spans="1:20" ht="58" customHeight="1">
      <c r="A161" s="230" t="s">
        <v>2437</v>
      </c>
      <c r="B161" s="41" t="s">
        <v>6</v>
      </c>
      <c r="C161" s="40" t="s">
        <v>1534</v>
      </c>
      <c r="D161" s="40" t="s">
        <v>4215</v>
      </c>
      <c r="E161" s="199" t="s">
        <v>793</v>
      </c>
      <c r="F161" s="199" t="s">
        <v>4060</v>
      </c>
      <c r="G161" s="243" t="s">
        <v>3029</v>
      </c>
      <c r="H161" s="41" t="s">
        <v>1522</v>
      </c>
      <c r="I161" s="246" t="s">
        <v>4113</v>
      </c>
      <c r="J161" s="232" t="s">
        <v>3899</v>
      </c>
      <c r="K161" s="161" t="s">
        <v>4217</v>
      </c>
      <c r="L161" s="240" t="s">
        <v>4445</v>
      </c>
      <c r="M161" s="240" t="s">
        <v>4446</v>
      </c>
      <c r="N161" s="160" t="s">
        <v>4279</v>
      </c>
      <c r="O161" s="139" t="s">
        <v>383</v>
      </c>
      <c r="P161" s="39" t="s">
        <v>4216</v>
      </c>
      <c r="Q161" s="228" t="s">
        <v>3245</v>
      </c>
      <c r="R161" s="200" t="s">
        <v>2943</v>
      </c>
      <c r="S161" s="141" t="s">
        <v>386</v>
      </c>
      <c r="T161" s="241"/>
    </row>
    <row r="162" spans="1:20" ht="58" customHeight="1">
      <c r="A162" s="230" t="s">
        <v>2437</v>
      </c>
      <c r="B162" s="41" t="s">
        <v>6</v>
      </c>
      <c r="C162" s="40" t="s">
        <v>1534</v>
      </c>
      <c r="D162" s="40" t="s">
        <v>4219</v>
      </c>
      <c r="E162" s="199" t="s">
        <v>3251</v>
      </c>
      <c r="F162" s="199" t="s">
        <v>4061</v>
      </c>
      <c r="G162" s="243" t="s">
        <v>3029</v>
      </c>
      <c r="H162" s="41" t="s">
        <v>1522</v>
      </c>
      <c r="I162" s="246" t="s">
        <v>3036</v>
      </c>
      <c r="J162" s="232" t="s">
        <v>3900</v>
      </c>
      <c r="K162" s="161" t="s">
        <v>4220</v>
      </c>
      <c r="L162" s="240" t="s">
        <v>4473</v>
      </c>
      <c r="M162" s="240" t="s">
        <v>4474</v>
      </c>
      <c r="N162" s="160" t="s">
        <v>4280</v>
      </c>
      <c r="O162" s="139" t="s">
        <v>383</v>
      </c>
      <c r="P162" s="39" t="s">
        <v>4218</v>
      </c>
      <c r="Q162" s="228" t="s">
        <v>3245</v>
      </c>
      <c r="R162" s="200" t="s">
        <v>3024</v>
      </c>
      <c r="S162" s="141" t="s">
        <v>386</v>
      </c>
      <c r="T162" s="241"/>
    </row>
    <row r="163" spans="1:20" ht="58" customHeight="1">
      <c r="A163" s="230" t="s">
        <v>2437</v>
      </c>
      <c r="B163" s="41" t="s">
        <v>6</v>
      </c>
      <c r="C163" s="40" t="s">
        <v>1534</v>
      </c>
      <c r="D163" s="40" t="s">
        <v>4221</v>
      </c>
      <c r="E163" s="199" t="s">
        <v>3251</v>
      </c>
      <c r="F163" s="199" t="s">
        <v>4061</v>
      </c>
      <c r="G163" s="243" t="s">
        <v>3029</v>
      </c>
      <c r="H163" s="41" t="s">
        <v>1522</v>
      </c>
      <c r="I163" s="246" t="s">
        <v>3036</v>
      </c>
      <c r="J163" s="232" t="s">
        <v>3900</v>
      </c>
      <c r="K163" s="161" t="s">
        <v>4223</v>
      </c>
      <c r="L163" s="240" t="s">
        <v>4447</v>
      </c>
      <c r="M163" s="240" t="s">
        <v>4448</v>
      </c>
      <c r="N163" s="160" t="s">
        <v>4279</v>
      </c>
      <c r="O163" s="139" t="s">
        <v>383</v>
      </c>
      <c r="P163" s="39" t="s">
        <v>4222</v>
      </c>
      <c r="Q163" s="228" t="s">
        <v>3245</v>
      </c>
      <c r="R163" s="200" t="s">
        <v>3024</v>
      </c>
      <c r="S163" s="141" t="s">
        <v>386</v>
      </c>
      <c r="T163" s="241"/>
    </row>
    <row r="164" spans="1:20" ht="58" customHeight="1">
      <c r="A164" s="230" t="s">
        <v>2437</v>
      </c>
      <c r="B164" s="41" t="s">
        <v>6</v>
      </c>
      <c r="C164" s="40" t="s">
        <v>1534</v>
      </c>
      <c r="D164" s="40" t="s">
        <v>4186</v>
      </c>
      <c r="E164" s="199" t="s">
        <v>794</v>
      </c>
      <c r="F164" s="199" t="s">
        <v>4082</v>
      </c>
      <c r="G164" s="243" t="s">
        <v>3029</v>
      </c>
      <c r="H164" s="41" t="s">
        <v>1522</v>
      </c>
      <c r="I164" s="246" t="s">
        <v>3036</v>
      </c>
      <c r="J164" s="232" t="s">
        <v>3901</v>
      </c>
      <c r="K164" s="161" t="s">
        <v>4187</v>
      </c>
      <c r="L164" s="240" t="s">
        <v>4449</v>
      </c>
      <c r="M164" s="240" t="s">
        <v>4450</v>
      </c>
      <c r="N164" s="160" t="s">
        <v>4279</v>
      </c>
      <c r="O164" s="139" t="s">
        <v>383</v>
      </c>
      <c r="P164" s="39" t="s">
        <v>4185</v>
      </c>
      <c r="Q164" s="228" t="s">
        <v>3245</v>
      </c>
      <c r="R164" s="200" t="s">
        <v>2943</v>
      </c>
      <c r="S164" s="141" t="s">
        <v>386</v>
      </c>
      <c r="T164" s="241"/>
    </row>
    <row r="165" spans="1:20" ht="58" customHeight="1">
      <c r="A165" s="230" t="s">
        <v>2437</v>
      </c>
      <c r="B165" s="41" t="s">
        <v>6</v>
      </c>
      <c r="C165" s="40" t="s">
        <v>1534</v>
      </c>
      <c r="D165" s="40" t="s">
        <v>4188</v>
      </c>
      <c r="E165" s="199" t="s">
        <v>794</v>
      </c>
      <c r="F165" s="199" t="s">
        <v>4082</v>
      </c>
      <c r="G165" s="243" t="s">
        <v>3029</v>
      </c>
      <c r="H165" s="41" t="s">
        <v>1522</v>
      </c>
      <c r="I165" s="246" t="s">
        <v>3036</v>
      </c>
      <c r="J165" s="232" t="s">
        <v>3901</v>
      </c>
      <c r="K165" s="161" t="s">
        <v>4190</v>
      </c>
      <c r="L165" s="240" t="s">
        <v>4435</v>
      </c>
      <c r="M165" s="240" t="s">
        <v>4436</v>
      </c>
      <c r="N165" s="160" t="s">
        <v>4278</v>
      </c>
      <c r="O165" s="139" t="s">
        <v>383</v>
      </c>
      <c r="P165" s="39" t="s">
        <v>4189</v>
      </c>
      <c r="Q165" s="228" t="s">
        <v>3245</v>
      </c>
      <c r="R165" s="200" t="s">
        <v>2943</v>
      </c>
      <c r="S165" s="141" t="s">
        <v>386</v>
      </c>
      <c r="T165" s="241"/>
    </row>
    <row r="166" spans="1:20" ht="58" customHeight="1">
      <c r="A166" s="230" t="s">
        <v>2437</v>
      </c>
      <c r="B166" s="41" t="s">
        <v>6</v>
      </c>
      <c r="C166" s="40" t="s">
        <v>1534</v>
      </c>
      <c r="D166" s="40" t="s">
        <v>382</v>
      </c>
      <c r="E166" s="199" t="s">
        <v>3790</v>
      </c>
      <c r="F166" s="199" t="s">
        <v>3307</v>
      </c>
      <c r="G166" s="243" t="s">
        <v>3308</v>
      </c>
      <c r="H166" s="41" t="s">
        <v>1522</v>
      </c>
      <c r="I166" s="246" t="s">
        <v>3036</v>
      </c>
      <c r="J166" s="232" t="s">
        <v>3243</v>
      </c>
      <c r="K166" s="161" t="s">
        <v>4547</v>
      </c>
      <c r="L166" s="240" t="s">
        <v>4613</v>
      </c>
      <c r="M166" s="240"/>
      <c r="N166" s="160" t="s">
        <v>4278</v>
      </c>
      <c r="O166" s="139" t="s">
        <v>375</v>
      </c>
      <c r="P166" s="39" t="s">
        <v>381</v>
      </c>
      <c r="Q166" s="228" t="s">
        <v>3245</v>
      </c>
      <c r="R166" s="200" t="s">
        <v>2972</v>
      </c>
      <c r="S166" s="141" t="s">
        <v>378</v>
      </c>
      <c r="T166" s="241"/>
    </row>
    <row r="167" spans="1:20" ht="58" customHeight="1">
      <c r="A167" s="230" t="s">
        <v>2437</v>
      </c>
      <c r="B167" s="41" t="s">
        <v>6</v>
      </c>
      <c r="C167" s="40" t="s">
        <v>1534</v>
      </c>
      <c r="D167" s="40" t="s">
        <v>4225</v>
      </c>
      <c r="E167" s="199" t="s">
        <v>795</v>
      </c>
      <c r="F167" s="199" t="s">
        <v>4062</v>
      </c>
      <c r="G167" s="243" t="s">
        <v>3029</v>
      </c>
      <c r="H167" s="41" t="s">
        <v>1522</v>
      </c>
      <c r="I167" s="246" t="s">
        <v>3036</v>
      </c>
      <c r="J167" s="232" t="s">
        <v>3902</v>
      </c>
      <c r="K167" s="161" t="s">
        <v>4226</v>
      </c>
      <c r="L167" s="240" t="s">
        <v>4451</v>
      </c>
      <c r="M167" s="240" t="s">
        <v>4452</v>
      </c>
      <c r="N167" s="160" t="s">
        <v>4279</v>
      </c>
      <c r="O167" s="139" t="s">
        <v>394</v>
      </c>
      <c r="P167" s="39" t="s">
        <v>4224</v>
      </c>
      <c r="Q167" s="228" t="s">
        <v>3245</v>
      </c>
      <c r="R167" s="200" t="s">
        <v>2975</v>
      </c>
      <c r="S167" s="141" t="s">
        <v>396</v>
      </c>
      <c r="T167" s="241"/>
    </row>
    <row r="168" spans="1:20" ht="58" customHeight="1">
      <c r="A168" s="230" t="s">
        <v>2437</v>
      </c>
      <c r="B168" s="41" t="s">
        <v>6</v>
      </c>
      <c r="C168" s="40" t="s">
        <v>1534</v>
      </c>
      <c r="D168" s="40" t="s">
        <v>4227</v>
      </c>
      <c r="E168" s="199" t="s">
        <v>795</v>
      </c>
      <c r="F168" s="199" t="s">
        <v>4062</v>
      </c>
      <c r="G168" s="243" t="s">
        <v>3029</v>
      </c>
      <c r="H168" s="41" t="s">
        <v>1522</v>
      </c>
      <c r="I168" s="246" t="s">
        <v>3036</v>
      </c>
      <c r="J168" s="232" t="s">
        <v>3902</v>
      </c>
      <c r="K168" s="161" t="s">
        <v>4229</v>
      </c>
      <c r="L168" s="240" t="s">
        <v>4453</v>
      </c>
      <c r="M168" s="240" t="s">
        <v>4454</v>
      </c>
      <c r="N168" s="160" t="s">
        <v>4279</v>
      </c>
      <c r="O168" s="139" t="s">
        <v>394</v>
      </c>
      <c r="P168" s="39" t="s">
        <v>4228</v>
      </c>
      <c r="Q168" s="228" t="s">
        <v>3245</v>
      </c>
      <c r="R168" s="200" t="s">
        <v>2975</v>
      </c>
      <c r="S168" s="141" t="s">
        <v>396</v>
      </c>
      <c r="T168" s="241"/>
    </row>
    <row r="169" spans="1:20" ht="58" customHeight="1">
      <c r="A169" s="230" t="s">
        <v>2437</v>
      </c>
      <c r="B169" s="41" t="s">
        <v>6</v>
      </c>
      <c r="C169" s="40" t="s">
        <v>1534</v>
      </c>
      <c r="D169" s="40" t="s">
        <v>4274</v>
      </c>
      <c r="E169" s="199" t="s">
        <v>795</v>
      </c>
      <c r="F169" s="199" t="s">
        <v>4062</v>
      </c>
      <c r="G169" s="243" t="s">
        <v>3029</v>
      </c>
      <c r="H169" s="41" t="s">
        <v>1522</v>
      </c>
      <c r="I169" s="246" t="s">
        <v>3036</v>
      </c>
      <c r="J169" s="232" t="s">
        <v>3902</v>
      </c>
      <c r="K169" s="161" t="s">
        <v>4268</v>
      </c>
      <c r="L169" s="240" t="s">
        <v>4475</v>
      </c>
      <c r="M169" s="240" t="s">
        <v>4476</v>
      </c>
      <c r="N169" s="160" t="s">
        <v>4280</v>
      </c>
      <c r="O169" s="139" t="s">
        <v>394</v>
      </c>
      <c r="P169" s="39" t="s">
        <v>4275</v>
      </c>
      <c r="Q169" s="228" t="s">
        <v>3245</v>
      </c>
      <c r="R169" s="200" t="s">
        <v>2975</v>
      </c>
      <c r="S169" s="141" t="s">
        <v>396</v>
      </c>
      <c r="T169" s="241"/>
    </row>
    <row r="170" spans="1:20" ht="58" customHeight="1">
      <c r="A170" s="230" t="s">
        <v>2437</v>
      </c>
      <c r="B170" s="41" t="s">
        <v>6</v>
      </c>
      <c r="C170" s="40" t="s">
        <v>1534</v>
      </c>
      <c r="D170" s="40" t="s">
        <v>393</v>
      </c>
      <c r="E170" s="199" t="s">
        <v>3791</v>
      </c>
      <c r="F170" s="199" t="s">
        <v>4063</v>
      </c>
      <c r="G170" s="243" t="s">
        <v>3030</v>
      </c>
      <c r="H170" s="41" t="s">
        <v>1522</v>
      </c>
      <c r="I170" s="246" t="s">
        <v>3036</v>
      </c>
      <c r="J170" s="232" t="s">
        <v>3903</v>
      </c>
      <c r="K170" s="161" t="s">
        <v>4557</v>
      </c>
      <c r="L170" s="240"/>
      <c r="M170" s="240"/>
      <c r="N170" s="160"/>
      <c r="O170" s="139" t="s">
        <v>383</v>
      </c>
      <c r="P170" s="39" t="s">
        <v>392</v>
      </c>
      <c r="Q170" s="228" t="s">
        <v>3245</v>
      </c>
      <c r="R170" s="200" t="s">
        <v>2974</v>
      </c>
      <c r="S170" s="141" t="s">
        <v>386</v>
      </c>
      <c r="T170" s="241"/>
    </row>
    <row r="171" spans="1:20" ht="58" customHeight="1">
      <c r="A171" s="230" t="s">
        <v>2437</v>
      </c>
      <c r="B171" s="41" t="s">
        <v>6</v>
      </c>
      <c r="C171" s="40" t="s">
        <v>1534</v>
      </c>
      <c r="D171" s="40" t="s">
        <v>398</v>
      </c>
      <c r="E171" s="199" t="s">
        <v>3792</v>
      </c>
      <c r="F171" s="199" t="s">
        <v>3333</v>
      </c>
      <c r="G171" s="243" t="s">
        <v>4572</v>
      </c>
      <c r="H171" s="41" t="s">
        <v>2</v>
      </c>
      <c r="I171" s="246" t="s">
        <v>3034</v>
      </c>
      <c r="J171" s="232" t="s">
        <v>3243</v>
      </c>
      <c r="K171" s="161"/>
      <c r="L171" s="240"/>
      <c r="M171" s="240"/>
      <c r="N171" s="160"/>
      <c r="O171" s="139" t="s">
        <v>394</v>
      </c>
      <c r="P171" s="39" t="s">
        <v>397</v>
      </c>
      <c r="Q171" s="228" t="s">
        <v>3245</v>
      </c>
      <c r="R171" s="200" t="s">
        <v>2987</v>
      </c>
      <c r="S171" s="141" t="s">
        <v>396</v>
      </c>
      <c r="T171" s="241"/>
    </row>
    <row r="172" spans="1:20" ht="58" customHeight="1">
      <c r="A172" s="230" t="s">
        <v>2437</v>
      </c>
      <c r="B172" s="41" t="s">
        <v>6</v>
      </c>
      <c r="C172" s="40" t="s">
        <v>1533</v>
      </c>
      <c r="D172" s="40" t="s">
        <v>350</v>
      </c>
      <c r="E172" s="199" t="s">
        <v>781</v>
      </c>
      <c r="F172" s="199" t="s">
        <v>4064</v>
      </c>
      <c r="G172" s="243" t="s">
        <v>3030</v>
      </c>
      <c r="H172" s="41" t="s">
        <v>1522</v>
      </c>
      <c r="I172" s="246" t="s">
        <v>3036</v>
      </c>
      <c r="J172" s="232" t="s">
        <v>3904</v>
      </c>
      <c r="K172" s="161" t="s">
        <v>4557</v>
      </c>
      <c r="L172" s="240"/>
      <c r="M172" s="240"/>
      <c r="N172" s="160"/>
      <c r="O172" s="139" t="s">
        <v>348</v>
      </c>
      <c r="P172" s="39" t="s">
        <v>349</v>
      </c>
      <c r="Q172" s="228" t="s">
        <v>3245</v>
      </c>
      <c r="R172" s="200" t="s">
        <v>2944</v>
      </c>
      <c r="S172" s="141" t="s">
        <v>351</v>
      </c>
      <c r="T172" s="241"/>
    </row>
    <row r="173" spans="1:20" ht="58" customHeight="1">
      <c r="A173" s="230" t="s">
        <v>2437</v>
      </c>
      <c r="B173" s="41" t="s">
        <v>6</v>
      </c>
      <c r="C173" s="40" t="s">
        <v>1533</v>
      </c>
      <c r="D173" s="40" t="s">
        <v>353</v>
      </c>
      <c r="E173" s="199" t="s">
        <v>782</v>
      </c>
      <c r="F173" s="199" t="s">
        <v>4065</v>
      </c>
      <c r="G173" s="243" t="s">
        <v>3030</v>
      </c>
      <c r="H173" s="41" t="s">
        <v>1522</v>
      </c>
      <c r="I173" s="246" t="s">
        <v>3036</v>
      </c>
      <c r="J173" s="232" t="s">
        <v>3905</v>
      </c>
      <c r="K173" s="161" t="s">
        <v>4557</v>
      </c>
      <c r="L173" s="240"/>
      <c r="M173" s="240"/>
      <c r="N173" s="160"/>
      <c r="O173" s="139" t="s">
        <v>348</v>
      </c>
      <c r="P173" s="39" t="s">
        <v>352</v>
      </c>
      <c r="Q173" s="228" t="s">
        <v>3245</v>
      </c>
      <c r="R173" s="200" t="s">
        <v>2944</v>
      </c>
      <c r="S173" s="141" t="s">
        <v>351</v>
      </c>
      <c r="T173" s="241"/>
    </row>
    <row r="174" spans="1:20" ht="58" customHeight="1">
      <c r="A174" s="230" t="s">
        <v>2437</v>
      </c>
      <c r="B174" s="41" t="s">
        <v>6</v>
      </c>
      <c r="C174" s="40" t="s">
        <v>1533</v>
      </c>
      <c r="D174" s="40" t="s">
        <v>355</v>
      </c>
      <c r="E174" s="199" t="s">
        <v>783</v>
      </c>
      <c r="F174" s="199" t="s">
        <v>356</v>
      </c>
      <c r="G174" s="243" t="s">
        <v>3030</v>
      </c>
      <c r="H174" s="41" t="s">
        <v>1522</v>
      </c>
      <c r="I174" s="246" t="s">
        <v>3036</v>
      </c>
      <c r="J174" s="232" t="s">
        <v>3906</v>
      </c>
      <c r="K174" s="161" t="s">
        <v>4557</v>
      </c>
      <c r="L174" s="240"/>
      <c r="M174" s="240"/>
      <c r="N174" s="160"/>
      <c r="O174" s="139" t="s">
        <v>348</v>
      </c>
      <c r="P174" s="39" t="s">
        <v>354</v>
      </c>
      <c r="Q174" s="228" t="s">
        <v>3245</v>
      </c>
      <c r="R174" s="200" t="s">
        <v>2944</v>
      </c>
      <c r="S174" s="141" t="s">
        <v>351</v>
      </c>
      <c r="T174" s="241"/>
    </row>
    <row r="175" spans="1:20" ht="58" customHeight="1">
      <c r="A175" s="230" t="s">
        <v>2437</v>
      </c>
      <c r="B175" s="41" t="s">
        <v>6</v>
      </c>
      <c r="C175" s="40" t="s">
        <v>1533</v>
      </c>
      <c r="D175" s="40" t="s">
        <v>358</v>
      </c>
      <c r="E175" s="199" t="s">
        <v>784</v>
      </c>
      <c r="F175" s="199" t="s">
        <v>4066</v>
      </c>
      <c r="G175" s="243" t="s">
        <v>3030</v>
      </c>
      <c r="H175" s="41" t="s">
        <v>1522</v>
      </c>
      <c r="I175" s="246" t="s">
        <v>3036</v>
      </c>
      <c r="J175" s="232" t="s">
        <v>3907</v>
      </c>
      <c r="K175" s="161" t="s">
        <v>4557</v>
      </c>
      <c r="L175" s="240"/>
      <c r="M175" s="240"/>
      <c r="N175" s="160"/>
      <c r="O175" s="139" t="s">
        <v>348</v>
      </c>
      <c r="P175" s="39" t="s">
        <v>357</v>
      </c>
      <c r="Q175" s="228" t="s">
        <v>3245</v>
      </c>
      <c r="R175" s="200" t="s">
        <v>2944</v>
      </c>
      <c r="S175" s="141" t="s">
        <v>351</v>
      </c>
      <c r="T175" s="241"/>
    </row>
    <row r="176" spans="1:20" ht="58" customHeight="1">
      <c r="A176" s="230" t="s">
        <v>2437</v>
      </c>
      <c r="B176" s="41" t="s">
        <v>6</v>
      </c>
      <c r="C176" s="40" t="s">
        <v>1533</v>
      </c>
      <c r="D176" s="40" t="s">
        <v>361</v>
      </c>
      <c r="E176" s="199" t="s">
        <v>785</v>
      </c>
      <c r="F176" s="199" t="s">
        <v>4067</v>
      </c>
      <c r="G176" s="243" t="s">
        <v>3030</v>
      </c>
      <c r="H176" s="41" t="s">
        <v>1522</v>
      </c>
      <c r="I176" s="246" t="s">
        <v>3036</v>
      </c>
      <c r="J176" s="232" t="s">
        <v>3908</v>
      </c>
      <c r="K176" s="161" t="s">
        <v>4557</v>
      </c>
      <c r="L176" s="240"/>
      <c r="M176" s="240"/>
      <c r="N176" s="160"/>
      <c r="O176" s="139" t="s">
        <v>359</v>
      </c>
      <c r="P176" s="39" t="s">
        <v>360</v>
      </c>
      <c r="Q176" s="228" t="s">
        <v>3245</v>
      </c>
      <c r="R176" s="200" t="s">
        <v>2944</v>
      </c>
      <c r="S176" s="141" t="s">
        <v>362</v>
      </c>
      <c r="T176" s="241"/>
    </row>
    <row r="177" spans="1:20" ht="58" customHeight="1">
      <c r="A177" s="230" t="s">
        <v>2437</v>
      </c>
      <c r="B177" s="41" t="s">
        <v>6</v>
      </c>
      <c r="C177" s="40" t="s">
        <v>1533</v>
      </c>
      <c r="D177" s="40" t="s">
        <v>4231</v>
      </c>
      <c r="E177" s="199" t="s">
        <v>786</v>
      </c>
      <c r="F177" s="199" t="s">
        <v>4068</v>
      </c>
      <c r="G177" s="243" t="s">
        <v>3029</v>
      </c>
      <c r="H177" s="41" t="s">
        <v>1522</v>
      </c>
      <c r="I177" s="246" t="s">
        <v>4113</v>
      </c>
      <c r="J177" s="232" t="s">
        <v>3909</v>
      </c>
      <c r="K177" s="161" t="s">
        <v>4232</v>
      </c>
      <c r="L177" s="240" t="s">
        <v>4455</v>
      </c>
      <c r="M177" s="240" t="s">
        <v>4456</v>
      </c>
      <c r="N177" s="160" t="s">
        <v>4279</v>
      </c>
      <c r="O177" s="139" t="s">
        <v>359</v>
      </c>
      <c r="P177" s="39" t="s">
        <v>4230</v>
      </c>
      <c r="Q177" s="228" t="s">
        <v>3245</v>
      </c>
      <c r="R177" s="200" t="s">
        <v>2943</v>
      </c>
      <c r="S177" s="141" t="s">
        <v>362</v>
      </c>
      <c r="T177" s="241"/>
    </row>
    <row r="178" spans="1:20" ht="58" customHeight="1">
      <c r="A178" s="230" t="s">
        <v>2437</v>
      </c>
      <c r="B178" s="41" t="s">
        <v>6</v>
      </c>
      <c r="C178" s="40" t="s">
        <v>1533</v>
      </c>
      <c r="D178" s="40" t="s">
        <v>4233</v>
      </c>
      <c r="E178" s="199" t="s">
        <v>786</v>
      </c>
      <c r="F178" s="199" t="s">
        <v>4068</v>
      </c>
      <c r="G178" s="243" t="s">
        <v>3029</v>
      </c>
      <c r="H178" s="41" t="s">
        <v>1522</v>
      </c>
      <c r="I178" s="246" t="s">
        <v>4113</v>
      </c>
      <c r="J178" s="232" t="s">
        <v>3909</v>
      </c>
      <c r="K178" s="161" t="s">
        <v>4235</v>
      </c>
      <c r="L178" s="240" t="s">
        <v>4457</v>
      </c>
      <c r="M178" s="240" t="s">
        <v>4458</v>
      </c>
      <c r="N178" s="160" t="s">
        <v>4279</v>
      </c>
      <c r="O178" s="139" t="s">
        <v>359</v>
      </c>
      <c r="P178" s="39" t="s">
        <v>4234</v>
      </c>
      <c r="Q178" s="228" t="s">
        <v>3245</v>
      </c>
      <c r="R178" s="200" t="s">
        <v>2943</v>
      </c>
      <c r="S178" s="141" t="s">
        <v>362</v>
      </c>
      <c r="T178" s="241"/>
    </row>
    <row r="179" spans="1:20" ht="58" customHeight="1">
      <c r="A179" s="230" t="s">
        <v>2437</v>
      </c>
      <c r="B179" s="41" t="s">
        <v>6</v>
      </c>
      <c r="C179" s="40" t="s">
        <v>1533</v>
      </c>
      <c r="D179" s="40" t="s">
        <v>4237</v>
      </c>
      <c r="E179" s="199" t="s">
        <v>787</v>
      </c>
      <c r="F179" s="199" t="s">
        <v>365</v>
      </c>
      <c r="G179" s="243" t="s">
        <v>3029</v>
      </c>
      <c r="H179" s="41" t="s">
        <v>1522</v>
      </c>
      <c r="I179" s="246" t="s">
        <v>4113</v>
      </c>
      <c r="J179" s="232" t="s">
        <v>3910</v>
      </c>
      <c r="K179" s="161" t="s">
        <v>4238</v>
      </c>
      <c r="L179" s="240" t="s">
        <v>4459</v>
      </c>
      <c r="M179" s="240" t="s">
        <v>4460</v>
      </c>
      <c r="N179" s="160" t="s">
        <v>4279</v>
      </c>
      <c r="O179" s="139" t="s">
        <v>359</v>
      </c>
      <c r="P179" s="39" t="s">
        <v>4236</v>
      </c>
      <c r="Q179" s="228" t="s">
        <v>3245</v>
      </c>
      <c r="R179" s="200" t="s">
        <v>2943</v>
      </c>
      <c r="S179" s="141" t="s">
        <v>362</v>
      </c>
      <c r="T179" s="241"/>
    </row>
    <row r="180" spans="1:20" ht="58" customHeight="1">
      <c r="A180" s="230" t="s">
        <v>2437</v>
      </c>
      <c r="B180" s="41" t="s">
        <v>6</v>
      </c>
      <c r="C180" s="40" t="s">
        <v>1533</v>
      </c>
      <c r="D180" s="40" t="s">
        <v>4239</v>
      </c>
      <c r="E180" s="199" t="s">
        <v>787</v>
      </c>
      <c r="F180" s="199" t="s">
        <v>365</v>
      </c>
      <c r="G180" s="243" t="s">
        <v>3029</v>
      </c>
      <c r="H180" s="41" t="s">
        <v>1522</v>
      </c>
      <c r="I180" s="246" t="s">
        <v>4113</v>
      </c>
      <c r="J180" s="232" t="s">
        <v>3910</v>
      </c>
      <c r="K180" s="161" t="s">
        <v>4241</v>
      </c>
      <c r="L180" s="240" t="s">
        <v>4461</v>
      </c>
      <c r="M180" s="240" t="s">
        <v>4462</v>
      </c>
      <c r="N180" s="160" t="s">
        <v>4279</v>
      </c>
      <c r="O180" s="139" t="s">
        <v>359</v>
      </c>
      <c r="P180" s="39" t="s">
        <v>4240</v>
      </c>
      <c r="Q180" s="228" t="s">
        <v>3245</v>
      </c>
      <c r="R180" s="200" t="s">
        <v>2943</v>
      </c>
      <c r="S180" s="141" t="s">
        <v>362</v>
      </c>
      <c r="T180" s="241"/>
    </row>
    <row r="181" spans="1:20" ht="58" customHeight="1">
      <c r="A181" s="230" t="s">
        <v>2437</v>
      </c>
      <c r="B181" s="41" t="s">
        <v>6</v>
      </c>
      <c r="C181" s="40" t="s">
        <v>1533</v>
      </c>
      <c r="D181" s="40" t="s">
        <v>4192</v>
      </c>
      <c r="E181" s="199" t="s">
        <v>789</v>
      </c>
      <c r="F181" s="199" t="s">
        <v>4069</v>
      </c>
      <c r="G181" s="243" t="s">
        <v>3029</v>
      </c>
      <c r="H181" s="41" t="s">
        <v>1522</v>
      </c>
      <c r="I181" s="246" t="s">
        <v>3036</v>
      </c>
      <c r="J181" s="232" t="s">
        <v>3911</v>
      </c>
      <c r="K181" s="161" t="s">
        <v>4193</v>
      </c>
      <c r="L181" s="240" t="s">
        <v>4437</v>
      </c>
      <c r="M181" s="240" t="s">
        <v>4438</v>
      </c>
      <c r="N181" s="160" t="s">
        <v>4278</v>
      </c>
      <c r="O181" s="139" t="s">
        <v>368</v>
      </c>
      <c r="P181" s="39" t="s">
        <v>4191</v>
      </c>
      <c r="Q181" s="228" t="s">
        <v>3245</v>
      </c>
      <c r="R181" s="200" t="s">
        <v>2943</v>
      </c>
      <c r="S181" s="141" t="s">
        <v>370</v>
      </c>
      <c r="T181" s="241"/>
    </row>
    <row r="182" spans="1:20" ht="58" customHeight="1">
      <c r="A182" s="230" t="s">
        <v>2437</v>
      </c>
      <c r="B182" s="41" t="s">
        <v>6</v>
      </c>
      <c r="C182" s="40" t="s">
        <v>1533</v>
      </c>
      <c r="D182" s="40" t="s">
        <v>4194</v>
      </c>
      <c r="E182" s="199" t="s">
        <v>789</v>
      </c>
      <c r="F182" s="199" t="s">
        <v>4069</v>
      </c>
      <c r="G182" s="243" t="s">
        <v>3029</v>
      </c>
      <c r="H182" s="41" t="s">
        <v>1522</v>
      </c>
      <c r="I182" s="246" t="s">
        <v>3036</v>
      </c>
      <c r="J182" s="232" t="s">
        <v>3911</v>
      </c>
      <c r="K182" s="161" t="s">
        <v>4196</v>
      </c>
      <c r="L182" s="240" t="s">
        <v>4463</v>
      </c>
      <c r="M182" s="240" t="s">
        <v>4464</v>
      </c>
      <c r="N182" s="160" t="s">
        <v>4279</v>
      </c>
      <c r="O182" s="139" t="s">
        <v>368</v>
      </c>
      <c r="P182" s="39" t="s">
        <v>4195</v>
      </c>
      <c r="Q182" s="228" t="s">
        <v>3245</v>
      </c>
      <c r="R182" s="200" t="s">
        <v>2943</v>
      </c>
      <c r="S182" s="141" t="s">
        <v>370</v>
      </c>
      <c r="T182" s="241"/>
    </row>
    <row r="183" spans="1:20" ht="58" customHeight="1">
      <c r="A183" s="230" t="s">
        <v>2437</v>
      </c>
      <c r="B183" s="41" t="s">
        <v>6</v>
      </c>
      <c r="C183" s="40" t="s">
        <v>1533</v>
      </c>
      <c r="D183" s="40" t="s">
        <v>372</v>
      </c>
      <c r="E183" s="199" t="s">
        <v>790</v>
      </c>
      <c r="F183" s="199" t="s">
        <v>4070</v>
      </c>
      <c r="G183" s="243" t="s">
        <v>3030</v>
      </c>
      <c r="H183" s="41" t="s">
        <v>1522</v>
      </c>
      <c r="I183" s="246" t="s">
        <v>3036</v>
      </c>
      <c r="J183" s="232" t="s">
        <v>3912</v>
      </c>
      <c r="K183" s="161" t="s">
        <v>4534</v>
      </c>
      <c r="L183" s="240" t="s">
        <v>4535</v>
      </c>
      <c r="M183" s="240" t="s">
        <v>4536</v>
      </c>
      <c r="N183" s="160" t="s">
        <v>4280</v>
      </c>
      <c r="O183" s="139" t="s">
        <v>368</v>
      </c>
      <c r="P183" s="39" t="s">
        <v>371</v>
      </c>
      <c r="Q183" s="228" t="s">
        <v>3245</v>
      </c>
      <c r="R183" s="200" t="s">
        <v>2944</v>
      </c>
      <c r="S183" s="141" t="s">
        <v>370</v>
      </c>
      <c r="T183" s="241"/>
    </row>
    <row r="184" spans="1:20" ht="58" customHeight="1">
      <c r="A184" s="230" t="s">
        <v>2437</v>
      </c>
      <c r="B184" s="41" t="s">
        <v>6</v>
      </c>
      <c r="C184" s="40" t="s">
        <v>1533</v>
      </c>
      <c r="D184" s="40" t="s">
        <v>367</v>
      </c>
      <c r="E184" s="199" t="s">
        <v>788</v>
      </c>
      <c r="F184" s="199" t="s">
        <v>4636</v>
      </c>
      <c r="G184" s="243" t="s">
        <v>4637</v>
      </c>
      <c r="H184" s="41" t="s">
        <v>3</v>
      </c>
      <c r="I184" s="246" t="s">
        <v>3038</v>
      </c>
      <c r="J184" s="232" t="s">
        <v>3913</v>
      </c>
      <c r="K184" s="161" t="s">
        <v>958</v>
      </c>
      <c r="L184" s="240"/>
      <c r="M184" s="240"/>
      <c r="N184" s="160"/>
      <c r="O184" s="139" t="s">
        <v>359</v>
      </c>
      <c r="P184" s="39" t="s">
        <v>366</v>
      </c>
      <c r="Q184" s="228" t="s">
        <v>3245</v>
      </c>
      <c r="R184" s="200" t="s">
        <v>2944</v>
      </c>
      <c r="S184" s="141" t="s">
        <v>362</v>
      </c>
      <c r="T184" s="241" t="s">
        <v>4638</v>
      </c>
    </row>
    <row r="185" spans="1:20" ht="58" customHeight="1">
      <c r="A185" s="230" t="s">
        <v>2437</v>
      </c>
      <c r="B185" s="41" t="s">
        <v>6</v>
      </c>
      <c r="C185" s="40" t="s">
        <v>1533</v>
      </c>
      <c r="D185" s="40" t="s">
        <v>374</v>
      </c>
      <c r="E185" s="199" t="s">
        <v>2969</v>
      </c>
      <c r="F185" s="199" t="s">
        <v>4071</v>
      </c>
      <c r="G185" s="243" t="s">
        <v>3030</v>
      </c>
      <c r="H185" s="41" t="s">
        <v>1522</v>
      </c>
      <c r="I185" s="246" t="s">
        <v>3036</v>
      </c>
      <c r="J185" s="232" t="s">
        <v>3914</v>
      </c>
      <c r="K185" s="161" t="s">
        <v>4539</v>
      </c>
      <c r="L185" s="240" t="s">
        <v>4541</v>
      </c>
      <c r="M185" s="240"/>
      <c r="N185" s="160" t="s">
        <v>4279</v>
      </c>
      <c r="O185" s="139" t="s">
        <v>368</v>
      </c>
      <c r="P185" s="39" t="s">
        <v>373</v>
      </c>
      <c r="Q185" s="228" t="s">
        <v>3245</v>
      </c>
      <c r="R185" s="200" t="s">
        <v>2944</v>
      </c>
      <c r="S185" s="141" t="s">
        <v>370</v>
      </c>
      <c r="T185" s="241"/>
    </row>
    <row r="186" spans="1:20" ht="58" customHeight="1">
      <c r="A186" s="230" t="s">
        <v>2437</v>
      </c>
      <c r="B186" s="41" t="s">
        <v>6</v>
      </c>
      <c r="C186" s="40" t="s">
        <v>1535</v>
      </c>
      <c r="D186" s="40" t="s">
        <v>401</v>
      </c>
      <c r="E186" s="199" t="s">
        <v>3793</v>
      </c>
      <c r="F186" s="199" t="s">
        <v>4072</v>
      </c>
      <c r="G186" s="243" t="s">
        <v>4573</v>
      </c>
      <c r="H186" s="41" t="s">
        <v>3</v>
      </c>
      <c r="I186" s="246" t="s">
        <v>1539</v>
      </c>
      <c r="J186" s="232" t="s">
        <v>3243</v>
      </c>
      <c r="K186" s="161"/>
      <c r="L186" s="240"/>
      <c r="M186" s="240"/>
      <c r="N186" s="160"/>
      <c r="O186" s="139" t="s">
        <v>399</v>
      </c>
      <c r="P186" s="39" t="s">
        <v>400</v>
      </c>
      <c r="Q186" s="228" t="s">
        <v>3245</v>
      </c>
      <c r="R186" s="200" t="s">
        <v>2989</v>
      </c>
      <c r="S186" s="141" t="s">
        <v>402</v>
      </c>
      <c r="T186" s="241"/>
    </row>
    <row r="187" spans="1:20" ht="58" customHeight="1">
      <c r="A187" s="230" t="s">
        <v>2437</v>
      </c>
      <c r="B187" s="41" t="s">
        <v>6</v>
      </c>
      <c r="C187" s="40" t="s">
        <v>1535</v>
      </c>
      <c r="D187" s="40" t="s">
        <v>404</v>
      </c>
      <c r="E187" s="199" t="s">
        <v>3794</v>
      </c>
      <c r="F187" s="199" t="s">
        <v>3334</v>
      </c>
      <c r="G187" s="243" t="s">
        <v>4574</v>
      </c>
      <c r="H187" s="41" t="s">
        <v>3</v>
      </c>
      <c r="I187" s="246" t="s">
        <v>3038</v>
      </c>
      <c r="J187" s="232" t="s">
        <v>3243</v>
      </c>
      <c r="K187" s="161"/>
      <c r="L187" s="240"/>
      <c r="M187" s="240"/>
      <c r="N187" s="160"/>
      <c r="O187" s="139" t="s">
        <v>399</v>
      </c>
      <c r="P187" s="39" t="s">
        <v>403</v>
      </c>
      <c r="Q187" s="228" t="s">
        <v>3245</v>
      </c>
      <c r="R187" s="200" t="s">
        <v>2988</v>
      </c>
      <c r="S187" s="141" t="s">
        <v>402</v>
      </c>
      <c r="T187" s="241"/>
    </row>
    <row r="188" spans="1:20" ht="58" customHeight="1">
      <c r="A188" s="230" t="s">
        <v>2437</v>
      </c>
      <c r="B188" s="41" t="s">
        <v>6</v>
      </c>
      <c r="C188" s="40" t="s">
        <v>1535</v>
      </c>
      <c r="D188" s="40" t="s">
        <v>406</v>
      </c>
      <c r="E188" s="199" t="s">
        <v>796</v>
      </c>
      <c r="F188" s="199" t="s">
        <v>3309</v>
      </c>
      <c r="G188" s="243" t="s">
        <v>3310</v>
      </c>
      <c r="H188" s="41" t="s">
        <v>2</v>
      </c>
      <c r="I188" s="246" t="s">
        <v>3034</v>
      </c>
      <c r="J188" s="232" t="s">
        <v>3243</v>
      </c>
      <c r="K188" s="161"/>
      <c r="L188" s="240"/>
      <c r="M188" s="240"/>
      <c r="N188" s="160"/>
      <c r="O188" s="139" t="s">
        <v>399</v>
      </c>
      <c r="P188" s="39" t="s">
        <v>405</v>
      </c>
      <c r="Q188" s="228" t="s">
        <v>3245</v>
      </c>
      <c r="R188" s="200" t="s">
        <v>446</v>
      </c>
      <c r="S188" s="141" t="s">
        <v>402</v>
      </c>
      <c r="T188" s="241"/>
    </row>
    <row r="189" spans="1:20" ht="58" customHeight="1">
      <c r="A189" s="230" t="s">
        <v>2437</v>
      </c>
      <c r="B189" s="41" t="s">
        <v>6</v>
      </c>
      <c r="C189" s="40" t="s">
        <v>1535</v>
      </c>
      <c r="D189" s="40" t="s">
        <v>408</v>
      </c>
      <c r="E189" s="199" t="s">
        <v>3795</v>
      </c>
      <c r="F189" s="199" t="s">
        <v>4086</v>
      </c>
      <c r="G189" s="243" t="s">
        <v>3311</v>
      </c>
      <c r="H189" s="41" t="s">
        <v>958</v>
      </c>
      <c r="I189" s="246" t="s">
        <v>3035</v>
      </c>
      <c r="J189" s="232" t="s">
        <v>3243</v>
      </c>
      <c r="K189" s="161"/>
      <c r="L189" s="240"/>
      <c r="M189" s="240"/>
      <c r="N189" s="160"/>
      <c r="O189" s="139" t="s">
        <v>399</v>
      </c>
      <c r="P189" s="39" t="s">
        <v>407</v>
      </c>
      <c r="Q189" s="228" t="s">
        <v>3245</v>
      </c>
      <c r="R189" s="200" t="s">
        <v>2990</v>
      </c>
      <c r="S189" s="141" t="s">
        <v>402</v>
      </c>
      <c r="T189" s="241"/>
    </row>
    <row r="190" spans="1:20" ht="58" customHeight="1">
      <c r="A190" s="230" t="s">
        <v>2437</v>
      </c>
      <c r="B190" s="41" t="s">
        <v>6</v>
      </c>
      <c r="C190" s="40" t="s">
        <v>1535</v>
      </c>
      <c r="D190" s="40" t="s">
        <v>410</v>
      </c>
      <c r="E190" s="199" t="s">
        <v>3796</v>
      </c>
      <c r="F190" s="199" t="s">
        <v>3335</v>
      </c>
      <c r="G190" s="243" t="s">
        <v>4575</v>
      </c>
      <c r="H190" s="41" t="s">
        <v>3</v>
      </c>
      <c r="I190" s="246" t="s">
        <v>3038</v>
      </c>
      <c r="J190" s="232" t="s">
        <v>3243</v>
      </c>
      <c r="K190" s="161"/>
      <c r="L190" s="240"/>
      <c r="M190" s="240"/>
      <c r="N190" s="160"/>
      <c r="O190" s="139" t="s">
        <v>399</v>
      </c>
      <c r="P190" s="39" t="s">
        <v>409</v>
      </c>
      <c r="Q190" s="228" t="s">
        <v>3245</v>
      </c>
      <c r="R190" s="200" t="s">
        <v>2991</v>
      </c>
      <c r="S190" s="141" t="s">
        <v>402</v>
      </c>
      <c r="T190" s="241"/>
    </row>
    <row r="191" spans="1:20" ht="58" customHeight="1">
      <c r="A191" s="230" t="s">
        <v>2437</v>
      </c>
      <c r="B191" s="41" t="s">
        <v>6</v>
      </c>
      <c r="C191" s="40" t="s">
        <v>1535</v>
      </c>
      <c r="D191" s="40" t="s">
        <v>412</v>
      </c>
      <c r="E191" s="199" t="s">
        <v>3797</v>
      </c>
      <c r="F191" s="199" t="s">
        <v>3336</v>
      </c>
      <c r="G191" s="243" t="s">
        <v>3337</v>
      </c>
      <c r="H191" s="41" t="s">
        <v>3</v>
      </c>
      <c r="I191" s="246" t="s">
        <v>3038</v>
      </c>
      <c r="J191" s="232" t="s">
        <v>3243</v>
      </c>
      <c r="K191" s="161"/>
      <c r="L191" s="240"/>
      <c r="M191" s="240"/>
      <c r="N191" s="160"/>
      <c r="O191" s="139" t="s">
        <v>399</v>
      </c>
      <c r="P191" s="39" t="s">
        <v>411</v>
      </c>
      <c r="Q191" s="228" t="s">
        <v>3245</v>
      </c>
      <c r="R191" s="200" t="s">
        <v>2992</v>
      </c>
      <c r="S191" s="141" t="s">
        <v>402</v>
      </c>
      <c r="T191" s="241"/>
    </row>
    <row r="192" spans="1:20" ht="58" customHeight="1">
      <c r="A192" s="230" t="s">
        <v>2437</v>
      </c>
      <c r="B192" s="41" t="s">
        <v>6</v>
      </c>
      <c r="C192" s="40" t="s">
        <v>1535</v>
      </c>
      <c r="D192" s="40" t="s">
        <v>414</v>
      </c>
      <c r="E192" s="199" t="s">
        <v>3798</v>
      </c>
      <c r="F192" s="199" t="s">
        <v>3312</v>
      </c>
      <c r="G192" s="243" t="s">
        <v>4576</v>
      </c>
      <c r="H192" s="41" t="s">
        <v>2</v>
      </c>
      <c r="I192" s="246" t="s">
        <v>3034</v>
      </c>
      <c r="J192" s="232" t="s">
        <v>3243</v>
      </c>
      <c r="K192" s="161"/>
      <c r="L192" s="240"/>
      <c r="M192" s="240"/>
      <c r="N192" s="160"/>
      <c r="O192" s="139" t="s">
        <v>399</v>
      </c>
      <c r="P192" s="39" t="s">
        <v>413</v>
      </c>
      <c r="Q192" s="228" t="s">
        <v>3245</v>
      </c>
      <c r="R192" s="200" t="s">
        <v>2993</v>
      </c>
      <c r="S192" s="141" t="s">
        <v>402</v>
      </c>
      <c r="T192" s="241"/>
    </row>
    <row r="193" spans="1:20" ht="58" customHeight="1">
      <c r="A193" s="230" t="s">
        <v>2437</v>
      </c>
      <c r="B193" s="41" t="s">
        <v>6</v>
      </c>
      <c r="C193" s="40" t="s">
        <v>1535</v>
      </c>
      <c r="D193" s="40" t="s">
        <v>416</v>
      </c>
      <c r="E193" s="199" t="s">
        <v>3799</v>
      </c>
      <c r="F193" s="199" t="s">
        <v>417</v>
      </c>
      <c r="G193" s="243" t="s">
        <v>3026</v>
      </c>
      <c r="H193" s="41" t="s">
        <v>2</v>
      </c>
      <c r="I193" s="246" t="s">
        <v>3034</v>
      </c>
      <c r="J193" s="232" t="s">
        <v>3243</v>
      </c>
      <c r="K193" s="161"/>
      <c r="L193" s="240"/>
      <c r="M193" s="240"/>
      <c r="N193" s="160"/>
      <c r="O193" s="139" t="s">
        <v>399</v>
      </c>
      <c r="P193" s="39" t="s">
        <v>415</v>
      </c>
      <c r="Q193" s="228" t="s">
        <v>3245</v>
      </c>
      <c r="R193" s="200" t="s">
        <v>2994</v>
      </c>
      <c r="S193" s="141" t="s">
        <v>402</v>
      </c>
      <c r="T193" s="241"/>
    </row>
    <row r="194" spans="1:20" ht="58" customHeight="1">
      <c r="A194" s="230" t="s">
        <v>2437</v>
      </c>
      <c r="B194" s="41" t="s">
        <v>6</v>
      </c>
      <c r="C194" s="40" t="s">
        <v>1535</v>
      </c>
      <c r="D194" s="40" t="s">
        <v>419</v>
      </c>
      <c r="E194" s="199" t="s">
        <v>3800</v>
      </c>
      <c r="F194" s="199" t="s">
        <v>420</v>
      </c>
      <c r="G194" s="243" t="s">
        <v>3026</v>
      </c>
      <c r="H194" s="41" t="s">
        <v>2</v>
      </c>
      <c r="I194" s="246" t="s">
        <v>3034</v>
      </c>
      <c r="J194" s="232" t="s">
        <v>3243</v>
      </c>
      <c r="K194" s="161"/>
      <c r="L194" s="240"/>
      <c r="M194" s="240"/>
      <c r="N194" s="160"/>
      <c r="O194" s="139" t="s">
        <v>399</v>
      </c>
      <c r="P194" s="39" t="s">
        <v>418</v>
      </c>
      <c r="Q194" s="228" t="s">
        <v>3245</v>
      </c>
      <c r="R194" s="200" t="s">
        <v>2994</v>
      </c>
      <c r="S194" s="141" t="s">
        <v>402</v>
      </c>
      <c r="T194" s="241"/>
    </row>
    <row r="195" spans="1:20" ht="58" customHeight="1">
      <c r="A195" s="230" t="s">
        <v>2437</v>
      </c>
      <c r="B195" s="41" t="s">
        <v>6</v>
      </c>
      <c r="C195" s="40" t="s">
        <v>1535</v>
      </c>
      <c r="D195" s="40" t="s">
        <v>422</v>
      </c>
      <c r="E195" s="199" t="s">
        <v>3801</v>
      </c>
      <c r="F195" s="199" t="s">
        <v>4073</v>
      </c>
      <c r="G195" s="243" t="s">
        <v>4577</v>
      </c>
      <c r="H195" s="41" t="s">
        <v>3</v>
      </c>
      <c r="I195" s="246" t="s">
        <v>3038</v>
      </c>
      <c r="J195" s="232" t="s">
        <v>3243</v>
      </c>
      <c r="K195" s="161"/>
      <c r="L195" s="240"/>
      <c r="M195" s="240"/>
      <c r="N195" s="160"/>
      <c r="O195" s="139" t="s">
        <v>399</v>
      </c>
      <c r="P195" s="39" t="s">
        <v>421</v>
      </c>
      <c r="Q195" s="228" t="s">
        <v>3245</v>
      </c>
      <c r="R195" s="200" t="s">
        <v>2990</v>
      </c>
      <c r="S195" s="141" t="s">
        <v>402</v>
      </c>
      <c r="T195" s="241"/>
    </row>
    <row r="196" spans="1:20" ht="58" customHeight="1">
      <c r="A196" s="230" t="s">
        <v>2437</v>
      </c>
      <c r="B196" s="41" t="s">
        <v>6</v>
      </c>
      <c r="C196" s="40" t="s">
        <v>1535</v>
      </c>
      <c r="D196" s="40" t="s">
        <v>424</v>
      </c>
      <c r="E196" s="199" t="s">
        <v>3802</v>
      </c>
      <c r="F196" s="199" t="s">
        <v>3313</v>
      </c>
      <c r="G196" s="243" t="s">
        <v>3314</v>
      </c>
      <c r="H196" s="41" t="s">
        <v>3</v>
      </c>
      <c r="I196" s="246" t="s">
        <v>3038</v>
      </c>
      <c r="J196" s="232" t="s">
        <v>3243</v>
      </c>
      <c r="K196" s="161"/>
      <c r="L196" s="240"/>
      <c r="M196" s="240"/>
      <c r="N196" s="160"/>
      <c r="O196" s="139" t="s">
        <v>399</v>
      </c>
      <c r="P196" s="39" t="s">
        <v>423</v>
      </c>
      <c r="Q196" s="228" t="s">
        <v>3245</v>
      </c>
      <c r="R196" s="200" t="s">
        <v>2990</v>
      </c>
      <c r="S196" s="141" t="s">
        <v>402</v>
      </c>
      <c r="T196" s="241"/>
    </row>
    <row r="197" spans="1:20" ht="58" customHeight="1">
      <c r="A197" s="230" t="s">
        <v>2437</v>
      </c>
      <c r="B197" s="41" t="s">
        <v>6</v>
      </c>
      <c r="C197" s="40" t="s">
        <v>1536</v>
      </c>
      <c r="D197" s="40" t="s">
        <v>427</v>
      </c>
      <c r="E197" s="199" t="s">
        <v>797</v>
      </c>
      <c r="F197" s="199" t="s">
        <v>4074</v>
      </c>
      <c r="G197" s="243" t="s">
        <v>3027</v>
      </c>
      <c r="H197" s="41" t="s">
        <v>958</v>
      </c>
      <c r="I197" s="246" t="s">
        <v>3035</v>
      </c>
      <c r="J197" s="232" t="s">
        <v>3243</v>
      </c>
      <c r="K197" s="161"/>
      <c r="L197" s="240"/>
      <c r="M197" s="240"/>
      <c r="N197" s="160"/>
      <c r="O197" s="139" t="s">
        <v>425</v>
      </c>
      <c r="P197" s="39" t="s">
        <v>426</v>
      </c>
      <c r="Q197" s="228" t="s">
        <v>3245</v>
      </c>
      <c r="R197" s="200" t="s">
        <v>2995</v>
      </c>
      <c r="S197" s="141" t="s">
        <v>428</v>
      </c>
      <c r="T197" s="241"/>
    </row>
    <row r="198" spans="1:20" ht="58" customHeight="1">
      <c r="A198" s="230" t="s">
        <v>2437</v>
      </c>
      <c r="B198" s="41" t="s">
        <v>6</v>
      </c>
      <c r="C198" s="40" t="s">
        <v>1536</v>
      </c>
      <c r="D198" s="40" t="s">
        <v>430</v>
      </c>
      <c r="E198" s="199" t="s">
        <v>4093</v>
      </c>
      <c r="F198" s="199" t="s">
        <v>4094</v>
      </c>
      <c r="G198" s="243" t="s">
        <v>4095</v>
      </c>
      <c r="H198" s="41" t="s">
        <v>1522</v>
      </c>
      <c r="I198" s="246" t="s">
        <v>4500</v>
      </c>
      <c r="J198" s="232" t="s">
        <v>4096</v>
      </c>
      <c r="K198" s="161" t="s">
        <v>958</v>
      </c>
      <c r="L198" s="240"/>
      <c r="M198" s="240"/>
      <c r="N198" s="160"/>
      <c r="O198" s="139" t="s">
        <v>425</v>
      </c>
      <c r="P198" s="39" t="s">
        <v>429</v>
      </c>
      <c r="Q198" s="228" t="s">
        <v>3245</v>
      </c>
      <c r="R198" s="200" t="s">
        <v>4097</v>
      </c>
      <c r="S198" s="141" t="s">
        <v>428</v>
      </c>
      <c r="T198" s="241"/>
    </row>
    <row r="199" spans="1:20" ht="58" customHeight="1">
      <c r="A199" s="230" t="s">
        <v>2437</v>
      </c>
      <c r="B199" s="41" t="s">
        <v>6</v>
      </c>
      <c r="C199" s="40" t="s">
        <v>1536</v>
      </c>
      <c r="D199" s="40" t="s">
        <v>432</v>
      </c>
      <c r="E199" s="199" t="s">
        <v>798</v>
      </c>
      <c r="F199" s="199" t="s">
        <v>4075</v>
      </c>
      <c r="G199" s="243" t="s">
        <v>3026</v>
      </c>
      <c r="H199" s="41" t="s">
        <v>2</v>
      </c>
      <c r="I199" s="246" t="s">
        <v>3034</v>
      </c>
      <c r="J199" s="232" t="s">
        <v>3243</v>
      </c>
      <c r="K199" s="161"/>
      <c r="L199" s="240"/>
      <c r="M199" s="240"/>
      <c r="N199" s="160"/>
      <c r="O199" s="139" t="s">
        <v>425</v>
      </c>
      <c r="P199" s="39" t="s">
        <v>431</v>
      </c>
      <c r="Q199" s="228" t="s">
        <v>3245</v>
      </c>
      <c r="R199" s="200" t="s">
        <v>2968</v>
      </c>
      <c r="S199" s="141" t="s">
        <v>428</v>
      </c>
      <c r="T199" s="241"/>
    </row>
    <row r="200" spans="1:20" ht="58" customHeight="1">
      <c r="A200" s="230" t="s">
        <v>2437</v>
      </c>
      <c r="B200" s="41" t="s">
        <v>6</v>
      </c>
      <c r="C200" s="40" t="s">
        <v>1536</v>
      </c>
      <c r="D200" s="40" t="s">
        <v>434</v>
      </c>
      <c r="E200" s="199" t="s">
        <v>3803</v>
      </c>
      <c r="F200" s="199" t="s">
        <v>3338</v>
      </c>
      <c r="G200" s="243" t="s">
        <v>3339</v>
      </c>
      <c r="H200" s="41" t="s">
        <v>3</v>
      </c>
      <c r="I200" s="246" t="s">
        <v>3038</v>
      </c>
      <c r="J200" s="232" t="s">
        <v>3243</v>
      </c>
      <c r="K200" s="161"/>
      <c r="L200" s="240"/>
      <c r="M200" s="240"/>
      <c r="N200" s="160"/>
      <c r="O200" s="139" t="s">
        <v>425</v>
      </c>
      <c r="P200" s="39" t="s">
        <v>433</v>
      </c>
      <c r="Q200" s="228" t="s">
        <v>3245</v>
      </c>
      <c r="R200" s="200" t="s">
        <v>2996</v>
      </c>
      <c r="S200" s="141" t="s">
        <v>428</v>
      </c>
      <c r="T200" s="241"/>
    </row>
    <row r="201" spans="1:20" ht="58" customHeight="1">
      <c r="A201" s="230" t="s">
        <v>2437</v>
      </c>
      <c r="B201" s="41" t="s">
        <v>6</v>
      </c>
      <c r="C201" s="40" t="s">
        <v>1536</v>
      </c>
      <c r="D201" s="40" t="s">
        <v>436</v>
      </c>
      <c r="E201" s="199" t="s">
        <v>3804</v>
      </c>
      <c r="F201" s="199" t="s">
        <v>3315</v>
      </c>
      <c r="G201" s="243" t="s">
        <v>4578</v>
      </c>
      <c r="H201" s="41" t="s">
        <v>2</v>
      </c>
      <c r="I201" s="246" t="s">
        <v>3034</v>
      </c>
      <c r="J201" s="232" t="s">
        <v>3243</v>
      </c>
      <c r="K201" s="161"/>
      <c r="L201" s="240"/>
      <c r="M201" s="240"/>
      <c r="N201" s="160"/>
      <c r="O201" s="139" t="s">
        <v>425</v>
      </c>
      <c r="P201" s="39" t="s">
        <v>435</v>
      </c>
      <c r="Q201" s="228" t="s">
        <v>3245</v>
      </c>
      <c r="R201" s="200" t="s">
        <v>2997</v>
      </c>
      <c r="S201" s="141" t="s">
        <v>428</v>
      </c>
      <c r="T201" s="241"/>
    </row>
    <row r="202" spans="1:20" ht="58" customHeight="1">
      <c r="A202" s="230" t="s">
        <v>2437</v>
      </c>
      <c r="B202" s="41" t="s">
        <v>1541</v>
      </c>
      <c r="C202" s="40" t="s">
        <v>1520</v>
      </c>
      <c r="D202" s="40" t="s">
        <v>1515</v>
      </c>
      <c r="E202" s="199" t="s">
        <v>3806</v>
      </c>
      <c r="F202" s="199" t="s">
        <v>3347</v>
      </c>
      <c r="G202" s="243" t="s">
        <v>3348</v>
      </c>
      <c r="H202" s="41" t="s">
        <v>3</v>
      </c>
      <c r="I202" s="246" t="s">
        <v>3038</v>
      </c>
      <c r="J202" s="232" t="s">
        <v>3243</v>
      </c>
      <c r="K202" s="161" t="s">
        <v>958</v>
      </c>
      <c r="L202" s="240"/>
      <c r="M202" s="240"/>
      <c r="N202" s="160"/>
      <c r="O202" s="139" t="s">
        <v>1510</v>
      </c>
      <c r="P202" s="39" t="s">
        <v>1514</v>
      </c>
      <c r="Q202" s="228" t="s">
        <v>3246</v>
      </c>
      <c r="R202" s="200" t="s">
        <v>3017</v>
      </c>
      <c r="S202" s="141" t="s">
        <v>1466</v>
      </c>
      <c r="T202" s="241" t="s">
        <v>4631</v>
      </c>
    </row>
    <row r="203" spans="1:20" ht="58" customHeight="1">
      <c r="A203" s="230" t="s">
        <v>2437</v>
      </c>
      <c r="B203" s="41" t="s">
        <v>1541</v>
      </c>
      <c r="C203" s="40" t="s">
        <v>1523</v>
      </c>
      <c r="D203" s="40" t="s">
        <v>4501</v>
      </c>
      <c r="E203" s="199" t="s">
        <v>4502</v>
      </c>
      <c r="F203" s="199" t="s">
        <v>4503</v>
      </c>
      <c r="G203" s="243" t="s">
        <v>4504</v>
      </c>
      <c r="H203" s="41" t="s">
        <v>1522</v>
      </c>
      <c r="I203" s="246" t="s">
        <v>3036</v>
      </c>
      <c r="J203" s="232" t="s">
        <v>4505</v>
      </c>
      <c r="K203" s="161" t="s">
        <v>4506</v>
      </c>
      <c r="L203" s="240" t="s">
        <v>4507</v>
      </c>
      <c r="M203" s="240" t="s">
        <v>4508</v>
      </c>
      <c r="N203" s="160" t="s">
        <v>4278</v>
      </c>
      <c r="O203" s="139" t="s">
        <v>60</v>
      </c>
      <c r="P203" s="39" t="s">
        <v>4509</v>
      </c>
      <c r="Q203" s="228" t="s">
        <v>3246</v>
      </c>
      <c r="R203" s="200" t="s">
        <v>4510</v>
      </c>
      <c r="S203" s="141" t="s">
        <v>4511</v>
      </c>
      <c r="T203" s="241" t="s">
        <v>5247</v>
      </c>
    </row>
    <row r="204" spans="1:20" ht="58" customHeight="1">
      <c r="A204" s="230" t="s">
        <v>2437</v>
      </c>
      <c r="B204" s="41" t="s">
        <v>1541</v>
      </c>
      <c r="C204" s="40" t="s">
        <v>1524</v>
      </c>
      <c r="D204" s="40" t="s">
        <v>1496</v>
      </c>
      <c r="E204" s="199" t="s">
        <v>3815</v>
      </c>
      <c r="F204" s="199" t="s">
        <v>1497</v>
      </c>
      <c r="G204" s="243" t="s">
        <v>3030</v>
      </c>
      <c r="H204" s="41" t="s">
        <v>1522</v>
      </c>
      <c r="I204" s="246" t="s">
        <v>3036</v>
      </c>
      <c r="J204" s="232" t="s">
        <v>3915</v>
      </c>
      <c r="K204" s="161" t="s">
        <v>4557</v>
      </c>
      <c r="L204" s="240"/>
      <c r="M204" s="240"/>
      <c r="N204" s="160"/>
      <c r="O204" s="139" t="s">
        <v>1494</v>
      </c>
      <c r="P204" s="39" t="s">
        <v>1495</v>
      </c>
      <c r="Q204" s="228" t="s">
        <v>3246</v>
      </c>
      <c r="R204" s="200" t="s">
        <v>3013</v>
      </c>
      <c r="S204" s="141" t="s">
        <v>1466</v>
      </c>
      <c r="T204" s="241"/>
    </row>
    <row r="205" spans="1:20" ht="58" customHeight="1">
      <c r="A205" s="230" t="s">
        <v>2437</v>
      </c>
      <c r="B205" s="41" t="s">
        <v>1541</v>
      </c>
      <c r="C205" s="40" t="s">
        <v>1524</v>
      </c>
      <c r="D205" s="40" t="s">
        <v>1500</v>
      </c>
      <c r="E205" s="199" t="s">
        <v>3816</v>
      </c>
      <c r="F205" s="199" t="s">
        <v>1501</v>
      </c>
      <c r="G205" s="243" t="s">
        <v>3030</v>
      </c>
      <c r="H205" s="41" t="s">
        <v>1522</v>
      </c>
      <c r="I205" s="246" t="s">
        <v>3036</v>
      </c>
      <c r="J205" s="232" t="s">
        <v>3916</v>
      </c>
      <c r="K205" s="161" t="s">
        <v>4557</v>
      </c>
      <c r="L205" s="240"/>
      <c r="M205" s="240"/>
      <c r="N205" s="160"/>
      <c r="O205" s="139" t="s">
        <v>1498</v>
      </c>
      <c r="P205" s="39" t="s">
        <v>1499</v>
      </c>
      <c r="Q205" s="228" t="s">
        <v>3246</v>
      </c>
      <c r="R205" s="200" t="s">
        <v>3014</v>
      </c>
      <c r="S205" s="141" t="s">
        <v>1466</v>
      </c>
      <c r="T205" s="241"/>
    </row>
    <row r="206" spans="1:20" ht="58" customHeight="1">
      <c r="A206" s="230" t="s">
        <v>2437</v>
      </c>
      <c r="B206" s="41" t="s">
        <v>1541</v>
      </c>
      <c r="C206" s="40" t="s">
        <v>1525</v>
      </c>
      <c r="D206" s="40" t="s">
        <v>1465</v>
      </c>
      <c r="E206" s="199" t="s">
        <v>3811</v>
      </c>
      <c r="F206" s="199" t="s">
        <v>3022</v>
      </c>
      <c r="G206" s="243" t="s">
        <v>3030</v>
      </c>
      <c r="H206" s="41" t="s">
        <v>1522</v>
      </c>
      <c r="I206" s="246" t="s">
        <v>3036</v>
      </c>
      <c r="J206" s="232" t="s">
        <v>3917</v>
      </c>
      <c r="K206" s="161" t="s">
        <v>4557</v>
      </c>
      <c r="L206" s="240"/>
      <c r="M206" s="240"/>
      <c r="N206" s="160"/>
      <c r="O206" s="139" t="s">
        <v>1463</v>
      </c>
      <c r="P206" s="39" t="s">
        <v>1464</v>
      </c>
      <c r="Q206" s="228" t="s">
        <v>3246</v>
      </c>
      <c r="R206" s="200" t="s">
        <v>3023</v>
      </c>
      <c r="S206" s="141" t="s">
        <v>1466</v>
      </c>
      <c r="T206" s="241"/>
    </row>
    <row r="207" spans="1:20" ht="58" customHeight="1">
      <c r="A207" s="230" t="s">
        <v>2437</v>
      </c>
      <c r="B207" s="41" t="s">
        <v>1541</v>
      </c>
      <c r="C207" s="40" t="s">
        <v>1525</v>
      </c>
      <c r="D207" s="40" t="s">
        <v>1476</v>
      </c>
      <c r="E207" s="199" t="s">
        <v>1477</v>
      </c>
      <c r="F207" s="199" t="s">
        <v>1478</v>
      </c>
      <c r="G207" s="243" t="s">
        <v>3030</v>
      </c>
      <c r="H207" s="41" t="s">
        <v>1522</v>
      </c>
      <c r="I207" s="246" t="s">
        <v>3036</v>
      </c>
      <c r="J207" s="232" t="s">
        <v>3918</v>
      </c>
      <c r="K207" s="161" t="s">
        <v>4557</v>
      </c>
      <c r="L207" s="240"/>
      <c r="M207" s="240"/>
      <c r="N207" s="160"/>
      <c r="O207" s="139" t="s">
        <v>1474</v>
      </c>
      <c r="P207" s="39" t="s">
        <v>1475</v>
      </c>
      <c r="Q207" s="228" t="s">
        <v>3246</v>
      </c>
      <c r="R207" s="200" t="s">
        <v>2944</v>
      </c>
      <c r="S207" s="141" t="s">
        <v>1466</v>
      </c>
      <c r="T207" s="241"/>
    </row>
    <row r="208" spans="1:20" ht="58" customHeight="1">
      <c r="A208" s="230" t="s">
        <v>2437</v>
      </c>
      <c r="B208" s="41" t="s">
        <v>1541</v>
      </c>
      <c r="C208" s="40" t="s">
        <v>1525</v>
      </c>
      <c r="D208" s="40" t="s">
        <v>1480</v>
      </c>
      <c r="E208" s="199" t="s">
        <v>1481</v>
      </c>
      <c r="F208" s="199" t="s">
        <v>1482</v>
      </c>
      <c r="G208" s="243" t="s">
        <v>3030</v>
      </c>
      <c r="H208" s="41" t="s">
        <v>1522</v>
      </c>
      <c r="I208" s="246" t="s">
        <v>3036</v>
      </c>
      <c r="J208" s="232" t="s">
        <v>3919</v>
      </c>
      <c r="K208" s="161" t="s">
        <v>4557</v>
      </c>
      <c r="L208" s="240"/>
      <c r="M208" s="240"/>
      <c r="N208" s="160"/>
      <c r="O208" s="139" t="s">
        <v>1474</v>
      </c>
      <c r="P208" s="39" t="s">
        <v>1479</v>
      </c>
      <c r="Q208" s="228" t="s">
        <v>3246</v>
      </c>
      <c r="R208" s="200" t="s">
        <v>2944</v>
      </c>
      <c r="S208" s="141" t="s">
        <v>1466</v>
      </c>
      <c r="T208" s="241"/>
    </row>
    <row r="209" spans="1:20" ht="58" customHeight="1">
      <c r="A209" s="230" t="s">
        <v>2437</v>
      </c>
      <c r="B209" s="41" t="s">
        <v>1541</v>
      </c>
      <c r="C209" s="40" t="s">
        <v>1526</v>
      </c>
      <c r="D209" s="40" t="s">
        <v>1490</v>
      </c>
      <c r="E209" s="199" t="s">
        <v>3812</v>
      </c>
      <c r="F209" s="199" t="s">
        <v>4306</v>
      </c>
      <c r="G209" s="243" t="s">
        <v>4307</v>
      </c>
      <c r="H209" s="41" t="s">
        <v>1522</v>
      </c>
      <c r="I209" s="246" t="s">
        <v>3036</v>
      </c>
      <c r="J209" s="232" t="s">
        <v>3243</v>
      </c>
      <c r="K209" s="161" t="s">
        <v>4615</v>
      </c>
      <c r="L209" s="240" t="s">
        <v>4616</v>
      </c>
      <c r="M209" s="240"/>
      <c r="N209" s="160" t="s">
        <v>4279</v>
      </c>
      <c r="O209" s="139" t="s">
        <v>1488</v>
      </c>
      <c r="P209" s="39" t="s">
        <v>1489</v>
      </c>
      <c r="Q209" s="228" t="s">
        <v>3246</v>
      </c>
      <c r="R209" s="200" t="s">
        <v>3011</v>
      </c>
      <c r="S209" s="141" t="s">
        <v>1466</v>
      </c>
      <c r="T209" s="241"/>
    </row>
    <row r="210" spans="1:20" ht="58" customHeight="1">
      <c r="A210" s="230" t="s">
        <v>2437</v>
      </c>
      <c r="B210" s="41" t="s">
        <v>1541</v>
      </c>
      <c r="C210" s="40" t="s">
        <v>1526</v>
      </c>
      <c r="D210" s="40" t="s">
        <v>1469</v>
      </c>
      <c r="E210" s="199" t="s">
        <v>3813</v>
      </c>
      <c r="F210" s="199" t="s">
        <v>3289</v>
      </c>
      <c r="G210" s="243" t="s">
        <v>3290</v>
      </c>
      <c r="H210" s="41" t="s">
        <v>1522</v>
      </c>
      <c r="I210" s="246" t="s">
        <v>3036</v>
      </c>
      <c r="J210" s="232" t="s">
        <v>3943</v>
      </c>
      <c r="K210" s="161" t="s">
        <v>4537</v>
      </c>
      <c r="L210" s="240" t="s">
        <v>4538</v>
      </c>
      <c r="M210" s="240"/>
      <c r="N210" s="160" t="s">
        <v>4278</v>
      </c>
      <c r="O210" s="139" t="s">
        <v>1467</v>
      </c>
      <c r="P210" s="39" t="s">
        <v>1468</v>
      </c>
      <c r="Q210" s="228" t="s">
        <v>3246</v>
      </c>
      <c r="R210" s="200" t="s">
        <v>3009</v>
      </c>
      <c r="S210" s="141" t="s">
        <v>1466</v>
      </c>
      <c r="T210" s="241"/>
    </row>
    <row r="211" spans="1:20" ht="58" customHeight="1">
      <c r="A211" s="230" t="s">
        <v>2437</v>
      </c>
      <c r="B211" s="41" t="s">
        <v>1541</v>
      </c>
      <c r="C211" s="40" t="s">
        <v>1528</v>
      </c>
      <c r="D211" s="40" t="s">
        <v>2750</v>
      </c>
      <c r="E211" s="199" t="s">
        <v>3814</v>
      </c>
      <c r="F211" s="199" t="s">
        <v>2751</v>
      </c>
      <c r="G211" s="243" t="s">
        <v>3026</v>
      </c>
      <c r="H211" s="41" t="s">
        <v>2</v>
      </c>
      <c r="I211" s="246" t="s">
        <v>3034</v>
      </c>
      <c r="J211" s="232" t="s">
        <v>3928</v>
      </c>
      <c r="K211" s="161" t="s">
        <v>958</v>
      </c>
      <c r="L211" s="240"/>
      <c r="M211" s="240"/>
      <c r="N211" s="160"/>
      <c r="O211" s="139" t="s">
        <v>2752</v>
      </c>
      <c r="P211" s="39" t="s">
        <v>2753</v>
      </c>
      <c r="Q211" s="228" t="s">
        <v>3959</v>
      </c>
      <c r="R211" s="200" t="s">
        <v>3018</v>
      </c>
      <c r="S211" s="141" t="s">
        <v>2754</v>
      </c>
      <c r="T211" s="241" t="s">
        <v>3960</v>
      </c>
    </row>
    <row r="212" spans="1:20" ht="58" customHeight="1">
      <c r="A212" s="230" t="s">
        <v>2437</v>
      </c>
      <c r="B212" s="41" t="s">
        <v>1541</v>
      </c>
      <c r="C212" s="40" t="s">
        <v>1529</v>
      </c>
      <c r="D212" s="40" t="s">
        <v>1517</v>
      </c>
      <c r="E212" s="199" t="s">
        <v>3807</v>
      </c>
      <c r="F212" s="199" t="s">
        <v>3349</v>
      </c>
      <c r="G212" s="243" t="s">
        <v>3350</v>
      </c>
      <c r="H212" s="41" t="s">
        <v>3</v>
      </c>
      <c r="I212" s="246" t="s">
        <v>3038</v>
      </c>
      <c r="J212" s="232" t="s">
        <v>3243</v>
      </c>
      <c r="K212" s="161" t="s">
        <v>958</v>
      </c>
      <c r="L212" s="240"/>
      <c r="M212" s="240"/>
      <c r="N212" s="160"/>
      <c r="O212" s="139" t="s">
        <v>1510</v>
      </c>
      <c r="P212" s="39" t="s">
        <v>1516</v>
      </c>
      <c r="Q212" s="228" t="s">
        <v>3246</v>
      </c>
      <c r="R212" s="200" t="s">
        <v>3017</v>
      </c>
      <c r="S212" s="141" t="s">
        <v>1466</v>
      </c>
      <c r="T212" s="241" t="s">
        <v>4632</v>
      </c>
    </row>
    <row r="213" spans="1:20" ht="58" customHeight="1">
      <c r="A213" s="230" t="s">
        <v>2437</v>
      </c>
      <c r="B213" s="41" t="s">
        <v>1541</v>
      </c>
      <c r="C213" s="40" t="s">
        <v>1531</v>
      </c>
      <c r="D213" s="40" t="s">
        <v>3437</v>
      </c>
      <c r="E213" s="199" t="s">
        <v>3438</v>
      </c>
      <c r="F213" s="199" t="s">
        <v>3439</v>
      </c>
      <c r="G213" s="243" t="s">
        <v>3440</v>
      </c>
      <c r="H213" s="41" t="s">
        <v>1522</v>
      </c>
      <c r="I213" s="246" t="s">
        <v>3036</v>
      </c>
      <c r="J213" s="232" t="s">
        <v>3939</v>
      </c>
      <c r="K213" s="161" t="s">
        <v>4545</v>
      </c>
      <c r="L213" s="240" t="s">
        <v>4546</v>
      </c>
      <c r="M213" s="240"/>
      <c r="N213" s="160" t="s">
        <v>4278</v>
      </c>
      <c r="O213" s="139" t="s">
        <v>3441</v>
      </c>
      <c r="P213" s="39" t="s">
        <v>531</v>
      </c>
      <c r="Q213" s="228" t="s">
        <v>3246</v>
      </c>
      <c r="R213" s="200" t="s">
        <v>3442</v>
      </c>
      <c r="S213" s="141" t="s">
        <v>3443</v>
      </c>
      <c r="T213" s="241"/>
    </row>
    <row r="214" spans="1:20" ht="58" customHeight="1">
      <c r="A214" s="230" t="s">
        <v>2437</v>
      </c>
      <c r="B214" s="41" t="s">
        <v>1541</v>
      </c>
      <c r="C214" s="40" t="s">
        <v>1532</v>
      </c>
      <c r="D214" s="40" t="s">
        <v>1512</v>
      </c>
      <c r="E214" s="199" t="s">
        <v>3808</v>
      </c>
      <c r="F214" s="199" t="s">
        <v>1513</v>
      </c>
      <c r="G214" s="243" t="s">
        <v>3030</v>
      </c>
      <c r="H214" s="41" t="s">
        <v>1522</v>
      </c>
      <c r="I214" s="246" t="s">
        <v>3036</v>
      </c>
      <c r="J214" s="232" t="s">
        <v>3920</v>
      </c>
      <c r="K214" s="161" t="s">
        <v>4557</v>
      </c>
      <c r="L214" s="240"/>
      <c r="M214" s="240"/>
      <c r="N214" s="160"/>
      <c r="O214" s="139" t="s">
        <v>1510</v>
      </c>
      <c r="P214" s="39" t="s">
        <v>1511</v>
      </c>
      <c r="Q214" s="228" t="s">
        <v>3246</v>
      </c>
      <c r="R214" s="200" t="s">
        <v>3016</v>
      </c>
      <c r="S214" s="141" t="s">
        <v>1466</v>
      </c>
      <c r="T214" s="241"/>
    </row>
    <row r="215" spans="1:20" ht="58" customHeight="1">
      <c r="A215" s="230" t="s">
        <v>2437</v>
      </c>
      <c r="B215" s="41" t="s">
        <v>1541</v>
      </c>
      <c r="C215" s="40" t="s">
        <v>1532</v>
      </c>
      <c r="D215" s="40" t="s">
        <v>3268</v>
      </c>
      <c r="E215" s="199" t="s">
        <v>3269</v>
      </c>
      <c r="F215" s="199" t="s">
        <v>3270</v>
      </c>
      <c r="G215" s="243" t="s">
        <v>3271</v>
      </c>
      <c r="H215" s="41" t="s">
        <v>1522</v>
      </c>
      <c r="I215" s="246" t="s">
        <v>3036</v>
      </c>
      <c r="J215" s="232" t="s">
        <v>3921</v>
      </c>
      <c r="K215" s="161" t="s">
        <v>4514</v>
      </c>
      <c r="L215" s="240" t="s">
        <v>4515</v>
      </c>
      <c r="M215" s="240" t="s">
        <v>4516</v>
      </c>
      <c r="N215" s="160" t="s">
        <v>4279</v>
      </c>
      <c r="O215" s="139" t="s">
        <v>3272</v>
      </c>
      <c r="P215" s="39" t="s">
        <v>3273</v>
      </c>
      <c r="Q215" s="228" t="s">
        <v>3246</v>
      </c>
      <c r="R215" s="200" t="s">
        <v>3274</v>
      </c>
      <c r="S215" s="141" t="s">
        <v>3260</v>
      </c>
      <c r="T215" s="241"/>
    </row>
    <row r="216" spans="1:20" ht="58" customHeight="1">
      <c r="A216" s="230" t="s">
        <v>2437</v>
      </c>
      <c r="B216" s="41" t="s">
        <v>1541</v>
      </c>
      <c r="C216" s="40" t="s">
        <v>1532</v>
      </c>
      <c r="D216" s="40" t="s">
        <v>3281</v>
      </c>
      <c r="E216" s="199" t="s">
        <v>3282</v>
      </c>
      <c r="F216" s="199" t="s">
        <v>3283</v>
      </c>
      <c r="G216" s="243" t="s">
        <v>3284</v>
      </c>
      <c r="H216" s="41" t="s">
        <v>1522</v>
      </c>
      <c r="I216" s="246" t="s">
        <v>3036</v>
      </c>
      <c r="J216" s="232" t="s">
        <v>3922</v>
      </c>
      <c r="K216" s="161" t="s">
        <v>4528</v>
      </c>
      <c r="L216" s="240" t="s">
        <v>4529</v>
      </c>
      <c r="M216" s="240" t="s">
        <v>4530</v>
      </c>
      <c r="N216" s="160" t="s">
        <v>4279</v>
      </c>
      <c r="O216" s="139" t="s">
        <v>3285</v>
      </c>
      <c r="P216" s="39" t="s">
        <v>3286</v>
      </c>
      <c r="Q216" s="228" t="s">
        <v>3246</v>
      </c>
      <c r="R216" s="200" t="s">
        <v>3274</v>
      </c>
      <c r="S216" s="141" t="s">
        <v>3260</v>
      </c>
      <c r="T216" s="241"/>
    </row>
    <row r="217" spans="1:20" ht="58" customHeight="1">
      <c r="A217" s="230" t="s">
        <v>2437</v>
      </c>
      <c r="B217" s="41" t="s">
        <v>1541</v>
      </c>
      <c r="C217" s="40" t="s">
        <v>1532</v>
      </c>
      <c r="D217" s="40" t="s">
        <v>1472</v>
      </c>
      <c r="E217" s="199" t="s">
        <v>3809</v>
      </c>
      <c r="F217" s="199" t="s">
        <v>1473</v>
      </c>
      <c r="G217" s="243" t="s">
        <v>3027</v>
      </c>
      <c r="H217" s="41" t="s">
        <v>958</v>
      </c>
      <c r="I217" s="246" t="s">
        <v>3035</v>
      </c>
      <c r="J217" s="232" t="s">
        <v>3243</v>
      </c>
      <c r="K217" s="161"/>
      <c r="L217" s="240"/>
      <c r="M217" s="240"/>
      <c r="N217" s="160"/>
      <c r="O217" s="139" t="s">
        <v>1470</v>
      </c>
      <c r="P217" s="39" t="s">
        <v>1471</v>
      </c>
      <c r="Q217" s="228" t="s">
        <v>3246</v>
      </c>
      <c r="R217" s="200" t="s">
        <v>3010</v>
      </c>
      <c r="S217" s="141" t="s">
        <v>1466</v>
      </c>
      <c r="T217" s="241"/>
    </row>
    <row r="218" spans="1:20" ht="58" customHeight="1">
      <c r="A218" s="230" t="s">
        <v>2437</v>
      </c>
      <c r="B218" s="41" t="s">
        <v>1541</v>
      </c>
      <c r="C218" s="40" t="s">
        <v>1534</v>
      </c>
      <c r="D218" s="40" t="s">
        <v>3445</v>
      </c>
      <c r="E218" s="199" t="s">
        <v>3446</v>
      </c>
      <c r="F218" s="199" t="s">
        <v>3447</v>
      </c>
      <c r="G218" s="243" t="s">
        <v>3448</v>
      </c>
      <c r="H218" s="41" t="s">
        <v>1522</v>
      </c>
      <c r="I218" s="246" t="s">
        <v>3036</v>
      </c>
      <c r="J218" s="232" t="s">
        <v>3940</v>
      </c>
      <c r="K218" s="161" t="s">
        <v>4547</v>
      </c>
      <c r="L218" s="240" t="s">
        <v>4548</v>
      </c>
      <c r="M218" s="240"/>
      <c r="N218" s="160" t="s">
        <v>4278</v>
      </c>
      <c r="O218" s="139" t="s">
        <v>3444</v>
      </c>
      <c r="P218" s="39" t="s">
        <v>536</v>
      </c>
      <c r="Q218" s="228" t="s">
        <v>3246</v>
      </c>
      <c r="R218" s="200" t="s">
        <v>3442</v>
      </c>
      <c r="S218" s="141" t="s">
        <v>3443</v>
      </c>
      <c r="T218" s="241"/>
    </row>
    <row r="219" spans="1:20" ht="58" customHeight="1">
      <c r="A219" s="230" t="s">
        <v>2437</v>
      </c>
      <c r="B219" s="41" t="s">
        <v>1541</v>
      </c>
      <c r="C219" s="40" t="s">
        <v>1534</v>
      </c>
      <c r="D219" s="40" t="s">
        <v>3253</v>
      </c>
      <c r="E219" s="199" t="s">
        <v>3254</v>
      </c>
      <c r="F219" s="199" t="s">
        <v>3255</v>
      </c>
      <c r="G219" s="243" t="s">
        <v>3256</v>
      </c>
      <c r="H219" s="41" t="s">
        <v>1522</v>
      </c>
      <c r="I219" s="246" t="s">
        <v>3036</v>
      </c>
      <c r="J219" s="232" t="s">
        <v>3923</v>
      </c>
      <c r="K219" s="161" t="s">
        <v>4276</v>
      </c>
      <c r="L219" s="240" t="s">
        <v>4477</v>
      </c>
      <c r="M219" s="240"/>
      <c r="N219" s="160" t="s">
        <v>4280</v>
      </c>
      <c r="O219" s="139" t="s">
        <v>3257</v>
      </c>
      <c r="P219" s="39" t="s">
        <v>3258</v>
      </c>
      <c r="Q219" s="228" t="s">
        <v>3246</v>
      </c>
      <c r="R219" s="200" t="s">
        <v>3259</v>
      </c>
      <c r="S219" s="141" t="s">
        <v>3260</v>
      </c>
      <c r="T219" s="241"/>
    </row>
    <row r="220" spans="1:20" ht="58" customHeight="1">
      <c r="A220" s="230" t="s">
        <v>2437</v>
      </c>
      <c r="B220" s="41" t="s">
        <v>1541</v>
      </c>
      <c r="C220" s="40" t="s">
        <v>1534</v>
      </c>
      <c r="D220" s="40" t="s">
        <v>1504</v>
      </c>
      <c r="E220" s="199" t="s">
        <v>3810</v>
      </c>
      <c r="F220" s="199" t="s">
        <v>4648</v>
      </c>
      <c r="G220" s="243" t="s">
        <v>4649</v>
      </c>
      <c r="H220" s="41" t="s">
        <v>3</v>
      </c>
      <c r="I220" s="246" t="s">
        <v>3038</v>
      </c>
      <c r="J220" s="232" t="s">
        <v>3243</v>
      </c>
      <c r="K220" s="161" t="s">
        <v>958</v>
      </c>
      <c r="L220" s="240"/>
      <c r="M220" s="240"/>
      <c r="N220" s="160"/>
      <c r="O220" s="139" t="s">
        <v>1502</v>
      </c>
      <c r="P220" s="39" t="s">
        <v>1503</v>
      </c>
      <c r="Q220" s="228" t="s">
        <v>3246</v>
      </c>
      <c r="R220" s="200" t="s">
        <v>3015</v>
      </c>
      <c r="S220" s="141" t="s">
        <v>1466</v>
      </c>
      <c r="T220" s="241"/>
    </row>
    <row r="221" spans="1:20" ht="58" customHeight="1">
      <c r="A221" s="230" t="s">
        <v>2437</v>
      </c>
      <c r="B221" s="41" t="s">
        <v>1541</v>
      </c>
      <c r="C221" s="40" t="s">
        <v>1534</v>
      </c>
      <c r="D221" s="40" t="s">
        <v>3261</v>
      </c>
      <c r="E221" s="199" t="s">
        <v>3262</v>
      </c>
      <c r="F221" s="199" t="s">
        <v>3263</v>
      </c>
      <c r="G221" s="243" t="s">
        <v>3264</v>
      </c>
      <c r="H221" s="41" t="s">
        <v>1522</v>
      </c>
      <c r="I221" s="246" t="s">
        <v>3036</v>
      </c>
      <c r="J221" s="232" t="s">
        <v>3924</v>
      </c>
      <c r="K221" s="161" t="s">
        <v>4551</v>
      </c>
      <c r="L221" s="240" t="s">
        <v>4552</v>
      </c>
      <c r="M221" s="240"/>
      <c r="N221" s="160" t="s">
        <v>4278</v>
      </c>
      <c r="O221" s="139" t="s">
        <v>3265</v>
      </c>
      <c r="P221" s="39" t="s">
        <v>3266</v>
      </c>
      <c r="Q221" s="228" t="s">
        <v>3246</v>
      </c>
      <c r="R221" s="200" t="s">
        <v>3267</v>
      </c>
      <c r="S221" s="141" t="s">
        <v>3260</v>
      </c>
      <c r="T221" s="241"/>
    </row>
    <row r="222" spans="1:20" ht="58" customHeight="1">
      <c r="A222" s="230" t="s">
        <v>2437</v>
      </c>
      <c r="B222" s="41" t="s">
        <v>1541</v>
      </c>
      <c r="C222" s="40" t="s">
        <v>1534</v>
      </c>
      <c r="D222" s="40" t="s">
        <v>1507</v>
      </c>
      <c r="E222" s="199" t="s">
        <v>1508</v>
      </c>
      <c r="F222" s="199" t="s">
        <v>1509</v>
      </c>
      <c r="G222" s="243" t="s">
        <v>3030</v>
      </c>
      <c r="H222" s="41" t="s">
        <v>1522</v>
      </c>
      <c r="I222" s="246" t="s">
        <v>3036</v>
      </c>
      <c r="J222" s="232" t="s">
        <v>3925</v>
      </c>
      <c r="K222" s="161" t="s">
        <v>4557</v>
      </c>
      <c r="L222" s="240"/>
      <c r="M222" s="240"/>
      <c r="N222" s="160"/>
      <c r="O222" s="139" t="s">
        <v>1505</v>
      </c>
      <c r="P222" s="39" t="s">
        <v>1506</v>
      </c>
      <c r="Q222" s="228" t="s">
        <v>3246</v>
      </c>
      <c r="R222" s="200" t="s">
        <v>2944</v>
      </c>
      <c r="S222" s="141" t="s">
        <v>1466</v>
      </c>
      <c r="T222" s="241"/>
    </row>
    <row r="223" spans="1:20" ht="58" customHeight="1">
      <c r="A223" s="230" t="s">
        <v>2437</v>
      </c>
      <c r="B223" s="41" t="s">
        <v>1541</v>
      </c>
      <c r="C223" s="40" t="s">
        <v>1533</v>
      </c>
      <c r="D223" s="40" t="s">
        <v>3449</v>
      </c>
      <c r="E223" s="199" t="s">
        <v>3450</v>
      </c>
      <c r="F223" s="199" t="s">
        <v>3451</v>
      </c>
      <c r="G223" s="243" t="s">
        <v>4579</v>
      </c>
      <c r="H223" s="41" t="s">
        <v>1522</v>
      </c>
      <c r="I223" s="246" t="s">
        <v>3036</v>
      </c>
      <c r="J223" s="232" t="s">
        <v>3941</v>
      </c>
      <c r="K223" s="161" t="s">
        <v>4539</v>
      </c>
      <c r="L223" s="240" t="s">
        <v>4540</v>
      </c>
      <c r="M223" s="240"/>
      <c r="N223" s="160" t="s">
        <v>4279</v>
      </c>
      <c r="O223" s="139" t="s">
        <v>3207</v>
      </c>
      <c r="P223" s="39" t="s">
        <v>542</v>
      </c>
      <c r="Q223" s="228" t="s">
        <v>3246</v>
      </c>
      <c r="R223" s="200" t="s">
        <v>3442</v>
      </c>
      <c r="S223" s="141" t="s">
        <v>3443</v>
      </c>
      <c r="T223" s="241"/>
    </row>
    <row r="224" spans="1:20" ht="58" customHeight="1">
      <c r="A224" s="230" t="s">
        <v>2437</v>
      </c>
      <c r="B224" s="41" t="s">
        <v>1541</v>
      </c>
      <c r="C224" s="40" t="s">
        <v>1533</v>
      </c>
      <c r="D224" s="40" t="s">
        <v>1493</v>
      </c>
      <c r="E224" s="199" t="s">
        <v>3805</v>
      </c>
      <c r="F224" s="199" t="s">
        <v>3351</v>
      </c>
      <c r="G224" s="243" t="s">
        <v>4580</v>
      </c>
      <c r="H224" s="41" t="s">
        <v>1522</v>
      </c>
      <c r="I224" s="246" t="s">
        <v>3036</v>
      </c>
      <c r="J224" s="232" t="s">
        <v>4088</v>
      </c>
      <c r="K224" s="161" t="s">
        <v>4525</v>
      </c>
      <c r="L224" s="240" t="s">
        <v>4526</v>
      </c>
      <c r="M224" s="240" t="s">
        <v>4527</v>
      </c>
      <c r="N224" s="160" t="s">
        <v>4279</v>
      </c>
      <c r="O224" s="139" t="s">
        <v>1491</v>
      </c>
      <c r="P224" s="39" t="s">
        <v>1492</v>
      </c>
      <c r="Q224" s="228" t="s">
        <v>3246</v>
      </c>
      <c r="R224" s="200" t="s">
        <v>3012</v>
      </c>
      <c r="S224" s="141" t="s">
        <v>1466</v>
      </c>
      <c r="T224" s="241"/>
    </row>
    <row r="225" spans="1:20" ht="58" customHeight="1">
      <c r="A225" s="230" t="s">
        <v>2437</v>
      </c>
      <c r="B225" s="41" t="s">
        <v>1541</v>
      </c>
      <c r="C225" s="40" t="s">
        <v>1533</v>
      </c>
      <c r="D225" s="40" t="s">
        <v>3275</v>
      </c>
      <c r="E225" s="199" t="s">
        <v>3276</v>
      </c>
      <c r="F225" s="199" t="s">
        <v>3277</v>
      </c>
      <c r="G225" s="243" t="s">
        <v>3278</v>
      </c>
      <c r="H225" s="41" t="s">
        <v>1522</v>
      </c>
      <c r="I225" s="246" t="s">
        <v>4500</v>
      </c>
      <c r="J225" s="232" t="s">
        <v>3926</v>
      </c>
      <c r="K225" s="161" t="s">
        <v>4293</v>
      </c>
      <c r="L225" s="240" t="s">
        <v>4422</v>
      </c>
      <c r="M225" s="240" t="s">
        <v>4423</v>
      </c>
      <c r="N225" s="160" t="s">
        <v>4279</v>
      </c>
      <c r="O225" s="139" t="s">
        <v>3279</v>
      </c>
      <c r="P225" s="39" t="s">
        <v>3280</v>
      </c>
      <c r="Q225" s="228" t="s">
        <v>3246</v>
      </c>
      <c r="R225" s="200" t="s">
        <v>3274</v>
      </c>
      <c r="S225" s="141" t="s">
        <v>3260</v>
      </c>
      <c r="T225" s="241"/>
    </row>
    <row r="226" spans="1:20" ht="58" customHeight="1">
      <c r="A226" s="230" t="s">
        <v>2437</v>
      </c>
      <c r="B226" s="41" t="s">
        <v>1541</v>
      </c>
      <c r="C226" s="40" t="s">
        <v>1533</v>
      </c>
      <c r="D226" s="40" t="s">
        <v>1485</v>
      </c>
      <c r="E226" s="199" t="s">
        <v>1486</v>
      </c>
      <c r="F226" s="199" t="s">
        <v>1487</v>
      </c>
      <c r="G226" s="243" t="s">
        <v>3030</v>
      </c>
      <c r="H226" s="41" t="s">
        <v>1522</v>
      </c>
      <c r="I226" s="246" t="s">
        <v>3036</v>
      </c>
      <c r="J226" s="232" t="s">
        <v>3927</v>
      </c>
      <c r="K226" s="161" t="s">
        <v>4557</v>
      </c>
      <c r="L226" s="240"/>
      <c r="M226" s="240"/>
      <c r="N226" s="160"/>
      <c r="O226" s="139" t="s">
        <v>1483</v>
      </c>
      <c r="P226" s="39" t="s">
        <v>1484</v>
      </c>
      <c r="Q226" s="228" t="s">
        <v>3246</v>
      </c>
      <c r="R226" s="200" t="s">
        <v>2944</v>
      </c>
      <c r="S226" s="141" t="s">
        <v>1466</v>
      </c>
      <c r="T226" s="241"/>
    </row>
    <row r="227" spans="1:20" ht="58" customHeight="1">
      <c r="A227" s="230" t="s">
        <v>2437</v>
      </c>
      <c r="B227" s="41" t="s">
        <v>1541</v>
      </c>
      <c r="C227" s="40" t="s">
        <v>1536</v>
      </c>
      <c r="D227" s="40" t="s">
        <v>4098</v>
      </c>
      <c r="E227" s="199" t="s">
        <v>4099</v>
      </c>
      <c r="F227" s="199" t="s">
        <v>4100</v>
      </c>
      <c r="G227" s="243" t="s">
        <v>4581</v>
      </c>
      <c r="H227" s="41" t="s">
        <v>1522</v>
      </c>
      <c r="I227" s="246" t="s">
        <v>4500</v>
      </c>
      <c r="J227" s="232" t="s">
        <v>4101</v>
      </c>
      <c r="K227" s="161" t="s">
        <v>4267</v>
      </c>
      <c r="L227" s="240" t="s">
        <v>4394</v>
      </c>
      <c r="M227" s="240" t="s">
        <v>4395</v>
      </c>
      <c r="N227" s="160" t="s">
        <v>4278</v>
      </c>
      <c r="O227" s="139" t="s">
        <v>4102</v>
      </c>
      <c r="P227" s="39" t="s">
        <v>4103</v>
      </c>
      <c r="Q227" s="228" t="s">
        <v>3246</v>
      </c>
      <c r="R227" s="200" t="s">
        <v>4104</v>
      </c>
      <c r="S227" s="141" t="s">
        <v>4105</v>
      </c>
      <c r="T227" s="241"/>
    </row>
    <row r="228" spans="1:20" ht="58" customHeight="1">
      <c r="A228" s="230" t="s">
        <v>2437</v>
      </c>
      <c r="B228" s="41" t="s">
        <v>1541</v>
      </c>
      <c r="C228" s="40" t="s">
        <v>1536</v>
      </c>
      <c r="D228" s="40" t="s">
        <v>4106</v>
      </c>
      <c r="E228" s="199" t="s">
        <v>4107</v>
      </c>
      <c r="F228" s="199" t="s">
        <v>4108</v>
      </c>
      <c r="G228" s="243" t="s">
        <v>4582</v>
      </c>
      <c r="H228" s="41" t="s">
        <v>1522</v>
      </c>
      <c r="I228" s="246" t="s">
        <v>4113</v>
      </c>
      <c r="J228" s="232" t="s">
        <v>4109</v>
      </c>
      <c r="K228" s="161" t="s">
        <v>4270</v>
      </c>
      <c r="L228" s="240" t="s">
        <v>4396</v>
      </c>
      <c r="M228" s="240" t="s">
        <v>4397</v>
      </c>
      <c r="N228" s="160" t="s">
        <v>4278</v>
      </c>
      <c r="O228" s="139" t="s">
        <v>4102</v>
      </c>
      <c r="P228" s="39" t="s">
        <v>4110</v>
      </c>
      <c r="Q228" s="228" t="s">
        <v>3246</v>
      </c>
      <c r="R228" s="200" t="s">
        <v>4111</v>
      </c>
      <c r="S228" s="141" t="s">
        <v>4105</v>
      </c>
      <c r="T228" s="241"/>
    </row>
    <row r="229" spans="1:20" ht="58" customHeight="1">
      <c r="A229" s="230" t="s">
        <v>2438</v>
      </c>
      <c r="B229" s="41" t="s">
        <v>1425</v>
      </c>
      <c r="C229" s="40" t="s">
        <v>1525</v>
      </c>
      <c r="D229" s="40" t="s">
        <v>467</v>
      </c>
      <c r="E229" s="199" t="s">
        <v>804</v>
      </c>
      <c r="F229" s="199" t="s">
        <v>468</v>
      </c>
      <c r="G229" s="243" t="s">
        <v>3030</v>
      </c>
      <c r="H229" s="41" t="s">
        <v>1522</v>
      </c>
      <c r="I229" s="246" t="s">
        <v>4113</v>
      </c>
      <c r="J229" s="232" t="s">
        <v>3930</v>
      </c>
      <c r="K229" s="161" t="s">
        <v>4282</v>
      </c>
      <c r="L229" s="240" t="s">
        <v>4400</v>
      </c>
      <c r="M229" s="240" t="s">
        <v>4401</v>
      </c>
      <c r="N229" s="160" t="s">
        <v>4278</v>
      </c>
      <c r="O229" s="139" t="s">
        <v>465</v>
      </c>
      <c r="P229" s="39" t="s">
        <v>466</v>
      </c>
      <c r="Q229" s="228" t="s">
        <v>3248</v>
      </c>
      <c r="R229" s="200" t="s">
        <v>2944</v>
      </c>
      <c r="S229" s="141" t="s">
        <v>440</v>
      </c>
      <c r="T229" s="241"/>
    </row>
    <row r="230" spans="1:20" ht="58" customHeight="1">
      <c r="A230" s="230" t="s">
        <v>2438</v>
      </c>
      <c r="B230" s="41" t="s">
        <v>1425</v>
      </c>
      <c r="C230" s="40" t="s">
        <v>1525</v>
      </c>
      <c r="D230" s="40" t="s">
        <v>475</v>
      </c>
      <c r="E230" s="199" t="s">
        <v>806</v>
      </c>
      <c r="F230" s="199" t="s">
        <v>476</v>
      </c>
      <c r="G230" s="243" t="s">
        <v>3030</v>
      </c>
      <c r="H230" s="41" t="s">
        <v>1522</v>
      </c>
      <c r="I230" s="246" t="s">
        <v>4113</v>
      </c>
      <c r="J230" s="232" t="s">
        <v>3932</v>
      </c>
      <c r="K230" s="161" t="s">
        <v>4294</v>
      </c>
      <c r="L230" s="240" t="s">
        <v>4424</v>
      </c>
      <c r="M230" s="240" t="s">
        <v>4425</v>
      </c>
      <c r="N230" s="160" t="s">
        <v>4279</v>
      </c>
      <c r="O230" s="139" t="s">
        <v>473</v>
      </c>
      <c r="P230" s="39" t="s">
        <v>474</v>
      </c>
      <c r="Q230" s="228" t="s">
        <v>3248</v>
      </c>
      <c r="R230" s="200" t="s">
        <v>2944</v>
      </c>
      <c r="S230" s="141" t="s">
        <v>440</v>
      </c>
      <c r="T230" s="241"/>
    </row>
    <row r="231" spans="1:20" ht="58" customHeight="1">
      <c r="A231" s="230" t="s">
        <v>2438</v>
      </c>
      <c r="B231" s="41" t="s">
        <v>1425</v>
      </c>
      <c r="C231" s="40" t="s">
        <v>1526</v>
      </c>
      <c r="D231" s="40" t="s">
        <v>457</v>
      </c>
      <c r="E231" s="199" t="s">
        <v>801</v>
      </c>
      <c r="F231" s="199" t="s">
        <v>458</v>
      </c>
      <c r="G231" s="243" t="s">
        <v>3026</v>
      </c>
      <c r="H231" s="41" t="s">
        <v>2</v>
      </c>
      <c r="I231" s="246" t="s">
        <v>3034</v>
      </c>
      <c r="J231" s="232" t="s">
        <v>3243</v>
      </c>
      <c r="K231" s="161"/>
      <c r="L231" s="240"/>
      <c r="M231" s="240"/>
      <c r="N231" s="160"/>
      <c r="O231" s="139" t="s">
        <v>455</v>
      </c>
      <c r="P231" s="39" t="s">
        <v>456</v>
      </c>
      <c r="Q231" s="228" t="s">
        <v>3248</v>
      </c>
      <c r="R231" s="200" t="s">
        <v>3002</v>
      </c>
      <c r="S231" s="141" t="s">
        <v>440</v>
      </c>
      <c r="T231" s="241"/>
    </row>
    <row r="232" spans="1:20" ht="58" customHeight="1">
      <c r="A232" s="230" t="s">
        <v>2438</v>
      </c>
      <c r="B232" s="41" t="s">
        <v>1425</v>
      </c>
      <c r="C232" s="40" t="s">
        <v>1526</v>
      </c>
      <c r="D232" s="40" t="s">
        <v>471</v>
      </c>
      <c r="E232" s="199" t="s">
        <v>805</v>
      </c>
      <c r="F232" s="199" t="s">
        <v>472</v>
      </c>
      <c r="G232" s="243" t="s">
        <v>3030</v>
      </c>
      <c r="H232" s="41" t="s">
        <v>1522</v>
      </c>
      <c r="I232" s="246" t="s">
        <v>3036</v>
      </c>
      <c r="J232" s="232" t="s">
        <v>3931</v>
      </c>
      <c r="K232" s="161" t="s">
        <v>4557</v>
      </c>
      <c r="L232" s="240"/>
      <c r="M232" s="240"/>
      <c r="N232" s="160"/>
      <c r="O232" s="139" t="s">
        <v>469</v>
      </c>
      <c r="P232" s="39" t="s">
        <v>470</v>
      </c>
      <c r="Q232" s="228" t="s">
        <v>3248</v>
      </c>
      <c r="R232" s="200" t="s">
        <v>2944</v>
      </c>
      <c r="S232" s="141" t="s">
        <v>440</v>
      </c>
      <c r="T232" s="241"/>
    </row>
    <row r="233" spans="1:20" ht="58" customHeight="1">
      <c r="A233" s="230" t="s">
        <v>2438</v>
      </c>
      <c r="B233" s="41" t="s">
        <v>1425</v>
      </c>
      <c r="C233" s="40" t="s">
        <v>1527</v>
      </c>
      <c r="D233" s="40" t="s">
        <v>2747</v>
      </c>
      <c r="E233" s="199" t="s">
        <v>2746</v>
      </c>
      <c r="F233" s="199" t="s">
        <v>4496</v>
      </c>
      <c r="G233" s="243" t="s">
        <v>4583</v>
      </c>
      <c r="H233" s="41" t="s">
        <v>2</v>
      </c>
      <c r="I233" s="246" t="s">
        <v>1539</v>
      </c>
      <c r="J233" s="232" t="s">
        <v>3243</v>
      </c>
      <c r="K233" s="161"/>
      <c r="L233" s="240"/>
      <c r="M233" s="240"/>
      <c r="N233" s="160"/>
      <c r="O233" s="139" t="s">
        <v>2748</v>
      </c>
      <c r="P233" s="39" t="s">
        <v>2749</v>
      </c>
      <c r="Q233" s="228" t="s">
        <v>3249</v>
      </c>
      <c r="R233" s="200" t="s">
        <v>4497</v>
      </c>
      <c r="S233" s="141" t="s">
        <v>2501</v>
      </c>
      <c r="T233" s="241"/>
    </row>
    <row r="234" spans="1:20" ht="58" customHeight="1">
      <c r="A234" s="230" t="s">
        <v>2438</v>
      </c>
      <c r="B234" s="41" t="s">
        <v>1425</v>
      </c>
      <c r="C234" s="40" t="s">
        <v>1527</v>
      </c>
      <c r="D234" s="40" t="s">
        <v>461</v>
      </c>
      <c r="E234" s="199" t="s">
        <v>802</v>
      </c>
      <c r="F234" s="199" t="s">
        <v>462</v>
      </c>
      <c r="G234" s="243" t="s">
        <v>3026</v>
      </c>
      <c r="H234" s="41" t="s">
        <v>2</v>
      </c>
      <c r="I234" s="246" t="s">
        <v>3034</v>
      </c>
      <c r="J234" s="232" t="s">
        <v>3243</v>
      </c>
      <c r="K234" s="161"/>
      <c r="L234" s="240"/>
      <c r="M234" s="240"/>
      <c r="N234" s="160"/>
      <c r="O234" s="139" t="s">
        <v>459</v>
      </c>
      <c r="P234" s="39" t="s">
        <v>460</v>
      </c>
      <c r="Q234" s="228" t="s">
        <v>3248</v>
      </c>
      <c r="R234" s="200" t="s">
        <v>3002</v>
      </c>
      <c r="S234" s="141" t="s">
        <v>447</v>
      </c>
      <c r="T234" s="241"/>
    </row>
    <row r="235" spans="1:20" ht="58" customHeight="1">
      <c r="A235" s="230" t="s">
        <v>2438</v>
      </c>
      <c r="B235" s="41" t="s">
        <v>1425</v>
      </c>
      <c r="C235" s="40" t="s">
        <v>1527</v>
      </c>
      <c r="D235" s="40" t="s">
        <v>4198</v>
      </c>
      <c r="E235" s="199" t="s">
        <v>803</v>
      </c>
      <c r="F235" s="199" t="s">
        <v>464</v>
      </c>
      <c r="G235" s="243" t="s">
        <v>3032</v>
      </c>
      <c r="H235" s="41" t="s">
        <v>1522</v>
      </c>
      <c r="I235" s="246" t="s">
        <v>4113</v>
      </c>
      <c r="J235" s="232" t="s">
        <v>3929</v>
      </c>
      <c r="K235" s="161" t="s">
        <v>4199</v>
      </c>
      <c r="L235" s="240" t="s">
        <v>4465</v>
      </c>
      <c r="M235" s="240" t="s">
        <v>4466</v>
      </c>
      <c r="N235" s="160" t="s">
        <v>4279</v>
      </c>
      <c r="O235" s="139" t="s">
        <v>463</v>
      </c>
      <c r="P235" s="39" t="s">
        <v>4197</v>
      </c>
      <c r="Q235" s="228" t="s">
        <v>3248</v>
      </c>
      <c r="R235" s="200" t="s">
        <v>3003</v>
      </c>
      <c r="S235" s="141" t="s">
        <v>440</v>
      </c>
      <c r="T235" s="241"/>
    </row>
    <row r="236" spans="1:20" ht="58" customHeight="1">
      <c r="A236" s="230" t="s">
        <v>2438</v>
      </c>
      <c r="B236" s="41" t="s">
        <v>1425</v>
      </c>
      <c r="C236" s="40" t="s">
        <v>1527</v>
      </c>
      <c r="D236" s="40" t="s">
        <v>4200</v>
      </c>
      <c r="E236" s="199" t="s">
        <v>803</v>
      </c>
      <c r="F236" s="199" t="s">
        <v>464</v>
      </c>
      <c r="G236" s="243" t="s">
        <v>3032</v>
      </c>
      <c r="H236" s="41" t="s">
        <v>1522</v>
      </c>
      <c r="I236" s="246" t="s">
        <v>4113</v>
      </c>
      <c r="J236" s="232" t="s">
        <v>3929</v>
      </c>
      <c r="K236" s="161" t="s">
        <v>4202</v>
      </c>
      <c r="L236" s="240" t="s">
        <v>4439</v>
      </c>
      <c r="M236" s="240" t="s">
        <v>4440</v>
      </c>
      <c r="N236" s="160" t="s">
        <v>4278</v>
      </c>
      <c r="O236" s="139" t="s">
        <v>463</v>
      </c>
      <c r="P236" s="39" t="s">
        <v>4201</v>
      </c>
      <c r="Q236" s="228" t="s">
        <v>3248</v>
      </c>
      <c r="R236" s="200" t="s">
        <v>3003</v>
      </c>
      <c r="S236" s="141" t="s">
        <v>440</v>
      </c>
      <c r="T236" s="241"/>
    </row>
    <row r="237" spans="1:20" ht="58" customHeight="1">
      <c r="A237" s="230" t="s">
        <v>2438</v>
      </c>
      <c r="B237" s="41" t="s">
        <v>1425</v>
      </c>
      <c r="C237" s="40" t="s">
        <v>1527</v>
      </c>
      <c r="D237" s="40" t="s">
        <v>479</v>
      </c>
      <c r="E237" s="199" t="s">
        <v>807</v>
      </c>
      <c r="F237" s="199" t="s">
        <v>480</v>
      </c>
      <c r="G237" s="243" t="s">
        <v>3026</v>
      </c>
      <c r="H237" s="41" t="s">
        <v>2</v>
      </c>
      <c r="I237" s="246" t="s">
        <v>3034</v>
      </c>
      <c r="J237" s="232" t="s">
        <v>3243</v>
      </c>
      <c r="K237" s="161"/>
      <c r="L237" s="240"/>
      <c r="M237" s="240"/>
      <c r="N237" s="160"/>
      <c r="O237" s="139" t="s">
        <v>477</v>
      </c>
      <c r="P237" s="39" t="s">
        <v>478</v>
      </c>
      <c r="Q237" s="228" t="s">
        <v>3248</v>
      </c>
      <c r="R237" s="200" t="s">
        <v>3002</v>
      </c>
      <c r="S237" s="141" t="s">
        <v>440</v>
      </c>
      <c r="T237" s="241"/>
    </row>
    <row r="238" spans="1:20" ht="58" customHeight="1">
      <c r="A238" s="230" t="s">
        <v>2438</v>
      </c>
      <c r="B238" s="41" t="s">
        <v>1425</v>
      </c>
      <c r="C238" s="40" t="s">
        <v>1529</v>
      </c>
      <c r="D238" s="40" t="s">
        <v>483</v>
      </c>
      <c r="E238" s="199" t="s">
        <v>808</v>
      </c>
      <c r="F238" s="199" t="s">
        <v>484</v>
      </c>
      <c r="G238" s="243" t="s">
        <v>3026</v>
      </c>
      <c r="H238" s="41" t="s">
        <v>2</v>
      </c>
      <c r="I238" s="246" t="s">
        <v>3034</v>
      </c>
      <c r="J238" s="232" t="s">
        <v>3243</v>
      </c>
      <c r="K238" s="161"/>
      <c r="L238" s="240"/>
      <c r="M238" s="240"/>
      <c r="N238" s="160"/>
      <c r="O238" s="139" t="s">
        <v>481</v>
      </c>
      <c r="P238" s="39" t="s">
        <v>482</v>
      </c>
      <c r="Q238" s="228" t="s">
        <v>3248</v>
      </c>
      <c r="R238" s="200" t="s">
        <v>3002</v>
      </c>
      <c r="S238" s="141" t="s">
        <v>440</v>
      </c>
      <c r="T238" s="241"/>
    </row>
    <row r="239" spans="1:20" ht="58" customHeight="1">
      <c r="A239" s="230" t="s">
        <v>2438</v>
      </c>
      <c r="B239" s="41" t="s">
        <v>1425</v>
      </c>
      <c r="C239" s="40" t="s">
        <v>1529</v>
      </c>
      <c r="D239" s="40" t="s">
        <v>487</v>
      </c>
      <c r="E239" s="199" t="s">
        <v>809</v>
      </c>
      <c r="F239" s="199" t="s">
        <v>488</v>
      </c>
      <c r="G239" s="243" t="s">
        <v>3032</v>
      </c>
      <c r="H239" s="41" t="s">
        <v>1522</v>
      </c>
      <c r="I239" s="246" t="s">
        <v>4500</v>
      </c>
      <c r="J239" s="232" t="s">
        <v>3933</v>
      </c>
      <c r="K239" s="161" t="s">
        <v>4253</v>
      </c>
      <c r="L239" s="240" t="s">
        <v>4342</v>
      </c>
      <c r="M239" s="240" t="s">
        <v>4343</v>
      </c>
      <c r="N239" s="160" t="s">
        <v>4278</v>
      </c>
      <c r="O239" s="139" t="s">
        <v>485</v>
      </c>
      <c r="P239" s="39" t="s">
        <v>486</v>
      </c>
      <c r="Q239" s="228" t="s">
        <v>3248</v>
      </c>
      <c r="R239" s="200" t="s">
        <v>3003</v>
      </c>
      <c r="S239" s="141" t="s">
        <v>440</v>
      </c>
      <c r="T239" s="241"/>
    </row>
    <row r="240" spans="1:20" ht="58" customHeight="1">
      <c r="A240" s="230" t="s">
        <v>2438</v>
      </c>
      <c r="B240" s="41" t="s">
        <v>1425</v>
      </c>
      <c r="C240" s="40" t="s">
        <v>1529</v>
      </c>
      <c r="D240" s="40" t="s">
        <v>4490</v>
      </c>
      <c r="E240" s="199" t="s">
        <v>4491</v>
      </c>
      <c r="F240" s="199" t="s">
        <v>4492</v>
      </c>
      <c r="G240" s="243" t="s">
        <v>4584</v>
      </c>
      <c r="H240" s="41" t="s">
        <v>2</v>
      </c>
      <c r="I240" s="246" t="s">
        <v>1539</v>
      </c>
      <c r="J240" s="232" t="s">
        <v>3243</v>
      </c>
      <c r="K240" s="161"/>
      <c r="L240" s="240"/>
      <c r="M240" s="240"/>
      <c r="N240" s="160"/>
      <c r="O240" s="139" t="s">
        <v>2745</v>
      </c>
      <c r="P240" s="39" t="s">
        <v>4493</v>
      </c>
      <c r="Q240" s="228" t="s">
        <v>3248</v>
      </c>
      <c r="R240" s="200" t="s">
        <v>4494</v>
      </c>
      <c r="S240" s="141" t="s">
        <v>4495</v>
      </c>
      <c r="T240" s="241"/>
    </row>
    <row r="241" spans="1:20" ht="58" customHeight="1">
      <c r="A241" s="230" t="s">
        <v>2438</v>
      </c>
      <c r="B241" s="41" t="s">
        <v>1425</v>
      </c>
      <c r="C241" s="40" t="s">
        <v>1537</v>
      </c>
      <c r="D241" s="40" t="s">
        <v>439</v>
      </c>
      <c r="E241" s="199" t="s">
        <v>799</v>
      </c>
      <c r="F241" s="199" t="s">
        <v>3316</v>
      </c>
      <c r="G241" s="243" t="s">
        <v>3317</v>
      </c>
      <c r="H241" s="41" t="s">
        <v>1521</v>
      </c>
      <c r="I241" s="246" t="s">
        <v>3038</v>
      </c>
      <c r="J241" s="232" t="s">
        <v>3243</v>
      </c>
      <c r="K241" s="161"/>
      <c r="L241" s="240"/>
      <c r="M241" s="240"/>
      <c r="N241" s="160"/>
      <c r="O241" s="139" t="s">
        <v>437</v>
      </c>
      <c r="P241" s="39" t="s">
        <v>438</v>
      </c>
      <c r="Q241" s="228" t="s">
        <v>3248</v>
      </c>
      <c r="R241" s="200" t="s">
        <v>2999</v>
      </c>
      <c r="S241" s="141" t="s">
        <v>440</v>
      </c>
      <c r="T241" s="241"/>
    </row>
    <row r="242" spans="1:20" ht="58" customHeight="1">
      <c r="A242" s="230" t="s">
        <v>2438</v>
      </c>
      <c r="B242" s="41" t="s">
        <v>1425</v>
      </c>
      <c r="C242" s="40" t="s">
        <v>1537</v>
      </c>
      <c r="D242" s="40" t="s">
        <v>498</v>
      </c>
      <c r="E242" s="199" t="s">
        <v>3819</v>
      </c>
      <c r="F242" s="199" t="s">
        <v>4299</v>
      </c>
      <c r="G242" s="243" t="s">
        <v>4585</v>
      </c>
      <c r="H242" s="41" t="s">
        <v>3</v>
      </c>
      <c r="I242" s="246" t="s">
        <v>3038</v>
      </c>
      <c r="J242" s="232" t="s">
        <v>3243</v>
      </c>
      <c r="K242" s="161"/>
      <c r="L242" s="240"/>
      <c r="M242" s="240"/>
      <c r="N242" s="160"/>
      <c r="O242" s="139" t="s">
        <v>496</v>
      </c>
      <c r="P242" s="39" t="s">
        <v>497</v>
      </c>
      <c r="Q242" s="228" t="s">
        <v>3248</v>
      </c>
      <c r="R242" s="200" t="s">
        <v>3005</v>
      </c>
      <c r="S242" s="141" t="s">
        <v>499</v>
      </c>
      <c r="T242" s="241"/>
    </row>
    <row r="243" spans="1:20" ht="58" customHeight="1">
      <c r="A243" s="230" t="s">
        <v>2438</v>
      </c>
      <c r="B243" s="41" t="s">
        <v>1425</v>
      </c>
      <c r="C243" s="40" t="s">
        <v>1537</v>
      </c>
      <c r="D243" s="40" t="s">
        <v>502</v>
      </c>
      <c r="E243" s="199" t="s">
        <v>812</v>
      </c>
      <c r="F243" s="199" t="s">
        <v>4485</v>
      </c>
      <c r="G243" s="243" t="s">
        <v>4586</v>
      </c>
      <c r="H243" s="41" t="s">
        <v>1522</v>
      </c>
      <c r="I243" s="246" t="s">
        <v>4484</v>
      </c>
      <c r="J243" s="232" t="s">
        <v>3934</v>
      </c>
      <c r="K243" s="161" t="s">
        <v>958</v>
      </c>
      <c r="L243" s="240"/>
      <c r="M243" s="240"/>
      <c r="N243" s="160"/>
      <c r="O243" s="139" t="s">
        <v>500</v>
      </c>
      <c r="P243" s="39" t="s">
        <v>501</v>
      </c>
      <c r="Q243" s="228" t="s">
        <v>3248</v>
      </c>
      <c r="R243" s="200" t="s">
        <v>2944</v>
      </c>
      <c r="S243" s="141" t="s">
        <v>440</v>
      </c>
      <c r="T243" s="241" t="s">
        <v>4486</v>
      </c>
    </row>
    <row r="244" spans="1:20" ht="58" customHeight="1">
      <c r="A244" s="230" t="s">
        <v>2438</v>
      </c>
      <c r="B244" s="41" t="s">
        <v>1425</v>
      </c>
      <c r="C244" s="40" t="s">
        <v>1537</v>
      </c>
      <c r="D244" s="40" t="s">
        <v>2742</v>
      </c>
      <c r="E244" s="199" t="s">
        <v>2741</v>
      </c>
      <c r="F244" s="199" t="s">
        <v>4478</v>
      </c>
      <c r="G244" s="243" t="s">
        <v>4479</v>
      </c>
      <c r="H244" s="41" t="s">
        <v>2</v>
      </c>
      <c r="I244" s="246" t="s">
        <v>1539</v>
      </c>
      <c r="J244" s="232" t="s">
        <v>3243</v>
      </c>
      <c r="K244" s="161"/>
      <c r="L244" s="240"/>
      <c r="M244" s="240"/>
      <c r="N244" s="160"/>
      <c r="O244" s="139" t="s">
        <v>2743</v>
      </c>
      <c r="P244" s="39" t="s">
        <v>4480</v>
      </c>
      <c r="Q244" s="228" t="s">
        <v>3248</v>
      </c>
      <c r="R244" s="200" t="s">
        <v>4481</v>
      </c>
      <c r="S244" s="141" t="s">
        <v>2744</v>
      </c>
      <c r="T244" s="241"/>
    </row>
    <row r="245" spans="1:20" ht="58" customHeight="1">
      <c r="A245" s="230" t="s">
        <v>2438</v>
      </c>
      <c r="B245" s="41" t="s">
        <v>1425</v>
      </c>
      <c r="C245" s="40" t="s">
        <v>1531</v>
      </c>
      <c r="D245" s="40" t="s">
        <v>443</v>
      </c>
      <c r="E245" s="199" t="s">
        <v>3820</v>
      </c>
      <c r="F245" s="199" t="s">
        <v>3944</v>
      </c>
      <c r="G245" s="243" t="s">
        <v>4587</v>
      </c>
      <c r="H245" s="41" t="s">
        <v>2</v>
      </c>
      <c r="I245" s="246" t="s">
        <v>3034</v>
      </c>
      <c r="J245" s="232" t="s">
        <v>3243</v>
      </c>
      <c r="K245" s="161"/>
      <c r="L245" s="240"/>
      <c r="M245" s="240"/>
      <c r="N245" s="160"/>
      <c r="O245" s="139" t="s">
        <v>441</v>
      </c>
      <c r="P245" s="39" t="s">
        <v>442</v>
      </c>
      <c r="Q245" s="228" t="s">
        <v>3248</v>
      </c>
      <c r="R245" s="200" t="s">
        <v>3000</v>
      </c>
      <c r="S245" s="141" t="s">
        <v>440</v>
      </c>
      <c r="T245" s="241"/>
    </row>
    <row r="246" spans="1:20" ht="58" customHeight="1">
      <c r="A246" s="230" t="s">
        <v>2438</v>
      </c>
      <c r="B246" s="41" t="s">
        <v>1425</v>
      </c>
      <c r="C246" s="40" t="s">
        <v>1531</v>
      </c>
      <c r="D246" s="40" t="s">
        <v>495</v>
      </c>
      <c r="E246" s="199" t="s">
        <v>811</v>
      </c>
      <c r="F246" s="199" t="s">
        <v>3345</v>
      </c>
      <c r="G246" s="243" t="s">
        <v>3346</v>
      </c>
      <c r="H246" s="41" t="s">
        <v>1521</v>
      </c>
      <c r="I246" s="246" t="s">
        <v>3038</v>
      </c>
      <c r="J246" s="232" t="s">
        <v>3243</v>
      </c>
      <c r="K246" s="161"/>
      <c r="L246" s="240"/>
      <c r="M246" s="240"/>
      <c r="N246" s="160"/>
      <c r="O246" s="139" t="s">
        <v>493</v>
      </c>
      <c r="P246" s="39" t="s">
        <v>494</v>
      </c>
      <c r="Q246" s="228" t="s">
        <v>3248</v>
      </c>
      <c r="R246" s="200" t="s">
        <v>3004</v>
      </c>
      <c r="S246" s="141" t="s">
        <v>440</v>
      </c>
      <c r="T246" s="241"/>
    </row>
    <row r="247" spans="1:20" ht="58" customHeight="1">
      <c r="A247" s="230" t="s">
        <v>2438</v>
      </c>
      <c r="B247" s="41" t="s">
        <v>1425</v>
      </c>
      <c r="C247" s="40" t="s">
        <v>1530</v>
      </c>
      <c r="D247" s="40" t="s">
        <v>450</v>
      </c>
      <c r="E247" s="199" t="s">
        <v>800</v>
      </c>
      <c r="F247" s="199" t="s">
        <v>451</v>
      </c>
      <c r="G247" s="243" t="s">
        <v>3029</v>
      </c>
      <c r="H247" s="41" t="s">
        <v>1522</v>
      </c>
      <c r="I247" s="246" t="s">
        <v>3036</v>
      </c>
      <c r="J247" s="232" t="s">
        <v>3935</v>
      </c>
      <c r="K247" s="161" t="s">
        <v>4244</v>
      </c>
      <c r="L247" s="240" t="s">
        <v>4316</v>
      </c>
      <c r="M247" s="240" t="s">
        <v>4317</v>
      </c>
      <c r="N247" s="160" t="s">
        <v>4278</v>
      </c>
      <c r="O247" s="139" t="s">
        <v>448</v>
      </c>
      <c r="P247" s="39" t="s">
        <v>449</v>
      </c>
      <c r="Q247" s="228" t="s">
        <v>3248</v>
      </c>
      <c r="R247" s="200" t="s">
        <v>2943</v>
      </c>
      <c r="S247" s="141" t="s">
        <v>440</v>
      </c>
      <c r="T247" s="241"/>
    </row>
    <row r="248" spans="1:20" ht="58" customHeight="1">
      <c r="A248" s="230" t="s">
        <v>2438</v>
      </c>
      <c r="B248" s="41" t="s">
        <v>1425</v>
      </c>
      <c r="C248" s="40" t="s">
        <v>1530</v>
      </c>
      <c r="D248" s="40" t="s">
        <v>454</v>
      </c>
      <c r="E248" s="199" t="s">
        <v>3821</v>
      </c>
      <c r="F248" s="199" t="s">
        <v>3344</v>
      </c>
      <c r="G248" s="243" t="s">
        <v>4588</v>
      </c>
      <c r="H248" s="41" t="s">
        <v>1522</v>
      </c>
      <c r="I248" s="246" t="s">
        <v>3036</v>
      </c>
      <c r="J248" s="232" t="s">
        <v>3956</v>
      </c>
      <c r="K248" s="161" t="s">
        <v>4269</v>
      </c>
      <c r="L248" s="240" t="s">
        <v>4663</v>
      </c>
      <c r="M248" s="240"/>
      <c r="N248" s="160" t="s">
        <v>4278</v>
      </c>
      <c r="O248" s="139" t="s">
        <v>452</v>
      </c>
      <c r="P248" s="39" t="s">
        <v>453</v>
      </c>
      <c r="Q248" s="228" t="s">
        <v>3248</v>
      </c>
      <c r="R248" s="200" t="s">
        <v>3001</v>
      </c>
      <c r="S248" s="141" t="s">
        <v>447</v>
      </c>
      <c r="T248" s="241" t="s">
        <v>3822</v>
      </c>
    </row>
    <row r="249" spans="1:20" ht="58" customHeight="1">
      <c r="A249" s="230" t="s">
        <v>2438</v>
      </c>
      <c r="B249" s="41" t="s">
        <v>1425</v>
      </c>
      <c r="C249" s="40" t="s">
        <v>1530</v>
      </c>
      <c r="D249" s="40" t="s">
        <v>491</v>
      </c>
      <c r="E249" s="199" t="s">
        <v>810</v>
      </c>
      <c r="F249" s="199" t="s">
        <v>492</v>
      </c>
      <c r="G249" s="243" t="s">
        <v>3026</v>
      </c>
      <c r="H249" s="41" t="s">
        <v>2</v>
      </c>
      <c r="I249" s="246" t="s">
        <v>3034</v>
      </c>
      <c r="J249" s="232" t="s">
        <v>3243</v>
      </c>
      <c r="K249" s="161"/>
      <c r="L249" s="240"/>
      <c r="M249" s="240"/>
      <c r="N249" s="160"/>
      <c r="O249" s="139" t="s">
        <v>489</v>
      </c>
      <c r="P249" s="39" t="s">
        <v>490</v>
      </c>
      <c r="Q249" s="228" t="s">
        <v>3248</v>
      </c>
      <c r="R249" s="200" t="s">
        <v>3002</v>
      </c>
      <c r="S249" s="141" t="s">
        <v>440</v>
      </c>
      <c r="T249" s="241"/>
    </row>
    <row r="250" spans="1:20" ht="58" customHeight="1">
      <c r="A250" s="230" t="s">
        <v>2438</v>
      </c>
      <c r="B250" s="41" t="s">
        <v>1425</v>
      </c>
      <c r="C250" s="40" t="s">
        <v>1534</v>
      </c>
      <c r="D250" s="40" t="s">
        <v>446</v>
      </c>
      <c r="E250" s="199" t="s">
        <v>3252</v>
      </c>
      <c r="F250" s="199" t="s">
        <v>4297</v>
      </c>
      <c r="G250" s="243" t="s">
        <v>4298</v>
      </c>
      <c r="H250" s="41" t="s">
        <v>1522</v>
      </c>
      <c r="I250" s="246" t="s">
        <v>3036</v>
      </c>
      <c r="J250" s="232" t="s">
        <v>3243</v>
      </c>
      <c r="K250" s="161" t="s">
        <v>4611</v>
      </c>
      <c r="L250" s="240" t="s">
        <v>4612</v>
      </c>
      <c r="M250" s="240"/>
      <c r="N250" s="160" t="s">
        <v>4280</v>
      </c>
      <c r="O250" s="139" t="s">
        <v>444</v>
      </c>
      <c r="P250" s="39" t="s">
        <v>445</v>
      </c>
      <c r="Q250" s="228" t="s">
        <v>3248</v>
      </c>
      <c r="R250" s="200" t="s">
        <v>3025</v>
      </c>
      <c r="S250" s="141" t="s">
        <v>447</v>
      </c>
      <c r="T250" s="241"/>
    </row>
    <row r="251" spans="1:20" ht="58" customHeight="1">
      <c r="A251" s="230" t="s">
        <v>2438</v>
      </c>
      <c r="B251" s="41" t="s">
        <v>1538</v>
      </c>
      <c r="C251" s="40" t="s">
        <v>1527</v>
      </c>
      <c r="D251" s="40" t="s">
        <v>512</v>
      </c>
      <c r="E251" s="199" t="s">
        <v>814</v>
      </c>
      <c r="F251" s="199" t="s">
        <v>3340</v>
      </c>
      <c r="G251" s="243" t="s">
        <v>4589</v>
      </c>
      <c r="H251" s="41" t="s">
        <v>3</v>
      </c>
      <c r="I251" s="246" t="s">
        <v>1539</v>
      </c>
      <c r="J251" s="232" t="s">
        <v>3243</v>
      </c>
      <c r="K251" s="161"/>
      <c r="L251" s="240"/>
      <c r="M251" s="240"/>
      <c r="N251" s="160"/>
      <c r="O251" s="139" t="s">
        <v>510</v>
      </c>
      <c r="P251" s="39" t="s">
        <v>511</v>
      </c>
      <c r="Q251" s="228" t="s">
        <v>3250</v>
      </c>
      <c r="R251" s="200" t="s">
        <v>3004</v>
      </c>
      <c r="S251" s="141" t="s">
        <v>506</v>
      </c>
      <c r="T251" s="241"/>
    </row>
    <row r="252" spans="1:20" ht="58" customHeight="1">
      <c r="A252" s="230" t="s">
        <v>2438</v>
      </c>
      <c r="B252" s="41" t="s">
        <v>1538</v>
      </c>
      <c r="C252" s="40" t="s">
        <v>1527</v>
      </c>
      <c r="D252" s="40" t="s">
        <v>509</v>
      </c>
      <c r="E252" s="199" t="s">
        <v>813</v>
      </c>
      <c r="F252" s="199" t="s">
        <v>3341</v>
      </c>
      <c r="G252" s="243" t="s">
        <v>3342</v>
      </c>
      <c r="H252" s="41" t="s">
        <v>3</v>
      </c>
      <c r="I252" s="246" t="s">
        <v>1539</v>
      </c>
      <c r="J252" s="232" t="s">
        <v>3243</v>
      </c>
      <c r="K252" s="161"/>
      <c r="L252" s="240"/>
      <c r="M252" s="240"/>
      <c r="N252" s="160"/>
      <c r="O252" s="139" t="s">
        <v>503</v>
      </c>
      <c r="P252" s="39" t="s">
        <v>508</v>
      </c>
      <c r="Q252" s="228" t="s">
        <v>3250</v>
      </c>
      <c r="R252" s="200" t="s">
        <v>3004</v>
      </c>
      <c r="S252" s="141" t="s">
        <v>506</v>
      </c>
      <c r="T252" s="241"/>
    </row>
    <row r="253" spans="1:20" ht="58" customHeight="1">
      <c r="A253" s="230" t="s">
        <v>2438</v>
      </c>
      <c r="B253" s="41" t="s">
        <v>1538</v>
      </c>
      <c r="C253" s="40" t="s">
        <v>1537</v>
      </c>
      <c r="D253" s="40" t="s">
        <v>516</v>
      </c>
      <c r="E253" s="199" t="s">
        <v>815</v>
      </c>
      <c r="F253" s="199" t="s">
        <v>4487</v>
      </c>
      <c r="G253" s="243" t="s">
        <v>4590</v>
      </c>
      <c r="H253" s="41" t="s">
        <v>1522</v>
      </c>
      <c r="I253" s="246" t="s">
        <v>4484</v>
      </c>
      <c r="J253" s="232" t="s">
        <v>3936</v>
      </c>
      <c r="K253" s="161" t="s">
        <v>958</v>
      </c>
      <c r="L253" s="240"/>
      <c r="M253" s="240"/>
      <c r="N253" s="160"/>
      <c r="O253" s="139" t="s">
        <v>514</v>
      </c>
      <c r="P253" s="39" t="s">
        <v>515</v>
      </c>
      <c r="Q253" s="228" t="s">
        <v>3250</v>
      </c>
      <c r="R253" s="200" t="s">
        <v>2944</v>
      </c>
      <c r="S253" s="141" t="s">
        <v>507</v>
      </c>
      <c r="T253" s="241" t="s">
        <v>4488</v>
      </c>
    </row>
    <row r="254" spans="1:20" ht="58" customHeight="1">
      <c r="A254" s="230" t="s">
        <v>2438</v>
      </c>
      <c r="B254" s="41" t="s">
        <v>1538</v>
      </c>
      <c r="C254" s="40" t="s">
        <v>1531</v>
      </c>
      <c r="D254" s="40" t="s">
        <v>505</v>
      </c>
      <c r="E254" s="199" t="s">
        <v>3818</v>
      </c>
      <c r="F254" s="199" t="s">
        <v>3343</v>
      </c>
      <c r="G254" s="243" t="s">
        <v>4591</v>
      </c>
      <c r="H254" s="41" t="s">
        <v>1521</v>
      </c>
      <c r="I254" s="246" t="s">
        <v>1539</v>
      </c>
      <c r="J254" s="232" t="s">
        <v>3243</v>
      </c>
      <c r="K254" s="161"/>
      <c r="L254" s="240"/>
      <c r="M254" s="240"/>
      <c r="N254" s="160"/>
      <c r="O254" s="139" t="s">
        <v>503</v>
      </c>
      <c r="P254" s="39" t="s">
        <v>504</v>
      </c>
      <c r="Q254" s="228" t="s">
        <v>3250</v>
      </c>
      <c r="R254" s="200" t="s">
        <v>3006</v>
      </c>
      <c r="S254" s="141" t="s">
        <v>506</v>
      </c>
      <c r="T254" s="241"/>
    </row>
    <row r="255" spans="1:20" ht="58" customHeight="1">
      <c r="A255" s="230" t="s">
        <v>2438</v>
      </c>
      <c r="B255" s="41" t="s">
        <v>1538</v>
      </c>
      <c r="C255" s="40" t="s">
        <v>1530</v>
      </c>
      <c r="D255" s="40" t="s">
        <v>521</v>
      </c>
      <c r="E255" s="199" t="s">
        <v>3823</v>
      </c>
      <c r="F255" s="199" t="s">
        <v>522</v>
      </c>
      <c r="G255" s="243" t="s">
        <v>4592</v>
      </c>
      <c r="H255" s="41" t="s">
        <v>1522</v>
      </c>
      <c r="I255" s="246" t="s">
        <v>3036</v>
      </c>
      <c r="J255" s="232" t="s">
        <v>3243</v>
      </c>
      <c r="K255" s="161" t="s">
        <v>4269</v>
      </c>
      <c r="L255" s="240" t="s">
        <v>4614</v>
      </c>
      <c r="M255" s="240"/>
      <c r="N255" s="160" t="s">
        <v>4278</v>
      </c>
      <c r="O255" s="139" t="s">
        <v>519</v>
      </c>
      <c r="P255" s="39" t="s">
        <v>520</v>
      </c>
      <c r="Q255" s="228" t="s">
        <v>3250</v>
      </c>
      <c r="R255" s="200" t="s">
        <v>3008</v>
      </c>
      <c r="S255" s="141" t="s">
        <v>507</v>
      </c>
      <c r="T255" s="241" t="s">
        <v>4092</v>
      </c>
    </row>
    <row r="256" spans="1:20" ht="58" customHeight="1">
      <c r="A256" s="230" t="s">
        <v>2438</v>
      </c>
      <c r="B256" s="41" t="s">
        <v>1538</v>
      </c>
      <c r="C256" s="40" t="s">
        <v>1534</v>
      </c>
      <c r="D256" s="40" t="s">
        <v>4204</v>
      </c>
      <c r="E256" s="199" t="s">
        <v>3817</v>
      </c>
      <c r="F256" s="199" t="s">
        <v>518</v>
      </c>
      <c r="G256" s="243" t="s">
        <v>3029</v>
      </c>
      <c r="H256" s="41" t="s">
        <v>1522</v>
      </c>
      <c r="I256" s="246" t="s">
        <v>3036</v>
      </c>
      <c r="J256" s="232" t="s">
        <v>3937</v>
      </c>
      <c r="K256" s="161" t="s">
        <v>4205</v>
      </c>
      <c r="L256" s="240" t="s">
        <v>4441</v>
      </c>
      <c r="M256" s="240" t="s">
        <v>4442</v>
      </c>
      <c r="N256" s="160" t="s">
        <v>4278</v>
      </c>
      <c r="O256" s="139" t="s">
        <v>517</v>
      </c>
      <c r="P256" s="39" t="s">
        <v>4203</v>
      </c>
      <c r="Q256" s="228" t="s">
        <v>3250</v>
      </c>
      <c r="R256" s="200" t="s">
        <v>3007</v>
      </c>
      <c r="S256" s="141" t="s">
        <v>507</v>
      </c>
      <c r="T256" s="241"/>
    </row>
    <row r="257" spans="1:20" ht="58" customHeight="1">
      <c r="A257" s="230" t="s">
        <v>2438</v>
      </c>
      <c r="B257" s="41" t="s">
        <v>1538</v>
      </c>
      <c r="C257" s="40" t="s">
        <v>1534</v>
      </c>
      <c r="D257" s="40" t="s">
        <v>4206</v>
      </c>
      <c r="E257" s="199" t="s">
        <v>3817</v>
      </c>
      <c r="F257" s="199" t="s">
        <v>518</v>
      </c>
      <c r="G257" s="243" t="s">
        <v>3029</v>
      </c>
      <c r="H257" s="41" t="s">
        <v>1522</v>
      </c>
      <c r="I257" s="246" t="s">
        <v>3036</v>
      </c>
      <c r="J257" s="232" t="s">
        <v>3937</v>
      </c>
      <c r="K257" s="161" t="s">
        <v>4208</v>
      </c>
      <c r="L257" s="240" t="s">
        <v>4467</v>
      </c>
      <c r="M257" s="240" t="s">
        <v>4468</v>
      </c>
      <c r="N257" s="160" t="s">
        <v>4279</v>
      </c>
      <c r="O257" s="139" t="s">
        <v>517</v>
      </c>
      <c r="P257" s="39" t="s">
        <v>4207</v>
      </c>
      <c r="Q257" s="228" t="s">
        <v>3250</v>
      </c>
      <c r="R257" s="200" t="s">
        <v>3007</v>
      </c>
      <c r="S257" s="141" t="s">
        <v>507</v>
      </c>
      <c r="T257" s="241"/>
    </row>
    <row r="258" spans="1:20" ht="58" customHeight="1">
      <c r="A258" s="230" t="s">
        <v>2438</v>
      </c>
      <c r="B258" s="41" t="s">
        <v>1538</v>
      </c>
      <c r="C258" s="40" t="s">
        <v>1534</v>
      </c>
      <c r="D258" s="40" t="s">
        <v>4209</v>
      </c>
      <c r="E258" s="199" t="s">
        <v>3817</v>
      </c>
      <c r="F258" s="199" t="s">
        <v>518</v>
      </c>
      <c r="G258" s="243" t="s">
        <v>3029</v>
      </c>
      <c r="H258" s="41" t="s">
        <v>1522</v>
      </c>
      <c r="I258" s="246" t="s">
        <v>3036</v>
      </c>
      <c r="J258" s="232" t="s">
        <v>3937</v>
      </c>
      <c r="K258" s="161" t="s">
        <v>4211</v>
      </c>
      <c r="L258" s="240" t="s">
        <v>4469</v>
      </c>
      <c r="M258" s="240" t="s">
        <v>4470</v>
      </c>
      <c r="N258" s="160" t="s">
        <v>4279</v>
      </c>
      <c r="O258" s="139" t="s">
        <v>517</v>
      </c>
      <c r="P258" s="39" t="s">
        <v>4210</v>
      </c>
      <c r="Q258" s="228" t="s">
        <v>3250</v>
      </c>
      <c r="R258" s="200" t="s">
        <v>3007</v>
      </c>
      <c r="S258" s="141" t="s">
        <v>507</v>
      </c>
      <c r="T258" s="241"/>
    </row>
    <row r="259" spans="1:20" ht="58" customHeight="1">
      <c r="A259" s="230" t="s">
        <v>2438</v>
      </c>
      <c r="B259" s="41" t="s">
        <v>1538</v>
      </c>
      <c r="C259" s="40" t="s">
        <v>1534</v>
      </c>
      <c r="D259" s="40" t="s">
        <v>525</v>
      </c>
      <c r="E259" s="199" t="s">
        <v>816</v>
      </c>
      <c r="F259" s="199" t="s">
        <v>526</v>
      </c>
      <c r="G259" s="243" t="s">
        <v>3027</v>
      </c>
      <c r="H259" s="41" t="s">
        <v>958</v>
      </c>
      <c r="I259" s="246" t="s">
        <v>3035</v>
      </c>
      <c r="J259" s="232" t="s">
        <v>3243</v>
      </c>
      <c r="K259" s="161"/>
      <c r="L259" s="240"/>
      <c r="M259" s="240"/>
      <c r="N259" s="160"/>
      <c r="O259" s="139" t="s">
        <v>523</v>
      </c>
      <c r="P259" s="39" t="s">
        <v>524</v>
      </c>
      <c r="Q259" s="228" t="s">
        <v>3250</v>
      </c>
      <c r="R259" s="200" t="s">
        <v>958</v>
      </c>
      <c r="S259" s="141" t="s">
        <v>507</v>
      </c>
      <c r="T259" s="241"/>
    </row>
    <row r="260" spans="1:20" ht="58" customHeight="1">
      <c r="A260" s="230" t="s">
        <v>2438</v>
      </c>
      <c r="B260" s="41" t="s">
        <v>1539</v>
      </c>
      <c r="C260" s="40" t="s">
        <v>1520</v>
      </c>
      <c r="D260" s="40" t="s">
        <v>532</v>
      </c>
      <c r="E260" s="199" t="s">
        <v>818</v>
      </c>
      <c r="F260" s="199" t="s">
        <v>3355</v>
      </c>
      <c r="G260" s="243" t="s">
        <v>3356</v>
      </c>
      <c r="H260" s="41" t="s">
        <v>3</v>
      </c>
      <c r="I260" s="246" t="s">
        <v>1539</v>
      </c>
      <c r="J260" s="232" t="s">
        <v>3243</v>
      </c>
      <c r="K260" s="161"/>
      <c r="L260" s="240"/>
      <c r="M260" s="240"/>
      <c r="N260" s="160"/>
      <c r="O260" s="139" t="s">
        <v>527</v>
      </c>
      <c r="P260" s="39" t="s">
        <v>531</v>
      </c>
      <c r="Q260" s="228" t="s">
        <v>3247</v>
      </c>
      <c r="R260" s="200" t="s">
        <v>3019</v>
      </c>
      <c r="S260" s="141" t="s">
        <v>533</v>
      </c>
      <c r="T260" s="241"/>
    </row>
    <row r="261" spans="1:20" ht="58" customHeight="1">
      <c r="A261" s="230" t="s">
        <v>2438</v>
      </c>
      <c r="B261" s="41" t="s">
        <v>1539</v>
      </c>
      <c r="C261" s="40" t="s">
        <v>1523</v>
      </c>
      <c r="D261" s="40" t="s">
        <v>537</v>
      </c>
      <c r="E261" s="199" t="s">
        <v>820</v>
      </c>
      <c r="F261" s="199" t="s">
        <v>3359</v>
      </c>
      <c r="G261" s="243" t="s">
        <v>3360</v>
      </c>
      <c r="H261" s="41" t="s">
        <v>958</v>
      </c>
      <c r="I261" s="246" t="s">
        <v>1539</v>
      </c>
      <c r="J261" s="232" t="s">
        <v>3243</v>
      </c>
      <c r="K261" s="161"/>
      <c r="L261" s="240"/>
      <c r="M261" s="240"/>
      <c r="N261" s="160"/>
      <c r="O261" s="139" t="s">
        <v>527</v>
      </c>
      <c r="P261" s="39" t="s">
        <v>536</v>
      </c>
      <c r="Q261" s="228" t="s">
        <v>3247</v>
      </c>
      <c r="R261" s="200" t="s">
        <v>3020</v>
      </c>
      <c r="S261" s="141" t="s">
        <v>530</v>
      </c>
      <c r="T261" s="241"/>
    </row>
    <row r="262" spans="1:20" ht="58" customHeight="1">
      <c r="A262" s="230" t="s">
        <v>2438</v>
      </c>
      <c r="B262" s="41" t="s">
        <v>1539</v>
      </c>
      <c r="C262" s="40" t="s">
        <v>1523</v>
      </c>
      <c r="D262" s="40" t="s">
        <v>539</v>
      </c>
      <c r="E262" s="199" t="s">
        <v>821</v>
      </c>
      <c r="F262" s="199" t="s">
        <v>3361</v>
      </c>
      <c r="G262" s="243" t="s">
        <v>4593</v>
      </c>
      <c r="H262" s="41" t="s">
        <v>3</v>
      </c>
      <c r="I262" s="246" t="s">
        <v>1539</v>
      </c>
      <c r="J262" s="232" t="s">
        <v>3243</v>
      </c>
      <c r="K262" s="161"/>
      <c r="L262" s="240"/>
      <c r="M262" s="240"/>
      <c r="N262" s="160"/>
      <c r="O262" s="139" t="s">
        <v>527</v>
      </c>
      <c r="P262" s="39" t="s">
        <v>538</v>
      </c>
      <c r="Q262" s="228" t="s">
        <v>3247</v>
      </c>
      <c r="R262" s="200"/>
      <c r="S262" s="141" t="s">
        <v>530</v>
      </c>
      <c r="T262" s="241"/>
    </row>
    <row r="263" spans="1:20" ht="58" customHeight="1">
      <c r="A263" s="230" t="s">
        <v>2438</v>
      </c>
      <c r="B263" s="41" t="s">
        <v>1539</v>
      </c>
      <c r="C263" s="40" t="s">
        <v>1523</v>
      </c>
      <c r="D263" s="40" t="s">
        <v>541</v>
      </c>
      <c r="E263" s="199" t="s">
        <v>822</v>
      </c>
      <c r="F263" s="199" t="s">
        <v>3362</v>
      </c>
      <c r="G263" s="243" t="s">
        <v>4594</v>
      </c>
      <c r="H263" s="41" t="s">
        <v>3</v>
      </c>
      <c r="I263" s="246" t="s">
        <v>1539</v>
      </c>
      <c r="J263" s="232" t="s">
        <v>3243</v>
      </c>
      <c r="K263" s="161"/>
      <c r="L263" s="240"/>
      <c r="M263" s="240"/>
      <c r="N263" s="160"/>
      <c r="O263" s="139" t="s">
        <v>527</v>
      </c>
      <c r="P263" s="39" t="s">
        <v>540</v>
      </c>
      <c r="Q263" s="228" t="s">
        <v>3247</v>
      </c>
      <c r="R263" s="200"/>
      <c r="S263" s="141" t="s">
        <v>530</v>
      </c>
      <c r="T263" s="241"/>
    </row>
    <row r="264" spans="1:20" ht="58" customHeight="1">
      <c r="A264" s="230" t="s">
        <v>2438</v>
      </c>
      <c r="B264" s="41" t="s">
        <v>1539</v>
      </c>
      <c r="C264" s="40" t="s">
        <v>1523</v>
      </c>
      <c r="D264" s="40" t="s">
        <v>584</v>
      </c>
      <c r="E264" s="199" t="s">
        <v>841</v>
      </c>
      <c r="F264" s="199" t="s">
        <v>3386</v>
      </c>
      <c r="G264" s="243" t="s">
        <v>3379</v>
      </c>
      <c r="H264" s="41" t="s">
        <v>3</v>
      </c>
      <c r="I264" s="246" t="s">
        <v>1539</v>
      </c>
      <c r="J264" s="232" t="s">
        <v>3243</v>
      </c>
      <c r="K264" s="161"/>
      <c r="L264" s="240"/>
      <c r="M264" s="240"/>
      <c r="N264" s="160"/>
      <c r="O264" s="139" t="s">
        <v>567</v>
      </c>
      <c r="P264" s="39" t="s">
        <v>583</v>
      </c>
      <c r="Q264" s="228" t="s">
        <v>3247</v>
      </c>
      <c r="R264" s="200"/>
      <c r="S264" s="141" t="s">
        <v>570</v>
      </c>
      <c r="T264" s="241"/>
    </row>
    <row r="265" spans="1:20" ht="58" customHeight="1">
      <c r="A265" s="230" t="s">
        <v>2438</v>
      </c>
      <c r="B265" s="41" t="s">
        <v>1539</v>
      </c>
      <c r="C265" s="40" t="s">
        <v>1523</v>
      </c>
      <c r="D265" s="40" t="s">
        <v>587</v>
      </c>
      <c r="E265" s="199" t="s">
        <v>842</v>
      </c>
      <c r="F265" s="199" t="s">
        <v>3387</v>
      </c>
      <c r="G265" s="243" t="s">
        <v>3379</v>
      </c>
      <c r="H265" s="41" t="s">
        <v>3</v>
      </c>
      <c r="I265" s="246" t="s">
        <v>1539</v>
      </c>
      <c r="J265" s="232" t="s">
        <v>3243</v>
      </c>
      <c r="K265" s="161"/>
      <c r="L265" s="240"/>
      <c r="M265" s="240"/>
      <c r="N265" s="160"/>
      <c r="O265" s="139" t="s">
        <v>585</v>
      </c>
      <c r="P265" s="39" t="s">
        <v>586</v>
      </c>
      <c r="Q265" s="228" t="s">
        <v>3247</v>
      </c>
      <c r="R265" s="200"/>
      <c r="S265" s="141" t="s">
        <v>588</v>
      </c>
      <c r="T265" s="241"/>
    </row>
    <row r="266" spans="1:20" ht="58" customHeight="1">
      <c r="A266" s="230" t="s">
        <v>2438</v>
      </c>
      <c r="B266" s="41" t="s">
        <v>1539</v>
      </c>
      <c r="C266" s="40" t="s">
        <v>1523</v>
      </c>
      <c r="D266" s="40" t="s">
        <v>606</v>
      </c>
      <c r="E266" s="199" t="s">
        <v>851</v>
      </c>
      <c r="F266" s="199" t="s">
        <v>3401</v>
      </c>
      <c r="G266" s="243" t="s">
        <v>3402</v>
      </c>
      <c r="H266" s="41" t="s">
        <v>958</v>
      </c>
      <c r="I266" s="246" t="s">
        <v>1539</v>
      </c>
      <c r="J266" s="232" t="s">
        <v>3243</v>
      </c>
      <c r="K266" s="161"/>
      <c r="L266" s="240"/>
      <c r="M266" s="240"/>
      <c r="N266" s="160"/>
      <c r="O266" s="139" t="s">
        <v>585</v>
      </c>
      <c r="P266" s="39" t="s">
        <v>605</v>
      </c>
      <c r="Q266" s="228" t="s">
        <v>3247</v>
      </c>
      <c r="R266" s="200"/>
      <c r="S266" s="141" t="s">
        <v>588</v>
      </c>
      <c r="T266" s="241"/>
    </row>
    <row r="267" spans="1:20" ht="58" customHeight="1">
      <c r="A267" s="230" t="s">
        <v>2438</v>
      </c>
      <c r="B267" s="41" t="s">
        <v>1539</v>
      </c>
      <c r="C267" s="40" t="s">
        <v>1523</v>
      </c>
      <c r="D267" s="40" t="s">
        <v>608</v>
      </c>
      <c r="E267" s="199" t="s">
        <v>852</v>
      </c>
      <c r="F267" s="199" t="s">
        <v>3403</v>
      </c>
      <c r="G267" s="243" t="s">
        <v>4595</v>
      </c>
      <c r="H267" s="41" t="s">
        <v>3</v>
      </c>
      <c r="I267" s="246" t="s">
        <v>1539</v>
      </c>
      <c r="J267" s="232" t="s">
        <v>3243</v>
      </c>
      <c r="K267" s="161"/>
      <c r="L267" s="240"/>
      <c r="M267" s="240"/>
      <c r="N267" s="160"/>
      <c r="O267" s="139" t="s">
        <v>585</v>
      </c>
      <c r="P267" s="39" t="s">
        <v>607</v>
      </c>
      <c r="Q267" s="228" t="s">
        <v>3247</v>
      </c>
      <c r="R267" s="200"/>
      <c r="S267" s="141" t="s">
        <v>588</v>
      </c>
      <c r="T267" s="241"/>
    </row>
    <row r="268" spans="1:20" ht="58" customHeight="1">
      <c r="A268" s="230" t="s">
        <v>2438</v>
      </c>
      <c r="B268" s="41" t="s">
        <v>1539</v>
      </c>
      <c r="C268" s="40" t="s">
        <v>1524</v>
      </c>
      <c r="D268" s="40" t="s">
        <v>590</v>
      </c>
      <c r="E268" s="199" t="s">
        <v>843</v>
      </c>
      <c r="F268" s="199" t="s">
        <v>3388</v>
      </c>
      <c r="G268" s="243" t="s">
        <v>3389</v>
      </c>
      <c r="H268" s="41" t="s">
        <v>3</v>
      </c>
      <c r="I268" s="246" t="s">
        <v>1539</v>
      </c>
      <c r="J268" s="232" t="s">
        <v>3243</v>
      </c>
      <c r="K268" s="161"/>
      <c r="L268" s="240"/>
      <c r="M268" s="240"/>
      <c r="N268" s="160"/>
      <c r="O268" s="139" t="s">
        <v>585</v>
      </c>
      <c r="P268" s="39" t="s">
        <v>589</v>
      </c>
      <c r="Q268" s="228" t="s">
        <v>3247</v>
      </c>
      <c r="R268" s="200"/>
      <c r="S268" s="141" t="s">
        <v>588</v>
      </c>
      <c r="T268" s="241"/>
    </row>
    <row r="269" spans="1:20" ht="58" customHeight="1">
      <c r="A269" s="230" t="s">
        <v>2438</v>
      </c>
      <c r="B269" s="41" t="s">
        <v>1539</v>
      </c>
      <c r="C269" s="40" t="s">
        <v>1526</v>
      </c>
      <c r="D269" s="40" t="s">
        <v>616</v>
      </c>
      <c r="E269" s="199" t="s">
        <v>856</v>
      </c>
      <c r="F269" s="199" t="s">
        <v>3407</v>
      </c>
      <c r="G269" s="243" t="s">
        <v>4596</v>
      </c>
      <c r="H269" s="41" t="s">
        <v>3</v>
      </c>
      <c r="I269" s="246" t="s">
        <v>1539</v>
      </c>
      <c r="J269" s="232" t="s">
        <v>3243</v>
      </c>
      <c r="K269" s="161"/>
      <c r="L269" s="240"/>
      <c r="M269" s="240"/>
      <c r="N269" s="160"/>
      <c r="O269" s="139" t="s">
        <v>585</v>
      </c>
      <c r="P269" s="39" t="s">
        <v>615</v>
      </c>
      <c r="Q269" s="228" t="s">
        <v>3247</v>
      </c>
      <c r="R269" s="200"/>
      <c r="S269" s="141" t="s">
        <v>588</v>
      </c>
      <c r="T269" s="241"/>
    </row>
    <row r="270" spans="1:20" ht="58" customHeight="1">
      <c r="A270" s="230" t="s">
        <v>2438</v>
      </c>
      <c r="B270" s="41" t="s">
        <v>1539</v>
      </c>
      <c r="C270" s="40" t="s">
        <v>1527</v>
      </c>
      <c r="D270" s="40" t="s">
        <v>535</v>
      </c>
      <c r="E270" s="199" t="s">
        <v>819</v>
      </c>
      <c r="F270" s="199" t="s">
        <v>3357</v>
      </c>
      <c r="G270" s="243" t="s">
        <v>3358</v>
      </c>
      <c r="H270" s="41" t="s">
        <v>3</v>
      </c>
      <c r="I270" s="246" t="s">
        <v>1539</v>
      </c>
      <c r="J270" s="232" t="s">
        <v>3243</v>
      </c>
      <c r="K270" s="161"/>
      <c r="L270" s="240"/>
      <c r="M270" s="240"/>
      <c r="N270" s="160"/>
      <c r="O270" s="139" t="s">
        <v>527</v>
      </c>
      <c r="P270" s="39" t="s">
        <v>534</v>
      </c>
      <c r="Q270" s="228" t="s">
        <v>3247</v>
      </c>
      <c r="R270" s="200"/>
      <c r="S270" s="141" t="s">
        <v>530</v>
      </c>
      <c r="T270" s="241"/>
    </row>
    <row r="271" spans="1:20" ht="58" customHeight="1">
      <c r="A271" s="230" t="s">
        <v>2438</v>
      </c>
      <c r="B271" s="41" t="s">
        <v>1539</v>
      </c>
      <c r="C271" s="40" t="s">
        <v>1527</v>
      </c>
      <c r="D271" s="40" t="s">
        <v>592</v>
      </c>
      <c r="E271" s="199" t="s">
        <v>844</v>
      </c>
      <c r="F271" s="199" t="s">
        <v>3390</v>
      </c>
      <c r="G271" s="243" t="s">
        <v>3379</v>
      </c>
      <c r="H271" s="41" t="s">
        <v>2</v>
      </c>
      <c r="I271" s="246" t="s">
        <v>3034</v>
      </c>
      <c r="J271" s="232" t="s">
        <v>3243</v>
      </c>
      <c r="K271" s="161"/>
      <c r="L271" s="240"/>
      <c r="M271" s="240"/>
      <c r="N271" s="160"/>
      <c r="O271" s="139" t="s">
        <v>585</v>
      </c>
      <c r="P271" s="39" t="s">
        <v>591</v>
      </c>
      <c r="Q271" s="228" t="s">
        <v>3247</v>
      </c>
      <c r="R271" s="200" t="s">
        <v>5325</v>
      </c>
      <c r="S271" s="141" t="s">
        <v>588</v>
      </c>
      <c r="T271" s="241"/>
    </row>
    <row r="272" spans="1:20" ht="58" customHeight="1">
      <c r="A272" s="230" t="s">
        <v>2438</v>
      </c>
      <c r="B272" s="41" t="s">
        <v>1539</v>
      </c>
      <c r="C272" s="40" t="s">
        <v>1527</v>
      </c>
      <c r="D272" s="40" t="s">
        <v>594</v>
      </c>
      <c r="E272" s="199" t="s">
        <v>845</v>
      </c>
      <c r="F272" s="199" t="s">
        <v>3391</v>
      </c>
      <c r="G272" s="243" t="s">
        <v>4597</v>
      </c>
      <c r="H272" s="41" t="s">
        <v>2</v>
      </c>
      <c r="I272" s="246" t="s">
        <v>3034</v>
      </c>
      <c r="J272" s="232" t="s">
        <v>3243</v>
      </c>
      <c r="K272" s="161"/>
      <c r="L272" s="240"/>
      <c r="M272" s="240"/>
      <c r="N272" s="160"/>
      <c r="O272" s="139" t="s">
        <v>585</v>
      </c>
      <c r="P272" s="39" t="s">
        <v>593</v>
      </c>
      <c r="Q272" s="228" t="s">
        <v>3247</v>
      </c>
      <c r="R272" s="200" t="s">
        <v>5325</v>
      </c>
      <c r="S272" s="141" t="s">
        <v>588</v>
      </c>
      <c r="T272" s="241"/>
    </row>
    <row r="273" spans="1:20" ht="58" customHeight="1">
      <c r="A273" s="230" t="s">
        <v>2438</v>
      </c>
      <c r="B273" s="41" t="s">
        <v>1539</v>
      </c>
      <c r="C273" s="40" t="s">
        <v>1527</v>
      </c>
      <c r="D273" s="40" t="s">
        <v>602</v>
      </c>
      <c r="E273" s="199" t="s">
        <v>849</v>
      </c>
      <c r="F273" s="199" t="s">
        <v>3397</v>
      </c>
      <c r="G273" s="243" t="s">
        <v>3398</v>
      </c>
      <c r="H273" s="41" t="s">
        <v>3</v>
      </c>
      <c r="I273" s="246" t="s">
        <v>1539</v>
      </c>
      <c r="J273" s="232" t="s">
        <v>3243</v>
      </c>
      <c r="K273" s="161"/>
      <c r="L273" s="240"/>
      <c r="M273" s="240"/>
      <c r="N273" s="160"/>
      <c r="O273" s="139" t="s">
        <v>585</v>
      </c>
      <c r="P273" s="39" t="s">
        <v>601</v>
      </c>
      <c r="Q273" s="228" t="s">
        <v>3247</v>
      </c>
      <c r="R273" s="200"/>
      <c r="S273" s="141" t="s">
        <v>588</v>
      </c>
      <c r="T273" s="241"/>
    </row>
    <row r="274" spans="1:20" ht="58" customHeight="1">
      <c r="A274" s="230" t="s">
        <v>2438</v>
      </c>
      <c r="B274" s="41" t="s">
        <v>1539</v>
      </c>
      <c r="C274" s="40" t="s">
        <v>1527</v>
      </c>
      <c r="D274" s="40" t="s">
        <v>621</v>
      </c>
      <c r="E274" s="199" t="s">
        <v>858</v>
      </c>
      <c r="F274" s="199" t="s">
        <v>3410</v>
      </c>
      <c r="G274" s="243" t="s">
        <v>3411</v>
      </c>
      <c r="H274" s="41" t="s">
        <v>3</v>
      </c>
      <c r="I274" s="246" t="s">
        <v>1539</v>
      </c>
      <c r="J274" s="232" t="s">
        <v>3243</v>
      </c>
      <c r="K274" s="161"/>
      <c r="L274" s="240"/>
      <c r="M274" s="240"/>
      <c r="N274" s="160"/>
      <c r="O274" s="139" t="s">
        <v>585</v>
      </c>
      <c r="P274" s="39" t="s">
        <v>620</v>
      </c>
      <c r="Q274" s="228" t="s">
        <v>3247</v>
      </c>
      <c r="R274" s="200"/>
      <c r="S274" s="141" t="s">
        <v>588</v>
      </c>
      <c r="T274" s="241"/>
    </row>
    <row r="275" spans="1:20" ht="58" customHeight="1">
      <c r="A275" s="230" t="s">
        <v>2438</v>
      </c>
      <c r="B275" s="41" t="s">
        <v>1539</v>
      </c>
      <c r="C275" s="40" t="s">
        <v>1529</v>
      </c>
      <c r="D275" s="40" t="s">
        <v>547</v>
      </c>
      <c r="E275" s="199" t="s">
        <v>825</v>
      </c>
      <c r="F275" s="199" t="s">
        <v>3366</v>
      </c>
      <c r="G275" s="243" t="s">
        <v>4598</v>
      </c>
      <c r="H275" s="41" t="s">
        <v>3</v>
      </c>
      <c r="I275" s="246" t="s">
        <v>1539</v>
      </c>
      <c r="J275" s="232" t="s">
        <v>3243</v>
      </c>
      <c r="K275" s="161"/>
      <c r="L275" s="240"/>
      <c r="M275" s="240"/>
      <c r="N275" s="160"/>
      <c r="O275" s="139" t="s">
        <v>527</v>
      </c>
      <c r="P275" s="39" t="s">
        <v>546</v>
      </c>
      <c r="Q275" s="228" t="s">
        <v>3247</v>
      </c>
      <c r="R275" s="200"/>
      <c r="S275" s="141" t="s">
        <v>530</v>
      </c>
      <c r="T275" s="241"/>
    </row>
    <row r="276" spans="1:20" ht="58" customHeight="1">
      <c r="A276" s="230" t="s">
        <v>2438</v>
      </c>
      <c r="B276" s="41" t="s">
        <v>1539</v>
      </c>
      <c r="C276" s="40" t="s">
        <v>1529</v>
      </c>
      <c r="D276" s="40" t="s">
        <v>553</v>
      </c>
      <c r="E276" s="199" t="s">
        <v>828</v>
      </c>
      <c r="F276" s="199" t="s">
        <v>3369</v>
      </c>
      <c r="G276" s="243" t="s">
        <v>3370</v>
      </c>
      <c r="H276" s="41" t="s">
        <v>3</v>
      </c>
      <c r="I276" s="246" t="s">
        <v>1539</v>
      </c>
      <c r="J276" s="232" t="s">
        <v>3243</v>
      </c>
      <c r="K276" s="161"/>
      <c r="L276" s="240"/>
      <c r="M276" s="240"/>
      <c r="N276" s="160"/>
      <c r="O276" s="139" t="s">
        <v>527</v>
      </c>
      <c r="P276" s="39" t="s">
        <v>552</v>
      </c>
      <c r="Q276" s="228" t="s">
        <v>3247</v>
      </c>
      <c r="R276" s="200"/>
      <c r="S276" s="141" t="s">
        <v>554</v>
      </c>
      <c r="T276" s="241"/>
    </row>
    <row r="277" spans="1:20" ht="58" customHeight="1">
      <c r="A277" s="230" t="s">
        <v>2438</v>
      </c>
      <c r="B277" s="41" t="s">
        <v>1539</v>
      </c>
      <c r="C277" s="40" t="s">
        <v>1529</v>
      </c>
      <c r="D277" s="40" t="s">
        <v>596</v>
      </c>
      <c r="E277" s="199" t="s">
        <v>846</v>
      </c>
      <c r="F277" s="199" t="s">
        <v>3392</v>
      </c>
      <c r="G277" s="243" t="s">
        <v>3393</v>
      </c>
      <c r="H277" s="41" t="s">
        <v>3</v>
      </c>
      <c r="I277" s="246" t="s">
        <v>1539</v>
      </c>
      <c r="J277" s="232" t="s">
        <v>3243</v>
      </c>
      <c r="K277" s="161"/>
      <c r="L277" s="240"/>
      <c r="M277" s="240"/>
      <c r="N277" s="160"/>
      <c r="O277" s="139" t="s">
        <v>585</v>
      </c>
      <c r="P277" s="39" t="s">
        <v>595</v>
      </c>
      <c r="Q277" s="228" t="s">
        <v>3247</v>
      </c>
      <c r="R277" s="200"/>
      <c r="S277" s="141" t="s">
        <v>588</v>
      </c>
      <c r="T277" s="241"/>
    </row>
    <row r="278" spans="1:20" ht="58" customHeight="1">
      <c r="A278" s="230" t="s">
        <v>2438</v>
      </c>
      <c r="B278" s="41" t="s">
        <v>1539</v>
      </c>
      <c r="C278" s="40" t="s">
        <v>1529</v>
      </c>
      <c r="D278" s="40" t="s">
        <v>604</v>
      </c>
      <c r="E278" s="199" t="s">
        <v>850</v>
      </c>
      <c r="F278" s="199" t="s">
        <v>3399</v>
      </c>
      <c r="G278" s="243" t="s">
        <v>3400</v>
      </c>
      <c r="H278" s="41" t="s">
        <v>3</v>
      </c>
      <c r="I278" s="246" t="s">
        <v>1539</v>
      </c>
      <c r="J278" s="232" t="s">
        <v>3243</v>
      </c>
      <c r="K278" s="161"/>
      <c r="L278" s="240"/>
      <c r="M278" s="240"/>
      <c r="N278" s="160"/>
      <c r="O278" s="139" t="s">
        <v>585</v>
      </c>
      <c r="P278" s="39" t="s">
        <v>603</v>
      </c>
      <c r="Q278" s="228" t="s">
        <v>3247</v>
      </c>
      <c r="R278" s="200"/>
      <c r="S278" s="141" t="s">
        <v>588</v>
      </c>
      <c r="T278" s="241"/>
    </row>
    <row r="279" spans="1:20" ht="58" customHeight="1">
      <c r="A279" s="230" t="s">
        <v>2438</v>
      </c>
      <c r="B279" s="41" t="s">
        <v>1539</v>
      </c>
      <c r="C279" s="40" t="s">
        <v>1529</v>
      </c>
      <c r="D279" s="40" t="s">
        <v>618</v>
      </c>
      <c r="E279" s="199" t="s">
        <v>857</v>
      </c>
      <c r="F279" s="199" t="s">
        <v>3408</v>
      </c>
      <c r="G279" s="243" t="s">
        <v>3409</v>
      </c>
      <c r="H279" s="41" t="s">
        <v>3</v>
      </c>
      <c r="I279" s="246" t="s">
        <v>1539</v>
      </c>
      <c r="J279" s="232" t="s">
        <v>3243</v>
      </c>
      <c r="K279" s="161"/>
      <c r="L279" s="240"/>
      <c r="M279" s="240"/>
      <c r="N279" s="160"/>
      <c r="O279" s="139" t="s">
        <v>585</v>
      </c>
      <c r="P279" s="39" t="s">
        <v>617</v>
      </c>
      <c r="Q279" s="228" t="s">
        <v>3247</v>
      </c>
      <c r="R279" s="200"/>
      <c r="S279" s="141" t="s">
        <v>619</v>
      </c>
      <c r="T279" s="241"/>
    </row>
    <row r="280" spans="1:20" ht="58" customHeight="1">
      <c r="A280" s="230" t="s">
        <v>2438</v>
      </c>
      <c r="B280" s="41" t="s">
        <v>1539</v>
      </c>
      <c r="C280" s="40" t="s">
        <v>1537</v>
      </c>
      <c r="D280" s="40" t="s">
        <v>557</v>
      </c>
      <c r="E280" s="199" t="s">
        <v>829</v>
      </c>
      <c r="F280" s="199" t="s">
        <v>3371</v>
      </c>
      <c r="G280" s="243" t="s">
        <v>4639</v>
      </c>
      <c r="H280" s="41" t="s">
        <v>3</v>
      </c>
      <c r="I280" s="246" t="s">
        <v>1539</v>
      </c>
      <c r="J280" s="232" t="s">
        <v>3243</v>
      </c>
      <c r="K280" s="161"/>
      <c r="L280" s="240"/>
      <c r="M280" s="240"/>
      <c r="N280" s="160"/>
      <c r="O280" s="139" t="s">
        <v>555</v>
      </c>
      <c r="P280" s="39" t="s">
        <v>556</v>
      </c>
      <c r="Q280" s="228" t="s">
        <v>3247</v>
      </c>
      <c r="R280" s="200"/>
      <c r="S280" s="141" t="s">
        <v>558</v>
      </c>
      <c r="T280" s="241" t="s">
        <v>4640</v>
      </c>
    </row>
    <row r="281" spans="1:20" ht="58" customHeight="1">
      <c r="A281" s="230" t="s">
        <v>2438</v>
      </c>
      <c r="B281" s="41" t="s">
        <v>1539</v>
      </c>
      <c r="C281" s="40" t="s">
        <v>1537</v>
      </c>
      <c r="D281" s="40" t="s">
        <v>560</v>
      </c>
      <c r="E281" s="199" t="s">
        <v>830</v>
      </c>
      <c r="F281" s="199" t="s">
        <v>3372</v>
      </c>
      <c r="G281" s="243" t="s">
        <v>4599</v>
      </c>
      <c r="H281" s="41" t="s">
        <v>3</v>
      </c>
      <c r="I281" s="246" t="s">
        <v>1539</v>
      </c>
      <c r="J281" s="232" t="s">
        <v>3243</v>
      </c>
      <c r="K281" s="161"/>
      <c r="L281" s="240"/>
      <c r="M281" s="240"/>
      <c r="N281" s="160"/>
      <c r="O281" s="139" t="s">
        <v>555</v>
      </c>
      <c r="P281" s="39" t="s">
        <v>559</v>
      </c>
      <c r="Q281" s="228" t="s">
        <v>3247</v>
      </c>
      <c r="R281" s="200"/>
      <c r="S281" s="141" t="s">
        <v>558</v>
      </c>
      <c r="T281" s="241"/>
    </row>
    <row r="282" spans="1:20" ht="58" customHeight="1">
      <c r="A282" s="230" t="s">
        <v>2438</v>
      </c>
      <c r="B282" s="41" t="s">
        <v>1539</v>
      </c>
      <c r="C282" s="40" t="s">
        <v>1537</v>
      </c>
      <c r="D282" s="40" t="s">
        <v>562</v>
      </c>
      <c r="E282" s="199" t="s">
        <v>831</v>
      </c>
      <c r="F282" s="199" t="s">
        <v>3373</v>
      </c>
      <c r="G282" s="243" t="s">
        <v>4641</v>
      </c>
      <c r="H282" s="41" t="s">
        <v>3</v>
      </c>
      <c r="I282" s="246" t="s">
        <v>1539</v>
      </c>
      <c r="J282" s="232" t="s">
        <v>3243</v>
      </c>
      <c r="K282" s="161"/>
      <c r="L282" s="240"/>
      <c r="M282" s="240"/>
      <c r="N282" s="160"/>
      <c r="O282" s="139" t="s">
        <v>555</v>
      </c>
      <c r="P282" s="39" t="s">
        <v>561</v>
      </c>
      <c r="Q282" s="228" t="s">
        <v>3247</v>
      </c>
      <c r="R282" s="200"/>
      <c r="S282" s="141" t="s">
        <v>558</v>
      </c>
      <c r="T282" s="241" t="s">
        <v>4642</v>
      </c>
    </row>
    <row r="283" spans="1:20" ht="58" customHeight="1">
      <c r="A283" s="230" t="s">
        <v>2438</v>
      </c>
      <c r="B283" s="41" t="s">
        <v>1539</v>
      </c>
      <c r="C283" s="40" t="s">
        <v>1537</v>
      </c>
      <c r="D283" s="40" t="s">
        <v>564</v>
      </c>
      <c r="E283" s="199" t="s">
        <v>832</v>
      </c>
      <c r="F283" s="199" t="s">
        <v>3374</v>
      </c>
      <c r="G283" s="243" t="s">
        <v>4600</v>
      </c>
      <c r="H283" s="41" t="s">
        <v>3</v>
      </c>
      <c r="I283" s="246" t="s">
        <v>1539</v>
      </c>
      <c r="J283" s="232" t="s">
        <v>3243</v>
      </c>
      <c r="K283" s="161"/>
      <c r="L283" s="240"/>
      <c r="M283" s="240"/>
      <c r="N283" s="160"/>
      <c r="O283" s="139" t="s">
        <v>555</v>
      </c>
      <c r="P283" s="39" t="s">
        <v>563</v>
      </c>
      <c r="Q283" s="228" t="s">
        <v>3247</v>
      </c>
      <c r="R283" s="200"/>
      <c r="S283" s="141" t="s">
        <v>558</v>
      </c>
      <c r="T283" s="241"/>
    </row>
    <row r="284" spans="1:20" ht="58" customHeight="1">
      <c r="A284" s="231" t="s">
        <v>2438</v>
      </c>
      <c r="B284" s="45" t="s">
        <v>1539</v>
      </c>
      <c r="C284" s="44" t="s">
        <v>1537</v>
      </c>
      <c r="D284" s="44" t="s">
        <v>566</v>
      </c>
      <c r="E284" s="244" t="s">
        <v>833</v>
      </c>
      <c r="F284" s="244" t="s">
        <v>3375</v>
      </c>
      <c r="G284" s="245" t="s">
        <v>4601</v>
      </c>
      <c r="H284" s="45" t="s">
        <v>3</v>
      </c>
      <c r="I284" s="247" t="s">
        <v>1539</v>
      </c>
      <c r="J284" s="233" t="s">
        <v>3243</v>
      </c>
      <c r="K284" s="161"/>
      <c r="L284" s="240"/>
      <c r="M284" s="240"/>
      <c r="N284" s="160"/>
      <c r="O284" s="140" t="s">
        <v>555</v>
      </c>
      <c r="P284" s="43" t="s">
        <v>565</v>
      </c>
      <c r="Q284" s="229" t="s">
        <v>3247</v>
      </c>
      <c r="R284" s="201"/>
      <c r="S284" s="142" t="s">
        <v>558</v>
      </c>
      <c r="T284" s="242"/>
    </row>
    <row r="285" spans="1:20" ht="58" customHeight="1">
      <c r="A285" s="231" t="s">
        <v>2438</v>
      </c>
      <c r="B285" s="45" t="s">
        <v>1539</v>
      </c>
      <c r="C285" s="44" t="s">
        <v>1537</v>
      </c>
      <c r="D285" s="44" t="s">
        <v>638</v>
      </c>
      <c r="E285" s="244" t="s">
        <v>864</v>
      </c>
      <c r="F285" s="244" t="s">
        <v>3420</v>
      </c>
      <c r="G285" s="245" t="s">
        <v>3379</v>
      </c>
      <c r="H285" s="45" t="s">
        <v>3</v>
      </c>
      <c r="I285" s="247" t="s">
        <v>1539</v>
      </c>
      <c r="J285" s="233" t="s">
        <v>3243</v>
      </c>
      <c r="K285" s="161"/>
      <c r="L285" s="240"/>
      <c r="M285" s="240"/>
      <c r="N285" s="160"/>
      <c r="O285" s="140" t="s">
        <v>624</v>
      </c>
      <c r="P285" s="43" t="s">
        <v>637</v>
      </c>
      <c r="Q285" s="229" t="s">
        <v>3247</v>
      </c>
      <c r="R285" s="201"/>
      <c r="S285" s="142" t="s">
        <v>627</v>
      </c>
      <c r="T285" s="242"/>
    </row>
    <row r="286" spans="1:20" ht="58" customHeight="1">
      <c r="A286" s="231" t="s">
        <v>2438</v>
      </c>
      <c r="B286" s="45" t="s">
        <v>1539</v>
      </c>
      <c r="C286" s="44" t="s">
        <v>1531</v>
      </c>
      <c r="D286" s="44" t="s">
        <v>529</v>
      </c>
      <c r="E286" s="244" t="s">
        <v>817</v>
      </c>
      <c r="F286" s="244" t="s">
        <v>3354</v>
      </c>
      <c r="G286" s="245" t="s">
        <v>4602</v>
      </c>
      <c r="H286" s="45" t="s">
        <v>3</v>
      </c>
      <c r="I286" s="247" t="s">
        <v>1539</v>
      </c>
      <c r="J286" s="233" t="s">
        <v>3243</v>
      </c>
      <c r="K286" s="161"/>
      <c r="L286" s="240"/>
      <c r="M286" s="240"/>
      <c r="N286" s="160"/>
      <c r="O286" s="140" t="s">
        <v>527</v>
      </c>
      <c r="P286" s="43" t="s">
        <v>528</v>
      </c>
      <c r="Q286" s="229" t="s">
        <v>3247</v>
      </c>
      <c r="R286" s="201"/>
      <c r="S286" s="142" t="s">
        <v>530</v>
      </c>
      <c r="T286" s="242"/>
    </row>
    <row r="287" spans="1:20" ht="58" customHeight="1">
      <c r="A287" s="231" t="s">
        <v>2438</v>
      </c>
      <c r="B287" s="45" t="s">
        <v>1539</v>
      </c>
      <c r="C287" s="44" t="s">
        <v>1531</v>
      </c>
      <c r="D287" s="44" t="s">
        <v>545</v>
      </c>
      <c r="E287" s="244" t="s">
        <v>824</v>
      </c>
      <c r="F287" s="244" t="s">
        <v>3365</v>
      </c>
      <c r="G287" s="245" t="s">
        <v>4603</v>
      </c>
      <c r="H287" s="45" t="s">
        <v>3</v>
      </c>
      <c r="I287" s="247" t="s">
        <v>1539</v>
      </c>
      <c r="J287" s="233" t="s">
        <v>3243</v>
      </c>
      <c r="K287" s="161"/>
      <c r="L287" s="240"/>
      <c r="M287" s="240"/>
      <c r="N287" s="160"/>
      <c r="O287" s="140" t="s">
        <v>527</v>
      </c>
      <c r="P287" s="43" t="s">
        <v>544</v>
      </c>
      <c r="Q287" s="229" t="s">
        <v>3247</v>
      </c>
      <c r="R287" s="201"/>
      <c r="S287" s="142" t="s">
        <v>530</v>
      </c>
      <c r="T287" s="242"/>
    </row>
    <row r="288" spans="1:20" ht="58" customHeight="1">
      <c r="A288" s="231" t="s">
        <v>2438</v>
      </c>
      <c r="B288" s="45" t="s">
        <v>1539</v>
      </c>
      <c r="C288" s="44" t="s">
        <v>1531</v>
      </c>
      <c r="D288" s="44" t="s">
        <v>549</v>
      </c>
      <c r="E288" s="244" t="s">
        <v>826</v>
      </c>
      <c r="F288" s="244" t="s">
        <v>3367</v>
      </c>
      <c r="G288" s="245" t="s">
        <v>4604</v>
      </c>
      <c r="H288" s="45" t="s">
        <v>3</v>
      </c>
      <c r="I288" s="247" t="s">
        <v>1539</v>
      </c>
      <c r="J288" s="233" t="s">
        <v>3243</v>
      </c>
      <c r="K288" s="161"/>
      <c r="L288" s="240"/>
      <c r="M288" s="240"/>
      <c r="N288" s="160"/>
      <c r="O288" s="140" t="s">
        <v>527</v>
      </c>
      <c r="P288" s="43" t="s">
        <v>548</v>
      </c>
      <c r="Q288" s="229" t="s">
        <v>3247</v>
      </c>
      <c r="R288" s="201"/>
      <c r="S288" s="142" t="s">
        <v>530</v>
      </c>
      <c r="T288" s="242"/>
    </row>
    <row r="289" spans="1:20" ht="58" customHeight="1">
      <c r="A289" s="231" t="s">
        <v>2438</v>
      </c>
      <c r="B289" s="45" t="s">
        <v>1539</v>
      </c>
      <c r="C289" s="44" t="s">
        <v>1531</v>
      </c>
      <c r="D289" s="44" t="s">
        <v>569</v>
      </c>
      <c r="E289" s="244" t="s">
        <v>834</v>
      </c>
      <c r="F289" s="244" t="s">
        <v>3376</v>
      </c>
      <c r="G289" s="245" t="s">
        <v>3377</v>
      </c>
      <c r="H289" s="45" t="s">
        <v>3</v>
      </c>
      <c r="I289" s="247" t="s">
        <v>1539</v>
      </c>
      <c r="J289" s="233" t="s">
        <v>3243</v>
      </c>
      <c r="K289" s="161"/>
      <c r="L289" s="240"/>
      <c r="M289" s="240"/>
      <c r="N289" s="160"/>
      <c r="O289" s="140" t="s">
        <v>567</v>
      </c>
      <c r="P289" s="43" t="s">
        <v>568</v>
      </c>
      <c r="Q289" s="229" t="s">
        <v>3247</v>
      </c>
      <c r="R289" s="201"/>
      <c r="S289" s="142" t="s">
        <v>570</v>
      </c>
      <c r="T289" s="242"/>
    </row>
    <row r="290" spans="1:20" ht="58" customHeight="1">
      <c r="A290" s="231" t="s">
        <v>2438</v>
      </c>
      <c r="B290" s="45" t="s">
        <v>1539</v>
      </c>
      <c r="C290" s="44" t="s">
        <v>1531</v>
      </c>
      <c r="D290" s="44" t="s">
        <v>629</v>
      </c>
      <c r="E290" s="244" t="s">
        <v>860</v>
      </c>
      <c r="F290" s="244" t="s">
        <v>3415</v>
      </c>
      <c r="G290" s="245" t="s">
        <v>4605</v>
      </c>
      <c r="H290" s="45" t="s">
        <v>3</v>
      </c>
      <c r="I290" s="247" t="s">
        <v>1539</v>
      </c>
      <c r="J290" s="233" t="s">
        <v>3243</v>
      </c>
      <c r="K290" s="161"/>
      <c r="L290" s="240"/>
      <c r="M290" s="240"/>
      <c r="N290" s="160"/>
      <c r="O290" s="140" t="s">
        <v>624</v>
      </c>
      <c r="P290" s="43" t="s">
        <v>628</v>
      </c>
      <c r="Q290" s="229" t="s">
        <v>3247</v>
      </c>
      <c r="R290" s="201"/>
      <c r="S290" s="142" t="s">
        <v>630</v>
      </c>
      <c r="T290" s="242"/>
    </row>
    <row r="291" spans="1:20" ht="58" customHeight="1">
      <c r="A291" s="231" t="s">
        <v>2438</v>
      </c>
      <c r="B291" s="45" t="s">
        <v>1539</v>
      </c>
      <c r="C291" s="44" t="s">
        <v>1531</v>
      </c>
      <c r="D291" s="44" t="s">
        <v>634</v>
      </c>
      <c r="E291" s="244" t="s">
        <v>862</v>
      </c>
      <c r="F291" s="244" t="s">
        <v>3418</v>
      </c>
      <c r="G291" s="245" t="s">
        <v>3379</v>
      </c>
      <c r="H291" s="45" t="s">
        <v>3</v>
      </c>
      <c r="I291" s="247" t="s">
        <v>1539</v>
      </c>
      <c r="J291" s="233" t="s">
        <v>3243</v>
      </c>
      <c r="K291" s="161"/>
      <c r="L291" s="240"/>
      <c r="M291" s="240"/>
      <c r="N291" s="160"/>
      <c r="O291" s="140" t="s">
        <v>624</v>
      </c>
      <c r="P291" s="43" t="s">
        <v>633</v>
      </c>
      <c r="Q291" s="229" t="s">
        <v>3247</v>
      </c>
      <c r="R291" s="201"/>
      <c r="S291" s="142" t="s">
        <v>627</v>
      </c>
      <c r="T291" s="242"/>
    </row>
    <row r="292" spans="1:20" ht="58" customHeight="1">
      <c r="A292" s="231" t="s">
        <v>2438</v>
      </c>
      <c r="B292" s="45" t="s">
        <v>1539</v>
      </c>
      <c r="C292" s="44" t="s">
        <v>1530</v>
      </c>
      <c r="D292" s="44" t="s">
        <v>543</v>
      </c>
      <c r="E292" s="244" t="s">
        <v>823</v>
      </c>
      <c r="F292" s="244" t="s">
        <v>3363</v>
      </c>
      <c r="G292" s="245" t="s">
        <v>3364</v>
      </c>
      <c r="H292" s="45" t="s">
        <v>3</v>
      </c>
      <c r="I292" s="247" t="s">
        <v>1539</v>
      </c>
      <c r="J292" s="233" t="s">
        <v>3243</v>
      </c>
      <c r="K292" s="161"/>
      <c r="L292" s="240"/>
      <c r="M292" s="240"/>
      <c r="N292" s="160"/>
      <c r="O292" s="140" t="s">
        <v>527</v>
      </c>
      <c r="P292" s="43" t="s">
        <v>542</v>
      </c>
      <c r="Q292" s="229" t="s">
        <v>3247</v>
      </c>
      <c r="R292" s="201" t="s">
        <v>3021</v>
      </c>
      <c r="S292" s="142" t="s">
        <v>530</v>
      </c>
      <c r="T292" s="242"/>
    </row>
    <row r="293" spans="1:20" ht="58" customHeight="1">
      <c r="A293" s="231" t="s">
        <v>2438</v>
      </c>
      <c r="B293" s="45" t="s">
        <v>1539</v>
      </c>
      <c r="C293" s="44" t="s">
        <v>1530</v>
      </c>
      <c r="D293" s="44" t="s">
        <v>623</v>
      </c>
      <c r="E293" s="244" t="s">
        <v>3824</v>
      </c>
      <c r="F293" s="244" t="s">
        <v>3412</v>
      </c>
      <c r="G293" s="245" t="s">
        <v>3825</v>
      </c>
      <c r="H293" s="45" t="s">
        <v>3</v>
      </c>
      <c r="I293" s="247" t="s">
        <v>1539</v>
      </c>
      <c r="J293" s="233" t="s">
        <v>3243</v>
      </c>
      <c r="K293" s="161"/>
      <c r="L293" s="240"/>
      <c r="M293" s="240"/>
      <c r="N293" s="160"/>
      <c r="O293" s="140" t="s">
        <v>585</v>
      </c>
      <c r="P293" s="43" t="s">
        <v>622</v>
      </c>
      <c r="Q293" s="229" t="s">
        <v>3247</v>
      </c>
      <c r="R293" s="201"/>
      <c r="S293" s="142" t="s">
        <v>588</v>
      </c>
      <c r="T293" s="242" t="s">
        <v>3826</v>
      </c>
    </row>
    <row r="294" spans="1:20" ht="58" customHeight="1">
      <c r="A294" s="231" t="s">
        <v>2438</v>
      </c>
      <c r="B294" s="45" t="s">
        <v>1539</v>
      </c>
      <c r="C294" s="44" t="s">
        <v>1532</v>
      </c>
      <c r="D294" s="44" t="s">
        <v>600</v>
      </c>
      <c r="E294" s="244" t="s">
        <v>848</v>
      </c>
      <c r="F294" s="244" t="s">
        <v>3395</v>
      </c>
      <c r="G294" s="245" t="s">
        <v>3396</v>
      </c>
      <c r="H294" s="45" t="s">
        <v>3</v>
      </c>
      <c r="I294" s="247" t="s">
        <v>1539</v>
      </c>
      <c r="J294" s="233" t="s">
        <v>3243</v>
      </c>
      <c r="K294" s="161"/>
      <c r="L294" s="240"/>
      <c r="M294" s="240"/>
      <c r="N294" s="160"/>
      <c r="O294" s="140" t="s">
        <v>585</v>
      </c>
      <c r="P294" s="43" t="s">
        <v>599</v>
      </c>
      <c r="Q294" s="229" t="s">
        <v>3247</v>
      </c>
      <c r="R294" s="201"/>
      <c r="S294" s="142" t="s">
        <v>588</v>
      </c>
      <c r="T294" s="242"/>
    </row>
    <row r="295" spans="1:20" ht="58" customHeight="1">
      <c r="A295" s="231" t="s">
        <v>2438</v>
      </c>
      <c r="B295" s="45" t="s">
        <v>1539</v>
      </c>
      <c r="C295" s="44" t="s">
        <v>1532</v>
      </c>
      <c r="D295" s="44" t="s">
        <v>610</v>
      </c>
      <c r="E295" s="244" t="s">
        <v>853</v>
      </c>
      <c r="F295" s="244" t="s">
        <v>3404</v>
      </c>
      <c r="G295" s="245" t="s">
        <v>4606</v>
      </c>
      <c r="H295" s="45" t="s">
        <v>3</v>
      </c>
      <c r="I295" s="247" t="s">
        <v>1539</v>
      </c>
      <c r="J295" s="233" t="s">
        <v>3243</v>
      </c>
      <c r="K295" s="161"/>
      <c r="L295" s="240"/>
      <c r="M295" s="240"/>
      <c r="N295" s="160"/>
      <c r="O295" s="140" t="s">
        <v>585</v>
      </c>
      <c r="P295" s="43" t="s">
        <v>609</v>
      </c>
      <c r="Q295" s="229" t="s">
        <v>3247</v>
      </c>
      <c r="R295" s="201"/>
      <c r="S295" s="142" t="s">
        <v>588</v>
      </c>
      <c r="T295" s="242"/>
    </row>
    <row r="296" spans="1:20" ht="58" customHeight="1">
      <c r="A296" s="231" t="s">
        <v>2438</v>
      </c>
      <c r="B296" s="45" t="s">
        <v>1539</v>
      </c>
      <c r="C296" s="44" t="s">
        <v>1532</v>
      </c>
      <c r="D296" s="44" t="s">
        <v>612</v>
      </c>
      <c r="E296" s="244" t="s">
        <v>854</v>
      </c>
      <c r="F296" s="244" t="s">
        <v>3405</v>
      </c>
      <c r="G296" s="245" t="s">
        <v>3379</v>
      </c>
      <c r="H296" s="45" t="s">
        <v>3</v>
      </c>
      <c r="I296" s="247" t="s">
        <v>1539</v>
      </c>
      <c r="J296" s="233" t="s">
        <v>3243</v>
      </c>
      <c r="K296" s="161"/>
      <c r="L296" s="240"/>
      <c r="M296" s="240"/>
      <c r="N296" s="160"/>
      <c r="O296" s="140" t="s">
        <v>585</v>
      </c>
      <c r="P296" s="43" t="s">
        <v>611</v>
      </c>
      <c r="Q296" s="229" t="s">
        <v>3247</v>
      </c>
      <c r="R296" s="201"/>
      <c r="S296" s="142" t="s">
        <v>588</v>
      </c>
      <c r="T296" s="242"/>
    </row>
    <row r="297" spans="1:20" ht="58" customHeight="1">
      <c r="A297" s="231" t="s">
        <v>2438</v>
      </c>
      <c r="B297" s="45" t="s">
        <v>1539</v>
      </c>
      <c r="C297" s="44" t="s">
        <v>1532</v>
      </c>
      <c r="D297" s="44" t="s">
        <v>614</v>
      </c>
      <c r="E297" s="244" t="s">
        <v>855</v>
      </c>
      <c r="F297" s="244" t="s">
        <v>3406</v>
      </c>
      <c r="G297" s="245" t="s">
        <v>3379</v>
      </c>
      <c r="H297" s="45" t="s">
        <v>3</v>
      </c>
      <c r="I297" s="247" t="s">
        <v>1539</v>
      </c>
      <c r="J297" s="233" t="s">
        <v>3243</v>
      </c>
      <c r="K297" s="161"/>
      <c r="L297" s="240"/>
      <c r="M297" s="240"/>
      <c r="N297" s="160"/>
      <c r="O297" s="140" t="s">
        <v>585</v>
      </c>
      <c r="P297" s="43" t="s">
        <v>613</v>
      </c>
      <c r="Q297" s="229" t="s">
        <v>3247</v>
      </c>
      <c r="R297" s="201"/>
      <c r="S297" s="142" t="s">
        <v>588</v>
      </c>
      <c r="T297" s="242"/>
    </row>
    <row r="298" spans="1:20" ht="58" customHeight="1">
      <c r="A298" s="231" t="s">
        <v>2438</v>
      </c>
      <c r="B298" s="45" t="s">
        <v>1539</v>
      </c>
      <c r="C298" s="44" t="s">
        <v>1532</v>
      </c>
      <c r="D298" s="44" t="s">
        <v>642</v>
      </c>
      <c r="E298" s="244" t="s">
        <v>866</v>
      </c>
      <c r="F298" s="244" t="s">
        <v>3423</v>
      </c>
      <c r="G298" s="245" t="s">
        <v>3379</v>
      </c>
      <c r="H298" s="45" t="s">
        <v>3</v>
      </c>
      <c r="I298" s="247" t="s">
        <v>1539</v>
      </c>
      <c r="J298" s="233" t="s">
        <v>3243</v>
      </c>
      <c r="K298" s="161"/>
      <c r="L298" s="240"/>
      <c r="M298" s="240"/>
      <c r="N298" s="160"/>
      <c r="O298" s="140" t="s">
        <v>624</v>
      </c>
      <c r="P298" s="43" t="s">
        <v>641</v>
      </c>
      <c r="Q298" s="229" t="s">
        <v>3247</v>
      </c>
      <c r="R298" s="201"/>
      <c r="S298" s="142" t="s">
        <v>627</v>
      </c>
      <c r="T298" s="242"/>
    </row>
    <row r="299" spans="1:20" ht="58" customHeight="1">
      <c r="A299" s="231" t="s">
        <v>2438</v>
      </c>
      <c r="B299" s="45" t="s">
        <v>1539</v>
      </c>
      <c r="C299" s="44" t="s">
        <v>1532</v>
      </c>
      <c r="D299" s="44" t="s">
        <v>654</v>
      </c>
      <c r="E299" s="244" t="s">
        <v>870</v>
      </c>
      <c r="F299" s="244" t="s">
        <v>3429</v>
      </c>
      <c r="G299" s="245" t="s">
        <v>4643</v>
      </c>
      <c r="H299" s="45" t="s">
        <v>3</v>
      </c>
      <c r="I299" s="247" t="s">
        <v>1539</v>
      </c>
      <c r="J299" s="233" t="s">
        <v>3243</v>
      </c>
      <c r="K299" s="161"/>
      <c r="L299" s="240"/>
      <c r="M299" s="240"/>
      <c r="N299" s="160"/>
      <c r="O299" s="140" t="s">
        <v>643</v>
      </c>
      <c r="P299" s="43" t="s">
        <v>653</v>
      </c>
      <c r="Q299" s="229" t="s">
        <v>3247</v>
      </c>
      <c r="R299" s="201"/>
      <c r="S299" s="142" t="s">
        <v>649</v>
      </c>
      <c r="T299" s="242" t="s">
        <v>4644</v>
      </c>
    </row>
    <row r="300" spans="1:20" ht="58" customHeight="1">
      <c r="A300" s="231" t="s">
        <v>2438</v>
      </c>
      <c r="B300" s="45" t="s">
        <v>1539</v>
      </c>
      <c r="C300" s="44" t="s">
        <v>1534</v>
      </c>
      <c r="D300" s="44" t="s">
        <v>582</v>
      </c>
      <c r="E300" s="244" t="s">
        <v>840</v>
      </c>
      <c r="F300" s="244" t="s">
        <v>3384</v>
      </c>
      <c r="G300" s="245" t="s">
        <v>3385</v>
      </c>
      <c r="H300" s="45" t="s">
        <v>3</v>
      </c>
      <c r="I300" s="247" t="s">
        <v>1539</v>
      </c>
      <c r="J300" s="233" t="s">
        <v>3243</v>
      </c>
      <c r="K300" s="161"/>
      <c r="L300" s="240"/>
      <c r="M300" s="240"/>
      <c r="N300" s="160"/>
      <c r="O300" s="140" t="s">
        <v>567</v>
      </c>
      <c r="P300" s="43" t="s">
        <v>581</v>
      </c>
      <c r="Q300" s="229" t="s">
        <v>3247</v>
      </c>
      <c r="R300" s="201"/>
      <c r="S300" s="142" t="s">
        <v>570</v>
      </c>
      <c r="T300" s="242"/>
    </row>
    <row r="301" spans="1:20" ht="58" customHeight="1">
      <c r="A301" s="231" t="s">
        <v>2438</v>
      </c>
      <c r="B301" s="45" t="s">
        <v>1539</v>
      </c>
      <c r="C301" s="44" t="s">
        <v>1534</v>
      </c>
      <c r="D301" s="44" t="s">
        <v>651</v>
      </c>
      <c r="E301" s="244" t="s">
        <v>869</v>
      </c>
      <c r="F301" s="244" t="s">
        <v>3428</v>
      </c>
      <c r="G301" s="245" t="s">
        <v>4645</v>
      </c>
      <c r="H301" s="45" t="s">
        <v>3</v>
      </c>
      <c r="I301" s="247" t="s">
        <v>1539</v>
      </c>
      <c r="J301" s="233" t="s">
        <v>3243</v>
      </c>
      <c r="K301" s="161"/>
      <c r="L301" s="240"/>
      <c r="M301" s="240"/>
      <c r="N301" s="160"/>
      <c r="O301" s="140" t="s">
        <v>643</v>
      </c>
      <c r="P301" s="43" t="s">
        <v>650</v>
      </c>
      <c r="Q301" s="229" t="s">
        <v>3247</v>
      </c>
      <c r="R301" s="201"/>
      <c r="S301" s="142" t="s">
        <v>652</v>
      </c>
      <c r="T301" s="242" t="s">
        <v>4646</v>
      </c>
    </row>
    <row r="302" spans="1:20" ht="58" customHeight="1">
      <c r="A302" s="231" t="s">
        <v>2438</v>
      </c>
      <c r="B302" s="45" t="s">
        <v>1539</v>
      </c>
      <c r="C302" s="44" t="s">
        <v>1533</v>
      </c>
      <c r="D302" s="44" t="s">
        <v>551</v>
      </c>
      <c r="E302" s="244" t="s">
        <v>827</v>
      </c>
      <c r="F302" s="244" t="s">
        <v>3368</v>
      </c>
      <c r="G302" s="245" t="s">
        <v>4607</v>
      </c>
      <c r="H302" s="45" t="s">
        <v>3</v>
      </c>
      <c r="I302" s="247" t="s">
        <v>1539</v>
      </c>
      <c r="J302" s="233" t="s">
        <v>3243</v>
      </c>
      <c r="K302" s="161"/>
      <c r="L302" s="240"/>
      <c r="M302" s="240"/>
      <c r="N302" s="160"/>
      <c r="O302" s="140" t="s">
        <v>527</v>
      </c>
      <c r="P302" s="43" t="s">
        <v>550</v>
      </c>
      <c r="Q302" s="229" t="s">
        <v>3247</v>
      </c>
      <c r="R302" s="201"/>
      <c r="S302" s="142" t="s">
        <v>530</v>
      </c>
      <c r="T302" s="242"/>
    </row>
    <row r="303" spans="1:20" ht="58" customHeight="1">
      <c r="A303" s="231" t="s">
        <v>2438</v>
      </c>
      <c r="B303" s="45" t="s">
        <v>1539</v>
      </c>
      <c r="C303" s="44" t="s">
        <v>1533</v>
      </c>
      <c r="D303" s="44" t="s">
        <v>598</v>
      </c>
      <c r="E303" s="244" t="s">
        <v>847</v>
      </c>
      <c r="F303" s="244" t="s">
        <v>3394</v>
      </c>
      <c r="G303" s="245" t="s">
        <v>4608</v>
      </c>
      <c r="H303" s="45" t="s">
        <v>3</v>
      </c>
      <c r="I303" s="247" t="s">
        <v>1539</v>
      </c>
      <c r="J303" s="233" t="s">
        <v>3243</v>
      </c>
      <c r="K303" s="161"/>
      <c r="L303" s="240"/>
      <c r="M303" s="240"/>
      <c r="N303" s="160"/>
      <c r="O303" s="140" t="s">
        <v>585</v>
      </c>
      <c r="P303" s="43" t="s">
        <v>597</v>
      </c>
      <c r="Q303" s="229" t="s">
        <v>3247</v>
      </c>
      <c r="R303" s="201"/>
      <c r="S303" s="142" t="s">
        <v>588</v>
      </c>
      <c r="T303" s="242"/>
    </row>
    <row r="304" spans="1:20" ht="58" customHeight="1">
      <c r="A304" s="231" t="s">
        <v>2438</v>
      </c>
      <c r="B304" s="45" t="s">
        <v>1539</v>
      </c>
      <c r="C304" s="44" t="s">
        <v>1533</v>
      </c>
      <c r="D304" s="44" t="s">
        <v>626</v>
      </c>
      <c r="E304" s="244" t="s">
        <v>859</v>
      </c>
      <c r="F304" s="244" t="s">
        <v>3413</v>
      </c>
      <c r="G304" s="245" t="s">
        <v>3414</v>
      </c>
      <c r="H304" s="45" t="s">
        <v>3</v>
      </c>
      <c r="I304" s="247" t="s">
        <v>1539</v>
      </c>
      <c r="J304" s="233" t="s">
        <v>3243</v>
      </c>
      <c r="K304" s="161"/>
      <c r="L304" s="240"/>
      <c r="M304" s="240"/>
      <c r="N304" s="160"/>
      <c r="O304" s="140" t="s">
        <v>624</v>
      </c>
      <c r="P304" s="43" t="s">
        <v>625</v>
      </c>
      <c r="Q304" s="229" t="s">
        <v>3247</v>
      </c>
      <c r="R304" s="201"/>
      <c r="S304" s="142" t="s">
        <v>627</v>
      </c>
      <c r="T304" s="242"/>
    </row>
    <row r="305" spans="1:20" ht="58" customHeight="1">
      <c r="A305" s="231" t="s">
        <v>2438</v>
      </c>
      <c r="B305" s="45" t="s">
        <v>1539</v>
      </c>
      <c r="C305" s="44" t="s">
        <v>1533</v>
      </c>
      <c r="D305" s="44" t="s">
        <v>636</v>
      </c>
      <c r="E305" s="244" t="s">
        <v>863</v>
      </c>
      <c r="F305" s="244" t="s">
        <v>3419</v>
      </c>
      <c r="G305" s="245" t="s">
        <v>4609</v>
      </c>
      <c r="H305" s="45" t="s">
        <v>3</v>
      </c>
      <c r="I305" s="247" t="s">
        <v>1539</v>
      </c>
      <c r="J305" s="233" t="s">
        <v>3243</v>
      </c>
      <c r="K305" s="161"/>
      <c r="L305" s="240"/>
      <c r="M305" s="240"/>
      <c r="N305" s="160"/>
      <c r="O305" s="140" t="s">
        <v>624</v>
      </c>
      <c r="P305" s="43" t="s">
        <v>635</v>
      </c>
      <c r="Q305" s="229" t="s">
        <v>3247</v>
      </c>
      <c r="R305" s="201"/>
      <c r="S305" s="142" t="s">
        <v>627</v>
      </c>
      <c r="T305" s="242"/>
    </row>
    <row r="306" spans="1:20" ht="58" customHeight="1">
      <c r="A306" s="231" t="s">
        <v>2438</v>
      </c>
      <c r="B306" s="45" t="s">
        <v>1539</v>
      </c>
      <c r="C306" s="44" t="s">
        <v>1533</v>
      </c>
      <c r="D306" s="44" t="s">
        <v>640</v>
      </c>
      <c r="E306" s="244" t="s">
        <v>865</v>
      </c>
      <c r="F306" s="244" t="s">
        <v>3421</v>
      </c>
      <c r="G306" s="245" t="s">
        <v>3422</v>
      </c>
      <c r="H306" s="45" t="s">
        <v>3</v>
      </c>
      <c r="I306" s="247" t="s">
        <v>1539</v>
      </c>
      <c r="J306" s="233" t="s">
        <v>3243</v>
      </c>
      <c r="K306" s="161"/>
      <c r="L306" s="240"/>
      <c r="M306" s="240"/>
      <c r="N306" s="160"/>
      <c r="O306" s="140" t="s">
        <v>624</v>
      </c>
      <c r="P306" s="43" t="s">
        <v>639</v>
      </c>
      <c r="Q306" s="229" t="s">
        <v>3247</v>
      </c>
      <c r="R306" s="201"/>
      <c r="S306" s="142" t="s">
        <v>627</v>
      </c>
      <c r="T306" s="242"/>
    </row>
    <row r="307" spans="1:20" ht="58" customHeight="1">
      <c r="A307" s="231" t="s">
        <v>2438</v>
      </c>
      <c r="B307" s="45" t="s">
        <v>1539</v>
      </c>
      <c r="C307" s="44" t="s">
        <v>1533</v>
      </c>
      <c r="D307" s="44" t="s">
        <v>657</v>
      </c>
      <c r="E307" s="244" t="s">
        <v>871</v>
      </c>
      <c r="F307" s="244" t="s">
        <v>3430</v>
      </c>
      <c r="G307" s="245" t="s">
        <v>3431</v>
      </c>
      <c r="H307" s="45" t="s">
        <v>3</v>
      </c>
      <c r="I307" s="247" t="s">
        <v>1539</v>
      </c>
      <c r="J307" s="233" t="s">
        <v>3243</v>
      </c>
      <c r="K307" s="161"/>
      <c r="L307" s="240"/>
      <c r="M307" s="240"/>
      <c r="N307" s="160"/>
      <c r="O307" s="140" t="s">
        <v>655</v>
      </c>
      <c r="P307" s="43" t="s">
        <v>656</v>
      </c>
      <c r="Q307" s="229" t="s">
        <v>3247</v>
      </c>
      <c r="R307" s="201"/>
      <c r="S307" s="142" t="s">
        <v>658</v>
      </c>
      <c r="T307" s="242"/>
    </row>
    <row r="308" spans="1:20" ht="58" customHeight="1">
      <c r="A308" s="231" t="s">
        <v>2438</v>
      </c>
      <c r="B308" s="45" t="s">
        <v>1539</v>
      </c>
      <c r="C308" s="44" t="s">
        <v>1533</v>
      </c>
      <c r="D308" s="44" t="s">
        <v>660</v>
      </c>
      <c r="E308" s="244" t="s">
        <v>872</v>
      </c>
      <c r="F308" s="244" t="s">
        <v>3432</v>
      </c>
      <c r="G308" s="245" t="s">
        <v>3433</v>
      </c>
      <c r="H308" s="45" t="s">
        <v>958</v>
      </c>
      <c r="I308" s="247" t="s">
        <v>1539</v>
      </c>
      <c r="J308" s="233" t="s">
        <v>3243</v>
      </c>
      <c r="K308" s="161"/>
      <c r="L308" s="240"/>
      <c r="M308" s="240"/>
      <c r="N308" s="160"/>
      <c r="O308" s="140" t="s">
        <v>655</v>
      </c>
      <c r="P308" s="43" t="s">
        <v>659</v>
      </c>
      <c r="Q308" s="229" t="s">
        <v>3247</v>
      </c>
      <c r="R308" s="201"/>
      <c r="S308" s="142" t="s">
        <v>658</v>
      </c>
      <c r="T308" s="242"/>
    </row>
    <row r="309" spans="1:20" ht="58" customHeight="1">
      <c r="A309" s="231" t="s">
        <v>2438</v>
      </c>
      <c r="B309" s="45" t="s">
        <v>1539</v>
      </c>
      <c r="C309" s="44" t="s">
        <v>1533</v>
      </c>
      <c r="D309" s="44" t="s">
        <v>662</v>
      </c>
      <c r="E309" s="244" t="s">
        <v>873</v>
      </c>
      <c r="F309" s="244" t="s">
        <v>3434</v>
      </c>
      <c r="G309" s="245" t="s">
        <v>3435</v>
      </c>
      <c r="H309" s="45" t="s">
        <v>3</v>
      </c>
      <c r="I309" s="247" t="s">
        <v>1539</v>
      </c>
      <c r="J309" s="233" t="s">
        <v>3243</v>
      </c>
      <c r="K309" s="161"/>
      <c r="L309" s="240"/>
      <c r="M309" s="240"/>
      <c r="N309" s="160"/>
      <c r="O309" s="140" t="s">
        <v>655</v>
      </c>
      <c r="P309" s="43" t="s">
        <v>661</v>
      </c>
      <c r="Q309" s="229" t="s">
        <v>3247</v>
      </c>
      <c r="R309" s="201"/>
      <c r="S309" s="142" t="s">
        <v>658</v>
      </c>
      <c r="T309" s="242"/>
    </row>
    <row r="310" spans="1:20" ht="58" customHeight="1">
      <c r="A310" s="231" t="s">
        <v>2438</v>
      </c>
      <c r="B310" s="45" t="s">
        <v>1539</v>
      </c>
      <c r="C310" s="44" t="s">
        <v>1535</v>
      </c>
      <c r="D310" s="44" t="s">
        <v>632</v>
      </c>
      <c r="E310" s="244" t="s">
        <v>861</v>
      </c>
      <c r="F310" s="244" t="s">
        <v>3416</v>
      </c>
      <c r="G310" s="245" t="s">
        <v>3417</v>
      </c>
      <c r="H310" s="45" t="s">
        <v>3</v>
      </c>
      <c r="I310" s="247" t="s">
        <v>1539</v>
      </c>
      <c r="J310" s="233" t="s">
        <v>3243</v>
      </c>
      <c r="K310" s="161"/>
      <c r="L310" s="240"/>
      <c r="M310" s="240"/>
      <c r="N310" s="160"/>
      <c r="O310" s="140" t="s">
        <v>624</v>
      </c>
      <c r="P310" s="43" t="s">
        <v>631</v>
      </c>
      <c r="Q310" s="229" t="s">
        <v>3247</v>
      </c>
      <c r="R310" s="201"/>
      <c r="S310" s="142" t="s">
        <v>627</v>
      </c>
      <c r="T310" s="242"/>
    </row>
    <row r="311" spans="1:20" ht="58" customHeight="1">
      <c r="A311" s="231" t="s">
        <v>2438</v>
      </c>
      <c r="B311" s="45" t="s">
        <v>1539</v>
      </c>
      <c r="C311" s="44" t="s">
        <v>1540</v>
      </c>
      <c r="D311" s="44" t="s">
        <v>572</v>
      </c>
      <c r="E311" s="244" t="s">
        <v>835</v>
      </c>
      <c r="F311" s="244" t="s">
        <v>3378</v>
      </c>
      <c r="G311" s="245" t="s">
        <v>3379</v>
      </c>
      <c r="H311" s="45" t="s">
        <v>3</v>
      </c>
      <c r="I311" s="247" t="s">
        <v>1539</v>
      </c>
      <c r="J311" s="233" t="s">
        <v>3243</v>
      </c>
      <c r="K311" s="161"/>
      <c r="L311" s="240"/>
      <c r="M311" s="240"/>
      <c r="N311" s="160"/>
      <c r="O311" s="140" t="s">
        <v>567</v>
      </c>
      <c r="P311" s="43" t="s">
        <v>571</v>
      </c>
      <c r="Q311" s="229" t="s">
        <v>3247</v>
      </c>
      <c r="R311" s="201"/>
      <c r="S311" s="142" t="s">
        <v>570</v>
      </c>
      <c r="T311" s="242"/>
    </row>
    <row r="312" spans="1:20" ht="58" customHeight="1">
      <c r="A312" s="231" t="s">
        <v>2438</v>
      </c>
      <c r="B312" s="45" t="s">
        <v>1539</v>
      </c>
      <c r="C312" s="44" t="s">
        <v>1540</v>
      </c>
      <c r="D312" s="44" t="s">
        <v>574</v>
      </c>
      <c r="E312" s="244" t="s">
        <v>836</v>
      </c>
      <c r="F312" s="244" t="s">
        <v>3380</v>
      </c>
      <c r="G312" s="245" t="s">
        <v>4610</v>
      </c>
      <c r="H312" s="45" t="s">
        <v>3</v>
      </c>
      <c r="I312" s="247" t="s">
        <v>1539</v>
      </c>
      <c r="J312" s="233" t="s">
        <v>3243</v>
      </c>
      <c r="K312" s="161"/>
      <c r="L312" s="240"/>
      <c r="M312" s="240"/>
      <c r="N312" s="160"/>
      <c r="O312" s="140" t="s">
        <v>567</v>
      </c>
      <c r="P312" s="43" t="s">
        <v>573</v>
      </c>
      <c r="Q312" s="229" t="s">
        <v>3247</v>
      </c>
      <c r="R312" s="201"/>
      <c r="S312" s="142" t="s">
        <v>570</v>
      </c>
      <c r="T312" s="242"/>
    </row>
    <row r="313" spans="1:20" ht="58" customHeight="1">
      <c r="A313" s="231" t="s">
        <v>2438</v>
      </c>
      <c r="B313" s="45" t="s">
        <v>1539</v>
      </c>
      <c r="C313" s="44" t="s">
        <v>1540</v>
      </c>
      <c r="D313" s="44" t="s">
        <v>576</v>
      </c>
      <c r="E313" s="244" t="s">
        <v>837</v>
      </c>
      <c r="F313" s="244" t="s">
        <v>3381</v>
      </c>
      <c r="G313" s="245" t="s">
        <v>3379</v>
      </c>
      <c r="H313" s="45" t="s">
        <v>3</v>
      </c>
      <c r="I313" s="247" t="s">
        <v>1539</v>
      </c>
      <c r="J313" s="233" t="s">
        <v>3243</v>
      </c>
      <c r="K313" s="161"/>
      <c r="L313" s="240"/>
      <c r="M313" s="240"/>
      <c r="N313" s="160"/>
      <c r="O313" s="140" t="s">
        <v>567</v>
      </c>
      <c r="P313" s="43" t="s">
        <v>575</v>
      </c>
      <c r="Q313" s="229" t="s">
        <v>3247</v>
      </c>
      <c r="R313" s="201"/>
      <c r="S313" s="142" t="s">
        <v>570</v>
      </c>
      <c r="T313" s="242"/>
    </row>
    <row r="314" spans="1:20" ht="58" customHeight="1">
      <c r="A314" s="231" t="s">
        <v>2438</v>
      </c>
      <c r="B314" s="45" t="s">
        <v>1539</v>
      </c>
      <c r="C314" s="44" t="s">
        <v>1540</v>
      </c>
      <c r="D314" s="44" t="s">
        <v>578</v>
      </c>
      <c r="E314" s="244" t="s">
        <v>838</v>
      </c>
      <c r="F314" s="244" t="s">
        <v>3382</v>
      </c>
      <c r="G314" s="245" t="s">
        <v>3379</v>
      </c>
      <c r="H314" s="45" t="s">
        <v>3</v>
      </c>
      <c r="I314" s="247" t="s">
        <v>1539</v>
      </c>
      <c r="J314" s="233" t="s">
        <v>3243</v>
      </c>
      <c r="K314" s="161"/>
      <c r="L314" s="240"/>
      <c r="M314" s="240"/>
      <c r="N314" s="160"/>
      <c r="O314" s="140" t="s">
        <v>567</v>
      </c>
      <c r="P314" s="43" t="s">
        <v>577</v>
      </c>
      <c r="Q314" s="229" t="s">
        <v>3247</v>
      </c>
      <c r="R314" s="201"/>
      <c r="S314" s="142" t="s">
        <v>570</v>
      </c>
      <c r="T314" s="242"/>
    </row>
    <row r="315" spans="1:20" ht="58" customHeight="1">
      <c r="A315" s="231" t="s">
        <v>2438</v>
      </c>
      <c r="B315" s="45" t="s">
        <v>1539</v>
      </c>
      <c r="C315" s="44" t="s">
        <v>1540</v>
      </c>
      <c r="D315" s="44" t="s">
        <v>580</v>
      </c>
      <c r="E315" s="244" t="s">
        <v>839</v>
      </c>
      <c r="F315" s="244" t="s">
        <v>3383</v>
      </c>
      <c r="G315" s="245" t="s">
        <v>3379</v>
      </c>
      <c r="H315" s="45" t="s">
        <v>3</v>
      </c>
      <c r="I315" s="247" t="s">
        <v>1539</v>
      </c>
      <c r="J315" s="233" t="s">
        <v>3243</v>
      </c>
      <c r="K315" s="161"/>
      <c r="L315" s="240"/>
      <c r="M315" s="240"/>
      <c r="N315" s="160"/>
      <c r="O315" s="140" t="s">
        <v>567</v>
      </c>
      <c r="P315" s="43" t="s">
        <v>579</v>
      </c>
      <c r="Q315" s="229" t="s">
        <v>3247</v>
      </c>
      <c r="R315" s="201"/>
      <c r="S315" s="142" t="s">
        <v>570</v>
      </c>
      <c r="T315" s="242"/>
    </row>
    <row r="316" spans="1:20" ht="58" customHeight="1">
      <c r="A316" s="231" t="s">
        <v>2438</v>
      </c>
      <c r="B316" s="45" t="s">
        <v>1539</v>
      </c>
      <c r="C316" s="44" t="s">
        <v>1540</v>
      </c>
      <c r="D316" s="44" t="s">
        <v>645</v>
      </c>
      <c r="E316" s="244" t="s">
        <v>867</v>
      </c>
      <c r="F316" s="244" t="s">
        <v>3424</v>
      </c>
      <c r="G316" s="245" t="s">
        <v>3425</v>
      </c>
      <c r="H316" s="45" t="s">
        <v>3</v>
      </c>
      <c r="I316" s="247" t="s">
        <v>1539</v>
      </c>
      <c r="J316" s="233" t="s">
        <v>3243</v>
      </c>
      <c r="K316" s="161"/>
      <c r="L316" s="240"/>
      <c r="M316" s="240"/>
      <c r="N316" s="160"/>
      <c r="O316" s="140" t="s">
        <v>643</v>
      </c>
      <c r="P316" s="43" t="s">
        <v>644</v>
      </c>
      <c r="Q316" s="229" t="s">
        <v>3247</v>
      </c>
      <c r="R316" s="201"/>
      <c r="S316" s="142" t="s">
        <v>646</v>
      </c>
      <c r="T316" s="242"/>
    </row>
    <row r="317" spans="1:20" ht="58" customHeight="1">
      <c r="A317" s="231" t="s">
        <v>2438</v>
      </c>
      <c r="B317" s="45" t="s">
        <v>1539</v>
      </c>
      <c r="C317" s="44" t="s">
        <v>1540</v>
      </c>
      <c r="D317" s="44" t="s">
        <v>648</v>
      </c>
      <c r="E317" s="244" t="s">
        <v>868</v>
      </c>
      <c r="F317" s="244" t="s">
        <v>3426</v>
      </c>
      <c r="G317" s="245" t="s">
        <v>3427</v>
      </c>
      <c r="H317" s="45" t="s">
        <v>1522</v>
      </c>
      <c r="I317" s="247" t="s">
        <v>1539</v>
      </c>
      <c r="J317" s="233" t="s">
        <v>3243</v>
      </c>
      <c r="K317" s="161"/>
      <c r="L317" s="240"/>
      <c r="M317" s="240"/>
      <c r="N317" s="160"/>
      <c r="O317" s="140" t="s">
        <v>643</v>
      </c>
      <c r="P317" s="43" t="s">
        <v>647</v>
      </c>
      <c r="Q317" s="229" t="s">
        <v>3247</v>
      </c>
      <c r="R317" s="201"/>
      <c r="S317" s="142" t="s">
        <v>649</v>
      </c>
      <c r="T317" s="242" t="s">
        <v>4647</v>
      </c>
    </row>
    <row r="318" spans="1:20" ht="58" customHeight="1">
      <c r="A318" s="231" t="s">
        <v>2438</v>
      </c>
      <c r="B318" s="45" t="s">
        <v>1539</v>
      </c>
      <c r="C318" s="44" t="s">
        <v>1540</v>
      </c>
      <c r="D318" s="44" t="s">
        <v>664</v>
      </c>
      <c r="E318" s="244" t="s">
        <v>874</v>
      </c>
      <c r="F318" s="244" t="s">
        <v>3436</v>
      </c>
      <c r="G318" s="245" t="s">
        <v>3379</v>
      </c>
      <c r="H318" s="45" t="s">
        <v>3</v>
      </c>
      <c r="I318" s="247" t="s">
        <v>1539</v>
      </c>
      <c r="J318" s="233" t="s">
        <v>3243</v>
      </c>
      <c r="K318" s="161"/>
      <c r="L318" s="240"/>
      <c r="M318" s="240"/>
      <c r="N318" s="160"/>
      <c r="O318" s="140" t="s">
        <v>655</v>
      </c>
      <c r="P318" s="43" t="s">
        <v>663</v>
      </c>
      <c r="Q318" s="229" t="s">
        <v>3247</v>
      </c>
      <c r="R318" s="201"/>
      <c r="S318" s="142" t="s">
        <v>658</v>
      </c>
      <c r="T318" s="242"/>
    </row>
    <row r="319" spans="1:20" ht="58" customHeight="1">
      <c r="A319" s="231" t="s">
        <v>2438</v>
      </c>
      <c r="B319" s="45" t="s">
        <v>1539</v>
      </c>
      <c r="C319" s="44" t="s">
        <v>1530</v>
      </c>
      <c r="D319" s="44" t="s">
        <v>4818</v>
      </c>
      <c r="E319" s="244" t="s">
        <v>4819</v>
      </c>
      <c r="F319" s="244" t="s">
        <v>4820</v>
      </c>
      <c r="G319" s="245" t="s">
        <v>4821</v>
      </c>
      <c r="H319" s="45" t="s">
        <v>2</v>
      </c>
      <c r="I319" s="247" t="s">
        <v>1539</v>
      </c>
      <c r="J319" s="233" t="s">
        <v>3243</v>
      </c>
      <c r="K319" s="161" t="s">
        <v>958</v>
      </c>
      <c r="L319" s="240"/>
      <c r="M319" s="240"/>
      <c r="N319" s="160"/>
      <c r="O319" s="140" t="s">
        <v>4822</v>
      </c>
      <c r="P319" s="43" t="s">
        <v>4823</v>
      </c>
      <c r="Q319" s="229" t="s">
        <v>4824</v>
      </c>
      <c r="R319" s="201" t="s">
        <v>4825</v>
      </c>
      <c r="S319" s="142" t="s">
        <v>4826</v>
      </c>
      <c r="T319" s="242"/>
    </row>
    <row r="320" spans="1:20" ht="58" customHeight="1">
      <c r="A320" s="231" t="s">
        <v>2438</v>
      </c>
      <c r="B320" s="45" t="s">
        <v>1539</v>
      </c>
      <c r="C320" s="44" t="s">
        <v>1533</v>
      </c>
      <c r="D320" s="44" t="s">
        <v>4827</v>
      </c>
      <c r="E320" s="244" t="s">
        <v>4828</v>
      </c>
      <c r="F320" s="244" t="s">
        <v>4829</v>
      </c>
      <c r="G320" s="245" t="s">
        <v>4830</v>
      </c>
      <c r="H320" s="45" t="s">
        <v>2</v>
      </c>
      <c r="I320" s="247" t="s">
        <v>1539</v>
      </c>
      <c r="J320" s="233" t="s">
        <v>3243</v>
      </c>
      <c r="K320" s="161" t="s">
        <v>958</v>
      </c>
      <c r="L320" s="240"/>
      <c r="M320" s="240"/>
      <c r="N320" s="160"/>
      <c r="O320" s="140" t="s">
        <v>4822</v>
      </c>
      <c r="P320" s="43" t="s">
        <v>4831</v>
      </c>
      <c r="Q320" s="229" t="s">
        <v>4824</v>
      </c>
      <c r="R320" s="201" t="s">
        <v>4825</v>
      </c>
      <c r="S320" s="142" t="s">
        <v>4832</v>
      </c>
      <c r="T320" s="242"/>
    </row>
    <row r="321" spans="1:20" ht="58" customHeight="1">
      <c r="A321" s="231" t="s">
        <v>2438</v>
      </c>
      <c r="B321" s="45" t="s">
        <v>1539</v>
      </c>
      <c r="C321" s="44" t="s">
        <v>1533</v>
      </c>
      <c r="D321" s="44" t="s">
        <v>4833</v>
      </c>
      <c r="E321" s="244" t="s">
        <v>4834</v>
      </c>
      <c r="F321" s="244" t="s">
        <v>4835</v>
      </c>
      <c r="G321" s="245" t="s">
        <v>4836</v>
      </c>
      <c r="H321" s="45" t="s">
        <v>2</v>
      </c>
      <c r="I321" s="247" t="s">
        <v>1539</v>
      </c>
      <c r="J321" s="233" t="s">
        <v>3243</v>
      </c>
      <c r="K321" s="161" t="s">
        <v>958</v>
      </c>
      <c r="L321" s="240"/>
      <c r="M321" s="240"/>
      <c r="N321" s="160"/>
      <c r="O321" s="140" t="s">
        <v>4822</v>
      </c>
      <c r="P321" s="43" t="s">
        <v>4837</v>
      </c>
      <c r="Q321" s="229" t="s">
        <v>4824</v>
      </c>
      <c r="R321" s="201" t="s">
        <v>4825</v>
      </c>
      <c r="S321" s="142" t="s">
        <v>4832</v>
      </c>
      <c r="T321" s="242"/>
    </row>
    <row r="322" spans="1:20" ht="58" customHeight="1">
      <c r="A322" s="231" t="s">
        <v>2438</v>
      </c>
      <c r="B322" s="45" t="s">
        <v>1539</v>
      </c>
      <c r="C322" s="44" t="s">
        <v>1533</v>
      </c>
      <c r="D322" s="44" t="s">
        <v>4838</v>
      </c>
      <c r="E322" s="244" t="s">
        <v>4839</v>
      </c>
      <c r="F322" s="244" t="s">
        <v>4840</v>
      </c>
      <c r="G322" s="245" t="s">
        <v>4841</v>
      </c>
      <c r="H322" s="45" t="s">
        <v>2</v>
      </c>
      <c r="I322" s="247" t="s">
        <v>1539</v>
      </c>
      <c r="J322" s="233" t="s">
        <v>3243</v>
      </c>
      <c r="K322" s="161" t="s">
        <v>958</v>
      </c>
      <c r="L322" s="240"/>
      <c r="M322" s="240"/>
      <c r="N322" s="160"/>
      <c r="O322" s="140" t="s">
        <v>4822</v>
      </c>
      <c r="P322" s="43" t="s">
        <v>4842</v>
      </c>
      <c r="Q322" s="229" t="s">
        <v>4824</v>
      </c>
      <c r="R322" s="201" t="s">
        <v>4825</v>
      </c>
      <c r="S322" s="142" t="s">
        <v>4832</v>
      </c>
      <c r="T322" s="242"/>
    </row>
    <row r="323" spans="1:20" ht="58" customHeight="1">
      <c r="A323" s="231" t="s">
        <v>2438</v>
      </c>
      <c r="B323" s="45" t="s">
        <v>1539</v>
      </c>
      <c r="C323" s="44" t="s">
        <v>1537</v>
      </c>
      <c r="D323" s="44" t="s">
        <v>4843</v>
      </c>
      <c r="E323" s="244" t="s">
        <v>4844</v>
      </c>
      <c r="F323" s="244" t="s">
        <v>4845</v>
      </c>
      <c r="G323" s="245" t="s">
        <v>4846</v>
      </c>
      <c r="H323" s="45" t="s">
        <v>2</v>
      </c>
      <c r="I323" s="247" t="s">
        <v>1539</v>
      </c>
      <c r="J323" s="233" t="s">
        <v>3243</v>
      </c>
      <c r="K323" s="161" t="s">
        <v>958</v>
      </c>
      <c r="L323" s="240"/>
      <c r="M323" s="240"/>
      <c r="N323" s="160"/>
      <c r="O323" s="140" t="s">
        <v>4822</v>
      </c>
      <c r="P323" s="43" t="s">
        <v>4847</v>
      </c>
      <c r="Q323" s="229" t="s">
        <v>4824</v>
      </c>
      <c r="R323" s="201" t="s">
        <v>4825</v>
      </c>
      <c r="S323" s="142" t="s">
        <v>4848</v>
      </c>
      <c r="T323" s="242"/>
    </row>
    <row r="324" spans="1:20" ht="58" customHeight="1">
      <c r="A324" s="231" t="s">
        <v>2438</v>
      </c>
      <c r="B324" s="45" t="s">
        <v>1539</v>
      </c>
      <c r="C324" s="44" t="s">
        <v>1537</v>
      </c>
      <c r="D324" s="44" t="s">
        <v>4849</v>
      </c>
      <c r="E324" s="244" t="s">
        <v>4850</v>
      </c>
      <c r="F324" s="244" t="s">
        <v>4851</v>
      </c>
      <c r="G324" s="245" t="s">
        <v>4852</v>
      </c>
      <c r="H324" s="45" t="s">
        <v>2</v>
      </c>
      <c r="I324" s="247" t="s">
        <v>1539</v>
      </c>
      <c r="J324" s="233" t="s">
        <v>3243</v>
      </c>
      <c r="K324" s="161" t="s">
        <v>958</v>
      </c>
      <c r="L324" s="240"/>
      <c r="M324" s="240"/>
      <c r="N324" s="160"/>
      <c r="O324" s="140" t="s">
        <v>4822</v>
      </c>
      <c r="P324" s="43" t="s">
        <v>4853</v>
      </c>
      <c r="Q324" s="229" t="s">
        <v>4824</v>
      </c>
      <c r="R324" s="201" t="s">
        <v>4825</v>
      </c>
      <c r="S324" s="142" t="s">
        <v>4854</v>
      </c>
      <c r="T324" s="242"/>
    </row>
    <row r="325" spans="1:20" ht="58" customHeight="1">
      <c r="A325" s="231" t="s">
        <v>2438</v>
      </c>
      <c r="B325" s="45" t="s">
        <v>1539</v>
      </c>
      <c r="C325" s="44" t="s">
        <v>1533</v>
      </c>
      <c r="D325" s="44" t="s">
        <v>4855</v>
      </c>
      <c r="E325" s="244" t="s">
        <v>4856</v>
      </c>
      <c r="F325" s="244" t="s">
        <v>4857</v>
      </c>
      <c r="G325" s="245" t="s">
        <v>4858</v>
      </c>
      <c r="H325" s="45" t="s">
        <v>2</v>
      </c>
      <c r="I325" s="247" t="s">
        <v>1539</v>
      </c>
      <c r="J325" s="233" t="s">
        <v>3243</v>
      </c>
      <c r="K325" s="161" t="s">
        <v>958</v>
      </c>
      <c r="L325" s="240"/>
      <c r="M325" s="240"/>
      <c r="N325" s="160"/>
      <c r="O325" s="140" t="s">
        <v>4822</v>
      </c>
      <c r="P325" s="43" t="s">
        <v>4859</v>
      </c>
      <c r="Q325" s="229" t="s">
        <v>4824</v>
      </c>
      <c r="R325" s="201" t="s">
        <v>4825</v>
      </c>
      <c r="S325" s="142" t="s">
        <v>4824</v>
      </c>
      <c r="T325" s="242"/>
    </row>
    <row r="326" spans="1:20" ht="58" customHeight="1">
      <c r="A326" s="231" t="s">
        <v>2438</v>
      </c>
      <c r="B326" s="45" t="s">
        <v>1539</v>
      </c>
      <c r="C326" s="44" t="s">
        <v>1540</v>
      </c>
      <c r="D326" s="44" t="s">
        <v>4860</v>
      </c>
      <c r="E326" s="244" t="s">
        <v>4861</v>
      </c>
      <c r="F326" s="244" t="s">
        <v>4862</v>
      </c>
      <c r="G326" s="245" t="s">
        <v>4863</v>
      </c>
      <c r="H326" s="45" t="s">
        <v>2</v>
      </c>
      <c r="I326" s="247" t="s">
        <v>1539</v>
      </c>
      <c r="J326" s="233" t="s">
        <v>3243</v>
      </c>
      <c r="K326" s="161" t="s">
        <v>958</v>
      </c>
      <c r="L326" s="240"/>
      <c r="M326" s="240"/>
      <c r="N326" s="160"/>
      <c r="O326" s="140" t="s">
        <v>4822</v>
      </c>
      <c r="P326" s="43" t="s">
        <v>4864</v>
      </c>
      <c r="Q326" s="229" t="s">
        <v>4824</v>
      </c>
      <c r="R326" s="201" t="s">
        <v>4825</v>
      </c>
      <c r="S326" s="142" t="s">
        <v>4865</v>
      </c>
      <c r="T326" s="242"/>
    </row>
    <row r="327" spans="1:20" ht="58" customHeight="1">
      <c r="A327" s="231" t="s">
        <v>2437</v>
      </c>
      <c r="B327" s="45" t="s">
        <v>1541</v>
      </c>
      <c r="C327" s="44" t="s">
        <v>1526</v>
      </c>
      <c r="D327" s="44" t="s">
        <v>5250</v>
      </c>
      <c r="E327" s="244" t="s">
        <v>5251</v>
      </c>
      <c r="F327" s="244" t="s">
        <v>5252</v>
      </c>
      <c r="G327" s="245" t="s">
        <v>5253</v>
      </c>
      <c r="H327" s="45" t="s">
        <v>1522</v>
      </c>
      <c r="I327" s="247" t="s">
        <v>4500</v>
      </c>
      <c r="J327" s="233" t="s">
        <v>5254</v>
      </c>
      <c r="K327" s="161" t="s">
        <v>5196</v>
      </c>
      <c r="L327" s="240"/>
      <c r="M327" s="240"/>
      <c r="N327" s="160" t="s">
        <v>4278</v>
      </c>
      <c r="O327" s="140" t="s">
        <v>5255</v>
      </c>
      <c r="P327" s="43" t="s">
        <v>5196</v>
      </c>
      <c r="Q327" s="229" t="s">
        <v>5257</v>
      </c>
      <c r="R327" s="201" t="s">
        <v>5256</v>
      </c>
      <c r="S327" s="142" t="s">
        <v>5258</v>
      </c>
      <c r="T327" s="242"/>
    </row>
    <row r="328" spans="1:20" ht="58" customHeight="1">
      <c r="A328" s="231" t="s">
        <v>2437</v>
      </c>
      <c r="B328" s="45" t="s">
        <v>1541</v>
      </c>
      <c r="C328" s="44" t="s">
        <v>1526</v>
      </c>
      <c r="D328" s="44" t="s">
        <v>5259</v>
      </c>
      <c r="E328" s="244" t="s">
        <v>5260</v>
      </c>
      <c r="F328" s="244" t="s">
        <v>5261</v>
      </c>
      <c r="G328" s="245" t="s">
        <v>5262</v>
      </c>
      <c r="H328" s="45" t="s">
        <v>1522</v>
      </c>
      <c r="I328" s="247" t="s">
        <v>4500</v>
      </c>
      <c r="J328" s="233" t="s">
        <v>5263</v>
      </c>
      <c r="K328" s="161" t="s">
        <v>5204</v>
      </c>
      <c r="L328" s="240"/>
      <c r="M328" s="240"/>
      <c r="N328" s="160" t="s">
        <v>4278</v>
      </c>
      <c r="O328" s="140" t="s">
        <v>5255</v>
      </c>
      <c r="P328" s="43" t="s">
        <v>5204</v>
      </c>
      <c r="Q328" s="229" t="s">
        <v>5257</v>
      </c>
      <c r="R328" s="201" t="s">
        <v>5256</v>
      </c>
      <c r="S328" s="142" t="s">
        <v>5258</v>
      </c>
      <c r="T328" s="242"/>
    </row>
    <row r="329" spans="1:20" ht="58" customHeight="1">
      <c r="A329" s="231" t="s">
        <v>2437</v>
      </c>
      <c r="B329" s="45" t="s">
        <v>1541</v>
      </c>
      <c r="C329" s="44" t="s">
        <v>1526</v>
      </c>
      <c r="D329" s="44" t="s">
        <v>5264</v>
      </c>
      <c r="E329" s="244" t="s">
        <v>5265</v>
      </c>
      <c r="F329" s="244" t="s">
        <v>5266</v>
      </c>
      <c r="G329" s="245" t="s">
        <v>5267</v>
      </c>
      <c r="H329" s="45" t="s">
        <v>1522</v>
      </c>
      <c r="I329" s="247" t="s">
        <v>4500</v>
      </c>
      <c r="J329" s="233" t="s">
        <v>5268</v>
      </c>
      <c r="K329" s="161" t="s">
        <v>5211</v>
      </c>
      <c r="L329" s="240"/>
      <c r="M329" s="240"/>
      <c r="N329" s="160" t="s">
        <v>4279</v>
      </c>
      <c r="O329" s="140" t="s">
        <v>5255</v>
      </c>
      <c r="P329" s="43" t="s">
        <v>5211</v>
      </c>
      <c r="Q329" s="229" t="s">
        <v>5257</v>
      </c>
      <c r="R329" s="201" t="s">
        <v>5269</v>
      </c>
      <c r="S329" s="142" t="s">
        <v>5258</v>
      </c>
      <c r="T329" s="242"/>
    </row>
    <row r="330" spans="1:20" ht="58" customHeight="1">
      <c r="A330" s="231" t="s">
        <v>2437</v>
      </c>
      <c r="B330" s="45" t="s">
        <v>1541</v>
      </c>
      <c r="C330" s="44" t="s">
        <v>1527</v>
      </c>
      <c r="D330" s="44" t="s">
        <v>5270</v>
      </c>
      <c r="E330" s="244" t="s">
        <v>5271</v>
      </c>
      <c r="F330" s="244" t="s">
        <v>5272</v>
      </c>
      <c r="G330" s="245" t="s">
        <v>5273</v>
      </c>
      <c r="H330" s="45" t="s">
        <v>1522</v>
      </c>
      <c r="I330" s="247" t="s">
        <v>4500</v>
      </c>
      <c r="J330" s="233" t="s">
        <v>5274</v>
      </c>
      <c r="K330" s="161" t="s">
        <v>5218</v>
      </c>
      <c r="L330" s="240"/>
      <c r="M330" s="240"/>
      <c r="N330" s="160" t="s">
        <v>4279</v>
      </c>
      <c r="O330" s="140" t="s">
        <v>5255</v>
      </c>
      <c r="P330" s="43" t="s">
        <v>5218</v>
      </c>
      <c r="Q330" s="229" t="s">
        <v>5257</v>
      </c>
      <c r="R330" s="201" t="s">
        <v>5269</v>
      </c>
      <c r="S330" s="142" t="s">
        <v>5258</v>
      </c>
      <c r="T330" s="242"/>
    </row>
    <row r="331" spans="1:20" ht="58" customHeight="1">
      <c r="A331" s="231" t="s">
        <v>2437</v>
      </c>
      <c r="B331" s="45" t="s">
        <v>1541</v>
      </c>
      <c r="C331" s="44" t="s">
        <v>1534</v>
      </c>
      <c r="D331" s="44" t="s">
        <v>5275</v>
      </c>
      <c r="E331" s="244" t="s">
        <v>5276</v>
      </c>
      <c r="F331" s="244" t="s">
        <v>5277</v>
      </c>
      <c r="G331" s="245" t="s">
        <v>5278</v>
      </c>
      <c r="H331" s="45" t="s">
        <v>1522</v>
      </c>
      <c r="I331" s="247" t="s">
        <v>3036</v>
      </c>
      <c r="J331" s="233" t="s">
        <v>5279</v>
      </c>
      <c r="K331" s="161" t="s">
        <v>5225</v>
      </c>
      <c r="L331" s="240"/>
      <c r="M331" s="240"/>
      <c r="N331" s="160" t="s">
        <v>4278</v>
      </c>
      <c r="O331" s="140" t="s">
        <v>5255</v>
      </c>
      <c r="P331" s="43" t="s">
        <v>5225</v>
      </c>
      <c r="Q331" s="229" t="s">
        <v>5257</v>
      </c>
      <c r="R331" s="201" t="s">
        <v>5280</v>
      </c>
      <c r="S331" s="142" t="s">
        <v>5258</v>
      </c>
      <c r="T331" s="242"/>
    </row>
    <row r="332" spans="1:20" ht="58" customHeight="1">
      <c r="A332" s="231" t="s">
        <v>2437</v>
      </c>
      <c r="B332" s="45" t="s">
        <v>1541</v>
      </c>
      <c r="C332" s="44" t="s">
        <v>1527</v>
      </c>
      <c r="D332" s="44" t="s">
        <v>5281</v>
      </c>
      <c r="E332" s="244" t="s">
        <v>5282</v>
      </c>
      <c r="F332" s="244" t="s">
        <v>5283</v>
      </c>
      <c r="G332" s="245" t="s">
        <v>5284</v>
      </c>
      <c r="H332" s="45" t="s">
        <v>1522</v>
      </c>
      <c r="I332" s="247" t="s">
        <v>3036</v>
      </c>
      <c r="J332" s="233" t="s">
        <v>5285</v>
      </c>
      <c r="K332" s="161" t="s">
        <v>5233</v>
      </c>
      <c r="L332" s="240"/>
      <c r="M332" s="240"/>
      <c r="N332" s="160" t="s">
        <v>4278</v>
      </c>
      <c r="O332" s="140" t="s">
        <v>5255</v>
      </c>
      <c r="P332" s="43" t="s">
        <v>5233</v>
      </c>
      <c r="Q332" s="229" t="s">
        <v>5257</v>
      </c>
      <c r="R332" s="201" t="s">
        <v>5286</v>
      </c>
      <c r="S332" s="142" t="s">
        <v>5258</v>
      </c>
      <c r="T332" s="242" t="s">
        <v>5287</v>
      </c>
    </row>
    <row r="333" spans="1:20" ht="58" customHeight="1">
      <c r="A333" s="231" t="s">
        <v>2437</v>
      </c>
      <c r="B333" s="45" t="s">
        <v>1541</v>
      </c>
      <c r="C333" s="44" t="s">
        <v>1527</v>
      </c>
      <c r="D333" s="44" t="s">
        <v>5288</v>
      </c>
      <c r="E333" s="244" t="s">
        <v>5289</v>
      </c>
      <c r="F333" s="244" t="s">
        <v>5290</v>
      </c>
      <c r="G333" s="245" t="s">
        <v>5291</v>
      </c>
      <c r="H333" s="45" t="s">
        <v>1522</v>
      </c>
      <c r="I333" s="247" t="s">
        <v>3036</v>
      </c>
      <c r="J333" s="233" t="s">
        <v>5292</v>
      </c>
      <c r="K333" s="161" t="s">
        <v>5240</v>
      </c>
      <c r="L333" s="240"/>
      <c r="M333" s="240"/>
      <c r="N333" s="160" t="s">
        <v>4279</v>
      </c>
      <c r="O333" s="140" t="s">
        <v>5255</v>
      </c>
      <c r="P333" s="43" t="s">
        <v>5240</v>
      </c>
      <c r="Q333" s="229" t="s">
        <v>5257</v>
      </c>
      <c r="R333" s="201" t="s">
        <v>5269</v>
      </c>
      <c r="S333" s="142" t="s">
        <v>5258</v>
      </c>
      <c r="T333" s="242"/>
    </row>
    <row r="334" spans="1:20" ht="58" customHeight="1">
      <c r="A334" s="231" t="s">
        <v>2438</v>
      </c>
      <c r="B334" s="45" t="s">
        <v>1538</v>
      </c>
      <c r="C334" s="44" t="s">
        <v>1532</v>
      </c>
      <c r="D334" s="44" t="s">
        <v>5295</v>
      </c>
      <c r="E334" s="244" t="s">
        <v>5296</v>
      </c>
      <c r="F334" s="244" t="s">
        <v>5297</v>
      </c>
      <c r="G334" s="245" t="s">
        <v>5298</v>
      </c>
      <c r="H334" s="45" t="s">
        <v>1522</v>
      </c>
      <c r="I334" s="247" t="s">
        <v>4484</v>
      </c>
      <c r="J334" s="233" t="s">
        <v>3243</v>
      </c>
      <c r="K334" s="161" t="s">
        <v>958</v>
      </c>
      <c r="L334" s="240"/>
      <c r="M334" s="240"/>
      <c r="N334" s="160" t="s">
        <v>4278</v>
      </c>
      <c r="O334" s="140" t="s">
        <v>5299</v>
      </c>
      <c r="P334" s="43" t="s">
        <v>5300</v>
      </c>
      <c r="Q334" s="229" t="s">
        <v>3250</v>
      </c>
      <c r="R334" s="201" t="s">
        <v>5301</v>
      </c>
      <c r="S334" s="142" t="s">
        <v>5302</v>
      </c>
      <c r="T334" s="242"/>
    </row>
    <row r="335" spans="1:20" ht="58" customHeight="1">
      <c r="A335" s="231" t="s">
        <v>2438</v>
      </c>
      <c r="B335" s="45" t="s">
        <v>1538</v>
      </c>
      <c r="C335" s="44" t="s">
        <v>1532</v>
      </c>
      <c r="D335" s="44" t="s">
        <v>5303</v>
      </c>
      <c r="E335" s="244" t="s">
        <v>5304</v>
      </c>
      <c r="F335" s="244" t="s">
        <v>5305</v>
      </c>
      <c r="G335" s="245" t="s">
        <v>5306</v>
      </c>
      <c r="H335" s="45" t="s">
        <v>1522</v>
      </c>
      <c r="I335" s="247" t="s">
        <v>4484</v>
      </c>
      <c r="J335" s="233" t="s">
        <v>3243</v>
      </c>
      <c r="K335" s="161" t="s">
        <v>958</v>
      </c>
      <c r="L335" s="240"/>
      <c r="M335" s="240"/>
      <c r="N335" s="160" t="s">
        <v>4278</v>
      </c>
      <c r="O335" s="140" t="s">
        <v>5307</v>
      </c>
      <c r="P335" s="43" t="s">
        <v>5308</v>
      </c>
      <c r="Q335" s="229" t="s">
        <v>3246</v>
      </c>
      <c r="R335" s="201" t="s">
        <v>5309</v>
      </c>
      <c r="S335" s="142" t="s">
        <v>5310</v>
      </c>
      <c r="T335" s="242"/>
    </row>
    <row r="336" spans="1:20" ht="58" customHeight="1">
      <c r="A336" s="231" t="s">
        <v>2438</v>
      </c>
      <c r="B336" s="45" t="s">
        <v>1538</v>
      </c>
      <c r="C336" s="44" t="s">
        <v>1532</v>
      </c>
      <c r="D336" s="44" t="s">
        <v>5311</v>
      </c>
      <c r="E336" s="244" t="s">
        <v>5312</v>
      </c>
      <c r="F336" s="244" t="s">
        <v>5313</v>
      </c>
      <c r="G336" s="245" t="s">
        <v>5314</v>
      </c>
      <c r="H336" s="45" t="s">
        <v>1522</v>
      </c>
      <c r="I336" s="247" t="s">
        <v>4484</v>
      </c>
      <c r="J336" s="233" t="s">
        <v>3243</v>
      </c>
      <c r="K336" s="161" t="s">
        <v>958</v>
      </c>
      <c r="L336" s="240"/>
      <c r="M336" s="240"/>
      <c r="N336" s="160" t="s">
        <v>4278</v>
      </c>
      <c r="O336" s="140" t="s">
        <v>5307</v>
      </c>
      <c r="P336" s="43" t="s">
        <v>5315</v>
      </c>
      <c r="Q336" s="229" t="s">
        <v>3246</v>
      </c>
      <c r="R336" s="201" t="s">
        <v>5309</v>
      </c>
      <c r="S336" s="142" t="s">
        <v>5316</v>
      </c>
      <c r="T336" s="242"/>
    </row>
    <row r="337" spans="1:20" ht="58" customHeight="1">
      <c r="A337" s="231" t="s">
        <v>2438</v>
      </c>
      <c r="B337" s="45" t="s">
        <v>1538</v>
      </c>
      <c r="C337" s="44" t="s">
        <v>1525</v>
      </c>
      <c r="D337" s="44" t="s">
        <v>5317</v>
      </c>
      <c r="E337" s="244" t="s">
        <v>5318</v>
      </c>
      <c r="F337" s="244" t="s">
        <v>5319</v>
      </c>
      <c r="G337" s="245" t="s">
        <v>5320</v>
      </c>
      <c r="H337" s="45" t="s">
        <v>3</v>
      </c>
      <c r="I337" s="247" t="s">
        <v>1539</v>
      </c>
      <c r="J337" s="233" t="s">
        <v>3243</v>
      </c>
      <c r="K337" s="161" t="s">
        <v>958</v>
      </c>
      <c r="L337" s="240"/>
      <c r="M337" s="240"/>
      <c r="N337" s="160" t="s">
        <v>4279</v>
      </c>
      <c r="O337" s="140" t="s">
        <v>5321</v>
      </c>
      <c r="P337" s="43" t="s">
        <v>1442</v>
      </c>
      <c r="Q337" s="229" t="s">
        <v>3250</v>
      </c>
      <c r="R337" s="201" t="s">
        <v>5322</v>
      </c>
      <c r="S337" s="142" t="s">
        <v>5323</v>
      </c>
      <c r="T337" s="242" t="s">
        <v>5324</v>
      </c>
    </row>
  </sheetData>
  <autoFilter ref="A3:T337" xr:uid="{4F6F187A-C144-EF41-838F-8FD30632C19C}"/>
  <phoneticPr fontId="2"/>
  <conditionalFormatting sqref="A4:S1000">
    <cfRule type="expression" dxfId="126" priority="1">
      <formula>AND($P4&lt;&gt;"",$H4="確定")</formula>
    </cfRule>
  </conditionalFormatting>
  <conditionalFormatting sqref="A4:S1000">
    <cfRule type="expression" dxfId="125" priority="2">
      <formula>AND($P4&lt;&gt;"",$H4="方向性確定（条件付き）")</formula>
    </cfRule>
  </conditionalFormatting>
  <conditionalFormatting sqref="A4:S1000">
    <cfRule type="expression" dxfId="124" priority="3">
      <formula>AND($P4&lt;&gt;"",$H4="検討中")</formula>
    </cfRule>
  </conditionalFormatting>
  <conditionalFormatting sqref="A4:S1000">
    <cfRule type="expression" dxfId="123" priority="4">
      <formula>AND($P4&lt;&gt;"",$H4="外部待ち")</formula>
    </cfRule>
  </conditionalFormatting>
  <conditionalFormatting sqref="A4:S1000">
    <cfRule type="expression" dxfId="122" priority="5">
      <formula>AND($P4&lt;&gt;"",$H4="対象外")</formula>
    </cfRule>
  </conditionalFormatting>
  <conditionalFormatting sqref="I4:I1000">
    <cfRule type="expression" dxfId="121" priority="6">
      <formula>$I4="顧客ヒアリング"</formula>
    </cfRule>
  </conditionalFormatting>
  <conditionalFormatting sqref="I4:I1000">
    <cfRule type="expression" dxfId="120" priority="7">
      <formula>$I4="顧客ヒアリング（アプリチーム）"</formula>
    </cfRule>
  </conditionalFormatting>
  <conditionalFormatting sqref="I4:I1000">
    <cfRule type="expression" dxfId="119" priority="8">
      <formula>$I4="顧客ヒアリング→アプリ確認"</formula>
    </cfRule>
  </conditionalFormatting>
  <conditionalFormatting sqref="I4:I1000">
    <cfRule type="expression" dxfId="118" priority="9">
      <formula>$I4="他組織ヒアリング（要求仕様）"</formula>
    </cfRule>
  </conditionalFormatting>
  <conditionalFormatting sqref="I4:I1000">
    <cfRule type="expression" dxfId="117" priority="10">
      <formula>$I4="社内判断待ち"</formula>
    </cfRule>
  </conditionalFormatting>
  <conditionalFormatting sqref="I4:I1000">
    <cfRule type="expression" dxfId="116" priority="11">
      <formula>$I4="設計タスク"</formula>
    </cfRule>
  </conditionalFormatting>
  <conditionalFormatting sqref="I4:I1000">
    <cfRule type="expression" dxfId="115" priority="12">
      <formula>$I4="確定（反映のみ）"</formula>
    </cfRule>
  </conditionalFormatting>
  <conditionalFormatting sqref="I4:I1000">
    <cfRule type="expression" dxfId="114" priority="13">
      <formula>$I4="スコープ外"</formula>
    </cfRule>
  </conditionalFormatting>
  <conditionalFormatting sqref="T4:T1000">
    <cfRule type="expression" dxfId="113" priority="14">
      <formula>$T4&lt;&gt;""</formula>
    </cfRule>
  </conditionalFormatting>
  <conditionalFormatting sqref="N4:N1000">
    <cfRule type="expression" dxfId="112" priority="15">
      <formula>$N4="最優先"</formula>
    </cfRule>
  </conditionalFormatting>
  <conditionalFormatting sqref="N4:N1000">
    <cfRule type="expression" dxfId="111" priority="16">
      <formula>$N4="通常"</formula>
    </cfRule>
  </conditionalFormatting>
  <conditionalFormatting sqref="N4:N1000">
    <cfRule type="expression" dxfId="11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2"/>
  <conditionalFormatting sqref="A5:E189">
    <cfRule type="expression" dxfId="109" priority="1">
      <formula>$B5="U2 Keycloak論理"</formula>
    </cfRule>
  </conditionalFormatting>
  <conditionalFormatting sqref="A5:E189">
    <cfRule type="expression" dxfId="108" priority="2">
      <formula>$B5="U3 ID・プロビジョニング"</formula>
    </cfRule>
  </conditionalFormatting>
  <conditionalFormatting sqref="A5:E189">
    <cfRule type="expression" dxfId="107" priority="3">
      <formula>$B5="U5 トークン・認可"</formula>
    </cfRule>
  </conditionalFormatting>
  <conditionalFormatting sqref="A5:E189">
    <cfRule type="expression" dxfId="106" priority="4">
      <formula>$B5="U4 認証体験・UX"</formula>
    </cfRule>
  </conditionalFormatting>
  <conditionalFormatting sqref="A5:E189">
    <cfRule type="expression" dxfId="105" priority="5">
      <formula>$B5="U7 セキュリティ"</formula>
    </cfRule>
  </conditionalFormatting>
  <conditionalFormatting sqref="A5:E189">
    <cfRule type="expression" dxfId="104" priority="6">
      <formula>$B5="U8 可用性・DR"</formula>
    </cfRule>
  </conditionalFormatting>
  <conditionalFormatting sqref="A5:E189">
    <cfRule type="expression" dxfId="103" priority="7">
      <formula>$B5="U6 インフラ・NW"</formula>
    </cfRule>
  </conditionalFormatting>
  <conditionalFormatting sqref="A5:E189">
    <cfRule type="expression" dxfId="102" priority="8">
      <formula>$B5="U9 運用・監視・IaC"</formula>
    </cfRule>
  </conditionalFormatting>
  <conditionalFormatting sqref="A5:E189">
    <cfRule type="expression" dxfId="101"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2"/>
  <conditionalFormatting sqref="A5:H183">
    <cfRule type="expression" dxfId="100" priority="1">
      <formula>$G5="未対応"</formula>
    </cfRule>
  </conditionalFormatting>
  <conditionalFormatting sqref="A5:H183">
    <cfRule type="expression" dxfId="99" priority="2">
      <formula>$G5="単元未取込"</formula>
    </cfRule>
  </conditionalFormatting>
  <conditionalFormatting sqref="A5:H183">
    <cfRule type="expression" dxfId="98" priority="3">
      <formula>$G5="部分"</formula>
    </cfRule>
  </conditionalFormatting>
  <conditionalFormatting sqref="A5:H183">
    <cfRule type="expression" dxfId="97" priority="4">
      <formula>$G5="設計済"</formula>
    </cfRule>
  </conditionalFormatting>
  <conditionalFormatting sqref="A5:H183">
    <cfRule type="expression" dxfId="96"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2"/>
  <conditionalFormatting sqref="A6:F55">
    <cfRule type="expression" dxfId="95" priority="1">
      <formula>$D6="スコープ増"</formula>
    </cfRule>
  </conditionalFormatting>
  <conditionalFormatting sqref="A6:F55">
    <cfRule type="expression" dxfId="94" priority="2">
      <formula>$D6="要件側の書き漏れ"</formula>
    </cfRule>
  </conditionalFormatting>
  <conditionalFormatting sqref="A6:F55">
    <cfRule type="expression" dxfId="93" priority="3">
      <formula>$D6="参照漏れ"</formula>
    </cfRule>
  </conditionalFormatting>
  <conditionalFormatting sqref="A6:F55">
    <cfRule type="expression" dxfId="92" priority="4">
      <formula>$D6="内部技術判断"</formula>
    </cfRule>
  </conditionalFormatting>
  <conditionalFormatting sqref="A6:F55">
    <cfRule type="expression" dxfId="91"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2551</v>
      </c>
    </row>
    <row r="2" spans="1:9">
      <c r="A2" s="3" t="s">
        <v>2552</v>
      </c>
    </row>
    <row r="3" spans="1:9">
      <c r="A3" s="54" t="s">
        <v>4873</v>
      </c>
    </row>
    <row r="4" spans="1:9" ht="22" customHeight="1"/>
    <row r="5" spans="1:9" ht="22" customHeight="1">
      <c r="A5" s="9" t="s">
        <v>1433</v>
      </c>
      <c r="B5" s="10" t="s">
        <v>1434</v>
      </c>
      <c r="C5" s="10" t="s">
        <v>1435</v>
      </c>
      <c r="D5" s="10" t="s">
        <v>2553</v>
      </c>
      <c r="E5" s="11" t="s">
        <v>2554</v>
      </c>
      <c r="G5" s="157" t="s">
        <v>2720</v>
      </c>
    </row>
    <row r="6" spans="1:9">
      <c r="A6" s="49" t="s">
        <v>2555</v>
      </c>
      <c r="B6" s="6" t="s">
        <v>2556</v>
      </c>
      <c r="C6" s="12" t="s">
        <v>2557</v>
      </c>
      <c r="D6" s="176" t="s">
        <v>2721</v>
      </c>
      <c r="E6" s="174"/>
      <c r="G6" s="18" t="s">
        <v>1435</v>
      </c>
      <c r="H6" s="20" t="s">
        <v>1046</v>
      </c>
    </row>
    <row r="7" spans="1:9">
      <c r="A7" s="49" t="s">
        <v>2558</v>
      </c>
      <c r="B7" s="6" t="s">
        <v>2559</v>
      </c>
      <c r="C7" s="12" t="s">
        <v>2557</v>
      </c>
      <c r="D7" s="176" t="s">
        <v>2721</v>
      </c>
      <c r="E7" s="174"/>
      <c r="G7" s="21" t="s">
        <v>2568</v>
      </c>
      <c r="H7" s="158">
        <f>COUNTIF($C$6:$C$72,$G7)</f>
        <v>48</v>
      </c>
    </row>
    <row r="8" spans="1:9">
      <c r="A8" s="49" t="s">
        <v>2560</v>
      </c>
      <c r="B8" s="6" t="s">
        <v>2561</v>
      </c>
      <c r="C8" s="12" t="s">
        <v>2557</v>
      </c>
      <c r="D8" s="176" t="s">
        <v>2721</v>
      </c>
      <c r="E8" s="174"/>
      <c r="G8" s="21" t="s">
        <v>2557</v>
      </c>
      <c r="H8" s="158">
        <f>COUNTIF($C$6:$C$72,$G8)</f>
        <v>12</v>
      </c>
    </row>
    <row r="9" spans="1:9">
      <c r="A9" s="49" t="s">
        <v>2562</v>
      </c>
      <c r="B9" s="6" t="s">
        <v>2563</v>
      </c>
      <c r="C9" s="12" t="s">
        <v>2557</v>
      </c>
      <c r="D9" s="176" t="s">
        <v>2721</v>
      </c>
      <c r="E9" s="174"/>
      <c r="G9" s="21" t="s">
        <v>2685</v>
      </c>
      <c r="H9" s="158">
        <f>COUNTIF($C$6:$C$72,$G9)</f>
        <v>1</v>
      </c>
    </row>
    <row r="10" spans="1:9">
      <c r="A10" s="49" t="s">
        <v>2564</v>
      </c>
      <c r="B10" s="6" t="s">
        <v>2565</v>
      </c>
      <c r="C10" s="12" t="s">
        <v>2557</v>
      </c>
      <c r="D10" s="176" t="s">
        <v>2721</v>
      </c>
      <c r="E10" s="174"/>
      <c r="G10" s="21" t="s">
        <v>2689</v>
      </c>
      <c r="H10" s="158">
        <f>COUNTIF($C$6:$C$72,$G10)</f>
        <v>1</v>
      </c>
    </row>
    <row r="11" spans="1:9">
      <c r="A11" s="49" t="s">
        <v>2566</v>
      </c>
      <c r="B11" s="6" t="s">
        <v>2567</v>
      </c>
      <c r="C11" s="12" t="s">
        <v>2568</v>
      </c>
      <c r="D11" s="176" t="s">
        <v>2721</v>
      </c>
      <c r="E11" s="174"/>
      <c r="G11" s="21" t="s">
        <v>2637</v>
      </c>
      <c r="H11" s="158">
        <f>COUNTIF($C$6:$C$72,$G11)</f>
        <v>2</v>
      </c>
    </row>
    <row r="12" spans="1:9">
      <c r="A12" s="49" t="s">
        <v>2569</v>
      </c>
      <c r="B12" s="6" t="s">
        <v>2570</v>
      </c>
      <c r="C12" s="12" t="s">
        <v>2557</v>
      </c>
      <c r="D12" s="176" t="s">
        <v>2722</v>
      </c>
      <c r="E12" s="174"/>
      <c r="G12" s="21" t="s">
        <v>2649</v>
      </c>
      <c r="H12" s="158">
        <f>COUNTIF($C$6:$C$72,$G12)</f>
        <v>1</v>
      </c>
    </row>
    <row r="13" spans="1:9">
      <c r="A13" s="49" t="s">
        <v>2571</v>
      </c>
      <c r="B13" s="6" t="s">
        <v>2572</v>
      </c>
      <c r="C13" s="12" t="s">
        <v>2557</v>
      </c>
      <c r="D13" s="176" t="s">
        <v>2723</v>
      </c>
      <c r="E13" s="174"/>
      <c r="G13" s="23" t="s">
        <v>7</v>
      </c>
      <c r="H13" s="159">
        <f>SUM(H7:H12)</f>
        <v>65</v>
      </c>
      <c r="I13" s="48" t="str">
        <f>IF(H13=COUNTA($A$6:$A$72),"✓ 明細行数と一致","⚠ 不一致")</f>
        <v>⚠ 不一致</v>
      </c>
    </row>
    <row r="14" spans="1:9">
      <c r="A14" s="49" t="s">
        <v>2573</v>
      </c>
      <c r="B14" s="6" t="s">
        <v>2574</v>
      </c>
      <c r="C14" s="12" t="s">
        <v>2557</v>
      </c>
      <c r="D14" s="176" t="s">
        <v>2724</v>
      </c>
      <c r="E14" s="174"/>
    </row>
    <row r="15" spans="1:9">
      <c r="A15" s="49" t="s">
        <v>2575</v>
      </c>
      <c r="B15" s="6" t="s">
        <v>2576</v>
      </c>
      <c r="C15" s="12" t="s">
        <v>2557</v>
      </c>
      <c r="D15" s="176" t="s">
        <v>2725</v>
      </c>
      <c r="E15" s="174"/>
    </row>
    <row r="16" spans="1:9">
      <c r="A16" s="49" t="s">
        <v>2577</v>
      </c>
      <c r="B16" s="6" t="s">
        <v>2578</v>
      </c>
      <c r="C16" s="12" t="s">
        <v>2568</v>
      </c>
      <c r="D16" s="176" t="s">
        <v>2725</v>
      </c>
      <c r="E16" s="174" t="s">
        <v>2579</v>
      </c>
    </row>
    <row r="17" spans="1:5">
      <c r="A17" s="49" t="s">
        <v>2580</v>
      </c>
      <c r="B17" s="6" t="s">
        <v>2581</v>
      </c>
      <c r="C17" s="12" t="s">
        <v>2557</v>
      </c>
      <c r="D17" s="176" t="s">
        <v>2726</v>
      </c>
      <c r="E17" s="174"/>
    </row>
    <row r="18" spans="1:5">
      <c r="A18" s="49" t="s">
        <v>2582</v>
      </c>
      <c r="B18" s="6" t="s">
        <v>2583</v>
      </c>
      <c r="C18" s="12" t="s">
        <v>2568</v>
      </c>
      <c r="D18" s="176" t="s">
        <v>2727</v>
      </c>
      <c r="E18" s="174"/>
    </row>
    <row r="19" spans="1:5">
      <c r="A19" s="49" t="s">
        <v>2584</v>
      </c>
      <c r="B19" s="6" t="s">
        <v>2585</v>
      </c>
      <c r="C19" s="12" t="s">
        <v>2568</v>
      </c>
      <c r="D19" s="176" t="s">
        <v>2727</v>
      </c>
      <c r="E19" s="174"/>
    </row>
    <row r="20" spans="1:5">
      <c r="A20" s="49" t="s">
        <v>2586</v>
      </c>
      <c r="B20" s="6" t="s">
        <v>2587</v>
      </c>
      <c r="C20" s="12" t="s">
        <v>2568</v>
      </c>
      <c r="D20" s="176" t="s">
        <v>2727</v>
      </c>
      <c r="E20" s="174"/>
    </row>
    <row r="21" spans="1:5">
      <c r="A21" s="49" t="s">
        <v>2588</v>
      </c>
      <c r="B21" s="6" t="s">
        <v>2589</v>
      </c>
      <c r="C21" s="12" t="s">
        <v>2568</v>
      </c>
      <c r="D21" s="176" t="s">
        <v>2728</v>
      </c>
      <c r="E21" s="174" t="s">
        <v>2590</v>
      </c>
    </row>
    <row r="22" spans="1:5">
      <c r="A22" s="49" t="s">
        <v>2591</v>
      </c>
      <c r="B22" s="6" t="s">
        <v>2592</v>
      </c>
      <c r="C22" s="12" t="s">
        <v>2568</v>
      </c>
      <c r="D22" s="176" t="s">
        <v>2593</v>
      </c>
      <c r="E22" s="174" t="s">
        <v>2594</v>
      </c>
    </row>
    <row r="23" spans="1:5">
      <c r="A23" s="49" t="s">
        <v>2595</v>
      </c>
      <c r="B23" s="6" t="s">
        <v>2596</v>
      </c>
      <c r="C23" s="12" t="s">
        <v>2568</v>
      </c>
      <c r="D23" s="176" t="s">
        <v>2729</v>
      </c>
      <c r="E23" s="174"/>
    </row>
    <row r="24" spans="1:5">
      <c r="A24" s="49" t="s">
        <v>2597</v>
      </c>
      <c r="B24" s="6" t="s">
        <v>2598</v>
      </c>
      <c r="C24" s="12" t="s">
        <v>2568</v>
      </c>
      <c r="D24" s="176" t="s">
        <v>2729</v>
      </c>
      <c r="E24" s="174"/>
    </row>
    <row r="25" spans="1:5">
      <c r="A25" s="49" t="s">
        <v>2599</v>
      </c>
      <c r="B25" s="6" t="s">
        <v>2600</v>
      </c>
      <c r="C25" s="12" t="s">
        <v>2568</v>
      </c>
      <c r="D25" s="176" t="s">
        <v>2729</v>
      </c>
      <c r="E25" s="174"/>
    </row>
    <row r="26" spans="1:5">
      <c r="A26" s="49" t="s">
        <v>2601</v>
      </c>
      <c r="B26" s="6" t="s">
        <v>2602</v>
      </c>
      <c r="C26" s="12" t="s">
        <v>2568</v>
      </c>
      <c r="D26" s="176" t="s">
        <v>2729</v>
      </c>
      <c r="E26" s="174"/>
    </row>
    <row r="27" spans="1:5">
      <c r="A27" s="49" t="s">
        <v>2603</v>
      </c>
      <c r="B27" s="6" t="s">
        <v>2604</v>
      </c>
      <c r="C27" s="12" t="s">
        <v>2568</v>
      </c>
      <c r="D27" s="176" t="s">
        <v>2729</v>
      </c>
      <c r="E27" s="174"/>
    </row>
    <row r="28" spans="1:5">
      <c r="A28" s="49" t="s">
        <v>2605</v>
      </c>
      <c r="B28" s="6" t="s">
        <v>2606</v>
      </c>
      <c r="C28" s="12" t="s">
        <v>2568</v>
      </c>
      <c r="D28" s="176" t="s">
        <v>2730</v>
      </c>
      <c r="E28" s="174" t="s">
        <v>2607</v>
      </c>
    </row>
    <row r="29" spans="1:5">
      <c r="A29" s="49" t="s">
        <v>2608</v>
      </c>
      <c r="B29" s="6" t="s">
        <v>2609</v>
      </c>
      <c r="C29" s="12" t="s">
        <v>2568</v>
      </c>
      <c r="D29" s="176" t="s">
        <v>2730</v>
      </c>
      <c r="E29" s="174"/>
    </row>
    <row r="30" spans="1:5">
      <c r="A30" s="49" t="s">
        <v>2610</v>
      </c>
      <c r="B30" s="6" t="s">
        <v>2611</v>
      </c>
      <c r="C30" s="12" t="s">
        <v>2568</v>
      </c>
      <c r="D30" s="176" t="s">
        <v>2730</v>
      </c>
      <c r="E30" s="174" t="s">
        <v>2612</v>
      </c>
    </row>
    <row r="31" spans="1:5">
      <c r="A31" s="49" t="s">
        <v>2613</v>
      </c>
      <c r="B31" s="6" t="s">
        <v>2614</v>
      </c>
      <c r="C31" s="12" t="s">
        <v>2568</v>
      </c>
      <c r="D31" s="176" t="s">
        <v>2730</v>
      </c>
      <c r="E31" s="174"/>
    </row>
    <row r="32" spans="1:5">
      <c r="A32" s="49" t="s">
        <v>2615</v>
      </c>
      <c r="B32" s="6" t="s">
        <v>2616</v>
      </c>
      <c r="C32" s="12" t="s">
        <v>2568</v>
      </c>
      <c r="D32" s="176" t="s">
        <v>2730</v>
      </c>
      <c r="E32" s="174"/>
    </row>
    <row r="33" spans="1:9">
      <c r="A33" s="281" t="s">
        <v>2617</v>
      </c>
      <c r="B33" s="282" t="s">
        <v>2618</v>
      </c>
      <c r="C33" s="283" t="s">
        <v>4869</v>
      </c>
      <c r="D33" s="284" t="s">
        <v>2730</v>
      </c>
      <c r="E33" s="285" t="s">
        <v>4870</v>
      </c>
      <c r="F33" s="234"/>
      <c r="G33" s="234"/>
      <c r="H33" s="234"/>
      <c r="I33" s="234"/>
    </row>
    <row r="34" spans="1:9">
      <c r="A34" s="281" t="s">
        <v>2619</v>
      </c>
      <c r="B34" s="282" t="s">
        <v>2620</v>
      </c>
      <c r="C34" s="283" t="s">
        <v>4869</v>
      </c>
      <c r="D34" s="284" t="s">
        <v>2730</v>
      </c>
      <c r="E34" s="285" t="s">
        <v>4871</v>
      </c>
      <c r="F34" s="234"/>
      <c r="G34" s="234"/>
      <c r="H34" s="234"/>
      <c r="I34" s="234"/>
    </row>
    <row r="35" spans="1:9">
      <c r="A35" s="49" t="s">
        <v>2621</v>
      </c>
      <c r="B35" s="6" t="s">
        <v>2622</v>
      </c>
      <c r="C35" s="12" t="s">
        <v>2568</v>
      </c>
      <c r="D35" s="176" t="s">
        <v>2730</v>
      </c>
      <c r="E35" s="174"/>
    </row>
    <row r="36" spans="1:9">
      <c r="A36" s="49" t="s">
        <v>2623</v>
      </c>
      <c r="B36" s="6" t="s">
        <v>2624</v>
      </c>
      <c r="C36" s="12" t="s">
        <v>2568</v>
      </c>
      <c r="D36" s="176" t="s">
        <v>2730</v>
      </c>
      <c r="E36" s="174"/>
    </row>
    <row r="37" spans="1:9">
      <c r="A37" s="49" t="s">
        <v>2625</v>
      </c>
      <c r="B37" s="6" t="s">
        <v>2626</v>
      </c>
      <c r="C37" s="12" t="s">
        <v>2568</v>
      </c>
      <c r="D37" s="176" t="s">
        <v>2729</v>
      </c>
      <c r="E37" s="174"/>
    </row>
    <row r="38" spans="1:9">
      <c r="A38" s="49" t="s">
        <v>2627</v>
      </c>
      <c r="B38" s="6" t="s">
        <v>2628</v>
      </c>
      <c r="C38" s="12" t="s">
        <v>2568</v>
      </c>
      <c r="D38" s="176" t="s">
        <v>2629</v>
      </c>
      <c r="E38" s="174" t="s">
        <v>2630</v>
      </c>
    </row>
    <row r="39" spans="1:9">
      <c r="A39" s="49" t="s">
        <v>2631</v>
      </c>
      <c r="B39" s="6" t="s">
        <v>2632</v>
      </c>
      <c r="C39" s="12" t="s">
        <v>2568</v>
      </c>
      <c r="D39" s="176" t="s">
        <v>2731</v>
      </c>
      <c r="E39" s="174"/>
    </row>
    <row r="40" spans="1:9">
      <c r="A40" s="49" t="s">
        <v>2633</v>
      </c>
      <c r="B40" s="6" t="s">
        <v>2634</v>
      </c>
      <c r="C40" s="12" t="s">
        <v>2568</v>
      </c>
      <c r="D40" s="176" t="s">
        <v>2731</v>
      </c>
      <c r="E40" s="174"/>
    </row>
    <row r="41" spans="1:9">
      <c r="A41" s="49" t="s">
        <v>2635</v>
      </c>
      <c r="B41" s="6" t="s">
        <v>2636</v>
      </c>
      <c r="C41" s="12" t="s">
        <v>2637</v>
      </c>
      <c r="D41" s="176" t="s">
        <v>2731</v>
      </c>
      <c r="E41" s="174" t="s">
        <v>2638</v>
      </c>
    </row>
    <row r="42" spans="1:9">
      <c r="A42" s="49" t="s">
        <v>2639</v>
      </c>
      <c r="B42" s="6" t="s">
        <v>2640</v>
      </c>
      <c r="C42" s="12" t="s">
        <v>2568</v>
      </c>
      <c r="D42" s="176" t="s">
        <v>2731</v>
      </c>
      <c r="E42" s="174"/>
    </row>
    <row r="43" spans="1:9">
      <c r="A43" s="49" t="s">
        <v>2641</v>
      </c>
      <c r="B43" s="6" t="s">
        <v>2642</v>
      </c>
      <c r="C43" s="12" t="s">
        <v>2568</v>
      </c>
      <c r="D43" s="176" t="s">
        <v>2731</v>
      </c>
      <c r="E43" s="174"/>
    </row>
    <row r="44" spans="1:9">
      <c r="A44" s="49" t="s">
        <v>2643</v>
      </c>
      <c r="B44" s="6" t="s">
        <v>2644</v>
      </c>
      <c r="C44" s="12" t="s">
        <v>2568</v>
      </c>
      <c r="D44" s="176" t="s">
        <v>2645</v>
      </c>
      <c r="E44" s="174" t="s">
        <v>2646</v>
      </c>
    </row>
    <row r="45" spans="1:9">
      <c r="A45" s="49" t="s">
        <v>2647</v>
      </c>
      <c r="B45" s="6" t="s">
        <v>2648</v>
      </c>
      <c r="C45" s="12" t="s">
        <v>2649</v>
      </c>
      <c r="D45" s="176" t="s">
        <v>2732</v>
      </c>
      <c r="E45" s="174" t="s">
        <v>2650</v>
      </c>
    </row>
    <row r="46" spans="1:9">
      <c r="A46" s="49" t="s">
        <v>2651</v>
      </c>
      <c r="B46" s="6" t="s">
        <v>2652</v>
      </c>
      <c r="C46" s="12" t="s">
        <v>2568</v>
      </c>
      <c r="D46" s="176" t="s">
        <v>2645</v>
      </c>
      <c r="E46" s="174" t="s">
        <v>2653</v>
      </c>
    </row>
    <row r="47" spans="1:9">
      <c r="A47" s="49" t="s">
        <v>2654</v>
      </c>
      <c r="B47" s="6" t="s">
        <v>2655</v>
      </c>
      <c r="C47" s="12" t="s">
        <v>2568</v>
      </c>
      <c r="D47" s="176" t="s">
        <v>2732</v>
      </c>
      <c r="E47" s="174"/>
    </row>
    <row r="48" spans="1:9">
      <c r="A48" s="49" t="s">
        <v>2656</v>
      </c>
      <c r="B48" s="6" t="s">
        <v>2657</v>
      </c>
      <c r="C48" s="12" t="s">
        <v>2568</v>
      </c>
      <c r="D48" s="176" t="s">
        <v>2732</v>
      </c>
      <c r="E48" s="174" t="s">
        <v>2658</v>
      </c>
    </row>
    <row r="49" spans="1:9">
      <c r="A49" s="49" t="s">
        <v>2659</v>
      </c>
      <c r="B49" s="6" t="s">
        <v>2660</v>
      </c>
      <c r="C49" s="12" t="s">
        <v>2568</v>
      </c>
      <c r="D49" s="176" t="s">
        <v>2732</v>
      </c>
      <c r="E49" s="174"/>
    </row>
    <row r="50" spans="1:9">
      <c r="A50" s="49" t="s">
        <v>2661</v>
      </c>
      <c r="B50" s="6" t="s">
        <v>2662</v>
      </c>
      <c r="C50" s="12" t="s">
        <v>2568</v>
      </c>
      <c r="D50" s="176" t="s">
        <v>2732</v>
      </c>
      <c r="E50" s="174"/>
    </row>
    <row r="51" spans="1:9">
      <c r="A51" s="49" t="s">
        <v>2663</v>
      </c>
      <c r="B51" s="6" t="s">
        <v>2664</v>
      </c>
      <c r="C51" s="12" t="s">
        <v>2568</v>
      </c>
      <c r="D51" s="176" t="s">
        <v>2732</v>
      </c>
      <c r="E51" s="174"/>
    </row>
    <row r="52" spans="1:9">
      <c r="A52" s="49" t="s">
        <v>2665</v>
      </c>
      <c r="B52" s="6" t="s">
        <v>2666</v>
      </c>
      <c r="C52" s="12" t="s">
        <v>2568</v>
      </c>
      <c r="D52" s="176" t="s">
        <v>2732</v>
      </c>
      <c r="E52" s="174"/>
    </row>
    <row r="53" spans="1:9">
      <c r="A53" s="49" t="s">
        <v>2667</v>
      </c>
      <c r="B53" s="6" t="s">
        <v>2668</v>
      </c>
      <c r="C53" s="12" t="s">
        <v>2568</v>
      </c>
      <c r="D53" s="176" t="s">
        <v>2732</v>
      </c>
      <c r="E53" s="174"/>
    </row>
    <row r="54" spans="1:9">
      <c r="A54" s="49" t="s">
        <v>2669</v>
      </c>
      <c r="B54" s="6" t="s">
        <v>2670</v>
      </c>
      <c r="C54" s="12" t="s">
        <v>2568</v>
      </c>
      <c r="D54" s="176" t="s">
        <v>2732</v>
      </c>
      <c r="E54" s="174"/>
    </row>
    <row r="55" spans="1:9">
      <c r="A55" s="49" t="s">
        <v>2671</v>
      </c>
      <c r="B55" s="6" t="s">
        <v>2672</v>
      </c>
      <c r="C55" s="12" t="s">
        <v>2568</v>
      </c>
      <c r="D55" s="176" t="s">
        <v>2732</v>
      </c>
      <c r="E55" s="174"/>
    </row>
    <row r="56" spans="1:9">
      <c r="A56" s="49" t="s">
        <v>2673</v>
      </c>
      <c r="B56" s="6" t="s">
        <v>2674</v>
      </c>
      <c r="C56" s="12" t="s">
        <v>2568</v>
      </c>
      <c r="D56" s="176" t="s">
        <v>2645</v>
      </c>
      <c r="E56" s="174" t="s">
        <v>2675</v>
      </c>
    </row>
    <row r="57" spans="1:9">
      <c r="A57" s="286" t="s">
        <v>2676</v>
      </c>
      <c r="B57" s="274" t="s">
        <v>2677</v>
      </c>
      <c r="C57" s="277" t="s">
        <v>2637</v>
      </c>
      <c r="D57" s="287" t="s">
        <v>2732</v>
      </c>
      <c r="E57" s="288" t="s">
        <v>4872</v>
      </c>
      <c r="F57" s="227"/>
      <c r="G57" s="227"/>
      <c r="H57" s="227"/>
      <c r="I57" s="227"/>
    </row>
    <row r="58" spans="1:9">
      <c r="A58" s="49" t="s">
        <v>2678</v>
      </c>
      <c r="B58" s="6" t="s">
        <v>2679</v>
      </c>
      <c r="C58" s="12" t="s">
        <v>2568</v>
      </c>
      <c r="D58" s="176" t="s">
        <v>2732</v>
      </c>
      <c r="E58" s="174"/>
    </row>
    <row r="59" spans="1:9">
      <c r="A59" s="49" t="s">
        <v>2680</v>
      </c>
      <c r="B59" s="6" t="s">
        <v>2681</v>
      </c>
      <c r="C59" s="12" t="s">
        <v>2568</v>
      </c>
      <c r="D59" s="176" t="s">
        <v>2733</v>
      </c>
      <c r="E59" s="174" t="s">
        <v>2682</v>
      </c>
    </row>
    <row r="60" spans="1:9">
      <c r="A60" s="49" t="s">
        <v>2683</v>
      </c>
      <c r="B60" s="6" t="s">
        <v>2684</v>
      </c>
      <c r="C60" s="12" t="s">
        <v>2685</v>
      </c>
      <c r="D60" s="176" t="s">
        <v>2734</v>
      </c>
      <c r="E60" s="174" t="s">
        <v>2686</v>
      </c>
    </row>
    <row r="61" spans="1:9">
      <c r="A61" s="49" t="s">
        <v>2687</v>
      </c>
      <c r="B61" s="6" t="s">
        <v>2688</v>
      </c>
      <c r="C61" s="12" t="s">
        <v>2689</v>
      </c>
      <c r="D61" s="176" t="s">
        <v>2690</v>
      </c>
      <c r="E61" s="174" t="s">
        <v>2691</v>
      </c>
    </row>
    <row r="62" spans="1:9">
      <c r="A62" s="49" t="s">
        <v>2692</v>
      </c>
      <c r="B62" s="6" t="s">
        <v>2693</v>
      </c>
      <c r="C62" s="12" t="s">
        <v>2568</v>
      </c>
      <c r="D62" s="176" t="s">
        <v>2735</v>
      </c>
      <c r="E62" s="174" t="s">
        <v>2694</v>
      </c>
    </row>
    <row r="63" spans="1:9">
      <c r="A63" s="49" t="s">
        <v>2695</v>
      </c>
      <c r="B63" s="6" t="s">
        <v>2696</v>
      </c>
      <c r="C63" s="12" t="s">
        <v>2557</v>
      </c>
      <c r="D63" s="176" t="s">
        <v>2736</v>
      </c>
      <c r="E63" s="174" t="s">
        <v>2697</v>
      </c>
    </row>
    <row r="64" spans="1:9">
      <c r="A64" s="49" t="s">
        <v>2698</v>
      </c>
      <c r="B64" s="6" t="s">
        <v>2699</v>
      </c>
      <c r="C64" s="12" t="s">
        <v>2568</v>
      </c>
      <c r="D64" s="176" t="s">
        <v>2735</v>
      </c>
      <c r="E64" s="174" t="s">
        <v>2700</v>
      </c>
    </row>
    <row r="65" spans="1:5">
      <c r="A65" s="49" t="s">
        <v>2701</v>
      </c>
      <c r="B65" s="6" t="s">
        <v>2702</v>
      </c>
      <c r="C65" s="12" t="s">
        <v>2568</v>
      </c>
      <c r="D65" s="176" t="s">
        <v>2737</v>
      </c>
      <c r="E65" s="174" t="s">
        <v>2703</v>
      </c>
    </row>
    <row r="66" spans="1:5">
      <c r="A66" s="49" t="s">
        <v>2704</v>
      </c>
      <c r="B66" s="6" t="s">
        <v>2705</v>
      </c>
      <c r="C66" s="12" t="s">
        <v>2557</v>
      </c>
      <c r="D66" s="176" t="s">
        <v>2706</v>
      </c>
      <c r="E66" s="174" t="s">
        <v>2707</v>
      </c>
    </row>
    <row r="67" spans="1:5">
      <c r="A67" s="49" t="s">
        <v>2708</v>
      </c>
      <c r="B67" s="6" t="s">
        <v>2709</v>
      </c>
      <c r="C67" s="12" t="s">
        <v>2568</v>
      </c>
      <c r="D67" s="176" t="s">
        <v>2710</v>
      </c>
      <c r="E67" s="174" t="s">
        <v>2711</v>
      </c>
    </row>
    <row r="68" spans="1:5">
      <c r="A68" s="49" t="s">
        <v>2712</v>
      </c>
      <c r="B68" s="6" t="s">
        <v>2713</v>
      </c>
      <c r="C68" s="12" t="s">
        <v>2568</v>
      </c>
      <c r="D68" s="176" t="s">
        <v>2738</v>
      </c>
      <c r="E68" s="174" t="s">
        <v>2714</v>
      </c>
    </row>
    <row r="69" spans="1:5">
      <c r="A69" s="49" t="s">
        <v>2501</v>
      </c>
      <c r="B69" s="6" t="s">
        <v>2715</v>
      </c>
      <c r="C69" s="12" t="s">
        <v>2568</v>
      </c>
      <c r="D69" s="176" t="s">
        <v>2739</v>
      </c>
      <c r="E69" s="174" t="s">
        <v>2716</v>
      </c>
    </row>
    <row r="70" spans="1:5">
      <c r="A70" s="49" t="s">
        <v>1436</v>
      </c>
      <c r="B70" s="6" t="s">
        <v>1463</v>
      </c>
      <c r="C70" s="12" t="s">
        <v>2568</v>
      </c>
      <c r="D70" s="176" t="s">
        <v>2740</v>
      </c>
      <c r="E70" s="174" t="s">
        <v>2717</v>
      </c>
    </row>
    <row r="71" spans="1:5">
      <c r="A71" s="49" t="s">
        <v>1437</v>
      </c>
      <c r="B71" s="6" t="s">
        <v>1438</v>
      </c>
      <c r="C71" s="12" t="s">
        <v>2568</v>
      </c>
      <c r="D71" s="176" t="s">
        <v>2740</v>
      </c>
      <c r="E71" s="174" t="s">
        <v>2718</v>
      </c>
    </row>
    <row r="72" spans="1:5">
      <c r="A72" s="50" t="s">
        <v>1439</v>
      </c>
      <c r="B72" s="8" t="s">
        <v>1440</v>
      </c>
      <c r="C72" s="13" t="s">
        <v>2568</v>
      </c>
      <c r="D72" s="177" t="s">
        <v>2740</v>
      </c>
      <c r="E72" s="175" t="s">
        <v>2719</v>
      </c>
    </row>
  </sheetData>
  <autoFilter ref="A5:E72" xr:uid="{A4DEADF9-EFAE-A14D-BC4F-3F04ADDCB1E4}"/>
  <phoneticPr fontId="2"/>
  <conditionalFormatting sqref="A6:E72">
    <cfRule type="expression" dxfId="90" priority="1">
      <formula>$C6="Accepted"</formula>
    </cfRule>
  </conditionalFormatting>
  <conditionalFormatting sqref="A6:E72">
    <cfRule type="expression" dxfId="89" priority="2">
      <formula>$C6="Accepted (Phase 1)"</formula>
    </cfRule>
  </conditionalFormatting>
  <conditionalFormatting sqref="A6:E72">
    <cfRule type="expression" dxfId="88" priority="3">
      <formula>$C6="Accepted（条件付き）"</formula>
    </cfRule>
  </conditionalFormatting>
  <conditionalFormatting sqref="A6:E72">
    <cfRule type="expression" dxfId="87" priority="4">
      <formula>$C6="Scope Reduced"</formula>
    </cfRule>
  </conditionalFormatting>
  <conditionalFormatting sqref="A6:E72">
    <cfRule type="expression" dxfId="86" priority="5">
      <formula>$C6="Out of Scope"</formula>
    </cfRule>
  </conditionalFormatting>
  <conditionalFormatting sqref="A6:E72">
    <cfRule type="expression" dxfId="85"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O418"/>
  <sheetViews>
    <sheetView tabSelected="1" topLeftCell="E1" zoomScale="133" zoomScaleNormal="100" workbookViewId="0">
      <pane ySplit="6" topLeftCell="A229" activePane="bottomLeft" state="frozen"/>
      <selection pane="bottomLeft" activeCell="F187" sqref="F187"/>
    </sheetView>
  </sheetViews>
  <sheetFormatPr baseColWidth="10" defaultRowHeight="17"/>
  <cols>
    <col min="1" max="1" width="12.5703125" style="371" customWidth="1"/>
    <col min="2" max="2" width="10" style="371" customWidth="1"/>
    <col min="3" max="3" width="17.140625" style="371" customWidth="1"/>
    <col min="4" max="4" width="32.85546875" style="371" customWidth="1"/>
    <col min="5" max="6" width="47.140625" style="371" customWidth="1"/>
    <col min="7" max="7" width="7.42578125" style="371" customWidth="1"/>
    <col min="8" max="8" width="21.42578125" style="371" customWidth="1"/>
    <col min="9" max="9" width="15.7109375" style="371" customWidth="1"/>
    <col min="10" max="10" width="10" style="371" customWidth="1"/>
    <col min="11" max="11" width="15.7109375" style="371" customWidth="1"/>
    <col min="12" max="12" width="10" style="371" customWidth="1"/>
    <col min="13" max="13" width="14.28515625" style="371" customWidth="1"/>
    <col min="14" max="14" width="12.85546875" style="371" customWidth="1"/>
    <col min="15" max="15" width="28.5703125" style="371" customWidth="1"/>
    <col min="16" max="16" width="24.28515625" style="371" customWidth="1"/>
    <col min="17" max="16384" width="10.7109375" style="371"/>
  </cols>
  <sheetData>
    <row r="1" spans="1:15">
      <c r="A1" s="62" t="s">
        <v>7191</v>
      </c>
      <c r="B1" s="63"/>
      <c r="C1" s="63"/>
      <c r="D1" s="63"/>
      <c r="E1" s="63"/>
      <c r="F1" s="63"/>
      <c r="G1" s="63"/>
      <c r="H1" s="63"/>
    </row>
    <row r="2" spans="1:15">
      <c r="A2" s="75" t="s">
        <v>7192</v>
      </c>
      <c r="B2" s="63"/>
      <c r="C2" s="63"/>
      <c r="D2" s="63"/>
      <c r="E2" s="63"/>
      <c r="F2" s="63"/>
      <c r="G2" s="63"/>
      <c r="H2" s="63"/>
    </row>
    <row r="3" spans="1:15">
      <c r="A3" s="372" t="s">
        <v>7193</v>
      </c>
      <c r="B3" s="63"/>
      <c r="C3" s="63"/>
      <c r="D3" s="63"/>
      <c r="E3" s="63"/>
      <c r="F3" s="63"/>
      <c r="G3" s="63"/>
      <c r="H3" s="63"/>
    </row>
    <row r="4" spans="1:15">
      <c r="A4" s="373" t="s">
        <v>7000</v>
      </c>
      <c r="B4" s="63"/>
      <c r="C4" s="63"/>
      <c r="D4" s="63"/>
      <c r="E4" s="63"/>
      <c r="F4" s="63"/>
      <c r="G4" s="63"/>
      <c r="H4" s="63"/>
    </row>
    <row r="5" spans="1:15">
      <c r="A5" s="80" t="s">
        <v>7199</v>
      </c>
      <c r="B5" s="63"/>
      <c r="C5" s="63"/>
      <c r="D5" s="63"/>
      <c r="E5" s="63"/>
      <c r="F5" s="63"/>
      <c r="G5" s="63"/>
      <c r="H5" s="63"/>
    </row>
    <row r="6" spans="1:15">
      <c r="A6" s="374" t="s">
        <v>9</v>
      </c>
      <c r="B6" s="375" t="s">
        <v>2755</v>
      </c>
      <c r="C6" s="375" t="s">
        <v>6372</v>
      </c>
      <c r="D6" s="375" t="s">
        <v>6373</v>
      </c>
      <c r="E6" s="375" t="s">
        <v>10</v>
      </c>
      <c r="F6" s="375" t="s">
        <v>7210</v>
      </c>
      <c r="G6" s="375" t="s">
        <v>2530</v>
      </c>
      <c r="H6" s="375" t="s">
        <v>7211</v>
      </c>
      <c r="I6" s="376" t="s">
        <v>5326</v>
      </c>
      <c r="J6" s="376" t="s">
        <v>666</v>
      </c>
      <c r="K6" s="376" t="s">
        <v>6598</v>
      </c>
      <c r="L6" s="376" t="s">
        <v>4875</v>
      </c>
      <c r="M6" s="376" t="s">
        <v>665</v>
      </c>
      <c r="N6" s="377" t="s">
        <v>7004</v>
      </c>
      <c r="O6" s="378" t="s">
        <v>7005</v>
      </c>
    </row>
    <row r="7" spans="1:15" ht="42" customHeight="1">
      <c r="A7" s="379" t="s">
        <v>5327</v>
      </c>
      <c r="B7" s="380" t="s">
        <v>527</v>
      </c>
      <c r="C7" s="380" t="s">
        <v>6374</v>
      </c>
      <c r="D7" s="381" t="s">
        <v>6375</v>
      </c>
      <c r="E7" s="381" t="s">
        <v>7828</v>
      </c>
      <c r="F7" s="382" t="s">
        <v>7829</v>
      </c>
      <c r="G7" s="383">
        <v>5</v>
      </c>
      <c r="H7" s="384" t="s">
        <v>7212</v>
      </c>
      <c r="I7" s="385" t="s">
        <v>5328</v>
      </c>
      <c r="J7" s="385" t="s">
        <v>4</v>
      </c>
      <c r="K7" s="385"/>
      <c r="L7" s="385"/>
      <c r="M7" s="385"/>
      <c r="N7" s="386"/>
      <c r="O7" s="387"/>
    </row>
    <row r="8" spans="1:15" ht="42" customHeight="1">
      <c r="A8" s="379" t="s">
        <v>5329</v>
      </c>
      <c r="B8" s="380" t="s">
        <v>527</v>
      </c>
      <c r="C8" s="380" t="s">
        <v>6374</v>
      </c>
      <c r="D8" s="381" t="s">
        <v>6376</v>
      </c>
      <c r="E8" s="381" t="s">
        <v>7830</v>
      </c>
      <c r="F8" s="382" t="s">
        <v>7831</v>
      </c>
      <c r="G8" s="383">
        <v>4</v>
      </c>
      <c r="H8" s="384" t="s">
        <v>7212</v>
      </c>
      <c r="I8" s="385" t="s">
        <v>5327</v>
      </c>
      <c r="J8" s="385" t="s">
        <v>4</v>
      </c>
      <c r="K8" s="385"/>
      <c r="L8" s="385"/>
      <c r="M8" s="385"/>
      <c r="N8" s="386"/>
      <c r="O8" s="387"/>
    </row>
    <row r="9" spans="1:15" ht="42" customHeight="1">
      <c r="A9" s="379" t="s">
        <v>5330</v>
      </c>
      <c r="B9" s="380" t="s">
        <v>527</v>
      </c>
      <c r="C9" s="380" t="s">
        <v>6374</v>
      </c>
      <c r="D9" s="381" t="s">
        <v>6377</v>
      </c>
      <c r="E9" s="381" t="s">
        <v>7832</v>
      </c>
      <c r="F9" s="382" t="s">
        <v>7833</v>
      </c>
      <c r="G9" s="383">
        <v>4</v>
      </c>
      <c r="H9" s="384" t="s">
        <v>7212</v>
      </c>
      <c r="I9" s="385" t="s">
        <v>5327</v>
      </c>
      <c r="J9" s="385" t="s">
        <v>4</v>
      </c>
      <c r="K9" s="385"/>
      <c r="L9" s="385"/>
      <c r="M9" s="385"/>
      <c r="N9" s="386"/>
      <c r="O9" s="387"/>
    </row>
    <row r="10" spans="1:15" ht="42" customHeight="1">
      <c r="A10" s="379" t="s">
        <v>5331</v>
      </c>
      <c r="B10" s="380" t="s">
        <v>527</v>
      </c>
      <c r="C10" s="380" t="s">
        <v>6374</v>
      </c>
      <c r="D10" s="381" t="s">
        <v>6378</v>
      </c>
      <c r="E10" s="381" t="s">
        <v>7834</v>
      </c>
      <c r="F10" s="382" t="s">
        <v>7835</v>
      </c>
      <c r="G10" s="383">
        <v>4</v>
      </c>
      <c r="H10" s="384" t="s">
        <v>7212</v>
      </c>
      <c r="I10" s="385" t="s">
        <v>5327</v>
      </c>
      <c r="J10" s="385" t="s">
        <v>4</v>
      </c>
      <c r="K10" s="385"/>
      <c r="L10" s="385"/>
      <c r="M10" s="385"/>
      <c r="N10" s="386"/>
      <c r="O10" s="387"/>
    </row>
    <row r="11" spans="1:15" ht="42" customHeight="1">
      <c r="A11" s="379" t="s">
        <v>5332</v>
      </c>
      <c r="B11" s="380" t="s">
        <v>527</v>
      </c>
      <c r="C11" s="380" t="s">
        <v>6374</v>
      </c>
      <c r="D11" s="381" t="s">
        <v>6379</v>
      </c>
      <c r="E11" s="381" t="s">
        <v>7836</v>
      </c>
      <c r="F11" s="382" t="s">
        <v>7837</v>
      </c>
      <c r="G11" s="383">
        <v>3</v>
      </c>
      <c r="H11" s="384" t="s">
        <v>7212</v>
      </c>
      <c r="I11" s="385" t="s">
        <v>5331</v>
      </c>
      <c r="J11" s="385" t="s">
        <v>4</v>
      </c>
      <c r="K11" s="385"/>
      <c r="L11" s="385"/>
      <c r="M11" s="385"/>
      <c r="N11" s="386"/>
      <c r="O11" s="387"/>
    </row>
    <row r="12" spans="1:15" ht="42" customHeight="1">
      <c r="A12" s="379" t="s">
        <v>5333</v>
      </c>
      <c r="B12" s="380" t="s">
        <v>527</v>
      </c>
      <c r="C12" s="380" t="s">
        <v>6374</v>
      </c>
      <c r="D12" s="381" t="s">
        <v>6380</v>
      </c>
      <c r="E12" s="381" t="s">
        <v>7838</v>
      </c>
      <c r="F12" s="382" t="s">
        <v>7839</v>
      </c>
      <c r="G12" s="383">
        <v>2</v>
      </c>
      <c r="H12" s="384" t="s">
        <v>7212</v>
      </c>
      <c r="I12" s="385" t="s">
        <v>5334</v>
      </c>
      <c r="J12" s="385" t="s">
        <v>4</v>
      </c>
      <c r="K12" s="385"/>
      <c r="L12" s="385"/>
      <c r="M12" s="385"/>
      <c r="N12" s="386"/>
      <c r="O12" s="387"/>
    </row>
    <row r="13" spans="1:15" ht="42" customHeight="1">
      <c r="A13" s="379" t="s">
        <v>5335</v>
      </c>
      <c r="B13" s="380" t="s">
        <v>527</v>
      </c>
      <c r="C13" s="380" t="s">
        <v>6374</v>
      </c>
      <c r="D13" s="381" t="s">
        <v>6381</v>
      </c>
      <c r="E13" s="381" t="s">
        <v>7840</v>
      </c>
      <c r="F13" s="382" t="s">
        <v>7841</v>
      </c>
      <c r="G13" s="383">
        <v>3</v>
      </c>
      <c r="H13" s="384" t="s">
        <v>7212</v>
      </c>
      <c r="I13" s="385" t="s">
        <v>5336</v>
      </c>
      <c r="J13" s="385" t="s">
        <v>4</v>
      </c>
      <c r="K13" s="385"/>
      <c r="L13" s="385"/>
      <c r="M13" s="385"/>
      <c r="N13" s="386"/>
      <c r="O13" s="387"/>
    </row>
    <row r="14" spans="1:15" ht="42" customHeight="1">
      <c r="A14" s="379" t="s">
        <v>5337</v>
      </c>
      <c r="B14" s="380" t="s">
        <v>527</v>
      </c>
      <c r="C14" s="380" t="s">
        <v>6382</v>
      </c>
      <c r="D14" s="381" t="s">
        <v>6383</v>
      </c>
      <c r="E14" s="381" t="s">
        <v>7842</v>
      </c>
      <c r="F14" s="382" t="s">
        <v>7843</v>
      </c>
      <c r="G14" s="383">
        <v>2</v>
      </c>
      <c r="H14" s="384" t="s">
        <v>7213</v>
      </c>
      <c r="I14" s="385" t="s">
        <v>5338</v>
      </c>
      <c r="J14" s="385" t="s">
        <v>4</v>
      </c>
      <c r="K14" s="385"/>
      <c r="L14" s="385"/>
      <c r="M14" s="385"/>
      <c r="N14" s="386"/>
      <c r="O14" s="387"/>
    </row>
    <row r="15" spans="1:15" ht="42" customHeight="1">
      <c r="A15" s="379" t="s">
        <v>5339</v>
      </c>
      <c r="B15" s="380" t="s">
        <v>527</v>
      </c>
      <c r="C15" s="380" t="s">
        <v>6382</v>
      </c>
      <c r="D15" s="381" t="s">
        <v>6384</v>
      </c>
      <c r="E15" s="381" t="s">
        <v>7844</v>
      </c>
      <c r="F15" s="382" t="s">
        <v>7845</v>
      </c>
      <c r="G15" s="383">
        <v>3</v>
      </c>
      <c r="H15" s="384" t="s">
        <v>7213</v>
      </c>
      <c r="I15" s="385" t="s">
        <v>5337</v>
      </c>
      <c r="J15" s="385" t="s">
        <v>4</v>
      </c>
      <c r="K15" s="385"/>
      <c r="L15" s="385"/>
      <c r="M15" s="385"/>
      <c r="N15" s="386"/>
      <c r="O15" s="387"/>
    </row>
    <row r="16" spans="1:15" ht="42" customHeight="1">
      <c r="A16" s="379" t="s">
        <v>5340</v>
      </c>
      <c r="B16" s="380" t="s">
        <v>527</v>
      </c>
      <c r="C16" s="380" t="s">
        <v>6382</v>
      </c>
      <c r="D16" s="381" t="s">
        <v>6385</v>
      </c>
      <c r="E16" s="381" t="s">
        <v>7846</v>
      </c>
      <c r="F16" s="382" t="s">
        <v>7847</v>
      </c>
      <c r="G16" s="383">
        <v>2</v>
      </c>
      <c r="H16" s="384" t="s">
        <v>7213</v>
      </c>
      <c r="I16" s="385" t="s">
        <v>5339</v>
      </c>
      <c r="J16" s="385" t="s">
        <v>4</v>
      </c>
      <c r="K16" s="385"/>
      <c r="L16" s="385"/>
      <c r="M16" s="385"/>
      <c r="N16" s="386"/>
      <c r="O16" s="387"/>
    </row>
    <row r="17" spans="1:15" ht="42" customHeight="1">
      <c r="A17" s="379" t="s">
        <v>5341</v>
      </c>
      <c r="B17" s="380" t="s">
        <v>527</v>
      </c>
      <c r="C17" s="380" t="s">
        <v>6382</v>
      </c>
      <c r="D17" s="381" t="s">
        <v>6386</v>
      </c>
      <c r="E17" s="381" t="s">
        <v>7848</v>
      </c>
      <c r="F17" s="382" t="s">
        <v>7849</v>
      </c>
      <c r="G17" s="383">
        <v>2</v>
      </c>
      <c r="H17" s="384" t="s">
        <v>7213</v>
      </c>
      <c r="I17" s="385" t="s">
        <v>5337</v>
      </c>
      <c r="J17" s="385" t="s">
        <v>4</v>
      </c>
      <c r="K17" s="385"/>
      <c r="L17" s="385"/>
      <c r="M17" s="385"/>
      <c r="N17" s="386"/>
      <c r="O17" s="387"/>
    </row>
    <row r="18" spans="1:15" ht="42" customHeight="1">
      <c r="A18" s="379" t="s">
        <v>5342</v>
      </c>
      <c r="B18" s="380" t="s">
        <v>527</v>
      </c>
      <c r="C18" s="380" t="s">
        <v>6382</v>
      </c>
      <c r="D18" s="381" t="s">
        <v>6387</v>
      </c>
      <c r="E18" s="381" t="s">
        <v>7850</v>
      </c>
      <c r="F18" s="382" t="s">
        <v>7851</v>
      </c>
      <c r="G18" s="383">
        <v>1</v>
      </c>
      <c r="H18" s="384" t="s">
        <v>7213</v>
      </c>
      <c r="I18" s="385" t="s">
        <v>5339</v>
      </c>
      <c r="J18" s="385" t="s">
        <v>4</v>
      </c>
      <c r="K18" s="385"/>
      <c r="L18" s="385"/>
      <c r="M18" s="385"/>
      <c r="N18" s="386"/>
      <c r="O18" s="387"/>
    </row>
    <row r="19" spans="1:15" ht="42" customHeight="1">
      <c r="A19" s="379" t="s">
        <v>5343</v>
      </c>
      <c r="B19" s="380" t="s">
        <v>527</v>
      </c>
      <c r="C19" s="380" t="s">
        <v>6388</v>
      </c>
      <c r="D19" s="381" t="s">
        <v>6389</v>
      </c>
      <c r="E19" s="381" t="s">
        <v>7852</v>
      </c>
      <c r="F19" s="382" t="s">
        <v>7853</v>
      </c>
      <c r="G19" s="383">
        <v>5</v>
      </c>
      <c r="H19" s="384" t="s">
        <v>7214</v>
      </c>
      <c r="I19" s="385" t="s">
        <v>2236</v>
      </c>
      <c r="J19" s="385" t="s">
        <v>4</v>
      </c>
      <c r="K19" s="385"/>
      <c r="L19" s="385"/>
      <c r="M19" s="385"/>
      <c r="N19" s="386"/>
      <c r="O19" s="387"/>
    </row>
    <row r="20" spans="1:15" ht="42" customHeight="1">
      <c r="A20" s="379" t="s">
        <v>5344</v>
      </c>
      <c r="B20" s="380" t="s">
        <v>527</v>
      </c>
      <c r="C20" s="380" t="s">
        <v>6388</v>
      </c>
      <c r="D20" s="381" t="s">
        <v>6390</v>
      </c>
      <c r="E20" s="381" t="s">
        <v>7854</v>
      </c>
      <c r="F20" s="382" t="s">
        <v>7855</v>
      </c>
      <c r="G20" s="383">
        <v>3</v>
      </c>
      <c r="H20" s="384" t="s">
        <v>7214</v>
      </c>
      <c r="I20" s="385" t="s">
        <v>5343</v>
      </c>
      <c r="J20" s="385" t="s">
        <v>4</v>
      </c>
      <c r="K20" s="385"/>
      <c r="L20" s="385"/>
      <c r="M20" s="385"/>
      <c r="N20" s="386"/>
      <c r="O20" s="387"/>
    </row>
    <row r="21" spans="1:15" ht="42" customHeight="1">
      <c r="A21" s="379" t="s">
        <v>5345</v>
      </c>
      <c r="B21" s="380" t="s">
        <v>527</v>
      </c>
      <c r="C21" s="380" t="s">
        <v>6388</v>
      </c>
      <c r="D21" s="381" t="s">
        <v>6391</v>
      </c>
      <c r="E21" s="381" t="s">
        <v>7856</v>
      </c>
      <c r="F21" s="382" t="s">
        <v>7857</v>
      </c>
      <c r="G21" s="383">
        <v>3</v>
      </c>
      <c r="H21" s="384" t="s">
        <v>7214</v>
      </c>
      <c r="I21" s="385" t="s">
        <v>5343</v>
      </c>
      <c r="J21" s="385" t="s">
        <v>4</v>
      </c>
      <c r="K21" s="385"/>
      <c r="L21" s="385"/>
      <c r="M21" s="385"/>
      <c r="N21" s="386"/>
      <c r="O21" s="387"/>
    </row>
    <row r="22" spans="1:15" ht="42" customHeight="1">
      <c r="A22" s="379" t="s">
        <v>5346</v>
      </c>
      <c r="B22" s="380" t="s">
        <v>527</v>
      </c>
      <c r="C22" s="380" t="s">
        <v>6388</v>
      </c>
      <c r="D22" s="381" t="s">
        <v>6392</v>
      </c>
      <c r="E22" s="381" t="s">
        <v>7858</v>
      </c>
      <c r="F22" s="382" t="s">
        <v>7859</v>
      </c>
      <c r="G22" s="383">
        <v>3</v>
      </c>
      <c r="H22" s="384" t="s">
        <v>7214</v>
      </c>
      <c r="I22" s="385" t="s">
        <v>5343</v>
      </c>
      <c r="J22" s="385" t="s">
        <v>4</v>
      </c>
      <c r="K22" s="385"/>
      <c r="L22" s="385"/>
      <c r="M22" s="385"/>
      <c r="N22" s="386"/>
      <c r="O22" s="387"/>
    </row>
    <row r="23" spans="1:15" ht="42" customHeight="1">
      <c r="A23" s="379" t="s">
        <v>5347</v>
      </c>
      <c r="B23" s="380" t="s">
        <v>527</v>
      </c>
      <c r="C23" s="380" t="s">
        <v>6388</v>
      </c>
      <c r="D23" s="381" t="s">
        <v>6393</v>
      </c>
      <c r="E23" s="381" t="s">
        <v>7860</v>
      </c>
      <c r="F23" s="382" t="s">
        <v>7861</v>
      </c>
      <c r="G23" s="383">
        <v>3</v>
      </c>
      <c r="H23" s="384" t="s">
        <v>7214</v>
      </c>
      <c r="I23" s="385" t="s">
        <v>5346</v>
      </c>
      <c r="J23" s="385" t="s">
        <v>4</v>
      </c>
      <c r="K23" s="385"/>
      <c r="L23" s="385"/>
      <c r="M23" s="385"/>
      <c r="N23" s="386"/>
      <c r="O23" s="387"/>
    </row>
    <row r="24" spans="1:15" ht="42" customHeight="1">
      <c r="A24" s="379" t="s">
        <v>5348</v>
      </c>
      <c r="B24" s="380" t="s">
        <v>527</v>
      </c>
      <c r="C24" s="380" t="s">
        <v>6388</v>
      </c>
      <c r="D24" s="381" t="s">
        <v>6394</v>
      </c>
      <c r="E24" s="381" t="s">
        <v>7862</v>
      </c>
      <c r="F24" s="382" t="s">
        <v>7863</v>
      </c>
      <c r="G24" s="383">
        <v>3</v>
      </c>
      <c r="H24" s="384" t="s">
        <v>7214</v>
      </c>
      <c r="I24" s="385" t="s">
        <v>5345</v>
      </c>
      <c r="J24" s="385" t="s">
        <v>4</v>
      </c>
      <c r="K24" s="385"/>
      <c r="L24" s="385"/>
      <c r="M24" s="385"/>
      <c r="N24" s="386"/>
      <c r="O24" s="387"/>
    </row>
    <row r="25" spans="1:15" ht="42" customHeight="1">
      <c r="A25" s="379" t="s">
        <v>536</v>
      </c>
      <c r="B25" s="380" t="s">
        <v>527</v>
      </c>
      <c r="C25" s="380" t="s">
        <v>536</v>
      </c>
      <c r="D25" s="381" t="s">
        <v>537</v>
      </c>
      <c r="E25" s="381" t="s">
        <v>7244</v>
      </c>
      <c r="F25" s="382" t="s">
        <v>7245</v>
      </c>
      <c r="G25" s="383">
        <v>0</v>
      </c>
      <c r="H25" s="384" t="s">
        <v>2236</v>
      </c>
      <c r="I25" s="385" t="s">
        <v>2236</v>
      </c>
      <c r="J25" s="385" t="s">
        <v>5349</v>
      </c>
      <c r="K25" s="385"/>
      <c r="L25" s="385"/>
      <c r="M25" s="385"/>
      <c r="N25" s="386"/>
      <c r="O25" s="387"/>
    </row>
    <row r="26" spans="1:15" ht="42" customHeight="1">
      <c r="A26" s="379" t="s">
        <v>5350</v>
      </c>
      <c r="B26" s="380" t="s">
        <v>527</v>
      </c>
      <c r="C26" s="380" t="s">
        <v>6395</v>
      </c>
      <c r="D26" s="381" t="s">
        <v>6396</v>
      </c>
      <c r="E26" s="381" t="s">
        <v>7864</v>
      </c>
      <c r="F26" s="382" t="s">
        <v>7865</v>
      </c>
      <c r="G26" s="383">
        <v>1</v>
      </c>
      <c r="H26" s="384" t="s">
        <v>7215</v>
      </c>
      <c r="I26" s="385" t="s">
        <v>2236</v>
      </c>
      <c r="J26" s="385" t="s">
        <v>4</v>
      </c>
      <c r="K26" s="385"/>
      <c r="L26" s="385"/>
      <c r="M26" s="385"/>
      <c r="N26" s="386"/>
      <c r="O26" s="387"/>
    </row>
    <row r="27" spans="1:15" ht="42" customHeight="1">
      <c r="A27" s="379" t="s">
        <v>5351</v>
      </c>
      <c r="B27" s="380" t="s">
        <v>527</v>
      </c>
      <c r="C27" s="380" t="s">
        <v>6395</v>
      </c>
      <c r="D27" s="381" t="s">
        <v>6397</v>
      </c>
      <c r="E27" s="381" t="s">
        <v>7866</v>
      </c>
      <c r="F27" s="382" t="s">
        <v>7867</v>
      </c>
      <c r="G27" s="383">
        <v>2</v>
      </c>
      <c r="H27" s="384" t="s">
        <v>7215</v>
      </c>
      <c r="I27" s="385" t="s">
        <v>5350</v>
      </c>
      <c r="J27" s="385" t="s">
        <v>4</v>
      </c>
      <c r="K27" s="385"/>
      <c r="L27" s="385"/>
      <c r="M27" s="385"/>
      <c r="N27" s="386"/>
      <c r="O27" s="387"/>
    </row>
    <row r="28" spans="1:15" ht="42" customHeight="1">
      <c r="A28" s="379" t="s">
        <v>5352</v>
      </c>
      <c r="B28" s="380" t="s">
        <v>527</v>
      </c>
      <c r="C28" s="380" t="s">
        <v>6395</v>
      </c>
      <c r="D28" s="381" t="s">
        <v>6398</v>
      </c>
      <c r="E28" s="381" t="s">
        <v>7868</v>
      </c>
      <c r="F28" s="382" t="s">
        <v>7869</v>
      </c>
      <c r="G28" s="383">
        <v>1</v>
      </c>
      <c r="H28" s="384" t="s">
        <v>7215</v>
      </c>
      <c r="I28" s="385" t="s">
        <v>5351</v>
      </c>
      <c r="J28" s="385" t="s">
        <v>4</v>
      </c>
      <c r="K28" s="385"/>
      <c r="L28" s="385"/>
      <c r="M28" s="385"/>
      <c r="N28" s="386"/>
      <c r="O28" s="387"/>
    </row>
    <row r="29" spans="1:15" ht="42" customHeight="1">
      <c r="A29" s="379" t="s">
        <v>5353</v>
      </c>
      <c r="B29" s="380" t="s">
        <v>527</v>
      </c>
      <c r="C29" s="380" t="s">
        <v>6399</v>
      </c>
      <c r="D29" s="381" t="s">
        <v>6400</v>
      </c>
      <c r="E29" s="381" t="s">
        <v>7870</v>
      </c>
      <c r="F29" s="382" t="s">
        <v>7871</v>
      </c>
      <c r="G29" s="383">
        <v>3</v>
      </c>
      <c r="H29" s="384" t="s">
        <v>7216</v>
      </c>
      <c r="I29" s="385" t="s">
        <v>5354</v>
      </c>
      <c r="J29" s="385" t="s">
        <v>4</v>
      </c>
      <c r="K29" s="385"/>
      <c r="L29" s="385"/>
      <c r="M29" s="385"/>
      <c r="N29" s="386"/>
      <c r="O29" s="387"/>
    </row>
    <row r="30" spans="1:15" ht="42" customHeight="1">
      <c r="A30" s="379" t="s">
        <v>5355</v>
      </c>
      <c r="B30" s="380" t="s">
        <v>527</v>
      </c>
      <c r="C30" s="380" t="s">
        <v>6399</v>
      </c>
      <c r="D30" s="381" t="s">
        <v>6401</v>
      </c>
      <c r="E30" s="381" t="s">
        <v>7872</v>
      </c>
      <c r="F30" s="382" t="s">
        <v>7873</v>
      </c>
      <c r="G30" s="383">
        <v>2</v>
      </c>
      <c r="H30" s="384" t="s">
        <v>7216</v>
      </c>
      <c r="I30" s="385" t="s">
        <v>5353</v>
      </c>
      <c r="J30" s="385" t="s">
        <v>4</v>
      </c>
      <c r="K30" s="385"/>
      <c r="L30" s="385"/>
      <c r="M30" s="385"/>
      <c r="N30" s="386"/>
      <c r="O30" s="387"/>
    </row>
    <row r="31" spans="1:15" ht="42" customHeight="1">
      <c r="A31" s="379" t="s">
        <v>5356</v>
      </c>
      <c r="B31" s="380" t="s">
        <v>527</v>
      </c>
      <c r="C31" s="380" t="s">
        <v>6399</v>
      </c>
      <c r="D31" s="381" t="s">
        <v>6402</v>
      </c>
      <c r="E31" s="381" t="s">
        <v>7874</v>
      </c>
      <c r="F31" s="382" t="s">
        <v>7875</v>
      </c>
      <c r="G31" s="383">
        <v>2</v>
      </c>
      <c r="H31" s="384" t="s">
        <v>7216</v>
      </c>
      <c r="I31" s="385" t="s">
        <v>5353</v>
      </c>
      <c r="J31" s="385" t="s">
        <v>4</v>
      </c>
      <c r="K31" s="385"/>
      <c r="L31" s="385"/>
      <c r="M31" s="385"/>
      <c r="N31" s="386"/>
      <c r="O31" s="387"/>
    </row>
    <row r="32" spans="1:15" ht="42" customHeight="1">
      <c r="A32" s="379" t="s">
        <v>5357</v>
      </c>
      <c r="B32" s="380" t="s">
        <v>527</v>
      </c>
      <c r="C32" s="380" t="s">
        <v>6399</v>
      </c>
      <c r="D32" s="381" t="s">
        <v>6381</v>
      </c>
      <c r="E32" s="381" t="s">
        <v>7876</v>
      </c>
      <c r="F32" s="382" t="s">
        <v>7877</v>
      </c>
      <c r="G32" s="383">
        <v>1</v>
      </c>
      <c r="H32" s="384" t="s">
        <v>7216</v>
      </c>
      <c r="I32" s="385" t="s">
        <v>5356</v>
      </c>
      <c r="J32" s="385" t="s">
        <v>4</v>
      </c>
      <c r="K32" s="385"/>
      <c r="L32" s="385"/>
      <c r="M32" s="385"/>
      <c r="N32" s="386"/>
      <c r="O32" s="387"/>
    </row>
    <row r="33" spans="1:15" ht="42" customHeight="1">
      <c r="A33" s="379" t="s">
        <v>5358</v>
      </c>
      <c r="B33" s="380" t="s">
        <v>527</v>
      </c>
      <c r="C33" s="380" t="s">
        <v>6403</v>
      </c>
      <c r="D33" s="381" t="s">
        <v>6404</v>
      </c>
      <c r="E33" s="381" t="s">
        <v>7878</v>
      </c>
      <c r="F33" s="382" t="s">
        <v>7879</v>
      </c>
      <c r="G33" s="383">
        <v>1.5</v>
      </c>
      <c r="H33" s="384" t="s">
        <v>2236</v>
      </c>
      <c r="I33" s="385" t="s">
        <v>2236</v>
      </c>
      <c r="J33" s="385" t="s">
        <v>4</v>
      </c>
      <c r="K33" s="385"/>
      <c r="L33" s="385"/>
      <c r="M33" s="385"/>
      <c r="N33" s="386"/>
      <c r="O33" s="387"/>
    </row>
    <row r="34" spans="1:15" ht="42" customHeight="1">
      <c r="A34" s="379" t="s">
        <v>5359</v>
      </c>
      <c r="B34" s="380" t="s">
        <v>527</v>
      </c>
      <c r="C34" s="380" t="s">
        <v>6403</v>
      </c>
      <c r="D34" s="381" t="s">
        <v>6405</v>
      </c>
      <c r="E34" s="381" t="s">
        <v>7880</v>
      </c>
      <c r="F34" s="382" t="s">
        <v>7881</v>
      </c>
      <c r="G34" s="383">
        <v>1.5</v>
      </c>
      <c r="H34" s="384" t="s">
        <v>2236</v>
      </c>
      <c r="I34" s="385" t="s">
        <v>5358</v>
      </c>
      <c r="J34" s="385" t="s">
        <v>4</v>
      </c>
      <c r="K34" s="385"/>
      <c r="L34" s="385"/>
      <c r="M34" s="385"/>
      <c r="N34" s="386"/>
      <c r="O34" s="387"/>
    </row>
    <row r="35" spans="1:15" ht="42" customHeight="1">
      <c r="A35" s="379" t="s">
        <v>544</v>
      </c>
      <c r="B35" s="380" t="s">
        <v>527</v>
      </c>
      <c r="C35" s="380" t="s">
        <v>544</v>
      </c>
      <c r="D35" s="381" t="s">
        <v>5360</v>
      </c>
      <c r="E35" s="381" t="s">
        <v>7882</v>
      </c>
      <c r="F35" s="382" t="s">
        <v>7883</v>
      </c>
      <c r="G35" s="383">
        <v>2</v>
      </c>
      <c r="H35" s="384" t="s">
        <v>6734</v>
      </c>
      <c r="I35" s="385" t="s">
        <v>5361</v>
      </c>
      <c r="J35" s="385" t="s">
        <v>4</v>
      </c>
      <c r="K35" s="385"/>
      <c r="L35" s="385"/>
      <c r="M35" s="385"/>
      <c r="N35" s="386"/>
      <c r="O35" s="387"/>
    </row>
    <row r="36" spans="1:15" ht="42" customHeight="1">
      <c r="A36" s="379" t="s">
        <v>546</v>
      </c>
      <c r="B36" s="380" t="s">
        <v>527</v>
      </c>
      <c r="C36" s="380" t="s">
        <v>546</v>
      </c>
      <c r="D36" s="381" t="s">
        <v>5362</v>
      </c>
      <c r="E36" s="381" t="s">
        <v>7884</v>
      </c>
      <c r="F36" s="382" t="s">
        <v>7885</v>
      </c>
      <c r="G36" s="383">
        <v>2</v>
      </c>
      <c r="H36" s="384" t="s">
        <v>6960</v>
      </c>
      <c r="I36" s="385" t="s">
        <v>2236</v>
      </c>
      <c r="J36" s="385" t="s">
        <v>4</v>
      </c>
      <c r="K36" s="385"/>
      <c r="L36" s="385"/>
      <c r="M36" s="385"/>
      <c r="N36" s="386"/>
      <c r="O36" s="387"/>
    </row>
    <row r="37" spans="1:15" ht="42" customHeight="1">
      <c r="A37" s="379" t="s">
        <v>5363</v>
      </c>
      <c r="B37" s="380" t="s">
        <v>527</v>
      </c>
      <c r="C37" s="380" t="s">
        <v>6406</v>
      </c>
      <c r="D37" s="381" t="s">
        <v>6407</v>
      </c>
      <c r="E37" s="381" t="s">
        <v>7886</v>
      </c>
      <c r="F37" s="382" t="s">
        <v>7887</v>
      </c>
      <c r="G37" s="383">
        <v>3</v>
      </c>
      <c r="H37" s="384" t="s">
        <v>7217</v>
      </c>
      <c r="I37" s="385" t="s">
        <v>5361</v>
      </c>
      <c r="J37" s="385" t="s">
        <v>4</v>
      </c>
      <c r="K37" s="385"/>
      <c r="L37" s="385"/>
      <c r="M37" s="385"/>
      <c r="N37" s="386"/>
      <c r="O37" s="387"/>
    </row>
    <row r="38" spans="1:15" ht="42" customHeight="1">
      <c r="A38" s="379" t="s">
        <v>5364</v>
      </c>
      <c r="B38" s="380" t="s">
        <v>527</v>
      </c>
      <c r="C38" s="380" t="s">
        <v>6406</v>
      </c>
      <c r="D38" s="381" t="s">
        <v>6408</v>
      </c>
      <c r="E38" s="381" t="s">
        <v>7888</v>
      </c>
      <c r="F38" s="382" t="s">
        <v>7889</v>
      </c>
      <c r="G38" s="383">
        <v>3</v>
      </c>
      <c r="H38" s="384" t="s">
        <v>7217</v>
      </c>
      <c r="I38" s="385" t="s">
        <v>5363</v>
      </c>
      <c r="J38" s="385" t="s">
        <v>4</v>
      </c>
      <c r="K38" s="385"/>
      <c r="L38" s="385"/>
      <c r="M38" s="385"/>
      <c r="N38" s="386"/>
      <c r="O38" s="387"/>
    </row>
    <row r="39" spans="1:15" ht="42" customHeight="1">
      <c r="A39" s="379" t="s">
        <v>550</v>
      </c>
      <c r="B39" s="380" t="s">
        <v>527</v>
      </c>
      <c r="C39" s="380" t="s">
        <v>550</v>
      </c>
      <c r="D39" s="381" t="s">
        <v>5365</v>
      </c>
      <c r="E39" s="381" t="s">
        <v>7890</v>
      </c>
      <c r="F39" s="382" t="s">
        <v>7891</v>
      </c>
      <c r="G39" s="383">
        <v>2</v>
      </c>
      <c r="H39" s="384" t="s">
        <v>2236</v>
      </c>
      <c r="I39" s="385" t="s">
        <v>2236</v>
      </c>
      <c r="J39" s="385" t="s">
        <v>4</v>
      </c>
      <c r="K39" s="385"/>
      <c r="L39" s="385"/>
      <c r="M39" s="385"/>
      <c r="N39" s="386"/>
      <c r="O39" s="387"/>
    </row>
    <row r="40" spans="1:15" ht="42" customHeight="1">
      <c r="A40" s="379" t="s">
        <v>5366</v>
      </c>
      <c r="B40" s="380" t="s">
        <v>527</v>
      </c>
      <c r="C40" s="380" t="s">
        <v>6409</v>
      </c>
      <c r="D40" s="381" t="s">
        <v>6410</v>
      </c>
      <c r="E40" s="381" t="s">
        <v>7892</v>
      </c>
      <c r="F40" s="382" t="s">
        <v>7893</v>
      </c>
      <c r="G40" s="383">
        <v>2</v>
      </c>
      <c r="H40" s="384" t="s">
        <v>7218</v>
      </c>
      <c r="I40" s="385" t="s">
        <v>2236</v>
      </c>
      <c r="J40" s="385" t="s">
        <v>4</v>
      </c>
      <c r="K40" s="385"/>
      <c r="L40" s="385"/>
      <c r="M40" s="385"/>
      <c r="N40" s="386"/>
      <c r="O40" s="387"/>
    </row>
    <row r="41" spans="1:15" ht="42" customHeight="1">
      <c r="A41" s="379" t="s">
        <v>5367</v>
      </c>
      <c r="B41" s="380" t="s">
        <v>527</v>
      </c>
      <c r="C41" s="380" t="s">
        <v>6409</v>
      </c>
      <c r="D41" s="381" t="s">
        <v>6411</v>
      </c>
      <c r="E41" s="381" t="s">
        <v>7894</v>
      </c>
      <c r="F41" s="382" t="s">
        <v>7895</v>
      </c>
      <c r="G41" s="383">
        <v>2</v>
      </c>
      <c r="H41" s="384" t="s">
        <v>7218</v>
      </c>
      <c r="I41" s="385" t="s">
        <v>5366</v>
      </c>
      <c r="J41" s="385" t="s">
        <v>4</v>
      </c>
      <c r="K41" s="385"/>
      <c r="L41" s="385"/>
      <c r="M41" s="385"/>
      <c r="N41" s="386"/>
      <c r="O41" s="387"/>
    </row>
    <row r="42" spans="1:15" ht="42" customHeight="1">
      <c r="A42" s="379" t="s">
        <v>5368</v>
      </c>
      <c r="B42" s="380" t="s">
        <v>527</v>
      </c>
      <c r="C42" s="380" t="s">
        <v>6409</v>
      </c>
      <c r="D42" s="381" t="s">
        <v>6412</v>
      </c>
      <c r="E42" s="381" t="s">
        <v>7896</v>
      </c>
      <c r="F42" s="382" t="s">
        <v>7897</v>
      </c>
      <c r="G42" s="383">
        <v>2</v>
      </c>
      <c r="H42" s="384" t="s">
        <v>7218</v>
      </c>
      <c r="I42" s="385" t="s">
        <v>5367</v>
      </c>
      <c r="J42" s="385" t="s">
        <v>4</v>
      </c>
      <c r="K42" s="385"/>
      <c r="L42" s="385"/>
      <c r="M42" s="385"/>
      <c r="N42" s="386"/>
      <c r="O42" s="387"/>
    </row>
    <row r="43" spans="1:15" ht="42" customHeight="1">
      <c r="A43" s="379" t="s">
        <v>5369</v>
      </c>
      <c r="B43" s="380" t="s">
        <v>527</v>
      </c>
      <c r="C43" s="380" t="s">
        <v>5369</v>
      </c>
      <c r="D43" s="381" t="s">
        <v>5370</v>
      </c>
      <c r="E43" s="381" t="s">
        <v>7898</v>
      </c>
      <c r="F43" s="382" t="s">
        <v>7899</v>
      </c>
      <c r="G43" s="383">
        <v>3</v>
      </c>
      <c r="H43" s="384" t="s">
        <v>7219</v>
      </c>
      <c r="I43" s="385" t="s">
        <v>5371</v>
      </c>
      <c r="J43" s="385" t="s">
        <v>4</v>
      </c>
      <c r="K43" s="385"/>
      <c r="L43" s="385"/>
      <c r="M43" s="385"/>
      <c r="N43" s="386"/>
      <c r="O43" s="387"/>
    </row>
    <row r="44" spans="1:15" ht="42" customHeight="1">
      <c r="A44" s="379" t="s">
        <v>5372</v>
      </c>
      <c r="B44" s="380" t="s">
        <v>527</v>
      </c>
      <c r="C44" s="380" t="s">
        <v>5372</v>
      </c>
      <c r="D44" s="381" t="s">
        <v>5373</v>
      </c>
      <c r="E44" s="381" t="s">
        <v>7900</v>
      </c>
      <c r="F44" s="382" t="s">
        <v>7901</v>
      </c>
      <c r="G44" s="383">
        <v>4</v>
      </c>
      <c r="H44" s="384" t="s">
        <v>6963</v>
      </c>
      <c r="I44" s="385" t="s">
        <v>2236</v>
      </c>
      <c r="J44" s="385" t="s">
        <v>4</v>
      </c>
      <c r="K44" s="385"/>
      <c r="L44" s="385"/>
      <c r="M44" s="385"/>
      <c r="N44" s="386"/>
      <c r="O44" s="387"/>
    </row>
    <row r="45" spans="1:15" ht="42" customHeight="1">
      <c r="A45" s="379" t="s">
        <v>5374</v>
      </c>
      <c r="B45" s="380" t="s">
        <v>527</v>
      </c>
      <c r="C45" s="380" t="s">
        <v>5374</v>
      </c>
      <c r="D45" s="381" t="s">
        <v>5375</v>
      </c>
      <c r="E45" s="381" t="s">
        <v>7902</v>
      </c>
      <c r="F45" s="382" t="s">
        <v>7903</v>
      </c>
      <c r="G45" s="383">
        <v>3</v>
      </c>
      <c r="H45" s="384" t="s">
        <v>2236</v>
      </c>
      <c r="I45" s="385" t="s">
        <v>5376</v>
      </c>
      <c r="J45" s="385" t="s">
        <v>4</v>
      </c>
      <c r="K45" s="385"/>
      <c r="L45" s="385"/>
      <c r="M45" s="385"/>
      <c r="N45" s="386"/>
      <c r="O45" s="387"/>
    </row>
    <row r="46" spans="1:15" ht="42" customHeight="1">
      <c r="A46" s="379" t="s">
        <v>5377</v>
      </c>
      <c r="B46" s="380" t="s">
        <v>555</v>
      </c>
      <c r="C46" s="380" t="s">
        <v>556</v>
      </c>
      <c r="D46" s="381" t="s">
        <v>5378</v>
      </c>
      <c r="E46" s="381" t="s">
        <v>7904</v>
      </c>
      <c r="F46" s="382" t="s">
        <v>7905</v>
      </c>
      <c r="G46" s="383">
        <v>4</v>
      </c>
      <c r="H46" s="384" t="s">
        <v>2236</v>
      </c>
      <c r="I46" s="385" t="s">
        <v>5379</v>
      </c>
      <c r="J46" s="385" t="s">
        <v>4</v>
      </c>
      <c r="K46" s="385"/>
      <c r="L46" s="385"/>
      <c r="M46" s="385"/>
      <c r="N46" s="386"/>
      <c r="O46" s="387"/>
    </row>
    <row r="47" spans="1:15" ht="42" customHeight="1">
      <c r="A47" s="379" t="s">
        <v>5380</v>
      </c>
      <c r="B47" s="380" t="s">
        <v>555</v>
      </c>
      <c r="C47" s="380" t="s">
        <v>556</v>
      </c>
      <c r="D47" s="381" t="s">
        <v>5381</v>
      </c>
      <c r="E47" s="381" t="s">
        <v>7906</v>
      </c>
      <c r="F47" s="382" t="s">
        <v>7907</v>
      </c>
      <c r="G47" s="383">
        <v>3</v>
      </c>
      <c r="H47" s="384" t="s">
        <v>2236</v>
      </c>
      <c r="I47" s="385" t="s">
        <v>5377</v>
      </c>
      <c r="J47" s="385" t="s">
        <v>4</v>
      </c>
      <c r="K47" s="385"/>
      <c r="L47" s="385"/>
      <c r="M47" s="385"/>
      <c r="N47" s="386"/>
      <c r="O47" s="387"/>
    </row>
    <row r="48" spans="1:15" ht="42" customHeight="1">
      <c r="A48" s="379" t="s">
        <v>5382</v>
      </c>
      <c r="B48" s="380" t="s">
        <v>555</v>
      </c>
      <c r="C48" s="380" t="s">
        <v>556</v>
      </c>
      <c r="D48" s="381" t="s">
        <v>5383</v>
      </c>
      <c r="E48" s="381" t="s">
        <v>7908</v>
      </c>
      <c r="F48" s="382" t="s">
        <v>7909</v>
      </c>
      <c r="G48" s="383">
        <v>5</v>
      </c>
      <c r="H48" s="384" t="s">
        <v>2236</v>
      </c>
      <c r="I48" s="385" t="s">
        <v>5380</v>
      </c>
      <c r="J48" s="385" t="s">
        <v>4</v>
      </c>
      <c r="K48" s="385"/>
      <c r="L48" s="385"/>
      <c r="M48" s="385"/>
      <c r="N48" s="386"/>
      <c r="O48" s="387"/>
    </row>
    <row r="49" spans="1:15" ht="42" customHeight="1">
      <c r="A49" s="379" t="s">
        <v>5384</v>
      </c>
      <c r="B49" s="380" t="s">
        <v>555</v>
      </c>
      <c r="C49" s="380" t="s">
        <v>559</v>
      </c>
      <c r="D49" s="381" t="s">
        <v>5385</v>
      </c>
      <c r="E49" s="381" t="s">
        <v>7910</v>
      </c>
      <c r="F49" s="382" t="s">
        <v>7911</v>
      </c>
      <c r="G49" s="383">
        <v>3</v>
      </c>
      <c r="H49" s="384" t="s">
        <v>7220</v>
      </c>
      <c r="I49" s="385" t="s">
        <v>2236</v>
      </c>
      <c r="J49" s="385" t="s">
        <v>4</v>
      </c>
      <c r="K49" s="385"/>
      <c r="L49" s="385"/>
      <c r="M49" s="385"/>
      <c r="N49" s="386"/>
      <c r="O49" s="387"/>
    </row>
    <row r="50" spans="1:15" ht="42" customHeight="1">
      <c r="A50" s="379" t="s">
        <v>5386</v>
      </c>
      <c r="B50" s="380" t="s">
        <v>555</v>
      </c>
      <c r="C50" s="380" t="s">
        <v>559</v>
      </c>
      <c r="D50" s="381" t="s">
        <v>5387</v>
      </c>
      <c r="E50" s="381" t="s">
        <v>7912</v>
      </c>
      <c r="F50" s="382" t="s">
        <v>7913</v>
      </c>
      <c r="G50" s="383">
        <v>2</v>
      </c>
      <c r="H50" s="384" t="s">
        <v>7220</v>
      </c>
      <c r="I50" s="385" t="s">
        <v>5384</v>
      </c>
      <c r="J50" s="385" t="s">
        <v>4</v>
      </c>
      <c r="K50" s="385"/>
      <c r="L50" s="385"/>
      <c r="M50" s="385"/>
      <c r="N50" s="386"/>
      <c r="O50" s="387"/>
    </row>
    <row r="51" spans="1:15" ht="42" customHeight="1">
      <c r="A51" s="379" t="s">
        <v>561</v>
      </c>
      <c r="B51" s="380" t="s">
        <v>555</v>
      </c>
      <c r="C51" s="380" t="s">
        <v>561</v>
      </c>
      <c r="D51" s="381" t="s">
        <v>5388</v>
      </c>
      <c r="E51" s="381" t="s">
        <v>7914</v>
      </c>
      <c r="F51" s="382" t="s">
        <v>7915</v>
      </c>
      <c r="G51" s="383">
        <v>2</v>
      </c>
      <c r="H51" s="384" t="s">
        <v>2236</v>
      </c>
      <c r="I51" s="385" t="s">
        <v>5389</v>
      </c>
      <c r="J51" s="385" t="s">
        <v>4</v>
      </c>
      <c r="K51" s="385"/>
      <c r="L51" s="385"/>
      <c r="M51" s="385"/>
      <c r="N51" s="386"/>
      <c r="O51" s="387"/>
    </row>
    <row r="52" spans="1:15" ht="42" customHeight="1">
      <c r="A52" s="379" t="s">
        <v>5390</v>
      </c>
      <c r="B52" s="380" t="s">
        <v>555</v>
      </c>
      <c r="C52" s="380" t="s">
        <v>563</v>
      </c>
      <c r="D52" s="381" t="s">
        <v>5391</v>
      </c>
      <c r="E52" s="381" t="s">
        <v>7916</v>
      </c>
      <c r="F52" s="382" t="s">
        <v>7917</v>
      </c>
      <c r="G52" s="383">
        <v>1</v>
      </c>
      <c r="H52" s="384" t="s">
        <v>2236</v>
      </c>
      <c r="I52" s="385" t="s">
        <v>5377</v>
      </c>
      <c r="J52" s="385" t="s">
        <v>4</v>
      </c>
      <c r="K52" s="385"/>
      <c r="L52" s="385"/>
      <c r="M52" s="385"/>
      <c r="N52" s="386"/>
      <c r="O52" s="387"/>
    </row>
    <row r="53" spans="1:15" ht="42" customHeight="1">
      <c r="A53" s="379" t="s">
        <v>5392</v>
      </c>
      <c r="B53" s="380" t="s">
        <v>555</v>
      </c>
      <c r="C53" s="380" t="s">
        <v>563</v>
      </c>
      <c r="D53" s="381" t="s">
        <v>5393</v>
      </c>
      <c r="E53" s="381" t="s">
        <v>7918</v>
      </c>
      <c r="F53" s="382" t="s">
        <v>7919</v>
      </c>
      <c r="G53" s="383">
        <v>2</v>
      </c>
      <c r="H53" s="384" t="s">
        <v>2236</v>
      </c>
      <c r="I53" s="385" t="s">
        <v>5394</v>
      </c>
      <c r="J53" s="385" t="s">
        <v>4</v>
      </c>
      <c r="K53" s="385"/>
      <c r="L53" s="385"/>
      <c r="M53" s="385"/>
      <c r="N53" s="386"/>
      <c r="O53" s="387"/>
    </row>
    <row r="54" spans="1:15" ht="42" customHeight="1">
      <c r="A54" s="379" t="s">
        <v>565</v>
      </c>
      <c r="B54" s="380" t="s">
        <v>555</v>
      </c>
      <c r="C54" s="380" t="s">
        <v>565</v>
      </c>
      <c r="D54" s="381" t="s">
        <v>5395</v>
      </c>
      <c r="E54" s="381" t="s">
        <v>7920</v>
      </c>
      <c r="F54" s="382" t="s">
        <v>7921</v>
      </c>
      <c r="G54" s="383">
        <v>1</v>
      </c>
      <c r="H54" s="384" t="s">
        <v>2236</v>
      </c>
      <c r="I54" s="385" t="s">
        <v>5377</v>
      </c>
      <c r="J54" s="385" t="s">
        <v>4</v>
      </c>
      <c r="K54" s="385"/>
      <c r="L54" s="385"/>
      <c r="M54" s="385"/>
      <c r="N54" s="386"/>
      <c r="O54" s="387"/>
    </row>
    <row r="55" spans="1:15" ht="42" customHeight="1">
      <c r="A55" s="379" t="s">
        <v>5396</v>
      </c>
      <c r="B55" s="380" t="s">
        <v>567</v>
      </c>
      <c r="C55" s="380" t="s">
        <v>6413</v>
      </c>
      <c r="D55" s="381" t="s">
        <v>6414</v>
      </c>
      <c r="E55" s="381" t="s">
        <v>7922</v>
      </c>
      <c r="F55" s="382" t="s">
        <v>7923</v>
      </c>
      <c r="G55" s="383">
        <v>1.5</v>
      </c>
      <c r="H55" s="384" t="s">
        <v>2762</v>
      </c>
      <c r="I55" s="385" t="s">
        <v>2236</v>
      </c>
      <c r="J55" s="385" t="s">
        <v>4</v>
      </c>
      <c r="K55" s="385"/>
      <c r="L55" s="385"/>
      <c r="M55" s="385"/>
      <c r="N55" s="386"/>
      <c r="O55" s="387"/>
    </row>
    <row r="56" spans="1:15" ht="42" customHeight="1">
      <c r="A56" s="379" t="s">
        <v>5397</v>
      </c>
      <c r="B56" s="380" t="s">
        <v>567</v>
      </c>
      <c r="C56" s="380" t="s">
        <v>6413</v>
      </c>
      <c r="D56" s="381" t="s">
        <v>6415</v>
      </c>
      <c r="E56" s="381" t="s">
        <v>7924</v>
      </c>
      <c r="F56" s="382" t="s">
        <v>7925</v>
      </c>
      <c r="G56" s="383">
        <v>1</v>
      </c>
      <c r="H56" s="384" t="s">
        <v>2762</v>
      </c>
      <c r="I56" s="385" t="s">
        <v>2236</v>
      </c>
      <c r="J56" s="385" t="s">
        <v>4</v>
      </c>
      <c r="K56" s="385"/>
      <c r="L56" s="385"/>
      <c r="M56" s="385"/>
      <c r="N56" s="386"/>
      <c r="O56" s="387"/>
    </row>
    <row r="57" spans="1:15" ht="42" customHeight="1">
      <c r="A57" s="379" t="s">
        <v>5398</v>
      </c>
      <c r="B57" s="380" t="s">
        <v>567</v>
      </c>
      <c r="C57" s="380" t="s">
        <v>6413</v>
      </c>
      <c r="D57" s="381" t="s">
        <v>6416</v>
      </c>
      <c r="E57" s="381" t="s">
        <v>7926</v>
      </c>
      <c r="F57" s="382" t="s">
        <v>7927</v>
      </c>
      <c r="G57" s="383">
        <v>1.5</v>
      </c>
      <c r="H57" s="384" t="s">
        <v>2762</v>
      </c>
      <c r="I57" s="385" t="s">
        <v>2236</v>
      </c>
      <c r="J57" s="385" t="s">
        <v>4</v>
      </c>
      <c r="K57" s="385"/>
      <c r="L57" s="385"/>
      <c r="M57" s="385"/>
      <c r="N57" s="386"/>
      <c r="O57" s="387"/>
    </row>
    <row r="58" spans="1:15" ht="42" customHeight="1">
      <c r="A58" s="379" t="s">
        <v>571</v>
      </c>
      <c r="B58" s="380" t="s">
        <v>567</v>
      </c>
      <c r="C58" s="380" t="s">
        <v>571</v>
      </c>
      <c r="D58" s="381" t="s">
        <v>5399</v>
      </c>
      <c r="E58" s="381" t="s">
        <v>7928</v>
      </c>
      <c r="F58" s="382" t="s">
        <v>7929</v>
      </c>
      <c r="G58" s="383">
        <v>2</v>
      </c>
      <c r="H58" s="384" t="s">
        <v>2236</v>
      </c>
      <c r="I58" s="385" t="s">
        <v>2236</v>
      </c>
      <c r="J58" s="385" t="s">
        <v>4</v>
      </c>
      <c r="K58" s="385"/>
      <c r="L58" s="385"/>
      <c r="M58" s="385"/>
      <c r="N58" s="386"/>
      <c r="O58" s="387"/>
    </row>
    <row r="59" spans="1:15" ht="42" customHeight="1">
      <c r="A59" s="379" t="s">
        <v>573</v>
      </c>
      <c r="B59" s="380" t="s">
        <v>567</v>
      </c>
      <c r="C59" s="380" t="s">
        <v>573</v>
      </c>
      <c r="D59" s="381" t="s">
        <v>5400</v>
      </c>
      <c r="E59" s="381" t="s">
        <v>7930</v>
      </c>
      <c r="F59" s="382" t="s">
        <v>7931</v>
      </c>
      <c r="G59" s="383">
        <v>4</v>
      </c>
      <c r="H59" s="384" t="s">
        <v>2236</v>
      </c>
      <c r="I59" s="385" t="s">
        <v>2236</v>
      </c>
      <c r="J59" s="385" t="s">
        <v>4</v>
      </c>
      <c r="K59" s="385"/>
      <c r="L59" s="385"/>
      <c r="M59" s="385"/>
      <c r="N59" s="386"/>
      <c r="O59" s="387"/>
    </row>
    <row r="60" spans="1:15" ht="42" customHeight="1">
      <c r="A60" s="379" t="s">
        <v>575</v>
      </c>
      <c r="B60" s="380" t="s">
        <v>567</v>
      </c>
      <c r="C60" s="380" t="s">
        <v>575</v>
      </c>
      <c r="D60" s="381" t="s">
        <v>5401</v>
      </c>
      <c r="E60" s="381" t="s">
        <v>7932</v>
      </c>
      <c r="F60" s="382" t="s">
        <v>7933</v>
      </c>
      <c r="G60" s="383">
        <v>1</v>
      </c>
      <c r="H60" s="384" t="s">
        <v>2236</v>
      </c>
      <c r="I60" s="385" t="s">
        <v>2236</v>
      </c>
      <c r="J60" s="385" t="s">
        <v>4</v>
      </c>
      <c r="K60" s="385"/>
      <c r="L60" s="385"/>
      <c r="M60" s="385"/>
      <c r="N60" s="386"/>
      <c r="O60" s="387"/>
    </row>
    <row r="61" spans="1:15" ht="42" customHeight="1">
      <c r="A61" s="379" t="s">
        <v>577</v>
      </c>
      <c r="B61" s="380" t="s">
        <v>567</v>
      </c>
      <c r="C61" s="380" t="s">
        <v>577</v>
      </c>
      <c r="D61" s="381" t="s">
        <v>5402</v>
      </c>
      <c r="E61" s="381" t="s">
        <v>7934</v>
      </c>
      <c r="F61" s="382" t="s">
        <v>7935</v>
      </c>
      <c r="G61" s="383">
        <v>2</v>
      </c>
      <c r="H61" s="384" t="s">
        <v>2236</v>
      </c>
      <c r="I61" s="385" t="s">
        <v>2236</v>
      </c>
      <c r="J61" s="385" t="s">
        <v>4</v>
      </c>
      <c r="K61" s="385"/>
      <c r="L61" s="385"/>
      <c r="M61" s="385"/>
      <c r="N61" s="386"/>
      <c r="O61" s="387"/>
    </row>
    <row r="62" spans="1:15" ht="42" customHeight="1">
      <c r="A62" s="379" t="s">
        <v>579</v>
      </c>
      <c r="B62" s="380" t="s">
        <v>567</v>
      </c>
      <c r="C62" s="380" t="s">
        <v>579</v>
      </c>
      <c r="D62" s="381" t="s">
        <v>5403</v>
      </c>
      <c r="E62" s="381" t="s">
        <v>7936</v>
      </c>
      <c r="F62" s="382" t="s">
        <v>7937</v>
      </c>
      <c r="G62" s="383">
        <v>1</v>
      </c>
      <c r="H62" s="384" t="s">
        <v>2236</v>
      </c>
      <c r="I62" s="385" t="s">
        <v>2236</v>
      </c>
      <c r="J62" s="385" t="s">
        <v>4</v>
      </c>
      <c r="K62" s="385"/>
      <c r="L62" s="385"/>
      <c r="M62" s="385"/>
      <c r="N62" s="386"/>
      <c r="O62" s="387"/>
    </row>
    <row r="63" spans="1:15" ht="42" customHeight="1">
      <c r="A63" s="379" t="s">
        <v>581</v>
      </c>
      <c r="B63" s="380" t="s">
        <v>567</v>
      </c>
      <c r="C63" s="380" t="s">
        <v>581</v>
      </c>
      <c r="D63" s="381" t="s">
        <v>582</v>
      </c>
      <c r="E63" s="381" t="s">
        <v>7938</v>
      </c>
      <c r="F63" s="382" t="s">
        <v>7939</v>
      </c>
      <c r="G63" s="383">
        <v>2</v>
      </c>
      <c r="H63" s="384" t="s">
        <v>2236</v>
      </c>
      <c r="I63" s="385" t="s">
        <v>2236</v>
      </c>
      <c r="J63" s="385" t="s">
        <v>4</v>
      </c>
      <c r="K63" s="385"/>
      <c r="L63" s="385"/>
      <c r="M63" s="385"/>
      <c r="N63" s="386"/>
      <c r="O63" s="387"/>
    </row>
    <row r="64" spans="1:15" ht="42" customHeight="1">
      <c r="A64" s="379" t="s">
        <v>583</v>
      </c>
      <c r="B64" s="380" t="s">
        <v>567</v>
      </c>
      <c r="C64" s="380" t="s">
        <v>583</v>
      </c>
      <c r="D64" s="381" t="s">
        <v>5404</v>
      </c>
      <c r="E64" s="381" t="s">
        <v>7940</v>
      </c>
      <c r="F64" s="382" t="s">
        <v>7941</v>
      </c>
      <c r="G64" s="383">
        <v>1</v>
      </c>
      <c r="H64" s="384" t="s">
        <v>2236</v>
      </c>
      <c r="I64" s="385" t="s">
        <v>2236</v>
      </c>
      <c r="J64" s="385" t="s">
        <v>4</v>
      </c>
      <c r="K64" s="385"/>
      <c r="L64" s="385"/>
      <c r="M64" s="385"/>
      <c r="N64" s="386"/>
      <c r="O64" s="387"/>
    </row>
    <row r="65" spans="1:15" ht="42" customHeight="1">
      <c r="A65" s="379" t="s">
        <v>5405</v>
      </c>
      <c r="B65" s="380" t="s">
        <v>567</v>
      </c>
      <c r="C65" s="380" t="s">
        <v>5405</v>
      </c>
      <c r="D65" s="381" t="s">
        <v>5406</v>
      </c>
      <c r="E65" s="381" t="s">
        <v>7942</v>
      </c>
      <c r="F65" s="382" t="s">
        <v>7943</v>
      </c>
      <c r="G65" s="383">
        <v>3</v>
      </c>
      <c r="H65" s="384" t="s">
        <v>2236</v>
      </c>
      <c r="I65" s="385" t="s">
        <v>5407</v>
      </c>
      <c r="J65" s="385" t="s">
        <v>4</v>
      </c>
      <c r="K65" s="385"/>
      <c r="L65" s="385"/>
      <c r="M65" s="385"/>
      <c r="N65" s="386"/>
      <c r="O65" s="387"/>
    </row>
    <row r="66" spans="1:15" ht="42" customHeight="1">
      <c r="A66" s="379" t="s">
        <v>5408</v>
      </c>
      <c r="B66" s="380" t="s">
        <v>567</v>
      </c>
      <c r="C66" s="380" t="s">
        <v>5408</v>
      </c>
      <c r="D66" s="381" t="s">
        <v>5409</v>
      </c>
      <c r="E66" s="381" t="s">
        <v>7944</v>
      </c>
      <c r="F66" s="382" t="s">
        <v>7945</v>
      </c>
      <c r="G66" s="383">
        <v>2</v>
      </c>
      <c r="H66" s="384" t="s">
        <v>2236</v>
      </c>
      <c r="I66" s="385" t="s">
        <v>5405</v>
      </c>
      <c r="J66" s="385" t="s">
        <v>4</v>
      </c>
      <c r="K66" s="385"/>
      <c r="L66" s="385"/>
      <c r="M66" s="385"/>
      <c r="N66" s="386"/>
      <c r="O66" s="387"/>
    </row>
    <row r="67" spans="1:15" ht="42" customHeight="1">
      <c r="A67" s="379" t="s">
        <v>6719</v>
      </c>
      <c r="B67" s="380" t="s">
        <v>567</v>
      </c>
      <c r="C67" s="380" t="s">
        <v>6720</v>
      </c>
      <c r="D67" s="381" t="s">
        <v>6721</v>
      </c>
      <c r="E67" s="381" t="s">
        <v>7946</v>
      </c>
      <c r="F67" s="382" t="s">
        <v>7947</v>
      </c>
      <c r="G67" s="383">
        <v>1</v>
      </c>
      <c r="H67" s="384" t="s">
        <v>2236</v>
      </c>
      <c r="I67" s="385" t="s">
        <v>2236</v>
      </c>
      <c r="J67" s="385" t="s">
        <v>4</v>
      </c>
      <c r="K67" s="385"/>
      <c r="L67" s="385"/>
      <c r="M67" s="385"/>
      <c r="N67" s="386"/>
      <c r="O67" s="387"/>
    </row>
    <row r="68" spans="1:15" ht="42" customHeight="1">
      <c r="A68" s="379" t="s">
        <v>586</v>
      </c>
      <c r="B68" s="380" t="s">
        <v>585</v>
      </c>
      <c r="C68" s="380" t="s">
        <v>586</v>
      </c>
      <c r="D68" s="381" t="s">
        <v>5410</v>
      </c>
      <c r="E68" s="381" t="s">
        <v>7948</v>
      </c>
      <c r="F68" s="382" t="s">
        <v>7949</v>
      </c>
      <c r="G68" s="383">
        <v>2</v>
      </c>
      <c r="H68" s="384" t="s">
        <v>6746</v>
      </c>
      <c r="I68" s="385" t="s">
        <v>2236</v>
      </c>
      <c r="J68" s="385" t="s">
        <v>4</v>
      </c>
      <c r="K68" s="385"/>
      <c r="L68" s="385"/>
      <c r="M68" s="385"/>
      <c r="N68" s="386"/>
      <c r="O68" s="387"/>
    </row>
    <row r="69" spans="1:15" ht="42" customHeight="1">
      <c r="A69" s="379" t="s">
        <v>589</v>
      </c>
      <c r="B69" s="380" t="s">
        <v>585</v>
      </c>
      <c r="C69" s="380" t="s">
        <v>589</v>
      </c>
      <c r="D69" s="381" t="s">
        <v>5411</v>
      </c>
      <c r="E69" s="381" t="s">
        <v>7950</v>
      </c>
      <c r="F69" s="382" t="s">
        <v>7951</v>
      </c>
      <c r="G69" s="383">
        <v>3</v>
      </c>
      <c r="H69" s="384" t="s">
        <v>6783</v>
      </c>
      <c r="I69" s="385" t="s">
        <v>5412</v>
      </c>
      <c r="J69" s="385" t="s">
        <v>4</v>
      </c>
      <c r="K69" s="385"/>
      <c r="L69" s="385"/>
      <c r="M69" s="385"/>
      <c r="N69" s="386"/>
      <c r="O69" s="387"/>
    </row>
    <row r="70" spans="1:15" ht="42" customHeight="1">
      <c r="A70" s="379" t="s">
        <v>591</v>
      </c>
      <c r="B70" s="380" t="s">
        <v>585</v>
      </c>
      <c r="C70" s="380" t="s">
        <v>591</v>
      </c>
      <c r="D70" s="381" t="s">
        <v>592</v>
      </c>
      <c r="E70" s="381" t="s">
        <v>7246</v>
      </c>
      <c r="F70" s="382" t="s">
        <v>7247</v>
      </c>
      <c r="G70" s="383">
        <v>0</v>
      </c>
      <c r="H70" s="384" t="s">
        <v>2236</v>
      </c>
      <c r="I70" s="385" t="s">
        <v>2236</v>
      </c>
      <c r="J70" s="385" t="s">
        <v>5413</v>
      </c>
      <c r="K70" s="385"/>
      <c r="L70" s="385"/>
      <c r="M70" s="385"/>
      <c r="N70" s="386"/>
      <c r="O70" s="387"/>
    </row>
    <row r="71" spans="1:15" ht="42" customHeight="1">
      <c r="A71" s="379" t="s">
        <v>593</v>
      </c>
      <c r="B71" s="380" t="s">
        <v>585</v>
      </c>
      <c r="C71" s="380" t="s">
        <v>593</v>
      </c>
      <c r="D71" s="381" t="s">
        <v>5414</v>
      </c>
      <c r="E71" s="381" t="s">
        <v>7248</v>
      </c>
      <c r="F71" s="382" t="s">
        <v>7247</v>
      </c>
      <c r="G71" s="383">
        <v>0</v>
      </c>
      <c r="H71" s="384" t="s">
        <v>2236</v>
      </c>
      <c r="I71" s="385" t="s">
        <v>2236</v>
      </c>
      <c r="J71" s="385" t="s">
        <v>5413</v>
      </c>
      <c r="K71" s="385"/>
      <c r="L71" s="385"/>
      <c r="M71" s="385"/>
      <c r="N71" s="386"/>
      <c r="O71" s="387"/>
    </row>
    <row r="72" spans="1:15" ht="42" customHeight="1">
      <c r="A72" s="379" t="s">
        <v>595</v>
      </c>
      <c r="B72" s="380" t="s">
        <v>585</v>
      </c>
      <c r="C72" s="380" t="s">
        <v>595</v>
      </c>
      <c r="D72" s="381" t="s">
        <v>5415</v>
      </c>
      <c r="E72" s="381" t="s">
        <v>7952</v>
      </c>
      <c r="F72" s="382" t="s">
        <v>7953</v>
      </c>
      <c r="G72" s="383">
        <v>1</v>
      </c>
      <c r="H72" s="384" t="s">
        <v>6925</v>
      </c>
      <c r="I72" s="385" t="s">
        <v>2236</v>
      </c>
      <c r="J72" s="385" t="s">
        <v>4</v>
      </c>
      <c r="K72" s="385"/>
      <c r="L72" s="385"/>
      <c r="M72" s="385"/>
      <c r="N72" s="386"/>
      <c r="O72" s="387"/>
    </row>
    <row r="73" spans="1:15" ht="42" customHeight="1">
      <c r="A73" s="379" t="s">
        <v>597</v>
      </c>
      <c r="B73" s="380" t="s">
        <v>585</v>
      </c>
      <c r="C73" s="380" t="s">
        <v>597</v>
      </c>
      <c r="D73" s="381" t="s">
        <v>5416</v>
      </c>
      <c r="E73" s="381" t="s">
        <v>7954</v>
      </c>
      <c r="F73" s="382" t="s">
        <v>7955</v>
      </c>
      <c r="G73" s="383">
        <v>3</v>
      </c>
      <c r="H73" s="384" t="s">
        <v>6949</v>
      </c>
      <c r="I73" s="385" t="s">
        <v>2236</v>
      </c>
      <c r="J73" s="385" t="s">
        <v>4</v>
      </c>
      <c r="K73" s="385"/>
      <c r="L73" s="385"/>
      <c r="M73" s="385"/>
      <c r="N73" s="386"/>
      <c r="O73" s="387"/>
    </row>
    <row r="74" spans="1:15" ht="42" customHeight="1">
      <c r="A74" s="379" t="s">
        <v>599</v>
      </c>
      <c r="B74" s="380" t="s">
        <v>585</v>
      </c>
      <c r="C74" s="380" t="s">
        <v>599</v>
      </c>
      <c r="D74" s="381" t="s">
        <v>5417</v>
      </c>
      <c r="E74" s="381" t="s">
        <v>7956</v>
      </c>
      <c r="F74" s="382" t="s">
        <v>7957</v>
      </c>
      <c r="G74" s="383">
        <v>3</v>
      </c>
      <c r="H74" s="384" t="s">
        <v>6953</v>
      </c>
      <c r="I74" s="385" t="s">
        <v>5394</v>
      </c>
      <c r="J74" s="385" t="s">
        <v>4</v>
      </c>
      <c r="K74" s="385"/>
      <c r="L74" s="385"/>
      <c r="M74" s="385"/>
      <c r="N74" s="386"/>
      <c r="O74" s="387"/>
    </row>
    <row r="75" spans="1:15" ht="42" customHeight="1">
      <c r="A75" s="379" t="s">
        <v>601</v>
      </c>
      <c r="B75" s="380" t="s">
        <v>585</v>
      </c>
      <c r="C75" s="380" t="s">
        <v>601</v>
      </c>
      <c r="D75" s="381" t="s">
        <v>5418</v>
      </c>
      <c r="E75" s="381" t="s">
        <v>7958</v>
      </c>
      <c r="F75" s="382" t="s">
        <v>7959</v>
      </c>
      <c r="G75" s="383">
        <v>2</v>
      </c>
      <c r="H75" s="384" t="s">
        <v>6824</v>
      </c>
      <c r="I75" s="385" t="s">
        <v>2236</v>
      </c>
      <c r="J75" s="385" t="s">
        <v>4</v>
      </c>
      <c r="K75" s="385"/>
      <c r="L75" s="385"/>
      <c r="M75" s="385"/>
      <c r="N75" s="386"/>
      <c r="O75" s="387"/>
    </row>
    <row r="76" spans="1:15" ht="42" customHeight="1">
      <c r="A76" s="379" t="s">
        <v>5419</v>
      </c>
      <c r="B76" s="380" t="s">
        <v>585</v>
      </c>
      <c r="C76" s="380" t="s">
        <v>603</v>
      </c>
      <c r="D76" s="381" t="s">
        <v>5420</v>
      </c>
      <c r="E76" s="381" t="s">
        <v>7960</v>
      </c>
      <c r="F76" s="382" t="s">
        <v>7961</v>
      </c>
      <c r="G76" s="383">
        <v>1.5</v>
      </c>
      <c r="H76" s="384" t="s">
        <v>6914</v>
      </c>
      <c r="I76" s="385" t="s">
        <v>2236</v>
      </c>
      <c r="J76" s="385" t="s">
        <v>4</v>
      </c>
      <c r="K76" s="385"/>
      <c r="L76" s="385"/>
      <c r="M76" s="385"/>
      <c r="N76" s="386"/>
      <c r="O76" s="387"/>
    </row>
    <row r="77" spans="1:15" ht="42" customHeight="1">
      <c r="A77" s="379" t="s">
        <v>5421</v>
      </c>
      <c r="B77" s="380" t="s">
        <v>585</v>
      </c>
      <c r="C77" s="380" t="s">
        <v>603</v>
      </c>
      <c r="D77" s="381" t="s">
        <v>5422</v>
      </c>
      <c r="E77" s="381" t="s">
        <v>7962</v>
      </c>
      <c r="F77" s="382" t="s">
        <v>7963</v>
      </c>
      <c r="G77" s="383">
        <v>1.5</v>
      </c>
      <c r="H77" s="384" t="s">
        <v>6893</v>
      </c>
      <c r="I77" s="385" t="s">
        <v>2236</v>
      </c>
      <c r="J77" s="385" t="s">
        <v>4</v>
      </c>
      <c r="K77" s="385"/>
      <c r="L77" s="385"/>
      <c r="M77" s="385"/>
      <c r="N77" s="386"/>
      <c r="O77" s="387"/>
    </row>
    <row r="78" spans="1:15" ht="42" customHeight="1">
      <c r="A78" s="379" t="s">
        <v>5423</v>
      </c>
      <c r="B78" s="380" t="s">
        <v>585</v>
      </c>
      <c r="C78" s="380" t="s">
        <v>603</v>
      </c>
      <c r="D78" s="381" t="s">
        <v>5424</v>
      </c>
      <c r="E78" s="381" t="s">
        <v>7964</v>
      </c>
      <c r="F78" s="382" t="s">
        <v>7965</v>
      </c>
      <c r="G78" s="383">
        <v>2</v>
      </c>
      <c r="H78" s="384" t="s">
        <v>6956</v>
      </c>
      <c r="I78" s="385" t="s">
        <v>2236</v>
      </c>
      <c r="J78" s="385" t="s">
        <v>4</v>
      </c>
      <c r="K78" s="385"/>
      <c r="L78" s="385"/>
      <c r="M78" s="385"/>
      <c r="N78" s="386"/>
      <c r="O78" s="387"/>
    </row>
    <row r="79" spans="1:15" ht="42" customHeight="1">
      <c r="A79" s="379" t="s">
        <v>605</v>
      </c>
      <c r="B79" s="380" t="s">
        <v>585</v>
      </c>
      <c r="C79" s="380" t="s">
        <v>605</v>
      </c>
      <c r="D79" s="381" t="s">
        <v>606</v>
      </c>
      <c r="E79" s="381" t="s">
        <v>7249</v>
      </c>
      <c r="F79" s="382" t="s">
        <v>7245</v>
      </c>
      <c r="G79" s="383">
        <v>0</v>
      </c>
      <c r="H79" s="384" t="s">
        <v>2236</v>
      </c>
      <c r="I79" s="385" t="s">
        <v>2236</v>
      </c>
      <c r="J79" s="385" t="s">
        <v>5349</v>
      </c>
      <c r="K79" s="385"/>
      <c r="L79" s="385"/>
      <c r="M79" s="385"/>
      <c r="N79" s="386"/>
      <c r="O79" s="387"/>
    </row>
    <row r="80" spans="1:15" ht="42" customHeight="1">
      <c r="A80" s="379" t="s">
        <v>607</v>
      </c>
      <c r="B80" s="380" t="s">
        <v>585</v>
      </c>
      <c r="C80" s="380" t="s">
        <v>607</v>
      </c>
      <c r="D80" s="381" t="s">
        <v>608</v>
      </c>
      <c r="E80" s="381" t="s">
        <v>7966</v>
      </c>
      <c r="F80" s="382" t="s">
        <v>7967</v>
      </c>
      <c r="G80" s="383">
        <v>2</v>
      </c>
      <c r="H80" s="384" t="s">
        <v>6753</v>
      </c>
      <c r="I80" s="385" t="s">
        <v>538</v>
      </c>
      <c r="J80" s="385" t="s">
        <v>4</v>
      </c>
      <c r="K80" s="385"/>
      <c r="L80" s="385"/>
      <c r="M80" s="385"/>
      <c r="N80" s="386"/>
      <c r="O80" s="387"/>
    </row>
    <row r="81" spans="1:15" ht="42" customHeight="1">
      <c r="A81" s="379" t="s">
        <v>609</v>
      </c>
      <c r="B81" s="380" t="s">
        <v>585</v>
      </c>
      <c r="C81" s="380" t="s">
        <v>609</v>
      </c>
      <c r="D81" s="381" t="s">
        <v>5425</v>
      </c>
      <c r="E81" s="381" t="s">
        <v>7968</v>
      </c>
      <c r="F81" s="382" t="s">
        <v>7969</v>
      </c>
      <c r="G81" s="383">
        <v>3</v>
      </c>
      <c r="H81" s="384" t="s">
        <v>7221</v>
      </c>
      <c r="I81" s="385" t="s">
        <v>546</v>
      </c>
      <c r="J81" s="385" t="s">
        <v>4</v>
      </c>
      <c r="K81" s="385"/>
      <c r="L81" s="385"/>
      <c r="M81" s="385"/>
      <c r="N81" s="386"/>
      <c r="O81" s="387"/>
    </row>
    <row r="82" spans="1:15" ht="42" customHeight="1">
      <c r="A82" s="379" t="s">
        <v>611</v>
      </c>
      <c r="B82" s="380" t="s">
        <v>585</v>
      </c>
      <c r="C82" s="380" t="s">
        <v>611</v>
      </c>
      <c r="D82" s="381" t="s">
        <v>612</v>
      </c>
      <c r="E82" s="381" t="s">
        <v>7970</v>
      </c>
      <c r="F82" s="382" t="s">
        <v>7971</v>
      </c>
      <c r="G82" s="383">
        <v>2</v>
      </c>
      <c r="H82" s="384" t="s">
        <v>6790</v>
      </c>
      <c r="I82" s="385" t="s">
        <v>2236</v>
      </c>
      <c r="J82" s="385" t="s">
        <v>4</v>
      </c>
      <c r="K82" s="385"/>
      <c r="L82" s="385"/>
      <c r="M82" s="385"/>
      <c r="N82" s="386"/>
      <c r="O82" s="387"/>
    </row>
    <row r="83" spans="1:15" ht="42" customHeight="1">
      <c r="A83" s="379" t="s">
        <v>613</v>
      </c>
      <c r="B83" s="380" t="s">
        <v>585</v>
      </c>
      <c r="C83" s="380" t="s">
        <v>613</v>
      </c>
      <c r="D83" s="381" t="s">
        <v>614</v>
      </c>
      <c r="E83" s="381" t="s">
        <v>7972</v>
      </c>
      <c r="F83" s="382" t="s">
        <v>7973</v>
      </c>
      <c r="G83" s="383">
        <v>1</v>
      </c>
      <c r="H83" s="384" t="s">
        <v>7222</v>
      </c>
      <c r="I83" s="385" t="s">
        <v>2236</v>
      </c>
      <c r="J83" s="385" t="s">
        <v>4</v>
      </c>
      <c r="K83" s="385"/>
      <c r="L83" s="385"/>
      <c r="M83" s="385"/>
      <c r="N83" s="386"/>
      <c r="O83" s="387"/>
    </row>
    <row r="84" spans="1:15" ht="42" customHeight="1">
      <c r="A84" s="379" t="s">
        <v>615</v>
      </c>
      <c r="B84" s="380" t="s">
        <v>585</v>
      </c>
      <c r="C84" s="380" t="s">
        <v>615</v>
      </c>
      <c r="D84" s="381" t="s">
        <v>616</v>
      </c>
      <c r="E84" s="381" t="s">
        <v>7974</v>
      </c>
      <c r="F84" s="382" t="s">
        <v>7975</v>
      </c>
      <c r="G84" s="383">
        <v>2</v>
      </c>
      <c r="H84" s="384" t="s">
        <v>2236</v>
      </c>
      <c r="I84" s="385" t="s">
        <v>653</v>
      </c>
      <c r="J84" s="385" t="s">
        <v>4</v>
      </c>
      <c r="K84" s="385"/>
      <c r="L84" s="385"/>
      <c r="M84" s="385"/>
      <c r="N84" s="386"/>
      <c r="O84" s="387"/>
    </row>
    <row r="85" spans="1:15" ht="42" customHeight="1">
      <c r="A85" s="379" t="s">
        <v>5426</v>
      </c>
      <c r="B85" s="380" t="s">
        <v>585</v>
      </c>
      <c r="C85" s="380" t="s">
        <v>6417</v>
      </c>
      <c r="D85" s="381" t="s">
        <v>6418</v>
      </c>
      <c r="E85" s="381" t="s">
        <v>7976</v>
      </c>
      <c r="F85" s="382" t="s">
        <v>7977</v>
      </c>
      <c r="G85" s="383">
        <v>2</v>
      </c>
      <c r="H85" s="384" t="s">
        <v>7218</v>
      </c>
      <c r="I85" s="385" t="s">
        <v>5427</v>
      </c>
      <c r="J85" s="385" t="s">
        <v>4</v>
      </c>
      <c r="K85" s="385"/>
      <c r="L85" s="385"/>
      <c r="M85" s="385"/>
      <c r="N85" s="386"/>
      <c r="O85" s="387"/>
    </row>
    <row r="86" spans="1:15" ht="42" customHeight="1">
      <c r="A86" s="379" t="s">
        <v>5428</v>
      </c>
      <c r="B86" s="380" t="s">
        <v>585</v>
      </c>
      <c r="C86" s="380" t="s">
        <v>6417</v>
      </c>
      <c r="D86" s="381" t="s">
        <v>6419</v>
      </c>
      <c r="E86" s="381" t="s">
        <v>7978</v>
      </c>
      <c r="F86" s="382" t="s">
        <v>7979</v>
      </c>
      <c r="G86" s="383">
        <v>1</v>
      </c>
      <c r="H86" s="384" t="s">
        <v>7218</v>
      </c>
      <c r="I86" s="385" t="s">
        <v>2236</v>
      </c>
      <c r="J86" s="385" t="s">
        <v>4</v>
      </c>
      <c r="K86" s="385"/>
      <c r="L86" s="385"/>
      <c r="M86" s="385"/>
      <c r="N86" s="386"/>
      <c r="O86" s="387"/>
    </row>
    <row r="87" spans="1:15" ht="42" customHeight="1">
      <c r="A87" s="379" t="s">
        <v>5429</v>
      </c>
      <c r="B87" s="380" t="s">
        <v>585</v>
      </c>
      <c r="C87" s="380" t="s">
        <v>6417</v>
      </c>
      <c r="D87" s="381" t="s">
        <v>6420</v>
      </c>
      <c r="E87" s="381" t="s">
        <v>7980</v>
      </c>
      <c r="F87" s="382" t="s">
        <v>7981</v>
      </c>
      <c r="G87" s="383">
        <v>1</v>
      </c>
      <c r="H87" s="384" t="s">
        <v>7218</v>
      </c>
      <c r="I87" s="385" t="s">
        <v>2236</v>
      </c>
      <c r="J87" s="385" t="s">
        <v>4</v>
      </c>
      <c r="K87" s="385"/>
      <c r="L87" s="385"/>
      <c r="M87" s="385"/>
      <c r="N87" s="386"/>
      <c r="O87" s="387"/>
    </row>
    <row r="88" spans="1:15" ht="42" customHeight="1">
      <c r="A88" s="379" t="s">
        <v>5430</v>
      </c>
      <c r="B88" s="380" t="s">
        <v>585</v>
      </c>
      <c r="C88" s="380" t="s">
        <v>6421</v>
      </c>
      <c r="D88" s="381" t="s">
        <v>6422</v>
      </c>
      <c r="E88" s="381" t="s">
        <v>7982</v>
      </c>
      <c r="F88" s="382" t="s">
        <v>7983</v>
      </c>
      <c r="G88" s="383">
        <v>1</v>
      </c>
      <c r="H88" s="384" t="s">
        <v>7223</v>
      </c>
      <c r="I88" s="385" t="s">
        <v>2236</v>
      </c>
      <c r="J88" s="385" t="s">
        <v>4</v>
      </c>
      <c r="K88" s="385"/>
      <c r="L88" s="385"/>
      <c r="M88" s="385"/>
      <c r="N88" s="386"/>
      <c r="O88" s="387"/>
    </row>
    <row r="89" spans="1:15" ht="42" customHeight="1">
      <c r="A89" s="379" t="s">
        <v>5431</v>
      </c>
      <c r="B89" s="380" t="s">
        <v>585</v>
      </c>
      <c r="C89" s="380" t="s">
        <v>6421</v>
      </c>
      <c r="D89" s="381" t="s">
        <v>6423</v>
      </c>
      <c r="E89" s="381" t="s">
        <v>7984</v>
      </c>
      <c r="F89" s="382" t="s">
        <v>7985</v>
      </c>
      <c r="G89" s="383">
        <v>1.5</v>
      </c>
      <c r="H89" s="384" t="s">
        <v>7223</v>
      </c>
      <c r="I89" s="385" t="s">
        <v>2236</v>
      </c>
      <c r="J89" s="385" t="s">
        <v>4</v>
      </c>
      <c r="K89" s="385"/>
      <c r="L89" s="385"/>
      <c r="M89" s="385"/>
      <c r="N89" s="386"/>
      <c r="O89" s="387"/>
    </row>
    <row r="90" spans="1:15" ht="42" customHeight="1">
      <c r="A90" s="379" t="s">
        <v>5432</v>
      </c>
      <c r="B90" s="380" t="s">
        <v>585</v>
      </c>
      <c r="C90" s="380" t="s">
        <v>6421</v>
      </c>
      <c r="D90" s="381" t="s">
        <v>6424</v>
      </c>
      <c r="E90" s="381" t="s">
        <v>7986</v>
      </c>
      <c r="F90" s="382" t="s">
        <v>7983</v>
      </c>
      <c r="G90" s="383">
        <v>1</v>
      </c>
      <c r="H90" s="384" t="s">
        <v>7223</v>
      </c>
      <c r="I90" s="385" t="s">
        <v>2236</v>
      </c>
      <c r="J90" s="385" t="s">
        <v>4</v>
      </c>
      <c r="K90" s="385"/>
      <c r="L90" s="385"/>
      <c r="M90" s="385"/>
      <c r="N90" s="386"/>
      <c r="O90" s="387"/>
    </row>
    <row r="91" spans="1:15" ht="42" customHeight="1">
      <c r="A91" s="379" t="s">
        <v>5433</v>
      </c>
      <c r="B91" s="380" t="s">
        <v>585</v>
      </c>
      <c r="C91" s="380" t="s">
        <v>6421</v>
      </c>
      <c r="D91" s="381" t="s">
        <v>6425</v>
      </c>
      <c r="E91" s="381" t="s">
        <v>7987</v>
      </c>
      <c r="F91" s="382" t="s">
        <v>7988</v>
      </c>
      <c r="G91" s="383">
        <v>1</v>
      </c>
      <c r="H91" s="384" t="s">
        <v>7223</v>
      </c>
      <c r="I91" s="385" t="s">
        <v>2236</v>
      </c>
      <c r="J91" s="385" t="s">
        <v>4</v>
      </c>
      <c r="K91" s="385"/>
      <c r="L91" s="385"/>
      <c r="M91" s="385"/>
      <c r="N91" s="386"/>
      <c r="O91" s="387"/>
    </row>
    <row r="92" spans="1:15" ht="42" customHeight="1">
      <c r="A92" s="379" t="s">
        <v>5434</v>
      </c>
      <c r="B92" s="380" t="s">
        <v>585</v>
      </c>
      <c r="C92" s="380" t="s">
        <v>6421</v>
      </c>
      <c r="D92" s="381" t="s">
        <v>6426</v>
      </c>
      <c r="E92" s="381" t="s">
        <v>7989</v>
      </c>
      <c r="F92" s="382" t="s">
        <v>7677</v>
      </c>
      <c r="G92" s="383">
        <v>0.5</v>
      </c>
      <c r="H92" s="384" t="s">
        <v>7223</v>
      </c>
      <c r="I92" s="385" t="s">
        <v>5435</v>
      </c>
      <c r="J92" s="385" t="s">
        <v>4</v>
      </c>
      <c r="K92" s="385"/>
      <c r="L92" s="385"/>
      <c r="M92" s="385"/>
      <c r="N92" s="386"/>
      <c r="O92" s="387"/>
    </row>
    <row r="93" spans="1:15" ht="42" customHeight="1">
      <c r="A93" s="379" t="s">
        <v>5436</v>
      </c>
      <c r="B93" s="380" t="s">
        <v>585</v>
      </c>
      <c r="C93" s="380" t="s">
        <v>6427</v>
      </c>
      <c r="D93" s="381" t="s">
        <v>6428</v>
      </c>
      <c r="E93" s="381" t="s">
        <v>7990</v>
      </c>
      <c r="F93" s="382" t="s">
        <v>7991</v>
      </c>
      <c r="G93" s="383">
        <v>2</v>
      </c>
      <c r="H93" s="384" t="s">
        <v>2236</v>
      </c>
      <c r="I93" s="385" t="s">
        <v>2236</v>
      </c>
      <c r="J93" s="385" t="s">
        <v>4</v>
      </c>
      <c r="K93" s="385"/>
      <c r="L93" s="385"/>
      <c r="M93" s="385"/>
      <c r="N93" s="386"/>
      <c r="O93" s="387"/>
    </row>
    <row r="94" spans="1:15" ht="42" customHeight="1">
      <c r="A94" s="379" t="s">
        <v>5394</v>
      </c>
      <c r="B94" s="380" t="s">
        <v>585</v>
      </c>
      <c r="C94" s="380" t="s">
        <v>6427</v>
      </c>
      <c r="D94" s="381" t="s">
        <v>6429</v>
      </c>
      <c r="E94" s="381" t="s">
        <v>7992</v>
      </c>
      <c r="F94" s="382" t="s">
        <v>7993</v>
      </c>
      <c r="G94" s="383">
        <v>3</v>
      </c>
      <c r="H94" s="384" t="s">
        <v>2236</v>
      </c>
      <c r="I94" s="385" t="s">
        <v>5436</v>
      </c>
      <c r="J94" s="385" t="s">
        <v>4</v>
      </c>
      <c r="K94" s="385"/>
      <c r="L94" s="385"/>
      <c r="M94" s="385"/>
      <c r="N94" s="386"/>
      <c r="O94" s="387"/>
    </row>
    <row r="95" spans="1:15" ht="42" customHeight="1">
      <c r="A95" s="379" t="s">
        <v>5437</v>
      </c>
      <c r="B95" s="380" t="s">
        <v>585</v>
      </c>
      <c r="C95" s="380" t="s">
        <v>6430</v>
      </c>
      <c r="D95" s="381" t="s">
        <v>6431</v>
      </c>
      <c r="E95" s="381" t="s">
        <v>7994</v>
      </c>
      <c r="F95" s="382" t="s">
        <v>7995</v>
      </c>
      <c r="G95" s="383">
        <v>4</v>
      </c>
      <c r="H95" s="384" t="s">
        <v>2236</v>
      </c>
      <c r="I95" s="385" t="s">
        <v>5394</v>
      </c>
      <c r="J95" s="385" t="s">
        <v>4</v>
      </c>
      <c r="K95" s="385"/>
      <c r="L95" s="385"/>
      <c r="M95" s="385"/>
      <c r="N95" s="386"/>
      <c r="O95" s="387"/>
    </row>
    <row r="96" spans="1:15" ht="42" customHeight="1">
      <c r="A96" s="379" t="s">
        <v>5438</v>
      </c>
      <c r="B96" s="380" t="s">
        <v>585</v>
      </c>
      <c r="C96" s="380" t="s">
        <v>6430</v>
      </c>
      <c r="D96" s="381" t="s">
        <v>6432</v>
      </c>
      <c r="E96" s="381" t="s">
        <v>7996</v>
      </c>
      <c r="F96" s="382" t="s">
        <v>7997</v>
      </c>
      <c r="G96" s="383">
        <v>2</v>
      </c>
      <c r="H96" s="384" t="s">
        <v>2236</v>
      </c>
      <c r="I96" s="385" t="s">
        <v>5437</v>
      </c>
      <c r="J96" s="385" t="s">
        <v>4</v>
      </c>
      <c r="K96" s="385"/>
      <c r="L96" s="385"/>
      <c r="M96" s="385"/>
      <c r="N96" s="386"/>
      <c r="O96" s="387"/>
    </row>
    <row r="97" spans="1:15" ht="42" customHeight="1">
      <c r="A97" s="379" t="s">
        <v>5407</v>
      </c>
      <c r="B97" s="380" t="s">
        <v>585</v>
      </c>
      <c r="C97" s="380" t="s">
        <v>5407</v>
      </c>
      <c r="D97" s="381" t="s">
        <v>5439</v>
      </c>
      <c r="E97" s="381" t="s">
        <v>7998</v>
      </c>
      <c r="F97" s="382" t="s">
        <v>7999</v>
      </c>
      <c r="G97" s="383">
        <v>5</v>
      </c>
      <c r="H97" s="384" t="s">
        <v>2236</v>
      </c>
      <c r="I97" s="385" t="s">
        <v>2236</v>
      </c>
      <c r="J97" s="385" t="s">
        <v>4</v>
      </c>
      <c r="K97" s="385"/>
      <c r="L97" s="385"/>
      <c r="M97" s="385"/>
      <c r="N97" s="386"/>
      <c r="O97" s="387"/>
    </row>
    <row r="98" spans="1:15" ht="42" customHeight="1">
      <c r="A98" s="379" t="s">
        <v>5440</v>
      </c>
      <c r="B98" s="380" t="s">
        <v>585</v>
      </c>
      <c r="C98" s="380" t="s">
        <v>5440</v>
      </c>
      <c r="D98" s="381" t="s">
        <v>5441</v>
      </c>
      <c r="E98" s="381" t="s">
        <v>8000</v>
      </c>
      <c r="F98" s="382" t="s">
        <v>8001</v>
      </c>
      <c r="G98" s="383">
        <v>2</v>
      </c>
      <c r="H98" s="384" t="s">
        <v>2236</v>
      </c>
      <c r="I98" s="385" t="s">
        <v>2236</v>
      </c>
      <c r="J98" s="385" t="s">
        <v>4</v>
      </c>
      <c r="K98" s="385"/>
      <c r="L98" s="385"/>
      <c r="M98" s="385"/>
      <c r="N98" s="386"/>
      <c r="O98" s="387"/>
    </row>
    <row r="99" spans="1:15" ht="42" customHeight="1">
      <c r="A99" s="379" t="s">
        <v>5442</v>
      </c>
      <c r="B99" s="380" t="s">
        <v>624</v>
      </c>
      <c r="C99" s="380" t="s">
        <v>6433</v>
      </c>
      <c r="D99" s="381" t="s">
        <v>2757</v>
      </c>
      <c r="E99" s="381" t="s">
        <v>8002</v>
      </c>
      <c r="F99" s="382" t="s">
        <v>8003</v>
      </c>
      <c r="G99" s="383">
        <v>2</v>
      </c>
      <c r="H99" s="384" t="s">
        <v>2236</v>
      </c>
      <c r="I99" s="385" t="s">
        <v>2236</v>
      </c>
      <c r="J99" s="385" t="s">
        <v>4</v>
      </c>
      <c r="K99" s="385"/>
      <c r="L99" s="385"/>
      <c r="M99" s="385"/>
      <c r="N99" s="386"/>
      <c r="O99" s="387"/>
    </row>
    <row r="100" spans="1:15" ht="42" customHeight="1">
      <c r="A100" s="379" t="s">
        <v>5443</v>
      </c>
      <c r="B100" s="380" t="s">
        <v>624</v>
      </c>
      <c r="C100" s="380" t="s">
        <v>6433</v>
      </c>
      <c r="D100" s="381" t="s">
        <v>6434</v>
      </c>
      <c r="E100" s="381" t="s">
        <v>8004</v>
      </c>
      <c r="F100" s="382" t="s">
        <v>8005</v>
      </c>
      <c r="G100" s="383">
        <v>3</v>
      </c>
      <c r="H100" s="384" t="s">
        <v>2236</v>
      </c>
      <c r="I100" s="385" t="s">
        <v>5442</v>
      </c>
      <c r="J100" s="385" t="s">
        <v>4</v>
      </c>
      <c r="K100" s="385"/>
      <c r="L100" s="385"/>
      <c r="M100" s="385"/>
      <c r="N100" s="386"/>
      <c r="O100" s="387"/>
    </row>
    <row r="101" spans="1:15" ht="42" customHeight="1">
      <c r="A101" s="379" t="s">
        <v>5444</v>
      </c>
      <c r="B101" s="380" t="s">
        <v>624</v>
      </c>
      <c r="C101" s="380" t="s">
        <v>6433</v>
      </c>
      <c r="D101" s="381" t="s">
        <v>6435</v>
      </c>
      <c r="E101" s="381" t="s">
        <v>8006</v>
      </c>
      <c r="F101" s="382" t="s">
        <v>8007</v>
      </c>
      <c r="G101" s="383">
        <v>3</v>
      </c>
      <c r="H101" s="384" t="s">
        <v>2236</v>
      </c>
      <c r="I101" s="385" t="s">
        <v>5442</v>
      </c>
      <c r="J101" s="385" t="s">
        <v>4</v>
      </c>
      <c r="K101" s="385"/>
      <c r="L101" s="385"/>
      <c r="M101" s="385"/>
      <c r="N101" s="386"/>
      <c r="O101" s="387"/>
    </row>
    <row r="102" spans="1:15" ht="42" customHeight="1">
      <c r="A102" s="379" t="s">
        <v>628</v>
      </c>
      <c r="B102" s="380" t="s">
        <v>624</v>
      </c>
      <c r="C102" s="380" t="s">
        <v>628</v>
      </c>
      <c r="D102" s="381" t="s">
        <v>5445</v>
      </c>
      <c r="E102" s="381" t="s">
        <v>8008</v>
      </c>
      <c r="F102" s="382" t="s">
        <v>8009</v>
      </c>
      <c r="G102" s="383">
        <v>4</v>
      </c>
      <c r="H102" s="384" t="s">
        <v>2236</v>
      </c>
      <c r="I102" s="385" t="s">
        <v>2236</v>
      </c>
      <c r="J102" s="385" t="s">
        <v>4</v>
      </c>
      <c r="K102" s="385"/>
      <c r="L102" s="385"/>
      <c r="M102" s="385"/>
      <c r="N102" s="386"/>
      <c r="O102" s="387"/>
    </row>
    <row r="103" spans="1:15" ht="42" customHeight="1">
      <c r="A103" s="379" t="s">
        <v>631</v>
      </c>
      <c r="B103" s="380" t="s">
        <v>624</v>
      </c>
      <c r="C103" s="380" t="s">
        <v>631</v>
      </c>
      <c r="D103" s="381" t="s">
        <v>5446</v>
      </c>
      <c r="E103" s="381" t="s">
        <v>8010</v>
      </c>
      <c r="F103" s="382" t="s">
        <v>8011</v>
      </c>
      <c r="G103" s="383">
        <v>4</v>
      </c>
      <c r="H103" s="384" t="s">
        <v>2236</v>
      </c>
      <c r="I103" s="385" t="s">
        <v>2236</v>
      </c>
      <c r="J103" s="385" t="s">
        <v>4</v>
      </c>
      <c r="K103" s="385"/>
      <c r="L103" s="385"/>
      <c r="M103" s="385"/>
      <c r="N103" s="386"/>
      <c r="O103" s="387"/>
    </row>
    <row r="104" spans="1:15" ht="42" customHeight="1">
      <c r="A104" s="379" t="s">
        <v>633</v>
      </c>
      <c r="B104" s="380" t="s">
        <v>624</v>
      </c>
      <c r="C104" s="380" t="s">
        <v>633</v>
      </c>
      <c r="D104" s="381" t="s">
        <v>5447</v>
      </c>
      <c r="E104" s="381" t="s">
        <v>8012</v>
      </c>
      <c r="F104" s="382" t="s">
        <v>8013</v>
      </c>
      <c r="G104" s="383">
        <v>5</v>
      </c>
      <c r="H104" s="384" t="s">
        <v>2236</v>
      </c>
      <c r="I104" s="385" t="s">
        <v>2236</v>
      </c>
      <c r="J104" s="385" t="s">
        <v>4</v>
      </c>
      <c r="K104" s="385"/>
      <c r="L104" s="385"/>
      <c r="M104" s="385"/>
      <c r="N104" s="386"/>
      <c r="O104" s="387"/>
    </row>
    <row r="105" spans="1:15" ht="42" customHeight="1">
      <c r="A105" s="379" t="s">
        <v>635</v>
      </c>
      <c r="B105" s="380" t="s">
        <v>624</v>
      </c>
      <c r="C105" s="380" t="s">
        <v>635</v>
      </c>
      <c r="D105" s="381" t="s">
        <v>5448</v>
      </c>
      <c r="E105" s="381" t="s">
        <v>8014</v>
      </c>
      <c r="F105" s="382" t="s">
        <v>8015</v>
      </c>
      <c r="G105" s="383">
        <v>5</v>
      </c>
      <c r="H105" s="384" t="s">
        <v>2236</v>
      </c>
      <c r="I105" s="385" t="s">
        <v>550</v>
      </c>
      <c r="J105" s="385" t="s">
        <v>4</v>
      </c>
      <c r="K105" s="385"/>
      <c r="L105" s="385"/>
      <c r="M105" s="385"/>
      <c r="N105" s="386"/>
      <c r="O105" s="387"/>
    </row>
    <row r="106" spans="1:15" ht="42" customHeight="1">
      <c r="A106" s="379" t="s">
        <v>637</v>
      </c>
      <c r="B106" s="380" t="s">
        <v>624</v>
      </c>
      <c r="C106" s="380" t="s">
        <v>637</v>
      </c>
      <c r="D106" s="381" t="s">
        <v>5449</v>
      </c>
      <c r="E106" s="381" t="s">
        <v>8016</v>
      </c>
      <c r="F106" s="382" t="s">
        <v>8017</v>
      </c>
      <c r="G106" s="383">
        <v>3</v>
      </c>
      <c r="H106" s="384" t="s">
        <v>2236</v>
      </c>
      <c r="I106" s="385" t="s">
        <v>2236</v>
      </c>
      <c r="J106" s="385" t="s">
        <v>4</v>
      </c>
      <c r="K106" s="385"/>
      <c r="L106" s="385"/>
      <c r="M106" s="385"/>
      <c r="N106" s="386"/>
      <c r="O106" s="387"/>
    </row>
    <row r="107" spans="1:15" ht="42" customHeight="1">
      <c r="A107" s="379" t="s">
        <v>639</v>
      </c>
      <c r="B107" s="380" t="s">
        <v>624</v>
      </c>
      <c r="C107" s="380" t="s">
        <v>639</v>
      </c>
      <c r="D107" s="381" t="s">
        <v>5450</v>
      </c>
      <c r="E107" s="381" t="s">
        <v>8018</v>
      </c>
      <c r="F107" s="382" t="s">
        <v>8019</v>
      </c>
      <c r="G107" s="383">
        <v>3</v>
      </c>
      <c r="H107" s="384" t="s">
        <v>2236</v>
      </c>
      <c r="I107" s="385" t="s">
        <v>2236</v>
      </c>
      <c r="J107" s="385" t="s">
        <v>4</v>
      </c>
      <c r="K107" s="385"/>
      <c r="L107" s="385"/>
      <c r="M107" s="385"/>
      <c r="N107" s="386"/>
      <c r="O107" s="387"/>
    </row>
    <row r="108" spans="1:15" ht="42" customHeight="1">
      <c r="A108" s="379" t="s">
        <v>641</v>
      </c>
      <c r="B108" s="380" t="s">
        <v>624</v>
      </c>
      <c r="C108" s="380" t="s">
        <v>641</v>
      </c>
      <c r="D108" s="381" t="s">
        <v>5451</v>
      </c>
      <c r="E108" s="381" t="s">
        <v>8020</v>
      </c>
      <c r="F108" s="382" t="s">
        <v>8021</v>
      </c>
      <c r="G108" s="383">
        <v>1</v>
      </c>
      <c r="H108" s="384" t="s">
        <v>7224</v>
      </c>
      <c r="I108" s="385" t="s">
        <v>2236</v>
      </c>
      <c r="J108" s="385" t="s">
        <v>4</v>
      </c>
      <c r="K108" s="385"/>
      <c r="L108" s="385"/>
      <c r="M108" s="385"/>
      <c r="N108" s="386"/>
      <c r="O108" s="387"/>
    </row>
    <row r="109" spans="1:15" ht="42" customHeight="1">
      <c r="A109" s="379" t="s">
        <v>644</v>
      </c>
      <c r="B109" s="380" t="s">
        <v>643</v>
      </c>
      <c r="C109" s="380" t="s">
        <v>644</v>
      </c>
      <c r="D109" s="381" t="s">
        <v>5452</v>
      </c>
      <c r="E109" s="381" t="s">
        <v>8022</v>
      </c>
      <c r="F109" s="382" t="s">
        <v>8023</v>
      </c>
      <c r="G109" s="383">
        <v>2</v>
      </c>
      <c r="H109" s="384" t="s">
        <v>2236</v>
      </c>
      <c r="I109" s="385" t="s">
        <v>2236</v>
      </c>
      <c r="J109" s="385" t="s">
        <v>4</v>
      </c>
      <c r="K109" s="385"/>
      <c r="L109" s="385"/>
      <c r="M109" s="385"/>
      <c r="N109" s="386"/>
      <c r="O109" s="387"/>
    </row>
    <row r="110" spans="1:15" ht="42" customHeight="1">
      <c r="A110" s="379" t="s">
        <v>647</v>
      </c>
      <c r="B110" s="380" t="s">
        <v>643</v>
      </c>
      <c r="C110" s="380" t="s">
        <v>647</v>
      </c>
      <c r="D110" s="381" t="s">
        <v>5383</v>
      </c>
      <c r="E110" s="381" t="s">
        <v>8024</v>
      </c>
      <c r="F110" s="382" t="s">
        <v>8025</v>
      </c>
      <c r="G110" s="383">
        <v>8</v>
      </c>
      <c r="H110" s="384" t="s">
        <v>2236</v>
      </c>
      <c r="I110" s="385" t="s">
        <v>644</v>
      </c>
      <c r="J110" s="385" t="s">
        <v>4</v>
      </c>
      <c r="K110" s="385"/>
      <c r="L110" s="385"/>
      <c r="M110" s="385"/>
      <c r="N110" s="386"/>
      <c r="O110" s="387"/>
    </row>
    <row r="111" spans="1:15" ht="42" customHeight="1">
      <c r="A111" s="379" t="s">
        <v>650</v>
      </c>
      <c r="B111" s="380" t="s">
        <v>643</v>
      </c>
      <c r="C111" s="380" t="s">
        <v>650</v>
      </c>
      <c r="D111" s="381" t="s">
        <v>5453</v>
      </c>
      <c r="E111" s="381" t="s">
        <v>8026</v>
      </c>
      <c r="F111" s="382" t="s">
        <v>8027</v>
      </c>
      <c r="G111" s="383">
        <v>3</v>
      </c>
      <c r="H111" s="384" t="s">
        <v>2236</v>
      </c>
      <c r="I111" s="385" t="s">
        <v>2236</v>
      </c>
      <c r="J111" s="385" t="s">
        <v>4</v>
      </c>
      <c r="K111" s="385"/>
      <c r="L111" s="385"/>
      <c r="M111" s="385"/>
      <c r="N111" s="386"/>
      <c r="O111" s="387"/>
    </row>
    <row r="112" spans="1:15" ht="42" customHeight="1">
      <c r="A112" s="379" t="s">
        <v>653</v>
      </c>
      <c r="B112" s="380" t="s">
        <v>643</v>
      </c>
      <c r="C112" s="380" t="s">
        <v>653</v>
      </c>
      <c r="D112" s="381" t="s">
        <v>5454</v>
      </c>
      <c r="E112" s="381" t="s">
        <v>8028</v>
      </c>
      <c r="F112" s="382" t="s">
        <v>8029</v>
      </c>
      <c r="G112" s="383">
        <v>2</v>
      </c>
      <c r="H112" s="384" t="s">
        <v>2236</v>
      </c>
      <c r="I112" s="385" t="s">
        <v>2236</v>
      </c>
      <c r="J112" s="385" t="s">
        <v>4</v>
      </c>
      <c r="K112" s="385"/>
      <c r="L112" s="385"/>
      <c r="M112" s="385"/>
      <c r="N112" s="386"/>
      <c r="O112" s="387"/>
    </row>
    <row r="113" spans="1:15" ht="42" customHeight="1">
      <c r="A113" s="379" t="s">
        <v>5455</v>
      </c>
      <c r="B113" s="380" t="s">
        <v>655</v>
      </c>
      <c r="C113" s="380" t="s">
        <v>6436</v>
      </c>
      <c r="D113" s="381" t="s">
        <v>6437</v>
      </c>
      <c r="E113" s="381" t="s">
        <v>8030</v>
      </c>
      <c r="F113" s="382" t="s">
        <v>8031</v>
      </c>
      <c r="G113" s="383">
        <v>1.5</v>
      </c>
      <c r="H113" s="384" t="s">
        <v>7225</v>
      </c>
      <c r="I113" s="385" t="s">
        <v>2236</v>
      </c>
      <c r="J113" s="385" t="s">
        <v>4</v>
      </c>
      <c r="K113" s="385"/>
      <c r="L113" s="385"/>
      <c r="M113" s="385"/>
      <c r="N113" s="386"/>
      <c r="O113" s="387"/>
    </row>
    <row r="114" spans="1:15" ht="42" customHeight="1">
      <c r="A114" s="379" t="s">
        <v>5456</v>
      </c>
      <c r="B114" s="380" t="s">
        <v>655</v>
      </c>
      <c r="C114" s="380" t="s">
        <v>6436</v>
      </c>
      <c r="D114" s="381" t="s">
        <v>6438</v>
      </c>
      <c r="E114" s="381" t="s">
        <v>8032</v>
      </c>
      <c r="F114" s="382" t="s">
        <v>8033</v>
      </c>
      <c r="G114" s="383">
        <v>1.5</v>
      </c>
      <c r="H114" s="384" t="s">
        <v>6883</v>
      </c>
      <c r="I114" s="385" t="s">
        <v>2236</v>
      </c>
      <c r="J114" s="385" t="s">
        <v>4</v>
      </c>
      <c r="K114" s="385"/>
      <c r="L114" s="385"/>
      <c r="M114" s="385"/>
      <c r="N114" s="386"/>
      <c r="O114" s="387"/>
    </row>
    <row r="115" spans="1:15" ht="42" customHeight="1">
      <c r="A115" s="379" t="s">
        <v>5457</v>
      </c>
      <c r="B115" s="380" t="s">
        <v>655</v>
      </c>
      <c r="C115" s="380" t="s">
        <v>6436</v>
      </c>
      <c r="D115" s="381" t="s">
        <v>6439</v>
      </c>
      <c r="E115" s="381" t="s">
        <v>8034</v>
      </c>
      <c r="F115" s="382" t="s">
        <v>8035</v>
      </c>
      <c r="G115" s="383">
        <v>1.5</v>
      </c>
      <c r="H115" s="384" t="s">
        <v>6953</v>
      </c>
      <c r="I115" s="385" t="s">
        <v>2236</v>
      </c>
      <c r="J115" s="385" t="s">
        <v>4</v>
      </c>
      <c r="K115" s="385"/>
      <c r="L115" s="385"/>
      <c r="M115" s="385"/>
      <c r="N115" s="386"/>
      <c r="O115" s="387"/>
    </row>
    <row r="116" spans="1:15" ht="42" customHeight="1">
      <c r="A116" s="379" t="s">
        <v>5458</v>
      </c>
      <c r="B116" s="380" t="s">
        <v>655</v>
      </c>
      <c r="C116" s="380" t="s">
        <v>6436</v>
      </c>
      <c r="D116" s="381" t="s">
        <v>6440</v>
      </c>
      <c r="E116" s="381" t="s">
        <v>8036</v>
      </c>
      <c r="F116" s="382" t="s">
        <v>8037</v>
      </c>
      <c r="G116" s="383">
        <v>1.5</v>
      </c>
      <c r="H116" s="384" t="s">
        <v>6953</v>
      </c>
      <c r="I116" s="385" t="s">
        <v>2236</v>
      </c>
      <c r="J116" s="385" t="s">
        <v>4</v>
      </c>
      <c r="K116" s="385"/>
      <c r="L116" s="385"/>
      <c r="M116" s="385"/>
      <c r="N116" s="386"/>
      <c r="O116" s="387"/>
    </row>
    <row r="117" spans="1:15" ht="42" customHeight="1">
      <c r="A117" s="379" t="s">
        <v>5459</v>
      </c>
      <c r="B117" s="380" t="s">
        <v>655</v>
      </c>
      <c r="C117" s="380" t="s">
        <v>6436</v>
      </c>
      <c r="D117" s="381" t="s">
        <v>6441</v>
      </c>
      <c r="E117" s="381" t="s">
        <v>8038</v>
      </c>
      <c r="F117" s="382" t="s">
        <v>8039</v>
      </c>
      <c r="G117" s="383">
        <v>1</v>
      </c>
      <c r="H117" s="384" t="s">
        <v>6976</v>
      </c>
      <c r="I117" s="385" t="s">
        <v>2236</v>
      </c>
      <c r="J117" s="385" t="s">
        <v>4</v>
      </c>
      <c r="K117" s="385"/>
      <c r="L117" s="385"/>
      <c r="M117" s="385"/>
      <c r="N117" s="386"/>
      <c r="O117" s="387"/>
    </row>
    <row r="118" spans="1:15" ht="42" customHeight="1">
      <c r="A118" s="379" t="s">
        <v>5460</v>
      </c>
      <c r="B118" s="380" t="s">
        <v>655</v>
      </c>
      <c r="C118" s="380" t="s">
        <v>6436</v>
      </c>
      <c r="D118" s="381" t="s">
        <v>6442</v>
      </c>
      <c r="E118" s="381" t="s">
        <v>8040</v>
      </c>
      <c r="F118" s="382" t="s">
        <v>8041</v>
      </c>
      <c r="G118" s="383">
        <v>1.5</v>
      </c>
      <c r="H118" s="384" t="s">
        <v>2236</v>
      </c>
      <c r="I118" s="385" t="s">
        <v>2236</v>
      </c>
      <c r="J118" s="385" t="s">
        <v>4</v>
      </c>
      <c r="K118" s="385"/>
      <c r="L118" s="385"/>
      <c r="M118" s="385"/>
      <c r="N118" s="386"/>
      <c r="O118" s="387"/>
    </row>
    <row r="119" spans="1:15" ht="42" customHeight="1">
      <c r="A119" s="379" t="s">
        <v>5461</v>
      </c>
      <c r="B119" s="380" t="s">
        <v>655</v>
      </c>
      <c r="C119" s="380" t="s">
        <v>6436</v>
      </c>
      <c r="D119" s="381" t="s">
        <v>6443</v>
      </c>
      <c r="E119" s="381" t="s">
        <v>8042</v>
      </c>
      <c r="F119" s="382" t="s">
        <v>8043</v>
      </c>
      <c r="G119" s="383">
        <v>1</v>
      </c>
      <c r="H119" s="384" t="s">
        <v>6871</v>
      </c>
      <c r="I119" s="385" t="s">
        <v>2236</v>
      </c>
      <c r="J119" s="385" t="s">
        <v>4</v>
      </c>
      <c r="K119" s="385"/>
      <c r="L119" s="385"/>
      <c r="M119" s="385"/>
      <c r="N119" s="386"/>
      <c r="O119" s="387"/>
    </row>
    <row r="120" spans="1:15" ht="42" customHeight="1">
      <c r="A120" s="379" t="s">
        <v>5462</v>
      </c>
      <c r="B120" s="380" t="s">
        <v>655</v>
      </c>
      <c r="C120" s="380" t="s">
        <v>6436</v>
      </c>
      <c r="D120" s="381" t="s">
        <v>6444</v>
      </c>
      <c r="E120" s="381" t="s">
        <v>8044</v>
      </c>
      <c r="F120" s="382" t="s">
        <v>8045</v>
      </c>
      <c r="G120" s="383">
        <v>1</v>
      </c>
      <c r="H120" s="384" t="s">
        <v>2236</v>
      </c>
      <c r="I120" s="385" t="s">
        <v>2236</v>
      </c>
      <c r="J120" s="385" t="s">
        <v>4</v>
      </c>
      <c r="K120" s="385"/>
      <c r="L120" s="385"/>
      <c r="M120" s="385"/>
      <c r="N120" s="386"/>
      <c r="O120" s="387"/>
    </row>
    <row r="121" spans="1:15" ht="42" customHeight="1">
      <c r="A121" s="379" t="s">
        <v>5463</v>
      </c>
      <c r="B121" s="380" t="s">
        <v>655</v>
      </c>
      <c r="C121" s="380" t="s">
        <v>6436</v>
      </c>
      <c r="D121" s="381" t="s">
        <v>6445</v>
      </c>
      <c r="E121" s="381" t="s">
        <v>8046</v>
      </c>
      <c r="F121" s="382" t="s">
        <v>8047</v>
      </c>
      <c r="G121" s="383">
        <v>2.5</v>
      </c>
      <c r="H121" s="384" t="s">
        <v>2236</v>
      </c>
      <c r="I121" s="385" t="s">
        <v>5394</v>
      </c>
      <c r="J121" s="385" t="s">
        <v>4</v>
      </c>
      <c r="K121" s="385"/>
      <c r="L121" s="385"/>
      <c r="M121" s="385"/>
      <c r="N121" s="386"/>
      <c r="O121" s="387"/>
    </row>
    <row r="122" spans="1:15" ht="42" customHeight="1">
      <c r="A122" s="379" t="s">
        <v>5464</v>
      </c>
      <c r="B122" s="380" t="s">
        <v>655</v>
      </c>
      <c r="C122" s="380" t="s">
        <v>6436</v>
      </c>
      <c r="D122" s="381" t="s">
        <v>6446</v>
      </c>
      <c r="E122" s="381" t="s">
        <v>8048</v>
      </c>
      <c r="F122" s="382" t="s">
        <v>8049</v>
      </c>
      <c r="G122" s="383">
        <v>2</v>
      </c>
      <c r="H122" s="384" t="s">
        <v>2236</v>
      </c>
      <c r="I122" s="385" t="s">
        <v>5437</v>
      </c>
      <c r="J122" s="385" t="s">
        <v>4</v>
      </c>
      <c r="K122" s="385"/>
      <c r="L122" s="385"/>
      <c r="M122" s="385"/>
      <c r="N122" s="386"/>
      <c r="O122" s="387"/>
    </row>
    <row r="123" spans="1:15" ht="42" customHeight="1">
      <c r="A123" s="379" t="s">
        <v>5465</v>
      </c>
      <c r="B123" s="380" t="s">
        <v>655</v>
      </c>
      <c r="C123" s="380" t="s">
        <v>6436</v>
      </c>
      <c r="D123" s="381" t="s">
        <v>6447</v>
      </c>
      <c r="E123" s="381" t="s">
        <v>8050</v>
      </c>
      <c r="F123" s="382" t="s">
        <v>8051</v>
      </c>
      <c r="G123" s="383">
        <v>1</v>
      </c>
      <c r="H123" s="384" t="s">
        <v>2236</v>
      </c>
      <c r="I123" s="385" t="s">
        <v>2236</v>
      </c>
      <c r="J123" s="385" t="s">
        <v>4</v>
      </c>
      <c r="K123" s="385"/>
      <c r="L123" s="385"/>
      <c r="M123" s="385"/>
      <c r="N123" s="386"/>
      <c r="O123" s="387"/>
    </row>
    <row r="124" spans="1:15" ht="42" customHeight="1">
      <c r="A124" s="379" t="s">
        <v>661</v>
      </c>
      <c r="B124" s="380" t="s">
        <v>655</v>
      </c>
      <c r="C124" s="380" t="s">
        <v>661</v>
      </c>
      <c r="D124" s="381" t="s">
        <v>5466</v>
      </c>
      <c r="E124" s="381" t="s">
        <v>8052</v>
      </c>
      <c r="F124" s="382" t="s">
        <v>8053</v>
      </c>
      <c r="G124" s="383">
        <v>2</v>
      </c>
      <c r="H124" s="384" t="s">
        <v>2236</v>
      </c>
      <c r="I124" s="385" t="s">
        <v>2236</v>
      </c>
      <c r="J124" s="385" t="s">
        <v>4</v>
      </c>
      <c r="K124" s="385"/>
      <c r="L124" s="385"/>
      <c r="M124" s="385"/>
      <c r="N124" s="386"/>
      <c r="O124" s="387"/>
    </row>
    <row r="125" spans="1:15" ht="42" customHeight="1">
      <c r="A125" s="379" t="s">
        <v>5467</v>
      </c>
      <c r="B125" s="380" t="s">
        <v>655</v>
      </c>
      <c r="C125" s="380" t="s">
        <v>6448</v>
      </c>
      <c r="D125" s="381" t="s">
        <v>6449</v>
      </c>
      <c r="E125" s="381" t="s">
        <v>8054</v>
      </c>
      <c r="F125" s="382" t="s">
        <v>8055</v>
      </c>
      <c r="G125" s="383">
        <v>2</v>
      </c>
      <c r="H125" s="384" t="s">
        <v>2236</v>
      </c>
      <c r="I125" s="385" t="s">
        <v>5405</v>
      </c>
      <c r="J125" s="385" t="s">
        <v>4</v>
      </c>
      <c r="K125" s="385"/>
      <c r="L125" s="385"/>
      <c r="M125" s="385"/>
      <c r="N125" s="386"/>
      <c r="O125" s="387"/>
    </row>
    <row r="126" spans="1:15" ht="42" customHeight="1">
      <c r="A126" s="379" t="s">
        <v>5468</v>
      </c>
      <c r="B126" s="380" t="s">
        <v>655</v>
      </c>
      <c r="C126" s="380" t="s">
        <v>6448</v>
      </c>
      <c r="D126" s="381" t="s">
        <v>6450</v>
      </c>
      <c r="E126" s="381" t="s">
        <v>8056</v>
      </c>
      <c r="F126" s="382" t="s">
        <v>8057</v>
      </c>
      <c r="G126" s="383">
        <v>2</v>
      </c>
      <c r="H126" s="384" t="s">
        <v>2236</v>
      </c>
      <c r="I126" s="385" t="s">
        <v>5408</v>
      </c>
      <c r="J126" s="385" t="s">
        <v>4</v>
      </c>
      <c r="K126" s="385"/>
      <c r="L126" s="385"/>
      <c r="M126" s="385"/>
      <c r="N126" s="386"/>
      <c r="O126" s="387"/>
    </row>
    <row r="127" spans="1:15" ht="42" customHeight="1">
      <c r="A127" s="379" t="s">
        <v>5776</v>
      </c>
      <c r="B127" s="380" t="s">
        <v>5777</v>
      </c>
      <c r="C127" s="380" t="s">
        <v>5931</v>
      </c>
      <c r="D127" s="381" t="s">
        <v>6451</v>
      </c>
      <c r="E127" s="381" t="s">
        <v>7579</v>
      </c>
      <c r="F127" s="382" t="s">
        <v>7580</v>
      </c>
      <c r="G127" s="383">
        <v>1.5</v>
      </c>
      <c r="H127" s="384" t="s">
        <v>2762</v>
      </c>
      <c r="I127" s="385" t="s">
        <v>2236</v>
      </c>
      <c r="J127" s="385" t="s">
        <v>4</v>
      </c>
      <c r="K127" s="385"/>
      <c r="L127" s="385"/>
      <c r="M127" s="385"/>
      <c r="N127" s="386"/>
      <c r="O127" s="387"/>
    </row>
    <row r="128" spans="1:15" ht="42" customHeight="1">
      <c r="A128" s="379" t="s">
        <v>5778</v>
      </c>
      <c r="B128" s="380" t="s">
        <v>5777</v>
      </c>
      <c r="C128" s="380" t="s">
        <v>5931</v>
      </c>
      <c r="D128" s="381" t="s">
        <v>6452</v>
      </c>
      <c r="E128" s="381" t="s">
        <v>7581</v>
      </c>
      <c r="F128" s="382" t="s">
        <v>7582</v>
      </c>
      <c r="G128" s="383">
        <v>1.5</v>
      </c>
      <c r="H128" s="384" t="s">
        <v>2762</v>
      </c>
      <c r="I128" s="385" t="s">
        <v>2236</v>
      </c>
      <c r="J128" s="385" t="s">
        <v>4</v>
      </c>
      <c r="K128" s="385"/>
      <c r="L128" s="385"/>
      <c r="M128" s="385"/>
      <c r="N128" s="386"/>
      <c r="O128" s="387"/>
    </row>
    <row r="129" spans="1:15" ht="42" customHeight="1">
      <c r="A129" s="379" t="s">
        <v>5779</v>
      </c>
      <c r="B129" s="380" t="s">
        <v>5777</v>
      </c>
      <c r="C129" s="380" t="s">
        <v>5931</v>
      </c>
      <c r="D129" s="381" t="s">
        <v>6453</v>
      </c>
      <c r="E129" s="381" t="s">
        <v>7583</v>
      </c>
      <c r="F129" s="382" t="s">
        <v>7584</v>
      </c>
      <c r="G129" s="383">
        <v>1</v>
      </c>
      <c r="H129" s="384" t="s">
        <v>2762</v>
      </c>
      <c r="I129" s="385" t="s">
        <v>2236</v>
      </c>
      <c r="J129" s="385" t="s">
        <v>4</v>
      </c>
      <c r="K129" s="385"/>
      <c r="L129" s="385"/>
      <c r="M129" s="385"/>
      <c r="N129" s="386"/>
      <c r="O129" s="387"/>
    </row>
    <row r="130" spans="1:15" ht="42" customHeight="1">
      <c r="A130" s="379" t="s">
        <v>5780</v>
      </c>
      <c r="B130" s="380" t="s">
        <v>5777</v>
      </c>
      <c r="C130" s="380" t="s">
        <v>5931</v>
      </c>
      <c r="D130" s="381" t="s">
        <v>6454</v>
      </c>
      <c r="E130" s="381" t="s">
        <v>7585</v>
      </c>
      <c r="F130" s="382" t="s">
        <v>7586</v>
      </c>
      <c r="G130" s="383">
        <v>1.5</v>
      </c>
      <c r="H130" s="384" t="s">
        <v>2762</v>
      </c>
      <c r="I130" s="385" t="s">
        <v>2236</v>
      </c>
      <c r="J130" s="385" t="s">
        <v>4</v>
      </c>
      <c r="K130" s="385"/>
      <c r="L130" s="385"/>
      <c r="M130" s="385"/>
      <c r="N130" s="386"/>
      <c r="O130" s="387"/>
    </row>
    <row r="131" spans="1:15" ht="42" customHeight="1">
      <c r="A131" s="379" t="s">
        <v>5781</v>
      </c>
      <c r="B131" s="380" t="s">
        <v>5777</v>
      </c>
      <c r="C131" s="380" t="s">
        <v>5931</v>
      </c>
      <c r="D131" s="381" t="s">
        <v>6455</v>
      </c>
      <c r="E131" s="381" t="s">
        <v>7587</v>
      </c>
      <c r="F131" s="382" t="s">
        <v>7588</v>
      </c>
      <c r="G131" s="383">
        <v>1.5</v>
      </c>
      <c r="H131" s="384" t="s">
        <v>2762</v>
      </c>
      <c r="I131" s="385" t="s">
        <v>2236</v>
      </c>
      <c r="J131" s="385" t="s">
        <v>4</v>
      </c>
      <c r="K131" s="385"/>
      <c r="L131" s="385"/>
      <c r="M131" s="385"/>
      <c r="N131" s="386"/>
      <c r="O131" s="387"/>
    </row>
    <row r="132" spans="1:15" ht="42" customHeight="1">
      <c r="A132" s="379" t="s">
        <v>5782</v>
      </c>
      <c r="B132" s="380" t="s">
        <v>5777</v>
      </c>
      <c r="C132" s="380" t="s">
        <v>5931</v>
      </c>
      <c r="D132" s="381" t="s">
        <v>6456</v>
      </c>
      <c r="E132" s="381" t="s">
        <v>7589</v>
      </c>
      <c r="F132" s="382" t="s">
        <v>7590</v>
      </c>
      <c r="G132" s="383">
        <v>2</v>
      </c>
      <c r="H132" s="384" t="s">
        <v>2762</v>
      </c>
      <c r="I132" s="385" t="s">
        <v>2236</v>
      </c>
      <c r="J132" s="385" t="s">
        <v>4</v>
      </c>
      <c r="K132" s="385"/>
      <c r="L132" s="385"/>
      <c r="M132" s="385"/>
      <c r="N132" s="386"/>
      <c r="O132" s="387"/>
    </row>
    <row r="133" spans="1:15" ht="42" customHeight="1">
      <c r="A133" s="379" t="s">
        <v>5783</v>
      </c>
      <c r="B133" s="380" t="s">
        <v>5777</v>
      </c>
      <c r="C133" s="380" t="s">
        <v>5931</v>
      </c>
      <c r="D133" s="381" t="s">
        <v>6457</v>
      </c>
      <c r="E133" s="381" t="s">
        <v>7591</v>
      </c>
      <c r="F133" s="382" t="s">
        <v>7592</v>
      </c>
      <c r="G133" s="383">
        <v>2</v>
      </c>
      <c r="H133" s="384" t="s">
        <v>2762</v>
      </c>
      <c r="I133" s="385" t="s">
        <v>2236</v>
      </c>
      <c r="J133" s="385" t="s">
        <v>4</v>
      </c>
      <c r="K133" s="385"/>
      <c r="L133" s="385"/>
      <c r="M133" s="385"/>
      <c r="N133" s="386"/>
      <c r="O133" s="387"/>
    </row>
    <row r="134" spans="1:15" ht="42" customHeight="1">
      <c r="A134" s="379" t="s">
        <v>5784</v>
      </c>
      <c r="B134" s="380" t="s">
        <v>5777</v>
      </c>
      <c r="C134" s="380" t="s">
        <v>5931</v>
      </c>
      <c r="D134" s="381" t="s">
        <v>6458</v>
      </c>
      <c r="E134" s="381" t="s">
        <v>7593</v>
      </c>
      <c r="F134" s="382" t="s">
        <v>7594</v>
      </c>
      <c r="G134" s="383">
        <v>2</v>
      </c>
      <c r="H134" s="384" t="s">
        <v>2762</v>
      </c>
      <c r="I134" s="385" t="s">
        <v>2236</v>
      </c>
      <c r="J134" s="385" t="s">
        <v>4</v>
      </c>
      <c r="K134" s="385"/>
      <c r="L134" s="385"/>
      <c r="M134" s="385"/>
      <c r="N134" s="386"/>
      <c r="O134" s="387"/>
    </row>
    <row r="135" spans="1:15" ht="42" customHeight="1">
      <c r="A135" s="379" t="s">
        <v>5785</v>
      </c>
      <c r="B135" s="380" t="s">
        <v>5777</v>
      </c>
      <c r="C135" s="380" t="s">
        <v>5931</v>
      </c>
      <c r="D135" s="381" t="s">
        <v>6459</v>
      </c>
      <c r="E135" s="381" t="s">
        <v>7595</v>
      </c>
      <c r="F135" s="382" t="s">
        <v>7596</v>
      </c>
      <c r="G135" s="383">
        <v>2</v>
      </c>
      <c r="H135" s="384" t="s">
        <v>7226</v>
      </c>
      <c r="I135" s="385" t="s">
        <v>2236</v>
      </c>
      <c r="J135" s="385" t="s">
        <v>4</v>
      </c>
      <c r="K135" s="385"/>
      <c r="L135" s="385"/>
      <c r="M135" s="385"/>
      <c r="N135" s="386"/>
      <c r="O135" s="387"/>
    </row>
    <row r="136" spans="1:15" ht="42" customHeight="1">
      <c r="A136" s="379" t="s">
        <v>5786</v>
      </c>
      <c r="B136" s="380" t="s">
        <v>5777</v>
      </c>
      <c r="C136" s="380" t="s">
        <v>5931</v>
      </c>
      <c r="D136" s="381" t="s">
        <v>6460</v>
      </c>
      <c r="E136" s="381" t="s">
        <v>7597</v>
      </c>
      <c r="F136" s="382" t="s">
        <v>7598</v>
      </c>
      <c r="G136" s="383">
        <v>2</v>
      </c>
      <c r="H136" s="384" t="s">
        <v>2762</v>
      </c>
      <c r="I136" s="385" t="s">
        <v>2236</v>
      </c>
      <c r="J136" s="385" t="s">
        <v>4</v>
      </c>
      <c r="K136" s="385"/>
      <c r="L136" s="385"/>
      <c r="M136" s="385"/>
      <c r="N136" s="386"/>
      <c r="O136" s="387"/>
    </row>
    <row r="137" spans="1:15" ht="42" customHeight="1">
      <c r="A137" s="379" t="s">
        <v>5787</v>
      </c>
      <c r="B137" s="380" t="s">
        <v>5777</v>
      </c>
      <c r="C137" s="380" t="s">
        <v>5931</v>
      </c>
      <c r="D137" s="381" t="s">
        <v>6461</v>
      </c>
      <c r="E137" s="381" t="s">
        <v>7599</v>
      </c>
      <c r="F137" s="382" t="s">
        <v>7600</v>
      </c>
      <c r="G137" s="383">
        <v>1.5</v>
      </c>
      <c r="H137" s="384" t="s">
        <v>2762</v>
      </c>
      <c r="I137" s="385" t="s">
        <v>2236</v>
      </c>
      <c r="J137" s="385" t="s">
        <v>4</v>
      </c>
      <c r="K137" s="385"/>
      <c r="L137" s="385"/>
      <c r="M137" s="385"/>
      <c r="N137" s="386"/>
      <c r="O137" s="387"/>
    </row>
    <row r="138" spans="1:15" ht="42" customHeight="1">
      <c r="A138" s="379" t="s">
        <v>5788</v>
      </c>
      <c r="B138" s="380" t="s">
        <v>5777</v>
      </c>
      <c r="C138" s="380" t="s">
        <v>5931</v>
      </c>
      <c r="D138" s="381" t="s">
        <v>6462</v>
      </c>
      <c r="E138" s="381" t="s">
        <v>7601</v>
      </c>
      <c r="F138" s="382" t="s">
        <v>7602</v>
      </c>
      <c r="G138" s="383">
        <v>1.5</v>
      </c>
      <c r="H138" s="384" t="s">
        <v>2762</v>
      </c>
      <c r="I138" s="385" t="s">
        <v>2236</v>
      </c>
      <c r="J138" s="385" t="s">
        <v>4</v>
      </c>
      <c r="K138" s="385"/>
      <c r="L138" s="385"/>
      <c r="M138" s="385"/>
      <c r="N138" s="386"/>
      <c r="O138" s="387"/>
    </row>
    <row r="139" spans="1:15" ht="42" customHeight="1">
      <c r="A139" s="379" t="s">
        <v>5789</v>
      </c>
      <c r="B139" s="380" t="s">
        <v>5777</v>
      </c>
      <c r="C139" s="380" t="s">
        <v>5931</v>
      </c>
      <c r="D139" s="381" t="s">
        <v>6463</v>
      </c>
      <c r="E139" s="381" t="s">
        <v>7603</v>
      </c>
      <c r="F139" s="382" t="s">
        <v>7604</v>
      </c>
      <c r="G139" s="383">
        <v>2</v>
      </c>
      <c r="H139" s="384" t="s">
        <v>6740</v>
      </c>
      <c r="I139" s="385" t="s">
        <v>2236</v>
      </c>
      <c r="J139" s="385" t="s">
        <v>4</v>
      </c>
      <c r="K139" s="385"/>
      <c r="L139" s="385"/>
      <c r="M139" s="385"/>
      <c r="N139" s="386"/>
      <c r="O139" s="387"/>
    </row>
    <row r="140" spans="1:15" ht="42" customHeight="1">
      <c r="A140" s="379" t="s">
        <v>5790</v>
      </c>
      <c r="B140" s="380" t="s">
        <v>5777</v>
      </c>
      <c r="C140" s="380" t="s">
        <v>5931</v>
      </c>
      <c r="D140" s="381" t="s">
        <v>6464</v>
      </c>
      <c r="E140" s="381" t="s">
        <v>7605</v>
      </c>
      <c r="F140" s="382" t="s">
        <v>7606</v>
      </c>
      <c r="G140" s="383">
        <v>2</v>
      </c>
      <c r="H140" s="384" t="s">
        <v>6842</v>
      </c>
      <c r="I140" s="385" t="s">
        <v>2236</v>
      </c>
      <c r="J140" s="385" t="s">
        <v>4</v>
      </c>
      <c r="K140" s="385"/>
      <c r="L140" s="385"/>
      <c r="M140" s="385"/>
      <c r="N140" s="386"/>
      <c r="O140" s="387"/>
    </row>
    <row r="141" spans="1:15" ht="42" customHeight="1">
      <c r="A141" s="379" t="s">
        <v>5791</v>
      </c>
      <c r="B141" s="380" t="s">
        <v>5777</v>
      </c>
      <c r="C141" s="380" t="s">
        <v>5931</v>
      </c>
      <c r="D141" s="381" t="s">
        <v>6465</v>
      </c>
      <c r="E141" s="381" t="s">
        <v>7607</v>
      </c>
      <c r="F141" s="382" t="s">
        <v>7608</v>
      </c>
      <c r="G141" s="383">
        <v>1.5</v>
      </c>
      <c r="H141" s="384" t="s">
        <v>2762</v>
      </c>
      <c r="I141" s="385" t="s">
        <v>2236</v>
      </c>
      <c r="J141" s="385" t="s">
        <v>4</v>
      </c>
      <c r="K141" s="385"/>
      <c r="L141" s="385"/>
      <c r="M141" s="385"/>
      <c r="N141" s="386"/>
      <c r="O141" s="387"/>
    </row>
    <row r="142" spans="1:15" ht="42" customHeight="1">
      <c r="A142" s="379" t="s">
        <v>5792</v>
      </c>
      <c r="B142" s="380" t="s">
        <v>5777</v>
      </c>
      <c r="C142" s="380" t="s">
        <v>5931</v>
      </c>
      <c r="D142" s="381" t="s">
        <v>6466</v>
      </c>
      <c r="E142" s="381" t="s">
        <v>7609</v>
      </c>
      <c r="F142" s="382" t="s">
        <v>7610</v>
      </c>
      <c r="G142" s="383">
        <v>2</v>
      </c>
      <c r="H142" s="384" t="s">
        <v>2762</v>
      </c>
      <c r="I142" s="385" t="s">
        <v>2236</v>
      </c>
      <c r="J142" s="385" t="s">
        <v>4</v>
      </c>
      <c r="K142" s="385"/>
      <c r="L142" s="385"/>
      <c r="M142" s="385"/>
      <c r="N142" s="386"/>
      <c r="O142" s="387"/>
    </row>
    <row r="143" spans="1:15" ht="42" customHeight="1">
      <c r="A143" s="379" t="s">
        <v>5793</v>
      </c>
      <c r="B143" s="380" t="s">
        <v>5777</v>
      </c>
      <c r="C143" s="380" t="s">
        <v>5931</v>
      </c>
      <c r="D143" s="381" t="s">
        <v>6467</v>
      </c>
      <c r="E143" s="381" t="s">
        <v>7611</v>
      </c>
      <c r="F143" s="382" t="s">
        <v>7612</v>
      </c>
      <c r="G143" s="383">
        <v>2</v>
      </c>
      <c r="H143" s="384" t="s">
        <v>2762</v>
      </c>
      <c r="I143" s="385" t="s">
        <v>2236</v>
      </c>
      <c r="J143" s="385" t="s">
        <v>4</v>
      </c>
      <c r="K143" s="385"/>
      <c r="L143" s="385"/>
      <c r="M143" s="385"/>
      <c r="N143" s="386"/>
      <c r="O143" s="387"/>
    </row>
    <row r="144" spans="1:15" ht="42" customHeight="1">
      <c r="A144" s="379" t="s">
        <v>5794</v>
      </c>
      <c r="B144" s="380" t="s">
        <v>5777</v>
      </c>
      <c r="C144" s="380" t="s">
        <v>5931</v>
      </c>
      <c r="D144" s="381" t="s">
        <v>6468</v>
      </c>
      <c r="E144" s="381" t="s">
        <v>7613</v>
      </c>
      <c r="F144" s="382" t="s">
        <v>7614</v>
      </c>
      <c r="G144" s="383">
        <v>1</v>
      </c>
      <c r="H144" s="384" t="s">
        <v>2762</v>
      </c>
      <c r="I144" s="385" t="s">
        <v>2236</v>
      </c>
      <c r="J144" s="385" t="s">
        <v>4</v>
      </c>
      <c r="K144" s="385"/>
      <c r="L144" s="385"/>
      <c r="M144" s="385"/>
      <c r="N144" s="386"/>
      <c r="O144" s="387"/>
    </row>
    <row r="145" spans="1:15" ht="42" customHeight="1">
      <c r="A145" s="379" t="s">
        <v>5795</v>
      </c>
      <c r="B145" s="380" t="s">
        <v>5777</v>
      </c>
      <c r="C145" s="380" t="s">
        <v>5931</v>
      </c>
      <c r="D145" s="381" t="s">
        <v>6469</v>
      </c>
      <c r="E145" s="381" t="s">
        <v>7615</v>
      </c>
      <c r="F145" s="382" t="s">
        <v>7616</v>
      </c>
      <c r="G145" s="383">
        <v>1</v>
      </c>
      <c r="H145" s="384" t="s">
        <v>2762</v>
      </c>
      <c r="I145" s="385" t="s">
        <v>2236</v>
      </c>
      <c r="J145" s="385" t="s">
        <v>4</v>
      </c>
      <c r="K145" s="385"/>
      <c r="L145" s="385"/>
      <c r="M145" s="385"/>
      <c r="N145" s="386"/>
      <c r="O145" s="387"/>
    </row>
    <row r="146" spans="1:15" ht="42" customHeight="1">
      <c r="A146" s="379" t="s">
        <v>5796</v>
      </c>
      <c r="B146" s="380" t="s">
        <v>5777</v>
      </c>
      <c r="C146" s="380" t="s">
        <v>5931</v>
      </c>
      <c r="D146" s="381" t="s">
        <v>6470</v>
      </c>
      <c r="E146" s="381" t="s">
        <v>7617</v>
      </c>
      <c r="F146" s="382" t="s">
        <v>7618</v>
      </c>
      <c r="G146" s="383">
        <v>3</v>
      </c>
      <c r="H146" s="384" t="s">
        <v>2762</v>
      </c>
      <c r="I146" s="385" t="s">
        <v>2236</v>
      </c>
      <c r="J146" s="385" t="s">
        <v>4</v>
      </c>
      <c r="K146" s="385"/>
      <c r="L146" s="385"/>
      <c r="M146" s="385"/>
      <c r="N146" s="386"/>
      <c r="O146" s="387"/>
    </row>
    <row r="147" spans="1:15" ht="42" customHeight="1">
      <c r="A147" s="379" t="s">
        <v>5797</v>
      </c>
      <c r="B147" s="380" t="s">
        <v>5777</v>
      </c>
      <c r="C147" s="380" t="s">
        <v>5931</v>
      </c>
      <c r="D147" s="381" t="s">
        <v>6471</v>
      </c>
      <c r="E147" s="381" t="s">
        <v>7619</v>
      </c>
      <c r="F147" s="382" t="s">
        <v>7620</v>
      </c>
      <c r="G147" s="383">
        <v>4</v>
      </c>
      <c r="H147" s="384" t="s">
        <v>2762</v>
      </c>
      <c r="I147" s="385" t="s">
        <v>2236</v>
      </c>
      <c r="J147" s="385" t="s">
        <v>4</v>
      </c>
      <c r="K147" s="385"/>
      <c r="L147" s="385"/>
      <c r="M147" s="385"/>
      <c r="N147" s="386"/>
      <c r="O147" s="387"/>
    </row>
    <row r="148" spans="1:15" ht="42" customHeight="1">
      <c r="A148" s="379" t="s">
        <v>5798</v>
      </c>
      <c r="B148" s="380" t="s">
        <v>5777</v>
      </c>
      <c r="C148" s="380" t="s">
        <v>5931</v>
      </c>
      <c r="D148" s="381" t="s">
        <v>6472</v>
      </c>
      <c r="E148" s="381" t="s">
        <v>7621</v>
      </c>
      <c r="F148" s="382" t="s">
        <v>7622</v>
      </c>
      <c r="G148" s="383">
        <v>4</v>
      </c>
      <c r="H148" s="384" t="s">
        <v>2762</v>
      </c>
      <c r="I148" s="385" t="s">
        <v>2236</v>
      </c>
      <c r="J148" s="385" t="s">
        <v>4</v>
      </c>
      <c r="K148" s="385"/>
      <c r="L148" s="385"/>
      <c r="M148" s="385"/>
      <c r="N148" s="386"/>
      <c r="O148" s="387"/>
    </row>
    <row r="149" spans="1:15" ht="42" customHeight="1">
      <c r="A149" s="379" t="s">
        <v>5799</v>
      </c>
      <c r="B149" s="380" t="s">
        <v>5777</v>
      </c>
      <c r="C149" s="380" t="s">
        <v>5931</v>
      </c>
      <c r="D149" s="381" t="s">
        <v>6473</v>
      </c>
      <c r="E149" s="381" t="s">
        <v>7623</v>
      </c>
      <c r="F149" s="382" t="s">
        <v>7624</v>
      </c>
      <c r="G149" s="383">
        <v>1.5</v>
      </c>
      <c r="H149" s="384" t="s">
        <v>2762</v>
      </c>
      <c r="I149" s="385" t="s">
        <v>2236</v>
      </c>
      <c r="J149" s="385" t="s">
        <v>4</v>
      </c>
      <c r="K149" s="385"/>
      <c r="L149" s="385"/>
      <c r="M149" s="385"/>
      <c r="N149" s="386"/>
      <c r="O149" s="387"/>
    </row>
    <row r="150" spans="1:15" ht="42" customHeight="1">
      <c r="A150" s="379" t="s">
        <v>5800</v>
      </c>
      <c r="B150" s="380" t="s">
        <v>5777</v>
      </c>
      <c r="C150" s="380" t="s">
        <v>5931</v>
      </c>
      <c r="D150" s="381" t="s">
        <v>6474</v>
      </c>
      <c r="E150" s="381" t="s">
        <v>7625</v>
      </c>
      <c r="F150" s="382" t="s">
        <v>7626</v>
      </c>
      <c r="G150" s="383">
        <v>5</v>
      </c>
      <c r="H150" s="384" t="s">
        <v>2762</v>
      </c>
      <c r="I150" s="385" t="s">
        <v>2236</v>
      </c>
      <c r="J150" s="385" t="s">
        <v>4</v>
      </c>
      <c r="K150" s="385"/>
      <c r="L150" s="385"/>
      <c r="M150" s="385"/>
      <c r="N150" s="386"/>
      <c r="O150" s="387"/>
    </row>
    <row r="151" spans="1:15" ht="42" customHeight="1">
      <c r="A151" s="379" t="s">
        <v>5801</v>
      </c>
      <c r="B151" s="380" t="s">
        <v>5777</v>
      </c>
      <c r="C151" s="380" t="s">
        <v>5931</v>
      </c>
      <c r="D151" s="381" t="s">
        <v>6475</v>
      </c>
      <c r="E151" s="381" t="s">
        <v>7627</v>
      </c>
      <c r="F151" s="382" t="s">
        <v>7628</v>
      </c>
      <c r="G151" s="383">
        <v>2</v>
      </c>
      <c r="H151" s="384" t="s">
        <v>2762</v>
      </c>
      <c r="I151" s="385" t="s">
        <v>2236</v>
      </c>
      <c r="J151" s="385" t="s">
        <v>4</v>
      </c>
      <c r="K151" s="385"/>
      <c r="L151" s="385"/>
      <c r="M151" s="385"/>
      <c r="N151" s="386"/>
      <c r="O151" s="387"/>
    </row>
    <row r="152" spans="1:15" ht="42" customHeight="1">
      <c r="A152" s="379" t="s">
        <v>5802</v>
      </c>
      <c r="B152" s="380" t="s">
        <v>5777</v>
      </c>
      <c r="C152" s="380" t="s">
        <v>5931</v>
      </c>
      <c r="D152" s="381" t="s">
        <v>6476</v>
      </c>
      <c r="E152" s="381" t="s">
        <v>7629</v>
      </c>
      <c r="F152" s="382" t="s">
        <v>7630</v>
      </c>
      <c r="G152" s="383">
        <v>3</v>
      </c>
      <c r="H152" s="384" t="s">
        <v>6976</v>
      </c>
      <c r="I152" s="385" t="s">
        <v>2236</v>
      </c>
      <c r="J152" s="385" t="s">
        <v>4</v>
      </c>
      <c r="K152" s="385"/>
      <c r="L152" s="385"/>
      <c r="M152" s="385"/>
      <c r="N152" s="386"/>
      <c r="O152" s="387"/>
    </row>
    <row r="153" spans="1:15" ht="42" customHeight="1">
      <c r="A153" s="379" t="s">
        <v>5803</v>
      </c>
      <c r="B153" s="380" t="s">
        <v>5777</v>
      </c>
      <c r="C153" s="380" t="s">
        <v>5931</v>
      </c>
      <c r="D153" s="381" t="s">
        <v>6477</v>
      </c>
      <c r="E153" s="381" t="s">
        <v>7631</v>
      </c>
      <c r="F153" s="382" t="s">
        <v>7632</v>
      </c>
      <c r="G153" s="383">
        <v>2</v>
      </c>
      <c r="H153" s="384" t="s">
        <v>6905</v>
      </c>
      <c r="I153" s="385" t="s">
        <v>2236</v>
      </c>
      <c r="J153" s="385" t="s">
        <v>4</v>
      </c>
      <c r="K153" s="385"/>
      <c r="L153" s="385"/>
      <c r="M153" s="385"/>
      <c r="N153" s="386"/>
      <c r="O153" s="387"/>
    </row>
    <row r="154" spans="1:15" ht="42" customHeight="1">
      <c r="A154" s="379" t="s">
        <v>5804</v>
      </c>
      <c r="B154" s="380" t="s">
        <v>5777</v>
      </c>
      <c r="C154" s="380" t="s">
        <v>5524</v>
      </c>
      <c r="D154" s="381" t="s">
        <v>6478</v>
      </c>
      <c r="E154" s="381" t="s">
        <v>7250</v>
      </c>
      <c r="F154" s="382" t="s">
        <v>7251</v>
      </c>
      <c r="G154" s="383">
        <v>3</v>
      </c>
      <c r="H154" s="384" t="s">
        <v>2762</v>
      </c>
      <c r="I154" s="385" t="s">
        <v>2236</v>
      </c>
      <c r="J154" s="385" t="s">
        <v>4</v>
      </c>
      <c r="K154" s="385"/>
      <c r="L154" s="385"/>
      <c r="M154" s="385"/>
      <c r="N154" s="386"/>
      <c r="O154" s="387"/>
    </row>
    <row r="155" spans="1:15" ht="42" customHeight="1">
      <c r="A155" s="379" t="s">
        <v>5805</v>
      </c>
      <c r="B155" s="380" t="s">
        <v>5777</v>
      </c>
      <c r="C155" s="380" t="s">
        <v>5524</v>
      </c>
      <c r="D155" s="381" t="s">
        <v>6479</v>
      </c>
      <c r="E155" s="381" t="s">
        <v>7252</v>
      </c>
      <c r="F155" s="382" t="s">
        <v>7253</v>
      </c>
      <c r="G155" s="383">
        <v>1.5</v>
      </c>
      <c r="H155" s="384" t="s">
        <v>2762</v>
      </c>
      <c r="I155" s="385" t="s">
        <v>2236</v>
      </c>
      <c r="J155" s="385" t="s">
        <v>4</v>
      </c>
      <c r="K155" s="385"/>
      <c r="L155" s="385"/>
      <c r="M155" s="385"/>
      <c r="N155" s="386"/>
      <c r="O155" s="387"/>
    </row>
    <row r="156" spans="1:15" ht="42" customHeight="1">
      <c r="A156" s="379" t="s">
        <v>5806</v>
      </c>
      <c r="B156" s="380" t="s">
        <v>5777</v>
      </c>
      <c r="C156" s="380" t="s">
        <v>5524</v>
      </c>
      <c r="D156" s="381" t="s">
        <v>6480</v>
      </c>
      <c r="E156" s="381" t="s">
        <v>7254</v>
      </c>
      <c r="F156" s="382" t="s">
        <v>7255</v>
      </c>
      <c r="G156" s="383">
        <v>1.5</v>
      </c>
      <c r="H156" s="384" t="s">
        <v>2762</v>
      </c>
      <c r="I156" s="385" t="s">
        <v>2236</v>
      </c>
      <c r="J156" s="385" t="s">
        <v>4</v>
      </c>
      <c r="K156" s="385"/>
      <c r="L156" s="385"/>
      <c r="M156" s="385"/>
      <c r="N156" s="386"/>
      <c r="O156" s="387"/>
    </row>
    <row r="157" spans="1:15" ht="42" customHeight="1">
      <c r="A157" s="379" t="s">
        <v>5807</v>
      </c>
      <c r="B157" s="380" t="s">
        <v>5777</v>
      </c>
      <c r="C157" s="380" t="s">
        <v>5524</v>
      </c>
      <c r="D157" s="381" t="s">
        <v>6481</v>
      </c>
      <c r="E157" s="381" t="s">
        <v>7256</v>
      </c>
      <c r="F157" s="382" t="s">
        <v>7257</v>
      </c>
      <c r="G157" s="383">
        <v>1.5</v>
      </c>
      <c r="H157" s="384" t="s">
        <v>2762</v>
      </c>
      <c r="I157" s="385" t="s">
        <v>2236</v>
      </c>
      <c r="J157" s="385" t="s">
        <v>4</v>
      </c>
      <c r="K157" s="385"/>
      <c r="L157" s="385"/>
      <c r="M157" s="385"/>
      <c r="N157" s="386"/>
      <c r="O157" s="387"/>
    </row>
    <row r="158" spans="1:15" ht="42" customHeight="1">
      <c r="A158" s="379" t="s">
        <v>5808</v>
      </c>
      <c r="B158" s="380" t="s">
        <v>5777</v>
      </c>
      <c r="C158" s="380" t="s">
        <v>5524</v>
      </c>
      <c r="D158" s="381" t="s">
        <v>6482</v>
      </c>
      <c r="E158" s="381" t="s">
        <v>7258</v>
      </c>
      <c r="F158" s="382" t="s">
        <v>7259</v>
      </c>
      <c r="G158" s="383">
        <v>1</v>
      </c>
      <c r="H158" s="384" t="s">
        <v>2762</v>
      </c>
      <c r="I158" s="385" t="s">
        <v>2236</v>
      </c>
      <c r="J158" s="385" t="s">
        <v>4</v>
      </c>
      <c r="K158" s="385"/>
      <c r="L158" s="385"/>
      <c r="M158" s="385"/>
      <c r="N158" s="386"/>
      <c r="O158" s="387"/>
    </row>
    <row r="159" spans="1:15" ht="42" customHeight="1">
      <c r="A159" s="379" t="s">
        <v>5809</v>
      </c>
      <c r="B159" s="380" t="s">
        <v>5777</v>
      </c>
      <c r="C159" s="380" t="s">
        <v>5524</v>
      </c>
      <c r="D159" s="381" t="s">
        <v>6483</v>
      </c>
      <c r="E159" s="381" t="s">
        <v>7260</v>
      </c>
      <c r="F159" s="382" t="s">
        <v>7261</v>
      </c>
      <c r="G159" s="383">
        <v>1</v>
      </c>
      <c r="H159" s="384" t="s">
        <v>2762</v>
      </c>
      <c r="I159" s="385" t="s">
        <v>2236</v>
      </c>
      <c r="J159" s="385" t="s">
        <v>4</v>
      </c>
      <c r="K159" s="385"/>
      <c r="L159" s="385"/>
      <c r="M159" s="385"/>
      <c r="N159" s="386"/>
      <c r="O159" s="387"/>
    </row>
    <row r="160" spans="1:15" ht="42" customHeight="1">
      <c r="A160" s="379" t="s">
        <v>5810</v>
      </c>
      <c r="B160" s="380" t="s">
        <v>5777</v>
      </c>
      <c r="C160" s="380" t="s">
        <v>5524</v>
      </c>
      <c r="D160" s="381" t="s">
        <v>6484</v>
      </c>
      <c r="E160" s="381" t="s">
        <v>7262</v>
      </c>
      <c r="F160" s="382" t="s">
        <v>7263</v>
      </c>
      <c r="G160" s="383">
        <v>1</v>
      </c>
      <c r="H160" s="384" t="s">
        <v>2762</v>
      </c>
      <c r="I160" s="385" t="s">
        <v>2236</v>
      </c>
      <c r="J160" s="385" t="s">
        <v>4</v>
      </c>
      <c r="K160" s="385"/>
      <c r="L160" s="385"/>
      <c r="M160" s="385"/>
      <c r="N160" s="386"/>
      <c r="O160" s="387"/>
    </row>
    <row r="161" spans="1:15" ht="42" customHeight="1">
      <c r="A161" s="379" t="s">
        <v>5811</v>
      </c>
      <c r="B161" s="380" t="s">
        <v>5777</v>
      </c>
      <c r="C161" s="380" t="s">
        <v>5524</v>
      </c>
      <c r="D161" s="381" t="s">
        <v>6485</v>
      </c>
      <c r="E161" s="381" t="s">
        <v>7264</v>
      </c>
      <c r="F161" s="382" t="s">
        <v>7265</v>
      </c>
      <c r="G161" s="383">
        <v>2</v>
      </c>
      <c r="H161" s="384" t="s">
        <v>2762</v>
      </c>
      <c r="I161" s="385" t="s">
        <v>2236</v>
      </c>
      <c r="J161" s="385" t="s">
        <v>4</v>
      </c>
      <c r="K161" s="385"/>
      <c r="L161" s="385"/>
      <c r="M161" s="385"/>
      <c r="N161" s="386"/>
      <c r="O161" s="387"/>
    </row>
    <row r="162" spans="1:15" ht="42" customHeight="1">
      <c r="A162" s="379" t="s">
        <v>5812</v>
      </c>
      <c r="B162" s="380" t="s">
        <v>5777</v>
      </c>
      <c r="C162" s="380" t="s">
        <v>5524</v>
      </c>
      <c r="D162" s="381" t="s">
        <v>6486</v>
      </c>
      <c r="E162" s="381" t="s">
        <v>7266</v>
      </c>
      <c r="F162" s="382" t="s">
        <v>7267</v>
      </c>
      <c r="G162" s="383">
        <v>0</v>
      </c>
      <c r="H162" s="384" t="s">
        <v>2762</v>
      </c>
      <c r="I162" s="385" t="s">
        <v>2236</v>
      </c>
      <c r="J162" s="385" t="s">
        <v>7006</v>
      </c>
      <c r="K162" s="385"/>
      <c r="L162" s="385"/>
      <c r="M162" s="385"/>
      <c r="N162" s="386"/>
      <c r="O162" s="387"/>
    </row>
    <row r="163" spans="1:15" ht="42" customHeight="1">
      <c r="A163" s="379" t="s">
        <v>5813</v>
      </c>
      <c r="B163" s="380" t="s">
        <v>5777</v>
      </c>
      <c r="C163" s="380" t="s">
        <v>5524</v>
      </c>
      <c r="D163" s="381" t="s">
        <v>6487</v>
      </c>
      <c r="E163" s="381" t="s">
        <v>7268</v>
      </c>
      <c r="F163" s="382" t="s">
        <v>7267</v>
      </c>
      <c r="G163" s="383">
        <v>0</v>
      </c>
      <c r="H163" s="384" t="s">
        <v>2762</v>
      </c>
      <c r="I163" s="385" t="s">
        <v>2236</v>
      </c>
      <c r="J163" s="385" t="s">
        <v>7006</v>
      </c>
      <c r="K163" s="385"/>
      <c r="L163" s="385"/>
      <c r="M163" s="385"/>
      <c r="N163" s="386"/>
      <c r="O163" s="387"/>
    </row>
    <row r="164" spans="1:15" ht="42" customHeight="1">
      <c r="A164" s="379" t="s">
        <v>5814</v>
      </c>
      <c r="B164" s="380" t="s">
        <v>5777</v>
      </c>
      <c r="C164" s="380" t="s">
        <v>5524</v>
      </c>
      <c r="D164" s="381" t="s">
        <v>6488</v>
      </c>
      <c r="E164" s="381" t="s">
        <v>7269</v>
      </c>
      <c r="F164" s="382" t="s">
        <v>7267</v>
      </c>
      <c r="G164" s="383">
        <v>0</v>
      </c>
      <c r="H164" s="384" t="s">
        <v>2762</v>
      </c>
      <c r="I164" s="385" t="s">
        <v>2236</v>
      </c>
      <c r="J164" s="385" t="s">
        <v>7006</v>
      </c>
      <c r="K164" s="385"/>
      <c r="L164" s="385"/>
      <c r="M164" s="385"/>
      <c r="N164" s="386"/>
      <c r="O164" s="387"/>
    </row>
    <row r="165" spans="1:15" ht="42" customHeight="1">
      <c r="A165" s="379" t="s">
        <v>5815</v>
      </c>
      <c r="B165" s="380" t="s">
        <v>5777</v>
      </c>
      <c r="C165" s="380" t="s">
        <v>5524</v>
      </c>
      <c r="D165" s="381" t="s">
        <v>6489</v>
      </c>
      <c r="E165" s="381" t="s">
        <v>7270</v>
      </c>
      <c r="F165" s="382" t="s">
        <v>7267</v>
      </c>
      <c r="G165" s="383">
        <v>0</v>
      </c>
      <c r="H165" s="384" t="s">
        <v>2762</v>
      </c>
      <c r="I165" s="385" t="s">
        <v>2236</v>
      </c>
      <c r="J165" s="385" t="s">
        <v>7006</v>
      </c>
      <c r="K165" s="385"/>
      <c r="L165" s="385"/>
      <c r="M165" s="385"/>
      <c r="N165" s="386"/>
      <c r="O165" s="387"/>
    </row>
    <row r="166" spans="1:15" ht="42" customHeight="1">
      <c r="A166" s="379" t="s">
        <v>5816</v>
      </c>
      <c r="B166" s="380" t="s">
        <v>5777</v>
      </c>
      <c r="C166" s="380" t="s">
        <v>5524</v>
      </c>
      <c r="D166" s="381" t="s">
        <v>6490</v>
      </c>
      <c r="E166" s="381" t="s">
        <v>7271</v>
      </c>
      <c r="F166" s="382" t="s">
        <v>7267</v>
      </c>
      <c r="G166" s="383">
        <v>0</v>
      </c>
      <c r="H166" s="384" t="s">
        <v>2762</v>
      </c>
      <c r="I166" s="385" t="s">
        <v>2236</v>
      </c>
      <c r="J166" s="385" t="s">
        <v>7006</v>
      </c>
      <c r="K166" s="385"/>
      <c r="L166" s="385"/>
      <c r="M166" s="385"/>
      <c r="N166" s="386"/>
      <c r="O166" s="387"/>
    </row>
    <row r="167" spans="1:15" ht="42" customHeight="1">
      <c r="A167" s="379" t="s">
        <v>5817</v>
      </c>
      <c r="B167" s="380" t="s">
        <v>5777</v>
      </c>
      <c r="C167" s="380" t="s">
        <v>5524</v>
      </c>
      <c r="D167" s="381" t="s">
        <v>6491</v>
      </c>
      <c r="E167" s="381" t="s">
        <v>7272</v>
      </c>
      <c r="F167" s="382" t="s">
        <v>7267</v>
      </c>
      <c r="G167" s="383">
        <v>0</v>
      </c>
      <c r="H167" s="384" t="s">
        <v>2762</v>
      </c>
      <c r="I167" s="385" t="s">
        <v>2236</v>
      </c>
      <c r="J167" s="385" t="s">
        <v>7006</v>
      </c>
      <c r="K167" s="385"/>
      <c r="L167" s="385"/>
      <c r="M167" s="385"/>
      <c r="N167" s="386"/>
      <c r="O167" s="387"/>
    </row>
    <row r="168" spans="1:15" ht="42" customHeight="1">
      <c r="A168" s="379" t="s">
        <v>5818</v>
      </c>
      <c r="B168" s="380" t="s">
        <v>5777</v>
      </c>
      <c r="C168" s="380" t="s">
        <v>5524</v>
      </c>
      <c r="D168" s="381" t="s">
        <v>6492</v>
      </c>
      <c r="E168" s="381" t="s">
        <v>7273</v>
      </c>
      <c r="F168" s="382" t="s">
        <v>7274</v>
      </c>
      <c r="G168" s="383">
        <v>4</v>
      </c>
      <c r="H168" s="384" t="s">
        <v>7227</v>
      </c>
      <c r="I168" s="385" t="s">
        <v>2236</v>
      </c>
      <c r="J168" s="385" t="s">
        <v>4</v>
      </c>
      <c r="K168" s="385"/>
      <c r="L168" s="385"/>
      <c r="M168" s="385"/>
      <c r="N168" s="386"/>
      <c r="O168" s="387"/>
    </row>
    <row r="169" spans="1:15" ht="42" customHeight="1">
      <c r="A169" s="379" t="s">
        <v>5819</v>
      </c>
      <c r="B169" s="380" t="s">
        <v>5777</v>
      </c>
      <c r="C169" s="380" t="s">
        <v>5524</v>
      </c>
      <c r="D169" s="381" t="s">
        <v>6493</v>
      </c>
      <c r="E169" s="381" t="s">
        <v>7275</v>
      </c>
      <c r="F169" s="382" t="s">
        <v>7276</v>
      </c>
      <c r="G169" s="383">
        <v>3.5</v>
      </c>
      <c r="H169" s="384" t="s">
        <v>7228</v>
      </c>
      <c r="I169" s="385" t="s">
        <v>2236</v>
      </c>
      <c r="J169" s="385" t="s">
        <v>4</v>
      </c>
      <c r="K169" s="385"/>
      <c r="L169" s="385"/>
      <c r="M169" s="385"/>
      <c r="N169" s="386"/>
      <c r="O169" s="387"/>
    </row>
    <row r="170" spans="1:15" ht="42" customHeight="1">
      <c r="A170" s="379" t="s">
        <v>5820</v>
      </c>
      <c r="B170" s="380" t="s">
        <v>5777</v>
      </c>
      <c r="C170" s="380" t="s">
        <v>5524</v>
      </c>
      <c r="D170" s="381" t="s">
        <v>6494</v>
      </c>
      <c r="E170" s="381" t="s">
        <v>7277</v>
      </c>
      <c r="F170" s="382" t="s">
        <v>7278</v>
      </c>
      <c r="G170" s="383">
        <v>2.5</v>
      </c>
      <c r="H170" s="384" t="s">
        <v>7229</v>
      </c>
      <c r="I170" s="385" t="s">
        <v>2236</v>
      </c>
      <c r="J170" s="385" t="s">
        <v>4</v>
      </c>
      <c r="K170" s="385"/>
      <c r="L170" s="385"/>
      <c r="M170" s="385"/>
      <c r="N170" s="386"/>
      <c r="O170" s="387"/>
    </row>
    <row r="171" spans="1:15" ht="42" customHeight="1">
      <c r="A171" s="379" t="s">
        <v>5821</v>
      </c>
      <c r="B171" s="380" t="s">
        <v>5777</v>
      </c>
      <c r="C171" s="380" t="s">
        <v>5524</v>
      </c>
      <c r="D171" s="381" t="s">
        <v>6495</v>
      </c>
      <c r="E171" s="381" t="s">
        <v>7279</v>
      </c>
      <c r="F171" s="382" t="s">
        <v>7280</v>
      </c>
      <c r="G171" s="383">
        <v>3</v>
      </c>
      <c r="H171" s="384" t="s">
        <v>7230</v>
      </c>
      <c r="I171" s="385" t="s">
        <v>2236</v>
      </c>
      <c r="J171" s="385" t="s">
        <v>4</v>
      </c>
      <c r="K171" s="385"/>
      <c r="L171" s="385"/>
      <c r="M171" s="385"/>
      <c r="N171" s="386"/>
      <c r="O171" s="387"/>
    </row>
    <row r="172" spans="1:15" ht="42" customHeight="1">
      <c r="A172" s="379" t="s">
        <v>5822</v>
      </c>
      <c r="B172" s="380" t="s">
        <v>5777</v>
      </c>
      <c r="C172" s="380" t="s">
        <v>5524</v>
      </c>
      <c r="D172" s="381" t="s">
        <v>6496</v>
      </c>
      <c r="E172" s="381" t="s">
        <v>7281</v>
      </c>
      <c r="F172" s="382" t="s">
        <v>7282</v>
      </c>
      <c r="G172" s="383">
        <v>3</v>
      </c>
      <c r="H172" s="384" t="s">
        <v>6919</v>
      </c>
      <c r="I172" s="385" t="s">
        <v>2236</v>
      </c>
      <c r="J172" s="385" t="s">
        <v>4</v>
      </c>
      <c r="K172" s="385"/>
      <c r="L172" s="385"/>
      <c r="M172" s="385"/>
      <c r="N172" s="386"/>
      <c r="O172" s="387"/>
    </row>
    <row r="173" spans="1:15" ht="42" customHeight="1">
      <c r="A173" s="379" t="s">
        <v>5823</v>
      </c>
      <c r="B173" s="380" t="s">
        <v>5777</v>
      </c>
      <c r="C173" s="380" t="s">
        <v>5524</v>
      </c>
      <c r="D173" s="381" t="s">
        <v>6497</v>
      </c>
      <c r="E173" s="381" t="s">
        <v>7283</v>
      </c>
      <c r="F173" s="382" t="s">
        <v>7284</v>
      </c>
      <c r="G173" s="383">
        <v>2</v>
      </c>
      <c r="H173" s="384" t="s">
        <v>6848</v>
      </c>
      <c r="I173" s="385" t="s">
        <v>2236</v>
      </c>
      <c r="J173" s="385" t="s">
        <v>4</v>
      </c>
      <c r="K173" s="385"/>
      <c r="L173" s="385"/>
      <c r="M173" s="385"/>
      <c r="N173" s="386"/>
      <c r="O173" s="387"/>
    </row>
    <row r="174" spans="1:15" ht="42" customHeight="1">
      <c r="A174" s="379" t="s">
        <v>5824</v>
      </c>
      <c r="B174" s="380" t="s">
        <v>5777</v>
      </c>
      <c r="C174" s="380" t="s">
        <v>5524</v>
      </c>
      <c r="D174" s="381" t="s">
        <v>6498</v>
      </c>
      <c r="E174" s="381" t="s">
        <v>7285</v>
      </c>
      <c r="F174" s="382" t="s">
        <v>7286</v>
      </c>
      <c r="G174" s="383">
        <v>3</v>
      </c>
      <c r="H174" s="384" t="s">
        <v>6899</v>
      </c>
      <c r="I174" s="385" t="s">
        <v>2236</v>
      </c>
      <c r="J174" s="385" t="s">
        <v>4</v>
      </c>
      <c r="K174" s="385"/>
      <c r="L174" s="385"/>
      <c r="M174" s="385"/>
      <c r="N174" s="386"/>
      <c r="O174" s="387"/>
    </row>
    <row r="175" spans="1:15" ht="42" customHeight="1">
      <c r="A175" s="379" t="s">
        <v>5825</v>
      </c>
      <c r="B175" s="380" t="s">
        <v>5777</v>
      </c>
      <c r="C175" s="380" t="s">
        <v>5524</v>
      </c>
      <c r="D175" s="381" t="s">
        <v>6499</v>
      </c>
      <c r="E175" s="381" t="s">
        <v>7287</v>
      </c>
      <c r="F175" s="382" t="s">
        <v>7288</v>
      </c>
      <c r="G175" s="383">
        <v>3</v>
      </c>
      <c r="H175" s="384" t="s">
        <v>6902</v>
      </c>
      <c r="I175" s="385" t="s">
        <v>2236</v>
      </c>
      <c r="J175" s="385" t="s">
        <v>4</v>
      </c>
      <c r="K175" s="385"/>
      <c r="L175" s="385"/>
      <c r="M175" s="385"/>
      <c r="N175" s="386"/>
      <c r="O175" s="387"/>
    </row>
    <row r="176" spans="1:15" ht="42" customHeight="1">
      <c r="A176" s="379" t="s">
        <v>7007</v>
      </c>
      <c r="B176" s="380" t="s">
        <v>5777</v>
      </c>
      <c r="C176" s="380" t="s">
        <v>5524</v>
      </c>
      <c r="D176" s="381" t="s">
        <v>7008</v>
      </c>
      <c r="E176" s="381" t="s">
        <v>7397</v>
      </c>
      <c r="F176" s="382" t="s">
        <v>7398</v>
      </c>
      <c r="G176" s="383">
        <v>0.75</v>
      </c>
      <c r="H176" s="384" t="s">
        <v>6734</v>
      </c>
      <c r="I176" s="385" t="s">
        <v>6992</v>
      </c>
      <c r="J176" s="385" t="s">
        <v>4</v>
      </c>
      <c r="K176" s="385"/>
      <c r="L176" s="385"/>
      <c r="M176" s="385" t="s">
        <v>6735</v>
      </c>
      <c r="N176" s="386" t="s">
        <v>7009</v>
      </c>
      <c r="O176" s="387" t="s">
        <v>6737</v>
      </c>
    </row>
    <row r="177" spans="1:15" ht="42" customHeight="1">
      <c r="A177" s="379" t="s">
        <v>7010</v>
      </c>
      <c r="B177" s="380" t="s">
        <v>5777</v>
      </c>
      <c r="C177" s="380" t="s">
        <v>5524</v>
      </c>
      <c r="D177" s="381" t="s">
        <v>7011</v>
      </c>
      <c r="E177" s="381" t="s">
        <v>7399</v>
      </c>
      <c r="F177" s="382" t="s">
        <v>7400</v>
      </c>
      <c r="G177" s="383">
        <v>1</v>
      </c>
      <c r="H177" s="384" t="s">
        <v>6740</v>
      </c>
      <c r="I177" s="385" t="s">
        <v>6992</v>
      </c>
      <c r="J177" s="385" t="s">
        <v>4</v>
      </c>
      <c r="K177" s="385"/>
      <c r="L177" s="385"/>
      <c r="M177" s="385" t="s">
        <v>6735</v>
      </c>
      <c r="N177" s="386" t="s">
        <v>7009</v>
      </c>
      <c r="O177" s="387" t="s">
        <v>6742</v>
      </c>
    </row>
    <row r="178" spans="1:15" ht="42" customHeight="1">
      <c r="A178" s="379" t="s">
        <v>7012</v>
      </c>
      <c r="B178" s="380" t="s">
        <v>5777</v>
      </c>
      <c r="C178" s="380" t="s">
        <v>5524</v>
      </c>
      <c r="D178" s="381" t="s">
        <v>7013</v>
      </c>
      <c r="E178" s="381" t="s">
        <v>7401</v>
      </c>
      <c r="F178" s="382" t="s">
        <v>7402</v>
      </c>
      <c r="G178" s="383">
        <v>0.5</v>
      </c>
      <c r="H178" s="384" t="s">
        <v>6743</v>
      </c>
      <c r="I178" s="385" t="s">
        <v>6992</v>
      </c>
      <c r="J178" s="385" t="s">
        <v>4</v>
      </c>
      <c r="K178" s="385"/>
      <c r="L178" s="385"/>
      <c r="M178" s="385" t="s">
        <v>6735</v>
      </c>
      <c r="N178" s="386" t="s">
        <v>6610</v>
      </c>
      <c r="O178" s="387" t="s">
        <v>6745</v>
      </c>
    </row>
    <row r="179" spans="1:15" ht="42" customHeight="1">
      <c r="A179" s="379" t="s">
        <v>7014</v>
      </c>
      <c r="B179" s="380" t="s">
        <v>5777</v>
      </c>
      <c r="C179" s="380" t="s">
        <v>5524</v>
      </c>
      <c r="D179" s="381" t="s">
        <v>7015</v>
      </c>
      <c r="E179" s="381" t="s">
        <v>7403</v>
      </c>
      <c r="F179" s="382" t="s">
        <v>7404</v>
      </c>
      <c r="G179" s="383">
        <v>0.5</v>
      </c>
      <c r="H179" s="384" t="s">
        <v>6746</v>
      </c>
      <c r="I179" s="385" t="s">
        <v>6992</v>
      </c>
      <c r="J179" s="385" t="s">
        <v>4</v>
      </c>
      <c r="K179" s="385"/>
      <c r="L179" s="385"/>
      <c r="M179" s="385" t="s">
        <v>6735</v>
      </c>
      <c r="N179" s="386" t="s">
        <v>6610</v>
      </c>
      <c r="O179" s="387" t="s">
        <v>6748</v>
      </c>
    </row>
    <row r="180" spans="1:15" ht="42" customHeight="1">
      <c r="A180" s="379" t="s">
        <v>7016</v>
      </c>
      <c r="B180" s="380" t="s">
        <v>5777</v>
      </c>
      <c r="C180" s="380" t="s">
        <v>5524</v>
      </c>
      <c r="D180" s="381" t="s">
        <v>7017</v>
      </c>
      <c r="E180" s="381" t="s">
        <v>7405</v>
      </c>
      <c r="F180" s="382" t="s">
        <v>7406</v>
      </c>
      <c r="G180" s="383">
        <v>0.75</v>
      </c>
      <c r="H180" s="384" t="s">
        <v>6749</v>
      </c>
      <c r="I180" s="385" t="s">
        <v>6992</v>
      </c>
      <c r="J180" s="385" t="s">
        <v>4</v>
      </c>
      <c r="K180" s="385"/>
      <c r="L180" s="385"/>
      <c r="M180" s="385" t="s">
        <v>6735</v>
      </c>
      <c r="N180" s="386" t="s">
        <v>7009</v>
      </c>
      <c r="O180" s="387" t="s">
        <v>6751</v>
      </c>
    </row>
    <row r="181" spans="1:15" ht="42" customHeight="1">
      <c r="A181" s="379" t="s">
        <v>7018</v>
      </c>
      <c r="B181" s="380" t="s">
        <v>5777</v>
      </c>
      <c r="C181" s="380" t="s">
        <v>5524</v>
      </c>
      <c r="D181" s="381" t="s">
        <v>7019</v>
      </c>
      <c r="E181" s="381" t="s">
        <v>7407</v>
      </c>
      <c r="F181" s="382" t="s">
        <v>7408</v>
      </c>
      <c r="G181" s="383">
        <v>0.75</v>
      </c>
      <c r="H181" s="384" t="s">
        <v>6753</v>
      </c>
      <c r="I181" s="385" t="s">
        <v>6992</v>
      </c>
      <c r="J181" s="385" t="s">
        <v>4</v>
      </c>
      <c r="K181" s="385"/>
      <c r="L181" s="385"/>
      <c r="M181" s="385" t="s">
        <v>6735</v>
      </c>
      <c r="N181" s="386" t="s">
        <v>7009</v>
      </c>
      <c r="O181" s="387" t="s">
        <v>6755</v>
      </c>
    </row>
    <row r="182" spans="1:15" ht="42" customHeight="1">
      <c r="A182" s="379" t="s">
        <v>7020</v>
      </c>
      <c r="B182" s="380" t="s">
        <v>5777</v>
      </c>
      <c r="C182" s="380" t="s">
        <v>5524</v>
      </c>
      <c r="D182" s="381" t="s">
        <v>7021</v>
      </c>
      <c r="E182" s="381" t="s">
        <v>7409</v>
      </c>
      <c r="F182" s="382" t="s">
        <v>7410</v>
      </c>
      <c r="G182" s="383">
        <v>1</v>
      </c>
      <c r="H182" s="384" t="s">
        <v>6756</v>
      </c>
      <c r="I182" s="385" t="s">
        <v>6992</v>
      </c>
      <c r="J182" s="385" t="s">
        <v>4</v>
      </c>
      <c r="K182" s="385"/>
      <c r="L182" s="385"/>
      <c r="M182" s="385" t="s">
        <v>6735</v>
      </c>
      <c r="N182" s="386" t="s">
        <v>7009</v>
      </c>
      <c r="O182" s="387" t="s">
        <v>6758</v>
      </c>
    </row>
    <row r="183" spans="1:15" ht="42" customHeight="1">
      <c r="A183" s="379" t="s">
        <v>7022</v>
      </c>
      <c r="B183" s="380" t="s">
        <v>5777</v>
      </c>
      <c r="C183" s="380" t="s">
        <v>5524</v>
      </c>
      <c r="D183" s="381" t="s">
        <v>7023</v>
      </c>
      <c r="E183" s="381" t="s">
        <v>7411</v>
      </c>
      <c r="F183" s="382" t="s">
        <v>7412</v>
      </c>
      <c r="G183" s="383">
        <v>0.5</v>
      </c>
      <c r="H183" s="384" t="s">
        <v>6759</v>
      </c>
      <c r="I183" s="385" t="s">
        <v>6992</v>
      </c>
      <c r="J183" s="385" t="s">
        <v>4</v>
      </c>
      <c r="K183" s="385"/>
      <c r="L183" s="385"/>
      <c r="M183" s="385" t="s">
        <v>6735</v>
      </c>
      <c r="N183" s="386" t="s">
        <v>6610</v>
      </c>
      <c r="O183" s="387" t="s">
        <v>6761</v>
      </c>
    </row>
    <row r="184" spans="1:15" ht="42" customHeight="1">
      <c r="A184" s="379" t="s">
        <v>7024</v>
      </c>
      <c r="B184" s="380" t="s">
        <v>5777</v>
      </c>
      <c r="C184" s="380" t="s">
        <v>5524</v>
      </c>
      <c r="D184" s="381" t="s">
        <v>7025</v>
      </c>
      <c r="E184" s="381" t="s">
        <v>7413</v>
      </c>
      <c r="F184" s="382" t="s">
        <v>7414</v>
      </c>
      <c r="G184" s="383">
        <v>0.75</v>
      </c>
      <c r="H184" s="384" t="s">
        <v>6762</v>
      </c>
      <c r="I184" s="385" t="s">
        <v>6992</v>
      </c>
      <c r="J184" s="385" t="s">
        <v>4</v>
      </c>
      <c r="K184" s="385"/>
      <c r="L184" s="385"/>
      <c r="M184" s="385" t="s">
        <v>6735</v>
      </c>
      <c r="N184" s="386" t="s">
        <v>7009</v>
      </c>
      <c r="O184" s="387" t="s">
        <v>6764</v>
      </c>
    </row>
    <row r="185" spans="1:15" ht="42" customHeight="1">
      <c r="A185" s="379" t="s">
        <v>7026</v>
      </c>
      <c r="B185" s="380" t="s">
        <v>5777</v>
      </c>
      <c r="C185" s="380" t="s">
        <v>5524</v>
      </c>
      <c r="D185" s="381" t="s">
        <v>7027</v>
      </c>
      <c r="E185" s="381" t="s">
        <v>7415</v>
      </c>
      <c r="F185" s="382" t="s">
        <v>7416</v>
      </c>
      <c r="G185" s="383">
        <v>0.5</v>
      </c>
      <c r="H185" s="384" t="s">
        <v>6765</v>
      </c>
      <c r="I185" s="385" t="s">
        <v>6992</v>
      </c>
      <c r="J185" s="385" t="s">
        <v>4</v>
      </c>
      <c r="K185" s="385"/>
      <c r="L185" s="385"/>
      <c r="M185" s="385" t="s">
        <v>6735</v>
      </c>
      <c r="N185" s="386" t="s">
        <v>6610</v>
      </c>
      <c r="O185" s="387" t="s">
        <v>6767</v>
      </c>
    </row>
    <row r="186" spans="1:15" ht="42" customHeight="1">
      <c r="A186" s="379" t="s">
        <v>7028</v>
      </c>
      <c r="B186" s="380" t="s">
        <v>5777</v>
      </c>
      <c r="C186" s="380" t="s">
        <v>5524</v>
      </c>
      <c r="D186" s="381" t="s">
        <v>7029</v>
      </c>
      <c r="E186" s="381" t="s">
        <v>7417</v>
      </c>
      <c r="F186" s="382" t="s">
        <v>7418</v>
      </c>
      <c r="G186" s="383">
        <v>0.75</v>
      </c>
      <c r="H186" s="384" t="s">
        <v>6769</v>
      </c>
      <c r="I186" s="385" t="s">
        <v>6992</v>
      </c>
      <c r="J186" s="385" t="s">
        <v>4</v>
      </c>
      <c r="K186" s="385"/>
      <c r="L186" s="385"/>
      <c r="M186" s="385" t="s">
        <v>6735</v>
      </c>
      <c r="N186" s="386" t="s">
        <v>7009</v>
      </c>
      <c r="O186" s="387" t="s">
        <v>6767</v>
      </c>
    </row>
    <row r="187" spans="1:15" ht="42" customHeight="1">
      <c r="A187" s="379" t="s">
        <v>7030</v>
      </c>
      <c r="B187" s="380" t="s">
        <v>5777</v>
      </c>
      <c r="C187" s="380" t="s">
        <v>5524</v>
      </c>
      <c r="D187" s="381" t="s">
        <v>7031</v>
      </c>
      <c r="E187" s="381" t="s">
        <v>7419</v>
      </c>
      <c r="F187" s="382" t="s">
        <v>7420</v>
      </c>
      <c r="G187" s="383">
        <v>0.5</v>
      </c>
      <c r="H187" s="384" t="s">
        <v>6771</v>
      </c>
      <c r="I187" s="385" t="s">
        <v>6992</v>
      </c>
      <c r="J187" s="385" t="s">
        <v>4</v>
      </c>
      <c r="K187" s="385"/>
      <c r="L187" s="385"/>
      <c r="M187" s="385" t="s">
        <v>6735</v>
      </c>
      <c r="N187" s="386" t="s">
        <v>6610</v>
      </c>
      <c r="O187" s="387" t="s">
        <v>6773</v>
      </c>
    </row>
    <row r="188" spans="1:15" ht="42" customHeight="1">
      <c r="A188" s="379" t="s">
        <v>7032</v>
      </c>
      <c r="B188" s="380" t="s">
        <v>5777</v>
      </c>
      <c r="C188" s="380" t="s">
        <v>5524</v>
      </c>
      <c r="D188" s="381" t="s">
        <v>7033</v>
      </c>
      <c r="E188" s="381" t="s">
        <v>7421</v>
      </c>
      <c r="F188" s="382" t="s">
        <v>7422</v>
      </c>
      <c r="G188" s="383">
        <v>0.5</v>
      </c>
      <c r="H188" s="384" t="s">
        <v>6774</v>
      </c>
      <c r="I188" s="385" t="s">
        <v>6992</v>
      </c>
      <c r="J188" s="385" t="s">
        <v>4</v>
      </c>
      <c r="K188" s="385"/>
      <c r="L188" s="385"/>
      <c r="M188" s="385" t="s">
        <v>6735</v>
      </c>
      <c r="N188" s="386" t="s">
        <v>6610</v>
      </c>
      <c r="O188" s="387" t="s">
        <v>6773</v>
      </c>
    </row>
    <row r="189" spans="1:15" ht="42" customHeight="1">
      <c r="A189" s="379" t="s">
        <v>7034</v>
      </c>
      <c r="B189" s="380" t="s">
        <v>5777</v>
      </c>
      <c r="C189" s="380" t="s">
        <v>5524</v>
      </c>
      <c r="D189" s="381" t="s">
        <v>7035</v>
      </c>
      <c r="E189" s="381" t="s">
        <v>7423</v>
      </c>
      <c r="F189" s="382" t="s">
        <v>7424</v>
      </c>
      <c r="G189" s="383">
        <v>0.5</v>
      </c>
      <c r="H189" s="384" t="s">
        <v>6776</v>
      </c>
      <c r="I189" s="385" t="s">
        <v>6992</v>
      </c>
      <c r="J189" s="385" t="s">
        <v>4</v>
      </c>
      <c r="K189" s="385"/>
      <c r="L189" s="385"/>
      <c r="M189" s="385" t="s">
        <v>6735</v>
      </c>
      <c r="N189" s="386" t="s">
        <v>6610</v>
      </c>
      <c r="O189" s="387" t="s">
        <v>1430</v>
      </c>
    </row>
    <row r="190" spans="1:15" ht="42" customHeight="1">
      <c r="A190" s="379" t="s">
        <v>7036</v>
      </c>
      <c r="B190" s="380" t="s">
        <v>5777</v>
      </c>
      <c r="C190" s="380" t="s">
        <v>5524</v>
      </c>
      <c r="D190" s="381" t="s">
        <v>7037</v>
      </c>
      <c r="E190" s="381" t="s">
        <v>7425</v>
      </c>
      <c r="F190" s="382" t="s">
        <v>7426</v>
      </c>
      <c r="G190" s="383">
        <v>0.5</v>
      </c>
      <c r="H190" s="384" t="s">
        <v>6778</v>
      </c>
      <c r="I190" s="385" t="s">
        <v>6992</v>
      </c>
      <c r="J190" s="385" t="s">
        <v>4</v>
      </c>
      <c r="K190" s="385"/>
      <c r="L190" s="385"/>
      <c r="M190" s="385" t="s">
        <v>6735</v>
      </c>
      <c r="N190" s="386" t="s">
        <v>6610</v>
      </c>
      <c r="O190" s="387" t="s">
        <v>1432</v>
      </c>
    </row>
    <row r="191" spans="1:15" ht="42" customHeight="1">
      <c r="A191" s="379" t="s">
        <v>7038</v>
      </c>
      <c r="B191" s="380" t="s">
        <v>5777</v>
      </c>
      <c r="C191" s="380" t="s">
        <v>5524</v>
      </c>
      <c r="D191" s="381" t="s">
        <v>7039</v>
      </c>
      <c r="E191" s="381" t="s">
        <v>7427</v>
      </c>
      <c r="F191" s="382" t="s">
        <v>7428</v>
      </c>
      <c r="G191" s="383">
        <v>0.5</v>
      </c>
      <c r="H191" s="384" t="s">
        <v>6781</v>
      </c>
      <c r="I191" s="385" t="s">
        <v>6992</v>
      </c>
      <c r="J191" s="385" t="s">
        <v>4</v>
      </c>
      <c r="K191" s="385"/>
      <c r="L191" s="385"/>
      <c r="M191" s="385" t="s">
        <v>6735</v>
      </c>
      <c r="N191" s="386" t="s">
        <v>6610</v>
      </c>
      <c r="O191" s="387" t="s">
        <v>1432</v>
      </c>
    </row>
    <row r="192" spans="1:15" ht="42" customHeight="1">
      <c r="A192" s="379" t="s">
        <v>7040</v>
      </c>
      <c r="B192" s="380" t="s">
        <v>5777</v>
      </c>
      <c r="C192" s="380" t="s">
        <v>5524</v>
      </c>
      <c r="D192" s="381" t="s">
        <v>7041</v>
      </c>
      <c r="E192" s="381" t="s">
        <v>7429</v>
      </c>
      <c r="F192" s="382" t="s">
        <v>7430</v>
      </c>
      <c r="G192" s="383">
        <v>0.75</v>
      </c>
      <c r="H192" s="384" t="s">
        <v>6783</v>
      </c>
      <c r="I192" s="385" t="s">
        <v>6992</v>
      </c>
      <c r="J192" s="385" t="s">
        <v>4</v>
      </c>
      <c r="K192" s="385"/>
      <c r="L192" s="385"/>
      <c r="M192" s="385" t="s">
        <v>6735</v>
      </c>
      <c r="N192" s="386" t="s">
        <v>7009</v>
      </c>
      <c r="O192" s="387" t="s">
        <v>6785</v>
      </c>
    </row>
    <row r="193" spans="1:15" ht="42" customHeight="1">
      <c r="A193" s="379" t="s">
        <v>7042</v>
      </c>
      <c r="B193" s="380" t="s">
        <v>5777</v>
      </c>
      <c r="C193" s="380" t="s">
        <v>5524</v>
      </c>
      <c r="D193" s="381" t="s">
        <v>7043</v>
      </c>
      <c r="E193" s="381" t="s">
        <v>7431</v>
      </c>
      <c r="F193" s="382" t="s">
        <v>7432</v>
      </c>
      <c r="G193" s="383">
        <v>0.5</v>
      </c>
      <c r="H193" s="384" t="s">
        <v>6786</v>
      </c>
      <c r="I193" s="385" t="s">
        <v>6992</v>
      </c>
      <c r="J193" s="385" t="s">
        <v>4</v>
      </c>
      <c r="K193" s="385"/>
      <c r="L193" s="385"/>
      <c r="M193" s="385" t="s">
        <v>6735</v>
      </c>
      <c r="N193" s="386" t="s">
        <v>6610</v>
      </c>
      <c r="O193" s="387" t="s">
        <v>40</v>
      </c>
    </row>
    <row r="194" spans="1:15" ht="42" customHeight="1">
      <c r="A194" s="379" t="s">
        <v>7044</v>
      </c>
      <c r="B194" s="380" t="s">
        <v>5777</v>
      </c>
      <c r="C194" s="380" t="s">
        <v>5524</v>
      </c>
      <c r="D194" s="381" t="s">
        <v>7045</v>
      </c>
      <c r="E194" s="381" t="s">
        <v>7433</v>
      </c>
      <c r="F194" s="382" t="s">
        <v>7434</v>
      </c>
      <c r="G194" s="383">
        <v>0.5</v>
      </c>
      <c r="H194" s="384" t="s">
        <v>6788</v>
      </c>
      <c r="I194" s="385" t="s">
        <v>6992</v>
      </c>
      <c r="J194" s="385" t="s">
        <v>4</v>
      </c>
      <c r="K194" s="385"/>
      <c r="L194" s="385"/>
      <c r="M194" s="385" t="s">
        <v>6735</v>
      </c>
      <c r="N194" s="386" t="s">
        <v>6610</v>
      </c>
      <c r="O194" s="387" t="s">
        <v>6767</v>
      </c>
    </row>
    <row r="195" spans="1:15" ht="42" customHeight="1">
      <c r="A195" s="379" t="s">
        <v>7046</v>
      </c>
      <c r="B195" s="380" t="s">
        <v>5777</v>
      </c>
      <c r="C195" s="380" t="s">
        <v>5524</v>
      </c>
      <c r="D195" s="381" t="s">
        <v>7047</v>
      </c>
      <c r="E195" s="381" t="s">
        <v>7435</v>
      </c>
      <c r="F195" s="382" t="s">
        <v>7436</v>
      </c>
      <c r="G195" s="383">
        <v>0.5</v>
      </c>
      <c r="H195" s="384" t="s">
        <v>6790</v>
      </c>
      <c r="I195" s="385" t="s">
        <v>6992</v>
      </c>
      <c r="J195" s="385" t="s">
        <v>4</v>
      </c>
      <c r="K195" s="385"/>
      <c r="L195" s="385"/>
      <c r="M195" s="385" t="s">
        <v>6735</v>
      </c>
      <c r="N195" s="386" t="s">
        <v>6610</v>
      </c>
      <c r="O195" s="387" t="s">
        <v>6792</v>
      </c>
    </row>
    <row r="196" spans="1:15" ht="42" customHeight="1">
      <c r="A196" s="379" t="s">
        <v>7048</v>
      </c>
      <c r="B196" s="380" t="s">
        <v>5777</v>
      </c>
      <c r="C196" s="380" t="s">
        <v>5524</v>
      </c>
      <c r="D196" s="381" t="s">
        <v>7049</v>
      </c>
      <c r="E196" s="381" t="s">
        <v>7437</v>
      </c>
      <c r="F196" s="382" t="s">
        <v>7438</v>
      </c>
      <c r="G196" s="383">
        <v>0.5</v>
      </c>
      <c r="H196" s="384" t="s">
        <v>6794</v>
      </c>
      <c r="I196" s="385" t="s">
        <v>6992</v>
      </c>
      <c r="J196" s="385" t="s">
        <v>4</v>
      </c>
      <c r="K196" s="385"/>
      <c r="L196" s="385"/>
      <c r="M196" s="385" t="s">
        <v>6735</v>
      </c>
      <c r="N196" s="386" t="s">
        <v>6610</v>
      </c>
      <c r="O196" s="387" t="s">
        <v>6796</v>
      </c>
    </row>
    <row r="197" spans="1:15" ht="42" customHeight="1">
      <c r="A197" s="379" t="s">
        <v>7050</v>
      </c>
      <c r="B197" s="380" t="s">
        <v>5777</v>
      </c>
      <c r="C197" s="380" t="s">
        <v>5524</v>
      </c>
      <c r="D197" s="381" t="s">
        <v>7051</v>
      </c>
      <c r="E197" s="381" t="s">
        <v>7439</v>
      </c>
      <c r="F197" s="382" t="s">
        <v>7440</v>
      </c>
      <c r="G197" s="383">
        <v>0.5</v>
      </c>
      <c r="H197" s="384" t="s">
        <v>6797</v>
      </c>
      <c r="I197" s="385" t="s">
        <v>6992</v>
      </c>
      <c r="J197" s="385" t="s">
        <v>4</v>
      </c>
      <c r="K197" s="385"/>
      <c r="L197" s="385"/>
      <c r="M197" s="385" t="s">
        <v>6735</v>
      </c>
      <c r="N197" s="386" t="s">
        <v>6610</v>
      </c>
      <c r="O197" s="387" t="s">
        <v>2633</v>
      </c>
    </row>
    <row r="198" spans="1:15" ht="42" customHeight="1">
      <c r="A198" s="379" t="s">
        <v>7052</v>
      </c>
      <c r="B198" s="380" t="s">
        <v>5777</v>
      </c>
      <c r="C198" s="380" t="s">
        <v>5524</v>
      </c>
      <c r="D198" s="381" t="s">
        <v>7053</v>
      </c>
      <c r="E198" s="381" t="s">
        <v>7441</v>
      </c>
      <c r="F198" s="382" t="s">
        <v>7442</v>
      </c>
      <c r="G198" s="383">
        <v>0.75</v>
      </c>
      <c r="H198" s="384" t="s">
        <v>6799</v>
      </c>
      <c r="I198" s="385" t="s">
        <v>6992</v>
      </c>
      <c r="J198" s="385" t="s">
        <v>4</v>
      </c>
      <c r="K198" s="385"/>
      <c r="L198" s="385"/>
      <c r="M198" s="385" t="s">
        <v>6800</v>
      </c>
      <c r="N198" s="386" t="s">
        <v>7009</v>
      </c>
      <c r="O198" s="387" t="s">
        <v>6802</v>
      </c>
    </row>
    <row r="199" spans="1:15" ht="42" customHeight="1">
      <c r="A199" s="379" t="s">
        <v>7054</v>
      </c>
      <c r="B199" s="380" t="s">
        <v>5777</v>
      </c>
      <c r="C199" s="380" t="s">
        <v>5524</v>
      </c>
      <c r="D199" s="381" t="s">
        <v>7055</v>
      </c>
      <c r="E199" s="381" t="s">
        <v>7443</v>
      </c>
      <c r="F199" s="382" t="s">
        <v>7444</v>
      </c>
      <c r="G199" s="383">
        <v>0.5</v>
      </c>
      <c r="H199" s="384" t="s">
        <v>6804</v>
      </c>
      <c r="I199" s="385" t="s">
        <v>6992</v>
      </c>
      <c r="J199" s="385" t="s">
        <v>4</v>
      </c>
      <c r="K199" s="385"/>
      <c r="L199" s="385"/>
      <c r="M199" s="385" t="s">
        <v>6800</v>
      </c>
      <c r="N199" s="386" t="s">
        <v>6610</v>
      </c>
      <c r="O199" s="387" t="s">
        <v>6806</v>
      </c>
    </row>
    <row r="200" spans="1:15" ht="42" customHeight="1">
      <c r="A200" s="379" t="s">
        <v>7056</v>
      </c>
      <c r="B200" s="380" t="s">
        <v>5777</v>
      </c>
      <c r="C200" s="380" t="s">
        <v>5524</v>
      </c>
      <c r="D200" s="381" t="s">
        <v>7057</v>
      </c>
      <c r="E200" s="381" t="s">
        <v>7445</v>
      </c>
      <c r="F200" s="382" t="s">
        <v>7446</v>
      </c>
      <c r="G200" s="383">
        <v>1</v>
      </c>
      <c r="H200" s="384" t="s">
        <v>6807</v>
      </c>
      <c r="I200" s="385" t="s">
        <v>6992</v>
      </c>
      <c r="J200" s="385" t="s">
        <v>4</v>
      </c>
      <c r="K200" s="385"/>
      <c r="L200" s="385"/>
      <c r="M200" s="385" t="s">
        <v>6800</v>
      </c>
      <c r="N200" s="386" t="s">
        <v>7009</v>
      </c>
      <c r="O200" s="387" t="s">
        <v>6809</v>
      </c>
    </row>
    <row r="201" spans="1:15" ht="42" customHeight="1">
      <c r="A201" s="379" t="s">
        <v>7058</v>
      </c>
      <c r="B201" s="380" t="s">
        <v>5777</v>
      </c>
      <c r="C201" s="380" t="s">
        <v>5524</v>
      </c>
      <c r="D201" s="381" t="s">
        <v>7059</v>
      </c>
      <c r="E201" s="381" t="s">
        <v>7447</v>
      </c>
      <c r="F201" s="382" t="s">
        <v>7448</v>
      </c>
      <c r="G201" s="383">
        <v>0.75</v>
      </c>
      <c r="H201" s="384" t="s">
        <v>6811</v>
      </c>
      <c r="I201" s="385" t="s">
        <v>6992</v>
      </c>
      <c r="J201" s="385" t="s">
        <v>4</v>
      </c>
      <c r="K201" s="385"/>
      <c r="L201" s="385"/>
      <c r="M201" s="385" t="s">
        <v>6800</v>
      </c>
      <c r="N201" s="386" t="s">
        <v>7009</v>
      </c>
      <c r="O201" s="387" t="s">
        <v>6813</v>
      </c>
    </row>
    <row r="202" spans="1:15" ht="42" customHeight="1">
      <c r="A202" s="379" t="s">
        <v>7060</v>
      </c>
      <c r="B202" s="380" t="s">
        <v>5777</v>
      </c>
      <c r="C202" s="380" t="s">
        <v>5524</v>
      </c>
      <c r="D202" s="381" t="s">
        <v>7061</v>
      </c>
      <c r="E202" s="381" t="s">
        <v>7449</v>
      </c>
      <c r="F202" s="382" t="s">
        <v>7450</v>
      </c>
      <c r="G202" s="383">
        <v>1</v>
      </c>
      <c r="H202" s="384" t="s">
        <v>6814</v>
      </c>
      <c r="I202" s="385" t="s">
        <v>6992</v>
      </c>
      <c r="J202" s="385" t="s">
        <v>4</v>
      </c>
      <c r="K202" s="385"/>
      <c r="L202" s="385"/>
      <c r="M202" s="385" t="s">
        <v>6800</v>
      </c>
      <c r="N202" s="386" t="s">
        <v>7009</v>
      </c>
      <c r="O202" s="387" t="s">
        <v>6816</v>
      </c>
    </row>
    <row r="203" spans="1:15" ht="42" customHeight="1">
      <c r="A203" s="379" t="s">
        <v>7062</v>
      </c>
      <c r="B203" s="380" t="s">
        <v>5777</v>
      </c>
      <c r="C203" s="380" t="s">
        <v>5524</v>
      </c>
      <c r="D203" s="381" t="s">
        <v>7063</v>
      </c>
      <c r="E203" s="381" t="s">
        <v>7451</v>
      </c>
      <c r="F203" s="382" t="s">
        <v>7452</v>
      </c>
      <c r="G203" s="383">
        <v>0.5</v>
      </c>
      <c r="H203" s="384" t="s">
        <v>6817</v>
      </c>
      <c r="I203" s="385" t="s">
        <v>6992</v>
      </c>
      <c r="J203" s="385" t="s">
        <v>4</v>
      </c>
      <c r="K203" s="385"/>
      <c r="L203" s="385"/>
      <c r="M203" s="385" t="s">
        <v>6800</v>
      </c>
      <c r="N203" s="386" t="s">
        <v>6610</v>
      </c>
      <c r="O203" s="387" t="s">
        <v>511</v>
      </c>
    </row>
    <row r="204" spans="1:15" ht="42" customHeight="1">
      <c r="A204" s="379" t="s">
        <v>7064</v>
      </c>
      <c r="B204" s="380" t="s">
        <v>5777</v>
      </c>
      <c r="C204" s="380" t="s">
        <v>5524</v>
      </c>
      <c r="D204" s="381" t="s">
        <v>7065</v>
      </c>
      <c r="E204" s="381" t="s">
        <v>7453</v>
      </c>
      <c r="F204" s="382" t="s">
        <v>7454</v>
      </c>
      <c r="G204" s="383">
        <v>0.5</v>
      </c>
      <c r="H204" s="384" t="s">
        <v>6819</v>
      </c>
      <c r="I204" s="385" t="s">
        <v>6992</v>
      </c>
      <c r="J204" s="385" t="s">
        <v>4</v>
      </c>
      <c r="K204" s="385"/>
      <c r="L204" s="385"/>
      <c r="M204" s="385" t="s">
        <v>6800</v>
      </c>
      <c r="N204" s="386" t="s">
        <v>6628</v>
      </c>
      <c r="O204" s="387" t="s">
        <v>2610</v>
      </c>
    </row>
    <row r="205" spans="1:15" ht="42" customHeight="1">
      <c r="A205" s="379" t="s">
        <v>7066</v>
      </c>
      <c r="B205" s="380" t="s">
        <v>5777</v>
      </c>
      <c r="C205" s="380" t="s">
        <v>5524</v>
      </c>
      <c r="D205" s="381" t="s">
        <v>7067</v>
      </c>
      <c r="E205" s="381" t="s">
        <v>7455</v>
      </c>
      <c r="F205" s="382" t="s">
        <v>7456</v>
      </c>
      <c r="G205" s="383">
        <v>1</v>
      </c>
      <c r="H205" s="384" t="s">
        <v>6821</v>
      </c>
      <c r="I205" s="385" t="s">
        <v>6992</v>
      </c>
      <c r="J205" s="385" t="s">
        <v>4</v>
      </c>
      <c r="K205" s="385"/>
      <c r="L205" s="385"/>
      <c r="M205" s="385" t="s">
        <v>6800</v>
      </c>
      <c r="N205" s="386" t="s">
        <v>7009</v>
      </c>
      <c r="O205" s="387" t="s">
        <v>914</v>
      </c>
    </row>
    <row r="206" spans="1:15" ht="42" customHeight="1">
      <c r="A206" s="379" t="s">
        <v>7068</v>
      </c>
      <c r="B206" s="380" t="s">
        <v>5777</v>
      </c>
      <c r="C206" s="380" t="s">
        <v>5524</v>
      </c>
      <c r="D206" s="381" t="s">
        <v>7069</v>
      </c>
      <c r="E206" s="381" t="s">
        <v>7457</v>
      </c>
      <c r="F206" s="382" t="s">
        <v>7458</v>
      </c>
      <c r="G206" s="383">
        <v>0.75</v>
      </c>
      <c r="H206" s="384" t="s">
        <v>6824</v>
      </c>
      <c r="I206" s="385" t="s">
        <v>6992</v>
      </c>
      <c r="J206" s="385" t="s">
        <v>4</v>
      </c>
      <c r="K206" s="385"/>
      <c r="L206" s="385"/>
      <c r="M206" s="385" t="s">
        <v>6800</v>
      </c>
      <c r="N206" s="386" t="s">
        <v>7009</v>
      </c>
      <c r="O206" s="387" t="s">
        <v>909</v>
      </c>
    </row>
    <row r="207" spans="1:15" ht="42" customHeight="1">
      <c r="A207" s="379" t="s">
        <v>7070</v>
      </c>
      <c r="B207" s="380" t="s">
        <v>5777</v>
      </c>
      <c r="C207" s="380" t="s">
        <v>5524</v>
      </c>
      <c r="D207" s="381" t="s">
        <v>7071</v>
      </c>
      <c r="E207" s="381" t="s">
        <v>7459</v>
      </c>
      <c r="F207" s="382" t="s">
        <v>7460</v>
      </c>
      <c r="G207" s="383">
        <v>0.75</v>
      </c>
      <c r="H207" s="384" t="s">
        <v>6826</v>
      </c>
      <c r="I207" s="385" t="s">
        <v>6992</v>
      </c>
      <c r="J207" s="385" t="s">
        <v>4</v>
      </c>
      <c r="K207" s="385"/>
      <c r="L207" s="385"/>
      <c r="M207" s="385" t="s">
        <v>6800</v>
      </c>
      <c r="N207" s="386" t="s">
        <v>7009</v>
      </c>
      <c r="O207" s="387" t="s">
        <v>6828</v>
      </c>
    </row>
    <row r="208" spans="1:15" ht="42" customHeight="1">
      <c r="A208" s="379" t="s">
        <v>7072</v>
      </c>
      <c r="B208" s="380" t="s">
        <v>5777</v>
      </c>
      <c r="C208" s="380" t="s">
        <v>5524</v>
      </c>
      <c r="D208" s="381" t="s">
        <v>7073</v>
      </c>
      <c r="E208" s="381" t="s">
        <v>7461</v>
      </c>
      <c r="F208" s="382" t="s">
        <v>7462</v>
      </c>
      <c r="G208" s="383">
        <v>0.75</v>
      </c>
      <c r="H208" s="384" t="s">
        <v>6830</v>
      </c>
      <c r="I208" s="385" t="s">
        <v>6992</v>
      </c>
      <c r="J208" s="385" t="s">
        <v>4</v>
      </c>
      <c r="K208" s="385"/>
      <c r="L208" s="385"/>
      <c r="M208" s="385" t="s">
        <v>6800</v>
      </c>
      <c r="N208" s="386" t="s">
        <v>7009</v>
      </c>
      <c r="O208" s="387" t="s">
        <v>6832</v>
      </c>
    </row>
    <row r="209" spans="1:15" ht="42" customHeight="1">
      <c r="A209" s="379" t="s">
        <v>7074</v>
      </c>
      <c r="B209" s="380" t="s">
        <v>5777</v>
      </c>
      <c r="C209" s="380" t="s">
        <v>5524</v>
      </c>
      <c r="D209" s="381" t="s">
        <v>7075</v>
      </c>
      <c r="E209" s="381" t="s">
        <v>7463</v>
      </c>
      <c r="F209" s="382" t="s">
        <v>7464</v>
      </c>
      <c r="G209" s="383">
        <v>1</v>
      </c>
      <c r="H209" s="384" t="s">
        <v>6833</v>
      </c>
      <c r="I209" s="385" t="s">
        <v>6992</v>
      </c>
      <c r="J209" s="385" t="s">
        <v>4</v>
      </c>
      <c r="K209" s="385"/>
      <c r="L209" s="385"/>
      <c r="M209" s="385" t="s">
        <v>6800</v>
      </c>
      <c r="N209" s="386" t="s">
        <v>7009</v>
      </c>
      <c r="O209" s="387" t="s">
        <v>2501</v>
      </c>
    </row>
    <row r="210" spans="1:15" ht="42" customHeight="1">
      <c r="A210" s="379" t="s">
        <v>7076</v>
      </c>
      <c r="B210" s="380" t="s">
        <v>5777</v>
      </c>
      <c r="C210" s="380" t="s">
        <v>5524</v>
      </c>
      <c r="D210" s="381" t="s">
        <v>7077</v>
      </c>
      <c r="E210" s="381" t="s">
        <v>7465</v>
      </c>
      <c r="F210" s="382" t="s">
        <v>7466</v>
      </c>
      <c r="G210" s="383">
        <v>0.5</v>
      </c>
      <c r="H210" s="384" t="s">
        <v>6835</v>
      </c>
      <c r="I210" s="385" t="s">
        <v>6992</v>
      </c>
      <c r="J210" s="385" t="s">
        <v>4</v>
      </c>
      <c r="K210" s="385"/>
      <c r="L210" s="385"/>
      <c r="M210" s="385" t="s">
        <v>6800</v>
      </c>
      <c r="N210" s="386" t="s">
        <v>6610</v>
      </c>
      <c r="O210" s="387" t="s">
        <v>2457</v>
      </c>
    </row>
    <row r="211" spans="1:15" ht="42" customHeight="1">
      <c r="A211" s="379" t="s">
        <v>7078</v>
      </c>
      <c r="B211" s="380" t="s">
        <v>5777</v>
      </c>
      <c r="C211" s="380" t="s">
        <v>5524</v>
      </c>
      <c r="D211" s="381" t="s">
        <v>7079</v>
      </c>
      <c r="E211" s="381" t="s">
        <v>7467</v>
      </c>
      <c r="F211" s="382" t="s">
        <v>7468</v>
      </c>
      <c r="G211" s="383">
        <v>0.5</v>
      </c>
      <c r="H211" s="384" t="s">
        <v>6836</v>
      </c>
      <c r="I211" s="385" t="s">
        <v>6992</v>
      </c>
      <c r="J211" s="385" t="s">
        <v>4</v>
      </c>
      <c r="K211" s="385"/>
      <c r="L211" s="385"/>
      <c r="M211" s="385" t="s">
        <v>6800</v>
      </c>
      <c r="N211" s="386" t="s">
        <v>6610</v>
      </c>
      <c r="O211" s="387" t="s">
        <v>6838</v>
      </c>
    </row>
    <row r="212" spans="1:15" ht="42" customHeight="1">
      <c r="A212" s="379" t="s">
        <v>7080</v>
      </c>
      <c r="B212" s="380" t="s">
        <v>5777</v>
      </c>
      <c r="C212" s="380" t="s">
        <v>5524</v>
      </c>
      <c r="D212" s="381" t="s">
        <v>7081</v>
      </c>
      <c r="E212" s="381" t="s">
        <v>7469</v>
      </c>
      <c r="F212" s="382" t="s">
        <v>7470</v>
      </c>
      <c r="G212" s="383">
        <v>0.5</v>
      </c>
      <c r="H212" s="384" t="s">
        <v>6840</v>
      </c>
      <c r="I212" s="385" t="s">
        <v>6992</v>
      </c>
      <c r="J212" s="385" t="s">
        <v>4</v>
      </c>
      <c r="K212" s="385"/>
      <c r="L212" s="385"/>
      <c r="M212" s="385" t="s">
        <v>6800</v>
      </c>
      <c r="N212" s="386" t="s">
        <v>6610</v>
      </c>
      <c r="O212" s="387" t="s">
        <v>2712</v>
      </c>
    </row>
    <row r="213" spans="1:15" ht="42" customHeight="1">
      <c r="A213" s="379" t="s">
        <v>7082</v>
      </c>
      <c r="B213" s="380" t="s">
        <v>5777</v>
      </c>
      <c r="C213" s="380" t="s">
        <v>5524</v>
      </c>
      <c r="D213" s="381" t="s">
        <v>7083</v>
      </c>
      <c r="E213" s="381" t="s">
        <v>7471</v>
      </c>
      <c r="F213" s="382" t="s">
        <v>7472</v>
      </c>
      <c r="G213" s="383">
        <v>0.5</v>
      </c>
      <c r="H213" s="384" t="s">
        <v>6842</v>
      </c>
      <c r="I213" s="385" t="s">
        <v>6992</v>
      </c>
      <c r="J213" s="385" t="s">
        <v>4</v>
      </c>
      <c r="K213" s="385"/>
      <c r="L213" s="385"/>
      <c r="M213" s="385" t="s">
        <v>6800</v>
      </c>
      <c r="N213" s="386" t="s">
        <v>6610</v>
      </c>
      <c r="O213" s="387" t="s">
        <v>6844</v>
      </c>
    </row>
    <row r="214" spans="1:15" ht="42" customHeight="1">
      <c r="A214" s="379" t="s">
        <v>7084</v>
      </c>
      <c r="B214" s="380" t="s">
        <v>5777</v>
      </c>
      <c r="C214" s="380" t="s">
        <v>5524</v>
      </c>
      <c r="D214" s="381" t="s">
        <v>7085</v>
      </c>
      <c r="E214" s="381" t="s">
        <v>7473</v>
      </c>
      <c r="F214" s="382" t="s">
        <v>7474</v>
      </c>
      <c r="G214" s="383">
        <v>1</v>
      </c>
      <c r="H214" s="384" t="s">
        <v>6845</v>
      </c>
      <c r="I214" s="385" t="s">
        <v>6992</v>
      </c>
      <c r="J214" s="385" t="s">
        <v>4</v>
      </c>
      <c r="K214" s="385"/>
      <c r="L214" s="385"/>
      <c r="M214" s="385" t="s">
        <v>6800</v>
      </c>
      <c r="N214" s="386" t="s">
        <v>7009</v>
      </c>
      <c r="O214" s="387" t="s">
        <v>6847</v>
      </c>
    </row>
    <row r="215" spans="1:15" ht="42" customHeight="1">
      <c r="A215" s="379" t="s">
        <v>7086</v>
      </c>
      <c r="B215" s="380" t="s">
        <v>5777</v>
      </c>
      <c r="C215" s="380" t="s">
        <v>5524</v>
      </c>
      <c r="D215" s="381" t="s">
        <v>7087</v>
      </c>
      <c r="E215" s="381" t="s">
        <v>7475</v>
      </c>
      <c r="F215" s="382" t="s">
        <v>7476</v>
      </c>
      <c r="G215" s="383">
        <v>0.75</v>
      </c>
      <c r="H215" s="384" t="s">
        <v>6848</v>
      </c>
      <c r="I215" s="385" t="s">
        <v>6992</v>
      </c>
      <c r="J215" s="385" t="s">
        <v>4</v>
      </c>
      <c r="K215" s="385"/>
      <c r="L215" s="385"/>
      <c r="M215" s="385" t="s">
        <v>7088</v>
      </c>
      <c r="N215" s="386" t="s">
        <v>7009</v>
      </c>
      <c r="O215" s="387" t="s">
        <v>2641</v>
      </c>
    </row>
    <row r="216" spans="1:15" ht="42" customHeight="1">
      <c r="A216" s="379" t="s">
        <v>7089</v>
      </c>
      <c r="B216" s="380" t="s">
        <v>5777</v>
      </c>
      <c r="C216" s="380" t="s">
        <v>5524</v>
      </c>
      <c r="D216" s="381" t="s">
        <v>7090</v>
      </c>
      <c r="E216" s="381" t="s">
        <v>7477</v>
      </c>
      <c r="F216" s="382" t="s">
        <v>7478</v>
      </c>
      <c r="G216" s="383">
        <v>0.5</v>
      </c>
      <c r="H216" s="384" t="s">
        <v>6852</v>
      </c>
      <c r="I216" s="385" t="s">
        <v>6992</v>
      </c>
      <c r="J216" s="385" t="s">
        <v>4</v>
      </c>
      <c r="K216" s="385"/>
      <c r="L216" s="385"/>
      <c r="M216" s="385" t="s">
        <v>7088</v>
      </c>
      <c r="N216" s="386" t="s">
        <v>6610</v>
      </c>
      <c r="O216" s="387" t="s">
        <v>2641</v>
      </c>
    </row>
    <row r="217" spans="1:15" ht="42" customHeight="1">
      <c r="A217" s="379" t="s">
        <v>7091</v>
      </c>
      <c r="B217" s="380" t="s">
        <v>5777</v>
      </c>
      <c r="C217" s="380" t="s">
        <v>5524</v>
      </c>
      <c r="D217" s="381" t="s">
        <v>7092</v>
      </c>
      <c r="E217" s="381" t="s">
        <v>7479</v>
      </c>
      <c r="F217" s="382" t="s">
        <v>7480</v>
      </c>
      <c r="G217" s="383">
        <v>0.75</v>
      </c>
      <c r="H217" s="384" t="s">
        <v>6854</v>
      </c>
      <c r="I217" s="385" t="s">
        <v>6992</v>
      </c>
      <c r="J217" s="385" t="s">
        <v>4</v>
      </c>
      <c r="K217" s="385"/>
      <c r="L217" s="385"/>
      <c r="M217" s="385" t="s">
        <v>7088</v>
      </c>
      <c r="N217" s="386" t="s">
        <v>7009</v>
      </c>
      <c r="O217" s="387" t="s">
        <v>6856</v>
      </c>
    </row>
    <row r="218" spans="1:15" ht="42" customHeight="1">
      <c r="A218" s="379" t="s">
        <v>7093</v>
      </c>
      <c r="B218" s="380" t="s">
        <v>5777</v>
      </c>
      <c r="C218" s="380" t="s">
        <v>5524</v>
      </c>
      <c r="D218" s="381" t="s">
        <v>7094</v>
      </c>
      <c r="E218" s="381" t="s">
        <v>7481</v>
      </c>
      <c r="F218" s="382" t="s">
        <v>7482</v>
      </c>
      <c r="G218" s="383">
        <v>0.75</v>
      </c>
      <c r="H218" s="384" t="s">
        <v>6857</v>
      </c>
      <c r="I218" s="385" t="s">
        <v>6992</v>
      </c>
      <c r="J218" s="385" t="s">
        <v>4</v>
      </c>
      <c r="K218" s="385"/>
      <c r="L218" s="385"/>
      <c r="M218" s="385" t="s">
        <v>7088</v>
      </c>
      <c r="N218" s="386" t="s">
        <v>7009</v>
      </c>
      <c r="O218" s="387" t="s">
        <v>2641</v>
      </c>
    </row>
    <row r="219" spans="1:15" ht="42" customHeight="1">
      <c r="A219" s="379" t="s">
        <v>7095</v>
      </c>
      <c r="B219" s="380" t="s">
        <v>5777</v>
      </c>
      <c r="C219" s="380" t="s">
        <v>5524</v>
      </c>
      <c r="D219" s="381" t="s">
        <v>7096</v>
      </c>
      <c r="E219" s="381" t="s">
        <v>7483</v>
      </c>
      <c r="F219" s="382" t="s">
        <v>7484</v>
      </c>
      <c r="G219" s="383">
        <v>0.75</v>
      </c>
      <c r="H219" s="384" t="s">
        <v>6859</v>
      </c>
      <c r="I219" s="385" t="s">
        <v>6992</v>
      </c>
      <c r="J219" s="385" t="s">
        <v>4</v>
      </c>
      <c r="K219" s="385"/>
      <c r="L219" s="385"/>
      <c r="M219" s="385" t="s">
        <v>7088</v>
      </c>
      <c r="N219" s="386" t="s">
        <v>7009</v>
      </c>
      <c r="O219" s="387" t="s">
        <v>2641</v>
      </c>
    </row>
    <row r="220" spans="1:15" ht="42" customHeight="1">
      <c r="A220" s="379" t="s">
        <v>7097</v>
      </c>
      <c r="B220" s="380" t="s">
        <v>5777</v>
      </c>
      <c r="C220" s="380" t="s">
        <v>5524</v>
      </c>
      <c r="D220" s="381" t="s">
        <v>7098</v>
      </c>
      <c r="E220" s="381" t="s">
        <v>7485</v>
      </c>
      <c r="F220" s="382" t="s">
        <v>7486</v>
      </c>
      <c r="G220" s="383">
        <v>0.75</v>
      </c>
      <c r="H220" s="384" t="s">
        <v>6861</v>
      </c>
      <c r="I220" s="385" t="s">
        <v>6992</v>
      </c>
      <c r="J220" s="385" t="s">
        <v>4</v>
      </c>
      <c r="K220" s="385"/>
      <c r="L220" s="385"/>
      <c r="M220" s="385" t="s">
        <v>7088</v>
      </c>
      <c r="N220" s="386" t="s">
        <v>7009</v>
      </c>
      <c r="O220" s="387" t="s">
        <v>2501</v>
      </c>
    </row>
    <row r="221" spans="1:15" ht="42" customHeight="1">
      <c r="A221" s="379" t="s">
        <v>7099</v>
      </c>
      <c r="B221" s="380" t="s">
        <v>5777</v>
      </c>
      <c r="C221" s="380" t="s">
        <v>5524</v>
      </c>
      <c r="D221" s="381" t="s">
        <v>7100</v>
      </c>
      <c r="E221" s="381" t="s">
        <v>7487</v>
      </c>
      <c r="F221" s="382" t="s">
        <v>7488</v>
      </c>
      <c r="G221" s="383">
        <v>0.5</v>
      </c>
      <c r="H221" s="384" t="s">
        <v>6863</v>
      </c>
      <c r="I221" s="385" t="s">
        <v>6992</v>
      </c>
      <c r="J221" s="385" t="s">
        <v>4</v>
      </c>
      <c r="K221" s="385"/>
      <c r="L221" s="385"/>
      <c r="M221" s="385" t="s">
        <v>7088</v>
      </c>
      <c r="N221" s="386" t="s">
        <v>6610</v>
      </c>
      <c r="O221" s="387" t="s">
        <v>2641</v>
      </c>
    </row>
    <row r="222" spans="1:15" ht="42" customHeight="1">
      <c r="A222" s="379" t="s">
        <v>7101</v>
      </c>
      <c r="B222" s="380" t="s">
        <v>5777</v>
      </c>
      <c r="C222" s="380" t="s">
        <v>5524</v>
      </c>
      <c r="D222" s="381" t="s">
        <v>7102</v>
      </c>
      <c r="E222" s="381" t="s">
        <v>7489</v>
      </c>
      <c r="F222" s="382" t="s">
        <v>7490</v>
      </c>
      <c r="G222" s="383">
        <v>0.5</v>
      </c>
      <c r="H222" s="384" t="s">
        <v>6866</v>
      </c>
      <c r="I222" s="385" t="s">
        <v>6992</v>
      </c>
      <c r="J222" s="385" t="s">
        <v>4</v>
      </c>
      <c r="K222" s="385"/>
      <c r="L222" s="385"/>
      <c r="M222" s="385" t="s">
        <v>7088</v>
      </c>
      <c r="N222" s="386" t="s">
        <v>6610</v>
      </c>
      <c r="O222" s="387" t="s">
        <v>6868</v>
      </c>
    </row>
    <row r="223" spans="1:15" ht="42" customHeight="1">
      <c r="A223" s="379" t="s">
        <v>7103</v>
      </c>
      <c r="B223" s="380" t="s">
        <v>5777</v>
      </c>
      <c r="C223" s="380" t="s">
        <v>5524</v>
      </c>
      <c r="D223" s="381" t="s">
        <v>7104</v>
      </c>
      <c r="E223" s="381" t="s">
        <v>7491</v>
      </c>
      <c r="F223" s="382" t="s">
        <v>7492</v>
      </c>
      <c r="G223" s="383">
        <v>0.5</v>
      </c>
      <c r="H223" s="384" t="s">
        <v>6869</v>
      </c>
      <c r="I223" s="385" t="s">
        <v>6992</v>
      </c>
      <c r="J223" s="385" t="s">
        <v>4</v>
      </c>
      <c r="K223" s="385"/>
      <c r="L223" s="385"/>
      <c r="M223" s="385" t="s">
        <v>7088</v>
      </c>
      <c r="N223" s="386" t="s">
        <v>6610</v>
      </c>
      <c r="O223" s="387" t="s">
        <v>2641</v>
      </c>
    </row>
    <row r="224" spans="1:15" ht="42" customHeight="1">
      <c r="A224" s="379" t="s">
        <v>7105</v>
      </c>
      <c r="B224" s="380" t="s">
        <v>5777</v>
      </c>
      <c r="C224" s="380" t="s">
        <v>5524</v>
      </c>
      <c r="D224" s="381" t="s">
        <v>7106</v>
      </c>
      <c r="E224" s="381" t="s">
        <v>7493</v>
      </c>
      <c r="F224" s="382" t="s">
        <v>7494</v>
      </c>
      <c r="G224" s="383">
        <v>0.5</v>
      </c>
      <c r="H224" s="384" t="s">
        <v>6871</v>
      </c>
      <c r="I224" s="385" t="s">
        <v>6992</v>
      </c>
      <c r="J224" s="385" t="s">
        <v>4</v>
      </c>
      <c r="K224" s="385"/>
      <c r="L224" s="385"/>
      <c r="M224" s="385" t="s">
        <v>7088</v>
      </c>
      <c r="N224" s="386" t="s">
        <v>6610</v>
      </c>
      <c r="O224" s="387" t="s">
        <v>6873</v>
      </c>
    </row>
    <row r="225" spans="1:15" ht="42" customHeight="1">
      <c r="A225" s="379" t="s">
        <v>7107</v>
      </c>
      <c r="B225" s="380" t="s">
        <v>5777</v>
      </c>
      <c r="C225" s="380" t="s">
        <v>5524</v>
      </c>
      <c r="D225" s="381" t="s">
        <v>7108</v>
      </c>
      <c r="E225" s="381" t="s">
        <v>7495</v>
      </c>
      <c r="F225" s="382" t="s">
        <v>7496</v>
      </c>
      <c r="G225" s="383">
        <v>1</v>
      </c>
      <c r="H225" s="384" t="s">
        <v>6874</v>
      </c>
      <c r="I225" s="385" t="s">
        <v>6992</v>
      </c>
      <c r="J225" s="385" t="s">
        <v>4</v>
      </c>
      <c r="K225" s="385"/>
      <c r="L225" s="385"/>
      <c r="M225" s="385" t="s">
        <v>7088</v>
      </c>
      <c r="N225" s="386" t="s">
        <v>7009</v>
      </c>
      <c r="O225" s="387" t="s">
        <v>6876</v>
      </c>
    </row>
    <row r="226" spans="1:15" ht="42" customHeight="1">
      <c r="A226" s="379" t="s">
        <v>7109</v>
      </c>
      <c r="B226" s="380" t="s">
        <v>5777</v>
      </c>
      <c r="C226" s="380" t="s">
        <v>5524</v>
      </c>
      <c r="D226" s="381" t="s">
        <v>7110</v>
      </c>
      <c r="E226" s="381" t="s">
        <v>7497</v>
      </c>
      <c r="F226" s="382" t="s">
        <v>7498</v>
      </c>
      <c r="G226" s="383">
        <v>0.75</v>
      </c>
      <c r="H226" s="384" t="s">
        <v>6878</v>
      </c>
      <c r="I226" s="385" t="s">
        <v>6992</v>
      </c>
      <c r="J226" s="385" t="s">
        <v>4</v>
      </c>
      <c r="K226" s="385"/>
      <c r="L226" s="385"/>
      <c r="M226" s="385" t="s">
        <v>7088</v>
      </c>
      <c r="N226" s="386" t="s">
        <v>7009</v>
      </c>
      <c r="O226" s="387" t="s">
        <v>6880</v>
      </c>
    </row>
    <row r="227" spans="1:15" ht="42" customHeight="1">
      <c r="A227" s="379" t="s">
        <v>7111</v>
      </c>
      <c r="B227" s="380" t="s">
        <v>5777</v>
      </c>
      <c r="C227" s="380" t="s">
        <v>5524</v>
      </c>
      <c r="D227" s="381" t="s">
        <v>7112</v>
      </c>
      <c r="E227" s="381" t="s">
        <v>7499</v>
      </c>
      <c r="F227" s="382" t="s">
        <v>7500</v>
      </c>
      <c r="G227" s="383">
        <v>0.5</v>
      </c>
      <c r="H227" s="384" t="s">
        <v>6881</v>
      </c>
      <c r="I227" s="385" t="s">
        <v>6992</v>
      </c>
      <c r="J227" s="385" t="s">
        <v>4</v>
      </c>
      <c r="K227" s="385"/>
      <c r="L227" s="385"/>
      <c r="M227" s="385" t="s">
        <v>7088</v>
      </c>
      <c r="N227" s="386" t="s">
        <v>6610</v>
      </c>
      <c r="O227" s="387" t="s">
        <v>2641</v>
      </c>
    </row>
    <row r="228" spans="1:15" ht="42" customHeight="1">
      <c r="A228" s="379" t="s">
        <v>7113</v>
      </c>
      <c r="B228" s="380" t="s">
        <v>5777</v>
      </c>
      <c r="C228" s="380" t="s">
        <v>5524</v>
      </c>
      <c r="D228" s="381" t="s">
        <v>7114</v>
      </c>
      <c r="E228" s="381" t="s">
        <v>7501</v>
      </c>
      <c r="F228" s="382" t="s">
        <v>7502</v>
      </c>
      <c r="G228" s="383">
        <v>0.5</v>
      </c>
      <c r="H228" s="384" t="s">
        <v>6883</v>
      </c>
      <c r="I228" s="385" t="s">
        <v>6992</v>
      </c>
      <c r="J228" s="385" t="s">
        <v>4</v>
      </c>
      <c r="K228" s="385"/>
      <c r="L228" s="385"/>
      <c r="M228" s="385" t="s">
        <v>7088</v>
      </c>
      <c r="N228" s="386" t="s">
        <v>6610</v>
      </c>
      <c r="O228" s="387" t="s">
        <v>886</v>
      </c>
    </row>
    <row r="229" spans="1:15" ht="42" customHeight="1">
      <c r="A229" s="379" t="s">
        <v>7115</v>
      </c>
      <c r="B229" s="380" t="s">
        <v>5777</v>
      </c>
      <c r="C229" s="380" t="s">
        <v>5524</v>
      </c>
      <c r="D229" s="381" t="s">
        <v>7116</v>
      </c>
      <c r="E229" s="381" t="s">
        <v>7503</v>
      </c>
      <c r="F229" s="382" t="s">
        <v>7504</v>
      </c>
      <c r="G229" s="383">
        <v>0.5</v>
      </c>
      <c r="H229" s="384" t="s">
        <v>6886</v>
      </c>
      <c r="I229" s="385" t="s">
        <v>6992</v>
      </c>
      <c r="J229" s="385" t="s">
        <v>4</v>
      </c>
      <c r="K229" s="385"/>
      <c r="L229" s="385"/>
      <c r="M229" s="385" t="s">
        <v>7088</v>
      </c>
      <c r="N229" s="386" t="s">
        <v>6610</v>
      </c>
      <c r="O229" s="387" t="s">
        <v>886</v>
      </c>
    </row>
    <row r="230" spans="1:15" ht="42" customHeight="1">
      <c r="A230" s="379" t="s">
        <v>7117</v>
      </c>
      <c r="B230" s="380" t="s">
        <v>5777</v>
      </c>
      <c r="C230" s="380" t="s">
        <v>5524</v>
      </c>
      <c r="D230" s="381" t="s">
        <v>7118</v>
      </c>
      <c r="E230" s="381" t="s">
        <v>7505</v>
      </c>
      <c r="F230" s="382" t="s">
        <v>7506</v>
      </c>
      <c r="G230" s="383">
        <v>0.75</v>
      </c>
      <c r="H230" s="384" t="s">
        <v>6888</v>
      </c>
      <c r="I230" s="385" t="s">
        <v>6992</v>
      </c>
      <c r="J230" s="385" t="s">
        <v>4</v>
      </c>
      <c r="K230" s="385"/>
      <c r="L230" s="385"/>
      <c r="M230" s="385" t="s">
        <v>7088</v>
      </c>
      <c r="N230" s="386" t="s">
        <v>7009</v>
      </c>
      <c r="O230" s="387" t="s">
        <v>1211</v>
      </c>
    </row>
    <row r="231" spans="1:15" ht="42" customHeight="1">
      <c r="A231" s="379" t="s">
        <v>7119</v>
      </c>
      <c r="B231" s="380" t="s">
        <v>5777</v>
      </c>
      <c r="C231" s="380" t="s">
        <v>5524</v>
      </c>
      <c r="D231" s="381" t="s">
        <v>7120</v>
      </c>
      <c r="E231" s="381" t="s">
        <v>7507</v>
      </c>
      <c r="F231" s="382" t="s">
        <v>7508</v>
      </c>
      <c r="G231" s="383">
        <v>0.5</v>
      </c>
      <c r="H231" s="384" t="s">
        <v>6890</v>
      </c>
      <c r="I231" s="385" t="s">
        <v>6992</v>
      </c>
      <c r="J231" s="385" t="s">
        <v>4</v>
      </c>
      <c r="K231" s="385"/>
      <c r="L231" s="385"/>
      <c r="M231" s="385" t="s">
        <v>7088</v>
      </c>
      <c r="N231" s="386" t="s">
        <v>6610</v>
      </c>
      <c r="O231" s="387" t="s">
        <v>6892</v>
      </c>
    </row>
    <row r="232" spans="1:15" ht="42" customHeight="1">
      <c r="A232" s="379" t="s">
        <v>7121</v>
      </c>
      <c r="B232" s="380" t="s">
        <v>5777</v>
      </c>
      <c r="C232" s="380" t="s">
        <v>5524</v>
      </c>
      <c r="D232" s="381" t="s">
        <v>7122</v>
      </c>
      <c r="E232" s="381" t="s">
        <v>7509</v>
      </c>
      <c r="F232" s="382" t="s">
        <v>7510</v>
      </c>
      <c r="G232" s="383">
        <v>0.5</v>
      </c>
      <c r="H232" s="384" t="s">
        <v>6893</v>
      </c>
      <c r="I232" s="385" t="s">
        <v>6992</v>
      </c>
      <c r="J232" s="385" t="s">
        <v>4</v>
      </c>
      <c r="K232" s="385"/>
      <c r="L232" s="385"/>
      <c r="M232" s="385" t="s">
        <v>7088</v>
      </c>
      <c r="N232" s="386" t="s">
        <v>6610</v>
      </c>
      <c r="O232" s="387" t="s">
        <v>6895</v>
      </c>
    </row>
    <row r="233" spans="1:15" ht="42" customHeight="1">
      <c r="A233" s="379" t="s">
        <v>7123</v>
      </c>
      <c r="B233" s="380" t="s">
        <v>5777</v>
      </c>
      <c r="C233" s="380" t="s">
        <v>5524</v>
      </c>
      <c r="D233" s="381" t="s">
        <v>7124</v>
      </c>
      <c r="E233" s="381" t="s">
        <v>7511</v>
      </c>
      <c r="F233" s="382" t="s">
        <v>7512</v>
      </c>
      <c r="G233" s="383">
        <v>0.5</v>
      </c>
      <c r="H233" s="384" t="s">
        <v>6897</v>
      </c>
      <c r="I233" s="385" t="s">
        <v>6992</v>
      </c>
      <c r="J233" s="385" t="s">
        <v>4</v>
      </c>
      <c r="K233" s="385"/>
      <c r="L233" s="385"/>
      <c r="M233" s="385" t="s">
        <v>7088</v>
      </c>
      <c r="N233" s="386" t="s">
        <v>6610</v>
      </c>
      <c r="O233" s="387" t="s">
        <v>1439</v>
      </c>
    </row>
    <row r="234" spans="1:15" ht="42" customHeight="1">
      <c r="A234" s="379" t="s">
        <v>7125</v>
      </c>
      <c r="B234" s="380" t="s">
        <v>5777</v>
      </c>
      <c r="C234" s="380" t="s">
        <v>5524</v>
      </c>
      <c r="D234" s="381" t="s">
        <v>7126</v>
      </c>
      <c r="E234" s="381" t="s">
        <v>7513</v>
      </c>
      <c r="F234" s="382" t="s">
        <v>7514</v>
      </c>
      <c r="G234" s="383">
        <v>0.5</v>
      </c>
      <c r="H234" s="384" t="s">
        <v>6899</v>
      </c>
      <c r="I234" s="385" t="s">
        <v>6992</v>
      </c>
      <c r="J234" s="385" t="s">
        <v>4</v>
      </c>
      <c r="K234" s="385"/>
      <c r="L234" s="385"/>
      <c r="M234" s="385" t="s">
        <v>7088</v>
      </c>
      <c r="N234" s="386" t="s">
        <v>6610</v>
      </c>
      <c r="O234" s="387" t="s">
        <v>6901</v>
      </c>
    </row>
    <row r="235" spans="1:15" ht="42" customHeight="1">
      <c r="A235" s="379" t="s">
        <v>7127</v>
      </c>
      <c r="B235" s="380" t="s">
        <v>5777</v>
      </c>
      <c r="C235" s="380" t="s">
        <v>5524</v>
      </c>
      <c r="D235" s="381" t="s">
        <v>7128</v>
      </c>
      <c r="E235" s="381" t="s">
        <v>7515</v>
      </c>
      <c r="F235" s="382" t="s">
        <v>7516</v>
      </c>
      <c r="G235" s="383">
        <v>0.5</v>
      </c>
      <c r="H235" s="384" t="s">
        <v>6902</v>
      </c>
      <c r="I235" s="385" t="s">
        <v>6992</v>
      </c>
      <c r="J235" s="385" t="s">
        <v>4</v>
      </c>
      <c r="K235" s="385"/>
      <c r="L235" s="385"/>
      <c r="M235" s="385" t="s">
        <v>7088</v>
      </c>
      <c r="N235" s="386" t="s">
        <v>6610</v>
      </c>
      <c r="O235" s="387" t="s">
        <v>6904</v>
      </c>
    </row>
    <row r="236" spans="1:15" ht="42" customHeight="1">
      <c r="A236" s="379" t="s">
        <v>7129</v>
      </c>
      <c r="B236" s="380" t="s">
        <v>5777</v>
      </c>
      <c r="C236" s="380" t="s">
        <v>5524</v>
      </c>
      <c r="D236" s="381" t="s">
        <v>7130</v>
      </c>
      <c r="E236" s="381" t="s">
        <v>7517</v>
      </c>
      <c r="F236" s="382" t="s">
        <v>7518</v>
      </c>
      <c r="G236" s="383">
        <v>0.5</v>
      </c>
      <c r="H236" s="384" t="s">
        <v>6905</v>
      </c>
      <c r="I236" s="385" t="s">
        <v>6992</v>
      </c>
      <c r="J236" s="385" t="s">
        <v>4</v>
      </c>
      <c r="K236" s="385"/>
      <c r="L236" s="385"/>
      <c r="M236" s="385" t="s">
        <v>7088</v>
      </c>
      <c r="N236" s="386" t="s">
        <v>6610</v>
      </c>
      <c r="O236" s="387" t="s">
        <v>1437</v>
      </c>
    </row>
    <row r="237" spans="1:15" ht="42" customHeight="1">
      <c r="A237" s="379" t="s">
        <v>7131</v>
      </c>
      <c r="B237" s="380" t="s">
        <v>5777</v>
      </c>
      <c r="C237" s="380" t="s">
        <v>5524</v>
      </c>
      <c r="D237" s="381" t="s">
        <v>7132</v>
      </c>
      <c r="E237" s="381" t="s">
        <v>7519</v>
      </c>
      <c r="F237" s="382" t="s">
        <v>7520</v>
      </c>
      <c r="G237" s="383">
        <v>1</v>
      </c>
      <c r="H237" s="384" t="s">
        <v>6907</v>
      </c>
      <c r="I237" s="385" t="s">
        <v>6992</v>
      </c>
      <c r="J237" s="385" t="s">
        <v>4</v>
      </c>
      <c r="K237" s="385"/>
      <c r="L237" s="385"/>
      <c r="M237" s="385" t="s">
        <v>6908</v>
      </c>
      <c r="N237" s="386" t="s">
        <v>7009</v>
      </c>
      <c r="O237" s="387" t="s">
        <v>6910</v>
      </c>
    </row>
    <row r="238" spans="1:15" ht="42" customHeight="1">
      <c r="A238" s="379" t="s">
        <v>7133</v>
      </c>
      <c r="B238" s="380" t="s">
        <v>5777</v>
      </c>
      <c r="C238" s="380" t="s">
        <v>5524</v>
      </c>
      <c r="D238" s="381" t="s">
        <v>7134</v>
      </c>
      <c r="E238" s="381" t="s">
        <v>7521</v>
      </c>
      <c r="F238" s="382" t="s">
        <v>7522</v>
      </c>
      <c r="G238" s="383">
        <v>0.5</v>
      </c>
      <c r="H238" s="384" t="s">
        <v>6912</v>
      </c>
      <c r="I238" s="385" t="s">
        <v>6992</v>
      </c>
      <c r="J238" s="385" t="s">
        <v>4</v>
      </c>
      <c r="K238" s="385"/>
      <c r="L238" s="385"/>
      <c r="M238" s="385" t="s">
        <v>6908</v>
      </c>
      <c r="N238" s="386" t="s">
        <v>6610</v>
      </c>
      <c r="O238" s="387" t="s">
        <v>1049</v>
      </c>
    </row>
    <row r="239" spans="1:15" ht="42" customHeight="1">
      <c r="A239" s="379" t="s">
        <v>7135</v>
      </c>
      <c r="B239" s="380" t="s">
        <v>5777</v>
      </c>
      <c r="C239" s="380" t="s">
        <v>5524</v>
      </c>
      <c r="D239" s="381" t="s">
        <v>7136</v>
      </c>
      <c r="E239" s="381" t="s">
        <v>7523</v>
      </c>
      <c r="F239" s="382" t="s">
        <v>7524</v>
      </c>
      <c r="G239" s="383">
        <v>0.75</v>
      </c>
      <c r="H239" s="384" t="s">
        <v>6914</v>
      </c>
      <c r="I239" s="385" t="s">
        <v>6992</v>
      </c>
      <c r="J239" s="385" t="s">
        <v>4</v>
      </c>
      <c r="K239" s="385"/>
      <c r="L239" s="385"/>
      <c r="M239" s="385" t="s">
        <v>6908</v>
      </c>
      <c r="N239" s="386" t="s">
        <v>7009</v>
      </c>
      <c r="O239" s="387" t="s">
        <v>913</v>
      </c>
    </row>
    <row r="240" spans="1:15" ht="42" customHeight="1">
      <c r="A240" s="379" t="s">
        <v>7137</v>
      </c>
      <c r="B240" s="380" t="s">
        <v>5777</v>
      </c>
      <c r="C240" s="380" t="s">
        <v>5524</v>
      </c>
      <c r="D240" s="381" t="s">
        <v>7138</v>
      </c>
      <c r="E240" s="381" t="s">
        <v>7525</v>
      </c>
      <c r="F240" s="382" t="s">
        <v>7526</v>
      </c>
      <c r="G240" s="383">
        <v>0.5</v>
      </c>
      <c r="H240" s="384" t="s">
        <v>6916</v>
      </c>
      <c r="I240" s="385" t="s">
        <v>6992</v>
      </c>
      <c r="J240" s="385" t="s">
        <v>4</v>
      </c>
      <c r="K240" s="385"/>
      <c r="L240" s="385"/>
      <c r="M240" s="385" t="s">
        <v>6908</v>
      </c>
      <c r="N240" s="386" t="s">
        <v>6610</v>
      </c>
      <c r="O240" s="387" t="s">
        <v>6918</v>
      </c>
    </row>
    <row r="241" spans="1:15" ht="42" customHeight="1">
      <c r="A241" s="379" t="s">
        <v>7139</v>
      </c>
      <c r="B241" s="380" t="s">
        <v>5777</v>
      </c>
      <c r="C241" s="380" t="s">
        <v>5524</v>
      </c>
      <c r="D241" s="381" t="s">
        <v>7140</v>
      </c>
      <c r="E241" s="381" t="s">
        <v>7527</v>
      </c>
      <c r="F241" s="382" t="s">
        <v>7528</v>
      </c>
      <c r="G241" s="383">
        <v>0.75</v>
      </c>
      <c r="H241" s="384" t="s">
        <v>6919</v>
      </c>
      <c r="I241" s="385" t="s">
        <v>6992</v>
      </c>
      <c r="J241" s="385" t="s">
        <v>4</v>
      </c>
      <c r="K241" s="385"/>
      <c r="L241" s="385"/>
      <c r="M241" s="385" t="s">
        <v>6908</v>
      </c>
      <c r="N241" s="386" t="s">
        <v>7009</v>
      </c>
      <c r="O241" s="387" t="s">
        <v>6921</v>
      </c>
    </row>
    <row r="242" spans="1:15" ht="42" customHeight="1">
      <c r="A242" s="379" t="s">
        <v>7141</v>
      </c>
      <c r="B242" s="380" t="s">
        <v>5777</v>
      </c>
      <c r="C242" s="380" t="s">
        <v>5524</v>
      </c>
      <c r="D242" s="381" t="s">
        <v>7142</v>
      </c>
      <c r="E242" s="381" t="s">
        <v>7529</v>
      </c>
      <c r="F242" s="382" t="s">
        <v>7530</v>
      </c>
      <c r="G242" s="383">
        <v>0.75</v>
      </c>
      <c r="H242" s="384" t="s">
        <v>6923</v>
      </c>
      <c r="I242" s="385" t="s">
        <v>6992</v>
      </c>
      <c r="J242" s="385" t="s">
        <v>4</v>
      </c>
      <c r="K242" s="385"/>
      <c r="L242" s="385"/>
      <c r="M242" s="385" t="s">
        <v>6908</v>
      </c>
      <c r="N242" s="386" t="s">
        <v>7009</v>
      </c>
      <c r="O242" s="387" t="s">
        <v>2641</v>
      </c>
    </row>
    <row r="243" spans="1:15" ht="42" customHeight="1">
      <c r="A243" s="379" t="s">
        <v>7143</v>
      </c>
      <c r="B243" s="380" t="s">
        <v>5777</v>
      </c>
      <c r="C243" s="380" t="s">
        <v>5524</v>
      </c>
      <c r="D243" s="381" t="s">
        <v>7144</v>
      </c>
      <c r="E243" s="381" t="s">
        <v>7531</v>
      </c>
      <c r="F243" s="382" t="s">
        <v>7532</v>
      </c>
      <c r="G243" s="383">
        <v>0.5</v>
      </c>
      <c r="H243" s="384" t="s">
        <v>6925</v>
      </c>
      <c r="I243" s="385" t="s">
        <v>6992</v>
      </c>
      <c r="J243" s="385" t="s">
        <v>4</v>
      </c>
      <c r="K243" s="385"/>
      <c r="L243" s="385"/>
      <c r="M243" s="385" t="s">
        <v>6908</v>
      </c>
      <c r="N243" s="386" t="s">
        <v>6610</v>
      </c>
      <c r="O243" s="387" t="s">
        <v>6927</v>
      </c>
    </row>
    <row r="244" spans="1:15" ht="42" customHeight="1">
      <c r="A244" s="379" t="s">
        <v>7145</v>
      </c>
      <c r="B244" s="380" t="s">
        <v>5777</v>
      </c>
      <c r="C244" s="380" t="s">
        <v>5524</v>
      </c>
      <c r="D244" s="381" t="s">
        <v>7146</v>
      </c>
      <c r="E244" s="381" t="s">
        <v>7533</v>
      </c>
      <c r="F244" s="382" t="s">
        <v>7534</v>
      </c>
      <c r="G244" s="383">
        <v>0.5</v>
      </c>
      <c r="H244" s="384" t="s">
        <v>6928</v>
      </c>
      <c r="I244" s="385" t="s">
        <v>6992</v>
      </c>
      <c r="J244" s="385" t="s">
        <v>4</v>
      </c>
      <c r="K244" s="385"/>
      <c r="L244" s="385"/>
      <c r="M244" s="385" t="s">
        <v>6908</v>
      </c>
      <c r="N244" s="386" t="s">
        <v>6610</v>
      </c>
      <c r="O244" s="387" t="s">
        <v>6930</v>
      </c>
    </row>
    <row r="245" spans="1:15" ht="42" customHeight="1">
      <c r="A245" s="379" t="s">
        <v>7147</v>
      </c>
      <c r="B245" s="380" t="s">
        <v>5777</v>
      </c>
      <c r="C245" s="380" t="s">
        <v>5524</v>
      </c>
      <c r="D245" s="381" t="s">
        <v>7148</v>
      </c>
      <c r="E245" s="381" t="s">
        <v>7535</v>
      </c>
      <c r="F245" s="382" t="s">
        <v>7536</v>
      </c>
      <c r="G245" s="383">
        <v>0.5</v>
      </c>
      <c r="H245" s="384" t="s">
        <v>6931</v>
      </c>
      <c r="I245" s="385" t="s">
        <v>6992</v>
      </c>
      <c r="J245" s="385" t="s">
        <v>4</v>
      </c>
      <c r="K245" s="385"/>
      <c r="L245" s="385"/>
      <c r="M245" s="385" t="s">
        <v>6908</v>
      </c>
      <c r="N245" s="386" t="s">
        <v>6610</v>
      </c>
      <c r="O245" s="387" t="s">
        <v>1439</v>
      </c>
    </row>
    <row r="246" spans="1:15" ht="42" customHeight="1">
      <c r="A246" s="379" t="s">
        <v>7149</v>
      </c>
      <c r="B246" s="380" t="s">
        <v>5777</v>
      </c>
      <c r="C246" s="380" t="s">
        <v>5524</v>
      </c>
      <c r="D246" s="381" t="s">
        <v>7150</v>
      </c>
      <c r="E246" s="381" t="s">
        <v>7537</v>
      </c>
      <c r="F246" s="382" t="s">
        <v>7538</v>
      </c>
      <c r="G246" s="383">
        <v>0.75</v>
      </c>
      <c r="H246" s="384" t="s">
        <v>6933</v>
      </c>
      <c r="I246" s="385" t="s">
        <v>6992</v>
      </c>
      <c r="J246" s="385" t="s">
        <v>4</v>
      </c>
      <c r="K246" s="385"/>
      <c r="L246" s="385"/>
      <c r="M246" s="385" t="s">
        <v>6934</v>
      </c>
      <c r="N246" s="386" t="s">
        <v>7009</v>
      </c>
      <c r="O246" s="387" t="s">
        <v>2605</v>
      </c>
    </row>
    <row r="247" spans="1:15" ht="42" customHeight="1">
      <c r="A247" s="379" t="s">
        <v>7151</v>
      </c>
      <c r="B247" s="380" t="s">
        <v>5777</v>
      </c>
      <c r="C247" s="380" t="s">
        <v>5524</v>
      </c>
      <c r="D247" s="381" t="s">
        <v>7152</v>
      </c>
      <c r="E247" s="381" t="s">
        <v>7539</v>
      </c>
      <c r="F247" s="382" t="s">
        <v>7540</v>
      </c>
      <c r="G247" s="383">
        <v>0.5</v>
      </c>
      <c r="H247" s="384" t="s">
        <v>6937</v>
      </c>
      <c r="I247" s="385" t="s">
        <v>6992</v>
      </c>
      <c r="J247" s="385" t="s">
        <v>4</v>
      </c>
      <c r="K247" s="385"/>
      <c r="L247" s="385"/>
      <c r="M247" s="385" t="s">
        <v>6934</v>
      </c>
      <c r="N247" s="386" t="s">
        <v>6610</v>
      </c>
      <c r="O247" s="387" t="s">
        <v>6939</v>
      </c>
    </row>
    <row r="248" spans="1:15" ht="42" customHeight="1">
      <c r="A248" s="379" t="s">
        <v>7153</v>
      </c>
      <c r="B248" s="380" t="s">
        <v>5777</v>
      </c>
      <c r="C248" s="380" t="s">
        <v>5524</v>
      </c>
      <c r="D248" s="381" t="s">
        <v>7154</v>
      </c>
      <c r="E248" s="381" t="s">
        <v>7541</v>
      </c>
      <c r="F248" s="382" t="s">
        <v>7542</v>
      </c>
      <c r="G248" s="383">
        <v>0.5</v>
      </c>
      <c r="H248" s="384" t="s">
        <v>6940</v>
      </c>
      <c r="I248" s="385" t="s">
        <v>6992</v>
      </c>
      <c r="J248" s="385" t="s">
        <v>4</v>
      </c>
      <c r="K248" s="385"/>
      <c r="L248" s="385"/>
      <c r="M248" s="385" t="s">
        <v>6934</v>
      </c>
      <c r="N248" s="386" t="s">
        <v>6610</v>
      </c>
      <c r="O248" s="387" t="s">
        <v>2520</v>
      </c>
    </row>
    <row r="249" spans="1:15" ht="42" customHeight="1">
      <c r="A249" s="379" t="s">
        <v>7155</v>
      </c>
      <c r="B249" s="380" t="s">
        <v>5777</v>
      </c>
      <c r="C249" s="380" t="s">
        <v>5524</v>
      </c>
      <c r="D249" s="381" t="s">
        <v>7156</v>
      </c>
      <c r="E249" s="381" t="s">
        <v>7543</v>
      </c>
      <c r="F249" s="382" t="s">
        <v>7544</v>
      </c>
      <c r="G249" s="383">
        <v>1</v>
      </c>
      <c r="H249" s="384" t="s">
        <v>6942</v>
      </c>
      <c r="I249" s="385" t="s">
        <v>6992</v>
      </c>
      <c r="J249" s="385" t="s">
        <v>4</v>
      </c>
      <c r="K249" s="385"/>
      <c r="L249" s="385"/>
      <c r="M249" s="385" t="s">
        <v>6934</v>
      </c>
      <c r="N249" s="386" t="s">
        <v>7009</v>
      </c>
      <c r="O249" s="387" t="s">
        <v>1254</v>
      </c>
    </row>
    <row r="250" spans="1:15" ht="42" customHeight="1">
      <c r="A250" s="379" t="s">
        <v>7157</v>
      </c>
      <c r="B250" s="380" t="s">
        <v>5777</v>
      </c>
      <c r="C250" s="380" t="s">
        <v>5524</v>
      </c>
      <c r="D250" s="381" t="s">
        <v>7158</v>
      </c>
      <c r="E250" s="381" t="s">
        <v>7545</v>
      </c>
      <c r="F250" s="382" t="s">
        <v>7546</v>
      </c>
      <c r="G250" s="383">
        <v>0.5</v>
      </c>
      <c r="H250" s="384" t="s">
        <v>6945</v>
      </c>
      <c r="I250" s="385" t="s">
        <v>6992</v>
      </c>
      <c r="J250" s="385" t="s">
        <v>4</v>
      </c>
      <c r="K250" s="385"/>
      <c r="L250" s="385"/>
      <c r="M250" s="385" t="s">
        <v>6934</v>
      </c>
      <c r="N250" s="386" t="s">
        <v>6610</v>
      </c>
      <c r="O250" s="387" t="s">
        <v>2501</v>
      </c>
    </row>
    <row r="251" spans="1:15" ht="42" customHeight="1">
      <c r="A251" s="379" t="s">
        <v>7159</v>
      </c>
      <c r="B251" s="380" t="s">
        <v>5777</v>
      </c>
      <c r="C251" s="380" t="s">
        <v>5524</v>
      </c>
      <c r="D251" s="381" t="s">
        <v>7160</v>
      </c>
      <c r="E251" s="381" t="s">
        <v>7547</v>
      </c>
      <c r="F251" s="382" t="s">
        <v>7548</v>
      </c>
      <c r="G251" s="383">
        <v>0.5</v>
      </c>
      <c r="H251" s="384" t="s">
        <v>6947</v>
      </c>
      <c r="I251" s="385" t="s">
        <v>6992</v>
      </c>
      <c r="J251" s="385" t="s">
        <v>4</v>
      </c>
      <c r="K251" s="385"/>
      <c r="L251" s="385"/>
      <c r="M251" s="385" t="s">
        <v>6934</v>
      </c>
      <c r="N251" s="386" t="s">
        <v>6610</v>
      </c>
      <c r="O251" s="387" t="s">
        <v>2712</v>
      </c>
    </row>
    <row r="252" spans="1:15" ht="42" customHeight="1">
      <c r="A252" s="379" t="s">
        <v>7161</v>
      </c>
      <c r="B252" s="380" t="s">
        <v>5777</v>
      </c>
      <c r="C252" s="380" t="s">
        <v>5524</v>
      </c>
      <c r="D252" s="381" t="s">
        <v>7162</v>
      </c>
      <c r="E252" s="381" t="s">
        <v>7549</v>
      </c>
      <c r="F252" s="382" t="s">
        <v>7550</v>
      </c>
      <c r="G252" s="383">
        <v>0.5</v>
      </c>
      <c r="H252" s="384" t="s">
        <v>6949</v>
      </c>
      <c r="I252" s="385" t="s">
        <v>6992</v>
      </c>
      <c r="J252" s="385" t="s">
        <v>4</v>
      </c>
      <c r="K252" s="385"/>
      <c r="L252" s="385"/>
      <c r="M252" s="385" t="s">
        <v>6934</v>
      </c>
      <c r="N252" s="386" t="s">
        <v>6610</v>
      </c>
      <c r="O252" s="387" t="s">
        <v>6951</v>
      </c>
    </row>
    <row r="253" spans="1:15" ht="42" customHeight="1">
      <c r="A253" s="379" t="s">
        <v>7163</v>
      </c>
      <c r="B253" s="380" t="s">
        <v>5777</v>
      </c>
      <c r="C253" s="380" t="s">
        <v>5524</v>
      </c>
      <c r="D253" s="381" t="s">
        <v>7164</v>
      </c>
      <c r="E253" s="381" t="s">
        <v>7551</v>
      </c>
      <c r="F253" s="382" t="s">
        <v>7552</v>
      </c>
      <c r="G253" s="383">
        <v>1</v>
      </c>
      <c r="H253" s="384" t="s">
        <v>6953</v>
      </c>
      <c r="I253" s="385" t="s">
        <v>6992</v>
      </c>
      <c r="J253" s="385" t="s">
        <v>4</v>
      </c>
      <c r="K253" s="385"/>
      <c r="L253" s="385"/>
      <c r="M253" s="385" t="s">
        <v>6934</v>
      </c>
      <c r="N253" s="386" t="s">
        <v>7009</v>
      </c>
      <c r="O253" s="387" t="s">
        <v>6955</v>
      </c>
    </row>
    <row r="254" spans="1:15" ht="42" customHeight="1">
      <c r="A254" s="379" t="s">
        <v>7165</v>
      </c>
      <c r="B254" s="380" t="s">
        <v>5777</v>
      </c>
      <c r="C254" s="380" t="s">
        <v>5524</v>
      </c>
      <c r="D254" s="381" t="s">
        <v>7166</v>
      </c>
      <c r="E254" s="381" t="s">
        <v>7553</v>
      </c>
      <c r="F254" s="382" t="s">
        <v>7554</v>
      </c>
      <c r="G254" s="383">
        <v>0.5</v>
      </c>
      <c r="H254" s="384" t="s">
        <v>6956</v>
      </c>
      <c r="I254" s="385" t="s">
        <v>6992</v>
      </c>
      <c r="J254" s="385" t="s">
        <v>4</v>
      </c>
      <c r="K254" s="385"/>
      <c r="L254" s="385"/>
      <c r="M254" s="385" t="s">
        <v>6934</v>
      </c>
      <c r="N254" s="386" t="s">
        <v>6610</v>
      </c>
      <c r="O254" s="387" t="s">
        <v>2698</v>
      </c>
    </row>
    <row r="255" spans="1:15" ht="42" customHeight="1">
      <c r="A255" s="379" t="s">
        <v>7167</v>
      </c>
      <c r="B255" s="380" t="s">
        <v>5777</v>
      </c>
      <c r="C255" s="380" t="s">
        <v>5524</v>
      </c>
      <c r="D255" s="381" t="s">
        <v>7168</v>
      </c>
      <c r="E255" s="381" t="s">
        <v>7555</v>
      </c>
      <c r="F255" s="382" t="s">
        <v>7556</v>
      </c>
      <c r="G255" s="383">
        <v>0.5</v>
      </c>
      <c r="H255" s="384" t="s">
        <v>6958</v>
      </c>
      <c r="I255" s="385" t="s">
        <v>6992</v>
      </c>
      <c r="J255" s="385" t="s">
        <v>4</v>
      </c>
      <c r="K255" s="385"/>
      <c r="L255" s="385"/>
      <c r="M255" s="385" t="s">
        <v>6934</v>
      </c>
      <c r="N255" s="386" t="s">
        <v>6610</v>
      </c>
      <c r="O255" s="387" t="s">
        <v>2704</v>
      </c>
    </row>
    <row r="256" spans="1:15" ht="42" customHeight="1">
      <c r="A256" s="379" t="s">
        <v>7169</v>
      </c>
      <c r="B256" s="380" t="s">
        <v>5777</v>
      </c>
      <c r="C256" s="380" t="s">
        <v>5524</v>
      </c>
      <c r="D256" s="381" t="s">
        <v>7170</v>
      </c>
      <c r="E256" s="381" t="s">
        <v>7557</v>
      </c>
      <c r="F256" s="382" t="s">
        <v>7558</v>
      </c>
      <c r="G256" s="383">
        <v>0.5</v>
      </c>
      <c r="H256" s="384" t="s">
        <v>6960</v>
      </c>
      <c r="I256" s="385" t="s">
        <v>6992</v>
      </c>
      <c r="J256" s="385" t="s">
        <v>4</v>
      </c>
      <c r="K256" s="385"/>
      <c r="L256" s="385"/>
      <c r="M256" s="385" t="s">
        <v>6934</v>
      </c>
      <c r="N256" s="386" t="s">
        <v>6610</v>
      </c>
      <c r="O256" s="387" t="s">
        <v>6962</v>
      </c>
    </row>
    <row r="257" spans="1:15" ht="42" customHeight="1">
      <c r="A257" s="379" t="s">
        <v>7171</v>
      </c>
      <c r="B257" s="380" t="s">
        <v>5777</v>
      </c>
      <c r="C257" s="380" t="s">
        <v>5524</v>
      </c>
      <c r="D257" s="381" t="s">
        <v>7172</v>
      </c>
      <c r="E257" s="381" t="s">
        <v>7559</v>
      </c>
      <c r="F257" s="382" t="s">
        <v>7560</v>
      </c>
      <c r="G257" s="383">
        <v>0.5</v>
      </c>
      <c r="H257" s="384" t="s">
        <v>6963</v>
      </c>
      <c r="I257" s="385" t="s">
        <v>6992</v>
      </c>
      <c r="J257" s="385" t="s">
        <v>4</v>
      </c>
      <c r="K257" s="385"/>
      <c r="L257" s="385"/>
      <c r="M257" s="385" t="s">
        <v>6934</v>
      </c>
      <c r="N257" s="386" t="s">
        <v>6628</v>
      </c>
      <c r="O257" s="387" t="s">
        <v>6965</v>
      </c>
    </row>
    <row r="258" spans="1:15" ht="42" customHeight="1">
      <c r="A258" s="379" t="s">
        <v>7173</v>
      </c>
      <c r="B258" s="380" t="s">
        <v>5777</v>
      </c>
      <c r="C258" s="380" t="s">
        <v>5524</v>
      </c>
      <c r="D258" s="381" t="s">
        <v>7174</v>
      </c>
      <c r="E258" s="381" t="s">
        <v>7561</v>
      </c>
      <c r="F258" s="382" t="s">
        <v>7562</v>
      </c>
      <c r="G258" s="383">
        <v>0.75</v>
      </c>
      <c r="H258" s="384" t="s">
        <v>6966</v>
      </c>
      <c r="I258" s="385" t="s">
        <v>6992</v>
      </c>
      <c r="J258" s="385" t="s">
        <v>4</v>
      </c>
      <c r="K258" s="385"/>
      <c r="L258" s="385"/>
      <c r="M258" s="385" t="s">
        <v>6967</v>
      </c>
      <c r="N258" s="386" t="s">
        <v>7009</v>
      </c>
      <c r="O258" s="387" t="s">
        <v>6969</v>
      </c>
    </row>
    <row r="259" spans="1:15" ht="42" customHeight="1">
      <c r="A259" s="379" t="s">
        <v>7175</v>
      </c>
      <c r="B259" s="380" t="s">
        <v>5777</v>
      </c>
      <c r="C259" s="380" t="s">
        <v>5524</v>
      </c>
      <c r="D259" s="381" t="s">
        <v>7176</v>
      </c>
      <c r="E259" s="381" t="s">
        <v>7563</v>
      </c>
      <c r="F259" s="382" t="s">
        <v>7564</v>
      </c>
      <c r="G259" s="383">
        <v>0.75</v>
      </c>
      <c r="H259" s="384" t="s">
        <v>6971</v>
      </c>
      <c r="I259" s="385" t="s">
        <v>6992</v>
      </c>
      <c r="J259" s="385" t="s">
        <v>4</v>
      </c>
      <c r="K259" s="385"/>
      <c r="L259" s="385"/>
      <c r="M259" s="385" t="s">
        <v>6967</v>
      </c>
      <c r="N259" s="386" t="s">
        <v>7009</v>
      </c>
      <c r="O259" s="387" t="s">
        <v>2501</v>
      </c>
    </row>
    <row r="260" spans="1:15" ht="42" customHeight="1">
      <c r="A260" s="379" t="s">
        <v>7177</v>
      </c>
      <c r="B260" s="380" t="s">
        <v>5777</v>
      </c>
      <c r="C260" s="380" t="s">
        <v>5524</v>
      </c>
      <c r="D260" s="381" t="s">
        <v>7178</v>
      </c>
      <c r="E260" s="381" t="s">
        <v>7565</v>
      </c>
      <c r="F260" s="382" t="s">
        <v>7566</v>
      </c>
      <c r="G260" s="383">
        <v>0.5</v>
      </c>
      <c r="H260" s="384" t="s">
        <v>6973</v>
      </c>
      <c r="I260" s="385" t="s">
        <v>6992</v>
      </c>
      <c r="J260" s="385" t="s">
        <v>4</v>
      </c>
      <c r="K260" s="385"/>
      <c r="L260" s="385"/>
      <c r="M260" s="385" t="s">
        <v>6967</v>
      </c>
      <c r="N260" s="386" t="s">
        <v>6610</v>
      </c>
      <c r="O260" s="387" t="s">
        <v>6975</v>
      </c>
    </row>
    <row r="261" spans="1:15" ht="42" customHeight="1">
      <c r="A261" s="379" t="s">
        <v>7179</v>
      </c>
      <c r="B261" s="380" t="s">
        <v>5777</v>
      </c>
      <c r="C261" s="380" t="s">
        <v>5524</v>
      </c>
      <c r="D261" s="381" t="s">
        <v>7180</v>
      </c>
      <c r="E261" s="381" t="s">
        <v>7567</v>
      </c>
      <c r="F261" s="382" t="s">
        <v>7568</v>
      </c>
      <c r="G261" s="383">
        <v>0.5</v>
      </c>
      <c r="H261" s="384" t="s">
        <v>6976</v>
      </c>
      <c r="I261" s="385" t="s">
        <v>6992</v>
      </c>
      <c r="J261" s="385" t="s">
        <v>4</v>
      </c>
      <c r="K261" s="385"/>
      <c r="L261" s="385"/>
      <c r="M261" s="385" t="s">
        <v>6967</v>
      </c>
      <c r="N261" s="386" t="s">
        <v>6610</v>
      </c>
      <c r="O261" s="387" t="s">
        <v>6978</v>
      </c>
    </row>
    <row r="262" spans="1:15" ht="42" customHeight="1">
      <c r="A262" s="379" t="s">
        <v>7181</v>
      </c>
      <c r="B262" s="380" t="s">
        <v>5777</v>
      </c>
      <c r="C262" s="380" t="s">
        <v>5524</v>
      </c>
      <c r="D262" s="381" t="s">
        <v>7182</v>
      </c>
      <c r="E262" s="381" t="s">
        <v>7569</v>
      </c>
      <c r="F262" s="382" t="s">
        <v>7570</v>
      </c>
      <c r="G262" s="383">
        <v>0.5</v>
      </c>
      <c r="H262" s="384" t="s">
        <v>6980</v>
      </c>
      <c r="I262" s="385" t="s">
        <v>6992</v>
      </c>
      <c r="J262" s="385" t="s">
        <v>4</v>
      </c>
      <c r="K262" s="385"/>
      <c r="L262" s="385"/>
      <c r="M262" s="385" t="s">
        <v>6967</v>
      </c>
      <c r="N262" s="386" t="s">
        <v>6610</v>
      </c>
      <c r="O262" s="387" t="s">
        <v>6982</v>
      </c>
    </row>
    <row r="263" spans="1:15" ht="42" customHeight="1">
      <c r="A263" s="379" t="s">
        <v>7183</v>
      </c>
      <c r="B263" s="380" t="s">
        <v>5777</v>
      </c>
      <c r="C263" s="380" t="s">
        <v>5524</v>
      </c>
      <c r="D263" s="381" t="s">
        <v>7184</v>
      </c>
      <c r="E263" s="381" t="s">
        <v>7571</v>
      </c>
      <c r="F263" s="382" t="s">
        <v>7572</v>
      </c>
      <c r="G263" s="383">
        <v>0.5</v>
      </c>
      <c r="H263" s="384" t="s">
        <v>6983</v>
      </c>
      <c r="I263" s="385" t="s">
        <v>6992</v>
      </c>
      <c r="J263" s="385" t="s">
        <v>4</v>
      </c>
      <c r="K263" s="385"/>
      <c r="L263" s="385"/>
      <c r="M263" s="385" t="s">
        <v>6967</v>
      </c>
      <c r="N263" s="386" t="s">
        <v>6610</v>
      </c>
      <c r="O263" s="387" t="s">
        <v>1437</v>
      </c>
    </row>
    <row r="264" spans="1:15" ht="42" customHeight="1">
      <c r="A264" s="379" t="s">
        <v>7185</v>
      </c>
      <c r="B264" s="380" t="s">
        <v>5777</v>
      </c>
      <c r="C264" s="380" t="s">
        <v>5524</v>
      </c>
      <c r="D264" s="381" t="s">
        <v>7186</v>
      </c>
      <c r="E264" s="381" t="s">
        <v>7573</v>
      </c>
      <c r="F264" s="382" t="s">
        <v>7574</v>
      </c>
      <c r="G264" s="383">
        <v>0.5</v>
      </c>
      <c r="H264" s="384" t="s">
        <v>6985</v>
      </c>
      <c r="I264" s="385" t="s">
        <v>6992</v>
      </c>
      <c r="J264" s="385" t="s">
        <v>4</v>
      </c>
      <c r="K264" s="385"/>
      <c r="L264" s="385"/>
      <c r="M264" s="385" t="s">
        <v>6967</v>
      </c>
      <c r="N264" s="386" t="s">
        <v>6610</v>
      </c>
      <c r="O264" s="387" t="s">
        <v>609</v>
      </c>
    </row>
    <row r="265" spans="1:15" ht="42" customHeight="1">
      <c r="A265" s="379" t="s">
        <v>7187</v>
      </c>
      <c r="B265" s="380" t="s">
        <v>5777</v>
      </c>
      <c r="C265" s="380" t="s">
        <v>5524</v>
      </c>
      <c r="D265" s="381" t="s">
        <v>7188</v>
      </c>
      <c r="E265" s="381" t="s">
        <v>7575</v>
      </c>
      <c r="F265" s="382" t="s">
        <v>7576</v>
      </c>
      <c r="G265" s="383">
        <v>0.5</v>
      </c>
      <c r="H265" s="384" t="s">
        <v>6987</v>
      </c>
      <c r="I265" s="385" t="s">
        <v>6992</v>
      </c>
      <c r="J265" s="385" t="s">
        <v>4</v>
      </c>
      <c r="K265" s="385"/>
      <c r="L265" s="385"/>
      <c r="M265" s="385" t="s">
        <v>6967</v>
      </c>
      <c r="N265" s="386" t="s">
        <v>6610</v>
      </c>
      <c r="O265" s="387" t="s">
        <v>1439</v>
      </c>
    </row>
    <row r="266" spans="1:15" ht="42" customHeight="1">
      <c r="A266" s="379" t="s">
        <v>7189</v>
      </c>
      <c r="B266" s="380" t="s">
        <v>5777</v>
      </c>
      <c r="C266" s="380" t="s">
        <v>5524</v>
      </c>
      <c r="D266" s="381" t="s">
        <v>7190</v>
      </c>
      <c r="E266" s="381" t="s">
        <v>7577</v>
      </c>
      <c r="F266" s="382" t="s">
        <v>7578</v>
      </c>
      <c r="G266" s="383">
        <v>0.5</v>
      </c>
      <c r="H266" s="384" t="s">
        <v>6989</v>
      </c>
      <c r="I266" s="385" t="s">
        <v>6992</v>
      </c>
      <c r="J266" s="385" t="s">
        <v>4</v>
      </c>
      <c r="K266" s="385"/>
      <c r="L266" s="385"/>
      <c r="M266" s="385" t="s">
        <v>6967</v>
      </c>
      <c r="N266" s="386" t="s">
        <v>6628</v>
      </c>
      <c r="O266" s="387" t="s">
        <v>6991</v>
      </c>
    </row>
    <row r="267" spans="1:15" ht="42" customHeight="1">
      <c r="A267" s="379" t="s">
        <v>5826</v>
      </c>
      <c r="B267" s="380" t="s">
        <v>5777</v>
      </c>
      <c r="C267" s="380" t="s">
        <v>5525</v>
      </c>
      <c r="D267" s="381" t="s">
        <v>6500</v>
      </c>
      <c r="E267" s="381" t="s">
        <v>7633</v>
      </c>
      <c r="F267" s="382" t="s">
        <v>7634</v>
      </c>
      <c r="G267" s="383">
        <v>3</v>
      </c>
      <c r="H267" s="384" t="s">
        <v>2762</v>
      </c>
      <c r="I267" s="385" t="s">
        <v>2236</v>
      </c>
      <c r="J267" s="385" t="s">
        <v>4</v>
      </c>
      <c r="K267" s="385"/>
      <c r="L267" s="385"/>
      <c r="M267" s="385"/>
      <c r="N267" s="386"/>
      <c r="O267" s="387"/>
    </row>
    <row r="268" spans="1:15" ht="42" customHeight="1">
      <c r="A268" s="379" t="s">
        <v>5827</v>
      </c>
      <c r="B268" s="380" t="s">
        <v>5777</v>
      </c>
      <c r="C268" s="380" t="s">
        <v>5525</v>
      </c>
      <c r="D268" s="381" t="s">
        <v>6501</v>
      </c>
      <c r="E268" s="381" t="s">
        <v>7635</v>
      </c>
      <c r="F268" s="382" t="s">
        <v>7636</v>
      </c>
      <c r="G268" s="383">
        <v>2</v>
      </c>
      <c r="H268" s="384" t="s">
        <v>2762</v>
      </c>
      <c r="I268" s="385" t="s">
        <v>2236</v>
      </c>
      <c r="J268" s="385" t="s">
        <v>4</v>
      </c>
      <c r="K268" s="385"/>
      <c r="L268" s="385"/>
      <c r="M268" s="385"/>
      <c r="N268" s="386"/>
      <c r="O268" s="387"/>
    </row>
    <row r="269" spans="1:15" ht="42" customHeight="1">
      <c r="A269" s="379" t="s">
        <v>5828</v>
      </c>
      <c r="B269" s="380" t="s">
        <v>5777</v>
      </c>
      <c r="C269" s="380" t="s">
        <v>5525</v>
      </c>
      <c r="D269" s="381" t="s">
        <v>6502</v>
      </c>
      <c r="E269" s="381" t="s">
        <v>7637</v>
      </c>
      <c r="F269" s="382" t="s">
        <v>7638</v>
      </c>
      <c r="G269" s="383">
        <v>2</v>
      </c>
      <c r="H269" s="384" t="s">
        <v>2762</v>
      </c>
      <c r="I269" s="385" t="s">
        <v>2236</v>
      </c>
      <c r="J269" s="385" t="s">
        <v>4</v>
      </c>
      <c r="K269" s="385"/>
      <c r="L269" s="385"/>
      <c r="M269" s="385"/>
      <c r="N269" s="386"/>
      <c r="O269" s="387"/>
    </row>
    <row r="270" spans="1:15" ht="42" customHeight="1">
      <c r="A270" s="379" t="s">
        <v>5829</v>
      </c>
      <c r="B270" s="380" t="s">
        <v>5777</v>
      </c>
      <c r="C270" s="380" t="s">
        <v>5525</v>
      </c>
      <c r="D270" s="381" t="s">
        <v>6503</v>
      </c>
      <c r="E270" s="381" t="s">
        <v>7639</v>
      </c>
      <c r="F270" s="382" t="s">
        <v>7640</v>
      </c>
      <c r="G270" s="383">
        <v>6</v>
      </c>
      <c r="H270" s="384" t="s">
        <v>7231</v>
      </c>
      <c r="I270" s="385" t="s">
        <v>2236</v>
      </c>
      <c r="J270" s="385" t="s">
        <v>4</v>
      </c>
      <c r="K270" s="385"/>
      <c r="L270" s="385"/>
      <c r="M270" s="385"/>
      <c r="N270" s="386"/>
      <c r="O270" s="387"/>
    </row>
    <row r="271" spans="1:15" ht="42" customHeight="1">
      <c r="A271" s="379" t="s">
        <v>5830</v>
      </c>
      <c r="B271" s="380" t="s">
        <v>5777</v>
      </c>
      <c r="C271" s="380" t="s">
        <v>5525</v>
      </c>
      <c r="D271" s="381" t="s">
        <v>6504</v>
      </c>
      <c r="E271" s="381" t="s">
        <v>7641</v>
      </c>
      <c r="F271" s="382" t="s">
        <v>7642</v>
      </c>
      <c r="G271" s="383">
        <v>10</v>
      </c>
      <c r="H271" s="384" t="s">
        <v>7228</v>
      </c>
      <c r="I271" s="385" t="s">
        <v>2236</v>
      </c>
      <c r="J271" s="385" t="s">
        <v>4</v>
      </c>
      <c r="K271" s="385"/>
      <c r="L271" s="385"/>
      <c r="M271" s="385"/>
      <c r="N271" s="386"/>
      <c r="O271" s="387"/>
    </row>
    <row r="272" spans="1:15" ht="42" customHeight="1">
      <c r="A272" s="379" t="s">
        <v>5831</v>
      </c>
      <c r="B272" s="380" t="s">
        <v>5777</v>
      </c>
      <c r="C272" s="380" t="s">
        <v>5525</v>
      </c>
      <c r="D272" s="381" t="s">
        <v>6505</v>
      </c>
      <c r="E272" s="381" t="s">
        <v>7643</v>
      </c>
      <c r="F272" s="382" t="s">
        <v>7644</v>
      </c>
      <c r="G272" s="383">
        <v>3</v>
      </c>
      <c r="H272" s="384" t="s">
        <v>2762</v>
      </c>
      <c r="I272" s="385" t="s">
        <v>2236</v>
      </c>
      <c r="J272" s="385" t="s">
        <v>4</v>
      </c>
      <c r="K272" s="385"/>
      <c r="L272" s="385"/>
      <c r="M272" s="385"/>
      <c r="N272" s="386"/>
      <c r="O272" s="387"/>
    </row>
    <row r="273" spans="1:15" ht="42" customHeight="1">
      <c r="A273" s="379" t="s">
        <v>5832</v>
      </c>
      <c r="B273" s="380" t="s">
        <v>5777</v>
      </c>
      <c r="C273" s="380" t="s">
        <v>5525</v>
      </c>
      <c r="D273" s="381" t="s">
        <v>6506</v>
      </c>
      <c r="E273" s="381" t="s">
        <v>7645</v>
      </c>
      <c r="F273" s="382" t="s">
        <v>7646</v>
      </c>
      <c r="G273" s="383">
        <v>3</v>
      </c>
      <c r="H273" s="384" t="s">
        <v>2762</v>
      </c>
      <c r="I273" s="385" t="s">
        <v>2236</v>
      </c>
      <c r="J273" s="385" t="s">
        <v>4</v>
      </c>
      <c r="K273" s="385"/>
      <c r="L273" s="385"/>
      <c r="M273" s="385"/>
      <c r="N273" s="386"/>
      <c r="O273" s="387"/>
    </row>
    <row r="274" spans="1:15" ht="42" customHeight="1">
      <c r="A274" s="379" t="s">
        <v>5833</v>
      </c>
      <c r="B274" s="380" t="s">
        <v>5777</v>
      </c>
      <c r="C274" s="380" t="s">
        <v>5525</v>
      </c>
      <c r="D274" s="381" t="s">
        <v>6507</v>
      </c>
      <c r="E274" s="381" t="s">
        <v>7647</v>
      </c>
      <c r="F274" s="382" t="s">
        <v>7648</v>
      </c>
      <c r="G274" s="383">
        <v>3</v>
      </c>
      <c r="H274" s="384" t="s">
        <v>2762</v>
      </c>
      <c r="I274" s="385" t="s">
        <v>2236</v>
      </c>
      <c r="J274" s="385" t="s">
        <v>4</v>
      </c>
      <c r="K274" s="385"/>
      <c r="L274" s="385"/>
      <c r="M274" s="385"/>
      <c r="N274" s="386"/>
      <c r="O274" s="387"/>
    </row>
    <row r="275" spans="1:15" ht="42" customHeight="1">
      <c r="A275" s="379" t="s">
        <v>5834</v>
      </c>
      <c r="B275" s="380" t="s">
        <v>5777</v>
      </c>
      <c r="C275" s="380" t="s">
        <v>5525</v>
      </c>
      <c r="D275" s="381" t="s">
        <v>6508</v>
      </c>
      <c r="E275" s="381" t="s">
        <v>7649</v>
      </c>
      <c r="F275" s="382" t="s">
        <v>7650</v>
      </c>
      <c r="G275" s="383">
        <v>3</v>
      </c>
      <c r="H275" s="384" t="s">
        <v>2762</v>
      </c>
      <c r="I275" s="385" t="s">
        <v>2236</v>
      </c>
      <c r="J275" s="385" t="s">
        <v>4</v>
      </c>
      <c r="K275" s="385"/>
      <c r="L275" s="385"/>
      <c r="M275" s="385"/>
      <c r="N275" s="386"/>
      <c r="O275" s="387"/>
    </row>
    <row r="276" spans="1:15" ht="42" customHeight="1">
      <c r="A276" s="379" t="s">
        <v>5835</v>
      </c>
      <c r="B276" s="380" t="s">
        <v>5777</v>
      </c>
      <c r="C276" s="380" t="s">
        <v>5525</v>
      </c>
      <c r="D276" s="381" t="s">
        <v>6509</v>
      </c>
      <c r="E276" s="381" t="s">
        <v>7651</v>
      </c>
      <c r="F276" s="382" t="s">
        <v>7652</v>
      </c>
      <c r="G276" s="383">
        <v>2</v>
      </c>
      <c r="H276" s="384" t="s">
        <v>2762</v>
      </c>
      <c r="I276" s="385" t="s">
        <v>2236</v>
      </c>
      <c r="J276" s="385" t="s">
        <v>4</v>
      </c>
      <c r="K276" s="385"/>
      <c r="L276" s="385"/>
      <c r="M276" s="385"/>
      <c r="N276" s="386"/>
      <c r="O276" s="387"/>
    </row>
    <row r="277" spans="1:15" ht="42" customHeight="1">
      <c r="A277" s="379" t="s">
        <v>5836</v>
      </c>
      <c r="B277" s="380" t="s">
        <v>5777</v>
      </c>
      <c r="C277" s="380" t="s">
        <v>5525</v>
      </c>
      <c r="D277" s="381" t="s">
        <v>6510</v>
      </c>
      <c r="E277" s="381" t="s">
        <v>7653</v>
      </c>
      <c r="F277" s="382" t="s">
        <v>7654</v>
      </c>
      <c r="G277" s="383">
        <v>3</v>
      </c>
      <c r="H277" s="384" t="s">
        <v>7232</v>
      </c>
      <c r="I277" s="385" t="s">
        <v>2236</v>
      </c>
      <c r="J277" s="385" t="s">
        <v>4</v>
      </c>
      <c r="K277" s="385"/>
      <c r="L277" s="385"/>
      <c r="M277" s="385"/>
      <c r="N277" s="386"/>
      <c r="O277" s="387"/>
    </row>
    <row r="278" spans="1:15" ht="42" customHeight="1">
      <c r="A278" s="379" t="s">
        <v>5837</v>
      </c>
      <c r="B278" s="380" t="s">
        <v>5777</v>
      </c>
      <c r="C278" s="380" t="s">
        <v>5526</v>
      </c>
      <c r="D278" s="381" t="s">
        <v>6511</v>
      </c>
      <c r="E278" s="381" t="s">
        <v>7655</v>
      </c>
      <c r="F278" s="382" t="s">
        <v>7656</v>
      </c>
      <c r="G278" s="383">
        <v>4</v>
      </c>
      <c r="H278" s="384" t="s">
        <v>2762</v>
      </c>
      <c r="I278" s="385" t="s">
        <v>2236</v>
      </c>
      <c r="J278" s="385" t="s">
        <v>4</v>
      </c>
      <c r="K278" s="385"/>
      <c r="L278" s="385"/>
      <c r="M278" s="385"/>
      <c r="N278" s="386"/>
      <c r="O278" s="387"/>
    </row>
    <row r="279" spans="1:15" ht="42" customHeight="1">
      <c r="A279" s="379" t="s">
        <v>5838</v>
      </c>
      <c r="B279" s="380" t="s">
        <v>5777</v>
      </c>
      <c r="C279" s="380" t="s">
        <v>5526</v>
      </c>
      <c r="D279" s="381" t="s">
        <v>6512</v>
      </c>
      <c r="E279" s="381" t="s">
        <v>7657</v>
      </c>
      <c r="F279" s="382" t="s">
        <v>7658</v>
      </c>
      <c r="G279" s="383">
        <v>4</v>
      </c>
      <c r="H279" s="384" t="s">
        <v>2762</v>
      </c>
      <c r="I279" s="385" t="s">
        <v>2236</v>
      </c>
      <c r="J279" s="385" t="s">
        <v>4</v>
      </c>
      <c r="K279" s="385"/>
      <c r="L279" s="385"/>
      <c r="M279" s="385"/>
      <c r="N279" s="386"/>
      <c r="O279" s="387"/>
    </row>
    <row r="280" spans="1:15" ht="42" customHeight="1">
      <c r="A280" s="379" t="s">
        <v>5839</v>
      </c>
      <c r="B280" s="380" t="s">
        <v>5777</v>
      </c>
      <c r="C280" s="380" t="s">
        <v>5526</v>
      </c>
      <c r="D280" s="381" t="s">
        <v>6513</v>
      </c>
      <c r="E280" s="381" t="s">
        <v>7659</v>
      </c>
      <c r="F280" s="382" t="s">
        <v>7660</v>
      </c>
      <c r="G280" s="383">
        <v>4</v>
      </c>
      <c r="H280" s="384" t="s">
        <v>6914</v>
      </c>
      <c r="I280" s="385" t="s">
        <v>2236</v>
      </c>
      <c r="J280" s="385" t="s">
        <v>4</v>
      </c>
      <c r="K280" s="385"/>
      <c r="L280" s="385"/>
      <c r="M280" s="385"/>
      <c r="N280" s="386"/>
      <c r="O280" s="387"/>
    </row>
    <row r="281" spans="1:15" ht="42" customHeight="1">
      <c r="A281" s="379" t="s">
        <v>5840</v>
      </c>
      <c r="B281" s="380" t="s">
        <v>5777</v>
      </c>
      <c r="C281" s="380" t="s">
        <v>5526</v>
      </c>
      <c r="D281" s="381" t="s">
        <v>6514</v>
      </c>
      <c r="E281" s="381" t="s">
        <v>7661</v>
      </c>
      <c r="F281" s="382" t="s">
        <v>7662</v>
      </c>
      <c r="G281" s="383">
        <v>3</v>
      </c>
      <c r="H281" s="384" t="s">
        <v>2762</v>
      </c>
      <c r="I281" s="385" t="s">
        <v>2236</v>
      </c>
      <c r="J281" s="385" t="s">
        <v>4</v>
      </c>
      <c r="K281" s="385"/>
      <c r="L281" s="385"/>
      <c r="M281" s="385"/>
      <c r="N281" s="386"/>
      <c r="O281" s="387"/>
    </row>
    <row r="282" spans="1:15" ht="42" customHeight="1">
      <c r="A282" s="379" t="s">
        <v>5841</v>
      </c>
      <c r="B282" s="380" t="s">
        <v>5777</v>
      </c>
      <c r="C282" s="380" t="s">
        <v>5526</v>
      </c>
      <c r="D282" s="381" t="s">
        <v>6515</v>
      </c>
      <c r="E282" s="381" t="s">
        <v>7663</v>
      </c>
      <c r="F282" s="382" t="s">
        <v>7662</v>
      </c>
      <c r="G282" s="383">
        <v>3</v>
      </c>
      <c r="H282" s="384" t="s">
        <v>2762</v>
      </c>
      <c r="I282" s="385" t="s">
        <v>2236</v>
      </c>
      <c r="J282" s="385" t="s">
        <v>4</v>
      </c>
      <c r="K282" s="385"/>
      <c r="L282" s="385"/>
      <c r="M282" s="385"/>
      <c r="N282" s="386"/>
      <c r="O282" s="387"/>
    </row>
    <row r="283" spans="1:15" ht="42" customHeight="1">
      <c r="A283" s="379" t="s">
        <v>5842</v>
      </c>
      <c r="B283" s="380" t="s">
        <v>5777</v>
      </c>
      <c r="C283" s="380" t="s">
        <v>5526</v>
      </c>
      <c r="D283" s="381" t="s">
        <v>6516</v>
      </c>
      <c r="E283" s="381" t="s">
        <v>7664</v>
      </c>
      <c r="F283" s="382" t="s">
        <v>7665</v>
      </c>
      <c r="G283" s="383">
        <v>4</v>
      </c>
      <c r="H283" s="384" t="s">
        <v>2762</v>
      </c>
      <c r="I283" s="385" t="s">
        <v>2236</v>
      </c>
      <c r="J283" s="385" t="s">
        <v>4</v>
      </c>
      <c r="K283" s="385"/>
      <c r="L283" s="385"/>
      <c r="M283" s="385"/>
      <c r="N283" s="386"/>
      <c r="O283" s="387"/>
    </row>
    <row r="284" spans="1:15" ht="42" customHeight="1">
      <c r="A284" s="379" t="s">
        <v>5843</v>
      </c>
      <c r="B284" s="380" t="s">
        <v>5777</v>
      </c>
      <c r="C284" s="380" t="s">
        <v>5526</v>
      </c>
      <c r="D284" s="381" t="s">
        <v>6517</v>
      </c>
      <c r="E284" s="381" t="s">
        <v>7666</v>
      </c>
      <c r="F284" s="382" t="s">
        <v>7667</v>
      </c>
      <c r="G284" s="383">
        <v>4</v>
      </c>
      <c r="H284" s="384" t="s">
        <v>2762</v>
      </c>
      <c r="I284" s="385" t="s">
        <v>2236</v>
      </c>
      <c r="J284" s="385" t="s">
        <v>4</v>
      </c>
      <c r="K284" s="385"/>
      <c r="L284" s="385"/>
      <c r="M284" s="385"/>
      <c r="N284" s="386"/>
      <c r="O284" s="387"/>
    </row>
    <row r="285" spans="1:15" ht="42" customHeight="1">
      <c r="A285" s="379" t="s">
        <v>5844</v>
      </c>
      <c r="B285" s="380" t="s">
        <v>5777</v>
      </c>
      <c r="C285" s="380" t="s">
        <v>5526</v>
      </c>
      <c r="D285" s="381" t="s">
        <v>6518</v>
      </c>
      <c r="E285" s="381" t="s">
        <v>7668</v>
      </c>
      <c r="F285" s="382" t="s">
        <v>7669</v>
      </c>
      <c r="G285" s="383">
        <v>2</v>
      </c>
      <c r="H285" s="384" t="s">
        <v>2762</v>
      </c>
      <c r="I285" s="385" t="s">
        <v>2236</v>
      </c>
      <c r="J285" s="385" t="s">
        <v>4</v>
      </c>
      <c r="K285" s="385"/>
      <c r="L285" s="385"/>
      <c r="M285" s="385"/>
      <c r="N285" s="386"/>
      <c r="O285" s="387"/>
    </row>
    <row r="286" spans="1:15" ht="42" customHeight="1">
      <c r="A286" s="379" t="s">
        <v>5845</v>
      </c>
      <c r="B286" s="380" t="s">
        <v>5777</v>
      </c>
      <c r="C286" s="380" t="s">
        <v>5526</v>
      </c>
      <c r="D286" s="381" t="s">
        <v>6519</v>
      </c>
      <c r="E286" s="381" t="s">
        <v>7670</v>
      </c>
      <c r="F286" s="382" t="s">
        <v>7671</v>
      </c>
      <c r="G286" s="383">
        <v>1</v>
      </c>
      <c r="H286" s="384" t="s">
        <v>2762</v>
      </c>
      <c r="I286" s="385" t="s">
        <v>2236</v>
      </c>
      <c r="J286" s="385" t="s">
        <v>4</v>
      </c>
      <c r="K286" s="385"/>
      <c r="L286" s="385"/>
      <c r="M286" s="385"/>
      <c r="N286" s="386"/>
      <c r="O286" s="387"/>
    </row>
    <row r="287" spans="1:15" ht="42" customHeight="1">
      <c r="A287" s="379" t="s">
        <v>5846</v>
      </c>
      <c r="B287" s="380" t="s">
        <v>5777</v>
      </c>
      <c r="C287" s="380" t="s">
        <v>5526</v>
      </c>
      <c r="D287" s="381" t="s">
        <v>6520</v>
      </c>
      <c r="E287" s="381" t="s">
        <v>7672</v>
      </c>
      <c r="F287" s="382" t="s">
        <v>7673</v>
      </c>
      <c r="G287" s="383">
        <v>2</v>
      </c>
      <c r="H287" s="384" t="s">
        <v>2762</v>
      </c>
      <c r="I287" s="385" t="s">
        <v>2236</v>
      </c>
      <c r="J287" s="385" t="s">
        <v>4</v>
      </c>
      <c r="K287" s="385"/>
      <c r="L287" s="385"/>
      <c r="M287" s="385"/>
      <c r="N287" s="386"/>
      <c r="O287" s="387"/>
    </row>
    <row r="288" spans="1:15" ht="42" customHeight="1">
      <c r="A288" s="379" t="s">
        <v>5847</v>
      </c>
      <c r="B288" s="380" t="s">
        <v>5777</v>
      </c>
      <c r="C288" s="380" t="s">
        <v>5526</v>
      </c>
      <c r="D288" s="381" t="s">
        <v>6521</v>
      </c>
      <c r="E288" s="381" t="s">
        <v>7674</v>
      </c>
      <c r="F288" s="382" t="s">
        <v>7675</v>
      </c>
      <c r="G288" s="383">
        <v>3</v>
      </c>
      <c r="H288" s="384" t="s">
        <v>2762</v>
      </c>
      <c r="I288" s="385" t="s">
        <v>2236</v>
      </c>
      <c r="J288" s="385" t="s">
        <v>4</v>
      </c>
      <c r="K288" s="385"/>
      <c r="L288" s="385"/>
      <c r="M288" s="385"/>
      <c r="N288" s="386"/>
      <c r="O288" s="387"/>
    </row>
    <row r="289" spans="1:15" ht="42" customHeight="1">
      <c r="A289" s="379" t="s">
        <v>5848</v>
      </c>
      <c r="B289" s="380" t="s">
        <v>5777</v>
      </c>
      <c r="C289" s="380" t="s">
        <v>5526</v>
      </c>
      <c r="D289" s="381" t="s">
        <v>6522</v>
      </c>
      <c r="E289" s="381" t="s">
        <v>7676</v>
      </c>
      <c r="F289" s="382" t="s">
        <v>7677</v>
      </c>
      <c r="G289" s="383">
        <v>2</v>
      </c>
      <c r="H289" s="384" t="s">
        <v>2762</v>
      </c>
      <c r="I289" s="385" t="s">
        <v>2236</v>
      </c>
      <c r="J289" s="385" t="s">
        <v>4</v>
      </c>
      <c r="K289" s="385"/>
      <c r="L289" s="385"/>
      <c r="M289" s="385"/>
      <c r="N289" s="386"/>
      <c r="O289" s="387"/>
    </row>
    <row r="290" spans="1:15" ht="42" customHeight="1">
      <c r="A290" s="379" t="s">
        <v>5849</v>
      </c>
      <c r="B290" s="380" t="s">
        <v>5777</v>
      </c>
      <c r="C290" s="380" t="s">
        <v>5526</v>
      </c>
      <c r="D290" s="381" t="s">
        <v>6523</v>
      </c>
      <c r="E290" s="381" t="s">
        <v>7678</v>
      </c>
      <c r="F290" s="382" t="s">
        <v>7679</v>
      </c>
      <c r="G290" s="383">
        <v>3</v>
      </c>
      <c r="H290" s="384" t="s">
        <v>6826</v>
      </c>
      <c r="I290" s="385" t="s">
        <v>2236</v>
      </c>
      <c r="J290" s="385" t="s">
        <v>4</v>
      </c>
      <c r="K290" s="385"/>
      <c r="L290" s="385"/>
      <c r="M290" s="385"/>
      <c r="N290" s="386"/>
      <c r="O290" s="387"/>
    </row>
    <row r="291" spans="1:15" ht="42" customHeight="1">
      <c r="A291" s="379" t="s">
        <v>5850</v>
      </c>
      <c r="B291" s="380" t="s">
        <v>5777</v>
      </c>
      <c r="C291" s="380" t="s">
        <v>5526</v>
      </c>
      <c r="D291" s="381" t="s">
        <v>6524</v>
      </c>
      <c r="E291" s="381" t="s">
        <v>7680</v>
      </c>
      <c r="F291" s="382" t="s">
        <v>7681</v>
      </c>
      <c r="G291" s="383">
        <v>3</v>
      </c>
      <c r="H291" s="384" t="s">
        <v>2762</v>
      </c>
      <c r="I291" s="385" t="s">
        <v>2236</v>
      </c>
      <c r="J291" s="385" t="s">
        <v>4</v>
      </c>
      <c r="K291" s="385"/>
      <c r="L291" s="385"/>
      <c r="M291" s="385"/>
      <c r="N291" s="386"/>
      <c r="O291" s="387"/>
    </row>
    <row r="292" spans="1:15" ht="42" customHeight="1">
      <c r="A292" s="379" t="s">
        <v>5851</v>
      </c>
      <c r="B292" s="380" t="s">
        <v>5777</v>
      </c>
      <c r="C292" s="380" t="s">
        <v>5527</v>
      </c>
      <c r="D292" s="381" t="s">
        <v>6525</v>
      </c>
      <c r="E292" s="381" t="s">
        <v>7682</v>
      </c>
      <c r="F292" s="382" t="s">
        <v>7683</v>
      </c>
      <c r="G292" s="383">
        <v>2</v>
      </c>
      <c r="H292" s="384" t="s">
        <v>2762</v>
      </c>
      <c r="I292" s="385" t="s">
        <v>2236</v>
      </c>
      <c r="J292" s="385" t="s">
        <v>4</v>
      </c>
      <c r="K292" s="385"/>
      <c r="L292" s="385"/>
      <c r="M292" s="385"/>
      <c r="N292" s="386"/>
      <c r="O292" s="387"/>
    </row>
    <row r="293" spans="1:15" ht="42" customHeight="1">
      <c r="A293" s="379" t="s">
        <v>5852</v>
      </c>
      <c r="B293" s="380" t="s">
        <v>5777</v>
      </c>
      <c r="C293" s="380" t="s">
        <v>5527</v>
      </c>
      <c r="D293" s="381" t="s">
        <v>6526</v>
      </c>
      <c r="E293" s="381" t="s">
        <v>7684</v>
      </c>
      <c r="F293" s="382" t="s">
        <v>7685</v>
      </c>
      <c r="G293" s="383">
        <v>2</v>
      </c>
      <c r="H293" s="384" t="s">
        <v>2762</v>
      </c>
      <c r="I293" s="385" t="s">
        <v>2236</v>
      </c>
      <c r="J293" s="385" t="s">
        <v>4</v>
      </c>
      <c r="K293" s="385"/>
      <c r="L293" s="385"/>
      <c r="M293" s="385"/>
      <c r="N293" s="386"/>
      <c r="O293" s="387"/>
    </row>
    <row r="294" spans="1:15" ht="42" customHeight="1">
      <c r="A294" s="379" t="s">
        <v>5853</v>
      </c>
      <c r="B294" s="380" t="s">
        <v>5777</v>
      </c>
      <c r="C294" s="380" t="s">
        <v>5527</v>
      </c>
      <c r="D294" s="381" t="s">
        <v>6527</v>
      </c>
      <c r="E294" s="381" t="s">
        <v>7686</v>
      </c>
      <c r="F294" s="382" t="s">
        <v>7687</v>
      </c>
      <c r="G294" s="383">
        <v>2</v>
      </c>
      <c r="H294" s="384" t="s">
        <v>2762</v>
      </c>
      <c r="I294" s="385" t="s">
        <v>2236</v>
      </c>
      <c r="J294" s="385" t="s">
        <v>4</v>
      </c>
      <c r="K294" s="385"/>
      <c r="L294" s="385"/>
      <c r="M294" s="385"/>
      <c r="N294" s="386"/>
      <c r="O294" s="387"/>
    </row>
    <row r="295" spans="1:15" ht="42" customHeight="1">
      <c r="A295" s="379" t="s">
        <v>5854</v>
      </c>
      <c r="B295" s="380" t="s">
        <v>5777</v>
      </c>
      <c r="C295" s="380" t="s">
        <v>5527</v>
      </c>
      <c r="D295" s="381" t="s">
        <v>6528</v>
      </c>
      <c r="E295" s="381" t="s">
        <v>7688</v>
      </c>
      <c r="F295" s="382" t="s">
        <v>7689</v>
      </c>
      <c r="G295" s="383">
        <v>4</v>
      </c>
      <c r="H295" s="384" t="s">
        <v>6993</v>
      </c>
      <c r="I295" s="385" t="s">
        <v>2236</v>
      </c>
      <c r="J295" s="385" t="s">
        <v>4</v>
      </c>
      <c r="K295" s="385"/>
      <c r="L295" s="385"/>
      <c r="M295" s="385"/>
      <c r="N295" s="386"/>
      <c r="O295" s="387"/>
    </row>
    <row r="296" spans="1:15" ht="42" customHeight="1">
      <c r="A296" s="379" t="s">
        <v>5855</v>
      </c>
      <c r="B296" s="380" t="s">
        <v>5777</v>
      </c>
      <c r="C296" s="380" t="s">
        <v>5527</v>
      </c>
      <c r="D296" s="381" t="s">
        <v>6529</v>
      </c>
      <c r="E296" s="381" t="s">
        <v>7690</v>
      </c>
      <c r="F296" s="382" t="s">
        <v>7691</v>
      </c>
      <c r="G296" s="383">
        <v>3</v>
      </c>
      <c r="H296" s="384" t="s">
        <v>7233</v>
      </c>
      <c r="I296" s="385" t="s">
        <v>2236</v>
      </c>
      <c r="J296" s="385" t="s">
        <v>4</v>
      </c>
      <c r="K296" s="385"/>
      <c r="L296" s="385"/>
      <c r="M296" s="385"/>
      <c r="N296" s="386"/>
      <c r="O296" s="387"/>
    </row>
    <row r="297" spans="1:15" ht="42" customHeight="1">
      <c r="A297" s="379" t="s">
        <v>5856</v>
      </c>
      <c r="B297" s="380" t="s">
        <v>5777</v>
      </c>
      <c r="C297" s="380" t="s">
        <v>5527</v>
      </c>
      <c r="D297" s="381" t="s">
        <v>6530</v>
      </c>
      <c r="E297" s="381" t="s">
        <v>7692</v>
      </c>
      <c r="F297" s="382" t="s">
        <v>7693</v>
      </c>
      <c r="G297" s="383">
        <v>2</v>
      </c>
      <c r="H297" s="384" t="s">
        <v>7234</v>
      </c>
      <c r="I297" s="385" t="s">
        <v>2236</v>
      </c>
      <c r="J297" s="385" t="s">
        <v>4</v>
      </c>
      <c r="K297" s="385"/>
      <c r="L297" s="385"/>
      <c r="M297" s="385"/>
      <c r="N297" s="386"/>
      <c r="O297" s="387"/>
    </row>
    <row r="298" spans="1:15" ht="42" customHeight="1">
      <c r="A298" s="379" t="s">
        <v>5857</v>
      </c>
      <c r="B298" s="380" t="s">
        <v>5777</v>
      </c>
      <c r="C298" s="380" t="s">
        <v>5527</v>
      </c>
      <c r="D298" s="381" t="s">
        <v>6531</v>
      </c>
      <c r="E298" s="381" t="s">
        <v>7694</v>
      </c>
      <c r="F298" s="382" t="s">
        <v>7695</v>
      </c>
      <c r="G298" s="383">
        <v>3</v>
      </c>
      <c r="H298" s="384" t="s">
        <v>2762</v>
      </c>
      <c r="I298" s="385" t="s">
        <v>2236</v>
      </c>
      <c r="J298" s="385" t="s">
        <v>4</v>
      </c>
      <c r="K298" s="385"/>
      <c r="L298" s="385"/>
      <c r="M298" s="385"/>
      <c r="N298" s="386"/>
      <c r="O298" s="387"/>
    </row>
    <row r="299" spans="1:15" ht="42" customHeight="1">
      <c r="A299" s="379" t="s">
        <v>5858</v>
      </c>
      <c r="B299" s="380" t="s">
        <v>5777</v>
      </c>
      <c r="C299" s="380" t="s">
        <v>5527</v>
      </c>
      <c r="D299" s="381" t="s">
        <v>6532</v>
      </c>
      <c r="E299" s="381" t="s">
        <v>7696</v>
      </c>
      <c r="F299" s="382" t="s">
        <v>7697</v>
      </c>
      <c r="G299" s="383">
        <v>2</v>
      </c>
      <c r="H299" s="384" t="s">
        <v>2762</v>
      </c>
      <c r="I299" s="385" t="s">
        <v>2236</v>
      </c>
      <c r="J299" s="385" t="s">
        <v>4</v>
      </c>
      <c r="K299" s="385"/>
      <c r="L299" s="385"/>
      <c r="M299" s="385"/>
      <c r="N299" s="386"/>
      <c r="O299" s="387"/>
    </row>
    <row r="300" spans="1:15" ht="42" customHeight="1">
      <c r="A300" s="379" t="s">
        <v>5859</v>
      </c>
      <c r="B300" s="380" t="s">
        <v>5777</v>
      </c>
      <c r="C300" s="380" t="s">
        <v>5527</v>
      </c>
      <c r="D300" s="381" t="s">
        <v>6533</v>
      </c>
      <c r="E300" s="381" t="s">
        <v>7698</v>
      </c>
      <c r="F300" s="382" t="s">
        <v>7699</v>
      </c>
      <c r="G300" s="383">
        <v>4</v>
      </c>
      <c r="H300" s="384" t="s">
        <v>7235</v>
      </c>
      <c r="I300" s="385" t="s">
        <v>2236</v>
      </c>
      <c r="J300" s="385" t="s">
        <v>4</v>
      </c>
      <c r="K300" s="385"/>
      <c r="L300" s="385"/>
      <c r="M300" s="385"/>
      <c r="N300" s="386"/>
      <c r="O300" s="387"/>
    </row>
    <row r="301" spans="1:15" ht="42" customHeight="1">
      <c r="A301" s="379" t="s">
        <v>5860</v>
      </c>
      <c r="B301" s="380" t="s">
        <v>5777</v>
      </c>
      <c r="C301" s="380" t="s">
        <v>5527</v>
      </c>
      <c r="D301" s="381" t="s">
        <v>6534</v>
      </c>
      <c r="E301" s="381" t="s">
        <v>7700</v>
      </c>
      <c r="F301" s="382" t="s">
        <v>7701</v>
      </c>
      <c r="G301" s="383">
        <v>2</v>
      </c>
      <c r="H301" s="384" t="s">
        <v>7235</v>
      </c>
      <c r="I301" s="385" t="s">
        <v>2236</v>
      </c>
      <c r="J301" s="385" t="s">
        <v>4</v>
      </c>
      <c r="K301" s="385"/>
      <c r="L301" s="385"/>
      <c r="M301" s="385"/>
      <c r="N301" s="386"/>
      <c r="O301" s="387"/>
    </row>
    <row r="302" spans="1:15" ht="42" customHeight="1">
      <c r="A302" s="379" t="s">
        <v>5861</v>
      </c>
      <c r="B302" s="380" t="s">
        <v>5777</v>
      </c>
      <c r="C302" s="380" t="s">
        <v>5527</v>
      </c>
      <c r="D302" s="381" t="s">
        <v>6535</v>
      </c>
      <c r="E302" s="381" t="s">
        <v>7702</v>
      </c>
      <c r="F302" s="382" t="s">
        <v>7703</v>
      </c>
      <c r="G302" s="383">
        <v>3</v>
      </c>
      <c r="H302" s="384" t="s">
        <v>7236</v>
      </c>
      <c r="I302" s="385" t="s">
        <v>2236</v>
      </c>
      <c r="J302" s="385" t="s">
        <v>4</v>
      </c>
      <c r="K302" s="385"/>
      <c r="L302" s="385"/>
      <c r="M302" s="385"/>
      <c r="N302" s="386"/>
      <c r="O302" s="387"/>
    </row>
    <row r="303" spans="1:15" ht="42" customHeight="1">
      <c r="A303" s="379" t="s">
        <v>5862</v>
      </c>
      <c r="B303" s="380" t="s">
        <v>5777</v>
      </c>
      <c r="C303" s="380" t="s">
        <v>5527</v>
      </c>
      <c r="D303" s="381" t="s">
        <v>6536</v>
      </c>
      <c r="E303" s="381" t="s">
        <v>7704</v>
      </c>
      <c r="F303" s="382" t="s">
        <v>7705</v>
      </c>
      <c r="G303" s="383">
        <v>2</v>
      </c>
      <c r="H303" s="384" t="s">
        <v>7236</v>
      </c>
      <c r="I303" s="385" t="s">
        <v>2236</v>
      </c>
      <c r="J303" s="385" t="s">
        <v>4</v>
      </c>
      <c r="K303" s="385"/>
      <c r="L303" s="385"/>
      <c r="M303" s="385"/>
      <c r="N303" s="386"/>
      <c r="O303" s="387"/>
    </row>
    <row r="304" spans="1:15" ht="42" customHeight="1">
      <c r="A304" s="379" t="s">
        <v>5863</v>
      </c>
      <c r="B304" s="380" t="s">
        <v>5777</v>
      </c>
      <c r="C304" s="380" t="s">
        <v>5527</v>
      </c>
      <c r="D304" s="381" t="s">
        <v>6537</v>
      </c>
      <c r="E304" s="381" t="s">
        <v>7706</v>
      </c>
      <c r="F304" s="382" t="s">
        <v>7707</v>
      </c>
      <c r="G304" s="383">
        <v>3</v>
      </c>
      <c r="H304" s="384" t="s">
        <v>6942</v>
      </c>
      <c r="I304" s="385" t="s">
        <v>2236</v>
      </c>
      <c r="J304" s="385" t="s">
        <v>4</v>
      </c>
      <c r="K304" s="385"/>
      <c r="L304" s="385"/>
      <c r="M304" s="385"/>
      <c r="N304" s="386"/>
      <c r="O304" s="387"/>
    </row>
    <row r="305" spans="1:15" ht="42" customHeight="1">
      <c r="A305" s="379" t="s">
        <v>5864</v>
      </c>
      <c r="B305" s="380" t="s">
        <v>5777</v>
      </c>
      <c r="C305" s="380" t="s">
        <v>5527</v>
      </c>
      <c r="D305" s="381" t="s">
        <v>6538</v>
      </c>
      <c r="E305" s="381" t="s">
        <v>7708</v>
      </c>
      <c r="F305" s="382" t="s">
        <v>7709</v>
      </c>
      <c r="G305" s="383">
        <v>4</v>
      </c>
      <c r="H305" s="384" t="s">
        <v>7216</v>
      </c>
      <c r="I305" s="385" t="s">
        <v>2236</v>
      </c>
      <c r="J305" s="385" t="s">
        <v>4</v>
      </c>
      <c r="K305" s="385"/>
      <c r="L305" s="385"/>
      <c r="M305" s="385"/>
      <c r="N305" s="386"/>
      <c r="O305" s="387"/>
    </row>
    <row r="306" spans="1:15" ht="42" customHeight="1">
      <c r="A306" s="379" t="s">
        <v>5865</v>
      </c>
      <c r="B306" s="380" t="s">
        <v>5777</v>
      </c>
      <c r="C306" s="380" t="s">
        <v>5527</v>
      </c>
      <c r="D306" s="381" t="s">
        <v>6539</v>
      </c>
      <c r="E306" s="381" t="s">
        <v>7710</v>
      </c>
      <c r="F306" s="382" t="s">
        <v>7711</v>
      </c>
      <c r="G306" s="383">
        <v>4</v>
      </c>
      <c r="H306" s="384" t="s">
        <v>7216</v>
      </c>
      <c r="I306" s="385" t="s">
        <v>2236</v>
      </c>
      <c r="J306" s="385" t="s">
        <v>4</v>
      </c>
      <c r="K306" s="385"/>
      <c r="L306" s="385"/>
      <c r="M306" s="385"/>
      <c r="N306" s="386"/>
      <c r="O306" s="387"/>
    </row>
    <row r="307" spans="1:15" ht="42" customHeight="1">
      <c r="A307" s="379" t="s">
        <v>5866</v>
      </c>
      <c r="B307" s="380" t="s">
        <v>5777</v>
      </c>
      <c r="C307" s="380" t="s">
        <v>5527</v>
      </c>
      <c r="D307" s="381" t="s">
        <v>6540</v>
      </c>
      <c r="E307" s="381" t="s">
        <v>7712</v>
      </c>
      <c r="F307" s="382" t="s">
        <v>7713</v>
      </c>
      <c r="G307" s="383">
        <v>2</v>
      </c>
      <c r="H307" s="384" t="s">
        <v>6933</v>
      </c>
      <c r="I307" s="385" t="s">
        <v>2236</v>
      </c>
      <c r="J307" s="385" t="s">
        <v>4</v>
      </c>
      <c r="K307" s="385"/>
      <c r="L307" s="385"/>
      <c r="M307" s="385"/>
      <c r="N307" s="386"/>
      <c r="O307" s="387"/>
    </row>
    <row r="308" spans="1:15" ht="42" customHeight="1">
      <c r="A308" s="379" t="s">
        <v>5867</v>
      </c>
      <c r="B308" s="380" t="s">
        <v>5777</v>
      </c>
      <c r="C308" s="380" t="s">
        <v>5527</v>
      </c>
      <c r="D308" s="381" t="s">
        <v>6541</v>
      </c>
      <c r="E308" s="381" t="s">
        <v>7714</v>
      </c>
      <c r="F308" s="382" t="s">
        <v>7715</v>
      </c>
      <c r="G308" s="383">
        <v>2</v>
      </c>
      <c r="H308" s="384" t="s">
        <v>6749</v>
      </c>
      <c r="I308" s="385" t="s">
        <v>2236</v>
      </c>
      <c r="J308" s="385" t="s">
        <v>4</v>
      </c>
      <c r="K308" s="385"/>
      <c r="L308" s="385"/>
      <c r="M308" s="385"/>
      <c r="N308" s="386"/>
      <c r="O308" s="387"/>
    </row>
    <row r="309" spans="1:15" ht="42" customHeight="1">
      <c r="A309" s="379" t="s">
        <v>5868</v>
      </c>
      <c r="B309" s="380" t="s">
        <v>5777</v>
      </c>
      <c r="C309" s="380" t="s">
        <v>5527</v>
      </c>
      <c r="D309" s="381" t="s">
        <v>6542</v>
      </c>
      <c r="E309" s="381" t="s">
        <v>7716</v>
      </c>
      <c r="F309" s="382" t="s">
        <v>7717</v>
      </c>
      <c r="G309" s="383">
        <v>2</v>
      </c>
      <c r="H309" s="384" t="s">
        <v>7237</v>
      </c>
      <c r="I309" s="385" t="s">
        <v>2236</v>
      </c>
      <c r="J309" s="385" t="s">
        <v>4</v>
      </c>
      <c r="K309" s="385"/>
      <c r="L309" s="385"/>
      <c r="M309" s="385"/>
      <c r="N309" s="386"/>
      <c r="O309" s="387"/>
    </row>
    <row r="310" spans="1:15" ht="42" customHeight="1">
      <c r="A310" s="379" t="s">
        <v>5869</v>
      </c>
      <c r="B310" s="380" t="s">
        <v>5777</v>
      </c>
      <c r="C310" s="380" t="s">
        <v>5527</v>
      </c>
      <c r="D310" s="381" t="s">
        <v>6543</v>
      </c>
      <c r="E310" s="381" t="s">
        <v>7718</v>
      </c>
      <c r="F310" s="382" t="s">
        <v>7719</v>
      </c>
      <c r="G310" s="383">
        <v>3</v>
      </c>
      <c r="H310" s="384" t="s">
        <v>2762</v>
      </c>
      <c r="I310" s="385" t="s">
        <v>2236</v>
      </c>
      <c r="J310" s="385" t="s">
        <v>4</v>
      </c>
      <c r="K310" s="385"/>
      <c r="L310" s="385"/>
      <c r="M310" s="385"/>
      <c r="N310" s="386"/>
      <c r="O310" s="387"/>
    </row>
    <row r="311" spans="1:15" ht="42" customHeight="1">
      <c r="A311" s="379" t="s">
        <v>5870</v>
      </c>
      <c r="B311" s="380" t="s">
        <v>5777</v>
      </c>
      <c r="C311" s="380" t="s">
        <v>5527</v>
      </c>
      <c r="D311" s="381" t="s">
        <v>6544</v>
      </c>
      <c r="E311" s="381" t="s">
        <v>7720</v>
      </c>
      <c r="F311" s="382" t="s">
        <v>7721</v>
      </c>
      <c r="G311" s="383">
        <v>2</v>
      </c>
      <c r="H311" s="384" t="s">
        <v>2762</v>
      </c>
      <c r="I311" s="385" t="s">
        <v>2236</v>
      </c>
      <c r="J311" s="385" t="s">
        <v>4</v>
      </c>
      <c r="K311" s="385"/>
      <c r="L311" s="385"/>
      <c r="M311" s="385"/>
      <c r="N311" s="386"/>
      <c r="O311" s="387"/>
    </row>
    <row r="312" spans="1:15" ht="42" customHeight="1">
      <c r="A312" s="379" t="s">
        <v>5871</v>
      </c>
      <c r="B312" s="380" t="s">
        <v>5777</v>
      </c>
      <c r="C312" s="380" t="s">
        <v>5528</v>
      </c>
      <c r="D312" s="381" t="s">
        <v>6545</v>
      </c>
      <c r="E312" s="381" t="s">
        <v>7722</v>
      </c>
      <c r="F312" s="382" t="s">
        <v>7723</v>
      </c>
      <c r="G312" s="383">
        <v>2.5</v>
      </c>
      <c r="H312" s="384" t="s">
        <v>7238</v>
      </c>
      <c r="I312" s="385" t="s">
        <v>2236</v>
      </c>
      <c r="J312" s="385" t="s">
        <v>4</v>
      </c>
      <c r="K312" s="385"/>
      <c r="L312" s="385"/>
      <c r="M312" s="385"/>
      <c r="N312" s="386"/>
      <c r="O312" s="387"/>
    </row>
    <row r="313" spans="1:15" ht="42" customHeight="1">
      <c r="A313" s="379" t="s">
        <v>5872</v>
      </c>
      <c r="B313" s="380" t="s">
        <v>5777</v>
      </c>
      <c r="C313" s="380" t="s">
        <v>5528</v>
      </c>
      <c r="D313" s="381" t="s">
        <v>6546</v>
      </c>
      <c r="E313" s="381" t="s">
        <v>7724</v>
      </c>
      <c r="F313" s="382" t="s">
        <v>7725</v>
      </c>
      <c r="G313" s="383">
        <v>1.5</v>
      </c>
      <c r="H313" s="384" t="s">
        <v>2762</v>
      </c>
      <c r="I313" s="385" t="s">
        <v>2236</v>
      </c>
      <c r="J313" s="385" t="s">
        <v>4</v>
      </c>
      <c r="K313" s="385"/>
      <c r="L313" s="385"/>
      <c r="M313" s="385"/>
      <c r="N313" s="386"/>
      <c r="O313" s="387"/>
    </row>
    <row r="314" spans="1:15" ht="42" customHeight="1">
      <c r="A314" s="379" t="s">
        <v>5873</v>
      </c>
      <c r="B314" s="380" t="s">
        <v>5777</v>
      </c>
      <c r="C314" s="380" t="s">
        <v>5528</v>
      </c>
      <c r="D314" s="381" t="s">
        <v>6547</v>
      </c>
      <c r="E314" s="381" t="s">
        <v>7726</v>
      </c>
      <c r="F314" s="382" t="s">
        <v>7727</v>
      </c>
      <c r="G314" s="383">
        <v>1.5</v>
      </c>
      <c r="H314" s="384" t="s">
        <v>7239</v>
      </c>
      <c r="I314" s="385" t="s">
        <v>5871</v>
      </c>
      <c r="J314" s="385" t="s">
        <v>4</v>
      </c>
      <c r="K314" s="385"/>
      <c r="L314" s="385"/>
      <c r="M314" s="385"/>
      <c r="N314" s="386"/>
      <c r="O314" s="387"/>
    </row>
    <row r="315" spans="1:15" ht="42" customHeight="1">
      <c r="A315" s="379" t="s">
        <v>5874</v>
      </c>
      <c r="B315" s="380" t="s">
        <v>5777</v>
      </c>
      <c r="C315" s="380" t="s">
        <v>5528</v>
      </c>
      <c r="D315" s="381" t="s">
        <v>6548</v>
      </c>
      <c r="E315" s="381" t="s">
        <v>7728</v>
      </c>
      <c r="F315" s="382" t="s">
        <v>7729</v>
      </c>
      <c r="G315" s="383">
        <v>2</v>
      </c>
      <c r="H315" s="384" t="s">
        <v>7240</v>
      </c>
      <c r="I315" s="385" t="s">
        <v>5871</v>
      </c>
      <c r="J315" s="385" t="s">
        <v>4</v>
      </c>
      <c r="K315" s="385"/>
      <c r="L315" s="385"/>
      <c r="M315" s="385"/>
      <c r="N315" s="386"/>
      <c r="O315" s="387"/>
    </row>
    <row r="316" spans="1:15" ht="42" customHeight="1">
      <c r="A316" s="379" t="s">
        <v>5875</v>
      </c>
      <c r="B316" s="380" t="s">
        <v>5777</v>
      </c>
      <c r="C316" s="380" t="s">
        <v>5528</v>
      </c>
      <c r="D316" s="381" t="s">
        <v>6549</v>
      </c>
      <c r="E316" s="381" t="s">
        <v>7730</v>
      </c>
      <c r="F316" s="382" t="s">
        <v>7731</v>
      </c>
      <c r="G316" s="383">
        <v>2.5</v>
      </c>
      <c r="H316" s="384" t="s">
        <v>6994</v>
      </c>
      <c r="I316" s="385" t="s">
        <v>5871</v>
      </c>
      <c r="J316" s="385" t="s">
        <v>4</v>
      </c>
      <c r="K316" s="385"/>
      <c r="L316" s="385"/>
      <c r="M316" s="385"/>
      <c r="N316" s="386"/>
      <c r="O316" s="387"/>
    </row>
    <row r="317" spans="1:15" ht="42" customHeight="1">
      <c r="A317" s="379" t="s">
        <v>5876</v>
      </c>
      <c r="B317" s="380" t="s">
        <v>5777</v>
      </c>
      <c r="C317" s="380" t="s">
        <v>5528</v>
      </c>
      <c r="D317" s="381" t="s">
        <v>6550</v>
      </c>
      <c r="E317" s="381" t="s">
        <v>7732</v>
      </c>
      <c r="F317" s="382" t="s">
        <v>7733</v>
      </c>
      <c r="G317" s="383">
        <v>2</v>
      </c>
      <c r="H317" s="384" t="s">
        <v>7238</v>
      </c>
      <c r="I317" s="385" t="s">
        <v>5871</v>
      </c>
      <c r="J317" s="385" t="s">
        <v>4</v>
      </c>
      <c r="K317" s="385"/>
      <c r="L317" s="385"/>
      <c r="M317" s="385"/>
      <c r="N317" s="386"/>
      <c r="O317" s="387"/>
    </row>
    <row r="318" spans="1:15" ht="42" customHeight="1">
      <c r="A318" s="379" t="s">
        <v>5877</v>
      </c>
      <c r="B318" s="380" t="s">
        <v>5777</v>
      </c>
      <c r="C318" s="380" t="s">
        <v>5528</v>
      </c>
      <c r="D318" s="381" t="s">
        <v>6551</v>
      </c>
      <c r="E318" s="381" t="s">
        <v>7734</v>
      </c>
      <c r="F318" s="382" t="s">
        <v>7735</v>
      </c>
      <c r="G318" s="383">
        <v>1.5</v>
      </c>
      <c r="H318" s="384" t="s">
        <v>7238</v>
      </c>
      <c r="I318" s="385" t="s">
        <v>5876</v>
      </c>
      <c r="J318" s="385" t="s">
        <v>4</v>
      </c>
      <c r="K318" s="385"/>
      <c r="L318" s="385"/>
      <c r="M318" s="385"/>
      <c r="N318" s="386"/>
      <c r="O318" s="387"/>
    </row>
    <row r="319" spans="1:15" ht="42" customHeight="1">
      <c r="A319" s="379" t="s">
        <v>5878</v>
      </c>
      <c r="B319" s="380" t="s">
        <v>5777</v>
      </c>
      <c r="C319" s="380" t="s">
        <v>5529</v>
      </c>
      <c r="D319" s="381" t="s">
        <v>6552</v>
      </c>
      <c r="E319" s="381" t="s">
        <v>7736</v>
      </c>
      <c r="F319" s="382" t="s">
        <v>7737</v>
      </c>
      <c r="G319" s="383">
        <v>2</v>
      </c>
      <c r="H319" s="384" t="s">
        <v>6923</v>
      </c>
      <c r="I319" s="385" t="s">
        <v>2236</v>
      </c>
      <c r="J319" s="385" t="s">
        <v>4</v>
      </c>
      <c r="K319" s="385"/>
      <c r="L319" s="385"/>
      <c r="M319" s="385"/>
      <c r="N319" s="386"/>
      <c r="O319" s="387"/>
    </row>
    <row r="320" spans="1:15" ht="42" customHeight="1">
      <c r="A320" s="379" t="s">
        <v>5879</v>
      </c>
      <c r="B320" s="380" t="s">
        <v>5777</v>
      </c>
      <c r="C320" s="380" t="s">
        <v>5529</v>
      </c>
      <c r="D320" s="381" t="s">
        <v>6553</v>
      </c>
      <c r="E320" s="381" t="s">
        <v>7738</v>
      </c>
      <c r="F320" s="382" t="s">
        <v>7739</v>
      </c>
      <c r="G320" s="383">
        <v>3</v>
      </c>
      <c r="H320" s="384" t="s">
        <v>7241</v>
      </c>
      <c r="I320" s="385" t="s">
        <v>5804</v>
      </c>
      <c r="J320" s="385" t="s">
        <v>4</v>
      </c>
      <c r="K320" s="385"/>
      <c r="L320" s="385"/>
      <c r="M320" s="385"/>
      <c r="N320" s="386"/>
      <c r="O320" s="387"/>
    </row>
    <row r="321" spans="1:15" ht="42" customHeight="1">
      <c r="A321" s="379" t="s">
        <v>5880</v>
      </c>
      <c r="B321" s="380" t="s">
        <v>5777</v>
      </c>
      <c r="C321" s="380" t="s">
        <v>5529</v>
      </c>
      <c r="D321" s="381" t="s">
        <v>6554</v>
      </c>
      <c r="E321" s="381" t="s">
        <v>7740</v>
      </c>
      <c r="F321" s="382" t="s">
        <v>7741</v>
      </c>
      <c r="G321" s="383">
        <v>3</v>
      </c>
      <c r="H321" s="384" t="s">
        <v>7241</v>
      </c>
      <c r="I321" s="385" t="s">
        <v>5878</v>
      </c>
      <c r="J321" s="385" t="s">
        <v>4</v>
      </c>
      <c r="K321" s="385"/>
      <c r="L321" s="385"/>
      <c r="M321" s="385"/>
      <c r="N321" s="386"/>
      <c r="O321" s="387"/>
    </row>
    <row r="322" spans="1:15" ht="42" customHeight="1">
      <c r="A322" s="379" t="s">
        <v>5881</v>
      </c>
      <c r="B322" s="380" t="s">
        <v>5777</v>
      </c>
      <c r="C322" s="380" t="s">
        <v>5529</v>
      </c>
      <c r="D322" s="381" t="s">
        <v>6555</v>
      </c>
      <c r="E322" s="381" t="s">
        <v>7742</v>
      </c>
      <c r="F322" s="382" t="s">
        <v>7743</v>
      </c>
      <c r="G322" s="383">
        <v>3</v>
      </c>
      <c r="H322" s="384" t="s">
        <v>6893</v>
      </c>
      <c r="I322" s="385" t="s">
        <v>2236</v>
      </c>
      <c r="J322" s="385" t="s">
        <v>4</v>
      </c>
      <c r="K322" s="385"/>
      <c r="L322" s="385"/>
      <c r="M322" s="385"/>
      <c r="N322" s="386"/>
      <c r="O322" s="387"/>
    </row>
    <row r="323" spans="1:15" ht="42" customHeight="1">
      <c r="A323" s="379" t="s">
        <v>5882</v>
      </c>
      <c r="B323" s="380" t="s">
        <v>5777</v>
      </c>
      <c r="C323" s="380" t="s">
        <v>5529</v>
      </c>
      <c r="D323" s="381" t="s">
        <v>6556</v>
      </c>
      <c r="E323" s="381" t="s">
        <v>7744</v>
      </c>
      <c r="F323" s="382" t="s">
        <v>7745</v>
      </c>
      <c r="G323" s="383">
        <v>2</v>
      </c>
      <c r="H323" s="384" t="s">
        <v>6893</v>
      </c>
      <c r="I323" s="385" t="s">
        <v>5881</v>
      </c>
      <c r="J323" s="385" t="s">
        <v>4</v>
      </c>
      <c r="K323" s="385"/>
      <c r="L323" s="385"/>
      <c r="M323" s="385"/>
      <c r="N323" s="386"/>
      <c r="O323" s="387"/>
    </row>
    <row r="324" spans="1:15" ht="42" customHeight="1">
      <c r="A324" s="379" t="s">
        <v>5883</v>
      </c>
      <c r="B324" s="380" t="s">
        <v>5777</v>
      </c>
      <c r="C324" s="380" t="s">
        <v>5529</v>
      </c>
      <c r="D324" s="381" t="s">
        <v>6557</v>
      </c>
      <c r="E324" s="381" t="s">
        <v>7746</v>
      </c>
      <c r="F324" s="382" t="s">
        <v>7747</v>
      </c>
      <c r="G324" s="383">
        <v>2</v>
      </c>
      <c r="H324" s="384" t="s">
        <v>6931</v>
      </c>
      <c r="I324" s="385" t="s">
        <v>5881</v>
      </c>
      <c r="J324" s="385" t="s">
        <v>4</v>
      </c>
      <c r="K324" s="385"/>
      <c r="L324" s="385"/>
      <c r="M324" s="385"/>
      <c r="N324" s="386"/>
      <c r="O324" s="387"/>
    </row>
    <row r="325" spans="1:15" ht="42" customHeight="1">
      <c r="A325" s="379" t="s">
        <v>5884</v>
      </c>
      <c r="B325" s="380" t="s">
        <v>5777</v>
      </c>
      <c r="C325" s="380" t="s">
        <v>5529</v>
      </c>
      <c r="D325" s="381" t="s">
        <v>6558</v>
      </c>
      <c r="E325" s="381" t="s">
        <v>7748</v>
      </c>
      <c r="F325" s="382" t="s">
        <v>7749</v>
      </c>
      <c r="G325" s="383">
        <v>3</v>
      </c>
      <c r="H325" s="384" t="s">
        <v>6953</v>
      </c>
      <c r="I325" s="385" t="s">
        <v>2236</v>
      </c>
      <c r="J325" s="385" t="s">
        <v>4</v>
      </c>
      <c r="K325" s="385"/>
      <c r="L325" s="385"/>
      <c r="M325" s="385"/>
      <c r="N325" s="386"/>
      <c r="O325" s="387"/>
    </row>
    <row r="326" spans="1:15" ht="42" customHeight="1">
      <c r="A326" s="379" t="s">
        <v>5885</v>
      </c>
      <c r="B326" s="380" t="s">
        <v>5777</v>
      </c>
      <c r="C326" s="380" t="s">
        <v>5529</v>
      </c>
      <c r="D326" s="381" t="s">
        <v>6559</v>
      </c>
      <c r="E326" s="381" t="s">
        <v>7750</v>
      </c>
      <c r="F326" s="382" t="s">
        <v>7751</v>
      </c>
      <c r="G326" s="383">
        <v>3</v>
      </c>
      <c r="H326" s="384" t="s">
        <v>2762</v>
      </c>
      <c r="I326" s="385" t="s">
        <v>2236</v>
      </c>
      <c r="J326" s="385" t="s">
        <v>4</v>
      </c>
      <c r="K326" s="385"/>
      <c r="L326" s="385"/>
      <c r="M326" s="385"/>
      <c r="N326" s="386"/>
      <c r="O326" s="387"/>
    </row>
    <row r="327" spans="1:15" ht="42" customHeight="1">
      <c r="A327" s="379" t="s">
        <v>5886</v>
      </c>
      <c r="B327" s="380" t="s">
        <v>5777</v>
      </c>
      <c r="C327" s="380" t="s">
        <v>5530</v>
      </c>
      <c r="D327" s="381" t="s">
        <v>6560</v>
      </c>
      <c r="E327" s="381" t="s">
        <v>7752</v>
      </c>
      <c r="F327" s="382" t="s">
        <v>7753</v>
      </c>
      <c r="G327" s="383">
        <v>2</v>
      </c>
      <c r="H327" s="384" t="s">
        <v>2762</v>
      </c>
      <c r="I327" s="385" t="s">
        <v>5521</v>
      </c>
      <c r="J327" s="385" t="s">
        <v>4</v>
      </c>
      <c r="K327" s="385"/>
      <c r="L327" s="385"/>
      <c r="M327" s="385"/>
      <c r="N327" s="386"/>
      <c r="O327" s="387"/>
    </row>
    <row r="328" spans="1:15">
      <c r="A328" s="379" t="s">
        <v>5887</v>
      </c>
      <c r="B328" s="380" t="s">
        <v>5777</v>
      </c>
      <c r="C328" s="380" t="s">
        <v>5530</v>
      </c>
      <c r="D328" s="381" t="s">
        <v>6561</v>
      </c>
      <c r="E328" s="381" t="s">
        <v>7754</v>
      </c>
      <c r="F328" s="382" t="s">
        <v>7755</v>
      </c>
      <c r="G328" s="383">
        <v>2</v>
      </c>
      <c r="H328" s="384" t="s">
        <v>2762</v>
      </c>
      <c r="I328" s="385" t="s">
        <v>4831</v>
      </c>
      <c r="J328" s="385" t="s">
        <v>4</v>
      </c>
      <c r="K328" s="385"/>
      <c r="L328" s="385"/>
      <c r="M328" s="385"/>
      <c r="N328" s="386"/>
      <c r="O328" s="387"/>
    </row>
    <row r="329" spans="1:15">
      <c r="A329" s="379" t="s">
        <v>5888</v>
      </c>
      <c r="B329" s="380" t="s">
        <v>5777</v>
      </c>
      <c r="C329" s="380" t="s">
        <v>5530</v>
      </c>
      <c r="D329" s="381" t="s">
        <v>6562</v>
      </c>
      <c r="E329" s="381" t="s">
        <v>7756</v>
      </c>
      <c r="F329" s="382" t="s">
        <v>7757</v>
      </c>
      <c r="G329" s="383">
        <v>2</v>
      </c>
      <c r="H329" s="384" t="s">
        <v>2762</v>
      </c>
      <c r="I329" s="385" t="s">
        <v>5889</v>
      </c>
      <c r="J329" s="385" t="s">
        <v>4</v>
      </c>
      <c r="K329" s="385"/>
      <c r="L329" s="385"/>
      <c r="M329" s="385"/>
      <c r="N329" s="386"/>
      <c r="O329" s="387"/>
    </row>
    <row r="330" spans="1:15" ht="30">
      <c r="A330" s="379" t="s">
        <v>5890</v>
      </c>
      <c r="B330" s="380" t="s">
        <v>5777</v>
      </c>
      <c r="C330" s="380" t="s">
        <v>5530</v>
      </c>
      <c r="D330" s="381" t="s">
        <v>6563</v>
      </c>
      <c r="E330" s="381" t="s">
        <v>7758</v>
      </c>
      <c r="F330" s="382" t="s">
        <v>7759</v>
      </c>
      <c r="G330" s="383">
        <v>3</v>
      </c>
      <c r="H330" s="384" t="s">
        <v>6888</v>
      </c>
      <c r="I330" s="385" t="s">
        <v>2236</v>
      </c>
      <c r="J330" s="385" t="s">
        <v>4</v>
      </c>
      <c r="K330" s="385"/>
      <c r="L330" s="385"/>
      <c r="M330" s="385"/>
      <c r="N330" s="386"/>
      <c r="O330" s="387"/>
    </row>
    <row r="331" spans="1:15">
      <c r="A331" s="379" t="s">
        <v>5891</v>
      </c>
      <c r="B331" s="380" t="s">
        <v>5777</v>
      </c>
      <c r="C331" s="380" t="s">
        <v>5530</v>
      </c>
      <c r="D331" s="381" t="s">
        <v>6564</v>
      </c>
      <c r="E331" s="381" t="s">
        <v>7760</v>
      </c>
      <c r="F331" s="382" t="s">
        <v>7761</v>
      </c>
      <c r="G331" s="383">
        <v>3</v>
      </c>
      <c r="H331" s="384" t="s">
        <v>2236</v>
      </c>
      <c r="I331" s="385" t="s">
        <v>625</v>
      </c>
      <c r="J331" s="385" t="s">
        <v>4</v>
      </c>
      <c r="K331" s="385"/>
      <c r="L331" s="385"/>
      <c r="M331" s="385"/>
      <c r="N331" s="386"/>
      <c r="O331" s="387"/>
    </row>
    <row r="332" spans="1:15">
      <c r="A332" s="379" t="s">
        <v>5892</v>
      </c>
      <c r="B332" s="380" t="s">
        <v>5777</v>
      </c>
      <c r="C332" s="380" t="s">
        <v>5531</v>
      </c>
      <c r="D332" s="381" t="s">
        <v>6565</v>
      </c>
      <c r="E332" s="381" t="s">
        <v>7762</v>
      </c>
      <c r="F332" s="382" t="s">
        <v>7763</v>
      </c>
      <c r="G332" s="383">
        <v>3</v>
      </c>
      <c r="H332" s="384" t="s">
        <v>2762</v>
      </c>
      <c r="I332" s="385" t="s">
        <v>5893</v>
      </c>
      <c r="J332" s="385" t="s">
        <v>4</v>
      </c>
      <c r="K332" s="385"/>
      <c r="L332" s="385"/>
      <c r="M332" s="385"/>
      <c r="N332" s="386"/>
      <c r="O332" s="387"/>
    </row>
    <row r="333" spans="1:15">
      <c r="A333" s="379" t="s">
        <v>5894</v>
      </c>
      <c r="B333" s="380" t="s">
        <v>5777</v>
      </c>
      <c r="C333" s="380" t="s">
        <v>5531</v>
      </c>
      <c r="D333" s="381" t="s">
        <v>6199</v>
      </c>
      <c r="E333" s="381" t="s">
        <v>7764</v>
      </c>
      <c r="F333" s="382" t="s">
        <v>7765</v>
      </c>
      <c r="G333" s="383">
        <v>3</v>
      </c>
      <c r="H333" s="384" t="s">
        <v>2762</v>
      </c>
      <c r="I333" s="385" t="s">
        <v>5892</v>
      </c>
      <c r="J333" s="385" t="s">
        <v>4</v>
      </c>
      <c r="K333" s="385"/>
      <c r="L333" s="385"/>
      <c r="M333" s="385"/>
      <c r="N333" s="386"/>
      <c r="O333" s="387"/>
    </row>
    <row r="334" spans="1:15">
      <c r="A334" s="379" t="s">
        <v>5895</v>
      </c>
      <c r="B334" s="380" t="s">
        <v>5777</v>
      </c>
      <c r="C334" s="380" t="s">
        <v>5531</v>
      </c>
      <c r="D334" s="381" t="s">
        <v>6566</v>
      </c>
      <c r="E334" s="381" t="s">
        <v>7766</v>
      </c>
      <c r="F334" s="382" t="s">
        <v>7767</v>
      </c>
      <c r="G334" s="383">
        <v>3</v>
      </c>
      <c r="H334" s="384" t="s">
        <v>2762</v>
      </c>
      <c r="I334" s="385" t="s">
        <v>5894</v>
      </c>
      <c r="J334" s="385" t="s">
        <v>4</v>
      </c>
      <c r="K334" s="385"/>
      <c r="L334" s="385"/>
      <c r="M334" s="385"/>
      <c r="N334" s="386"/>
      <c r="O334" s="387"/>
    </row>
    <row r="335" spans="1:15">
      <c r="A335" s="379" t="s">
        <v>5896</v>
      </c>
      <c r="B335" s="380" t="s">
        <v>5777</v>
      </c>
      <c r="C335" s="380" t="s">
        <v>5531</v>
      </c>
      <c r="D335" s="381" t="s">
        <v>6203</v>
      </c>
      <c r="E335" s="381" t="s">
        <v>7768</v>
      </c>
      <c r="F335" s="382" t="s">
        <v>7769</v>
      </c>
      <c r="G335" s="383">
        <v>3</v>
      </c>
      <c r="H335" s="384" t="s">
        <v>2762</v>
      </c>
      <c r="I335" s="385" t="s">
        <v>5895</v>
      </c>
      <c r="J335" s="385" t="s">
        <v>4</v>
      </c>
      <c r="K335" s="385"/>
      <c r="L335" s="385"/>
      <c r="M335" s="385"/>
      <c r="N335" s="386"/>
      <c r="O335" s="387"/>
    </row>
    <row r="336" spans="1:15">
      <c r="A336" s="379" t="s">
        <v>5897</v>
      </c>
      <c r="B336" s="380" t="s">
        <v>5777</v>
      </c>
      <c r="C336" s="380" t="s">
        <v>5531</v>
      </c>
      <c r="D336" s="381" t="s">
        <v>6567</v>
      </c>
      <c r="E336" s="381" t="s">
        <v>7770</v>
      </c>
      <c r="F336" s="382" t="s">
        <v>7771</v>
      </c>
      <c r="G336" s="383">
        <v>5</v>
      </c>
      <c r="H336" s="384" t="s">
        <v>2762</v>
      </c>
      <c r="I336" s="385" t="s">
        <v>5896</v>
      </c>
      <c r="J336" s="385" t="s">
        <v>4</v>
      </c>
      <c r="K336" s="385"/>
      <c r="L336" s="385"/>
      <c r="M336" s="385"/>
      <c r="N336" s="386"/>
      <c r="O336" s="387"/>
    </row>
    <row r="337" spans="1:15">
      <c r="A337" s="379" t="s">
        <v>5898</v>
      </c>
      <c r="B337" s="380" t="s">
        <v>5777</v>
      </c>
      <c r="C337" s="380" t="s">
        <v>5531</v>
      </c>
      <c r="D337" s="381" t="s">
        <v>6568</v>
      </c>
      <c r="E337" s="381" t="s">
        <v>7772</v>
      </c>
      <c r="F337" s="382" t="s">
        <v>7773</v>
      </c>
      <c r="G337" s="383">
        <v>5</v>
      </c>
      <c r="H337" s="384" t="s">
        <v>2762</v>
      </c>
      <c r="I337" s="385" t="s">
        <v>5897</v>
      </c>
      <c r="J337" s="385" t="s">
        <v>4</v>
      </c>
      <c r="K337" s="385"/>
      <c r="L337" s="385"/>
      <c r="M337" s="385"/>
      <c r="N337" s="386"/>
      <c r="O337" s="387"/>
    </row>
    <row r="338" spans="1:15" ht="30">
      <c r="A338" s="379" t="s">
        <v>5899</v>
      </c>
      <c r="B338" s="380" t="s">
        <v>5777</v>
      </c>
      <c r="C338" s="380" t="s">
        <v>5932</v>
      </c>
      <c r="D338" s="381" t="s">
        <v>6569</v>
      </c>
      <c r="E338" s="381" t="s">
        <v>7774</v>
      </c>
      <c r="F338" s="382" t="s">
        <v>7775</v>
      </c>
      <c r="G338" s="383">
        <v>3</v>
      </c>
      <c r="H338" s="384" t="s">
        <v>2762</v>
      </c>
      <c r="I338" s="385" t="s">
        <v>5407</v>
      </c>
      <c r="J338" s="385" t="s">
        <v>4</v>
      </c>
      <c r="K338" s="385"/>
      <c r="L338" s="385"/>
      <c r="M338" s="385"/>
      <c r="N338" s="386"/>
      <c r="O338" s="387"/>
    </row>
    <row r="339" spans="1:15" ht="30">
      <c r="A339" s="379" t="s">
        <v>5900</v>
      </c>
      <c r="B339" s="380" t="s">
        <v>5777</v>
      </c>
      <c r="C339" s="380" t="s">
        <v>5932</v>
      </c>
      <c r="D339" s="381" t="s">
        <v>6570</v>
      </c>
      <c r="E339" s="381" t="s">
        <v>7776</v>
      </c>
      <c r="F339" s="382" t="s">
        <v>7777</v>
      </c>
      <c r="G339" s="383">
        <v>5</v>
      </c>
      <c r="H339" s="384" t="s">
        <v>7242</v>
      </c>
      <c r="I339" s="385" t="s">
        <v>531</v>
      </c>
      <c r="J339" s="385" t="s">
        <v>4</v>
      </c>
      <c r="K339" s="385"/>
      <c r="L339" s="385"/>
      <c r="M339" s="385"/>
      <c r="N339" s="386"/>
      <c r="O339" s="387"/>
    </row>
    <row r="340" spans="1:15">
      <c r="A340" s="379" t="s">
        <v>5901</v>
      </c>
      <c r="B340" s="380" t="s">
        <v>5777</v>
      </c>
      <c r="C340" s="380" t="s">
        <v>5932</v>
      </c>
      <c r="D340" s="381" t="s">
        <v>6571</v>
      </c>
      <c r="E340" s="381" t="s">
        <v>7778</v>
      </c>
      <c r="F340" s="382" t="s">
        <v>7779</v>
      </c>
      <c r="G340" s="383">
        <v>3</v>
      </c>
      <c r="H340" s="384" t="s">
        <v>6740</v>
      </c>
      <c r="I340" s="385" t="s">
        <v>531</v>
      </c>
      <c r="J340" s="385" t="s">
        <v>4</v>
      </c>
      <c r="K340" s="385"/>
      <c r="L340" s="385"/>
      <c r="M340" s="385"/>
      <c r="N340" s="386"/>
      <c r="O340" s="387"/>
    </row>
    <row r="341" spans="1:15">
      <c r="A341" s="379" t="s">
        <v>5902</v>
      </c>
      <c r="B341" s="380" t="s">
        <v>5777</v>
      </c>
      <c r="C341" s="380" t="s">
        <v>5932</v>
      </c>
      <c r="D341" s="381" t="s">
        <v>6572</v>
      </c>
      <c r="E341" s="381" t="s">
        <v>7780</v>
      </c>
      <c r="F341" s="382" t="s">
        <v>7781</v>
      </c>
      <c r="G341" s="383">
        <v>3</v>
      </c>
      <c r="H341" s="384" t="s">
        <v>7243</v>
      </c>
      <c r="I341" s="385" t="s">
        <v>531</v>
      </c>
      <c r="J341" s="385" t="s">
        <v>4</v>
      </c>
      <c r="K341" s="385"/>
      <c r="L341" s="385"/>
      <c r="M341" s="385"/>
      <c r="N341" s="386"/>
      <c r="O341" s="387"/>
    </row>
    <row r="342" spans="1:15" ht="30">
      <c r="A342" s="379" t="s">
        <v>5903</v>
      </c>
      <c r="B342" s="380" t="s">
        <v>5777</v>
      </c>
      <c r="C342" s="380" t="s">
        <v>5932</v>
      </c>
      <c r="D342" s="381" t="s">
        <v>6573</v>
      </c>
      <c r="E342" s="381" t="s">
        <v>7782</v>
      </c>
      <c r="F342" s="382" t="s">
        <v>7783</v>
      </c>
      <c r="G342" s="383">
        <v>2</v>
      </c>
      <c r="H342" s="384" t="s">
        <v>6953</v>
      </c>
      <c r="I342" s="385" t="s">
        <v>531</v>
      </c>
      <c r="J342" s="385" t="s">
        <v>4</v>
      </c>
      <c r="K342" s="385"/>
      <c r="L342" s="385"/>
      <c r="M342" s="385"/>
      <c r="N342" s="386"/>
      <c r="O342" s="387"/>
    </row>
    <row r="343" spans="1:15">
      <c r="A343" s="379" t="s">
        <v>5904</v>
      </c>
      <c r="B343" s="380" t="s">
        <v>5777</v>
      </c>
      <c r="C343" s="380" t="s">
        <v>5932</v>
      </c>
      <c r="D343" s="381" t="s">
        <v>6574</v>
      </c>
      <c r="E343" s="381" t="s">
        <v>7784</v>
      </c>
      <c r="F343" s="382" t="s">
        <v>7785</v>
      </c>
      <c r="G343" s="383">
        <v>2</v>
      </c>
      <c r="H343" s="384" t="s">
        <v>2762</v>
      </c>
      <c r="I343" s="385" t="s">
        <v>5905</v>
      </c>
      <c r="J343" s="385" t="s">
        <v>4</v>
      </c>
      <c r="K343" s="385"/>
      <c r="L343" s="385"/>
      <c r="M343" s="385"/>
      <c r="N343" s="386"/>
      <c r="O343" s="387"/>
    </row>
    <row r="344" spans="1:15">
      <c r="A344" s="379" t="s">
        <v>5906</v>
      </c>
      <c r="B344" s="380" t="s">
        <v>5777</v>
      </c>
      <c r="C344" s="380" t="s">
        <v>5932</v>
      </c>
      <c r="D344" s="381" t="s">
        <v>6575</v>
      </c>
      <c r="E344" s="381" t="s">
        <v>7786</v>
      </c>
      <c r="F344" s="382" t="s">
        <v>7787</v>
      </c>
      <c r="G344" s="383">
        <v>3</v>
      </c>
      <c r="H344" s="384" t="s">
        <v>2762</v>
      </c>
      <c r="I344" s="385" t="s">
        <v>2236</v>
      </c>
      <c r="J344" s="385" t="s">
        <v>4</v>
      </c>
      <c r="K344" s="385"/>
      <c r="L344" s="385"/>
      <c r="M344" s="385"/>
      <c r="N344" s="386"/>
      <c r="O344" s="387"/>
    </row>
    <row r="345" spans="1:15">
      <c r="A345" s="379" t="s">
        <v>5907</v>
      </c>
      <c r="B345" s="380" t="s">
        <v>5777</v>
      </c>
      <c r="C345" s="380" t="s">
        <v>5932</v>
      </c>
      <c r="D345" s="381" t="s">
        <v>6576</v>
      </c>
      <c r="E345" s="381" t="s">
        <v>7788</v>
      </c>
      <c r="F345" s="382" t="s">
        <v>7789</v>
      </c>
      <c r="G345" s="383">
        <v>2</v>
      </c>
      <c r="H345" s="384" t="s">
        <v>7219</v>
      </c>
      <c r="I345" s="385" t="s">
        <v>5369</v>
      </c>
      <c r="J345" s="385" t="s">
        <v>4</v>
      </c>
      <c r="K345" s="385"/>
      <c r="L345" s="385"/>
      <c r="M345" s="385"/>
      <c r="N345" s="386"/>
      <c r="O345" s="387"/>
    </row>
    <row r="346" spans="1:15">
      <c r="A346" s="379" t="s">
        <v>5908</v>
      </c>
      <c r="B346" s="380" t="s">
        <v>5777</v>
      </c>
      <c r="C346" s="380" t="s">
        <v>5932</v>
      </c>
      <c r="D346" s="381" t="s">
        <v>6577</v>
      </c>
      <c r="E346" s="381" t="s">
        <v>7790</v>
      </c>
      <c r="F346" s="382" t="s">
        <v>7791</v>
      </c>
      <c r="G346" s="383">
        <v>3</v>
      </c>
      <c r="H346" s="384" t="s">
        <v>2762</v>
      </c>
      <c r="I346" s="385" t="s">
        <v>2236</v>
      </c>
      <c r="J346" s="385" t="s">
        <v>4</v>
      </c>
      <c r="K346" s="385"/>
      <c r="L346" s="385"/>
      <c r="M346" s="385"/>
      <c r="N346" s="386"/>
      <c r="O346" s="387"/>
    </row>
    <row r="347" spans="1:15" ht="30">
      <c r="A347" s="379" t="s">
        <v>5909</v>
      </c>
      <c r="B347" s="380" t="s">
        <v>5777</v>
      </c>
      <c r="C347" s="380" t="s">
        <v>5932</v>
      </c>
      <c r="D347" s="381" t="s">
        <v>6578</v>
      </c>
      <c r="E347" s="381" t="s">
        <v>7792</v>
      </c>
      <c r="F347" s="382" t="s">
        <v>7793</v>
      </c>
      <c r="G347" s="383">
        <v>3</v>
      </c>
      <c r="H347" s="384" t="s">
        <v>2762</v>
      </c>
      <c r="I347" s="385" t="s">
        <v>528</v>
      </c>
      <c r="J347" s="385" t="s">
        <v>4</v>
      </c>
      <c r="K347" s="385"/>
      <c r="L347" s="385"/>
      <c r="M347" s="385"/>
      <c r="N347" s="386"/>
      <c r="O347" s="387"/>
    </row>
    <row r="348" spans="1:15" ht="30">
      <c r="A348" s="379" t="s">
        <v>5910</v>
      </c>
      <c r="B348" s="380" t="s">
        <v>5777</v>
      </c>
      <c r="C348" s="380" t="s">
        <v>5932</v>
      </c>
      <c r="D348" s="381" t="s">
        <v>6579</v>
      </c>
      <c r="E348" s="381" t="s">
        <v>7794</v>
      </c>
      <c r="F348" s="382" t="s">
        <v>7795</v>
      </c>
      <c r="G348" s="383">
        <v>3</v>
      </c>
      <c r="H348" s="384" t="s">
        <v>6762</v>
      </c>
      <c r="I348" s="385" t="s">
        <v>5407</v>
      </c>
      <c r="J348" s="385" t="s">
        <v>4</v>
      </c>
      <c r="K348" s="385"/>
      <c r="L348" s="385"/>
      <c r="M348" s="385"/>
      <c r="N348" s="386"/>
      <c r="O348" s="387"/>
    </row>
    <row r="349" spans="1:15" ht="30">
      <c r="A349" s="379" t="s">
        <v>5911</v>
      </c>
      <c r="B349" s="380" t="s">
        <v>5777</v>
      </c>
      <c r="C349" s="380" t="s">
        <v>5932</v>
      </c>
      <c r="D349" s="381" t="s">
        <v>6580</v>
      </c>
      <c r="E349" s="381" t="s">
        <v>7796</v>
      </c>
      <c r="F349" s="382" t="s">
        <v>7797</v>
      </c>
      <c r="G349" s="383">
        <v>3</v>
      </c>
      <c r="H349" s="384" t="s">
        <v>2762</v>
      </c>
      <c r="I349" s="385" t="s">
        <v>2236</v>
      </c>
      <c r="J349" s="385" t="s">
        <v>4</v>
      </c>
      <c r="K349" s="385"/>
      <c r="L349" s="385"/>
      <c r="M349" s="385"/>
      <c r="N349" s="386"/>
      <c r="O349" s="387"/>
    </row>
    <row r="350" spans="1:15">
      <c r="A350" s="388" t="s">
        <v>5912</v>
      </c>
      <c r="B350" s="389" t="s">
        <v>5777</v>
      </c>
      <c r="C350" s="389" t="s">
        <v>5932</v>
      </c>
      <c r="D350" s="389" t="s">
        <v>6581</v>
      </c>
      <c r="E350" s="390" t="s">
        <v>7798</v>
      </c>
      <c r="F350" s="390" t="s">
        <v>7799</v>
      </c>
      <c r="G350" s="391">
        <v>2</v>
      </c>
      <c r="H350" s="389" t="s">
        <v>6833</v>
      </c>
      <c r="I350" s="389" t="s">
        <v>2236</v>
      </c>
      <c r="J350" s="389" t="s">
        <v>4</v>
      </c>
      <c r="K350" s="385"/>
      <c r="L350" s="385"/>
      <c r="M350" s="385"/>
      <c r="N350" s="386"/>
      <c r="O350" s="387"/>
    </row>
    <row r="351" spans="1:15">
      <c r="A351" s="388" t="s">
        <v>5913</v>
      </c>
      <c r="B351" s="389" t="s">
        <v>5777</v>
      </c>
      <c r="C351" s="389" t="s">
        <v>5932</v>
      </c>
      <c r="D351" s="389" t="s">
        <v>6582</v>
      </c>
      <c r="E351" s="390" t="s">
        <v>7800</v>
      </c>
      <c r="F351" s="390" t="s">
        <v>7801</v>
      </c>
      <c r="G351" s="391">
        <v>4</v>
      </c>
      <c r="H351" s="389" t="s">
        <v>6888</v>
      </c>
      <c r="I351" s="389" t="s">
        <v>5914</v>
      </c>
      <c r="J351" s="389" t="s">
        <v>4</v>
      </c>
      <c r="K351" s="385"/>
      <c r="L351" s="385"/>
      <c r="M351" s="385"/>
      <c r="N351" s="386"/>
      <c r="O351" s="387"/>
    </row>
    <row r="352" spans="1:15">
      <c r="A352" s="388" t="s">
        <v>5915</v>
      </c>
      <c r="B352" s="389" t="s">
        <v>5777</v>
      </c>
      <c r="C352" s="389" t="s">
        <v>5932</v>
      </c>
      <c r="D352" s="389" t="s">
        <v>6583</v>
      </c>
      <c r="E352" s="390" t="s">
        <v>7802</v>
      </c>
      <c r="F352" s="390" t="s">
        <v>7803</v>
      </c>
      <c r="G352" s="391">
        <v>3</v>
      </c>
      <c r="H352" s="389" t="s">
        <v>6821</v>
      </c>
      <c r="I352" s="389" t="s">
        <v>540</v>
      </c>
      <c r="J352" s="389" t="s">
        <v>4</v>
      </c>
      <c r="K352" s="385"/>
      <c r="L352" s="385"/>
      <c r="M352" s="385"/>
      <c r="N352" s="386"/>
      <c r="O352" s="387"/>
    </row>
    <row r="353" spans="1:15">
      <c r="A353" s="388" t="s">
        <v>5916</v>
      </c>
      <c r="B353" s="389" t="s">
        <v>5777</v>
      </c>
      <c r="C353" s="389" t="s">
        <v>5932</v>
      </c>
      <c r="D353" s="389" t="s">
        <v>6584</v>
      </c>
      <c r="E353" s="390" t="s">
        <v>7804</v>
      </c>
      <c r="F353" s="390" t="s">
        <v>7805</v>
      </c>
      <c r="G353" s="391">
        <v>3</v>
      </c>
      <c r="H353" s="389" t="s">
        <v>6740</v>
      </c>
      <c r="I353" s="389" t="s">
        <v>2236</v>
      </c>
      <c r="J353" s="389" t="s">
        <v>4</v>
      </c>
      <c r="K353" s="385"/>
      <c r="L353" s="385"/>
      <c r="M353" s="385"/>
      <c r="N353" s="386"/>
      <c r="O353" s="387"/>
    </row>
    <row r="354" spans="1:15">
      <c r="A354" s="388" t="s">
        <v>5917</v>
      </c>
      <c r="B354" s="389" t="s">
        <v>5777</v>
      </c>
      <c r="C354" s="389" t="s">
        <v>5932</v>
      </c>
      <c r="D354" s="389" t="s">
        <v>6585</v>
      </c>
      <c r="E354" s="390" t="s">
        <v>7806</v>
      </c>
      <c r="F354" s="390" t="s">
        <v>7807</v>
      </c>
      <c r="G354" s="391">
        <v>4</v>
      </c>
      <c r="H354" s="389" t="s">
        <v>2236</v>
      </c>
      <c r="I354" s="389" t="s">
        <v>5407</v>
      </c>
      <c r="J354" s="389" t="s">
        <v>4</v>
      </c>
      <c r="K354" s="385"/>
      <c r="L354" s="385"/>
      <c r="M354" s="385"/>
      <c r="N354" s="386"/>
      <c r="O354" s="387"/>
    </row>
    <row r="355" spans="1:15">
      <c r="A355" s="388" t="s">
        <v>5918</v>
      </c>
      <c r="B355" s="389" t="s">
        <v>5777</v>
      </c>
      <c r="C355" s="389" t="s">
        <v>5932</v>
      </c>
      <c r="D355" s="389" t="s">
        <v>6586</v>
      </c>
      <c r="E355" s="390" t="s">
        <v>7808</v>
      </c>
      <c r="F355" s="390" t="s">
        <v>7809</v>
      </c>
      <c r="G355" s="391">
        <v>3</v>
      </c>
      <c r="H355" s="389" t="s">
        <v>2236</v>
      </c>
      <c r="I355" s="389" t="s">
        <v>531</v>
      </c>
      <c r="J355" s="389" t="s">
        <v>4</v>
      </c>
      <c r="K355" s="385"/>
      <c r="L355" s="385"/>
      <c r="M355" s="385"/>
      <c r="N355" s="386"/>
      <c r="O355" s="387"/>
    </row>
    <row r="356" spans="1:15">
      <c r="A356" s="388" t="s">
        <v>5919</v>
      </c>
      <c r="B356" s="389" t="s">
        <v>5777</v>
      </c>
      <c r="C356" s="389" t="s">
        <v>5932</v>
      </c>
      <c r="D356" s="389" t="s">
        <v>6587</v>
      </c>
      <c r="E356" s="390" t="s">
        <v>7810</v>
      </c>
      <c r="F356" s="390" t="s">
        <v>7811</v>
      </c>
      <c r="G356" s="391">
        <v>2</v>
      </c>
      <c r="H356" s="389" t="s">
        <v>2236</v>
      </c>
      <c r="I356" s="389" t="s">
        <v>5920</v>
      </c>
      <c r="J356" s="389" t="s">
        <v>4</v>
      </c>
      <c r="K356" s="385"/>
      <c r="L356" s="385"/>
      <c r="M356" s="385"/>
      <c r="N356" s="386"/>
      <c r="O356" s="387"/>
    </row>
    <row r="357" spans="1:15">
      <c r="A357" s="388" t="s">
        <v>5921</v>
      </c>
      <c r="B357" s="389" t="s">
        <v>5777</v>
      </c>
      <c r="C357" s="389" t="s">
        <v>5933</v>
      </c>
      <c r="D357" s="389" t="s">
        <v>6588</v>
      </c>
      <c r="E357" s="390" t="s">
        <v>7812</v>
      </c>
      <c r="F357" s="390" t="s">
        <v>7813</v>
      </c>
      <c r="G357" s="391">
        <v>4</v>
      </c>
      <c r="H357" s="389" t="s">
        <v>2762</v>
      </c>
      <c r="I357" s="389" t="s">
        <v>2236</v>
      </c>
      <c r="J357" s="389" t="s">
        <v>4</v>
      </c>
      <c r="K357" s="385"/>
      <c r="L357" s="385"/>
      <c r="M357" s="385"/>
      <c r="N357" s="386"/>
      <c r="O357" s="387"/>
    </row>
    <row r="358" spans="1:15">
      <c r="A358" s="388" t="s">
        <v>5922</v>
      </c>
      <c r="B358" s="389" t="s">
        <v>5777</v>
      </c>
      <c r="C358" s="389" t="s">
        <v>5933</v>
      </c>
      <c r="D358" s="389" t="s">
        <v>6589</v>
      </c>
      <c r="E358" s="390" t="s">
        <v>7814</v>
      </c>
      <c r="F358" s="390" t="s">
        <v>7815</v>
      </c>
      <c r="G358" s="391">
        <v>3</v>
      </c>
      <c r="H358" s="389" t="s">
        <v>2762</v>
      </c>
      <c r="I358" s="389" t="s">
        <v>5394</v>
      </c>
      <c r="J358" s="389" t="s">
        <v>4</v>
      </c>
      <c r="K358" s="385"/>
      <c r="L358" s="385"/>
      <c r="M358" s="385"/>
      <c r="N358" s="386"/>
      <c r="O358" s="387"/>
    </row>
    <row r="359" spans="1:15" ht="34">
      <c r="A359" s="388" t="s">
        <v>5923</v>
      </c>
      <c r="B359" s="389" t="s">
        <v>5777</v>
      </c>
      <c r="C359" s="389" t="s">
        <v>5933</v>
      </c>
      <c r="D359" s="389" t="s">
        <v>6590</v>
      </c>
      <c r="E359" s="390" t="s">
        <v>7289</v>
      </c>
      <c r="F359" s="390" t="s">
        <v>7290</v>
      </c>
      <c r="G359" s="391">
        <v>0</v>
      </c>
      <c r="H359" s="389" t="s">
        <v>2236</v>
      </c>
      <c r="I359" s="389" t="s">
        <v>5924</v>
      </c>
      <c r="J359" s="389" t="s">
        <v>6599</v>
      </c>
      <c r="K359" s="385"/>
      <c r="L359" s="385"/>
      <c r="M359" s="385"/>
      <c r="N359" s="386"/>
      <c r="O359" s="387"/>
    </row>
    <row r="360" spans="1:15">
      <c r="A360" s="388" t="s">
        <v>5925</v>
      </c>
      <c r="B360" s="389" t="s">
        <v>5777</v>
      </c>
      <c r="C360" s="389" t="s">
        <v>5933</v>
      </c>
      <c r="D360" s="389" t="s">
        <v>6591</v>
      </c>
      <c r="E360" s="390" t="s">
        <v>7816</v>
      </c>
      <c r="F360" s="390" t="s">
        <v>7817</v>
      </c>
      <c r="G360" s="391">
        <v>4</v>
      </c>
      <c r="H360" s="389" t="s">
        <v>7228</v>
      </c>
      <c r="I360" s="389" t="s">
        <v>5830</v>
      </c>
      <c r="J360" s="389" t="s">
        <v>4</v>
      </c>
      <c r="K360" s="385"/>
      <c r="L360" s="385"/>
      <c r="M360" s="385"/>
      <c r="N360" s="386"/>
      <c r="O360" s="387"/>
    </row>
    <row r="361" spans="1:15">
      <c r="A361" s="388" t="s">
        <v>5926</v>
      </c>
      <c r="B361" s="389" t="s">
        <v>5777</v>
      </c>
      <c r="C361" s="389" t="s">
        <v>5933</v>
      </c>
      <c r="D361" s="389" t="s">
        <v>6592</v>
      </c>
      <c r="E361" s="390" t="s">
        <v>7818</v>
      </c>
      <c r="F361" s="390" t="s">
        <v>7819</v>
      </c>
      <c r="G361" s="391">
        <v>4</v>
      </c>
      <c r="H361" s="389" t="s">
        <v>6888</v>
      </c>
      <c r="I361" s="389" t="s">
        <v>5913</v>
      </c>
      <c r="J361" s="389" t="s">
        <v>4</v>
      </c>
      <c r="K361" s="385"/>
      <c r="L361" s="385"/>
      <c r="M361" s="385"/>
      <c r="N361" s="386"/>
      <c r="O361" s="387"/>
    </row>
    <row r="362" spans="1:15">
      <c r="A362" s="388" t="s">
        <v>5927</v>
      </c>
      <c r="B362" s="389" t="s">
        <v>5777</v>
      </c>
      <c r="C362" s="389" t="s">
        <v>5933</v>
      </c>
      <c r="D362" s="389" t="s">
        <v>6593</v>
      </c>
      <c r="E362" s="390" t="s">
        <v>7820</v>
      </c>
      <c r="F362" s="390" t="s">
        <v>7821</v>
      </c>
      <c r="G362" s="391">
        <v>3</v>
      </c>
      <c r="H362" s="389" t="s">
        <v>6893</v>
      </c>
      <c r="I362" s="389" t="s">
        <v>2236</v>
      </c>
      <c r="J362" s="389" t="s">
        <v>4</v>
      </c>
      <c r="K362" s="385"/>
      <c r="L362" s="385"/>
      <c r="M362" s="385"/>
      <c r="N362" s="386"/>
      <c r="O362" s="387"/>
    </row>
    <row r="363" spans="1:15">
      <c r="A363" s="388" t="s">
        <v>5928</v>
      </c>
      <c r="B363" s="389" t="s">
        <v>5777</v>
      </c>
      <c r="C363" s="389" t="s">
        <v>5933</v>
      </c>
      <c r="D363" s="389" t="s">
        <v>6594</v>
      </c>
      <c r="E363" s="390" t="s">
        <v>7822</v>
      </c>
      <c r="F363" s="390" t="s">
        <v>7823</v>
      </c>
      <c r="G363" s="391">
        <v>2</v>
      </c>
      <c r="H363" s="389" t="s">
        <v>6826</v>
      </c>
      <c r="I363" s="389" t="s">
        <v>2236</v>
      </c>
      <c r="J363" s="389" t="s">
        <v>4</v>
      </c>
      <c r="K363" s="385"/>
      <c r="L363" s="385"/>
      <c r="M363" s="385"/>
      <c r="N363" s="386"/>
      <c r="O363" s="387"/>
    </row>
    <row r="364" spans="1:15">
      <c r="A364" s="388" t="s">
        <v>5929</v>
      </c>
      <c r="B364" s="389" t="s">
        <v>5777</v>
      </c>
      <c r="C364" s="389" t="s">
        <v>5933</v>
      </c>
      <c r="D364" s="389" t="s">
        <v>6595</v>
      </c>
      <c r="E364" s="390" t="s">
        <v>7824</v>
      </c>
      <c r="F364" s="390" t="s">
        <v>7825</v>
      </c>
      <c r="G364" s="391">
        <v>2</v>
      </c>
      <c r="H364" s="389" t="s">
        <v>6883</v>
      </c>
      <c r="I364" s="389" t="s">
        <v>5890</v>
      </c>
      <c r="J364" s="389" t="s">
        <v>4</v>
      </c>
      <c r="K364" s="385"/>
      <c r="L364" s="385"/>
      <c r="M364" s="385"/>
      <c r="N364" s="386"/>
      <c r="O364" s="387"/>
    </row>
    <row r="365" spans="1:15" ht="34">
      <c r="A365" s="388" t="s">
        <v>5930</v>
      </c>
      <c r="B365" s="389" t="s">
        <v>5777</v>
      </c>
      <c r="C365" s="389" t="s">
        <v>5933</v>
      </c>
      <c r="D365" s="389" t="s">
        <v>6596</v>
      </c>
      <c r="E365" s="390" t="s">
        <v>7826</v>
      </c>
      <c r="F365" s="390" t="s">
        <v>7827</v>
      </c>
      <c r="G365" s="391">
        <v>3</v>
      </c>
      <c r="H365" s="389" t="s">
        <v>2762</v>
      </c>
      <c r="I365" s="389" t="s">
        <v>2236</v>
      </c>
      <c r="J365" s="389" t="s">
        <v>4</v>
      </c>
      <c r="K365" s="385"/>
      <c r="L365" s="385"/>
      <c r="M365" s="385"/>
      <c r="N365" s="386"/>
      <c r="O365" s="387"/>
    </row>
    <row r="366" spans="1:15" ht="34">
      <c r="A366" s="388" t="s">
        <v>6600</v>
      </c>
      <c r="B366" s="389" t="s">
        <v>5777</v>
      </c>
      <c r="C366" s="389" t="s">
        <v>6601</v>
      </c>
      <c r="D366" s="389" t="s">
        <v>6602</v>
      </c>
      <c r="E366" s="390" t="s">
        <v>7291</v>
      </c>
      <c r="F366" s="390" t="s">
        <v>7292</v>
      </c>
      <c r="G366" s="391">
        <v>1</v>
      </c>
      <c r="H366" s="389" t="s">
        <v>2762</v>
      </c>
      <c r="I366" s="389" t="s">
        <v>2236</v>
      </c>
      <c r="J366" s="389" t="s">
        <v>4</v>
      </c>
      <c r="K366" s="385" t="s">
        <v>6603</v>
      </c>
      <c r="L366" s="385"/>
      <c r="M366" s="385"/>
      <c r="N366" s="386"/>
      <c r="O366" s="387"/>
    </row>
    <row r="367" spans="1:15" ht="34">
      <c r="A367" s="388" t="s">
        <v>6604</v>
      </c>
      <c r="B367" s="389" t="s">
        <v>5777</v>
      </c>
      <c r="C367" s="389" t="s">
        <v>6601</v>
      </c>
      <c r="D367" s="389" t="s">
        <v>6605</v>
      </c>
      <c r="E367" s="390" t="s">
        <v>7293</v>
      </c>
      <c r="F367" s="390" t="s">
        <v>7294</v>
      </c>
      <c r="G367" s="391">
        <v>2</v>
      </c>
      <c r="H367" s="389" t="s">
        <v>2762</v>
      </c>
      <c r="I367" s="389" t="s">
        <v>2236</v>
      </c>
      <c r="J367" s="389" t="s">
        <v>4</v>
      </c>
      <c r="K367" s="385" t="s">
        <v>6603</v>
      </c>
      <c r="L367" s="385"/>
      <c r="M367" s="385"/>
      <c r="N367" s="386"/>
      <c r="O367" s="387"/>
    </row>
    <row r="368" spans="1:15">
      <c r="A368" s="388" t="s">
        <v>6606</v>
      </c>
      <c r="B368" s="389" t="s">
        <v>5777</v>
      </c>
      <c r="C368" s="389" t="s">
        <v>6601</v>
      </c>
      <c r="D368" s="389" t="s">
        <v>6607</v>
      </c>
      <c r="E368" s="390" t="s">
        <v>7295</v>
      </c>
      <c r="F368" s="390" t="s">
        <v>7296</v>
      </c>
      <c r="G368" s="391">
        <v>1</v>
      </c>
      <c r="H368" s="389" t="s">
        <v>2762</v>
      </c>
      <c r="I368" s="389" t="s">
        <v>2236</v>
      </c>
      <c r="J368" s="389" t="s">
        <v>4</v>
      </c>
      <c r="K368" s="385" t="s">
        <v>6603</v>
      </c>
      <c r="L368" s="385"/>
      <c r="M368" s="385"/>
      <c r="N368" s="386"/>
      <c r="O368" s="387"/>
    </row>
    <row r="369" spans="1:15" ht="34">
      <c r="A369" s="388" t="s">
        <v>6608</v>
      </c>
      <c r="B369" s="389" t="s">
        <v>5777</v>
      </c>
      <c r="C369" s="389" t="s">
        <v>6601</v>
      </c>
      <c r="D369" s="389" t="s">
        <v>6609</v>
      </c>
      <c r="E369" s="390" t="s">
        <v>7297</v>
      </c>
      <c r="F369" s="390" t="s">
        <v>7298</v>
      </c>
      <c r="G369" s="391">
        <v>3</v>
      </c>
      <c r="H369" s="389" t="s">
        <v>2762</v>
      </c>
      <c r="I369" s="389" t="s">
        <v>2236</v>
      </c>
      <c r="J369" s="389" t="s">
        <v>4</v>
      </c>
      <c r="K369" s="385" t="s">
        <v>6603</v>
      </c>
      <c r="L369" s="385" t="s">
        <v>6610</v>
      </c>
      <c r="M369" s="385"/>
      <c r="N369" s="386"/>
      <c r="O369" s="387"/>
    </row>
    <row r="370" spans="1:15">
      <c r="A370" s="388" t="s">
        <v>6611</v>
      </c>
      <c r="B370" s="389" t="s">
        <v>5777</v>
      </c>
      <c r="C370" s="389" t="s">
        <v>6601</v>
      </c>
      <c r="D370" s="389" t="s">
        <v>6612</v>
      </c>
      <c r="E370" s="390" t="s">
        <v>7299</v>
      </c>
      <c r="F370" s="390" t="s">
        <v>7300</v>
      </c>
      <c r="G370" s="391">
        <v>2</v>
      </c>
      <c r="H370" s="389" t="s">
        <v>2762</v>
      </c>
      <c r="I370" s="389" t="s">
        <v>2236</v>
      </c>
      <c r="J370" s="389" t="s">
        <v>4</v>
      </c>
      <c r="K370" s="385" t="s">
        <v>6613</v>
      </c>
      <c r="L370" s="385" t="s">
        <v>6610</v>
      </c>
      <c r="M370" s="385"/>
      <c r="N370" s="386"/>
      <c r="O370" s="387"/>
    </row>
    <row r="371" spans="1:15" ht="34">
      <c r="A371" s="388" t="s">
        <v>6614</v>
      </c>
      <c r="B371" s="389" t="s">
        <v>5777</v>
      </c>
      <c r="C371" s="389" t="s">
        <v>6601</v>
      </c>
      <c r="D371" s="389" t="s">
        <v>6615</v>
      </c>
      <c r="E371" s="390" t="s">
        <v>7301</v>
      </c>
      <c r="F371" s="390" t="s">
        <v>7302</v>
      </c>
      <c r="G371" s="391">
        <v>2</v>
      </c>
      <c r="H371" s="389" t="s">
        <v>2762</v>
      </c>
      <c r="I371" s="389" t="s">
        <v>2236</v>
      </c>
      <c r="J371" s="389" t="s">
        <v>4</v>
      </c>
      <c r="K371" s="385" t="s">
        <v>6613</v>
      </c>
      <c r="L371" s="385" t="s">
        <v>6610</v>
      </c>
      <c r="M371" s="385"/>
      <c r="N371" s="386"/>
      <c r="O371" s="387"/>
    </row>
    <row r="372" spans="1:15" ht="34">
      <c r="A372" s="388" t="s">
        <v>6616</v>
      </c>
      <c r="B372" s="389" t="s">
        <v>5777</v>
      </c>
      <c r="C372" s="389" t="s">
        <v>6601</v>
      </c>
      <c r="D372" s="389" t="s">
        <v>6617</v>
      </c>
      <c r="E372" s="390" t="s">
        <v>7303</v>
      </c>
      <c r="F372" s="390" t="s">
        <v>7304</v>
      </c>
      <c r="G372" s="391">
        <v>2</v>
      </c>
      <c r="H372" s="389" t="s">
        <v>2762</v>
      </c>
      <c r="I372" s="389" t="s">
        <v>2236</v>
      </c>
      <c r="J372" s="389" t="s">
        <v>4</v>
      </c>
      <c r="K372" s="385" t="s">
        <v>6613</v>
      </c>
      <c r="L372" s="385" t="s">
        <v>6618</v>
      </c>
      <c r="M372" s="385"/>
      <c r="N372" s="386"/>
      <c r="O372" s="387"/>
    </row>
    <row r="373" spans="1:15">
      <c r="A373" s="388" t="s">
        <v>6619</v>
      </c>
      <c r="B373" s="389" t="s">
        <v>5777</v>
      </c>
      <c r="C373" s="389" t="s">
        <v>6601</v>
      </c>
      <c r="D373" s="389" t="s">
        <v>6620</v>
      </c>
      <c r="E373" s="390" t="s">
        <v>7305</v>
      </c>
      <c r="F373" s="390" t="s">
        <v>7306</v>
      </c>
      <c r="G373" s="391">
        <v>2</v>
      </c>
      <c r="H373" s="389" t="s">
        <v>2762</v>
      </c>
      <c r="I373" s="389" t="s">
        <v>2236</v>
      </c>
      <c r="J373" s="389" t="s">
        <v>4</v>
      </c>
      <c r="K373" s="385" t="s">
        <v>6613</v>
      </c>
      <c r="L373" s="385" t="s">
        <v>6610</v>
      </c>
      <c r="M373" s="385"/>
      <c r="N373" s="386"/>
      <c r="O373" s="387"/>
    </row>
    <row r="374" spans="1:15">
      <c r="A374" s="388" t="s">
        <v>6621</v>
      </c>
      <c r="B374" s="389" t="s">
        <v>5777</v>
      </c>
      <c r="C374" s="389" t="s">
        <v>6601</v>
      </c>
      <c r="D374" s="389" t="s">
        <v>6622</v>
      </c>
      <c r="E374" s="390" t="s">
        <v>7307</v>
      </c>
      <c r="F374" s="390" t="s">
        <v>7308</v>
      </c>
      <c r="G374" s="391">
        <v>3</v>
      </c>
      <c r="H374" s="389" t="s">
        <v>6749</v>
      </c>
      <c r="I374" s="389" t="s">
        <v>2236</v>
      </c>
      <c r="J374" s="389" t="s">
        <v>4</v>
      </c>
      <c r="K374" s="385" t="s">
        <v>6623</v>
      </c>
      <c r="L374" s="385" t="s">
        <v>6618</v>
      </c>
      <c r="M374" s="385"/>
      <c r="N374" s="386"/>
      <c r="O374" s="387"/>
    </row>
    <row r="375" spans="1:15" ht="34">
      <c r="A375" s="388" t="s">
        <v>6624</v>
      </c>
      <c r="B375" s="389" t="s">
        <v>5777</v>
      </c>
      <c r="C375" s="389" t="s">
        <v>6601</v>
      </c>
      <c r="D375" s="389" t="s">
        <v>6625</v>
      </c>
      <c r="E375" s="390" t="s">
        <v>7309</v>
      </c>
      <c r="F375" s="390" t="s">
        <v>7310</v>
      </c>
      <c r="G375" s="391">
        <v>3</v>
      </c>
      <c r="H375" s="389" t="s">
        <v>6749</v>
      </c>
      <c r="I375" s="389" t="s">
        <v>2236</v>
      </c>
      <c r="J375" s="389" t="s">
        <v>4</v>
      </c>
      <c r="K375" s="385" t="s">
        <v>6623</v>
      </c>
      <c r="L375" s="385" t="s">
        <v>6618</v>
      </c>
      <c r="M375" s="385"/>
      <c r="N375" s="386"/>
      <c r="O375" s="387"/>
    </row>
    <row r="376" spans="1:15">
      <c r="A376" s="388" t="s">
        <v>6626</v>
      </c>
      <c r="B376" s="389" t="s">
        <v>5777</v>
      </c>
      <c r="C376" s="389" t="s">
        <v>6601</v>
      </c>
      <c r="D376" s="389" t="s">
        <v>6627</v>
      </c>
      <c r="E376" s="390" t="s">
        <v>7311</v>
      </c>
      <c r="F376" s="390" t="s">
        <v>7312</v>
      </c>
      <c r="G376" s="391">
        <v>2</v>
      </c>
      <c r="H376" s="389" t="s">
        <v>2236</v>
      </c>
      <c r="I376" s="389" t="s">
        <v>2236</v>
      </c>
      <c r="J376" s="389" t="s">
        <v>4</v>
      </c>
      <c r="K376" s="385" t="s">
        <v>6623</v>
      </c>
      <c r="L376" s="385" t="s">
        <v>6628</v>
      </c>
      <c r="M376" s="385"/>
      <c r="N376" s="386"/>
      <c r="O376" s="387"/>
    </row>
    <row r="377" spans="1:15">
      <c r="A377" s="388" t="s">
        <v>6629</v>
      </c>
      <c r="B377" s="389" t="s">
        <v>5777</v>
      </c>
      <c r="C377" s="389" t="s">
        <v>6601</v>
      </c>
      <c r="D377" s="389" t="s">
        <v>6630</v>
      </c>
      <c r="E377" s="390" t="s">
        <v>7313</v>
      </c>
      <c r="F377" s="390" t="s">
        <v>7314</v>
      </c>
      <c r="G377" s="391">
        <v>2</v>
      </c>
      <c r="H377" s="389" t="s">
        <v>6925</v>
      </c>
      <c r="I377" s="389" t="s">
        <v>2236</v>
      </c>
      <c r="J377" s="389" t="s">
        <v>4</v>
      </c>
      <c r="K377" s="385" t="s">
        <v>6623</v>
      </c>
      <c r="L377" s="385" t="s">
        <v>6610</v>
      </c>
      <c r="M377" s="385"/>
      <c r="N377" s="386"/>
      <c r="O377" s="387"/>
    </row>
    <row r="378" spans="1:15">
      <c r="A378" s="388" t="s">
        <v>6631</v>
      </c>
      <c r="B378" s="389" t="s">
        <v>5777</v>
      </c>
      <c r="C378" s="389" t="s">
        <v>6601</v>
      </c>
      <c r="D378" s="389" t="s">
        <v>6632</v>
      </c>
      <c r="E378" s="390" t="s">
        <v>7315</v>
      </c>
      <c r="F378" s="390" t="s">
        <v>7316</v>
      </c>
      <c r="G378" s="391">
        <v>3</v>
      </c>
      <c r="H378" s="389" t="s">
        <v>6933</v>
      </c>
      <c r="I378" s="389" t="s">
        <v>2236</v>
      </c>
      <c r="J378" s="389" t="s">
        <v>4</v>
      </c>
      <c r="K378" s="385" t="s">
        <v>6623</v>
      </c>
      <c r="L378" s="385" t="s">
        <v>6610</v>
      </c>
      <c r="M378" s="385"/>
      <c r="N378" s="386"/>
      <c r="O378" s="387"/>
    </row>
    <row r="379" spans="1:15" ht="34">
      <c r="A379" s="388" t="s">
        <v>6633</v>
      </c>
      <c r="B379" s="389" t="s">
        <v>5777</v>
      </c>
      <c r="C379" s="389" t="s">
        <v>6601</v>
      </c>
      <c r="D379" s="389" t="s">
        <v>6634</v>
      </c>
      <c r="E379" s="390" t="s">
        <v>7317</v>
      </c>
      <c r="F379" s="390" t="s">
        <v>7318</v>
      </c>
      <c r="G379" s="391">
        <v>2</v>
      </c>
      <c r="H379" s="389" t="s">
        <v>6749</v>
      </c>
      <c r="I379" s="389" t="s">
        <v>2236</v>
      </c>
      <c r="J379" s="389" t="s">
        <v>4</v>
      </c>
      <c r="K379" s="385" t="s">
        <v>6635</v>
      </c>
      <c r="L379" s="385" t="s">
        <v>6618</v>
      </c>
      <c r="M379" s="385"/>
      <c r="N379" s="386"/>
      <c r="O379" s="387"/>
    </row>
    <row r="380" spans="1:15">
      <c r="A380" s="388" t="s">
        <v>6636</v>
      </c>
      <c r="B380" s="389" t="s">
        <v>5777</v>
      </c>
      <c r="C380" s="389" t="s">
        <v>6601</v>
      </c>
      <c r="D380" s="389" t="s">
        <v>6637</v>
      </c>
      <c r="E380" s="390" t="s">
        <v>7319</v>
      </c>
      <c r="F380" s="390" t="s">
        <v>7320</v>
      </c>
      <c r="G380" s="391">
        <v>2</v>
      </c>
      <c r="H380" s="389" t="s">
        <v>6749</v>
      </c>
      <c r="I380" s="389" t="s">
        <v>2236</v>
      </c>
      <c r="J380" s="389" t="s">
        <v>4</v>
      </c>
      <c r="K380" s="385" t="s">
        <v>6635</v>
      </c>
      <c r="L380" s="385" t="s">
        <v>6618</v>
      </c>
      <c r="M380" s="385"/>
      <c r="N380" s="386"/>
      <c r="O380" s="387"/>
    </row>
    <row r="381" spans="1:15" ht="34">
      <c r="A381" s="388" t="s">
        <v>6638</v>
      </c>
      <c r="B381" s="389" t="s">
        <v>5777</v>
      </c>
      <c r="C381" s="389" t="s">
        <v>6601</v>
      </c>
      <c r="D381" s="389" t="s">
        <v>6639</v>
      </c>
      <c r="E381" s="390" t="s">
        <v>7321</v>
      </c>
      <c r="F381" s="390" t="s">
        <v>7322</v>
      </c>
      <c r="G381" s="391">
        <v>4</v>
      </c>
      <c r="H381" s="389" t="s">
        <v>6749</v>
      </c>
      <c r="I381" s="389" t="s">
        <v>2236</v>
      </c>
      <c r="J381" s="389" t="s">
        <v>4</v>
      </c>
      <c r="K381" s="385" t="s">
        <v>6635</v>
      </c>
      <c r="L381" s="385" t="s">
        <v>6618</v>
      </c>
      <c r="M381" s="385"/>
      <c r="N381" s="386"/>
      <c r="O381" s="387"/>
    </row>
    <row r="382" spans="1:15" ht="34">
      <c r="A382" s="388" t="s">
        <v>6640</v>
      </c>
      <c r="B382" s="389" t="s">
        <v>5777</v>
      </c>
      <c r="C382" s="389" t="s">
        <v>6601</v>
      </c>
      <c r="D382" s="389" t="s">
        <v>6641</v>
      </c>
      <c r="E382" s="390" t="s">
        <v>7323</v>
      </c>
      <c r="F382" s="390" t="s">
        <v>7324</v>
      </c>
      <c r="G382" s="391">
        <v>2</v>
      </c>
      <c r="H382" s="389" t="s">
        <v>6749</v>
      </c>
      <c r="I382" s="389" t="s">
        <v>2236</v>
      </c>
      <c r="J382" s="389" t="s">
        <v>4</v>
      </c>
      <c r="K382" s="385" t="s">
        <v>6635</v>
      </c>
      <c r="L382" s="385" t="s">
        <v>6618</v>
      </c>
      <c r="M382" s="385"/>
      <c r="N382" s="386"/>
      <c r="O382" s="387"/>
    </row>
    <row r="383" spans="1:15" ht="34">
      <c r="A383" s="388" t="s">
        <v>6642</v>
      </c>
      <c r="B383" s="389" t="s">
        <v>5777</v>
      </c>
      <c r="C383" s="389" t="s">
        <v>6601</v>
      </c>
      <c r="D383" s="389" t="s">
        <v>6643</v>
      </c>
      <c r="E383" s="390" t="s">
        <v>7325</v>
      </c>
      <c r="F383" s="390" t="s">
        <v>7326</v>
      </c>
      <c r="G383" s="391">
        <v>3</v>
      </c>
      <c r="H383" s="389" t="s">
        <v>6749</v>
      </c>
      <c r="I383" s="389" t="s">
        <v>2236</v>
      </c>
      <c r="J383" s="389" t="s">
        <v>4</v>
      </c>
      <c r="K383" s="385" t="s">
        <v>6635</v>
      </c>
      <c r="L383" s="385" t="s">
        <v>6618</v>
      </c>
      <c r="M383" s="385"/>
      <c r="N383" s="386"/>
      <c r="O383" s="387"/>
    </row>
    <row r="384" spans="1:15" ht="34">
      <c r="A384" s="388" t="s">
        <v>6644</v>
      </c>
      <c r="B384" s="389" t="s">
        <v>5777</v>
      </c>
      <c r="C384" s="389" t="s">
        <v>6601</v>
      </c>
      <c r="D384" s="389" t="s">
        <v>6645</v>
      </c>
      <c r="E384" s="390" t="s">
        <v>7327</v>
      </c>
      <c r="F384" s="390" t="s">
        <v>7328</v>
      </c>
      <c r="G384" s="391">
        <v>3</v>
      </c>
      <c r="H384" s="389" t="s">
        <v>6919</v>
      </c>
      <c r="I384" s="389" t="s">
        <v>2236</v>
      </c>
      <c r="J384" s="389" t="s">
        <v>4</v>
      </c>
      <c r="K384" s="385" t="s">
        <v>6635</v>
      </c>
      <c r="L384" s="385" t="s">
        <v>6618</v>
      </c>
      <c r="M384" s="385"/>
      <c r="N384" s="386"/>
      <c r="O384" s="387"/>
    </row>
    <row r="385" spans="1:15" ht="34">
      <c r="A385" s="388" t="s">
        <v>6646</v>
      </c>
      <c r="B385" s="389" t="s">
        <v>5777</v>
      </c>
      <c r="C385" s="389" t="s">
        <v>6601</v>
      </c>
      <c r="D385" s="389" t="s">
        <v>6647</v>
      </c>
      <c r="E385" s="390" t="s">
        <v>7329</v>
      </c>
      <c r="F385" s="390" t="s">
        <v>7330</v>
      </c>
      <c r="G385" s="391">
        <v>3</v>
      </c>
      <c r="H385" s="389" t="s">
        <v>6907</v>
      </c>
      <c r="I385" s="389" t="s">
        <v>2236</v>
      </c>
      <c r="J385" s="389" t="s">
        <v>4</v>
      </c>
      <c r="K385" s="385" t="s">
        <v>6635</v>
      </c>
      <c r="L385" s="385" t="s">
        <v>6618</v>
      </c>
      <c r="M385" s="385"/>
      <c r="N385" s="386"/>
      <c r="O385" s="387"/>
    </row>
    <row r="386" spans="1:15">
      <c r="A386" s="388" t="s">
        <v>6648</v>
      </c>
      <c r="B386" s="389" t="s">
        <v>5777</v>
      </c>
      <c r="C386" s="389" t="s">
        <v>6601</v>
      </c>
      <c r="D386" s="389" t="s">
        <v>1474</v>
      </c>
      <c r="E386" s="390" t="s">
        <v>7331</v>
      </c>
      <c r="F386" s="390" t="s">
        <v>7332</v>
      </c>
      <c r="G386" s="391">
        <v>2</v>
      </c>
      <c r="H386" s="389" t="s">
        <v>7242</v>
      </c>
      <c r="I386" s="389" t="s">
        <v>2236</v>
      </c>
      <c r="J386" s="389" t="s">
        <v>4</v>
      </c>
      <c r="K386" s="385" t="s">
        <v>6635</v>
      </c>
      <c r="L386" s="385" t="s">
        <v>6610</v>
      </c>
      <c r="M386" s="385"/>
      <c r="N386" s="386"/>
      <c r="O386" s="387"/>
    </row>
    <row r="387" spans="1:15" ht="34">
      <c r="A387" s="388" t="s">
        <v>6649</v>
      </c>
      <c r="B387" s="389" t="s">
        <v>5777</v>
      </c>
      <c r="C387" s="389" t="s">
        <v>6601</v>
      </c>
      <c r="D387" s="389" t="s">
        <v>6650</v>
      </c>
      <c r="E387" s="390" t="s">
        <v>7333</v>
      </c>
      <c r="F387" s="390" t="s">
        <v>7334</v>
      </c>
      <c r="G387" s="391">
        <v>2</v>
      </c>
      <c r="H387" s="389" t="s">
        <v>7242</v>
      </c>
      <c r="I387" s="389" t="s">
        <v>2236</v>
      </c>
      <c r="J387" s="389" t="s">
        <v>4</v>
      </c>
      <c r="K387" s="385" t="s">
        <v>6635</v>
      </c>
      <c r="L387" s="385" t="s">
        <v>6618</v>
      </c>
      <c r="M387" s="385"/>
      <c r="N387" s="386"/>
      <c r="O387" s="387"/>
    </row>
    <row r="388" spans="1:15" ht="34">
      <c r="A388" s="388" t="s">
        <v>6651</v>
      </c>
      <c r="B388" s="389" t="s">
        <v>5777</v>
      </c>
      <c r="C388" s="389" t="s">
        <v>6601</v>
      </c>
      <c r="D388" s="389" t="s">
        <v>6652</v>
      </c>
      <c r="E388" s="390" t="s">
        <v>7335</v>
      </c>
      <c r="F388" s="390" t="s">
        <v>7336</v>
      </c>
      <c r="G388" s="391">
        <v>3</v>
      </c>
      <c r="H388" s="389" t="s">
        <v>7242</v>
      </c>
      <c r="I388" s="389" t="s">
        <v>2236</v>
      </c>
      <c r="J388" s="389" t="s">
        <v>4</v>
      </c>
      <c r="K388" s="385" t="s">
        <v>6635</v>
      </c>
      <c r="L388" s="385" t="s">
        <v>6618</v>
      </c>
      <c r="M388" s="385"/>
      <c r="N388" s="386"/>
      <c r="O388" s="387"/>
    </row>
    <row r="389" spans="1:15" ht="34">
      <c r="A389" s="388" t="s">
        <v>6653</v>
      </c>
      <c r="B389" s="389" t="s">
        <v>5777</v>
      </c>
      <c r="C389" s="389" t="s">
        <v>6601</v>
      </c>
      <c r="D389" s="389" t="s">
        <v>6654</v>
      </c>
      <c r="E389" s="390" t="s">
        <v>7337</v>
      </c>
      <c r="F389" s="390" t="s">
        <v>7338</v>
      </c>
      <c r="G389" s="391">
        <v>2</v>
      </c>
      <c r="H389" s="389" t="s">
        <v>6749</v>
      </c>
      <c r="I389" s="389" t="s">
        <v>2236</v>
      </c>
      <c r="J389" s="389" t="s">
        <v>4</v>
      </c>
      <c r="K389" s="385" t="s">
        <v>6635</v>
      </c>
      <c r="L389" s="385" t="s">
        <v>6618</v>
      </c>
      <c r="M389" s="385"/>
      <c r="N389" s="386"/>
      <c r="O389" s="387"/>
    </row>
    <row r="390" spans="1:15" ht="34">
      <c r="A390" s="388" t="s">
        <v>6655</v>
      </c>
      <c r="B390" s="389" t="s">
        <v>5777</v>
      </c>
      <c r="C390" s="389" t="s">
        <v>6601</v>
      </c>
      <c r="D390" s="389" t="s">
        <v>6656</v>
      </c>
      <c r="E390" s="390" t="s">
        <v>7339</v>
      </c>
      <c r="F390" s="390" t="s">
        <v>7340</v>
      </c>
      <c r="G390" s="391">
        <v>2</v>
      </c>
      <c r="H390" s="389" t="s">
        <v>6783</v>
      </c>
      <c r="I390" s="389" t="s">
        <v>2236</v>
      </c>
      <c r="J390" s="389" t="s">
        <v>4</v>
      </c>
      <c r="K390" s="385" t="s">
        <v>6635</v>
      </c>
      <c r="L390" s="385" t="s">
        <v>6628</v>
      </c>
      <c r="M390" s="385"/>
      <c r="N390" s="386"/>
      <c r="O390" s="387"/>
    </row>
    <row r="391" spans="1:15">
      <c r="A391" s="388" t="s">
        <v>6657</v>
      </c>
      <c r="B391" s="389" t="s">
        <v>5777</v>
      </c>
      <c r="C391" s="389" t="s">
        <v>6601</v>
      </c>
      <c r="D391" s="389" t="s">
        <v>6658</v>
      </c>
      <c r="E391" s="390" t="s">
        <v>7341</v>
      </c>
      <c r="F391" s="390" t="s">
        <v>7342</v>
      </c>
      <c r="G391" s="391">
        <v>2</v>
      </c>
      <c r="H391" s="389" t="s">
        <v>2762</v>
      </c>
      <c r="I391" s="389" t="s">
        <v>2236</v>
      </c>
      <c r="J391" s="389" t="s">
        <v>4</v>
      </c>
      <c r="K391" s="385" t="s">
        <v>6659</v>
      </c>
      <c r="L391" s="385" t="s">
        <v>6618</v>
      </c>
      <c r="M391" s="385"/>
      <c r="N391" s="386"/>
      <c r="O391" s="387"/>
    </row>
    <row r="392" spans="1:15" ht="34">
      <c r="A392" s="388" t="s">
        <v>6660</v>
      </c>
      <c r="B392" s="389" t="s">
        <v>5777</v>
      </c>
      <c r="C392" s="389" t="s">
        <v>6601</v>
      </c>
      <c r="D392" s="389" t="s">
        <v>6661</v>
      </c>
      <c r="E392" s="390" t="s">
        <v>7343</v>
      </c>
      <c r="F392" s="390" t="s">
        <v>7344</v>
      </c>
      <c r="G392" s="391">
        <v>2</v>
      </c>
      <c r="H392" s="389" t="s">
        <v>2762</v>
      </c>
      <c r="I392" s="389" t="s">
        <v>2236</v>
      </c>
      <c r="J392" s="389" t="s">
        <v>4</v>
      </c>
      <c r="K392" s="385" t="s">
        <v>6659</v>
      </c>
      <c r="L392" s="385" t="s">
        <v>6610</v>
      </c>
      <c r="M392" s="385"/>
      <c r="N392" s="386"/>
      <c r="O392" s="387"/>
    </row>
    <row r="393" spans="1:15" ht="34">
      <c r="A393" s="388" t="s">
        <v>6662</v>
      </c>
      <c r="B393" s="389" t="s">
        <v>5777</v>
      </c>
      <c r="C393" s="389" t="s">
        <v>6601</v>
      </c>
      <c r="D393" s="389" t="s">
        <v>6663</v>
      </c>
      <c r="E393" s="390" t="s">
        <v>7345</v>
      </c>
      <c r="F393" s="390" t="s">
        <v>7346</v>
      </c>
      <c r="G393" s="391">
        <v>3</v>
      </c>
      <c r="H393" s="389" t="s">
        <v>2762</v>
      </c>
      <c r="I393" s="389" t="s">
        <v>2236</v>
      </c>
      <c r="J393" s="389" t="s">
        <v>4</v>
      </c>
      <c r="K393" s="385" t="s">
        <v>6659</v>
      </c>
      <c r="L393" s="385" t="s">
        <v>6618</v>
      </c>
      <c r="M393" s="385"/>
      <c r="N393" s="386"/>
      <c r="O393" s="387"/>
    </row>
    <row r="394" spans="1:15" ht="34">
      <c r="A394" s="388" t="s">
        <v>6664</v>
      </c>
      <c r="B394" s="389" t="s">
        <v>5777</v>
      </c>
      <c r="C394" s="389" t="s">
        <v>6601</v>
      </c>
      <c r="D394" s="389" t="s">
        <v>6665</v>
      </c>
      <c r="E394" s="390" t="s">
        <v>7347</v>
      </c>
      <c r="F394" s="390" t="s">
        <v>7348</v>
      </c>
      <c r="G394" s="391">
        <v>1</v>
      </c>
      <c r="H394" s="389" t="s">
        <v>2762</v>
      </c>
      <c r="I394" s="389" t="s">
        <v>2236</v>
      </c>
      <c r="J394" s="389" t="s">
        <v>4</v>
      </c>
      <c r="K394" s="385" t="s">
        <v>6659</v>
      </c>
      <c r="L394" s="385" t="s">
        <v>6610</v>
      </c>
      <c r="M394" s="385"/>
      <c r="N394" s="386"/>
      <c r="O394" s="387"/>
    </row>
    <row r="395" spans="1:15" ht="34">
      <c r="A395" s="388" t="s">
        <v>6666</v>
      </c>
      <c r="B395" s="389" t="s">
        <v>5777</v>
      </c>
      <c r="C395" s="389" t="s">
        <v>6601</v>
      </c>
      <c r="D395" s="389" t="s">
        <v>6667</v>
      </c>
      <c r="E395" s="390" t="s">
        <v>7349</v>
      </c>
      <c r="F395" s="390" t="s">
        <v>7350</v>
      </c>
      <c r="G395" s="391">
        <v>3</v>
      </c>
      <c r="H395" s="389" t="s">
        <v>2762</v>
      </c>
      <c r="I395" s="389" t="s">
        <v>2236</v>
      </c>
      <c r="J395" s="389" t="s">
        <v>4</v>
      </c>
      <c r="K395" s="385" t="s">
        <v>6668</v>
      </c>
      <c r="L395" s="385" t="s">
        <v>6610</v>
      </c>
      <c r="M395" s="385"/>
      <c r="N395" s="386"/>
      <c r="O395" s="387"/>
    </row>
    <row r="396" spans="1:15">
      <c r="A396" s="388" t="s">
        <v>6669</v>
      </c>
      <c r="B396" s="389" t="s">
        <v>5777</v>
      </c>
      <c r="C396" s="389" t="s">
        <v>6601</v>
      </c>
      <c r="D396" s="389" t="s">
        <v>6670</v>
      </c>
      <c r="E396" s="390" t="s">
        <v>7351</v>
      </c>
      <c r="F396" s="390" t="s">
        <v>7352</v>
      </c>
      <c r="G396" s="391">
        <v>1</v>
      </c>
      <c r="H396" s="389" t="s">
        <v>2762</v>
      </c>
      <c r="I396" s="389" t="s">
        <v>2236</v>
      </c>
      <c r="J396" s="389" t="s">
        <v>4</v>
      </c>
      <c r="K396" s="385" t="s">
        <v>6668</v>
      </c>
      <c r="L396" s="385" t="s">
        <v>6610</v>
      </c>
      <c r="M396" s="385"/>
      <c r="N396" s="386"/>
      <c r="O396" s="387"/>
    </row>
    <row r="397" spans="1:15" ht="34">
      <c r="A397" s="388" t="s">
        <v>6671</v>
      </c>
      <c r="B397" s="389" t="s">
        <v>5777</v>
      </c>
      <c r="C397" s="389" t="s">
        <v>6601</v>
      </c>
      <c r="D397" s="389" t="s">
        <v>6672</v>
      </c>
      <c r="E397" s="390" t="s">
        <v>7353</v>
      </c>
      <c r="F397" s="390" t="s">
        <v>7354</v>
      </c>
      <c r="G397" s="391">
        <v>1</v>
      </c>
      <c r="H397" s="389" t="s">
        <v>2762</v>
      </c>
      <c r="I397" s="389" t="s">
        <v>2236</v>
      </c>
      <c r="J397" s="389" t="s">
        <v>4</v>
      </c>
      <c r="K397" s="385" t="s">
        <v>6668</v>
      </c>
      <c r="L397" s="385"/>
      <c r="M397" s="385"/>
      <c r="N397" s="386"/>
      <c r="O397" s="387"/>
    </row>
    <row r="398" spans="1:15">
      <c r="A398" s="388" t="s">
        <v>6673</v>
      </c>
      <c r="B398" s="389" t="s">
        <v>5777</v>
      </c>
      <c r="C398" s="389" t="s">
        <v>6601</v>
      </c>
      <c r="D398" s="389" t="s">
        <v>6674</v>
      </c>
      <c r="E398" s="390" t="s">
        <v>7355</v>
      </c>
      <c r="F398" s="390" t="s">
        <v>7356</v>
      </c>
      <c r="G398" s="391">
        <v>1</v>
      </c>
      <c r="H398" s="389" t="s">
        <v>2762</v>
      </c>
      <c r="I398" s="389" t="s">
        <v>2236</v>
      </c>
      <c r="J398" s="389" t="s">
        <v>4</v>
      </c>
      <c r="K398" s="385" t="s">
        <v>6668</v>
      </c>
      <c r="L398" s="385" t="s">
        <v>6628</v>
      </c>
      <c r="M398" s="385"/>
      <c r="N398" s="386"/>
      <c r="O398" s="387"/>
    </row>
    <row r="399" spans="1:15">
      <c r="A399" s="388" t="s">
        <v>6675</v>
      </c>
      <c r="B399" s="389" t="s">
        <v>5777</v>
      </c>
      <c r="C399" s="389" t="s">
        <v>6601</v>
      </c>
      <c r="D399" s="389" t="s">
        <v>6676</v>
      </c>
      <c r="E399" s="390" t="s">
        <v>7357</v>
      </c>
      <c r="F399" s="390" t="s">
        <v>7358</v>
      </c>
      <c r="G399" s="391">
        <v>2</v>
      </c>
      <c r="H399" s="389" t="s">
        <v>6928</v>
      </c>
      <c r="I399" s="389" t="s">
        <v>2236</v>
      </c>
      <c r="J399" s="389" t="s">
        <v>4</v>
      </c>
      <c r="K399" s="385" t="s">
        <v>6677</v>
      </c>
      <c r="L399" s="385" t="s">
        <v>6628</v>
      </c>
      <c r="M399" s="385"/>
      <c r="N399" s="386"/>
      <c r="O399" s="387"/>
    </row>
    <row r="400" spans="1:15" ht="34">
      <c r="A400" s="388" t="s">
        <v>6678</v>
      </c>
      <c r="B400" s="389" t="s">
        <v>5777</v>
      </c>
      <c r="C400" s="389" t="s">
        <v>6601</v>
      </c>
      <c r="D400" s="389" t="s">
        <v>6679</v>
      </c>
      <c r="E400" s="390" t="s">
        <v>7359</v>
      </c>
      <c r="F400" s="390" t="s">
        <v>7360</v>
      </c>
      <c r="G400" s="391">
        <v>2</v>
      </c>
      <c r="H400" s="389" t="s">
        <v>6942</v>
      </c>
      <c r="I400" s="389" t="s">
        <v>2236</v>
      </c>
      <c r="J400" s="389" t="s">
        <v>4</v>
      </c>
      <c r="K400" s="385" t="s">
        <v>6677</v>
      </c>
      <c r="L400" s="385" t="s">
        <v>6610</v>
      </c>
      <c r="M400" s="385"/>
      <c r="N400" s="386"/>
      <c r="O400" s="387"/>
    </row>
    <row r="401" spans="1:15">
      <c r="A401" s="388" t="s">
        <v>6680</v>
      </c>
      <c r="B401" s="389" t="s">
        <v>5777</v>
      </c>
      <c r="C401" s="389" t="s">
        <v>6601</v>
      </c>
      <c r="D401" s="389" t="s">
        <v>6681</v>
      </c>
      <c r="E401" s="390" t="s">
        <v>7361</v>
      </c>
      <c r="F401" s="390" t="s">
        <v>7362</v>
      </c>
      <c r="G401" s="391">
        <v>1</v>
      </c>
      <c r="H401" s="389" t="s">
        <v>6963</v>
      </c>
      <c r="I401" s="389" t="s">
        <v>2236</v>
      </c>
      <c r="J401" s="389" t="s">
        <v>4</v>
      </c>
      <c r="K401" s="385" t="s">
        <v>6677</v>
      </c>
      <c r="L401" s="385" t="s">
        <v>6628</v>
      </c>
      <c r="M401" s="385"/>
      <c r="N401" s="386"/>
      <c r="O401" s="387"/>
    </row>
    <row r="402" spans="1:15" ht="34">
      <c r="A402" s="388" t="s">
        <v>6682</v>
      </c>
      <c r="B402" s="389" t="s">
        <v>5777</v>
      </c>
      <c r="C402" s="389" t="s">
        <v>6601</v>
      </c>
      <c r="D402" s="389" t="s">
        <v>6683</v>
      </c>
      <c r="E402" s="390" t="s">
        <v>7363</v>
      </c>
      <c r="F402" s="390" t="s">
        <v>7364</v>
      </c>
      <c r="G402" s="391">
        <v>2</v>
      </c>
      <c r="H402" s="389" t="s">
        <v>2762</v>
      </c>
      <c r="I402" s="389" t="s">
        <v>2236</v>
      </c>
      <c r="J402" s="389" t="s">
        <v>4</v>
      </c>
      <c r="K402" s="385" t="s">
        <v>6684</v>
      </c>
      <c r="L402" s="385" t="s">
        <v>6610</v>
      </c>
      <c r="M402" s="385"/>
      <c r="N402" s="386"/>
      <c r="O402" s="387"/>
    </row>
    <row r="403" spans="1:15" ht="34">
      <c r="A403" s="388" t="s">
        <v>6685</v>
      </c>
      <c r="B403" s="389" t="s">
        <v>5777</v>
      </c>
      <c r="C403" s="389" t="s">
        <v>6601</v>
      </c>
      <c r="D403" s="389" t="s">
        <v>6686</v>
      </c>
      <c r="E403" s="390" t="s">
        <v>7365</v>
      </c>
      <c r="F403" s="390" t="s">
        <v>7366</v>
      </c>
      <c r="G403" s="391">
        <v>2</v>
      </c>
      <c r="H403" s="389" t="s">
        <v>2762</v>
      </c>
      <c r="I403" s="389" t="s">
        <v>2236</v>
      </c>
      <c r="J403" s="389" t="s">
        <v>4</v>
      </c>
      <c r="K403" s="385" t="s">
        <v>6684</v>
      </c>
      <c r="L403" s="385" t="s">
        <v>6618</v>
      </c>
      <c r="M403" s="385"/>
      <c r="N403" s="386"/>
      <c r="O403" s="387"/>
    </row>
    <row r="404" spans="1:15">
      <c r="A404" s="388" t="s">
        <v>6687</v>
      </c>
      <c r="B404" s="389" t="s">
        <v>5777</v>
      </c>
      <c r="C404" s="389" t="s">
        <v>6601</v>
      </c>
      <c r="D404" s="389" t="s">
        <v>6688</v>
      </c>
      <c r="E404" s="390" t="s">
        <v>7367</v>
      </c>
      <c r="F404" s="390" t="s">
        <v>7368</v>
      </c>
      <c r="G404" s="391">
        <v>2</v>
      </c>
      <c r="H404" s="389" t="s">
        <v>2762</v>
      </c>
      <c r="I404" s="389" t="s">
        <v>2236</v>
      </c>
      <c r="J404" s="389" t="s">
        <v>4</v>
      </c>
      <c r="K404" s="385" t="s">
        <v>6684</v>
      </c>
      <c r="L404" s="385" t="s">
        <v>6610</v>
      </c>
      <c r="M404" s="385"/>
      <c r="N404" s="386"/>
      <c r="O404" s="387"/>
    </row>
    <row r="405" spans="1:15" ht="34">
      <c r="A405" s="388" t="s">
        <v>6689</v>
      </c>
      <c r="B405" s="389" t="s">
        <v>5777</v>
      </c>
      <c r="C405" s="389" t="s">
        <v>6601</v>
      </c>
      <c r="D405" s="389" t="s">
        <v>6690</v>
      </c>
      <c r="E405" s="390" t="s">
        <v>7369</v>
      </c>
      <c r="F405" s="390" t="s">
        <v>7370</v>
      </c>
      <c r="G405" s="391">
        <v>2</v>
      </c>
      <c r="H405" s="389" t="s">
        <v>2762</v>
      </c>
      <c r="I405" s="389" t="s">
        <v>2236</v>
      </c>
      <c r="J405" s="389" t="s">
        <v>4</v>
      </c>
      <c r="K405" s="385" t="s">
        <v>6684</v>
      </c>
      <c r="L405" s="385" t="s">
        <v>6618</v>
      </c>
      <c r="M405" s="385"/>
      <c r="N405" s="386"/>
      <c r="O405" s="387"/>
    </row>
    <row r="406" spans="1:15">
      <c r="A406" s="388" t="s">
        <v>6691</v>
      </c>
      <c r="B406" s="389" t="s">
        <v>5777</v>
      </c>
      <c r="C406" s="389" t="s">
        <v>6601</v>
      </c>
      <c r="D406" s="389" t="s">
        <v>6692</v>
      </c>
      <c r="E406" s="390" t="s">
        <v>7371</v>
      </c>
      <c r="F406" s="390" t="s">
        <v>7372</v>
      </c>
      <c r="G406" s="391">
        <v>1</v>
      </c>
      <c r="H406" s="389" t="s">
        <v>2762</v>
      </c>
      <c r="I406" s="389" t="s">
        <v>2236</v>
      </c>
      <c r="J406" s="389" t="s">
        <v>4</v>
      </c>
      <c r="K406" s="385" t="s">
        <v>6684</v>
      </c>
      <c r="L406" s="385" t="s">
        <v>6610</v>
      </c>
      <c r="M406" s="385"/>
      <c r="N406" s="386"/>
      <c r="O406" s="387"/>
    </row>
    <row r="407" spans="1:15">
      <c r="A407" s="388" t="s">
        <v>6693</v>
      </c>
      <c r="B407" s="389" t="s">
        <v>5777</v>
      </c>
      <c r="C407" s="389" t="s">
        <v>6601</v>
      </c>
      <c r="D407" s="389" t="s">
        <v>6694</v>
      </c>
      <c r="E407" s="390" t="s">
        <v>7373</v>
      </c>
      <c r="F407" s="390" t="s">
        <v>7374</v>
      </c>
      <c r="G407" s="391">
        <v>2</v>
      </c>
      <c r="H407" s="389" t="s">
        <v>2762</v>
      </c>
      <c r="I407" s="389" t="s">
        <v>2236</v>
      </c>
      <c r="J407" s="389" t="s">
        <v>4</v>
      </c>
      <c r="K407" s="385" t="s">
        <v>6695</v>
      </c>
      <c r="L407" s="385" t="s">
        <v>6610</v>
      </c>
      <c r="M407" s="385"/>
      <c r="N407" s="386"/>
      <c r="O407" s="387"/>
    </row>
    <row r="408" spans="1:15" ht="34">
      <c r="A408" s="388" t="s">
        <v>6696</v>
      </c>
      <c r="B408" s="389" t="s">
        <v>5777</v>
      </c>
      <c r="C408" s="389" t="s">
        <v>6601</v>
      </c>
      <c r="D408" s="389" t="s">
        <v>6697</v>
      </c>
      <c r="E408" s="390" t="s">
        <v>7375</v>
      </c>
      <c r="F408" s="390" t="s">
        <v>7376</v>
      </c>
      <c r="G408" s="391">
        <v>3</v>
      </c>
      <c r="H408" s="389" t="s">
        <v>2762</v>
      </c>
      <c r="I408" s="389" t="s">
        <v>2236</v>
      </c>
      <c r="J408" s="389" t="s">
        <v>4</v>
      </c>
      <c r="K408" s="385" t="s">
        <v>6695</v>
      </c>
      <c r="L408" s="385" t="s">
        <v>6610</v>
      </c>
      <c r="M408" s="385"/>
      <c r="N408" s="386"/>
      <c r="O408" s="387"/>
    </row>
    <row r="409" spans="1:15">
      <c r="A409" s="388" t="s">
        <v>6698</v>
      </c>
      <c r="B409" s="389" t="s">
        <v>5777</v>
      </c>
      <c r="C409" s="389" t="s">
        <v>6601</v>
      </c>
      <c r="D409" s="389" t="s">
        <v>6699</v>
      </c>
      <c r="E409" s="390" t="s">
        <v>7377</v>
      </c>
      <c r="F409" s="390" t="s">
        <v>7378</v>
      </c>
      <c r="G409" s="391">
        <v>1</v>
      </c>
      <c r="H409" s="389" t="s">
        <v>2762</v>
      </c>
      <c r="I409" s="389" t="s">
        <v>2236</v>
      </c>
      <c r="J409" s="389" t="s">
        <v>4</v>
      </c>
      <c r="K409" s="385" t="s">
        <v>6695</v>
      </c>
      <c r="L409" s="385" t="s">
        <v>6610</v>
      </c>
      <c r="M409" s="385"/>
      <c r="N409" s="386"/>
      <c r="O409" s="387"/>
    </row>
    <row r="410" spans="1:15">
      <c r="A410" s="388" t="s">
        <v>6700</v>
      </c>
      <c r="B410" s="389" t="s">
        <v>5777</v>
      </c>
      <c r="C410" s="389" t="s">
        <v>6601</v>
      </c>
      <c r="D410" s="389" t="s">
        <v>6701</v>
      </c>
      <c r="E410" s="390" t="s">
        <v>7379</v>
      </c>
      <c r="F410" s="390" t="s">
        <v>7380</v>
      </c>
      <c r="G410" s="391">
        <v>1</v>
      </c>
      <c r="H410" s="389" t="s">
        <v>2762</v>
      </c>
      <c r="I410" s="389" t="s">
        <v>2236</v>
      </c>
      <c r="J410" s="389" t="s">
        <v>4</v>
      </c>
      <c r="K410" s="385" t="s">
        <v>6695</v>
      </c>
      <c r="L410" s="385" t="s">
        <v>6628</v>
      </c>
      <c r="M410" s="385"/>
      <c r="N410" s="386"/>
      <c r="O410" s="387"/>
    </row>
    <row r="411" spans="1:15" ht="34">
      <c r="A411" s="388" t="s">
        <v>6702</v>
      </c>
      <c r="B411" s="389" t="s">
        <v>5777</v>
      </c>
      <c r="C411" s="389" t="s">
        <v>6601</v>
      </c>
      <c r="D411" s="389" t="s">
        <v>6703</v>
      </c>
      <c r="E411" s="390" t="s">
        <v>7381</v>
      </c>
      <c r="F411" s="390" t="s">
        <v>7382</v>
      </c>
      <c r="G411" s="391">
        <v>1</v>
      </c>
      <c r="H411" s="389" t="s">
        <v>2762</v>
      </c>
      <c r="I411" s="389" t="s">
        <v>2236</v>
      </c>
      <c r="J411" s="389" t="s">
        <v>4</v>
      </c>
      <c r="K411" s="385" t="s">
        <v>6704</v>
      </c>
      <c r="L411" s="385"/>
      <c r="M411" s="385"/>
      <c r="N411" s="386"/>
      <c r="O411" s="387"/>
    </row>
    <row r="412" spans="1:15" ht="34">
      <c r="A412" s="388" t="s">
        <v>6705</v>
      </c>
      <c r="B412" s="389" t="s">
        <v>5777</v>
      </c>
      <c r="C412" s="389" t="s">
        <v>6601</v>
      </c>
      <c r="D412" s="389" t="s">
        <v>6706</v>
      </c>
      <c r="E412" s="390" t="s">
        <v>7383</v>
      </c>
      <c r="F412" s="390" t="s">
        <v>7384</v>
      </c>
      <c r="G412" s="391">
        <v>2</v>
      </c>
      <c r="H412" s="389" t="s">
        <v>2762</v>
      </c>
      <c r="I412" s="389" t="s">
        <v>2236</v>
      </c>
      <c r="J412" s="389" t="s">
        <v>4</v>
      </c>
      <c r="K412" s="385" t="s">
        <v>6704</v>
      </c>
      <c r="L412" s="385" t="s">
        <v>6610</v>
      </c>
      <c r="M412" s="385"/>
      <c r="N412" s="386"/>
      <c r="O412" s="387"/>
    </row>
    <row r="413" spans="1:15" ht="34">
      <c r="A413" s="388" t="s">
        <v>6707</v>
      </c>
      <c r="B413" s="389" t="s">
        <v>5777</v>
      </c>
      <c r="C413" s="389" t="s">
        <v>6601</v>
      </c>
      <c r="D413" s="389" t="s">
        <v>6708</v>
      </c>
      <c r="E413" s="390" t="s">
        <v>7385</v>
      </c>
      <c r="F413" s="390" t="s">
        <v>7386</v>
      </c>
      <c r="G413" s="391">
        <v>1</v>
      </c>
      <c r="H413" s="389" t="s">
        <v>2762</v>
      </c>
      <c r="I413" s="389" t="s">
        <v>2236</v>
      </c>
      <c r="J413" s="389" t="s">
        <v>4</v>
      </c>
      <c r="K413" s="385" t="s">
        <v>6704</v>
      </c>
      <c r="L413" s="385" t="s">
        <v>6618</v>
      </c>
      <c r="M413" s="385"/>
      <c r="N413" s="386"/>
      <c r="O413" s="387"/>
    </row>
    <row r="414" spans="1:15">
      <c r="A414" s="388" t="s">
        <v>6709</v>
      </c>
      <c r="B414" s="389" t="s">
        <v>5777</v>
      </c>
      <c r="C414" s="389" t="s">
        <v>6601</v>
      </c>
      <c r="D414" s="389" t="s">
        <v>6710</v>
      </c>
      <c r="E414" s="390" t="s">
        <v>7387</v>
      </c>
      <c r="F414" s="390" t="s">
        <v>7388</v>
      </c>
      <c r="G414" s="391">
        <v>1</v>
      </c>
      <c r="H414" s="389" t="s">
        <v>2762</v>
      </c>
      <c r="I414" s="389" t="s">
        <v>2236</v>
      </c>
      <c r="J414" s="389" t="s">
        <v>4</v>
      </c>
      <c r="K414" s="385" t="s">
        <v>6704</v>
      </c>
      <c r="L414" s="385" t="s">
        <v>6610</v>
      </c>
      <c r="M414" s="385"/>
      <c r="N414" s="386"/>
      <c r="O414" s="387"/>
    </row>
    <row r="415" spans="1:15">
      <c r="A415" s="388" t="s">
        <v>6711</v>
      </c>
      <c r="B415" s="389" t="s">
        <v>5777</v>
      </c>
      <c r="C415" s="389" t="s">
        <v>6601</v>
      </c>
      <c r="D415" s="389" t="s">
        <v>6712</v>
      </c>
      <c r="E415" s="390" t="s">
        <v>7389</v>
      </c>
      <c r="F415" s="390" t="s">
        <v>7390</v>
      </c>
      <c r="G415" s="391">
        <v>1</v>
      </c>
      <c r="H415" s="389" t="s">
        <v>2762</v>
      </c>
      <c r="I415" s="389" t="s">
        <v>2236</v>
      </c>
      <c r="J415" s="389" t="s">
        <v>4</v>
      </c>
      <c r="K415" s="385" t="s">
        <v>6704</v>
      </c>
      <c r="L415" s="385"/>
      <c r="M415" s="385"/>
      <c r="N415" s="386"/>
      <c r="O415" s="387"/>
    </row>
    <row r="416" spans="1:15">
      <c r="A416" s="388" t="s">
        <v>6713</v>
      </c>
      <c r="B416" s="389" t="s">
        <v>5777</v>
      </c>
      <c r="C416" s="389" t="s">
        <v>6601</v>
      </c>
      <c r="D416" s="389" t="s">
        <v>6714</v>
      </c>
      <c r="E416" s="390" t="s">
        <v>7391</v>
      </c>
      <c r="F416" s="390" t="s">
        <v>7392</v>
      </c>
      <c r="G416" s="391">
        <v>3</v>
      </c>
      <c r="H416" s="389" t="s">
        <v>2762</v>
      </c>
      <c r="I416" s="389" t="s">
        <v>2236</v>
      </c>
      <c r="J416" s="389" t="s">
        <v>4</v>
      </c>
      <c r="K416" s="385" t="s">
        <v>2762</v>
      </c>
      <c r="L416" s="385"/>
      <c r="M416" s="385"/>
      <c r="N416" s="386"/>
      <c r="O416" s="387"/>
    </row>
    <row r="417" spans="1:15">
      <c r="A417" s="388" t="s">
        <v>6715</v>
      </c>
      <c r="B417" s="389" t="s">
        <v>5777</v>
      </c>
      <c r="C417" s="389" t="s">
        <v>6601</v>
      </c>
      <c r="D417" s="389" t="s">
        <v>6716</v>
      </c>
      <c r="E417" s="390" t="s">
        <v>7393</v>
      </c>
      <c r="F417" s="390" t="s">
        <v>7394</v>
      </c>
      <c r="G417" s="391">
        <v>3</v>
      </c>
      <c r="H417" s="389" t="s">
        <v>2762</v>
      </c>
      <c r="I417" s="389" t="s">
        <v>2236</v>
      </c>
      <c r="J417" s="389" t="s">
        <v>4</v>
      </c>
      <c r="K417" s="385" t="s">
        <v>2762</v>
      </c>
      <c r="L417" s="385"/>
      <c r="M417" s="385"/>
      <c r="N417" s="386"/>
      <c r="O417" s="387"/>
    </row>
    <row r="418" spans="1:15">
      <c r="A418" s="392" t="s">
        <v>6717</v>
      </c>
      <c r="B418" s="393" t="s">
        <v>5777</v>
      </c>
      <c r="C418" s="393" t="s">
        <v>6601</v>
      </c>
      <c r="D418" s="393" t="s">
        <v>6718</v>
      </c>
      <c r="E418" s="394" t="s">
        <v>7395</v>
      </c>
      <c r="F418" s="394" t="s">
        <v>7396</v>
      </c>
      <c r="G418" s="395">
        <v>3</v>
      </c>
      <c r="H418" s="393" t="s">
        <v>2762</v>
      </c>
      <c r="I418" s="393" t="s">
        <v>2236</v>
      </c>
      <c r="J418" s="393" t="s">
        <v>4</v>
      </c>
      <c r="K418" s="396" t="s">
        <v>2762</v>
      </c>
      <c r="L418" s="396"/>
      <c r="M418" s="396"/>
      <c r="N418" s="397"/>
      <c r="O418" s="387"/>
    </row>
  </sheetData>
  <autoFilter ref="A6:O418" xr:uid="{66250CDA-FE4E-E74B-968F-00BE7CB94CEE}"/>
  <phoneticPr fontId="2"/>
  <conditionalFormatting sqref="A7:O418">
    <cfRule type="expression" dxfId="15" priority="1">
      <formula>$J7="完了"</formula>
    </cfRule>
  </conditionalFormatting>
  <conditionalFormatting sqref="A7:O418">
    <cfRule type="expression" dxfId="14" priority="2">
      <formula>$J7="進行中"</formula>
    </cfRule>
  </conditionalFormatting>
  <conditionalFormatting sqref="A7:O418">
    <cfRule type="expression" dxfId="13" priority="3">
      <formula>$J7="廃止"</formula>
    </cfRule>
  </conditionalFormatting>
  <conditionalFormatting sqref="J7:J418">
    <cfRule type="expression" dxfId="12" priority="4">
      <formula>$J7="完了"</formula>
    </cfRule>
  </conditionalFormatting>
  <conditionalFormatting sqref="J7:J418">
    <cfRule type="expression" dxfId="11" priority="5">
      <formula>$J7="進行中"</formula>
    </cfRule>
  </conditionalFormatting>
  <conditionalFormatting sqref="J7:J418">
    <cfRule type="expression" dxfId="10" priority="6">
      <formula>$J7="廃止"</formula>
    </cfRule>
  </conditionalFormatting>
  <conditionalFormatting sqref="M7:M418">
    <cfRule type="expression" dxfId="9" priority="7">
      <formula>$M7="認証系"</formula>
    </cfRule>
  </conditionalFormatting>
  <conditionalFormatting sqref="M7:M418">
    <cfRule type="expression" dxfId="8" priority="8">
      <formula>$M7="プロビジョニング系"</formula>
    </cfRule>
  </conditionalFormatting>
  <conditionalFormatting sqref="M7:M418">
    <cfRule type="expression" dxfId="7" priority="9">
      <formula>$M7="管理CP系"</formula>
    </cfRule>
  </conditionalFormatting>
  <conditionalFormatting sqref="M7:M418">
    <cfRule type="expression" dxfId="6" priority="10">
      <formula>$M7="認可系"</formula>
    </cfRule>
  </conditionalFormatting>
  <conditionalFormatting sqref="M7:M418">
    <cfRule type="expression" dxfId="5" priority="11">
      <formula>$M7="連携系"</formula>
    </cfRule>
  </conditionalFormatting>
  <conditionalFormatting sqref="M7:M418">
    <cfRule type="expression" dxfId="4" priority="12">
      <formula>$M7="バッチ系"</formula>
    </cfRule>
  </conditionalFormatting>
  <conditionalFormatting sqref="H7:H418">
    <cfRule type="expression" dxfId="3" priority="13">
      <formula>$H7="横断"</formula>
    </cfRule>
  </conditionalFormatting>
  <conditionalFormatting sqref="H7:H418">
    <cfRule type="expression" dxfId="2" priority="14">
      <formula>$H7="—"</formula>
    </cfRule>
  </conditionalFormatting>
  <conditionalFormatting sqref="H7:H418">
    <cfRule type="expression" dxfId="1" priority="15">
      <formula>LEFT($H7,2)="F-"</formula>
    </cfRule>
  </conditionalFormatting>
  <conditionalFormatting sqref="L7:L418">
    <cfRule type="expression" dxfId="0" priority="16">
      <formula>$L7="最優先"</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20" zoomScaleNormal="120" workbookViewId="0">
      <pane ySplit="5" topLeftCell="A6" activePane="bottomLeft" state="frozen"/>
      <selection pane="bottomLeft" activeCell="D25" sqref="D25"/>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69" t="s">
        <v>6363</v>
      </c>
      <c r="B1" s="32"/>
      <c r="C1" s="32"/>
      <c r="D1" s="32"/>
      <c r="E1" s="32"/>
      <c r="F1" s="32"/>
      <c r="G1" s="32"/>
      <c r="H1" s="32"/>
      <c r="I1" s="32"/>
      <c r="J1" s="32"/>
      <c r="K1" s="32"/>
      <c r="L1" s="32"/>
      <c r="M1" s="32"/>
      <c r="N1" s="32"/>
    </row>
    <row r="2" spans="1:27">
      <c r="A2" s="61" t="s">
        <v>6364</v>
      </c>
      <c r="B2" s="32"/>
      <c r="C2" s="32"/>
      <c r="D2" s="32"/>
      <c r="E2" s="32"/>
      <c r="F2" s="32"/>
      <c r="G2" s="32"/>
      <c r="H2" s="32"/>
      <c r="I2" s="32"/>
      <c r="J2" s="32"/>
      <c r="K2" s="32"/>
      <c r="L2" s="32"/>
      <c r="M2" s="32"/>
      <c r="N2" s="32"/>
    </row>
    <row r="3" spans="1:27">
      <c r="A3" s="290" t="s">
        <v>6365</v>
      </c>
      <c r="B3" s="32"/>
      <c r="C3" s="32"/>
      <c r="D3" s="32"/>
      <c r="E3" s="32"/>
      <c r="F3" s="32"/>
      <c r="G3" s="32"/>
      <c r="H3" s="32"/>
      <c r="I3" s="32"/>
      <c r="J3" s="32"/>
      <c r="K3" s="32"/>
      <c r="L3" s="32"/>
      <c r="M3" s="32"/>
      <c r="N3" s="32"/>
    </row>
    <row r="4" spans="1:27">
      <c r="A4" s="304" t="s">
        <v>7209</v>
      </c>
      <c r="B4" s="32"/>
      <c r="C4" s="32"/>
      <c r="D4" s="32"/>
      <c r="E4" s="32"/>
      <c r="F4" s="32"/>
      <c r="G4" s="32"/>
      <c r="H4" s="32"/>
      <c r="I4" s="32"/>
      <c r="J4" s="32"/>
      <c r="K4" s="32"/>
      <c r="L4" s="32"/>
      <c r="M4" s="32"/>
      <c r="N4" s="32"/>
      <c r="T4" s="167" t="s">
        <v>2523</v>
      </c>
    </row>
    <row r="5" spans="1:27" ht="26" customHeight="1">
      <c r="A5" s="291" t="s">
        <v>2529</v>
      </c>
      <c r="B5" s="292" t="s">
        <v>9</v>
      </c>
      <c r="C5" s="292" t="s">
        <v>6218</v>
      </c>
      <c r="D5" s="292" t="s">
        <v>3058</v>
      </c>
      <c r="E5" s="292" t="s">
        <v>6219</v>
      </c>
      <c r="F5" s="292" t="s">
        <v>2530</v>
      </c>
      <c r="G5" s="292" t="s">
        <v>5547</v>
      </c>
      <c r="H5" s="292" t="s">
        <v>6220</v>
      </c>
      <c r="I5" s="292" t="s">
        <v>2230</v>
      </c>
      <c r="J5" s="292" t="s">
        <v>1</v>
      </c>
      <c r="K5" s="292" t="s">
        <v>666</v>
      </c>
      <c r="L5" s="292" t="s">
        <v>2231</v>
      </c>
      <c r="M5" s="292" t="s">
        <v>12</v>
      </c>
      <c r="N5" s="302" t="s">
        <v>6221</v>
      </c>
      <c r="T5" s="18" t="s">
        <v>2524</v>
      </c>
      <c r="U5" s="19" t="s">
        <v>2435</v>
      </c>
      <c r="V5" s="19" t="s">
        <v>2525</v>
      </c>
      <c r="W5" s="19" t="s">
        <v>2442</v>
      </c>
      <c r="X5" s="19" t="s">
        <v>2443</v>
      </c>
      <c r="Y5" s="19" t="s">
        <v>2526</v>
      </c>
      <c r="Z5" s="20" t="s">
        <v>2935</v>
      </c>
      <c r="AA5" s="190" t="s">
        <v>5956</v>
      </c>
    </row>
    <row r="6" spans="1:27" ht="19" customHeight="1">
      <c r="A6" s="356" t="s">
        <v>2533</v>
      </c>
      <c r="B6" s="137" t="s">
        <v>6045</v>
      </c>
      <c r="C6" s="136" t="s">
        <v>6046</v>
      </c>
      <c r="D6" s="296" t="s">
        <v>6047</v>
      </c>
      <c r="E6" s="296" t="s">
        <v>6048</v>
      </c>
      <c r="F6" s="297">
        <v>3</v>
      </c>
      <c r="G6" s="296"/>
      <c r="H6" s="296"/>
      <c r="I6" s="136"/>
      <c r="J6" s="136"/>
      <c r="K6" s="136" t="s">
        <v>4</v>
      </c>
      <c r="L6" s="136" t="s">
        <v>6222</v>
      </c>
      <c r="M6" s="136" t="s">
        <v>6223</v>
      </c>
      <c r="N6" s="320"/>
      <c r="T6" s="21" t="s">
        <v>503</v>
      </c>
      <c r="U6" s="29">
        <f>COUNTIF($B$6:$B$110,$T6)</f>
        <v>0</v>
      </c>
      <c r="V6" s="29">
        <f>SUMIF($B$6:$B$110,$T6,$J$6:$J$110)</f>
        <v>0</v>
      </c>
      <c r="W6" s="29">
        <f>SUMIF($B$6:$B$110,$T6,$K$6:$K$110)</f>
        <v>0</v>
      </c>
      <c r="X6" s="29">
        <f>SUMIF($B$6:$B$110,$T6,$L$6:$L$110)</f>
        <v>0</v>
      </c>
      <c r="Y6" s="29" t="s">
        <v>2934</v>
      </c>
      <c r="Z6" s="158">
        <f>W6+X6</f>
        <v>0</v>
      </c>
    </row>
    <row r="7" spans="1:27" ht="19" customHeight="1">
      <c r="A7" s="356" t="s">
        <v>2533</v>
      </c>
      <c r="B7" s="137" t="s">
        <v>6049</v>
      </c>
      <c r="C7" s="136" t="s">
        <v>6046</v>
      </c>
      <c r="D7" s="296" t="s">
        <v>6050</v>
      </c>
      <c r="E7" s="296" t="s">
        <v>6051</v>
      </c>
      <c r="F7" s="297">
        <v>3</v>
      </c>
      <c r="G7" s="296"/>
      <c r="H7" s="296"/>
      <c r="I7" s="136"/>
      <c r="J7" s="136"/>
      <c r="K7" s="136" t="s">
        <v>4</v>
      </c>
      <c r="L7" s="136" t="s">
        <v>6222</v>
      </c>
      <c r="M7" s="136" t="s">
        <v>6223</v>
      </c>
      <c r="N7" s="320"/>
      <c r="T7" s="21" t="s">
        <v>510</v>
      </c>
      <c r="U7" s="29">
        <f>COUNTIF($B$6:$B$110,$T7)</f>
        <v>0</v>
      </c>
      <c r="V7" s="29">
        <f>SUMIF($B$6:$B$110,$T7,$J$6:$J$110)</f>
        <v>0</v>
      </c>
      <c r="W7" s="29">
        <f>SUMIF($B$6:$B$110,$T7,$K$6:$K$110)</f>
        <v>0</v>
      </c>
      <c r="X7" s="29">
        <f>SUMIF($B$6:$B$110,$T7,$L$6:$L$110)</f>
        <v>0</v>
      </c>
      <c r="Y7" s="29" t="s">
        <v>2934</v>
      </c>
      <c r="Z7" s="158">
        <f>W7+X7</f>
        <v>0</v>
      </c>
    </row>
    <row r="8" spans="1:27" ht="19" customHeight="1">
      <c r="A8" s="356" t="s">
        <v>2533</v>
      </c>
      <c r="B8" s="137" t="s">
        <v>6052</v>
      </c>
      <c r="C8" s="136" t="s">
        <v>6046</v>
      </c>
      <c r="D8" s="296" t="s">
        <v>6053</v>
      </c>
      <c r="E8" s="296" t="s">
        <v>6054</v>
      </c>
      <c r="F8" s="297">
        <v>3</v>
      </c>
      <c r="G8" s="296"/>
      <c r="H8" s="296"/>
      <c r="I8" s="136"/>
      <c r="J8" s="136"/>
      <c r="K8" s="136" t="s">
        <v>4</v>
      </c>
      <c r="L8" s="136" t="s">
        <v>6222</v>
      </c>
      <c r="M8" s="136" t="s">
        <v>6223</v>
      </c>
      <c r="N8" s="320"/>
      <c r="T8" s="21" t="s">
        <v>1047</v>
      </c>
      <c r="U8" s="29">
        <f>COUNTIF($B$6:$B$110,$T8)</f>
        <v>0</v>
      </c>
      <c r="V8" s="29">
        <f>SUMIF($B$6:$B$110,$T8,$J$6:$J$110)</f>
        <v>0</v>
      </c>
      <c r="W8" s="29">
        <f>SUMIF($B$6:$B$110,$T8,$K$6:$K$110)</f>
        <v>0</v>
      </c>
      <c r="X8" s="29">
        <f>SUMIF($B$6:$B$110,$T8,$L$6:$L$110)</f>
        <v>0</v>
      </c>
      <c r="Y8" s="29" t="s">
        <v>2934</v>
      </c>
      <c r="Z8" s="158">
        <f>W8+X8</f>
        <v>0</v>
      </c>
    </row>
    <row r="9" spans="1:27" ht="19" customHeight="1">
      <c r="A9" s="356" t="s">
        <v>2533</v>
      </c>
      <c r="B9" s="137" t="s">
        <v>6055</v>
      </c>
      <c r="C9" s="136" t="s">
        <v>6046</v>
      </c>
      <c r="D9" s="296" t="s">
        <v>6056</v>
      </c>
      <c r="E9" s="296" t="s">
        <v>6057</v>
      </c>
      <c r="F9" s="297">
        <v>3</v>
      </c>
      <c r="G9" s="296"/>
      <c r="H9" s="296"/>
      <c r="I9" s="136"/>
      <c r="J9" s="136"/>
      <c r="K9" s="136" t="s">
        <v>4</v>
      </c>
      <c r="L9" s="136" t="s">
        <v>6222</v>
      </c>
      <c r="M9" s="136" t="s">
        <v>6223</v>
      </c>
      <c r="N9" s="320"/>
      <c r="T9" s="21" t="s">
        <v>917</v>
      </c>
      <c r="U9" s="29">
        <f>COUNTIF($B$6:$B$110,$T9)</f>
        <v>0</v>
      </c>
      <c r="V9" s="29">
        <f>SUMIF($B$6:$B$110,$T9,$J$6:$J$110)</f>
        <v>0</v>
      </c>
      <c r="W9" s="29">
        <f>SUMIF($B$6:$B$110,$T9,$K$6:$K$110)</f>
        <v>0</v>
      </c>
      <c r="X9" s="29">
        <f>SUMIF($B$6:$B$110,$T9,$L$6:$L$110)</f>
        <v>0</v>
      </c>
      <c r="Y9" s="29" t="s">
        <v>2934</v>
      </c>
      <c r="Z9" s="158">
        <f>W9+X9</f>
        <v>0</v>
      </c>
    </row>
    <row r="10" spans="1:27" ht="19" customHeight="1">
      <c r="A10" s="356" t="s">
        <v>2533</v>
      </c>
      <c r="B10" s="137" t="s">
        <v>6058</v>
      </c>
      <c r="C10" s="136" t="s">
        <v>6046</v>
      </c>
      <c r="D10" s="296" t="s">
        <v>6059</v>
      </c>
      <c r="E10" s="296" t="s">
        <v>6060</v>
      </c>
      <c r="F10" s="297">
        <v>3</v>
      </c>
      <c r="G10" s="296"/>
      <c r="H10" s="296"/>
      <c r="I10" s="136"/>
      <c r="J10" s="136"/>
      <c r="K10" s="136" t="s">
        <v>4</v>
      </c>
      <c r="L10" s="136" t="s">
        <v>6222</v>
      </c>
      <c r="M10" s="136" t="s">
        <v>6223</v>
      </c>
      <c r="N10" s="320"/>
      <c r="T10" s="21" t="s">
        <v>513</v>
      </c>
      <c r="U10" s="29">
        <f>COUNTIF($B$6:$B$110,$T10)</f>
        <v>0</v>
      </c>
      <c r="V10" s="29">
        <f>SUMIF($B$6:$B$110,$T10,$J$6:$J$110)</f>
        <v>0</v>
      </c>
      <c r="W10" s="29">
        <f>SUMIF($B$6:$B$110,$T10,$K$6:$K$110)</f>
        <v>0</v>
      </c>
      <c r="X10" s="29">
        <f>SUMIF($B$6:$B$110,$T10,$L$6:$L$110)</f>
        <v>0</v>
      </c>
      <c r="Y10" s="29" t="s">
        <v>2934</v>
      </c>
      <c r="Z10" s="158">
        <f>W10+X10</f>
        <v>0</v>
      </c>
    </row>
    <row r="11" spans="1:27" ht="19" customHeight="1">
      <c r="A11" s="356" t="s">
        <v>2533</v>
      </c>
      <c r="B11" s="137" t="s">
        <v>6061</v>
      </c>
      <c r="C11" s="136" t="s">
        <v>6046</v>
      </c>
      <c r="D11" s="296" t="s">
        <v>6062</v>
      </c>
      <c r="E11" s="296" t="s">
        <v>6063</v>
      </c>
      <c r="F11" s="297">
        <v>2</v>
      </c>
      <c r="G11" s="296"/>
      <c r="H11" s="296"/>
      <c r="I11" s="136"/>
      <c r="J11" s="136"/>
      <c r="K11" s="136" t="s">
        <v>4</v>
      </c>
      <c r="L11" s="136" t="s">
        <v>6222</v>
      </c>
      <c r="M11" s="136" t="s">
        <v>6223</v>
      </c>
      <c r="N11" s="320"/>
      <c r="T11" s="21" t="s">
        <v>517</v>
      </c>
      <c r="U11" s="29">
        <f>COUNTIF($B$6:$B$110,$T11)</f>
        <v>0</v>
      </c>
      <c r="V11" s="29">
        <f>SUMIF($B$6:$B$110,$T11,$J$6:$J$110)</f>
        <v>0</v>
      </c>
      <c r="W11" s="29">
        <f>SUMIF($B$6:$B$110,$T11,$K$6:$K$110)</f>
        <v>0</v>
      </c>
      <c r="X11" s="29">
        <f>SUMIF($B$6:$B$110,$T11,$L$6:$L$110)</f>
        <v>0</v>
      </c>
      <c r="Y11" s="29" t="s">
        <v>2934</v>
      </c>
      <c r="Z11" s="158">
        <f>W11+X11</f>
        <v>0</v>
      </c>
    </row>
    <row r="12" spans="1:27" ht="19" customHeight="1">
      <c r="A12" s="356" t="s">
        <v>2533</v>
      </c>
      <c r="B12" s="137" t="s">
        <v>6064</v>
      </c>
      <c r="C12" s="136" t="s">
        <v>6046</v>
      </c>
      <c r="D12" s="296" t="s">
        <v>6065</v>
      </c>
      <c r="E12" s="296" t="s">
        <v>6066</v>
      </c>
      <c r="F12" s="297">
        <v>4</v>
      </c>
      <c r="G12" s="296"/>
      <c r="H12" s="296"/>
      <c r="I12" s="136"/>
      <c r="J12" s="136"/>
      <c r="K12" s="136" t="s">
        <v>4</v>
      </c>
      <c r="L12" s="136" t="s">
        <v>6222</v>
      </c>
      <c r="M12" s="136" t="s">
        <v>6223</v>
      </c>
      <c r="N12" s="320"/>
      <c r="T12" s="21" t="s">
        <v>519</v>
      </c>
      <c r="U12" s="29">
        <f>COUNTIF($B$6:$B$110,$T12)</f>
        <v>0</v>
      </c>
      <c r="V12" s="29">
        <f>SUMIF($B$6:$B$110,$T12,$J$6:$J$110)</f>
        <v>0</v>
      </c>
      <c r="W12" s="29">
        <f>SUMIF($B$6:$B$110,$T12,$K$6:$K$110)</f>
        <v>0</v>
      </c>
      <c r="X12" s="29">
        <f>SUMIF($B$6:$B$110,$T12,$L$6:$L$110)</f>
        <v>0</v>
      </c>
      <c r="Y12" s="29" t="s">
        <v>2934</v>
      </c>
      <c r="Z12" s="158">
        <f>W12+X12</f>
        <v>0</v>
      </c>
    </row>
    <row r="13" spans="1:27" ht="19" customHeight="1">
      <c r="A13" s="356" t="s">
        <v>2533</v>
      </c>
      <c r="B13" s="137" t="s">
        <v>6067</v>
      </c>
      <c r="C13" s="136" t="s">
        <v>6046</v>
      </c>
      <c r="D13" s="296" t="s">
        <v>6068</v>
      </c>
      <c r="E13" s="296" t="s">
        <v>6003</v>
      </c>
      <c r="F13" s="297">
        <v>2</v>
      </c>
      <c r="G13" s="296"/>
      <c r="H13" s="296"/>
      <c r="I13" s="136"/>
      <c r="J13" s="136"/>
      <c r="K13" s="136" t="s">
        <v>4</v>
      </c>
      <c r="L13" s="136" t="s">
        <v>6222</v>
      </c>
      <c r="M13" s="136" t="s">
        <v>6223</v>
      </c>
      <c r="N13" s="320"/>
      <c r="T13" s="21" t="s">
        <v>2396</v>
      </c>
      <c r="U13" s="29">
        <f>COUNTIF($B$6:$B$110,$T13)</f>
        <v>0</v>
      </c>
      <c r="V13" s="29">
        <f>SUMIF($B$6:$B$110,$T13,$J$6:$J$110)</f>
        <v>0</v>
      </c>
      <c r="W13" s="29">
        <f>SUMIF($B$6:$B$110,$T13,$K$6:$K$110)</f>
        <v>0</v>
      </c>
      <c r="X13" s="29">
        <f>SUMIF($B$6:$B$110,$T13,$L$6:$L$110)</f>
        <v>0</v>
      </c>
      <c r="Y13" s="29" t="s">
        <v>2934</v>
      </c>
      <c r="Z13" s="158">
        <f>W13+X13</f>
        <v>0</v>
      </c>
    </row>
    <row r="14" spans="1:27" ht="19" customHeight="1">
      <c r="A14" s="356" t="s">
        <v>2533</v>
      </c>
      <c r="B14" s="137" t="s">
        <v>6069</v>
      </c>
      <c r="C14" s="136" t="s">
        <v>6046</v>
      </c>
      <c r="D14" s="296" t="s">
        <v>6070</v>
      </c>
      <c r="E14" s="296" t="s">
        <v>6071</v>
      </c>
      <c r="F14" s="297">
        <v>2</v>
      </c>
      <c r="G14" s="296"/>
      <c r="H14" s="296"/>
      <c r="I14" s="136"/>
      <c r="J14" s="136"/>
      <c r="K14" s="136" t="s">
        <v>4</v>
      </c>
      <c r="L14" s="136" t="s">
        <v>6222</v>
      </c>
      <c r="M14" s="136" t="s">
        <v>6223</v>
      </c>
      <c r="N14" s="320"/>
      <c r="T14" s="21" t="s">
        <v>2400</v>
      </c>
      <c r="U14" s="29">
        <f>COUNTIF($B$6:$B$110,$T14)</f>
        <v>0</v>
      </c>
      <c r="V14" s="29">
        <f>SUMIF($B$6:$B$110,$T14,$J$6:$J$110)</f>
        <v>0</v>
      </c>
      <c r="W14" s="29">
        <f>SUMIF($B$6:$B$110,$T14,$K$6:$K$110)</f>
        <v>0</v>
      </c>
      <c r="X14" s="29">
        <f>SUMIF($B$6:$B$110,$T14,$L$6:$L$110)</f>
        <v>0</v>
      </c>
      <c r="Y14" s="29" t="s">
        <v>2934</v>
      </c>
      <c r="Z14" s="158">
        <f>W14+X14</f>
        <v>0</v>
      </c>
    </row>
    <row r="15" spans="1:27" ht="19" customHeight="1">
      <c r="A15" s="356" t="s">
        <v>2533</v>
      </c>
      <c r="B15" s="137" t="s">
        <v>6072</v>
      </c>
      <c r="C15" s="136" t="s">
        <v>6046</v>
      </c>
      <c r="D15" s="296" t="s">
        <v>6073</v>
      </c>
      <c r="E15" s="296" t="s">
        <v>6074</v>
      </c>
      <c r="F15" s="297">
        <v>3</v>
      </c>
      <c r="G15" s="296"/>
      <c r="H15" s="296"/>
      <c r="I15" s="136"/>
      <c r="J15" s="136"/>
      <c r="K15" s="136" t="s">
        <v>4</v>
      </c>
      <c r="L15" s="136" t="s">
        <v>6222</v>
      </c>
      <c r="M15" s="136" t="s">
        <v>6223</v>
      </c>
      <c r="N15" s="320"/>
      <c r="T15" s="21" t="s">
        <v>1241</v>
      </c>
      <c r="U15" s="29">
        <f>COUNTIF($B$6:$B$110,$T15)</f>
        <v>0</v>
      </c>
      <c r="V15" s="29">
        <f>SUMIF($B$6:$B$110,$T15,$J$6:$J$110)</f>
        <v>0</v>
      </c>
      <c r="W15" s="29">
        <f>SUMIF($B$6:$B$110,$T15,$K$6:$K$110)</f>
        <v>0</v>
      </c>
      <c r="X15" s="29">
        <f>SUMIF($B$6:$B$110,$T15,$L$6:$L$110)</f>
        <v>0</v>
      </c>
      <c r="Y15" s="29" t="s">
        <v>2934</v>
      </c>
      <c r="Z15" s="158">
        <f>W15+X15</f>
        <v>0</v>
      </c>
    </row>
    <row r="16" spans="1:27" ht="19" customHeight="1">
      <c r="A16" s="356" t="s">
        <v>2533</v>
      </c>
      <c r="B16" s="137" t="s">
        <v>6075</v>
      </c>
      <c r="C16" s="136" t="s">
        <v>6076</v>
      </c>
      <c r="D16" s="296" t="s">
        <v>503</v>
      </c>
      <c r="E16" s="296" t="s">
        <v>7200</v>
      </c>
      <c r="F16" s="297">
        <v>18</v>
      </c>
      <c r="G16" s="296"/>
      <c r="H16" s="296"/>
      <c r="I16" s="136"/>
      <c r="J16" s="136"/>
      <c r="K16" s="136" t="s">
        <v>4</v>
      </c>
      <c r="L16" s="136" t="s">
        <v>6222</v>
      </c>
      <c r="M16" s="136" t="s">
        <v>6223</v>
      </c>
      <c r="N16" s="320"/>
      <c r="T16" s="21" t="s">
        <v>2527</v>
      </c>
      <c r="U16" s="29" t="s">
        <v>2236</v>
      </c>
      <c r="V16" s="29">
        <v>0</v>
      </c>
      <c r="W16" s="29">
        <v>0</v>
      </c>
      <c r="X16" s="29">
        <v>0</v>
      </c>
      <c r="Y16" s="29" t="s">
        <v>2934</v>
      </c>
      <c r="Z16" s="158">
        <f>W16+X16</f>
        <v>0</v>
      </c>
    </row>
    <row r="17" spans="1:26" ht="19" customHeight="1">
      <c r="A17" s="356" t="s">
        <v>2533</v>
      </c>
      <c r="B17" s="137" t="s">
        <v>6077</v>
      </c>
      <c r="C17" s="136" t="s">
        <v>6076</v>
      </c>
      <c r="D17" s="296" t="s">
        <v>6078</v>
      </c>
      <c r="E17" s="296" t="s">
        <v>7201</v>
      </c>
      <c r="F17" s="297">
        <v>24</v>
      </c>
      <c r="G17" s="296"/>
      <c r="H17" s="296"/>
      <c r="I17" s="136"/>
      <c r="J17" s="136"/>
      <c r="K17" s="136" t="s">
        <v>4</v>
      </c>
      <c r="L17" s="136" t="s">
        <v>6222</v>
      </c>
      <c r="M17" s="136" t="s">
        <v>6223</v>
      </c>
      <c r="N17" s="320"/>
      <c r="T17" s="23" t="s">
        <v>7</v>
      </c>
      <c r="U17" s="30">
        <f>SUM(U6:U16)</f>
        <v>0</v>
      </c>
      <c r="V17" s="30">
        <v>1044</v>
      </c>
      <c r="W17" s="30" t="s">
        <v>6213</v>
      </c>
      <c r="X17" s="30">
        <v>626</v>
      </c>
      <c r="Y17" s="30">
        <f>'WBS(テスト)'!C70</f>
        <v>421</v>
      </c>
      <c r="Z17" s="159">
        <v>1044</v>
      </c>
    </row>
    <row r="18" spans="1:26" ht="19" customHeight="1">
      <c r="A18" s="356" t="s">
        <v>2533</v>
      </c>
      <c r="B18" s="137" t="s">
        <v>6079</v>
      </c>
      <c r="C18" s="136" t="s">
        <v>6076</v>
      </c>
      <c r="D18" s="296" t="s">
        <v>6080</v>
      </c>
      <c r="E18" s="296" t="s">
        <v>7202</v>
      </c>
      <c r="F18" s="297">
        <v>14</v>
      </c>
      <c r="G18" s="296"/>
      <c r="H18" s="296"/>
      <c r="I18" s="136"/>
      <c r="J18" s="136"/>
      <c r="K18" s="136" t="s">
        <v>4</v>
      </c>
      <c r="L18" s="136" t="s">
        <v>6222</v>
      </c>
      <c r="M18" s="136" t="s">
        <v>6223</v>
      </c>
      <c r="N18" s="320"/>
      <c r="T18" s="1"/>
      <c r="U18" s="1"/>
      <c r="V18" s="1"/>
      <c r="W18" s="1"/>
      <c r="X18" s="1"/>
      <c r="Y18" s="1"/>
      <c r="Z18" s="1"/>
    </row>
    <row r="19" spans="1:26" ht="19" customHeight="1">
      <c r="A19" s="356" t="s">
        <v>2533</v>
      </c>
      <c r="B19" s="137" t="s">
        <v>6081</v>
      </c>
      <c r="C19" s="136" t="s">
        <v>6076</v>
      </c>
      <c r="D19" s="296" t="s">
        <v>917</v>
      </c>
      <c r="E19" s="296" t="s">
        <v>7203</v>
      </c>
      <c r="F19" s="297">
        <v>14</v>
      </c>
      <c r="G19" s="296"/>
      <c r="H19" s="296"/>
      <c r="I19" s="136"/>
      <c r="J19" s="136"/>
      <c r="K19" s="136" t="s">
        <v>4</v>
      </c>
      <c r="L19" s="136" t="s">
        <v>6222</v>
      </c>
      <c r="M19" s="136" t="s">
        <v>6223</v>
      </c>
      <c r="N19" s="320"/>
      <c r="T19" s="2" t="s">
        <v>2528</v>
      </c>
      <c r="U19" s="1"/>
      <c r="V19" s="1"/>
      <c r="W19" s="1"/>
      <c r="X19" s="1"/>
      <c r="Y19" s="1"/>
      <c r="Z19" s="1"/>
    </row>
    <row r="20" spans="1:26" ht="19" customHeight="1">
      <c r="A20" s="356" t="s">
        <v>2533</v>
      </c>
      <c r="B20" s="137" t="s">
        <v>6082</v>
      </c>
      <c r="C20" s="136" t="s">
        <v>6076</v>
      </c>
      <c r="D20" s="296" t="s">
        <v>6083</v>
      </c>
      <c r="E20" s="296" t="s">
        <v>7204</v>
      </c>
      <c r="F20" s="297">
        <v>20</v>
      </c>
      <c r="G20" s="296"/>
      <c r="H20" s="296"/>
      <c r="I20" s="136"/>
      <c r="J20" s="136"/>
      <c r="K20" s="136" t="s">
        <v>4</v>
      </c>
      <c r="L20" s="136" t="s">
        <v>6222</v>
      </c>
      <c r="M20" s="136" t="s">
        <v>6223</v>
      </c>
      <c r="N20" s="320"/>
      <c r="T20" s="170" t="s">
        <v>2529</v>
      </c>
      <c r="U20" s="171" t="s">
        <v>2530</v>
      </c>
      <c r="V20" s="172" t="s">
        <v>2531</v>
      </c>
      <c r="W20" s="1"/>
      <c r="X20" s="1"/>
      <c r="Y20" s="1"/>
      <c r="Z20" s="1"/>
    </row>
    <row r="21" spans="1:26" ht="19" customHeight="1">
      <c r="A21" s="356" t="s">
        <v>2533</v>
      </c>
      <c r="B21" s="137" t="s">
        <v>6084</v>
      </c>
      <c r="C21" s="136" t="s">
        <v>6076</v>
      </c>
      <c r="D21" s="296" t="s">
        <v>517</v>
      </c>
      <c r="E21" s="296" t="s">
        <v>7205</v>
      </c>
      <c r="F21" s="297">
        <v>24</v>
      </c>
      <c r="G21" s="296"/>
      <c r="H21" s="296"/>
      <c r="I21" s="136"/>
      <c r="J21" s="136"/>
      <c r="K21" s="136" t="s">
        <v>4</v>
      </c>
      <c r="L21" s="136" t="s">
        <v>6222</v>
      </c>
      <c r="M21" s="136" t="s">
        <v>6223</v>
      </c>
      <c r="N21" s="320"/>
      <c r="T21" s="21" t="s">
        <v>2532</v>
      </c>
      <c r="U21" s="29">
        <v>693</v>
      </c>
      <c r="V21" s="27" t="s">
        <v>5955</v>
      </c>
      <c r="W21" s="1"/>
      <c r="X21" s="1"/>
      <c r="Y21" s="1"/>
      <c r="Z21" s="1"/>
    </row>
    <row r="22" spans="1:26" ht="19" customHeight="1">
      <c r="A22" s="356" t="s">
        <v>2533</v>
      </c>
      <c r="B22" s="137" t="s">
        <v>6085</v>
      </c>
      <c r="C22" s="136" t="s">
        <v>6076</v>
      </c>
      <c r="D22" s="296" t="s">
        <v>519</v>
      </c>
      <c r="E22" s="296" t="s">
        <v>7206</v>
      </c>
      <c r="F22" s="297">
        <v>14</v>
      </c>
      <c r="G22" s="296"/>
      <c r="H22" s="296"/>
      <c r="I22" s="136"/>
      <c r="J22" s="136"/>
      <c r="K22" s="136" t="s">
        <v>4</v>
      </c>
      <c r="L22" s="136" t="s">
        <v>6222</v>
      </c>
      <c r="M22" s="136" t="s">
        <v>6223</v>
      </c>
      <c r="N22" s="320"/>
      <c r="T22" s="21" t="s">
        <v>2533</v>
      </c>
      <c r="U22" s="29">
        <v>441</v>
      </c>
      <c r="V22" s="27" t="s">
        <v>6212</v>
      </c>
      <c r="W22" s="1"/>
      <c r="X22" s="1"/>
      <c r="Y22" s="1"/>
      <c r="Z22" s="1"/>
    </row>
    <row r="23" spans="1:26" ht="19" customHeight="1">
      <c r="A23" s="356" t="s">
        <v>2533</v>
      </c>
      <c r="B23" s="137" t="s">
        <v>6086</v>
      </c>
      <c r="C23" s="136" t="s">
        <v>6076</v>
      </c>
      <c r="D23" s="296" t="s">
        <v>2400</v>
      </c>
      <c r="E23" s="296" t="s">
        <v>7207</v>
      </c>
      <c r="F23" s="297">
        <v>20</v>
      </c>
      <c r="G23" s="296"/>
      <c r="H23" s="296"/>
      <c r="I23" s="136"/>
      <c r="J23" s="136"/>
      <c r="K23" s="136" t="s">
        <v>4</v>
      </c>
      <c r="L23" s="136" t="s">
        <v>6222</v>
      </c>
      <c r="M23" s="136" t="s">
        <v>6223</v>
      </c>
      <c r="N23" s="320"/>
      <c r="T23" s="21" t="s">
        <v>2534</v>
      </c>
      <c r="U23" s="29">
        <v>743</v>
      </c>
      <c r="V23" s="27" t="s">
        <v>6030</v>
      </c>
      <c r="W23" s="1"/>
      <c r="X23" s="1"/>
      <c r="Y23" s="1"/>
      <c r="Z23" s="1"/>
    </row>
    <row r="24" spans="1:26" ht="19" customHeight="1">
      <c r="A24" s="356" t="s">
        <v>2533</v>
      </c>
      <c r="B24" s="137" t="s">
        <v>6087</v>
      </c>
      <c r="C24" s="136" t="s">
        <v>6076</v>
      </c>
      <c r="D24" s="296" t="s">
        <v>6088</v>
      </c>
      <c r="E24" s="296" t="s">
        <v>7208</v>
      </c>
      <c r="F24" s="297">
        <v>18</v>
      </c>
      <c r="G24" s="296"/>
      <c r="H24" s="296"/>
      <c r="I24" s="136"/>
      <c r="J24" s="136"/>
      <c r="K24" s="136" t="s">
        <v>4</v>
      </c>
      <c r="L24" s="136" t="s">
        <v>6222</v>
      </c>
      <c r="M24" s="136" t="s">
        <v>6223</v>
      </c>
      <c r="N24" s="320"/>
      <c r="T24" s="21" t="s">
        <v>2535</v>
      </c>
      <c r="U24" s="29">
        <v>421</v>
      </c>
      <c r="V24" s="27" t="s">
        <v>5664</v>
      </c>
      <c r="W24" s="1"/>
      <c r="X24" s="1"/>
      <c r="Y24" s="1"/>
      <c r="Z24" s="1"/>
    </row>
    <row r="25" spans="1:26" ht="19" customHeight="1">
      <c r="A25" s="356" t="s">
        <v>2533</v>
      </c>
      <c r="B25" s="137" t="s">
        <v>6089</v>
      </c>
      <c r="C25" s="136" t="s">
        <v>6090</v>
      </c>
      <c r="D25" s="296" t="s">
        <v>6091</v>
      </c>
      <c r="E25" s="296" t="s">
        <v>6092</v>
      </c>
      <c r="F25" s="297">
        <v>7</v>
      </c>
      <c r="G25" s="296"/>
      <c r="H25" s="296"/>
      <c r="I25" s="136"/>
      <c r="J25" s="136"/>
      <c r="K25" s="136" t="s">
        <v>4</v>
      </c>
      <c r="L25" s="136" t="s">
        <v>6222</v>
      </c>
      <c r="M25" s="136" t="s">
        <v>6223</v>
      </c>
      <c r="N25" s="320"/>
      <c r="T25" s="168" t="s">
        <v>2536</v>
      </c>
      <c r="U25" s="162">
        <f>U22+U23+U24</f>
        <v>1605</v>
      </c>
      <c r="V25" s="169"/>
      <c r="W25" s="1"/>
      <c r="X25" s="1"/>
      <c r="Y25" s="1"/>
      <c r="Z25" s="1"/>
    </row>
    <row r="26" spans="1:26" ht="19" customHeight="1">
      <c r="A26" s="356" t="s">
        <v>2533</v>
      </c>
      <c r="B26" s="137" t="s">
        <v>6093</v>
      </c>
      <c r="C26" s="136" t="s">
        <v>6090</v>
      </c>
      <c r="D26" s="296" t="s">
        <v>6094</v>
      </c>
      <c r="E26" s="296" t="s">
        <v>6095</v>
      </c>
      <c r="F26" s="297">
        <v>12</v>
      </c>
      <c r="G26" s="296"/>
      <c r="H26" s="296"/>
      <c r="I26" s="136"/>
      <c r="J26" s="136"/>
      <c r="K26" s="136" t="s">
        <v>4</v>
      </c>
      <c r="L26" s="136" t="s">
        <v>6222</v>
      </c>
      <c r="M26" s="136" t="s">
        <v>6223</v>
      </c>
      <c r="N26" s="320"/>
      <c r="T26" s="23" t="s">
        <v>2537</v>
      </c>
      <c r="U26" s="30">
        <v>2298</v>
      </c>
      <c r="V26" s="173"/>
      <c r="W26" s="1" t="str">
        <f>IF(AND(ROUND(U25,0)=1244,ROUND(U26,0)=1488),"✓ レポート§9と一致","⚠ 不一致")</f>
        <v>⚠ 不一致</v>
      </c>
      <c r="X26" s="1"/>
      <c r="Y26" s="1"/>
      <c r="Z26" s="1"/>
    </row>
    <row r="27" spans="1:26" ht="19" customHeight="1">
      <c r="A27" s="356" t="s">
        <v>2533</v>
      </c>
      <c r="B27" s="137" t="s">
        <v>6096</v>
      </c>
      <c r="C27" s="136" t="s">
        <v>6090</v>
      </c>
      <c r="D27" s="296" t="s">
        <v>6097</v>
      </c>
      <c r="E27" s="296" t="s">
        <v>6003</v>
      </c>
      <c r="F27" s="297">
        <v>4</v>
      </c>
      <c r="G27" s="296"/>
      <c r="H27" s="296"/>
      <c r="I27" s="136"/>
      <c r="J27" s="136"/>
      <c r="K27" s="136" t="s">
        <v>4</v>
      </c>
      <c r="L27" s="136" t="s">
        <v>6222</v>
      </c>
      <c r="M27" s="136" t="s">
        <v>6223</v>
      </c>
      <c r="N27" s="320"/>
    </row>
    <row r="28" spans="1:26" ht="19" customHeight="1">
      <c r="A28" s="356" t="s">
        <v>2533</v>
      </c>
      <c r="B28" s="137" t="s">
        <v>6098</v>
      </c>
      <c r="C28" s="136" t="s">
        <v>6090</v>
      </c>
      <c r="D28" s="296" t="s">
        <v>6099</v>
      </c>
      <c r="E28" s="296" t="s">
        <v>6003</v>
      </c>
      <c r="F28" s="297">
        <v>3</v>
      </c>
      <c r="G28" s="296"/>
      <c r="H28" s="296"/>
      <c r="I28" s="136"/>
      <c r="J28" s="136"/>
      <c r="K28" s="136" t="s">
        <v>4</v>
      </c>
      <c r="L28" s="136" t="s">
        <v>6222</v>
      </c>
      <c r="M28" s="136" t="s">
        <v>6223</v>
      </c>
      <c r="N28" s="320"/>
      <c r="T28" s="167" t="s">
        <v>2538</v>
      </c>
    </row>
    <row r="29" spans="1:26" ht="19" customHeight="1">
      <c r="A29" s="356" t="s">
        <v>2533</v>
      </c>
      <c r="B29" s="137" t="s">
        <v>6100</v>
      </c>
      <c r="C29" s="136" t="s">
        <v>6090</v>
      </c>
      <c r="D29" s="296" t="s">
        <v>6101</v>
      </c>
      <c r="E29" s="296" t="s">
        <v>6003</v>
      </c>
      <c r="F29" s="297">
        <v>3</v>
      </c>
      <c r="G29" s="296"/>
      <c r="H29" s="296"/>
      <c r="I29" s="136"/>
      <c r="J29" s="136"/>
      <c r="K29" s="136" t="s">
        <v>4</v>
      </c>
      <c r="L29" s="136" t="s">
        <v>6222</v>
      </c>
      <c r="M29" s="136" t="s">
        <v>6223</v>
      </c>
      <c r="N29" s="320"/>
      <c r="T29" s="56" t="s">
        <v>2539</v>
      </c>
      <c r="U29" s="57" t="s">
        <v>2540</v>
      </c>
    </row>
    <row r="30" spans="1:26" ht="19" customHeight="1">
      <c r="A30" s="356" t="s">
        <v>2533</v>
      </c>
      <c r="B30" s="137" t="s">
        <v>6102</v>
      </c>
      <c r="C30" s="136" t="s">
        <v>6103</v>
      </c>
      <c r="D30" s="296" t="s">
        <v>6104</v>
      </c>
      <c r="E30" s="296" t="s">
        <v>6105</v>
      </c>
      <c r="F30" s="297">
        <v>4</v>
      </c>
      <c r="G30" s="296"/>
      <c r="H30" s="296"/>
      <c r="I30" s="136"/>
      <c r="J30" s="136"/>
      <c r="K30" s="136" t="s">
        <v>4</v>
      </c>
      <c r="L30" s="136" t="s">
        <v>6222</v>
      </c>
      <c r="M30" s="136" t="s">
        <v>6223</v>
      </c>
      <c r="N30" s="320"/>
      <c r="T30" s="56" t="s">
        <v>2541</v>
      </c>
      <c r="U30" s="57" t="s">
        <v>2542</v>
      </c>
      <c r="V30" t="s">
        <v>6031</v>
      </c>
    </row>
    <row r="31" spans="1:26" ht="19" customHeight="1">
      <c r="A31" s="356" t="s">
        <v>2533</v>
      </c>
      <c r="B31" s="137" t="s">
        <v>6106</v>
      </c>
      <c r="C31" s="136" t="s">
        <v>6103</v>
      </c>
      <c r="D31" s="296" t="s">
        <v>6107</v>
      </c>
      <c r="E31" s="296" t="s">
        <v>6108</v>
      </c>
      <c r="F31" s="297">
        <v>3</v>
      </c>
      <c r="G31" s="296"/>
      <c r="H31" s="296"/>
      <c r="I31" s="136"/>
      <c r="J31" s="136"/>
      <c r="K31" s="136" t="s">
        <v>4</v>
      </c>
      <c r="L31" s="136" t="s">
        <v>6222</v>
      </c>
      <c r="M31" s="136" t="s">
        <v>6223</v>
      </c>
      <c r="N31" s="320"/>
      <c r="T31" s="56" t="s">
        <v>2543</v>
      </c>
      <c r="U31" s="57" t="s">
        <v>2544</v>
      </c>
    </row>
    <row r="32" spans="1:26" ht="19" customHeight="1">
      <c r="A32" s="356" t="s">
        <v>2533</v>
      </c>
      <c r="B32" s="137" t="s">
        <v>6109</v>
      </c>
      <c r="C32" s="136" t="s">
        <v>6103</v>
      </c>
      <c r="D32" s="296" t="s">
        <v>6110</v>
      </c>
      <c r="E32" s="296" t="s">
        <v>6108</v>
      </c>
      <c r="F32" s="297">
        <v>3</v>
      </c>
      <c r="G32" s="296"/>
      <c r="H32" s="296"/>
      <c r="I32" s="136"/>
      <c r="J32" s="136"/>
      <c r="K32" s="136" t="s">
        <v>4</v>
      </c>
      <c r="L32" s="136" t="s">
        <v>6222</v>
      </c>
      <c r="M32" s="136" t="s">
        <v>6223</v>
      </c>
      <c r="N32" s="320"/>
      <c r="T32" s="56" t="s">
        <v>2545</v>
      </c>
      <c r="U32" s="57" t="s">
        <v>2546</v>
      </c>
    </row>
    <row r="33" spans="1:21" ht="19" customHeight="1">
      <c r="A33" s="356" t="s">
        <v>2533</v>
      </c>
      <c r="B33" s="137" t="s">
        <v>6111</v>
      </c>
      <c r="C33" s="136" t="s">
        <v>6103</v>
      </c>
      <c r="D33" s="296" t="s">
        <v>6112</v>
      </c>
      <c r="E33" s="296" t="s">
        <v>6113</v>
      </c>
      <c r="F33" s="297">
        <v>5</v>
      </c>
      <c r="G33" s="296"/>
      <c r="H33" s="296"/>
      <c r="I33" s="136"/>
      <c r="J33" s="136"/>
      <c r="K33" s="136" t="s">
        <v>4</v>
      </c>
      <c r="L33" s="136" t="s">
        <v>6222</v>
      </c>
      <c r="M33" s="136" t="s">
        <v>6223</v>
      </c>
      <c r="N33" s="320"/>
      <c r="T33" s="56" t="s">
        <v>2547</v>
      </c>
      <c r="U33" s="57" t="s">
        <v>2548</v>
      </c>
    </row>
    <row r="34" spans="1:21" ht="19" customHeight="1">
      <c r="A34" s="356" t="s">
        <v>2533</v>
      </c>
      <c r="B34" s="137" t="s">
        <v>6114</v>
      </c>
      <c r="C34" s="136" t="s">
        <v>6103</v>
      </c>
      <c r="D34" s="296" t="s">
        <v>6115</v>
      </c>
      <c r="E34" s="296" t="s">
        <v>6003</v>
      </c>
      <c r="F34" s="297">
        <v>3</v>
      </c>
      <c r="G34" s="296"/>
      <c r="H34" s="296"/>
      <c r="I34" s="136"/>
      <c r="J34" s="136"/>
      <c r="K34" s="136" t="s">
        <v>4</v>
      </c>
      <c r="L34" s="136" t="s">
        <v>6222</v>
      </c>
      <c r="M34" s="136" t="s">
        <v>6223</v>
      </c>
      <c r="N34" s="320"/>
      <c r="T34" s="56" t="s">
        <v>2549</v>
      </c>
      <c r="U34" s="57" t="s">
        <v>5519</v>
      </c>
    </row>
    <row r="35" spans="1:21" ht="19" customHeight="1">
      <c r="A35" s="356" t="s">
        <v>2533</v>
      </c>
      <c r="B35" s="137" t="s">
        <v>6116</v>
      </c>
      <c r="C35" s="136" t="s">
        <v>6103</v>
      </c>
      <c r="D35" s="296" t="s">
        <v>6117</v>
      </c>
      <c r="E35" s="296" t="s">
        <v>6118</v>
      </c>
      <c r="F35" s="297">
        <v>4</v>
      </c>
      <c r="G35" s="296"/>
      <c r="H35" s="296"/>
      <c r="I35" s="136"/>
      <c r="J35" s="136"/>
      <c r="K35" s="136" t="s">
        <v>4</v>
      </c>
      <c r="L35" s="136" t="s">
        <v>6222</v>
      </c>
      <c r="M35" s="136" t="s">
        <v>6223</v>
      </c>
      <c r="N35" s="320"/>
      <c r="T35" s="56" t="s">
        <v>2550</v>
      </c>
      <c r="U35" s="57" t="s">
        <v>5520</v>
      </c>
    </row>
    <row r="36" spans="1:21" ht="19" customHeight="1">
      <c r="A36" s="356" t="s">
        <v>2533</v>
      </c>
      <c r="B36" s="137" t="s">
        <v>6119</v>
      </c>
      <c r="C36" s="136" t="s">
        <v>6103</v>
      </c>
      <c r="D36" s="296" t="s">
        <v>6120</v>
      </c>
      <c r="E36" s="296" t="s">
        <v>6003</v>
      </c>
      <c r="F36" s="297">
        <v>3</v>
      </c>
      <c r="G36" s="296"/>
      <c r="H36" s="296"/>
      <c r="I36" s="136"/>
      <c r="J36" s="136"/>
      <c r="K36" s="136" t="s">
        <v>4</v>
      </c>
      <c r="L36" s="136" t="s">
        <v>6222</v>
      </c>
      <c r="M36" s="136" t="s">
        <v>6223</v>
      </c>
      <c r="N36" s="320"/>
    </row>
    <row r="37" spans="1:21" ht="19" customHeight="1">
      <c r="A37" s="356" t="s">
        <v>2533</v>
      </c>
      <c r="B37" s="137" t="s">
        <v>6121</v>
      </c>
      <c r="C37" s="136" t="s">
        <v>6103</v>
      </c>
      <c r="D37" s="296" t="s">
        <v>6122</v>
      </c>
      <c r="E37" s="296" t="s">
        <v>6123</v>
      </c>
      <c r="F37" s="297">
        <v>2</v>
      </c>
      <c r="G37" s="296"/>
      <c r="H37" s="296"/>
      <c r="I37" s="136"/>
      <c r="J37" s="136"/>
      <c r="K37" s="136" t="s">
        <v>4</v>
      </c>
      <c r="L37" s="136" t="s">
        <v>6222</v>
      </c>
      <c r="M37" s="136" t="s">
        <v>6223</v>
      </c>
      <c r="N37" s="320"/>
    </row>
    <row r="38" spans="1:21" ht="19" customHeight="1">
      <c r="A38" s="356" t="s">
        <v>2533</v>
      </c>
      <c r="B38" s="137" t="s">
        <v>6124</v>
      </c>
      <c r="C38" s="136" t="s">
        <v>6125</v>
      </c>
      <c r="D38" s="296" t="s">
        <v>6126</v>
      </c>
      <c r="E38" s="296" t="s">
        <v>6127</v>
      </c>
      <c r="F38" s="297">
        <v>12</v>
      </c>
      <c r="G38" s="296"/>
      <c r="H38" s="296"/>
      <c r="I38" s="136"/>
      <c r="J38" s="136"/>
      <c r="K38" s="136" t="s">
        <v>4</v>
      </c>
      <c r="L38" s="136" t="s">
        <v>6222</v>
      </c>
      <c r="M38" s="136" t="s">
        <v>6223</v>
      </c>
      <c r="N38" s="320"/>
    </row>
    <row r="39" spans="1:21" ht="19" customHeight="1">
      <c r="A39" s="356" t="s">
        <v>2533</v>
      </c>
      <c r="B39" s="137" t="s">
        <v>6128</v>
      </c>
      <c r="C39" s="136" t="s">
        <v>6125</v>
      </c>
      <c r="D39" s="296" t="s">
        <v>6129</v>
      </c>
      <c r="E39" s="296" t="s">
        <v>6130</v>
      </c>
      <c r="F39" s="297">
        <v>5</v>
      </c>
      <c r="G39" s="296"/>
      <c r="H39" s="296"/>
      <c r="I39" s="136"/>
      <c r="J39" s="136"/>
      <c r="K39" s="136" t="s">
        <v>4</v>
      </c>
      <c r="L39" s="136" t="s">
        <v>6222</v>
      </c>
      <c r="M39" s="136" t="s">
        <v>6223</v>
      </c>
      <c r="N39" s="320"/>
    </row>
    <row r="40" spans="1:21" ht="19" customHeight="1">
      <c r="A40" s="356" t="s">
        <v>2533</v>
      </c>
      <c r="B40" s="137" t="s">
        <v>6131</v>
      </c>
      <c r="C40" s="136" t="s">
        <v>6125</v>
      </c>
      <c r="D40" s="296" t="s">
        <v>6132</v>
      </c>
      <c r="E40" s="296" t="s">
        <v>6133</v>
      </c>
      <c r="F40" s="297">
        <v>4</v>
      </c>
      <c r="G40" s="296"/>
      <c r="H40" s="296"/>
      <c r="I40" s="136"/>
      <c r="J40" s="136"/>
      <c r="K40" s="136" t="s">
        <v>4</v>
      </c>
      <c r="L40" s="136" t="s">
        <v>6222</v>
      </c>
      <c r="M40" s="136" t="s">
        <v>6223</v>
      </c>
      <c r="N40" s="320"/>
    </row>
    <row r="41" spans="1:21" ht="19" customHeight="1">
      <c r="A41" s="356" t="s">
        <v>2533</v>
      </c>
      <c r="B41" s="137" t="s">
        <v>6134</v>
      </c>
      <c r="C41" s="136" t="s">
        <v>6125</v>
      </c>
      <c r="D41" s="296" t="s">
        <v>6135</v>
      </c>
      <c r="E41" s="296" t="s">
        <v>6136</v>
      </c>
      <c r="F41" s="297">
        <v>4</v>
      </c>
      <c r="G41" s="296"/>
      <c r="H41" s="296"/>
      <c r="I41" s="136"/>
      <c r="J41" s="136"/>
      <c r="K41" s="136" t="s">
        <v>4</v>
      </c>
      <c r="L41" s="136" t="s">
        <v>6222</v>
      </c>
      <c r="M41" s="136" t="s">
        <v>6223</v>
      </c>
      <c r="N41" s="320"/>
    </row>
    <row r="42" spans="1:21" ht="19" customHeight="1">
      <c r="A42" s="356" t="s">
        <v>2533</v>
      </c>
      <c r="B42" s="137" t="s">
        <v>6137</v>
      </c>
      <c r="C42" s="136" t="s">
        <v>6125</v>
      </c>
      <c r="D42" s="296" t="s">
        <v>6004</v>
      </c>
      <c r="E42" s="296" t="s">
        <v>6003</v>
      </c>
      <c r="F42" s="297">
        <v>6</v>
      </c>
      <c r="G42" s="296"/>
      <c r="H42" s="296"/>
      <c r="I42" s="136"/>
      <c r="J42" s="136"/>
      <c r="K42" s="136" t="s">
        <v>4</v>
      </c>
      <c r="L42" s="136" t="s">
        <v>6222</v>
      </c>
      <c r="M42" s="136" t="s">
        <v>6223</v>
      </c>
      <c r="N42" s="320"/>
    </row>
    <row r="43" spans="1:21" ht="19" customHeight="1">
      <c r="A43" s="356" t="s">
        <v>2533</v>
      </c>
      <c r="B43" s="137" t="s">
        <v>6138</v>
      </c>
      <c r="C43" s="136" t="s">
        <v>6125</v>
      </c>
      <c r="D43" s="296" t="s">
        <v>6139</v>
      </c>
      <c r="E43" s="296" t="s">
        <v>6140</v>
      </c>
      <c r="F43" s="297">
        <v>5</v>
      </c>
      <c r="G43" s="296"/>
      <c r="H43" s="296"/>
      <c r="I43" s="136"/>
      <c r="J43" s="136"/>
      <c r="K43" s="136" t="s">
        <v>4</v>
      </c>
      <c r="L43" s="136" t="s">
        <v>6222</v>
      </c>
      <c r="M43" s="136" t="s">
        <v>6223</v>
      </c>
      <c r="N43" s="320"/>
    </row>
    <row r="44" spans="1:21" ht="19" customHeight="1">
      <c r="A44" s="356" t="s">
        <v>2533</v>
      </c>
      <c r="B44" s="137" t="s">
        <v>6141</v>
      </c>
      <c r="C44" s="136" t="s">
        <v>6142</v>
      </c>
      <c r="D44" s="296" t="s">
        <v>6143</v>
      </c>
      <c r="E44" s="296" t="s">
        <v>6144</v>
      </c>
      <c r="F44" s="297">
        <v>8</v>
      </c>
      <c r="G44" s="296"/>
      <c r="H44" s="296"/>
      <c r="I44" s="136"/>
      <c r="J44" s="136"/>
      <c r="K44" s="136" t="s">
        <v>4</v>
      </c>
      <c r="L44" s="136" t="s">
        <v>6222</v>
      </c>
      <c r="M44" s="136" t="s">
        <v>6223</v>
      </c>
      <c r="N44" s="320"/>
    </row>
    <row r="45" spans="1:21" ht="19" customHeight="1">
      <c r="A45" s="356" t="s">
        <v>2533</v>
      </c>
      <c r="B45" s="137" t="s">
        <v>6145</v>
      </c>
      <c r="C45" s="136" t="s">
        <v>6142</v>
      </c>
      <c r="D45" s="296" t="s">
        <v>6146</v>
      </c>
      <c r="E45" s="296" t="s">
        <v>6003</v>
      </c>
      <c r="F45" s="297">
        <v>3</v>
      </c>
      <c r="G45" s="296"/>
      <c r="H45" s="296"/>
      <c r="I45" s="136"/>
      <c r="J45" s="136"/>
      <c r="K45" s="136" t="s">
        <v>4</v>
      </c>
      <c r="L45" s="136" t="s">
        <v>6222</v>
      </c>
      <c r="M45" s="136" t="s">
        <v>6223</v>
      </c>
      <c r="N45" s="320"/>
    </row>
    <row r="46" spans="1:21" ht="19" customHeight="1">
      <c r="A46" s="356" t="s">
        <v>2533</v>
      </c>
      <c r="B46" s="137" t="s">
        <v>6147</v>
      </c>
      <c r="C46" s="136" t="s">
        <v>6142</v>
      </c>
      <c r="D46" s="296" t="s">
        <v>6148</v>
      </c>
      <c r="E46" s="296" t="s">
        <v>6003</v>
      </c>
      <c r="F46" s="297">
        <v>2</v>
      </c>
      <c r="G46" s="296"/>
      <c r="H46" s="296"/>
      <c r="I46" s="136"/>
      <c r="J46" s="136"/>
      <c r="K46" s="136" t="s">
        <v>4</v>
      </c>
      <c r="L46" s="136" t="s">
        <v>6222</v>
      </c>
      <c r="M46" s="136" t="s">
        <v>6223</v>
      </c>
      <c r="N46" s="320"/>
    </row>
    <row r="47" spans="1:21" ht="19" customHeight="1">
      <c r="A47" s="356" t="s">
        <v>2533</v>
      </c>
      <c r="B47" s="137" t="s">
        <v>6149</v>
      </c>
      <c r="C47" s="136" t="s">
        <v>6150</v>
      </c>
      <c r="D47" s="296" t="s">
        <v>6151</v>
      </c>
      <c r="E47" s="296" t="s">
        <v>6152</v>
      </c>
      <c r="F47" s="297">
        <v>8</v>
      </c>
      <c r="G47" s="296"/>
      <c r="H47" s="296"/>
      <c r="I47" s="136"/>
      <c r="J47" s="136"/>
      <c r="K47" s="136" t="s">
        <v>4</v>
      </c>
      <c r="L47" s="136" t="s">
        <v>6222</v>
      </c>
      <c r="M47" s="136" t="s">
        <v>6223</v>
      </c>
      <c r="N47" s="320"/>
    </row>
    <row r="48" spans="1:21" ht="19" customHeight="1">
      <c r="A48" s="356" t="s">
        <v>2533</v>
      </c>
      <c r="B48" s="137" t="s">
        <v>6153</v>
      </c>
      <c r="C48" s="136" t="s">
        <v>6150</v>
      </c>
      <c r="D48" s="296" t="s">
        <v>6154</v>
      </c>
      <c r="E48" s="296" t="s">
        <v>6155</v>
      </c>
      <c r="F48" s="297">
        <v>4</v>
      </c>
      <c r="G48" s="296"/>
      <c r="H48" s="296"/>
      <c r="I48" s="136"/>
      <c r="J48" s="136"/>
      <c r="K48" s="136" t="s">
        <v>4</v>
      </c>
      <c r="L48" s="136" t="s">
        <v>6222</v>
      </c>
      <c r="M48" s="136" t="s">
        <v>6223</v>
      </c>
      <c r="N48" s="320"/>
    </row>
    <row r="49" spans="1:14" ht="19" customHeight="1">
      <c r="A49" s="356" t="s">
        <v>2533</v>
      </c>
      <c r="B49" s="137" t="s">
        <v>6156</v>
      </c>
      <c r="C49" s="136" t="s">
        <v>6150</v>
      </c>
      <c r="D49" s="296" t="s">
        <v>6157</v>
      </c>
      <c r="E49" s="296" t="s">
        <v>6158</v>
      </c>
      <c r="F49" s="297">
        <v>4</v>
      </c>
      <c r="G49" s="296"/>
      <c r="H49" s="296"/>
      <c r="I49" s="136"/>
      <c r="J49" s="136"/>
      <c r="K49" s="136" t="s">
        <v>4</v>
      </c>
      <c r="L49" s="136" t="s">
        <v>6222</v>
      </c>
      <c r="M49" s="136" t="s">
        <v>6223</v>
      </c>
      <c r="N49" s="320"/>
    </row>
    <row r="50" spans="1:14" ht="19" customHeight="1">
      <c r="A50" s="356" t="s">
        <v>2533</v>
      </c>
      <c r="B50" s="137" t="s">
        <v>6159</v>
      </c>
      <c r="C50" s="136" t="s">
        <v>6150</v>
      </c>
      <c r="D50" s="296" t="s">
        <v>6160</v>
      </c>
      <c r="E50" s="296" t="s">
        <v>6003</v>
      </c>
      <c r="F50" s="297">
        <v>4</v>
      </c>
      <c r="G50" s="296"/>
      <c r="H50" s="296"/>
      <c r="I50" s="136"/>
      <c r="J50" s="136"/>
      <c r="K50" s="136" t="s">
        <v>4</v>
      </c>
      <c r="L50" s="136" t="s">
        <v>6222</v>
      </c>
      <c r="M50" s="136" t="s">
        <v>6223</v>
      </c>
      <c r="N50" s="320"/>
    </row>
    <row r="51" spans="1:14" ht="19" customHeight="1">
      <c r="A51" s="356" t="s">
        <v>2533</v>
      </c>
      <c r="B51" s="137" t="s">
        <v>6161</v>
      </c>
      <c r="C51" s="136" t="s">
        <v>6150</v>
      </c>
      <c r="D51" s="296" t="s">
        <v>6162</v>
      </c>
      <c r="E51" s="296" t="s">
        <v>6003</v>
      </c>
      <c r="F51" s="297">
        <v>3</v>
      </c>
      <c r="G51" s="296"/>
      <c r="H51" s="296"/>
      <c r="I51" s="136"/>
      <c r="J51" s="136"/>
      <c r="K51" s="136" t="s">
        <v>4</v>
      </c>
      <c r="L51" s="136" t="s">
        <v>6222</v>
      </c>
      <c r="M51" s="136" t="s">
        <v>6223</v>
      </c>
      <c r="N51" s="320"/>
    </row>
    <row r="52" spans="1:14" ht="19" customHeight="1">
      <c r="A52" s="356" t="s">
        <v>2533</v>
      </c>
      <c r="B52" s="137" t="s">
        <v>6163</v>
      </c>
      <c r="C52" s="136" t="s">
        <v>6150</v>
      </c>
      <c r="D52" s="296" t="s">
        <v>6164</v>
      </c>
      <c r="E52" s="296" t="s">
        <v>2687</v>
      </c>
      <c r="F52" s="297">
        <v>3</v>
      </c>
      <c r="G52" s="296"/>
      <c r="H52" s="296"/>
      <c r="I52" s="136"/>
      <c r="J52" s="136"/>
      <c r="K52" s="136" t="s">
        <v>4</v>
      </c>
      <c r="L52" s="136" t="s">
        <v>6222</v>
      </c>
      <c r="M52" s="136" t="s">
        <v>6223</v>
      </c>
      <c r="N52" s="320"/>
    </row>
    <row r="53" spans="1:14" ht="19" customHeight="1">
      <c r="A53" s="356" t="s">
        <v>2533</v>
      </c>
      <c r="B53" s="137" t="s">
        <v>6165</v>
      </c>
      <c r="C53" s="136" t="s">
        <v>6166</v>
      </c>
      <c r="D53" s="296" t="s">
        <v>6167</v>
      </c>
      <c r="E53" s="296" t="s">
        <v>2683</v>
      </c>
      <c r="F53" s="297">
        <v>3</v>
      </c>
      <c r="G53" s="296"/>
      <c r="H53" s="296"/>
      <c r="I53" s="136"/>
      <c r="J53" s="136"/>
      <c r="K53" s="136" t="s">
        <v>4</v>
      </c>
      <c r="L53" s="136" t="s">
        <v>6222</v>
      </c>
      <c r="M53" s="136" t="s">
        <v>6223</v>
      </c>
      <c r="N53" s="320"/>
    </row>
    <row r="54" spans="1:14" ht="19" customHeight="1">
      <c r="A54" s="356" t="s">
        <v>2533</v>
      </c>
      <c r="B54" s="137" t="s">
        <v>6168</v>
      </c>
      <c r="C54" s="136" t="s">
        <v>6166</v>
      </c>
      <c r="D54" s="296" t="s">
        <v>6169</v>
      </c>
      <c r="E54" s="296" t="s">
        <v>6003</v>
      </c>
      <c r="F54" s="297">
        <v>4</v>
      </c>
      <c r="G54" s="296"/>
      <c r="H54" s="296"/>
      <c r="I54" s="136"/>
      <c r="J54" s="136"/>
      <c r="K54" s="136" t="s">
        <v>4</v>
      </c>
      <c r="L54" s="136" t="s">
        <v>6222</v>
      </c>
      <c r="M54" s="136" t="s">
        <v>6223</v>
      </c>
      <c r="N54" s="320"/>
    </row>
    <row r="55" spans="1:14" ht="19" customHeight="1">
      <c r="A55" s="356" t="s">
        <v>2533</v>
      </c>
      <c r="B55" s="137" t="s">
        <v>6170</v>
      </c>
      <c r="C55" s="136" t="s">
        <v>6166</v>
      </c>
      <c r="D55" s="296" t="s">
        <v>6171</v>
      </c>
      <c r="E55" s="296" t="s">
        <v>6003</v>
      </c>
      <c r="F55" s="297">
        <v>3</v>
      </c>
      <c r="G55" s="296"/>
      <c r="H55" s="296"/>
      <c r="I55" s="136"/>
      <c r="J55" s="136"/>
      <c r="K55" s="136" t="s">
        <v>4</v>
      </c>
      <c r="L55" s="136" t="s">
        <v>6222</v>
      </c>
      <c r="M55" s="136" t="s">
        <v>6223</v>
      </c>
      <c r="N55" s="320"/>
    </row>
    <row r="56" spans="1:14" ht="19" customHeight="1">
      <c r="A56" s="356" t="s">
        <v>2533</v>
      </c>
      <c r="B56" s="137" t="s">
        <v>6172</v>
      </c>
      <c r="C56" s="136" t="s">
        <v>6166</v>
      </c>
      <c r="D56" s="296" t="s">
        <v>6173</v>
      </c>
      <c r="E56" s="296" t="s">
        <v>6174</v>
      </c>
      <c r="F56" s="297">
        <v>3</v>
      </c>
      <c r="G56" s="296"/>
      <c r="H56" s="296"/>
      <c r="I56" s="136"/>
      <c r="J56" s="136"/>
      <c r="K56" s="136" t="s">
        <v>4</v>
      </c>
      <c r="L56" s="136" t="s">
        <v>6222</v>
      </c>
      <c r="M56" s="136" t="s">
        <v>6223</v>
      </c>
      <c r="N56" s="320"/>
    </row>
    <row r="57" spans="1:14" ht="19" customHeight="1">
      <c r="A57" s="356" t="s">
        <v>2533</v>
      </c>
      <c r="B57" s="137" t="s">
        <v>6175</v>
      </c>
      <c r="C57" s="136" t="s">
        <v>6166</v>
      </c>
      <c r="D57" s="296" t="s">
        <v>6176</v>
      </c>
      <c r="E57" s="296" t="s">
        <v>6003</v>
      </c>
      <c r="F57" s="297">
        <v>2</v>
      </c>
      <c r="G57" s="296"/>
      <c r="H57" s="296"/>
      <c r="I57" s="136"/>
      <c r="J57" s="136"/>
      <c r="K57" s="136" t="s">
        <v>4</v>
      </c>
      <c r="L57" s="136" t="s">
        <v>6222</v>
      </c>
      <c r="M57" s="136" t="s">
        <v>6223</v>
      </c>
      <c r="N57" s="320"/>
    </row>
    <row r="58" spans="1:14" ht="19" customHeight="1">
      <c r="A58" s="356" t="s">
        <v>2533</v>
      </c>
      <c r="B58" s="137" t="s">
        <v>6177</v>
      </c>
      <c r="C58" s="136" t="s">
        <v>6178</v>
      </c>
      <c r="D58" s="296" t="s">
        <v>6179</v>
      </c>
      <c r="E58" s="296" t="s">
        <v>6003</v>
      </c>
      <c r="F58" s="297">
        <v>3</v>
      </c>
      <c r="G58" s="296"/>
      <c r="H58" s="296"/>
      <c r="I58" s="136"/>
      <c r="J58" s="136"/>
      <c r="K58" s="136" t="s">
        <v>4</v>
      </c>
      <c r="L58" s="136" t="s">
        <v>6222</v>
      </c>
      <c r="M58" s="136" t="s">
        <v>6223</v>
      </c>
      <c r="N58" s="320"/>
    </row>
    <row r="59" spans="1:14" ht="19" customHeight="1">
      <c r="A59" s="356" t="s">
        <v>2533</v>
      </c>
      <c r="B59" s="137" t="s">
        <v>6180</v>
      </c>
      <c r="C59" s="136" t="s">
        <v>6178</v>
      </c>
      <c r="D59" s="296" t="s">
        <v>6181</v>
      </c>
      <c r="E59" s="296" t="s">
        <v>6182</v>
      </c>
      <c r="F59" s="297">
        <v>14</v>
      </c>
      <c r="G59" s="296"/>
      <c r="H59" s="296"/>
      <c r="I59" s="136"/>
      <c r="J59" s="136"/>
      <c r="K59" s="136" t="s">
        <v>4</v>
      </c>
      <c r="L59" s="136" t="s">
        <v>6222</v>
      </c>
      <c r="M59" s="136" t="s">
        <v>6223</v>
      </c>
      <c r="N59" s="320"/>
    </row>
    <row r="60" spans="1:14" ht="19" customHeight="1">
      <c r="A60" s="356" t="s">
        <v>2533</v>
      </c>
      <c r="B60" s="137" t="s">
        <v>6183</v>
      </c>
      <c r="C60" s="136" t="s">
        <v>6178</v>
      </c>
      <c r="D60" s="296" t="s">
        <v>6184</v>
      </c>
      <c r="E60" s="296" t="s">
        <v>6185</v>
      </c>
      <c r="F60" s="297">
        <v>12</v>
      </c>
      <c r="G60" s="296"/>
      <c r="H60" s="296"/>
      <c r="I60" s="136"/>
      <c r="J60" s="136"/>
      <c r="K60" s="136" t="s">
        <v>4</v>
      </c>
      <c r="L60" s="136" t="s">
        <v>6222</v>
      </c>
      <c r="M60" s="136" t="s">
        <v>6223</v>
      </c>
      <c r="N60" s="320"/>
    </row>
    <row r="61" spans="1:14" ht="19" customHeight="1">
      <c r="A61" s="356" t="s">
        <v>2533</v>
      </c>
      <c r="B61" s="137" t="s">
        <v>6186</v>
      </c>
      <c r="C61" s="136" t="s">
        <v>6178</v>
      </c>
      <c r="D61" s="296" t="s">
        <v>6187</v>
      </c>
      <c r="E61" s="296" t="s">
        <v>6188</v>
      </c>
      <c r="F61" s="297">
        <v>20</v>
      </c>
      <c r="G61" s="296"/>
      <c r="H61" s="296"/>
      <c r="I61" s="136"/>
      <c r="J61" s="136"/>
      <c r="K61" s="136" t="s">
        <v>4</v>
      </c>
      <c r="L61" s="136" t="s">
        <v>6222</v>
      </c>
      <c r="M61" s="136" t="s">
        <v>6223</v>
      </c>
      <c r="N61" s="320"/>
    </row>
    <row r="62" spans="1:14" ht="19" customHeight="1">
      <c r="A62" s="356" t="s">
        <v>2533</v>
      </c>
      <c r="B62" s="137" t="s">
        <v>6189</v>
      </c>
      <c r="C62" s="136" t="s">
        <v>6178</v>
      </c>
      <c r="D62" s="296" t="s">
        <v>6190</v>
      </c>
      <c r="E62" s="296" t="s">
        <v>6191</v>
      </c>
      <c r="F62" s="297">
        <v>18</v>
      </c>
      <c r="G62" s="296"/>
      <c r="H62" s="296"/>
      <c r="I62" s="136"/>
      <c r="J62" s="136"/>
      <c r="K62" s="136" t="s">
        <v>4</v>
      </c>
      <c r="L62" s="136" t="s">
        <v>6222</v>
      </c>
      <c r="M62" s="136" t="s">
        <v>6223</v>
      </c>
      <c r="N62" s="320"/>
    </row>
    <row r="63" spans="1:14" ht="19" customHeight="1">
      <c r="A63" s="356" t="s">
        <v>2533</v>
      </c>
      <c r="B63" s="137" t="s">
        <v>6192</v>
      </c>
      <c r="C63" s="136" t="s">
        <v>6178</v>
      </c>
      <c r="D63" s="296" t="s">
        <v>6193</v>
      </c>
      <c r="E63" s="296" t="s">
        <v>6194</v>
      </c>
      <c r="F63" s="297">
        <v>5</v>
      </c>
      <c r="G63" s="296"/>
      <c r="H63" s="296"/>
      <c r="I63" s="136"/>
      <c r="J63" s="136"/>
      <c r="K63" s="136" t="s">
        <v>4</v>
      </c>
      <c r="L63" s="136" t="s">
        <v>6222</v>
      </c>
      <c r="M63" s="136" t="s">
        <v>6223</v>
      </c>
      <c r="N63" s="320"/>
    </row>
    <row r="64" spans="1:14" ht="19" customHeight="1">
      <c r="A64" s="356" t="s">
        <v>2533</v>
      </c>
      <c r="B64" s="137" t="s">
        <v>6195</v>
      </c>
      <c r="C64" s="136" t="s">
        <v>6196</v>
      </c>
      <c r="D64" s="296" t="s">
        <v>6197</v>
      </c>
      <c r="E64" s="296" t="s">
        <v>6003</v>
      </c>
      <c r="F64" s="297">
        <v>4</v>
      </c>
      <c r="G64" s="296"/>
      <c r="H64" s="296"/>
      <c r="I64" s="136"/>
      <c r="J64" s="136"/>
      <c r="K64" s="136" t="s">
        <v>4</v>
      </c>
      <c r="L64" s="136" t="s">
        <v>6222</v>
      </c>
      <c r="M64" s="136" t="s">
        <v>6223</v>
      </c>
      <c r="N64" s="320"/>
    </row>
    <row r="65" spans="1:14" ht="19" customHeight="1">
      <c r="A65" s="356" t="s">
        <v>2533</v>
      </c>
      <c r="B65" s="137" t="s">
        <v>6198</v>
      </c>
      <c r="C65" s="136" t="s">
        <v>6196</v>
      </c>
      <c r="D65" s="296" t="s">
        <v>6199</v>
      </c>
      <c r="E65" s="296" t="s">
        <v>6003</v>
      </c>
      <c r="F65" s="297">
        <v>4</v>
      </c>
      <c r="G65" s="296"/>
      <c r="H65" s="296"/>
      <c r="I65" s="136"/>
      <c r="J65" s="136"/>
      <c r="K65" s="136" t="s">
        <v>4</v>
      </c>
      <c r="L65" s="136" t="s">
        <v>6222</v>
      </c>
      <c r="M65" s="136" t="s">
        <v>6223</v>
      </c>
      <c r="N65" s="320"/>
    </row>
    <row r="66" spans="1:14" ht="19" customHeight="1">
      <c r="A66" s="356" t="s">
        <v>2533</v>
      </c>
      <c r="B66" s="137" t="s">
        <v>6200</v>
      </c>
      <c r="C66" s="136" t="s">
        <v>6196</v>
      </c>
      <c r="D66" s="296" t="s">
        <v>6201</v>
      </c>
      <c r="E66" s="296" t="s">
        <v>6003</v>
      </c>
      <c r="F66" s="297">
        <v>4</v>
      </c>
      <c r="G66" s="296"/>
      <c r="H66" s="296"/>
      <c r="I66" s="136"/>
      <c r="J66" s="136"/>
      <c r="K66" s="136" t="s">
        <v>4</v>
      </c>
      <c r="L66" s="136" t="s">
        <v>6222</v>
      </c>
      <c r="M66" s="136" t="s">
        <v>6223</v>
      </c>
      <c r="N66" s="320"/>
    </row>
    <row r="67" spans="1:14" ht="19" customHeight="1">
      <c r="A67" s="356" t="s">
        <v>2533</v>
      </c>
      <c r="B67" s="137" t="s">
        <v>6202</v>
      </c>
      <c r="C67" s="136" t="s">
        <v>6196</v>
      </c>
      <c r="D67" s="296" t="s">
        <v>6203</v>
      </c>
      <c r="E67" s="296" t="s">
        <v>6003</v>
      </c>
      <c r="F67" s="297">
        <v>4</v>
      </c>
      <c r="G67" s="296"/>
      <c r="H67" s="296"/>
      <c r="I67" s="136"/>
      <c r="J67" s="136"/>
      <c r="K67" s="136" t="s">
        <v>4</v>
      </c>
      <c r="L67" s="136" t="s">
        <v>6222</v>
      </c>
      <c r="M67" s="136" t="s">
        <v>6223</v>
      </c>
      <c r="N67" s="320"/>
    </row>
    <row r="68" spans="1:14" ht="19" customHeight="1">
      <c r="A68" s="356" t="s">
        <v>2533</v>
      </c>
      <c r="B68" s="137" t="s">
        <v>6204</v>
      </c>
      <c r="C68" s="136" t="s">
        <v>6196</v>
      </c>
      <c r="D68" s="296" t="s">
        <v>6205</v>
      </c>
      <c r="E68" s="296" t="s">
        <v>6206</v>
      </c>
      <c r="F68" s="297">
        <v>5</v>
      </c>
      <c r="G68" s="296"/>
      <c r="H68" s="296"/>
      <c r="I68" s="136"/>
      <c r="J68" s="136"/>
      <c r="K68" s="136" t="s">
        <v>4</v>
      </c>
      <c r="L68" s="136" t="s">
        <v>6222</v>
      </c>
      <c r="M68" s="136" t="s">
        <v>6223</v>
      </c>
      <c r="N68" s="320"/>
    </row>
    <row r="69" spans="1:14" ht="19" customHeight="1">
      <c r="A69" s="356" t="s">
        <v>2533</v>
      </c>
      <c r="B69" s="137" t="s">
        <v>6207</v>
      </c>
      <c r="C69" s="136" t="s">
        <v>6196</v>
      </c>
      <c r="D69" s="296" t="s">
        <v>6208</v>
      </c>
      <c r="E69" s="296" t="s">
        <v>6209</v>
      </c>
      <c r="F69" s="297">
        <v>8</v>
      </c>
      <c r="G69" s="296"/>
      <c r="H69" s="296"/>
      <c r="I69" s="136"/>
      <c r="J69" s="136"/>
      <c r="K69" s="136" t="s">
        <v>4</v>
      </c>
      <c r="L69" s="136" t="s">
        <v>6222</v>
      </c>
      <c r="M69" s="136" t="s">
        <v>6223</v>
      </c>
      <c r="N69" s="320"/>
    </row>
    <row r="70" spans="1:14" ht="19" customHeight="1">
      <c r="A70" s="356" t="s">
        <v>6224</v>
      </c>
      <c r="B70" s="137" t="s">
        <v>2232</v>
      </c>
      <c r="C70" s="136" t="s">
        <v>503</v>
      </c>
      <c r="D70" s="296" t="s">
        <v>2233</v>
      </c>
      <c r="E70" s="296" t="s">
        <v>6225</v>
      </c>
      <c r="F70" s="297">
        <v>4</v>
      </c>
      <c r="G70" s="296" t="s">
        <v>5554</v>
      </c>
      <c r="H70" s="296" t="s">
        <v>2235</v>
      </c>
      <c r="I70" s="136" t="s">
        <v>2234</v>
      </c>
      <c r="J70" s="136" t="s">
        <v>2446</v>
      </c>
      <c r="K70" s="136" t="s">
        <v>2237</v>
      </c>
      <c r="L70" s="136" t="s">
        <v>2238</v>
      </c>
      <c r="M70" s="136" t="s">
        <v>2447</v>
      </c>
      <c r="N70" s="320" t="s">
        <v>6226</v>
      </c>
    </row>
    <row r="71" spans="1:14" ht="19" customHeight="1">
      <c r="A71" s="356" t="s">
        <v>6224</v>
      </c>
      <c r="B71" s="137" t="s">
        <v>2239</v>
      </c>
      <c r="C71" s="136" t="s">
        <v>503</v>
      </c>
      <c r="D71" s="296" t="s">
        <v>2240</v>
      </c>
      <c r="E71" s="296" t="s">
        <v>6227</v>
      </c>
      <c r="F71" s="297">
        <v>10</v>
      </c>
      <c r="G71" s="296" t="s">
        <v>5555</v>
      </c>
      <c r="H71" s="296" t="s">
        <v>2241</v>
      </c>
      <c r="I71" s="136" t="s">
        <v>2234</v>
      </c>
      <c r="J71" s="136" t="s">
        <v>2446</v>
      </c>
      <c r="K71" s="136" t="s">
        <v>2242</v>
      </c>
      <c r="L71" s="136" t="s">
        <v>2238</v>
      </c>
      <c r="M71" s="136" t="s">
        <v>2447</v>
      </c>
      <c r="N71" s="320" t="s">
        <v>6228</v>
      </c>
    </row>
    <row r="72" spans="1:14" ht="19" customHeight="1">
      <c r="A72" s="356" t="s">
        <v>6224</v>
      </c>
      <c r="B72" s="137" t="s">
        <v>2243</v>
      </c>
      <c r="C72" s="136" t="s">
        <v>503</v>
      </c>
      <c r="D72" s="296" t="s">
        <v>2244</v>
      </c>
      <c r="E72" s="296" t="s">
        <v>6229</v>
      </c>
      <c r="F72" s="297">
        <v>11</v>
      </c>
      <c r="G72" s="296" t="s">
        <v>5556</v>
      </c>
      <c r="H72" s="296" t="s">
        <v>2245</v>
      </c>
      <c r="I72" s="136" t="s">
        <v>2234</v>
      </c>
      <c r="J72" s="136" t="s">
        <v>2446</v>
      </c>
      <c r="K72" s="136" t="s">
        <v>2242</v>
      </c>
      <c r="L72" s="136" t="s">
        <v>2238</v>
      </c>
      <c r="M72" s="136" t="s">
        <v>2447</v>
      </c>
      <c r="N72" s="320" t="s">
        <v>6228</v>
      </c>
    </row>
    <row r="73" spans="1:14" ht="19" customHeight="1">
      <c r="A73" s="356" t="s">
        <v>6224</v>
      </c>
      <c r="B73" s="137" t="s">
        <v>2245</v>
      </c>
      <c r="C73" s="136" t="s">
        <v>503</v>
      </c>
      <c r="D73" s="296" t="s">
        <v>2246</v>
      </c>
      <c r="E73" s="296" t="s">
        <v>6230</v>
      </c>
      <c r="F73" s="297">
        <v>24</v>
      </c>
      <c r="G73" s="296" t="s">
        <v>5557</v>
      </c>
      <c r="H73" s="296" t="s">
        <v>2243</v>
      </c>
      <c r="I73" s="136" t="s">
        <v>2247</v>
      </c>
      <c r="J73" s="136" t="s">
        <v>2446</v>
      </c>
      <c r="K73" s="136" t="s">
        <v>2242</v>
      </c>
      <c r="L73" s="136" t="s">
        <v>2238</v>
      </c>
      <c r="M73" s="136" t="s">
        <v>2447</v>
      </c>
      <c r="N73" s="320" t="s">
        <v>6231</v>
      </c>
    </row>
    <row r="74" spans="1:14" ht="19" customHeight="1">
      <c r="A74" s="356" t="s">
        <v>6224</v>
      </c>
      <c r="B74" s="137" t="s">
        <v>2248</v>
      </c>
      <c r="C74" s="136" t="s">
        <v>503</v>
      </c>
      <c r="D74" s="296" t="s">
        <v>2249</v>
      </c>
      <c r="E74" s="296" t="s">
        <v>6722</v>
      </c>
      <c r="F74" s="297">
        <v>4</v>
      </c>
      <c r="G74" s="296" t="s">
        <v>5558</v>
      </c>
      <c r="H74" s="296" t="s">
        <v>2250</v>
      </c>
      <c r="I74" s="136" t="s">
        <v>2234</v>
      </c>
      <c r="J74" s="136" t="s">
        <v>2446</v>
      </c>
      <c r="K74" s="136" t="s">
        <v>2237</v>
      </c>
      <c r="L74" s="136" t="s">
        <v>2238</v>
      </c>
      <c r="M74" s="136" t="s">
        <v>2447</v>
      </c>
      <c r="N74" s="320" t="s">
        <v>6226</v>
      </c>
    </row>
    <row r="75" spans="1:14" ht="19" customHeight="1">
      <c r="A75" s="356" t="s">
        <v>6224</v>
      </c>
      <c r="B75" s="137" t="s">
        <v>2251</v>
      </c>
      <c r="C75" s="136" t="s">
        <v>503</v>
      </c>
      <c r="D75" s="296" t="s">
        <v>2252</v>
      </c>
      <c r="E75" s="296" t="s">
        <v>6232</v>
      </c>
      <c r="F75" s="297">
        <v>9</v>
      </c>
      <c r="G75" s="296" t="s">
        <v>5559</v>
      </c>
      <c r="H75" s="296" t="s">
        <v>2232</v>
      </c>
      <c r="I75" s="136" t="s">
        <v>2234</v>
      </c>
      <c r="J75" s="136" t="s">
        <v>2446</v>
      </c>
      <c r="K75" s="136" t="s">
        <v>2242</v>
      </c>
      <c r="L75" s="136" t="s">
        <v>2238</v>
      </c>
      <c r="M75" s="136" t="s">
        <v>2447</v>
      </c>
      <c r="N75" s="320" t="s">
        <v>6233</v>
      </c>
    </row>
    <row r="76" spans="1:14" ht="19" customHeight="1">
      <c r="A76" s="356" t="s">
        <v>6224</v>
      </c>
      <c r="B76" s="137" t="s">
        <v>2253</v>
      </c>
      <c r="C76" s="136" t="s">
        <v>503</v>
      </c>
      <c r="D76" s="296" t="s">
        <v>2254</v>
      </c>
      <c r="E76" s="296" t="s">
        <v>6234</v>
      </c>
      <c r="F76" s="297">
        <v>4</v>
      </c>
      <c r="G76" s="296" t="s">
        <v>5560</v>
      </c>
      <c r="H76" s="296" t="s">
        <v>2232</v>
      </c>
      <c r="I76" s="136" t="s">
        <v>2234</v>
      </c>
      <c r="J76" s="136" t="s">
        <v>2446</v>
      </c>
      <c r="K76" s="136" t="s">
        <v>2237</v>
      </c>
      <c r="L76" s="136" t="s">
        <v>2238</v>
      </c>
      <c r="M76" s="136" t="s">
        <v>2447</v>
      </c>
      <c r="N76" s="320" t="s">
        <v>6226</v>
      </c>
    </row>
    <row r="77" spans="1:14" ht="19" customHeight="1">
      <c r="A77" s="356" t="s">
        <v>6224</v>
      </c>
      <c r="B77" s="137" t="s">
        <v>2255</v>
      </c>
      <c r="C77" s="136" t="s">
        <v>503</v>
      </c>
      <c r="D77" s="296" t="s">
        <v>2256</v>
      </c>
      <c r="E77" s="296" t="s">
        <v>6235</v>
      </c>
      <c r="F77" s="297">
        <v>12</v>
      </c>
      <c r="G77" s="296" t="s">
        <v>5561</v>
      </c>
      <c r="H77" s="296" t="s">
        <v>2258</v>
      </c>
      <c r="I77" s="136" t="s">
        <v>2257</v>
      </c>
      <c r="J77" s="136" t="s">
        <v>2446</v>
      </c>
      <c r="K77" s="136" t="s">
        <v>2242</v>
      </c>
      <c r="L77" s="136" t="s">
        <v>2238</v>
      </c>
      <c r="M77" s="136" t="s">
        <v>2447</v>
      </c>
      <c r="N77" s="320" t="s">
        <v>6236</v>
      </c>
    </row>
    <row r="78" spans="1:14" ht="19" customHeight="1">
      <c r="A78" s="356" t="s">
        <v>6224</v>
      </c>
      <c r="B78" s="137" t="s">
        <v>2448</v>
      </c>
      <c r="C78" s="136" t="s">
        <v>503</v>
      </c>
      <c r="D78" s="296" t="s">
        <v>2449</v>
      </c>
      <c r="E78" s="296" t="s">
        <v>6237</v>
      </c>
      <c r="F78" s="297">
        <v>8</v>
      </c>
      <c r="G78" s="296" t="s">
        <v>5654</v>
      </c>
      <c r="H78" s="296" t="s">
        <v>2232</v>
      </c>
      <c r="I78" s="136" t="s">
        <v>2308</v>
      </c>
      <c r="J78" s="136" t="s">
        <v>2450</v>
      </c>
      <c r="K78" s="136" t="s">
        <v>2451</v>
      </c>
      <c r="L78" s="136" t="s">
        <v>2452</v>
      </c>
      <c r="M78" s="136" t="s">
        <v>2453</v>
      </c>
      <c r="N78" s="320" t="s">
        <v>6238</v>
      </c>
    </row>
    <row r="79" spans="1:14" ht="19" customHeight="1">
      <c r="A79" s="356" t="s">
        <v>6224</v>
      </c>
      <c r="B79" s="137" t="s">
        <v>2454</v>
      </c>
      <c r="C79" s="136" t="s">
        <v>503</v>
      </c>
      <c r="D79" s="296" t="s">
        <v>2455</v>
      </c>
      <c r="E79" s="296" t="s">
        <v>6239</v>
      </c>
      <c r="F79" s="297">
        <v>10</v>
      </c>
      <c r="G79" s="296" t="s">
        <v>5562</v>
      </c>
      <c r="H79" s="296" t="s">
        <v>2239</v>
      </c>
      <c r="I79" s="136" t="s">
        <v>2234</v>
      </c>
      <c r="J79" s="136" t="s">
        <v>2446</v>
      </c>
      <c r="K79" s="136" t="s">
        <v>2237</v>
      </c>
      <c r="L79" s="136" t="s">
        <v>2452</v>
      </c>
      <c r="M79" s="136" t="s">
        <v>2456</v>
      </c>
      <c r="N79" s="320" t="s">
        <v>6240</v>
      </c>
    </row>
    <row r="80" spans="1:14" ht="19" customHeight="1">
      <c r="A80" s="356" t="s">
        <v>6224</v>
      </c>
      <c r="B80" s="137" t="s">
        <v>2259</v>
      </c>
      <c r="C80" s="136" t="s">
        <v>510</v>
      </c>
      <c r="D80" s="296" t="s">
        <v>2260</v>
      </c>
      <c r="E80" s="296" t="s">
        <v>6241</v>
      </c>
      <c r="F80" s="297">
        <v>10</v>
      </c>
      <c r="G80" s="296" t="s">
        <v>5563</v>
      </c>
      <c r="H80" s="296" t="s">
        <v>2262</v>
      </c>
      <c r="I80" s="136" t="s">
        <v>2261</v>
      </c>
      <c r="J80" s="136" t="s">
        <v>2446</v>
      </c>
      <c r="K80" s="136" t="s">
        <v>2237</v>
      </c>
      <c r="L80" s="136" t="s">
        <v>2238</v>
      </c>
      <c r="M80" s="136" t="s">
        <v>2447</v>
      </c>
      <c r="N80" s="320" t="s">
        <v>6240</v>
      </c>
    </row>
    <row r="81" spans="1:14" ht="19" customHeight="1">
      <c r="A81" s="356" t="s">
        <v>6224</v>
      </c>
      <c r="B81" s="137" t="s">
        <v>2263</v>
      </c>
      <c r="C81" s="136" t="s">
        <v>510</v>
      </c>
      <c r="D81" s="296" t="s">
        <v>2264</v>
      </c>
      <c r="E81" s="296" t="s">
        <v>6242</v>
      </c>
      <c r="F81" s="297">
        <v>11</v>
      </c>
      <c r="G81" s="296" t="s">
        <v>5564</v>
      </c>
      <c r="H81" s="296" t="s">
        <v>2245</v>
      </c>
      <c r="I81" s="136" t="s">
        <v>2265</v>
      </c>
      <c r="J81" s="136" t="s">
        <v>2446</v>
      </c>
      <c r="K81" s="136" t="s">
        <v>2242</v>
      </c>
      <c r="L81" s="136" t="s">
        <v>2238</v>
      </c>
      <c r="M81" s="136" t="s">
        <v>2447</v>
      </c>
      <c r="N81" s="320" t="s">
        <v>6228</v>
      </c>
    </row>
    <row r="82" spans="1:14" ht="19" customHeight="1">
      <c r="A82" s="356" t="s">
        <v>6224</v>
      </c>
      <c r="B82" s="137" t="s">
        <v>2266</v>
      </c>
      <c r="C82" s="136" t="s">
        <v>510</v>
      </c>
      <c r="D82" s="296" t="s">
        <v>2267</v>
      </c>
      <c r="E82" s="296" t="s">
        <v>6243</v>
      </c>
      <c r="F82" s="297">
        <v>22</v>
      </c>
      <c r="G82" s="296" t="s">
        <v>5565</v>
      </c>
      <c r="H82" s="296" t="s">
        <v>2259</v>
      </c>
      <c r="I82" s="136" t="s">
        <v>2268</v>
      </c>
      <c r="J82" s="136" t="s">
        <v>2446</v>
      </c>
      <c r="K82" s="136" t="s">
        <v>2242</v>
      </c>
      <c r="L82" s="136" t="s">
        <v>2238</v>
      </c>
      <c r="M82" s="136" t="s">
        <v>2447</v>
      </c>
      <c r="N82" s="320" t="s">
        <v>6244</v>
      </c>
    </row>
    <row r="83" spans="1:14" ht="19" customHeight="1">
      <c r="A83" s="356" t="s">
        <v>6224</v>
      </c>
      <c r="B83" s="137" t="s">
        <v>2269</v>
      </c>
      <c r="C83" s="136" t="s">
        <v>510</v>
      </c>
      <c r="D83" s="296" t="s">
        <v>2270</v>
      </c>
      <c r="E83" s="296" t="s">
        <v>6245</v>
      </c>
      <c r="F83" s="297">
        <v>22</v>
      </c>
      <c r="G83" s="296" t="s">
        <v>5566</v>
      </c>
      <c r="H83" s="296" t="s">
        <v>2272</v>
      </c>
      <c r="I83" s="136" t="s">
        <v>2271</v>
      </c>
      <c r="J83" s="136" t="s">
        <v>2446</v>
      </c>
      <c r="K83" s="136" t="s">
        <v>2242</v>
      </c>
      <c r="L83" s="136" t="s">
        <v>2238</v>
      </c>
      <c r="M83" s="136" t="s">
        <v>2447</v>
      </c>
      <c r="N83" s="320" t="s">
        <v>6244</v>
      </c>
    </row>
    <row r="84" spans="1:14" ht="19" customHeight="1">
      <c r="A84" s="356" t="s">
        <v>6224</v>
      </c>
      <c r="B84" s="137" t="s">
        <v>2273</v>
      </c>
      <c r="C84" s="136" t="s">
        <v>510</v>
      </c>
      <c r="D84" s="296" t="s">
        <v>2274</v>
      </c>
      <c r="E84" s="296" t="s">
        <v>6246</v>
      </c>
      <c r="F84" s="297">
        <v>12</v>
      </c>
      <c r="G84" s="296" t="s">
        <v>5567</v>
      </c>
      <c r="H84" s="296" t="s">
        <v>2275</v>
      </c>
      <c r="I84" s="136" t="s">
        <v>2268</v>
      </c>
      <c r="J84" s="136" t="s">
        <v>2446</v>
      </c>
      <c r="K84" s="136" t="s">
        <v>2237</v>
      </c>
      <c r="L84" s="136" t="s">
        <v>2238</v>
      </c>
      <c r="M84" s="136" t="s">
        <v>2447</v>
      </c>
      <c r="N84" s="320" t="s">
        <v>6240</v>
      </c>
    </row>
    <row r="85" spans="1:14" ht="19" customHeight="1">
      <c r="A85" s="356" t="s">
        <v>6224</v>
      </c>
      <c r="B85" s="137" t="s">
        <v>2276</v>
      </c>
      <c r="C85" s="136" t="s">
        <v>510</v>
      </c>
      <c r="D85" s="296" t="s">
        <v>2277</v>
      </c>
      <c r="E85" s="296" t="s">
        <v>6247</v>
      </c>
      <c r="F85" s="297">
        <v>10</v>
      </c>
      <c r="G85" s="296" t="s">
        <v>5568</v>
      </c>
      <c r="H85" s="296" t="s">
        <v>2273</v>
      </c>
      <c r="I85" s="136" t="s">
        <v>2278</v>
      </c>
      <c r="J85" s="136" t="s">
        <v>2446</v>
      </c>
      <c r="K85" s="136" t="s">
        <v>2237</v>
      </c>
      <c r="L85" s="136" t="s">
        <v>2238</v>
      </c>
      <c r="M85" s="136" t="s">
        <v>2447</v>
      </c>
      <c r="N85" s="320" t="s">
        <v>6240</v>
      </c>
    </row>
    <row r="86" spans="1:14" ht="19" customHeight="1">
      <c r="A86" s="356" t="s">
        <v>6224</v>
      </c>
      <c r="B86" s="137" t="s">
        <v>2279</v>
      </c>
      <c r="C86" s="136" t="s">
        <v>510</v>
      </c>
      <c r="D86" s="296" t="s">
        <v>2280</v>
      </c>
      <c r="E86" s="296" t="s">
        <v>6248</v>
      </c>
      <c r="F86" s="297">
        <v>11</v>
      </c>
      <c r="G86" s="296" t="s">
        <v>5569</v>
      </c>
      <c r="H86" s="296" t="s">
        <v>2281</v>
      </c>
      <c r="I86" s="136" t="s">
        <v>2247</v>
      </c>
      <c r="J86" s="136" t="s">
        <v>2446</v>
      </c>
      <c r="K86" s="136" t="s">
        <v>2242</v>
      </c>
      <c r="L86" s="136" t="s">
        <v>2238</v>
      </c>
      <c r="M86" s="136" t="s">
        <v>2447</v>
      </c>
      <c r="N86" s="320" t="s">
        <v>6228</v>
      </c>
    </row>
    <row r="87" spans="1:14" ht="19" customHeight="1">
      <c r="A87" s="356" t="s">
        <v>6224</v>
      </c>
      <c r="B87" s="137" t="s">
        <v>2282</v>
      </c>
      <c r="C87" s="136" t="s">
        <v>510</v>
      </c>
      <c r="D87" s="296" t="s">
        <v>2283</v>
      </c>
      <c r="E87" s="296" t="s">
        <v>6249</v>
      </c>
      <c r="F87" s="297">
        <v>12</v>
      </c>
      <c r="G87" s="296" t="s">
        <v>5570</v>
      </c>
      <c r="H87" s="296" t="s">
        <v>2284</v>
      </c>
      <c r="I87" s="136" t="s">
        <v>2268</v>
      </c>
      <c r="J87" s="136" t="s">
        <v>2446</v>
      </c>
      <c r="K87" s="136" t="s">
        <v>2237</v>
      </c>
      <c r="L87" s="136" t="s">
        <v>2238</v>
      </c>
      <c r="M87" s="136" t="s">
        <v>2447</v>
      </c>
      <c r="N87" s="320" t="s">
        <v>6240</v>
      </c>
    </row>
    <row r="88" spans="1:14" ht="19" customHeight="1">
      <c r="A88" s="356" t="s">
        <v>6224</v>
      </c>
      <c r="B88" s="137" t="s">
        <v>2457</v>
      </c>
      <c r="C88" s="136" t="s">
        <v>510</v>
      </c>
      <c r="D88" s="296" t="s">
        <v>2458</v>
      </c>
      <c r="E88" s="296" t="s">
        <v>6250</v>
      </c>
      <c r="F88" s="297">
        <v>9</v>
      </c>
      <c r="G88" s="296" t="s">
        <v>5571</v>
      </c>
      <c r="H88" s="296" t="s">
        <v>2273</v>
      </c>
      <c r="I88" s="136" t="s">
        <v>2268</v>
      </c>
      <c r="J88" s="136" t="s">
        <v>2446</v>
      </c>
      <c r="K88" s="136" t="s">
        <v>2237</v>
      </c>
      <c r="L88" s="136" t="s">
        <v>2452</v>
      </c>
      <c r="M88" s="136" t="s">
        <v>916</v>
      </c>
      <c r="N88" s="320" t="s">
        <v>6240</v>
      </c>
    </row>
    <row r="89" spans="1:14" ht="19" customHeight="1">
      <c r="A89" s="356" t="s">
        <v>6224</v>
      </c>
      <c r="B89" s="137" t="s">
        <v>2459</v>
      </c>
      <c r="C89" s="136" t="s">
        <v>510</v>
      </c>
      <c r="D89" s="296" t="s">
        <v>2460</v>
      </c>
      <c r="E89" s="296" t="s">
        <v>6251</v>
      </c>
      <c r="F89" s="297">
        <v>9</v>
      </c>
      <c r="G89" s="296" t="s">
        <v>5572</v>
      </c>
      <c r="H89" s="296" t="s">
        <v>2269</v>
      </c>
      <c r="I89" s="136" t="s">
        <v>2268</v>
      </c>
      <c r="J89" s="136" t="s">
        <v>2446</v>
      </c>
      <c r="K89" s="136" t="s">
        <v>2237</v>
      </c>
      <c r="L89" s="136" t="s">
        <v>2452</v>
      </c>
      <c r="M89" s="136" t="s">
        <v>915</v>
      </c>
      <c r="N89" s="320" t="s">
        <v>6240</v>
      </c>
    </row>
    <row r="90" spans="1:14" ht="19" customHeight="1">
      <c r="A90" s="356" t="s">
        <v>6224</v>
      </c>
      <c r="B90" s="137" t="s">
        <v>2461</v>
      </c>
      <c r="C90" s="136" t="s">
        <v>510</v>
      </c>
      <c r="D90" s="296" t="s">
        <v>2462</v>
      </c>
      <c r="E90" s="296" t="s">
        <v>6252</v>
      </c>
      <c r="F90" s="297">
        <v>6</v>
      </c>
      <c r="G90" s="296" t="s">
        <v>5573</v>
      </c>
      <c r="H90" s="296" t="s">
        <v>2266</v>
      </c>
      <c r="I90" s="136" t="s">
        <v>2308</v>
      </c>
      <c r="J90" s="136" t="s">
        <v>2446</v>
      </c>
      <c r="K90" s="136" t="s">
        <v>2237</v>
      </c>
      <c r="L90" s="136" t="s">
        <v>2452</v>
      </c>
      <c r="M90" s="136" t="s">
        <v>914</v>
      </c>
      <c r="N90" s="320" t="s">
        <v>6226</v>
      </c>
    </row>
    <row r="91" spans="1:14" ht="19" customHeight="1">
      <c r="A91" s="356" t="s">
        <v>6224</v>
      </c>
      <c r="B91" s="137" t="s">
        <v>2285</v>
      </c>
      <c r="C91" s="136" t="s">
        <v>1047</v>
      </c>
      <c r="D91" s="296" t="s">
        <v>2286</v>
      </c>
      <c r="E91" s="296" t="s">
        <v>6253</v>
      </c>
      <c r="F91" s="297">
        <v>10</v>
      </c>
      <c r="G91" s="296" t="s">
        <v>5574</v>
      </c>
      <c r="H91" s="296" t="s">
        <v>2243</v>
      </c>
      <c r="I91" s="136" t="s">
        <v>2287</v>
      </c>
      <c r="J91" s="136" t="s">
        <v>2446</v>
      </c>
      <c r="K91" s="136" t="s">
        <v>2237</v>
      </c>
      <c r="L91" s="136" t="s">
        <v>2238</v>
      </c>
      <c r="M91" s="136" t="s">
        <v>2447</v>
      </c>
      <c r="N91" s="320" t="s">
        <v>6240</v>
      </c>
    </row>
    <row r="92" spans="1:14" ht="19" customHeight="1">
      <c r="A92" s="356" t="s">
        <v>6224</v>
      </c>
      <c r="B92" s="137" t="s">
        <v>2288</v>
      </c>
      <c r="C92" s="136" t="s">
        <v>1047</v>
      </c>
      <c r="D92" s="296" t="s">
        <v>2289</v>
      </c>
      <c r="E92" s="296" t="s">
        <v>6254</v>
      </c>
      <c r="F92" s="297">
        <v>5</v>
      </c>
      <c r="G92" s="296" t="s">
        <v>5575</v>
      </c>
      <c r="H92" s="296" t="s">
        <v>2285</v>
      </c>
      <c r="I92" s="136" t="s">
        <v>2290</v>
      </c>
      <c r="J92" s="136" t="s">
        <v>2446</v>
      </c>
      <c r="K92" s="136" t="s">
        <v>2237</v>
      </c>
      <c r="L92" s="136" t="s">
        <v>2238</v>
      </c>
      <c r="M92" s="136" t="s">
        <v>2447</v>
      </c>
      <c r="N92" s="320" t="s">
        <v>6226</v>
      </c>
    </row>
    <row r="93" spans="1:14" ht="19" customHeight="1">
      <c r="A93" s="356" t="s">
        <v>6224</v>
      </c>
      <c r="B93" s="137" t="s">
        <v>2291</v>
      </c>
      <c r="C93" s="136" t="s">
        <v>1047</v>
      </c>
      <c r="D93" s="296" t="s">
        <v>2292</v>
      </c>
      <c r="E93" s="296" t="s">
        <v>6255</v>
      </c>
      <c r="F93" s="297">
        <v>12</v>
      </c>
      <c r="G93" s="296" t="s">
        <v>5576</v>
      </c>
      <c r="H93" s="296" t="s">
        <v>2294</v>
      </c>
      <c r="I93" s="136" t="s">
        <v>2293</v>
      </c>
      <c r="J93" s="136" t="s">
        <v>2446</v>
      </c>
      <c r="K93" s="136" t="s">
        <v>2237</v>
      </c>
      <c r="L93" s="136" t="s">
        <v>2238</v>
      </c>
      <c r="M93" s="136" t="s">
        <v>2447</v>
      </c>
      <c r="N93" s="320" t="s">
        <v>6240</v>
      </c>
    </row>
    <row r="94" spans="1:14" ht="19" customHeight="1">
      <c r="A94" s="356" t="s">
        <v>6224</v>
      </c>
      <c r="B94" s="137" t="s">
        <v>2295</v>
      </c>
      <c r="C94" s="136" t="s">
        <v>1047</v>
      </c>
      <c r="D94" s="296" t="s">
        <v>2296</v>
      </c>
      <c r="E94" s="296" t="s">
        <v>6256</v>
      </c>
      <c r="F94" s="297">
        <v>12</v>
      </c>
      <c r="G94" s="296" t="s">
        <v>5577</v>
      </c>
      <c r="H94" s="296" t="s">
        <v>2297</v>
      </c>
      <c r="I94" s="136" t="s">
        <v>2268</v>
      </c>
      <c r="J94" s="136" t="s">
        <v>2446</v>
      </c>
      <c r="K94" s="136" t="s">
        <v>2237</v>
      </c>
      <c r="L94" s="136" t="s">
        <v>2238</v>
      </c>
      <c r="M94" s="136" t="s">
        <v>2447</v>
      </c>
      <c r="N94" s="320" t="s">
        <v>6240</v>
      </c>
    </row>
    <row r="95" spans="1:14" ht="19" customHeight="1">
      <c r="A95" s="356" t="s">
        <v>6224</v>
      </c>
      <c r="B95" s="137" t="s">
        <v>2298</v>
      </c>
      <c r="C95" s="136" t="s">
        <v>1047</v>
      </c>
      <c r="D95" s="296" t="s">
        <v>2299</v>
      </c>
      <c r="E95" s="296" t="s">
        <v>6257</v>
      </c>
      <c r="F95" s="297">
        <v>5</v>
      </c>
      <c r="G95" s="296" t="s">
        <v>5578</v>
      </c>
      <c r="H95" s="296" t="s">
        <v>2300</v>
      </c>
      <c r="I95" s="136" t="s">
        <v>2268</v>
      </c>
      <c r="J95" s="136" t="s">
        <v>2446</v>
      </c>
      <c r="K95" s="136" t="s">
        <v>2237</v>
      </c>
      <c r="L95" s="136" t="s">
        <v>2238</v>
      </c>
      <c r="M95" s="136" t="s">
        <v>2447</v>
      </c>
      <c r="N95" s="320" t="s">
        <v>6226</v>
      </c>
    </row>
    <row r="96" spans="1:14" ht="19" customHeight="1">
      <c r="A96" s="356" t="s">
        <v>6224</v>
      </c>
      <c r="B96" s="137" t="s">
        <v>2301</v>
      </c>
      <c r="C96" s="136" t="s">
        <v>1047</v>
      </c>
      <c r="D96" s="296" t="s">
        <v>2302</v>
      </c>
      <c r="E96" s="296" t="s">
        <v>6258</v>
      </c>
      <c r="F96" s="297">
        <v>10</v>
      </c>
      <c r="G96" s="296" t="s">
        <v>5579</v>
      </c>
      <c r="H96" s="296" t="s">
        <v>2304</v>
      </c>
      <c r="I96" s="136" t="s">
        <v>2303</v>
      </c>
      <c r="J96" s="136" t="s">
        <v>2446</v>
      </c>
      <c r="K96" s="136" t="s">
        <v>2305</v>
      </c>
      <c r="L96" s="136" t="s">
        <v>2238</v>
      </c>
      <c r="M96" s="136" t="s">
        <v>2447</v>
      </c>
      <c r="N96" s="320" t="s">
        <v>6240</v>
      </c>
    </row>
    <row r="97" spans="1:14" ht="19" customHeight="1">
      <c r="A97" s="356" t="s">
        <v>6224</v>
      </c>
      <c r="B97" s="137" t="s">
        <v>2306</v>
      </c>
      <c r="C97" s="136" t="s">
        <v>1047</v>
      </c>
      <c r="D97" s="296" t="s">
        <v>2307</v>
      </c>
      <c r="E97" s="296" t="s">
        <v>6259</v>
      </c>
      <c r="F97" s="297">
        <v>3</v>
      </c>
      <c r="G97" s="296" t="s">
        <v>5580</v>
      </c>
      <c r="H97" s="296" t="s">
        <v>2288</v>
      </c>
      <c r="I97" s="136" t="s">
        <v>2308</v>
      </c>
      <c r="J97" s="136" t="s">
        <v>2446</v>
      </c>
      <c r="K97" s="136" t="s">
        <v>2309</v>
      </c>
      <c r="L97" s="136" t="s">
        <v>2238</v>
      </c>
      <c r="M97" s="136" t="s">
        <v>2447</v>
      </c>
      <c r="N97" s="320" t="s">
        <v>6226</v>
      </c>
    </row>
    <row r="98" spans="1:14" ht="19" customHeight="1">
      <c r="A98" s="356" t="s">
        <v>6224</v>
      </c>
      <c r="B98" s="137" t="s">
        <v>2310</v>
      </c>
      <c r="C98" s="136" t="s">
        <v>1047</v>
      </c>
      <c r="D98" s="296" t="s">
        <v>2311</v>
      </c>
      <c r="E98" s="296" t="s">
        <v>6260</v>
      </c>
      <c r="F98" s="297">
        <v>4</v>
      </c>
      <c r="G98" s="296" t="s">
        <v>5581</v>
      </c>
      <c r="H98" s="296" t="s">
        <v>2294</v>
      </c>
      <c r="I98" s="136" t="s">
        <v>2290</v>
      </c>
      <c r="J98" s="136" t="s">
        <v>2446</v>
      </c>
      <c r="K98" s="136" t="s">
        <v>2242</v>
      </c>
      <c r="L98" s="136" t="s">
        <v>2238</v>
      </c>
      <c r="M98" s="136" t="s">
        <v>2447</v>
      </c>
      <c r="N98" s="320" t="s">
        <v>6226</v>
      </c>
    </row>
    <row r="99" spans="1:14" ht="19" customHeight="1">
      <c r="A99" s="356" t="s">
        <v>6224</v>
      </c>
      <c r="B99" s="137" t="s">
        <v>2312</v>
      </c>
      <c r="C99" s="136" t="s">
        <v>1047</v>
      </c>
      <c r="D99" s="296" t="s">
        <v>1429</v>
      </c>
      <c r="E99" s="296" t="s">
        <v>6261</v>
      </c>
      <c r="F99" s="297">
        <v>5</v>
      </c>
      <c r="G99" s="296" t="s">
        <v>5582</v>
      </c>
      <c r="H99" s="296" t="s">
        <v>2285</v>
      </c>
      <c r="I99" s="136" t="s">
        <v>2313</v>
      </c>
      <c r="J99" s="136" t="s">
        <v>2446</v>
      </c>
      <c r="K99" s="136" t="s">
        <v>2237</v>
      </c>
      <c r="L99" s="136" t="s">
        <v>2314</v>
      </c>
      <c r="M99" s="136" t="s">
        <v>2447</v>
      </c>
      <c r="N99" s="320" t="s">
        <v>6226</v>
      </c>
    </row>
    <row r="100" spans="1:14" ht="19" customHeight="1">
      <c r="A100" s="356" t="s">
        <v>6224</v>
      </c>
      <c r="B100" s="137" t="s">
        <v>2315</v>
      </c>
      <c r="C100" s="136" t="s">
        <v>1047</v>
      </c>
      <c r="D100" s="296" t="s">
        <v>1431</v>
      </c>
      <c r="E100" s="296" t="s">
        <v>6262</v>
      </c>
      <c r="F100" s="297">
        <v>4</v>
      </c>
      <c r="G100" s="296" t="s">
        <v>5583</v>
      </c>
      <c r="H100" s="296" t="s">
        <v>2291</v>
      </c>
      <c r="I100" s="136" t="s">
        <v>2234</v>
      </c>
      <c r="J100" s="136" t="s">
        <v>2446</v>
      </c>
      <c r="K100" s="136" t="s">
        <v>2237</v>
      </c>
      <c r="L100" s="136" t="s">
        <v>2314</v>
      </c>
      <c r="M100" s="136" t="s">
        <v>2447</v>
      </c>
      <c r="N100" s="320" t="s">
        <v>6226</v>
      </c>
    </row>
    <row r="101" spans="1:14" ht="19" customHeight="1">
      <c r="A101" s="356" t="s">
        <v>6224</v>
      </c>
      <c r="B101" s="137" t="s">
        <v>2463</v>
      </c>
      <c r="C101" s="136" t="s">
        <v>1047</v>
      </c>
      <c r="D101" s="296" t="s">
        <v>2464</v>
      </c>
      <c r="E101" s="296" t="s">
        <v>6263</v>
      </c>
      <c r="F101" s="297">
        <v>4</v>
      </c>
      <c r="G101" s="296" t="s">
        <v>5584</v>
      </c>
      <c r="H101" s="296" t="s">
        <v>2315</v>
      </c>
      <c r="I101" s="136" t="s">
        <v>2308</v>
      </c>
      <c r="J101" s="136" t="s">
        <v>2446</v>
      </c>
      <c r="K101" s="136" t="s">
        <v>2237</v>
      </c>
      <c r="L101" s="136" t="s">
        <v>2452</v>
      </c>
      <c r="M101" s="136" t="s">
        <v>1432</v>
      </c>
      <c r="N101" s="320" t="s">
        <v>6226</v>
      </c>
    </row>
    <row r="102" spans="1:14" ht="19" customHeight="1">
      <c r="A102" s="356" t="s">
        <v>6224</v>
      </c>
      <c r="B102" s="137" t="s">
        <v>2316</v>
      </c>
      <c r="C102" s="136" t="s">
        <v>917</v>
      </c>
      <c r="D102" s="296" t="s">
        <v>2317</v>
      </c>
      <c r="E102" s="296" t="s">
        <v>6264</v>
      </c>
      <c r="F102" s="297">
        <v>5</v>
      </c>
      <c r="G102" s="296" t="s">
        <v>5585</v>
      </c>
      <c r="H102" s="296" t="s">
        <v>2248</v>
      </c>
      <c r="I102" s="136" t="s">
        <v>2234</v>
      </c>
      <c r="J102" s="136" t="s">
        <v>2446</v>
      </c>
      <c r="K102" s="136" t="s">
        <v>2237</v>
      </c>
      <c r="L102" s="136" t="s">
        <v>2238</v>
      </c>
      <c r="M102" s="136" t="s">
        <v>2447</v>
      </c>
      <c r="N102" s="320" t="s">
        <v>6226</v>
      </c>
    </row>
    <row r="103" spans="1:14" ht="19" customHeight="1">
      <c r="A103" s="356" t="s">
        <v>6224</v>
      </c>
      <c r="B103" s="137" t="s">
        <v>2318</v>
      </c>
      <c r="C103" s="136" t="s">
        <v>917</v>
      </c>
      <c r="D103" s="296" t="s">
        <v>2319</v>
      </c>
      <c r="E103" s="296" t="s">
        <v>6265</v>
      </c>
      <c r="F103" s="297">
        <v>8</v>
      </c>
      <c r="G103" s="296" t="s">
        <v>5586</v>
      </c>
      <c r="H103" s="296" t="s">
        <v>2316</v>
      </c>
      <c r="I103" s="136" t="s">
        <v>2234</v>
      </c>
      <c r="J103" s="136" t="s">
        <v>2446</v>
      </c>
      <c r="K103" s="136" t="s">
        <v>2237</v>
      </c>
      <c r="L103" s="136" t="s">
        <v>2238</v>
      </c>
      <c r="M103" s="136" t="s">
        <v>2447</v>
      </c>
      <c r="N103" s="320" t="s">
        <v>6240</v>
      </c>
    </row>
    <row r="104" spans="1:14" ht="19" customHeight="1">
      <c r="A104" s="356" t="s">
        <v>6224</v>
      </c>
      <c r="B104" s="137" t="s">
        <v>2320</v>
      </c>
      <c r="C104" s="136" t="s">
        <v>917</v>
      </c>
      <c r="D104" s="296" t="s">
        <v>2321</v>
      </c>
      <c r="E104" s="296" t="s">
        <v>6266</v>
      </c>
      <c r="F104" s="297">
        <v>12</v>
      </c>
      <c r="G104" s="296" t="s">
        <v>5587</v>
      </c>
      <c r="H104" s="296" t="s">
        <v>2322</v>
      </c>
      <c r="I104" s="136" t="s">
        <v>2278</v>
      </c>
      <c r="J104" s="136" t="s">
        <v>2446</v>
      </c>
      <c r="K104" s="136" t="s">
        <v>2237</v>
      </c>
      <c r="L104" s="136" t="s">
        <v>2238</v>
      </c>
      <c r="M104" s="136" t="s">
        <v>2447</v>
      </c>
      <c r="N104" s="320" t="s">
        <v>6240</v>
      </c>
    </row>
    <row r="105" spans="1:14" ht="19" customHeight="1">
      <c r="A105" s="356" t="s">
        <v>6224</v>
      </c>
      <c r="B105" s="137" t="s">
        <v>2323</v>
      </c>
      <c r="C105" s="136" t="s">
        <v>917</v>
      </c>
      <c r="D105" s="296" t="s">
        <v>2324</v>
      </c>
      <c r="E105" s="296" t="s">
        <v>6267</v>
      </c>
      <c r="F105" s="297">
        <v>5</v>
      </c>
      <c r="G105" s="296" t="s">
        <v>5588</v>
      </c>
      <c r="H105" s="296" t="s">
        <v>2325</v>
      </c>
      <c r="I105" s="136" t="s">
        <v>2234</v>
      </c>
      <c r="J105" s="136" t="s">
        <v>2446</v>
      </c>
      <c r="K105" s="136" t="s">
        <v>2237</v>
      </c>
      <c r="L105" s="136" t="s">
        <v>2238</v>
      </c>
      <c r="M105" s="136" t="s">
        <v>2447</v>
      </c>
      <c r="N105" s="320" t="s">
        <v>6226</v>
      </c>
    </row>
    <row r="106" spans="1:14" ht="19" customHeight="1">
      <c r="A106" s="356" t="s">
        <v>6224</v>
      </c>
      <c r="B106" s="137" t="s">
        <v>2300</v>
      </c>
      <c r="C106" s="136" t="s">
        <v>917</v>
      </c>
      <c r="D106" s="296" t="s">
        <v>2326</v>
      </c>
      <c r="E106" s="296" t="s">
        <v>6268</v>
      </c>
      <c r="F106" s="297">
        <v>10</v>
      </c>
      <c r="G106" s="296" t="s">
        <v>5589</v>
      </c>
      <c r="H106" s="296" t="s">
        <v>2316</v>
      </c>
      <c r="I106" s="136" t="s">
        <v>2327</v>
      </c>
      <c r="J106" s="136" t="s">
        <v>2446</v>
      </c>
      <c r="K106" s="136" t="s">
        <v>2237</v>
      </c>
      <c r="L106" s="136" t="s">
        <v>2238</v>
      </c>
      <c r="M106" s="136" t="s">
        <v>2447</v>
      </c>
      <c r="N106" s="320" t="s">
        <v>6240</v>
      </c>
    </row>
    <row r="107" spans="1:14" ht="19" customHeight="1">
      <c r="A107" s="356" t="s">
        <v>6224</v>
      </c>
      <c r="B107" s="137" t="s">
        <v>2328</v>
      </c>
      <c r="C107" s="136" t="s">
        <v>917</v>
      </c>
      <c r="D107" s="296" t="s">
        <v>1463</v>
      </c>
      <c r="E107" s="296" t="s">
        <v>6269</v>
      </c>
      <c r="F107" s="297">
        <v>20</v>
      </c>
      <c r="G107" s="296" t="s">
        <v>5590</v>
      </c>
      <c r="H107" s="296" t="s">
        <v>2329</v>
      </c>
      <c r="I107" s="136" t="s">
        <v>2268</v>
      </c>
      <c r="J107" s="136" t="s">
        <v>2446</v>
      </c>
      <c r="K107" s="136" t="s">
        <v>2242</v>
      </c>
      <c r="L107" s="136" t="s">
        <v>2314</v>
      </c>
      <c r="M107" s="136" t="s">
        <v>2447</v>
      </c>
      <c r="N107" s="320" t="s">
        <v>6270</v>
      </c>
    </row>
    <row r="108" spans="1:14" ht="19" customHeight="1">
      <c r="A108" s="356" t="s">
        <v>6224</v>
      </c>
      <c r="B108" s="137" t="s">
        <v>2330</v>
      </c>
      <c r="C108" s="136" t="s">
        <v>917</v>
      </c>
      <c r="D108" s="296" t="s">
        <v>2331</v>
      </c>
      <c r="E108" s="296" t="s">
        <v>6271</v>
      </c>
      <c r="F108" s="297">
        <v>10</v>
      </c>
      <c r="G108" s="296" t="s">
        <v>5591</v>
      </c>
      <c r="H108" s="296" t="s">
        <v>2332</v>
      </c>
      <c r="I108" s="136" t="s">
        <v>2234</v>
      </c>
      <c r="J108" s="136" t="s">
        <v>2446</v>
      </c>
      <c r="K108" s="136" t="s">
        <v>2237</v>
      </c>
      <c r="L108" s="136" t="s">
        <v>2314</v>
      </c>
      <c r="M108" s="136" t="s">
        <v>2447</v>
      </c>
      <c r="N108" s="320" t="s">
        <v>6240</v>
      </c>
    </row>
    <row r="109" spans="1:14" ht="19" customHeight="1">
      <c r="A109" s="356" t="s">
        <v>6224</v>
      </c>
      <c r="B109" s="137" t="s">
        <v>2465</v>
      </c>
      <c r="C109" s="136" t="s">
        <v>917</v>
      </c>
      <c r="D109" s="296" t="s">
        <v>2466</v>
      </c>
      <c r="E109" s="296" t="s">
        <v>6272</v>
      </c>
      <c r="F109" s="297">
        <v>4</v>
      </c>
      <c r="G109" s="296" t="s">
        <v>5592</v>
      </c>
      <c r="H109" s="296" t="s">
        <v>2316</v>
      </c>
      <c r="I109" s="136" t="s">
        <v>2345</v>
      </c>
      <c r="J109" s="136" t="s">
        <v>2450</v>
      </c>
      <c r="K109" s="136" t="s">
        <v>2467</v>
      </c>
      <c r="L109" s="136" t="s">
        <v>2452</v>
      </c>
      <c r="M109" s="136" t="s">
        <v>1426</v>
      </c>
      <c r="N109" s="320" t="s">
        <v>6226</v>
      </c>
    </row>
    <row r="110" spans="1:14" ht="19" customHeight="1">
      <c r="A110" s="356" t="s">
        <v>6224</v>
      </c>
      <c r="B110" s="137" t="s">
        <v>2235</v>
      </c>
      <c r="C110" s="136" t="s">
        <v>513</v>
      </c>
      <c r="D110" s="296" t="s">
        <v>2333</v>
      </c>
      <c r="E110" s="296" t="s">
        <v>6273</v>
      </c>
      <c r="F110" s="297">
        <v>12</v>
      </c>
      <c r="G110" s="296" t="s">
        <v>5593</v>
      </c>
      <c r="H110" s="296" t="s">
        <v>6274</v>
      </c>
      <c r="I110" s="136" t="s">
        <v>2261</v>
      </c>
      <c r="J110" s="136" t="s">
        <v>2446</v>
      </c>
      <c r="K110" s="136" t="s">
        <v>2237</v>
      </c>
      <c r="L110" s="136" t="s">
        <v>2238</v>
      </c>
      <c r="M110" s="136" t="s">
        <v>2447</v>
      </c>
      <c r="N110" s="320" t="s">
        <v>6240</v>
      </c>
    </row>
    <row r="111" spans="1:14" ht="19" customHeight="1">
      <c r="A111" s="356" t="s">
        <v>6224</v>
      </c>
      <c r="B111" s="137" t="s">
        <v>2258</v>
      </c>
      <c r="C111" s="136" t="s">
        <v>513</v>
      </c>
      <c r="D111" s="296" t="s">
        <v>2335</v>
      </c>
      <c r="E111" s="296" t="s">
        <v>6275</v>
      </c>
      <c r="F111" s="297">
        <v>24</v>
      </c>
      <c r="G111" s="296" t="s">
        <v>5594</v>
      </c>
      <c r="H111" s="296" t="s">
        <v>6276</v>
      </c>
      <c r="I111" s="136" t="s">
        <v>2261</v>
      </c>
      <c r="J111" s="136" t="s">
        <v>2446</v>
      </c>
      <c r="K111" s="136" t="s">
        <v>2242</v>
      </c>
      <c r="L111" s="136" t="s">
        <v>2238</v>
      </c>
      <c r="M111" s="136" t="s">
        <v>2447</v>
      </c>
      <c r="N111" s="320" t="s">
        <v>6277</v>
      </c>
    </row>
    <row r="112" spans="1:14" ht="19" customHeight="1">
      <c r="A112" s="356" t="s">
        <v>6224</v>
      </c>
      <c r="B112" s="137" t="s">
        <v>2262</v>
      </c>
      <c r="C112" s="136" t="s">
        <v>513</v>
      </c>
      <c r="D112" s="296" t="s">
        <v>2336</v>
      </c>
      <c r="E112" s="296" t="s">
        <v>6278</v>
      </c>
      <c r="F112" s="297">
        <v>12</v>
      </c>
      <c r="G112" s="296" t="s">
        <v>5595</v>
      </c>
      <c r="H112" s="296" t="s">
        <v>6279</v>
      </c>
      <c r="I112" s="136" t="s">
        <v>2261</v>
      </c>
      <c r="J112" s="136" t="s">
        <v>2446</v>
      </c>
      <c r="K112" s="136" t="s">
        <v>2237</v>
      </c>
      <c r="L112" s="136" t="s">
        <v>2238</v>
      </c>
      <c r="M112" s="136" t="s">
        <v>2447</v>
      </c>
      <c r="N112" s="320" t="s">
        <v>6240</v>
      </c>
    </row>
    <row r="113" spans="1:14" ht="19" customHeight="1">
      <c r="A113" s="356" t="s">
        <v>6224</v>
      </c>
      <c r="B113" s="137" t="s">
        <v>2337</v>
      </c>
      <c r="C113" s="136" t="s">
        <v>513</v>
      </c>
      <c r="D113" s="296" t="s">
        <v>2338</v>
      </c>
      <c r="E113" s="296" t="s">
        <v>6280</v>
      </c>
      <c r="F113" s="297">
        <v>13</v>
      </c>
      <c r="G113" s="296" t="s">
        <v>5596</v>
      </c>
      <c r="H113" s="296" t="s">
        <v>6276</v>
      </c>
      <c r="I113" s="136" t="s">
        <v>2261</v>
      </c>
      <c r="J113" s="136" t="s">
        <v>2446</v>
      </c>
      <c r="K113" s="136" t="s">
        <v>2242</v>
      </c>
      <c r="L113" s="136" t="s">
        <v>2238</v>
      </c>
      <c r="M113" s="136" t="s">
        <v>2447</v>
      </c>
      <c r="N113" s="320" t="s">
        <v>6281</v>
      </c>
    </row>
    <row r="114" spans="1:14" ht="19" customHeight="1">
      <c r="A114" s="356" t="s">
        <v>6224</v>
      </c>
      <c r="B114" s="137" t="s">
        <v>2339</v>
      </c>
      <c r="C114" s="136" t="s">
        <v>513</v>
      </c>
      <c r="D114" s="296" t="s">
        <v>2340</v>
      </c>
      <c r="E114" s="296" t="s">
        <v>6282</v>
      </c>
      <c r="F114" s="297">
        <v>12</v>
      </c>
      <c r="G114" s="296" t="s">
        <v>5597</v>
      </c>
      <c r="H114" s="296" t="s">
        <v>6283</v>
      </c>
      <c r="I114" s="136" t="s">
        <v>2261</v>
      </c>
      <c r="J114" s="136" t="s">
        <v>2446</v>
      </c>
      <c r="K114" s="136" t="s">
        <v>2237</v>
      </c>
      <c r="L114" s="136" t="s">
        <v>2238</v>
      </c>
      <c r="M114" s="136" t="s">
        <v>2447</v>
      </c>
      <c r="N114" s="320" t="s">
        <v>6240</v>
      </c>
    </row>
    <row r="115" spans="1:14" ht="19" customHeight="1">
      <c r="A115" s="356" t="s">
        <v>6224</v>
      </c>
      <c r="B115" s="137" t="s">
        <v>2341</v>
      </c>
      <c r="C115" s="136" t="s">
        <v>513</v>
      </c>
      <c r="D115" s="296" t="s">
        <v>2342</v>
      </c>
      <c r="E115" s="296" t="s">
        <v>6284</v>
      </c>
      <c r="F115" s="297">
        <v>10</v>
      </c>
      <c r="G115" s="296" t="s">
        <v>5598</v>
      </c>
      <c r="H115" s="296" t="s">
        <v>6285</v>
      </c>
      <c r="I115" s="136" t="s">
        <v>2261</v>
      </c>
      <c r="J115" s="136" t="s">
        <v>2446</v>
      </c>
      <c r="K115" s="136" t="s">
        <v>2237</v>
      </c>
      <c r="L115" s="136" t="s">
        <v>2238</v>
      </c>
      <c r="M115" s="136" t="s">
        <v>2447</v>
      </c>
      <c r="N115" s="320" t="s">
        <v>6240</v>
      </c>
    </row>
    <row r="116" spans="1:14" ht="19" customHeight="1">
      <c r="A116" s="356" t="s">
        <v>6224</v>
      </c>
      <c r="B116" s="137" t="s">
        <v>2343</v>
      </c>
      <c r="C116" s="136" t="s">
        <v>513</v>
      </c>
      <c r="D116" s="296" t="s">
        <v>2344</v>
      </c>
      <c r="E116" s="296" t="s">
        <v>6286</v>
      </c>
      <c r="F116" s="297">
        <v>12</v>
      </c>
      <c r="G116" s="296" t="s">
        <v>5599</v>
      </c>
      <c r="H116" s="296" t="s">
        <v>6276</v>
      </c>
      <c r="I116" s="136" t="s">
        <v>2345</v>
      </c>
      <c r="J116" s="136" t="s">
        <v>2446</v>
      </c>
      <c r="K116" s="136" t="s">
        <v>2242</v>
      </c>
      <c r="L116" s="136" t="s">
        <v>2238</v>
      </c>
      <c r="M116" s="136" t="s">
        <v>2447</v>
      </c>
      <c r="N116" s="320" t="s">
        <v>6281</v>
      </c>
    </row>
    <row r="117" spans="1:14" ht="19" customHeight="1">
      <c r="A117" s="356" t="s">
        <v>6224</v>
      </c>
      <c r="B117" s="137" t="s">
        <v>2346</v>
      </c>
      <c r="C117" s="136" t="s">
        <v>513</v>
      </c>
      <c r="D117" s="296" t="s">
        <v>2347</v>
      </c>
      <c r="E117" s="296" t="s">
        <v>6287</v>
      </c>
      <c r="F117" s="297">
        <v>5</v>
      </c>
      <c r="G117" s="296" t="s">
        <v>5600</v>
      </c>
      <c r="H117" s="296" t="s">
        <v>6288</v>
      </c>
      <c r="I117" s="136" t="s">
        <v>2348</v>
      </c>
      <c r="J117" s="136" t="s">
        <v>2446</v>
      </c>
      <c r="K117" s="136" t="s">
        <v>2237</v>
      </c>
      <c r="L117" s="136" t="s">
        <v>2238</v>
      </c>
      <c r="M117" s="136" t="s">
        <v>2447</v>
      </c>
      <c r="N117" s="320" t="s">
        <v>6226</v>
      </c>
    </row>
    <row r="118" spans="1:14" ht="19" customHeight="1">
      <c r="A118" s="356" t="s">
        <v>6224</v>
      </c>
      <c r="B118" s="137" t="s">
        <v>2349</v>
      </c>
      <c r="C118" s="136" t="s">
        <v>513</v>
      </c>
      <c r="D118" s="296" t="s">
        <v>2350</v>
      </c>
      <c r="E118" s="296" t="s">
        <v>6289</v>
      </c>
      <c r="F118" s="297">
        <v>5</v>
      </c>
      <c r="G118" s="296" t="s">
        <v>5601</v>
      </c>
      <c r="H118" s="296" t="s">
        <v>6276</v>
      </c>
      <c r="I118" s="136" t="s">
        <v>2351</v>
      </c>
      <c r="J118" s="136" t="s">
        <v>2446</v>
      </c>
      <c r="K118" s="136" t="s">
        <v>2237</v>
      </c>
      <c r="L118" s="136" t="s">
        <v>2238</v>
      </c>
      <c r="M118" s="136" t="s">
        <v>2447</v>
      </c>
      <c r="N118" s="320" t="s">
        <v>6226</v>
      </c>
    </row>
    <row r="119" spans="1:14" ht="19" customHeight="1">
      <c r="A119" s="356" t="s">
        <v>6224</v>
      </c>
      <c r="B119" s="137" t="s">
        <v>2352</v>
      </c>
      <c r="C119" s="136" t="s">
        <v>513</v>
      </c>
      <c r="D119" s="296" t="s">
        <v>2353</v>
      </c>
      <c r="E119" s="296" t="s">
        <v>6290</v>
      </c>
      <c r="F119" s="297">
        <v>9</v>
      </c>
      <c r="G119" s="296" t="s">
        <v>5602</v>
      </c>
      <c r="H119" s="296" t="s">
        <v>6291</v>
      </c>
      <c r="I119" s="136" t="s">
        <v>2348</v>
      </c>
      <c r="J119" s="136" t="s">
        <v>2446</v>
      </c>
      <c r="K119" s="136" t="s">
        <v>2242</v>
      </c>
      <c r="L119" s="136" t="s">
        <v>2314</v>
      </c>
      <c r="M119" s="136" t="s">
        <v>2447</v>
      </c>
      <c r="N119" s="320" t="s">
        <v>6240</v>
      </c>
    </row>
    <row r="120" spans="1:14" ht="19" customHeight="1">
      <c r="A120" s="356" t="s">
        <v>6224</v>
      </c>
      <c r="B120" s="137" t="s">
        <v>2468</v>
      </c>
      <c r="C120" s="136" t="s">
        <v>513</v>
      </c>
      <c r="D120" s="296" t="s">
        <v>2469</v>
      </c>
      <c r="E120" s="296" t="s">
        <v>6292</v>
      </c>
      <c r="F120" s="297">
        <v>10</v>
      </c>
      <c r="G120" s="296" t="s">
        <v>5603</v>
      </c>
      <c r="H120" s="296" t="s">
        <v>6293</v>
      </c>
      <c r="I120" s="136" t="s">
        <v>2261</v>
      </c>
      <c r="J120" s="136" t="s">
        <v>2446</v>
      </c>
      <c r="K120" s="136" t="s">
        <v>2237</v>
      </c>
      <c r="L120" s="136" t="s">
        <v>2452</v>
      </c>
      <c r="M120" s="136" t="s">
        <v>2470</v>
      </c>
      <c r="N120" s="320" t="s">
        <v>6240</v>
      </c>
    </row>
    <row r="121" spans="1:14" ht="19" customHeight="1">
      <c r="A121" s="356" t="s">
        <v>6224</v>
      </c>
      <c r="B121" s="137" t="s">
        <v>2471</v>
      </c>
      <c r="C121" s="136" t="s">
        <v>513</v>
      </c>
      <c r="D121" s="296" t="s">
        <v>2472</v>
      </c>
      <c r="E121" s="296" t="s">
        <v>6294</v>
      </c>
      <c r="F121" s="297">
        <v>6</v>
      </c>
      <c r="G121" s="296" t="s">
        <v>5604</v>
      </c>
      <c r="H121" s="296" t="s">
        <v>6276</v>
      </c>
      <c r="I121" s="136" t="s">
        <v>2261</v>
      </c>
      <c r="J121" s="136" t="s">
        <v>2446</v>
      </c>
      <c r="K121" s="136" t="s">
        <v>2237</v>
      </c>
      <c r="L121" s="136" t="s">
        <v>2452</v>
      </c>
      <c r="M121" s="136" t="s">
        <v>2473</v>
      </c>
      <c r="N121" s="320" t="s">
        <v>6226</v>
      </c>
    </row>
    <row r="122" spans="1:14" ht="19" customHeight="1">
      <c r="A122" s="356" t="s">
        <v>6224</v>
      </c>
      <c r="B122" s="137" t="s">
        <v>2474</v>
      </c>
      <c r="C122" s="136" t="s">
        <v>513</v>
      </c>
      <c r="D122" s="296" t="s">
        <v>2475</v>
      </c>
      <c r="E122" s="296" t="s">
        <v>6295</v>
      </c>
      <c r="F122" s="297">
        <v>8</v>
      </c>
      <c r="G122" s="296" t="s">
        <v>5605</v>
      </c>
      <c r="H122" s="296" t="s">
        <v>6276</v>
      </c>
      <c r="I122" s="136" t="s">
        <v>2261</v>
      </c>
      <c r="J122" s="136" t="s">
        <v>2446</v>
      </c>
      <c r="K122" s="136" t="s">
        <v>2237</v>
      </c>
      <c r="L122" s="136" t="s">
        <v>2452</v>
      </c>
      <c r="M122" s="136" t="s">
        <v>2476</v>
      </c>
      <c r="N122" s="320" t="s">
        <v>6226</v>
      </c>
    </row>
    <row r="123" spans="1:14" ht="19" customHeight="1">
      <c r="A123" s="356" t="s">
        <v>6224</v>
      </c>
      <c r="B123" s="137" t="s">
        <v>5548</v>
      </c>
      <c r="C123" s="136" t="s">
        <v>513</v>
      </c>
      <c r="D123" s="296" t="s">
        <v>5549</v>
      </c>
      <c r="E123" s="296" t="s">
        <v>6296</v>
      </c>
      <c r="F123" s="297">
        <v>8</v>
      </c>
      <c r="G123" s="296" t="s">
        <v>5553</v>
      </c>
      <c r="H123" s="296" t="s">
        <v>6276</v>
      </c>
      <c r="I123" s="136" t="s">
        <v>2261</v>
      </c>
      <c r="J123" s="136" t="s">
        <v>2446</v>
      </c>
      <c r="K123" s="136" t="s">
        <v>5550</v>
      </c>
      <c r="L123" s="136" t="s">
        <v>5551</v>
      </c>
      <c r="M123" s="136" t="s">
        <v>5552</v>
      </c>
      <c r="N123" s="320" t="s">
        <v>6240</v>
      </c>
    </row>
    <row r="124" spans="1:14" ht="19" customHeight="1">
      <c r="A124" s="356" t="s">
        <v>6224</v>
      </c>
      <c r="B124" s="137" t="s">
        <v>2354</v>
      </c>
      <c r="C124" s="136" t="s">
        <v>517</v>
      </c>
      <c r="D124" s="296" t="s">
        <v>2355</v>
      </c>
      <c r="E124" s="296" t="s">
        <v>6297</v>
      </c>
      <c r="F124" s="297">
        <v>12</v>
      </c>
      <c r="G124" s="296" t="s">
        <v>5606</v>
      </c>
      <c r="H124" s="296" t="s">
        <v>2235</v>
      </c>
      <c r="I124" s="136" t="s">
        <v>2261</v>
      </c>
      <c r="J124" s="136" t="s">
        <v>2446</v>
      </c>
      <c r="K124" s="136" t="s">
        <v>2237</v>
      </c>
      <c r="L124" s="136" t="s">
        <v>2238</v>
      </c>
      <c r="M124" s="136" t="s">
        <v>2447</v>
      </c>
      <c r="N124" s="320" t="s">
        <v>6240</v>
      </c>
    </row>
    <row r="125" spans="1:14" ht="19" customHeight="1">
      <c r="A125" s="356" t="s">
        <v>6224</v>
      </c>
      <c r="B125" s="137" t="s">
        <v>2356</v>
      </c>
      <c r="C125" s="136" t="s">
        <v>517</v>
      </c>
      <c r="D125" s="296" t="s">
        <v>2357</v>
      </c>
      <c r="E125" s="296" t="s">
        <v>6298</v>
      </c>
      <c r="F125" s="297">
        <v>6</v>
      </c>
      <c r="G125" s="296" t="s">
        <v>5607</v>
      </c>
      <c r="H125" s="296" t="s">
        <v>2358</v>
      </c>
      <c r="I125" s="136" t="s">
        <v>2278</v>
      </c>
      <c r="J125" s="136" t="s">
        <v>2446</v>
      </c>
      <c r="K125" s="136" t="s">
        <v>2237</v>
      </c>
      <c r="L125" s="136" t="s">
        <v>2238</v>
      </c>
      <c r="M125" s="136" t="s">
        <v>2447</v>
      </c>
      <c r="N125" s="320" t="s">
        <v>6226</v>
      </c>
    </row>
    <row r="126" spans="1:14" ht="19" customHeight="1">
      <c r="A126" s="356" t="s">
        <v>6224</v>
      </c>
      <c r="B126" s="137" t="s">
        <v>2359</v>
      </c>
      <c r="C126" s="136" t="s">
        <v>517</v>
      </c>
      <c r="D126" s="296" t="s">
        <v>2360</v>
      </c>
      <c r="E126" s="296" t="s">
        <v>6299</v>
      </c>
      <c r="F126" s="297">
        <v>22</v>
      </c>
      <c r="G126" s="296" t="s">
        <v>5608</v>
      </c>
      <c r="H126" s="296" t="s">
        <v>2361</v>
      </c>
      <c r="I126" s="136" t="s">
        <v>2268</v>
      </c>
      <c r="J126" s="136" t="s">
        <v>2446</v>
      </c>
      <c r="K126" s="136" t="s">
        <v>2237</v>
      </c>
      <c r="L126" s="136" t="s">
        <v>2238</v>
      </c>
      <c r="M126" s="136" t="s">
        <v>2447</v>
      </c>
      <c r="N126" s="320" t="s">
        <v>6238</v>
      </c>
    </row>
    <row r="127" spans="1:14" ht="19" customHeight="1">
      <c r="A127" s="356" t="s">
        <v>6224</v>
      </c>
      <c r="B127" s="137" t="s">
        <v>2362</v>
      </c>
      <c r="C127" s="136" t="s">
        <v>517</v>
      </c>
      <c r="D127" s="296" t="s">
        <v>2363</v>
      </c>
      <c r="E127" s="296" t="s">
        <v>6300</v>
      </c>
      <c r="F127" s="297">
        <v>12</v>
      </c>
      <c r="G127" s="296" t="s">
        <v>5609</v>
      </c>
      <c r="H127" s="296" t="s">
        <v>2365</v>
      </c>
      <c r="I127" s="136" t="s">
        <v>2364</v>
      </c>
      <c r="J127" s="136" t="s">
        <v>2446</v>
      </c>
      <c r="K127" s="136" t="s">
        <v>2237</v>
      </c>
      <c r="L127" s="136" t="s">
        <v>2238</v>
      </c>
      <c r="M127" s="136" t="s">
        <v>2447</v>
      </c>
      <c r="N127" s="320" t="s">
        <v>6240</v>
      </c>
    </row>
    <row r="128" spans="1:14" ht="19" customHeight="1">
      <c r="A128" s="356" t="s">
        <v>6224</v>
      </c>
      <c r="B128" s="137" t="s">
        <v>2366</v>
      </c>
      <c r="C128" s="136" t="s">
        <v>517</v>
      </c>
      <c r="D128" s="296" t="s">
        <v>2367</v>
      </c>
      <c r="E128" s="296" t="s">
        <v>6301</v>
      </c>
      <c r="F128" s="297">
        <v>5</v>
      </c>
      <c r="G128" s="296" t="s">
        <v>5610</v>
      </c>
      <c r="H128" s="296" t="s">
        <v>2368</v>
      </c>
      <c r="I128" s="136" t="s">
        <v>2261</v>
      </c>
      <c r="J128" s="136" t="s">
        <v>2446</v>
      </c>
      <c r="K128" s="136" t="s">
        <v>2237</v>
      </c>
      <c r="L128" s="136" t="s">
        <v>2238</v>
      </c>
      <c r="M128" s="136" t="s">
        <v>2447</v>
      </c>
      <c r="N128" s="320" t="s">
        <v>6226</v>
      </c>
    </row>
    <row r="129" spans="1:14" ht="19" customHeight="1">
      <c r="A129" s="356" t="s">
        <v>6224</v>
      </c>
      <c r="B129" s="137" t="s">
        <v>2369</v>
      </c>
      <c r="C129" s="136" t="s">
        <v>517</v>
      </c>
      <c r="D129" s="296" t="s">
        <v>2370</v>
      </c>
      <c r="E129" s="296" t="s">
        <v>6302</v>
      </c>
      <c r="F129" s="297">
        <v>22</v>
      </c>
      <c r="G129" s="296" t="s">
        <v>5611</v>
      </c>
      <c r="H129" s="296" t="s">
        <v>2371</v>
      </c>
      <c r="I129" s="136" t="s">
        <v>2345</v>
      </c>
      <c r="J129" s="136" t="s">
        <v>2446</v>
      </c>
      <c r="K129" s="136" t="s">
        <v>2237</v>
      </c>
      <c r="L129" s="136" t="s">
        <v>2238</v>
      </c>
      <c r="M129" s="136" t="s">
        <v>2447</v>
      </c>
      <c r="N129" s="320" t="s">
        <v>6238</v>
      </c>
    </row>
    <row r="130" spans="1:14" ht="19" customHeight="1">
      <c r="A130" s="356" t="s">
        <v>6224</v>
      </c>
      <c r="B130" s="137" t="s">
        <v>2372</v>
      </c>
      <c r="C130" s="136" t="s">
        <v>517</v>
      </c>
      <c r="D130" s="296" t="s">
        <v>2373</v>
      </c>
      <c r="E130" s="296" t="s">
        <v>6303</v>
      </c>
      <c r="F130" s="297">
        <v>10</v>
      </c>
      <c r="G130" s="296" t="s">
        <v>5612</v>
      </c>
      <c r="H130" s="296" t="s">
        <v>2262</v>
      </c>
      <c r="I130" s="136" t="s">
        <v>2261</v>
      </c>
      <c r="J130" s="136" t="s">
        <v>2446</v>
      </c>
      <c r="K130" s="136" t="s">
        <v>2237</v>
      </c>
      <c r="L130" s="136" t="s">
        <v>2238</v>
      </c>
      <c r="M130" s="136" t="s">
        <v>2447</v>
      </c>
      <c r="N130" s="320" t="s">
        <v>6240</v>
      </c>
    </row>
    <row r="131" spans="1:14" ht="19" customHeight="1">
      <c r="A131" s="356" t="s">
        <v>6224</v>
      </c>
      <c r="B131" s="137" t="s">
        <v>2374</v>
      </c>
      <c r="C131" s="136" t="s">
        <v>517</v>
      </c>
      <c r="D131" s="296" t="s">
        <v>2375</v>
      </c>
      <c r="E131" s="296" t="s">
        <v>6304</v>
      </c>
      <c r="F131" s="297">
        <v>5</v>
      </c>
      <c r="G131" s="296" t="s">
        <v>5613</v>
      </c>
      <c r="H131" s="296" t="s">
        <v>2232</v>
      </c>
      <c r="I131" s="136" t="s">
        <v>2234</v>
      </c>
      <c r="J131" s="136" t="s">
        <v>2446</v>
      </c>
      <c r="K131" s="136" t="s">
        <v>2237</v>
      </c>
      <c r="L131" s="136" t="s">
        <v>2238</v>
      </c>
      <c r="M131" s="136" t="s">
        <v>2447</v>
      </c>
      <c r="N131" s="320" t="s">
        <v>6226</v>
      </c>
    </row>
    <row r="132" spans="1:14" ht="19" customHeight="1">
      <c r="A132" s="356" t="s">
        <v>6224</v>
      </c>
      <c r="B132" s="137" t="s">
        <v>2376</v>
      </c>
      <c r="C132" s="136" t="s">
        <v>517</v>
      </c>
      <c r="D132" s="296" t="s">
        <v>2377</v>
      </c>
      <c r="E132" s="296" t="s">
        <v>6305</v>
      </c>
      <c r="F132" s="297">
        <v>9</v>
      </c>
      <c r="G132" s="296" t="s">
        <v>5614</v>
      </c>
      <c r="H132" s="296" t="s">
        <v>2337</v>
      </c>
      <c r="I132" s="136" t="s">
        <v>2378</v>
      </c>
      <c r="J132" s="136" t="s">
        <v>2446</v>
      </c>
      <c r="K132" s="136" t="s">
        <v>2237</v>
      </c>
      <c r="L132" s="136" t="s">
        <v>2238</v>
      </c>
      <c r="M132" s="136" t="s">
        <v>2447</v>
      </c>
      <c r="N132" s="320" t="s">
        <v>6240</v>
      </c>
    </row>
    <row r="133" spans="1:14" ht="19" customHeight="1">
      <c r="A133" s="356" t="s">
        <v>6224</v>
      </c>
      <c r="B133" s="137" t="s">
        <v>2379</v>
      </c>
      <c r="C133" s="136" t="s">
        <v>517</v>
      </c>
      <c r="D133" s="296" t="s">
        <v>2380</v>
      </c>
      <c r="E133" s="296" t="s">
        <v>6306</v>
      </c>
      <c r="F133" s="297">
        <v>10</v>
      </c>
      <c r="G133" s="296" t="s">
        <v>5615</v>
      </c>
      <c r="H133" s="296" t="s">
        <v>2381</v>
      </c>
      <c r="I133" s="136" t="s">
        <v>2271</v>
      </c>
      <c r="J133" s="136" t="s">
        <v>2446</v>
      </c>
      <c r="K133" s="136" t="s">
        <v>2237</v>
      </c>
      <c r="L133" s="136" t="s">
        <v>2314</v>
      </c>
      <c r="M133" s="136" t="s">
        <v>2447</v>
      </c>
      <c r="N133" s="320" t="s">
        <v>6240</v>
      </c>
    </row>
    <row r="134" spans="1:14" ht="19" customHeight="1">
      <c r="A134" s="356" t="s">
        <v>6224</v>
      </c>
      <c r="B134" s="137" t="s">
        <v>2382</v>
      </c>
      <c r="C134" s="136" t="s">
        <v>517</v>
      </c>
      <c r="D134" s="296" t="s">
        <v>1441</v>
      </c>
      <c r="E134" s="296" t="s">
        <v>6307</v>
      </c>
      <c r="F134" s="297">
        <v>5</v>
      </c>
      <c r="G134" s="296" t="s">
        <v>5616</v>
      </c>
      <c r="H134" s="296" t="s">
        <v>2297</v>
      </c>
      <c r="I134" s="136" t="s">
        <v>2383</v>
      </c>
      <c r="J134" s="136" t="s">
        <v>2446</v>
      </c>
      <c r="K134" s="136" t="s">
        <v>2242</v>
      </c>
      <c r="L134" s="136" t="s">
        <v>2314</v>
      </c>
      <c r="M134" s="136" t="s">
        <v>2447</v>
      </c>
      <c r="N134" s="320" t="s">
        <v>6226</v>
      </c>
    </row>
    <row r="135" spans="1:14" ht="19" customHeight="1">
      <c r="A135" s="356" t="s">
        <v>6224</v>
      </c>
      <c r="B135" s="137" t="s">
        <v>2477</v>
      </c>
      <c r="C135" s="136" t="s">
        <v>517</v>
      </c>
      <c r="D135" s="296" t="s">
        <v>2478</v>
      </c>
      <c r="E135" s="296" t="s">
        <v>6308</v>
      </c>
      <c r="F135" s="297">
        <v>10</v>
      </c>
      <c r="G135" s="296" t="s">
        <v>5617</v>
      </c>
      <c r="H135" s="296" t="s">
        <v>2354</v>
      </c>
      <c r="I135" s="136" t="s">
        <v>2271</v>
      </c>
      <c r="J135" s="136" t="s">
        <v>2446</v>
      </c>
      <c r="K135" s="136" t="s">
        <v>2237</v>
      </c>
      <c r="L135" s="136" t="s">
        <v>2452</v>
      </c>
      <c r="M135" s="136" t="s">
        <v>1086</v>
      </c>
      <c r="N135" s="320" t="s">
        <v>6240</v>
      </c>
    </row>
    <row r="136" spans="1:14" ht="19" customHeight="1">
      <c r="A136" s="356" t="s">
        <v>6224</v>
      </c>
      <c r="B136" s="137" t="s">
        <v>2479</v>
      </c>
      <c r="C136" s="136" t="s">
        <v>517</v>
      </c>
      <c r="D136" s="296" t="s">
        <v>2480</v>
      </c>
      <c r="E136" s="296" t="s">
        <v>6309</v>
      </c>
      <c r="F136" s="297">
        <v>9</v>
      </c>
      <c r="G136" s="296" t="s">
        <v>5618</v>
      </c>
      <c r="H136" s="296" t="s">
        <v>2398</v>
      </c>
      <c r="I136" s="136" t="s">
        <v>2417</v>
      </c>
      <c r="J136" s="136" t="s">
        <v>2446</v>
      </c>
      <c r="K136" s="136" t="s">
        <v>2237</v>
      </c>
      <c r="L136" s="136" t="s">
        <v>2452</v>
      </c>
      <c r="M136" s="136" t="s">
        <v>2481</v>
      </c>
      <c r="N136" s="320" t="s">
        <v>6240</v>
      </c>
    </row>
    <row r="137" spans="1:14" ht="19" customHeight="1">
      <c r="A137" s="356" t="s">
        <v>6224</v>
      </c>
      <c r="B137" s="137" t="s">
        <v>2482</v>
      </c>
      <c r="C137" s="136" t="s">
        <v>517</v>
      </c>
      <c r="D137" s="296" t="s">
        <v>2483</v>
      </c>
      <c r="E137" s="296" t="s">
        <v>6310</v>
      </c>
      <c r="F137" s="297">
        <v>9</v>
      </c>
      <c r="G137" s="296" t="s">
        <v>5619</v>
      </c>
      <c r="H137" s="296" t="s">
        <v>2369</v>
      </c>
      <c r="I137" s="136" t="s">
        <v>2327</v>
      </c>
      <c r="J137" s="136" t="s">
        <v>2446</v>
      </c>
      <c r="K137" s="136" t="s">
        <v>2237</v>
      </c>
      <c r="L137" s="136" t="s">
        <v>2452</v>
      </c>
      <c r="M137" s="136" t="s">
        <v>2484</v>
      </c>
      <c r="N137" s="320" t="s">
        <v>6240</v>
      </c>
    </row>
    <row r="138" spans="1:14" ht="19" customHeight="1">
      <c r="A138" s="356" t="s">
        <v>6224</v>
      </c>
      <c r="B138" s="137" t="s">
        <v>2485</v>
      </c>
      <c r="C138" s="136" t="s">
        <v>517</v>
      </c>
      <c r="D138" s="296" t="s">
        <v>2486</v>
      </c>
      <c r="E138" s="296" t="s">
        <v>6311</v>
      </c>
      <c r="F138" s="297">
        <v>10</v>
      </c>
      <c r="G138" s="296" t="s">
        <v>5620</v>
      </c>
      <c r="H138" s="296" t="s">
        <v>2372</v>
      </c>
      <c r="I138" s="136" t="s">
        <v>2257</v>
      </c>
      <c r="J138" s="136" t="s">
        <v>2446</v>
      </c>
      <c r="K138" s="136" t="s">
        <v>2237</v>
      </c>
      <c r="L138" s="136" t="s">
        <v>2452</v>
      </c>
      <c r="M138" s="136" t="s">
        <v>1087</v>
      </c>
      <c r="N138" s="320" t="s">
        <v>6240</v>
      </c>
    </row>
    <row r="139" spans="1:14" ht="19" customHeight="1">
      <c r="A139" s="356" t="s">
        <v>6224</v>
      </c>
      <c r="B139" s="137" t="s">
        <v>5659</v>
      </c>
      <c r="C139" s="136" t="s">
        <v>517</v>
      </c>
      <c r="D139" s="296" t="s">
        <v>5660</v>
      </c>
      <c r="E139" s="296" t="s">
        <v>6312</v>
      </c>
      <c r="F139" s="297">
        <v>10</v>
      </c>
      <c r="G139" s="296" t="s">
        <v>5663</v>
      </c>
      <c r="H139" s="296" t="s">
        <v>2362</v>
      </c>
      <c r="I139" s="136" t="s">
        <v>2364</v>
      </c>
      <c r="J139" s="136" t="s">
        <v>2446</v>
      </c>
      <c r="K139" s="136" t="s">
        <v>2242</v>
      </c>
      <c r="L139" s="136" t="s">
        <v>5661</v>
      </c>
      <c r="M139" s="136" t="s">
        <v>5662</v>
      </c>
      <c r="N139" s="320" t="s">
        <v>6313</v>
      </c>
    </row>
    <row r="140" spans="1:14" ht="19" customHeight="1">
      <c r="A140" s="356" t="s">
        <v>6224</v>
      </c>
      <c r="B140" s="137" t="s">
        <v>5961</v>
      </c>
      <c r="C140" s="136" t="s">
        <v>517</v>
      </c>
      <c r="D140" s="296" t="s">
        <v>5962</v>
      </c>
      <c r="E140" s="296" t="s">
        <v>6314</v>
      </c>
      <c r="F140" s="297">
        <v>6</v>
      </c>
      <c r="G140" s="296" t="s">
        <v>5964</v>
      </c>
      <c r="H140" s="296" t="s">
        <v>5963</v>
      </c>
      <c r="I140" s="136" t="s">
        <v>2303</v>
      </c>
      <c r="J140" s="136" t="s">
        <v>2446</v>
      </c>
      <c r="K140" s="136" t="s">
        <v>2237</v>
      </c>
      <c r="L140" s="136" t="s">
        <v>5959</v>
      </c>
      <c r="M140" s="136" t="s">
        <v>2701</v>
      </c>
      <c r="N140" s="320" t="s">
        <v>6240</v>
      </c>
    </row>
    <row r="141" spans="1:14" ht="19" customHeight="1">
      <c r="A141" s="356" t="s">
        <v>6224</v>
      </c>
      <c r="B141" s="137" t="s">
        <v>2384</v>
      </c>
      <c r="C141" s="136" t="s">
        <v>519</v>
      </c>
      <c r="D141" s="296" t="s">
        <v>2385</v>
      </c>
      <c r="E141" s="296" t="s">
        <v>6315</v>
      </c>
      <c r="F141" s="297">
        <v>10</v>
      </c>
      <c r="G141" s="296" t="s">
        <v>5621</v>
      </c>
      <c r="H141" s="296" t="s">
        <v>2386</v>
      </c>
      <c r="I141" s="136" t="s">
        <v>2348</v>
      </c>
      <c r="J141" s="136" t="s">
        <v>2446</v>
      </c>
      <c r="K141" s="136" t="s">
        <v>2237</v>
      </c>
      <c r="L141" s="136" t="s">
        <v>2238</v>
      </c>
      <c r="M141" s="136" t="s">
        <v>2447</v>
      </c>
      <c r="N141" s="320" t="s">
        <v>6240</v>
      </c>
    </row>
    <row r="142" spans="1:14" ht="19" customHeight="1">
      <c r="A142" s="356" t="s">
        <v>6224</v>
      </c>
      <c r="B142" s="137" t="s">
        <v>2387</v>
      </c>
      <c r="C142" s="136" t="s">
        <v>519</v>
      </c>
      <c r="D142" s="296" t="s">
        <v>2388</v>
      </c>
      <c r="E142" s="296" t="s">
        <v>6316</v>
      </c>
      <c r="F142" s="297">
        <v>12</v>
      </c>
      <c r="G142" s="296" t="s">
        <v>5622</v>
      </c>
      <c r="H142" s="296" t="s">
        <v>6317</v>
      </c>
      <c r="I142" s="136" t="s">
        <v>2345</v>
      </c>
      <c r="J142" s="136" t="s">
        <v>2446</v>
      </c>
      <c r="K142" s="136" t="s">
        <v>2242</v>
      </c>
      <c r="L142" s="136" t="s">
        <v>2238</v>
      </c>
      <c r="M142" s="136" t="s">
        <v>2447</v>
      </c>
      <c r="N142" s="320" t="s">
        <v>6318</v>
      </c>
    </row>
    <row r="143" spans="1:14" ht="19" customHeight="1">
      <c r="A143" s="356" t="s">
        <v>6224</v>
      </c>
      <c r="B143" s="137" t="s">
        <v>2389</v>
      </c>
      <c r="C143" s="136" t="s">
        <v>519</v>
      </c>
      <c r="D143" s="296" t="s">
        <v>2390</v>
      </c>
      <c r="E143" s="296" t="s">
        <v>6319</v>
      </c>
      <c r="F143" s="297">
        <v>12</v>
      </c>
      <c r="G143" s="296" t="s">
        <v>5623</v>
      </c>
      <c r="H143" s="296" t="s">
        <v>6320</v>
      </c>
      <c r="I143" s="136" t="s">
        <v>2261</v>
      </c>
      <c r="J143" s="136" t="s">
        <v>2446</v>
      </c>
      <c r="K143" s="136" t="s">
        <v>2237</v>
      </c>
      <c r="L143" s="136" t="s">
        <v>2238</v>
      </c>
      <c r="M143" s="136" t="s">
        <v>2447</v>
      </c>
      <c r="N143" s="320" t="s">
        <v>6240</v>
      </c>
    </row>
    <row r="144" spans="1:14" ht="19" customHeight="1">
      <c r="A144" s="356" t="s">
        <v>6224</v>
      </c>
      <c r="B144" s="137" t="s">
        <v>2391</v>
      </c>
      <c r="C144" s="136" t="s">
        <v>519</v>
      </c>
      <c r="D144" s="296" t="s">
        <v>2392</v>
      </c>
      <c r="E144" s="296" t="s">
        <v>6321</v>
      </c>
      <c r="F144" s="297">
        <v>15</v>
      </c>
      <c r="G144" s="296" t="s">
        <v>5624</v>
      </c>
      <c r="H144" s="296" t="s">
        <v>6322</v>
      </c>
      <c r="I144" s="136" t="s">
        <v>2303</v>
      </c>
      <c r="J144" s="136" t="s">
        <v>2446</v>
      </c>
      <c r="K144" s="136" t="s">
        <v>2237</v>
      </c>
      <c r="L144" s="136" t="s">
        <v>2238</v>
      </c>
      <c r="M144" s="136" t="s">
        <v>2447</v>
      </c>
      <c r="N144" s="320" t="s">
        <v>6240</v>
      </c>
    </row>
    <row r="145" spans="1:14" ht="19" customHeight="1">
      <c r="A145" s="356" t="s">
        <v>6224</v>
      </c>
      <c r="B145" s="137" t="s">
        <v>2393</v>
      </c>
      <c r="C145" s="136" t="s">
        <v>519</v>
      </c>
      <c r="D145" s="296" t="s">
        <v>2394</v>
      </c>
      <c r="E145" s="296" t="s">
        <v>6323</v>
      </c>
      <c r="F145" s="297">
        <v>5</v>
      </c>
      <c r="G145" s="296" t="s">
        <v>5625</v>
      </c>
      <c r="H145" s="296" t="s">
        <v>2395</v>
      </c>
      <c r="I145" s="136" t="s">
        <v>2345</v>
      </c>
      <c r="J145" s="136" t="s">
        <v>2446</v>
      </c>
      <c r="K145" s="136" t="s">
        <v>2237</v>
      </c>
      <c r="L145" s="136" t="s">
        <v>2238</v>
      </c>
      <c r="M145" s="136" t="s">
        <v>2447</v>
      </c>
      <c r="N145" s="320" t="s">
        <v>6226</v>
      </c>
    </row>
    <row r="146" spans="1:14" ht="19" customHeight="1">
      <c r="A146" s="356" t="s">
        <v>6224</v>
      </c>
      <c r="B146" s="137" t="s">
        <v>2487</v>
      </c>
      <c r="C146" s="136" t="s">
        <v>519</v>
      </c>
      <c r="D146" s="296" t="s">
        <v>2488</v>
      </c>
      <c r="E146" s="296" t="s">
        <v>6324</v>
      </c>
      <c r="F146" s="297">
        <v>5</v>
      </c>
      <c r="G146" s="296" t="s">
        <v>5626</v>
      </c>
      <c r="H146" s="296" t="s">
        <v>2258</v>
      </c>
      <c r="I146" s="136" t="s">
        <v>2261</v>
      </c>
      <c r="J146" s="136" t="s">
        <v>2446</v>
      </c>
      <c r="K146" s="136" t="s">
        <v>2237</v>
      </c>
      <c r="L146" s="136" t="s">
        <v>2452</v>
      </c>
      <c r="M146" s="136" t="s">
        <v>1127</v>
      </c>
      <c r="N146" s="320" t="s">
        <v>6226</v>
      </c>
    </row>
    <row r="147" spans="1:14" ht="19" customHeight="1">
      <c r="A147" s="356" t="s">
        <v>6224</v>
      </c>
      <c r="B147" s="137" t="s">
        <v>2489</v>
      </c>
      <c r="C147" s="136" t="s">
        <v>519</v>
      </c>
      <c r="D147" s="296" t="s">
        <v>2490</v>
      </c>
      <c r="E147" s="296" t="s">
        <v>6325</v>
      </c>
      <c r="F147" s="297">
        <v>8</v>
      </c>
      <c r="G147" s="296" t="s">
        <v>5627</v>
      </c>
      <c r="H147" s="296" t="s">
        <v>2262</v>
      </c>
      <c r="I147" s="136" t="s">
        <v>2348</v>
      </c>
      <c r="J147" s="136" t="s">
        <v>2446</v>
      </c>
      <c r="K147" s="136" t="s">
        <v>2237</v>
      </c>
      <c r="L147" s="136" t="s">
        <v>2452</v>
      </c>
      <c r="M147" s="136" t="s">
        <v>1128</v>
      </c>
      <c r="N147" s="320" t="s">
        <v>6226</v>
      </c>
    </row>
    <row r="148" spans="1:14" ht="19" customHeight="1">
      <c r="A148" s="356" t="s">
        <v>6224</v>
      </c>
      <c r="B148" s="137" t="s">
        <v>2491</v>
      </c>
      <c r="C148" s="136" t="s">
        <v>519</v>
      </c>
      <c r="D148" s="296" t="s">
        <v>2492</v>
      </c>
      <c r="E148" s="296" t="s">
        <v>6326</v>
      </c>
      <c r="F148" s="297">
        <v>8</v>
      </c>
      <c r="G148" s="296" t="s">
        <v>5628</v>
      </c>
      <c r="H148" s="296" t="s">
        <v>2398</v>
      </c>
      <c r="I148" s="136" t="s">
        <v>2345</v>
      </c>
      <c r="J148" s="136" t="s">
        <v>2446</v>
      </c>
      <c r="K148" s="136" t="s">
        <v>2237</v>
      </c>
      <c r="L148" s="136" t="s">
        <v>2452</v>
      </c>
      <c r="M148" s="136" t="s">
        <v>1129</v>
      </c>
      <c r="N148" s="320" t="s">
        <v>6226</v>
      </c>
    </row>
    <row r="149" spans="1:14" ht="19" customHeight="1">
      <c r="A149" s="356" t="s">
        <v>6224</v>
      </c>
      <c r="B149" s="137" t="s">
        <v>2493</v>
      </c>
      <c r="C149" s="136" t="s">
        <v>519</v>
      </c>
      <c r="D149" s="296" t="s">
        <v>2494</v>
      </c>
      <c r="E149" s="296" t="s">
        <v>6327</v>
      </c>
      <c r="F149" s="297">
        <v>6</v>
      </c>
      <c r="G149" s="296" t="s">
        <v>5629</v>
      </c>
      <c r="H149" s="296" t="s">
        <v>2387</v>
      </c>
      <c r="I149" s="136" t="s">
        <v>2327</v>
      </c>
      <c r="J149" s="136" t="s">
        <v>2446</v>
      </c>
      <c r="K149" s="136" t="s">
        <v>2237</v>
      </c>
      <c r="L149" s="136" t="s">
        <v>2452</v>
      </c>
      <c r="M149" s="136" t="s">
        <v>1132</v>
      </c>
      <c r="N149" s="320" t="s">
        <v>6226</v>
      </c>
    </row>
    <row r="150" spans="1:14" ht="19" customHeight="1">
      <c r="A150" s="356" t="s">
        <v>6224</v>
      </c>
      <c r="B150" s="137" t="s">
        <v>2495</v>
      </c>
      <c r="C150" s="136" t="s">
        <v>519</v>
      </c>
      <c r="D150" s="296" t="s">
        <v>2496</v>
      </c>
      <c r="E150" s="296" t="s">
        <v>6328</v>
      </c>
      <c r="F150" s="297">
        <v>10</v>
      </c>
      <c r="G150" s="296" t="s">
        <v>5630</v>
      </c>
      <c r="H150" s="296" t="s">
        <v>2389</v>
      </c>
      <c r="I150" s="136" t="s">
        <v>2261</v>
      </c>
      <c r="J150" s="136" t="s">
        <v>2446</v>
      </c>
      <c r="K150" s="136" t="s">
        <v>2237</v>
      </c>
      <c r="L150" s="136" t="s">
        <v>2452</v>
      </c>
      <c r="M150" s="136" t="s">
        <v>2497</v>
      </c>
      <c r="N150" s="320" t="s">
        <v>6240</v>
      </c>
    </row>
    <row r="151" spans="1:14" ht="19" customHeight="1">
      <c r="A151" s="356" t="s">
        <v>6224</v>
      </c>
      <c r="B151" s="137" t="s">
        <v>2498</v>
      </c>
      <c r="C151" s="136" t="s">
        <v>519</v>
      </c>
      <c r="D151" s="296" t="s">
        <v>2499</v>
      </c>
      <c r="E151" s="296" t="s">
        <v>6329</v>
      </c>
      <c r="F151" s="297">
        <v>8</v>
      </c>
      <c r="G151" s="296" t="s">
        <v>5631</v>
      </c>
      <c r="H151" s="296" t="s">
        <v>2500</v>
      </c>
      <c r="I151" s="136" t="s">
        <v>2268</v>
      </c>
      <c r="J151" s="136" t="s">
        <v>2446</v>
      </c>
      <c r="K151" s="136" t="s">
        <v>2237</v>
      </c>
      <c r="L151" s="136" t="s">
        <v>2452</v>
      </c>
      <c r="M151" s="136" t="s">
        <v>2501</v>
      </c>
      <c r="N151" s="320" t="s">
        <v>6226</v>
      </c>
    </row>
    <row r="152" spans="1:14" ht="19" customHeight="1">
      <c r="A152" s="356" t="s">
        <v>6224</v>
      </c>
      <c r="B152" s="137" t="s">
        <v>2502</v>
      </c>
      <c r="C152" s="136" t="s">
        <v>519</v>
      </c>
      <c r="D152" s="296" t="s">
        <v>2503</v>
      </c>
      <c r="E152" s="296" t="s">
        <v>6330</v>
      </c>
      <c r="F152" s="297">
        <v>3</v>
      </c>
      <c r="G152" s="296" t="s">
        <v>5632</v>
      </c>
      <c r="H152" s="296" t="s">
        <v>2387</v>
      </c>
      <c r="I152" s="136" t="s">
        <v>2327</v>
      </c>
      <c r="J152" s="136" t="s">
        <v>2446</v>
      </c>
      <c r="K152" s="136" t="s">
        <v>2237</v>
      </c>
      <c r="L152" s="136" t="s">
        <v>2452</v>
      </c>
      <c r="M152" s="136" t="s">
        <v>2504</v>
      </c>
      <c r="N152" s="320" t="s">
        <v>6226</v>
      </c>
    </row>
    <row r="153" spans="1:14" ht="19" customHeight="1">
      <c r="A153" s="356" t="s">
        <v>6224</v>
      </c>
      <c r="B153" s="137" t="s">
        <v>2334</v>
      </c>
      <c r="C153" s="136" t="s">
        <v>2396</v>
      </c>
      <c r="D153" s="296" t="s">
        <v>2397</v>
      </c>
      <c r="E153" s="296" t="s">
        <v>6331</v>
      </c>
      <c r="F153" s="297">
        <v>22</v>
      </c>
      <c r="G153" s="296" t="s">
        <v>5633</v>
      </c>
      <c r="H153" s="296" t="s">
        <v>2236</v>
      </c>
      <c r="I153" s="136" t="s">
        <v>2261</v>
      </c>
      <c r="J153" s="136" t="s">
        <v>2446</v>
      </c>
      <c r="K153" s="136" t="s">
        <v>2237</v>
      </c>
      <c r="L153" s="136" t="s">
        <v>2238</v>
      </c>
      <c r="M153" s="136" t="s">
        <v>2447</v>
      </c>
      <c r="N153" s="320" t="s">
        <v>6238</v>
      </c>
    </row>
    <row r="154" spans="1:14" ht="19" customHeight="1">
      <c r="A154" s="356" t="s">
        <v>6224</v>
      </c>
      <c r="B154" s="137" t="s">
        <v>2398</v>
      </c>
      <c r="C154" s="136" t="s">
        <v>2396</v>
      </c>
      <c r="D154" s="296" t="s">
        <v>2399</v>
      </c>
      <c r="E154" s="296" t="s">
        <v>6332</v>
      </c>
      <c r="F154" s="297">
        <v>14</v>
      </c>
      <c r="G154" s="296" t="s">
        <v>5634</v>
      </c>
      <c r="H154" s="296" t="s">
        <v>2334</v>
      </c>
      <c r="I154" s="136" t="s">
        <v>2261</v>
      </c>
      <c r="J154" s="136" t="s">
        <v>2446</v>
      </c>
      <c r="K154" s="136" t="s">
        <v>2237</v>
      </c>
      <c r="L154" s="136" t="s">
        <v>2238</v>
      </c>
      <c r="M154" s="136" t="s">
        <v>2447</v>
      </c>
      <c r="N154" s="320" t="s">
        <v>6240</v>
      </c>
    </row>
    <row r="155" spans="1:14" ht="19" customHeight="1">
      <c r="A155" s="356" t="s">
        <v>6224</v>
      </c>
      <c r="B155" s="137" t="s">
        <v>2505</v>
      </c>
      <c r="C155" s="136" t="s">
        <v>2396</v>
      </c>
      <c r="D155" s="296" t="s">
        <v>2506</v>
      </c>
      <c r="E155" s="296" t="s">
        <v>6333</v>
      </c>
      <c r="F155" s="297">
        <v>12</v>
      </c>
      <c r="G155" s="296" t="s">
        <v>5635</v>
      </c>
      <c r="H155" s="296" t="s">
        <v>2398</v>
      </c>
      <c r="I155" s="136" t="s">
        <v>2261</v>
      </c>
      <c r="J155" s="136" t="s">
        <v>2446</v>
      </c>
      <c r="K155" s="136" t="s">
        <v>2237</v>
      </c>
      <c r="L155" s="136" t="s">
        <v>2452</v>
      </c>
      <c r="M155" s="136" t="s">
        <v>1210</v>
      </c>
      <c r="N155" s="320" t="s">
        <v>6240</v>
      </c>
    </row>
    <row r="156" spans="1:14" ht="19" customHeight="1">
      <c r="A156" s="356" t="s">
        <v>6224</v>
      </c>
      <c r="B156" s="137" t="s">
        <v>2386</v>
      </c>
      <c r="C156" s="136" t="s">
        <v>2400</v>
      </c>
      <c r="D156" s="296" t="s">
        <v>2401</v>
      </c>
      <c r="E156" s="296" t="s">
        <v>6334</v>
      </c>
      <c r="F156" s="297">
        <v>13</v>
      </c>
      <c r="G156" s="296" t="s">
        <v>5636</v>
      </c>
      <c r="H156" s="296" t="s">
        <v>2258</v>
      </c>
      <c r="I156" s="136" t="s">
        <v>2402</v>
      </c>
      <c r="J156" s="136" t="s">
        <v>2446</v>
      </c>
      <c r="K156" s="136" t="s">
        <v>2237</v>
      </c>
      <c r="L156" s="136" t="s">
        <v>2238</v>
      </c>
      <c r="M156" s="136" t="s">
        <v>2447</v>
      </c>
      <c r="N156" s="320" t="s">
        <v>6240</v>
      </c>
    </row>
    <row r="157" spans="1:14" ht="19" customHeight="1">
      <c r="A157" s="356" t="s">
        <v>6224</v>
      </c>
      <c r="B157" s="137" t="s">
        <v>2365</v>
      </c>
      <c r="C157" s="136" t="s">
        <v>2400</v>
      </c>
      <c r="D157" s="296" t="s">
        <v>2403</v>
      </c>
      <c r="E157" s="296" t="s">
        <v>6335</v>
      </c>
      <c r="F157" s="297">
        <v>13</v>
      </c>
      <c r="G157" s="296" t="s">
        <v>5637</v>
      </c>
      <c r="H157" s="296" t="s">
        <v>2404</v>
      </c>
      <c r="I157" s="136" t="s">
        <v>2261</v>
      </c>
      <c r="J157" s="136" t="s">
        <v>2446</v>
      </c>
      <c r="K157" s="136" t="s">
        <v>2237</v>
      </c>
      <c r="L157" s="136" t="s">
        <v>2238</v>
      </c>
      <c r="M157" s="136" t="s">
        <v>2447</v>
      </c>
      <c r="N157" s="320" t="s">
        <v>6240</v>
      </c>
    </row>
    <row r="158" spans="1:14" ht="19" customHeight="1">
      <c r="A158" s="356" t="s">
        <v>6224</v>
      </c>
      <c r="B158" s="137" t="s">
        <v>2405</v>
      </c>
      <c r="C158" s="136" t="s">
        <v>2400</v>
      </c>
      <c r="D158" s="296" t="s">
        <v>2406</v>
      </c>
      <c r="E158" s="296" t="s">
        <v>6336</v>
      </c>
      <c r="F158" s="297">
        <v>25</v>
      </c>
      <c r="G158" s="296" t="s">
        <v>5638</v>
      </c>
      <c r="H158" s="296" t="s">
        <v>2407</v>
      </c>
      <c r="I158" s="136" t="s">
        <v>2327</v>
      </c>
      <c r="J158" s="136" t="s">
        <v>2446</v>
      </c>
      <c r="K158" s="136" t="s">
        <v>2237</v>
      </c>
      <c r="L158" s="136" t="s">
        <v>2238</v>
      </c>
      <c r="M158" s="136" t="s">
        <v>2447</v>
      </c>
      <c r="N158" s="320" t="s">
        <v>6238</v>
      </c>
    </row>
    <row r="159" spans="1:14" ht="19" customHeight="1">
      <c r="A159" s="356" t="s">
        <v>6224</v>
      </c>
      <c r="B159" s="137" t="s">
        <v>2408</v>
      </c>
      <c r="C159" s="136" t="s">
        <v>2400</v>
      </c>
      <c r="D159" s="296" t="s">
        <v>2409</v>
      </c>
      <c r="E159" s="296" t="s">
        <v>6337</v>
      </c>
      <c r="F159" s="297">
        <v>12</v>
      </c>
      <c r="G159" s="296" t="s">
        <v>5639</v>
      </c>
      <c r="H159" s="296" t="s">
        <v>2410</v>
      </c>
      <c r="I159" s="136" t="s">
        <v>2271</v>
      </c>
      <c r="J159" s="136" t="s">
        <v>2446</v>
      </c>
      <c r="K159" s="136" t="s">
        <v>2237</v>
      </c>
      <c r="L159" s="136" t="s">
        <v>2238</v>
      </c>
      <c r="M159" s="136" t="s">
        <v>2447</v>
      </c>
      <c r="N159" s="320" t="s">
        <v>6240</v>
      </c>
    </row>
    <row r="160" spans="1:14" ht="19" customHeight="1">
      <c r="A160" s="356" t="s">
        <v>6224</v>
      </c>
      <c r="B160" s="137" t="s">
        <v>2411</v>
      </c>
      <c r="C160" s="136" t="s">
        <v>2400</v>
      </c>
      <c r="D160" s="296" t="s">
        <v>2412</v>
      </c>
      <c r="E160" s="296" t="s">
        <v>6338</v>
      </c>
      <c r="F160" s="297">
        <v>11</v>
      </c>
      <c r="G160" s="296" t="s">
        <v>5640</v>
      </c>
      <c r="H160" s="296" t="s">
        <v>2386</v>
      </c>
      <c r="I160" s="136" t="s">
        <v>2271</v>
      </c>
      <c r="J160" s="136" t="s">
        <v>2446</v>
      </c>
      <c r="K160" s="136" t="s">
        <v>2237</v>
      </c>
      <c r="L160" s="136" t="s">
        <v>2238</v>
      </c>
      <c r="M160" s="136" t="s">
        <v>2447</v>
      </c>
      <c r="N160" s="320" t="s">
        <v>6240</v>
      </c>
    </row>
    <row r="161" spans="1:14" ht="19" customHeight="1">
      <c r="A161" s="356" t="s">
        <v>6224</v>
      </c>
      <c r="B161" s="137" t="s">
        <v>2413</v>
      </c>
      <c r="C161" s="136" t="s">
        <v>2400</v>
      </c>
      <c r="D161" s="296" t="s">
        <v>1440</v>
      </c>
      <c r="E161" s="296" t="s">
        <v>6339</v>
      </c>
      <c r="F161" s="297">
        <v>10</v>
      </c>
      <c r="G161" s="296" t="s">
        <v>5641</v>
      </c>
      <c r="H161" s="296" t="s">
        <v>2414</v>
      </c>
      <c r="I161" s="136" t="s">
        <v>2383</v>
      </c>
      <c r="J161" s="136" t="s">
        <v>2446</v>
      </c>
      <c r="K161" s="136" t="s">
        <v>2237</v>
      </c>
      <c r="L161" s="136" t="s">
        <v>2314</v>
      </c>
      <c r="M161" s="136" t="s">
        <v>2447</v>
      </c>
      <c r="N161" s="320" t="s">
        <v>6240</v>
      </c>
    </row>
    <row r="162" spans="1:14" ht="19" customHeight="1">
      <c r="A162" s="356" t="s">
        <v>6224</v>
      </c>
      <c r="B162" s="137" t="s">
        <v>2415</v>
      </c>
      <c r="C162" s="136" t="s">
        <v>2400</v>
      </c>
      <c r="D162" s="296" t="s">
        <v>2416</v>
      </c>
      <c r="E162" s="296" t="s">
        <v>6597</v>
      </c>
      <c r="F162" s="297">
        <v>5</v>
      </c>
      <c r="G162" s="296" t="s">
        <v>5642</v>
      </c>
      <c r="H162" s="296" t="s">
        <v>2334</v>
      </c>
      <c r="I162" s="136" t="s">
        <v>2417</v>
      </c>
      <c r="J162" s="136" t="s">
        <v>2446</v>
      </c>
      <c r="K162" s="136" t="s">
        <v>2237</v>
      </c>
      <c r="L162" s="136" t="s">
        <v>2314</v>
      </c>
      <c r="M162" s="136" t="s">
        <v>2447</v>
      </c>
      <c r="N162" s="320" t="s">
        <v>6226</v>
      </c>
    </row>
    <row r="163" spans="1:14" ht="19" customHeight="1">
      <c r="A163" s="356" t="s">
        <v>6224</v>
      </c>
      <c r="B163" s="137" t="s">
        <v>2507</v>
      </c>
      <c r="C163" s="136" t="s">
        <v>2400</v>
      </c>
      <c r="D163" s="296" t="s">
        <v>2508</v>
      </c>
      <c r="E163" s="296" t="s">
        <v>6340</v>
      </c>
      <c r="F163" s="297">
        <v>8</v>
      </c>
      <c r="G163" s="296" t="s">
        <v>5643</v>
      </c>
      <c r="H163" s="296" t="s">
        <v>2386</v>
      </c>
      <c r="I163" s="136" t="s">
        <v>2402</v>
      </c>
      <c r="J163" s="136" t="s">
        <v>2446</v>
      </c>
      <c r="K163" s="136" t="s">
        <v>2237</v>
      </c>
      <c r="L163" s="136" t="s">
        <v>2452</v>
      </c>
      <c r="M163" s="136" t="s">
        <v>2509</v>
      </c>
      <c r="N163" s="320" t="s">
        <v>6226</v>
      </c>
    </row>
    <row r="164" spans="1:14" ht="19" customHeight="1">
      <c r="A164" s="356" t="s">
        <v>6224</v>
      </c>
      <c r="B164" s="137" t="s">
        <v>2510</v>
      </c>
      <c r="C164" s="136" t="s">
        <v>2400</v>
      </c>
      <c r="D164" s="296" t="s">
        <v>2511</v>
      </c>
      <c r="E164" s="296" t="s">
        <v>6341</v>
      </c>
      <c r="F164" s="297">
        <v>5</v>
      </c>
      <c r="G164" s="296" t="s">
        <v>5644</v>
      </c>
      <c r="H164" s="296" t="s">
        <v>2365</v>
      </c>
      <c r="I164" s="136" t="s">
        <v>2327</v>
      </c>
      <c r="J164" s="136" t="s">
        <v>2446</v>
      </c>
      <c r="K164" s="136" t="s">
        <v>2512</v>
      </c>
      <c r="L164" s="136" t="s">
        <v>2452</v>
      </c>
      <c r="M164" s="136" t="s">
        <v>2513</v>
      </c>
      <c r="N164" s="320" t="s">
        <v>6226</v>
      </c>
    </row>
    <row r="165" spans="1:14" ht="19" customHeight="1">
      <c r="A165" s="356" t="s">
        <v>6224</v>
      </c>
      <c r="B165" s="137" t="s">
        <v>5957</v>
      </c>
      <c r="C165" s="136" t="s">
        <v>2400</v>
      </c>
      <c r="D165" s="296" t="s">
        <v>5958</v>
      </c>
      <c r="E165" s="296" t="s">
        <v>6342</v>
      </c>
      <c r="F165" s="297">
        <v>8</v>
      </c>
      <c r="G165" s="296" t="s">
        <v>5960</v>
      </c>
      <c r="H165" s="296" t="s">
        <v>2398</v>
      </c>
      <c r="I165" s="136" t="s">
        <v>2364</v>
      </c>
      <c r="J165" s="136" t="s">
        <v>2446</v>
      </c>
      <c r="K165" s="136" t="s">
        <v>2237</v>
      </c>
      <c r="L165" s="136" t="s">
        <v>5959</v>
      </c>
      <c r="M165" s="136" t="s">
        <v>2704</v>
      </c>
      <c r="N165" s="320" t="s">
        <v>6240</v>
      </c>
    </row>
    <row r="166" spans="1:14" ht="19" customHeight="1">
      <c r="A166" s="356" t="s">
        <v>6224</v>
      </c>
      <c r="B166" s="137" t="s">
        <v>2418</v>
      </c>
      <c r="C166" s="136" t="s">
        <v>1241</v>
      </c>
      <c r="D166" s="296" t="s">
        <v>2419</v>
      </c>
      <c r="E166" s="296" t="s">
        <v>6343</v>
      </c>
      <c r="F166" s="297">
        <v>14</v>
      </c>
      <c r="G166" s="296" t="s">
        <v>5645</v>
      </c>
      <c r="H166" s="296" t="s">
        <v>2421</v>
      </c>
      <c r="I166" s="136" t="s">
        <v>2420</v>
      </c>
      <c r="J166" s="136" t="s">
        <v>2446</v>
      </c>
      <c r="K166" s="136" t="s">
        <v>2237</v>
      </c>
      <c r="L166" s="136" t="s">
        <v>2238</v>
      </c>
      <c r="M166" s="136" t="s">
        <v>2447</v>
      </c>
      <c r="N166" s="320" t="s">
        <v>6240</v>
      </c>
    </row>
    <row r="167" spans="1:14" ht="19" customHeight="1">
      <c r="A167" s="356" t="s">
        <v>6224</v>
      </c>
      <c r="B167" s="137" t="s">
        <v>2297</v>
      </c>
      <c r="C167" s="136" t="s">
        <v>1241</v>
      </c>
      <c r="D167" s="296" t="s">
        <v>2422</v>
      </c>
      <c r="E167" s="296" t="s">
        <v>6344</v>
      </c>
      <c r="F167" s="297">
        <v>24</v>
      </c>
      <c r="G167" s="296" t="s">
        <v>5646</v>
      </c>
      <c r="H167" s="296" t="s">
        <v>2423</v>
      </c>
      <c r="I167" s="136" t="s">
        <v>2268</v>
      </c>
      <c r="J167" s="136" t="s">
        <v>2446</v>
      </c>
      <c r="K167" s="136" t="s">
        <v>2237</v>
      </c>
      <c r="L167" s="136" t="s">
        <v>2238</v>
      </c>
      <c r="M167" s="136" t="s">
        <v>2447</v>
      </c>
      <c r="N167" s="320" t="s">
        <v>6238</v>
      </c>
    </row>
    <row r="168" spans="1:14" ht="19" customHeight="1">
      <c r="A168" s="356" t="s">
        <v>6224</v>
      </c>
      <c r="B168" s="137" t="s">
        <v>2424</v>
      </c>
      <c r="C168" s="136" t="s">
        <v>1241</v>
      </c>
      <c r="D168" s="296" t="s">
        <v>2425</v>
      </c>
      <c r="E168" s="296" t="s">
        <v>6345</v>
      </c>
      <c r="F168" s="297">
        <v>12</v>
      </c>
      <c r="G168" s="296" t="s">
        <v>5647</v>
      </c>
      <c r="H168" s="296" t="s">
        <v>2297</v>
      </c>
      <c r="I168" s="136" t="s">
        <v>2268</v>
      </c>
      <c r="J168" s="136" t="s">
        <v>2446</v>
      </c>
      <c r="K168" s="136" t="s">
        <v>2237</v>
      </c>
      <c r="L168" s="136" t="s">
        <v>2238</v>
      </c>
      <c r="M168" s="136" t="s">
        <v>2447</v>
      </c>
      <c r="N168" s="320" t="s">
        <v>6240</v>
      </c>
    </row>
    <row r="169" spans="1:14" ht="19" customHeight="1">
      <c r="A169" s="356" t="s">
        <v>6224</v>
      </c>
      <c r="B169" s="137" t="s">
        <v>2426</v>
      </c>
      <c r="C169" s="136" t="s">
        <v>1241</v>
      </c>
      <c r="D169" s="296" t="s">
        <v>2427</v>
      </c>
      <c r="E169" s="296" t="s">
        <v>6346</v>
      </c>
      <c r="F169" s="297">
        <v>0</v>
      </c>
      <c r="G169" s="296" t="s">
        <v>5655</v>
      </c>
      <c r="H169" s="296" t="s">
        <v>2272</v>
      </c>
      <c r="I169" s="136" t="s">
        <v>2428</v>
      </c>
      <c r="J169" s="136" t="s">
        <v>2446</v>
      </c>
      <c r="K169" s="136" t="s">
        <v>5657</v>
      </c>
      <c r="L169" s="136" t="s">
        <v>2238</v>
      </c>
      <c r="M169" s="136" t="s">
        <v>2447</v>
      </c>
      <c r="N169" s="320" t="s">
        <v>6240</v>
      </c>
    </row>
    <row r="170" spans="1:14" ht="19" customHeight="1">
      <c r="A170" s="356" t="s">
        <v>6224</v>
      </c>
      <c r="B170" s="137" t="s">
        <v>2429</v>
      </c>
      <c r="C170" s="136" t="s">
        <v>1241</v>
      </c>
      <c r="D170" s="296" t="s">
        <v>2430</v>
      </c>
      <c r="E170" s="296" t="s">
        <v>6347</v>
      </c>
      <c r="F170" s="297">
        <v>5</v>
      </c>
      <c r="G170" s="296" t="s">
        <v>5648</v>
      </c>
      <c r="H170" s="296" t="s">
        <v>2276</v>
      </c>
      <c r="I170" s="136" t="s">
        <v>2327</v>
      </c>
      <c r="J170" s="136" t="s">
        <v>2446</v>
      </c>
      <c r="K170" s="136" t="s">
        <v>2242</v>
      </c>
      <c r="L170" s="136" t="s">
        <v>2238</v>
      </c>
      <c r="M170" s="136" t="s">
        <v>2447</v>
      </c>
      <c r="N170" s="320" t="s">
        <v>6226</v>
      </c>
    </row>
    <row r="171" spans="1:14" ht="19" customHeight="1">
      <c r="A171" s="356" t="s">
        <v>6224</v>
      </c>
      <c r="B171" s="137" t="s">
        <v>2431</v>
      </c>
      <c r="C171" s="136" t="s">
        <v>1241</v>
      </c>
      <c r="D171" s="296" t="s">
        <v>2432</v>
      </c>
      <c r="E171" s="296" t="s">
        <v>6348</v>
      </c>
      <c r="F171" s="297">
        <v>6</v>
      </c>
      <c r="G171" s="296" t="s">
        <v>5649</v>
      </c>
      <c r="H171" s="296" t="s">
        <v>2329</v>
      </c>
      <c r="I171" s="136" t="s">
        <v>2428</v>
      </c>
      <c r="J171" s="136" t="s">
        <v>2446</v>
      </c>
      <c r="K171" s="136" t="s">
        <v>2237</v>
      </c>
      <c r="L171" s="136" t="s">
        <v>2238</v>
      </c>
      <c r="M171" s="136" t="s">
        <v>2447</v>
      </c>
      <c r="N171" s="320" t="s">
        <v>6226</v>
      </c>
    </row>
    <row r="172" spans="1:14" ht="19" customHeight="1">
      <c r="A172" s="356" t="s">
        <v>6224</v>
      </c>
      <c r="B172" s="137" t="s">
        <v>2433</v>
      </c>
      <c r="C172" s="136" t="s">
        <v>1241</v>
      </c>
      <c r="D172" s="296" t="s">
        <v>2434</v>
      </c>
      <c r="E172" s="296" t="s">
        <v>6349</v>
      </c>
      <c r="F172" s="297">
        <v>4</v>
      </c>
      <c r="G172" s="296" t="s">
        <v>5650</v>
      </c>
      <c r="H172" s="296" t="s">
        <v>2276</v>
      </c>
      <c r="I172" s="136" t="s">
        <v>2327</v>
      </c>
      <c r="J172" s="136" t="s">
        <v>2446</v>
      </c>
      <c r="K172" s="136" t="s">
        <v>2242</v>
      </c>
      <c r="L172" s="136" t="s">
        <v>2314</v>
      </c>
      <c r="M172" s="136" t="s">
        <v>2447</v>
      </c>
      <c r="N172" s="320" t="s">
        <v>6226</v>
      </c>
    </row>
    <row r="173" spans="1:14" ht="19" customHeight="1">
      <c r="A173" s="356" t="s">
        <v>6224</v>
      </c>
      <c r="B173" s="137" t="s">
        <v>2514</v>
      </c>
      <c r="C173" s="136" t="s">
        <v>1241</v>
      </c>
      <c r="D173" s="296" t="s">
        <v>2515</v>
      </c>
      <c r="E173" s="296" t="s">
        <v>6350</v>
      </c>
      <c r="F173" s="297">
        <v>12</v>
      </c>
      <c r="G173" s="296" t="s">
        <v>5651</v>
      </c>
      <c r="H173" s="296" t="s">
        <v>2418</v>
      </c>
      <c r="I173" s="136" t="s">
        <v>2327</v>
      </c>
      <c r="J173" s="136" t="s">
        <v>2446</v>
      </c>
      <c r="K173" s="136" t="s">
        <v>2237</v>
      </c>
      <c r="L173" s="136" t="s">
        <v>2452</v>
      </c>
      <c r="M173" s="136" t="s">
        <v>1245</v>
      </c>
      <c r="N173" s="320" t="s">
        <v>6240</v>
      </c>
    </row>
    <row r="174" spans="1:14" ht="19" customHeight="1">
      <c r="A174" s="356" t="s">
        <v>6224</v>
      </c>
      <c r="B174" s="137" t="s">
        <v>2516</v>
      </c>
      <c r="C174" s="136" t="s">
        <v>1241</v>
      </c>
      <c r="D174" s="296" t="s">
        <v>2517</v>
      </c>
      <c r="E174" s="296" t="s">
        <v>6351</v>
      </c>
      <c r="F174" s="297">
        <v>5</v>
      </c>
      <c r="G174" s="296" t="s">
        <v>5652</v>
      </c>
      <c r="H174" s="296" t="s">
        <v>2418</v>
      </c>
      <c r="I174" s="136" t="s">
        <v>2308</v>
      </c>
      <c r="J174" s="136" t="s">
        <v>2446</v>
      </c>
      <c r="K174" s="136" t="s">
        <v>2237</v>
      </c>
      <c r="L174" s="136" t="s">
        <v>2452</v>
      </c>
      <c r="M174" s="136" t="s">
        <v>1246</v>
      </c>
      <c r="N174" s="320" t="s">
        <v>6226</v>
      </c>
    </row>
    <row r="175" spans="1:14" ht="19" customHeight="1">
      <c r="A175" s="356" t="s">
        <v>6224</v>
      </c>
      <c r="B175" s="137" t="s">
        <v>2518</v>
      </c>
      <c r="C175" s="136" t="s">
        <v>1241</v>
      </c>
      <c r="D175" s="296" t="s">
        <v>2519</v>
      </c>
      <c r="E175" s="296" t="s">
        <v>6352</v>
      </c>
      <c r="F175" s="297">
        <v>6</v>
      </c>
      <c r="G175" s="296" t="s">
        <v>5653</v>
      </c>
      <c r="H175" s="296" t="s">
        <v>2297</v>
      </c>
      <c r="I175" s="136" t="s">
        <v>2234</v>
      </c>
      <c r="J175" s="136" t="s">
        <v>2446</v>
      </c>
      <c r="K175" s="136" t="s">
        <v>2237</v>
      </c>
      <c r="L175" s="136" t="s">
        <v>2452</v>
      </c>
      <c r="M175" s="136" t="s">
        <v>2520</v>
      </c>
      <c r="N175" s="320" t="s">
        <v>6226</v>
      </c>
    </row>
    <row r="176" spans="1:14" ht="19" customHeight="1">
      <c r="A176" s="356" t="s">
        <v>6224</v>
      </c>
      <c r="B176" s="137" t="s">
        <v>2521</v>
      </c>
      <c r="C176" s="136" t="s">
        <v>1241</v>
      </c>
      <c r="D176" s="296" t="s">
        <v>2522</v>
      </c>
      <c r="E176" s="296" t="s">
        <v>6353</v>
      </c>
      <c r="F176" s="297">
        <v>0</v>
      </c>
      <c r="G176" s="296" t="s">
        <v>5656</v>
      </c>
      <c r="H176" s="296" t="s">
        <v>2426</v>
      </c>
      <c r="I176" s="136" t="s">
        <v>2247</v>
      </c>
      <c r="J176" s="136" t="s">
        <v>2450</v>
      </c>
      <c r="K176" s="136" t="s">
        <v>5658</v>
      </c>
      <c r="L176" s="136" t="s">
        <v>2452</v>
      </c>
      <c r="M176" s="136" t="s">
        <v>4112</v>
      </c>
      <c r="N176" s="320" t="s">
        <v>6226</v>
      </c>
    </row>
    <row r="177" spans="1:14" ht="19" customHeight="1">
      <c r="A177" s="356" t="s">
        <v>6354</v>
      </c>
      <c r="B177" s="137" t="s">
        <v>5965</v>
      </c>
      <c r="C177" s="136" t="s">
        <v>5966</v>
      </c>
      <c r="D177" s="296" t="s">
        <v>5967</v>
      </c>
      <c r="E177" s="296" t="s">
        <v>6355</v>
      </c>
      <c r="F177" s="297">
        <v>10</v>
      </c>
      <c r="G177" s="296" t="s">
        <v>5970</v>
      </c>
      <c r="H177" s="296" t="s">
        <v>2236</v>
      </c>
      <c r="I177" s="136" t="s">
        <v>2308</v>
      </c>
      <c r="J177" s="136" t="s">
        <v>2446</v>
      </c>
      <c r="K177" s="136" t="s">
        <v>2237</v>
      </c>
      <c r="L177" s="136" t="s">
        <v>5968</v>
      </c>
      <c r="M177" s="136" t="s">
        <v>5969</v>
      </c>
      <c r="N177" s="320" t="s">
        <v>6238</v>
      </c>
    </row>
    <row r="178" spans="1:14" ht="19" customHeight="1">
      <c r="A178" s="356" t="s">
        <v>6354</v>
      </c>
      <c r="B178" s="137" t="s">
        <v>5971</v>
      </c>
      <c r="C178" s="136" t="s">
        <v>5966</v>
      </c>
      <c r="D178" s="296" t="s">
        <v>5972</v>
      </c>
      <c r="E178" s="296" t="s">
        <v>6356</v>
      </c>
      <c r="F178" s="297">
        <v>12</v>
      </c>
      <c r="G178" s="296" t="s">
        <v>5973</v>
      </c>
      <c r="H178" s="296" t="s">
        <v>5965</v>
      </c>
      <c r="I178" s="136" t="s">
        <v>2383</v>
      </c>
      <c r="J178" s="136" t="s">
        <v>2446</v>
      </c>
      <c r="K178" s="136" t="s">
        <v>2237</v>
      </c>
      <c r="L178" s="136" t="s">
        <v>5968</v>
      </c>
      <c r="M178" s="136" t="s">
        <v>5969</v>
      </c>
      <c r="N178" s="320" t="s">
        <v>6238</v>
      </c>
    </row>
    <row r="179" spans="1:14" ht="19" customHeight="1">
      <c r="A179" s="356" t="s">
        <v>6354</v>
      </c>
      <c r="B179" s="137" t="s">
        <v>5974</v>
      </c>
      <c r="C179" s="136" t="s">
        <v>5966</v>
      </c>
      <c r="D179" s="296" t="s">
        <v>5975</v>
      </c>
      <c r="E179" s="296" t="s">
        <v>6357</v>
      </c>
      <c r="F179" s="297">
        <v>25</v>
      </c>
      <c r="G179" s="296" t="s">
        <v>5976</v>
      </c>
      <c r="H179" s="296" t="s">
        <v>5971</v>
      </c>
      <c r="I179" s="136" t="s">
        <v>2236</v>
      </c>
      <c r="J179" s="136" t="s">
        <v>2446</v>
      </c>
      <c r="K179" s="136" t="s">
        <v>2237</v>
      </c>
      <c r="L179" s="136" t="s">
        <v>5968</v>
      </c>
      <c r="M179" s="136" t="s">
        <v>5969</v>
      </c>
      <c r="N179" s="320" t="s">
        <v>6238</v>
      </c>
    </row>
    <row r="180" spans="1:14" ht="19" customHeight="1">
      <c r="A180" s="356" t="s">
        <v>6354</v>
      </c>
      <c r="B180" s="137" t="s">
        <v>5977</v>
      </c>
      <c r="C180" s="136" t="s">
        <v>5966</v>
      </c>
      <c r="D180" s="296" t="s">
        <v>5978</v>
      </c>
      <c r="E180" s="296" t="s">
        <v>6358</v>
      </c>
      <c r="F180" s="297">
        <v>30</v>
      </c>
      <c r="G180" s="296" t="s">
        <v>5979</v>
      </c>
      <c r="H180" s="296" t="s">
        <v>2236</v>
      </c>
      <c r="I180" s="136" t="s">
        <v>2236</v>
      </c>
      <c r="J180" s="136" t="s">
        <v>2446</v>
      </c>
      <c r="K180" s="136" t="s">
        <v>2237</v>
      </c>
      <c r="L180" s="136" t="s">
        <v>5968</v>
      </c>
      <c r="M180" s="136" t="s">
        <v>5969</v>
      </c>
      <c r="N180" s="320" t="s">
        <v>6238</v>
      </c>
    </row>
    <row r="181" spans="1:14" ht="19" customHeight="1">
      <c r="A181" s="356" t="s">
        <v>6354</v>
      </c>
      <c r="B181" s="137" t="s">
        <v>5980</v>
      </c>
      <c r="C181" s="136" t="s">
        <v>5966</v>
      </c>
      <c r="D181" s="296" t="s">
        <v>5981</v>
      </c>
      <c r="E181" s="296" t="s">
        <v>6359</v>
      </c>
      <c r="F181" s="297">
        <v>10</v>
      </c>
      <c r="G181" s="296" t="s">
        <v>5982</v>
      </c>
      <c r="H181" s="296" t="s">
        <v>2479</v>
      </c>
      <c r="I181" s="136" t="s">
        <v>2236</v>
      </c>
      <c r="J181" s="136" t="s">
        <v>2446</v>
      </c>
      <c r="K181" s="136" t="s">
        <v>2237</v>
      </c>
      <c r="L181" s="136" t="s">
        <v>5968</v>
      </c>
      <c r="M181" s="136" t="s">
        <v>5969</v>
      </c>
      <c r="N181" s="320" t="s">
        <v>6238</v>
      </c>
    </row>
    <row r="182" spans="1:14" ht="19" customHeight="1">
      <c r="A182" s="356" t="s">
        <v>6354</v>
      </c>
      <c r="B182" s="137" t="s">
        <v>5983</v>
      </c>
      <c r="C182" s="136" t="s">
        <v>5966</v>
      </c>
      <c r="D182" s="296" t="s">
        <v>5984</v>
      </c>
      <c r="E182" s="296" t="s">
        <v>6360</v>
      </c>
      <c r="F182" s="297">
        <v>8</v>
      </c>
      <c r="G182" s="296" t="s">
        <v>5985</v>
      </c>
      <c r="H182" s="296" t="s">
        <v>2236</v>
      </c>
      <c r="I182" s="136" t="s">
        <v>2327</v>
      </c>
      <c r="J182" s="136" t="s">
        <v>2446</v>
      </c>
      <c r="K182" s="136" t="s">
        <v>2237</v>
      </c>
      <c r="L182" s="136" t="s">
        <v>5968</v>
      </c>
      <c r="M182" s="136" t="s">
        <v>5969</v>
      </c>
      <c r="N182" s="320" t="s">
        <v>6240</v>
      </c>
    </row>
    <row r="183" spans="1:14" ht="19" customHeight="1">
      <c r="A183" s="356" t="s">
        <v>6354</v>
      </c>
      <c r="B183" s="137" t="s">
        <v>5986</v>
      </c>
      <c r="C183" s="136" t="s">
        <v>5966</v>
      </c>
      <c r="D183" s="296" t="s">
        <v>5987</v>
      </c>
      <c r="E183" s="296" t="s">
        <v>6361</v>
      </c>
      <c r="F183" s="297">
        <v>10</v>
      </c>
      <c r="G183" s="296" t="s">
        <v>5988</v>
      </c>
      <c r="H183" s="296" t="s">
        <v>5983</v>
      </c>
      <c r="I183" s="136" t="s">
        <v>2378</v>
      </c>
      <c r="J183" s="136" t="s">
        <v>2446</v>
      </c>
      <c r="K183" s="136" t="s">
        <v>2237</v>
      </c>
      <c r="L183" s="136" t="s">
        <v>5968</v>
      </c>
      <c r="M183" s="136" t="s">
        <v>5969</v>
      </c>
      <c r="N183" s="320" t="s">
        <v>6238</v>
      </c>
    </row>
    <row r="184" spans="1:14" ht="19" customHeight="1">
      <c r="A184" s="357" t="s">
        <v>6354</v>
      </c>
      <c r="B184" s="313" t="s">
        <v>5989</v>
      </c>
      <c r="C184" s="312" t="s">
        <v>5966</v>
      </c>
      <c r="D184" s="299" t="s">
        <v>5990</v>
      </c>
      <c r="E184" s="299" t="s">
        <v>6362</v>
      </c>
      <c r="F184" s="300">
        <v>12</v>
      </c>
      <c r="G184" s="299" t="s">
        <v>5991</v>
      </c>
      <c r="H184" s="299" t="s">
        <v>2236</v>
      </c>
      <c r="I184" s="312" t="s">
        <v>2236</v>
      </c>
      <c r="J184" s="312" t="s">
        <v>2446</v>
      </c>
      <c r="K184" s="312" t="s">
        <v>2237</v>
      </c>
      <c r="L184" s="312" t="s">
        <v>5968</v>
      </c>
      <c r="M184" s="312" t="s">
        <v>5969</v>
      </c>
      <c r="N184" s="321" t="s">
        <v>6238</v>
      </c>
    </row>
    <row r="185" spans="1:14" ht="26" customHeight="1"/>
    <row r="186" spans="1:14" ht="26" customHeight="1"/>
    <row r="187" spans="1:14" ht="26" customHeight="1">
      <c r="A187" s="370" t="s">
        <v>5992</v>
      </c>
      <c r="B187" s="32"/>
      <c r="C187" s="32"/>
    </row>
    <row r="188" spans="1:14" ht="26" customHeight="1">
      <c r="A188" s="254" t="s">
        <v>5993</v>
      </c>
      <c r="B188" s="255" t="s">
        <v>1545</v>
      </c>
      <c r="C188" s="256" t="s">
        <v>5994</v>
      </c>
    </row>
    <row r="189" spans="1:14" ht="26" customHeight="1">
      <c r="A189" s="257" t="s">
        <v>2671</v>
      </c>
      <c r="B189" s="258" t="s">
        <v>5995</v>
      </c>
      <c r="C189" s="318" t="s">
        <v>5996</v>
      </c>
    </row>
    <row r="190" spans="1:14" ht="26" customHeight="1">
      <c r="A190" s="257" t="s">
        <v>2665</v>
      </c>
      <c r="B190" s="258" t="s">
        <v>5997</v>
      </c>
      <c r="C190" s="318" t="s">
        <v>5998</v>
      </c>
    </row>
    <row r="191" spans="1:14" ht="26" customHeight="1">
      <c r="A191" s="257" t="s">
        <v>2654</v>
      </c>
      <c r="B191" s="258" t="s">
        <v>5999</v>
      </c>
      <c r="C191" s="318" t="s">
        <v>6000</v>
      </c>
    </row>
    <row r="192" spans="1:14" ht="26" customHeight="1">
      <c r="A192" s="264" t="s">
        <v>2669</v>
      </c>
      <c r="B192" s="265" t="s">
        <v>6001</v>
      </c>
      <c r="C192" s="319" t="s">
        <v>6002</v>
      </c>
    </row>
    <row r="193" spans="1:3" ht="26" customHeight="1">
      <c r="A193" s="116"/>
      <c r="B193" s="116"/>
      <c r="C193" s="116"/>
    </row>
    <row r="194" spans="1:3" ht="26" customHeight="1">
      <c r="A194" s="33" t="s">
        <v>6366</v>
      </c>
      <c r="B194" s="116"/>
      <c r="C194" s="116"/>
    </row>
    <row r="195" spans="1:3" ht="26" customHeight="1">
      <c r="A195" s="116" t="s">
        <v>6367</v>
      </c>
      <c r="B195" s="116"/>
      <c r="C195" s="116"/>
    </row>
    <row r="196" spans="1:3" ht="26" customHeight="1">
      <c r="A196" s="116" t="s">
        <v>6210</v>
      </c>
      <c r="B196" s="116"/>
      <c r="C196" s="116"/>
    </row>
    <row r="197" spans="1:3" ht="26" customHeight="1">
      <c r="A197" s="116" t="s">
        <v>6211</v>
      </c>
      <c r="B197" s="116"/>
      <c r="C197" s="116"/>
    </row>
    <row r="198" spans="1:3" ht="26" customHeight="1">
      <c r="A198" s="116" t="s">
        <v>6368</v>
      </c>
      <c r="B198" s="116"/>
      <c r="C198" s="116"/>
    </row>
    <row r="199" spans="1:3" ht="26" customHeight="1">
      <c r="A199" s="116" t="s">
        <v>6369</v>
      </c>
      <c r="B199" s="116"/>
      <c r="C199" s="116"/>
    </row>
    <row r="200" spans="1:3" ht="26" customHeight="1">
      <c r="A200" s="116" t="s">
        <v>6370</v>
      </c>
      <c r="B200" s="116"/>
      <c r="C200" s="116"/>
    </row>
    <row r="201" spans="1:3">
      <c r="A201" s="116" t="s">
        <v>6371</v>
      </c>
      <c r="B201" s="116"/>
      <c r="C201" s="116"/>
    </row>
  </sheetData>
  <autoFilter ref="A5:N184" xr:uid="{299E7693-5B40-0444-B227-D6033B94776C}"/>
  <phoneticPr fontId="2"/>
  <conditionalFormatting sqref="A6:N184 A187">
    <cfRule type="expression" dxfId="46" priority="1">
      <formula>$A6="② 詳細設計"</formula>
    </cfRule>
  </conditionalFormatting>
  <conditionalFormatting sqref="A6:N184 A187">
    <cfRule type="expression" dxfId="45"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2"/>
  <sheetViews>
    <sheetView zoomScale="134" workbookViewId="0">
      <pane ySplit="5" topLeftCell="A19" activePane="bottomLeft" state="frozen"/>
      <selection activeCell="C1" sqref="C1"/>
      <selection pane="bottomLeft" activeCell="D23" sqref="D23"/>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5749</v>
      </c>
    </row>
    <row r="2" spans="1:8">
      <c r="A2" s="3" t="s">
        <v>5750</v>
      </c>
    </row>
    <row r="3" spans="1:8">
      <c r="A3" s="55" t="s">
        <v>5751</v>
      </c>
    </row>
    <row r="5" spans="1:8" ht="24" customHeight="1">
      <c r="A5" s="185" t="s">
        <v>1</v>
      </c>
      <c r="B5" s="186" t="s">
        <v>9</v>
      </c>
      <c r="C5" s="186" t="s">
        <v>2759</v>
      </c>
      <c r="D5" s="186" t="s">
        <v>2764</v>
      </c>
      <c r="E5" s="186" t="s">
        <v>2530</v>
      </c>
      <c r="F5" s="186" t="s">
        <v>2765</v>
      </c>
      <c r="G5" s="187" t="s">
        <v>2756</v>
      </c>
      <c r="H5" s="349" t="s">
        <v>5671</v>
      </c>
    </row>
    <row r="6" spans="1:8">
      <c r="A6" s="5" t="s">
        <v>2766</v>
      </c>
      <c r="B6" s="178" t="s">
        <v>2767</v>
      </c>
      <c r="C6" s="6" t="s">
        <v>2768</v>
      </c>
      <c r="D6" s="195" t="s">
        <v>2769</v>
      </c>
      <c r="E6" s="165">
        <v>6</v>
      </c>
      <c r="F6" s="180" t="s">
        <v>2770</v>
      </c>
      <c r="G6" s="188" t="s">
        <v>2771</v>
      </c>
      <c r="H6" s="57" t="s">
        <v>5672</v>
      </c>
    </row>
    <row r="7" spans="1:8">
      <c r="A7" s="5" t="s">
        <v>2766</v>
      </c>
      <c r="B7" s="178" t="s">
        <v>2772</v>
      </c>
      <c r="C7" s="6" t="s">
        <v>2773</v>
      </c>
      <c r="D7" s="195" t="s">
        <v>2774</v>
      </c>
      <c r="E7" s="165">
        <v>6</v>
      </c>
      <c r="F7" s="180" t="s">
        <v>2775</v>
      </c>
      <c r="G7" s="188" t="s">
        <v>2771</v>
      </c>
      <c r="H7" s="57" t="s">
        <v>5673</v>
      </c>
    </row>
    <row r="8" spans="1:8">
      <c r="A8" s="5" t="s">
        <v>2766</v>
      </c>
      <c r="B8" s="178" t="s">
        <v>2776</v>
      </c>
      <c r="C8" s="6" t="s">
        <v>2777</v>
      </c>
      <c r="D8" s="195" t="s">
        <v>2778</v>
      </c>
      <c r="E8" s="165">
        <v>6</v>
      </c>
      <c r="F8" s="180" t="s">
        <v>2779</v>
      </c>
      <c r="G8" s="188" t="s">
        <v>2771</v>
      </c>
      <c r="H8" s="57" t="s">
        <v>5674</v>
      </c>
    </row>
    <row r="9" spans="1:8">
      <c r="A9" s="5" t="s">
        <v>2766</v>
      </c>
      <c r="B9" s="178" t="s">
        <v>2780</v>
      </c>
      <c r="C9" s="6" t="s">
        <v>2781</v>
      </c>
      <c r="D9" s="195" t="s">
        <v>2782</v>
      </c>
      <c r="E9" s="165">
        <v>5</v>
      </c>
      <c r="F9" s="180" t="s">
        <v>2783</v>
      </c>
      <c r="G9" s="188" t="s">
        <v>2771</v>
      </c>
      <c r="H9" s="57" t="s">
        <v>5675</v>
      </c>
    </row>
    <row r="10" spans="1:8">
      <c r="A10" s="5" t="s">
        <v>2766</v>
      </c>
      <c r="B10" s="178" t="s">
        <v>2784</v>
      </c>
      <c r="C10" s="6" t="s">
        <v>2785</v>
      </c>
      <c r="D10" s="195" t="s">
        <v>2786</v>
      </c>
      <c r="E10" s="165">
        <v>5</v>
      </c>
      <c r="F10" s="180" t="s">
        <v>2787</v>
      </c>
      <c r="G10" s="188" t="s">
        <v>2771</v>
      </c>
      <c r="H10" s="57" t="s">
        <v>5676</v>
      </c>
    </row>
    <row r="11" spans="1:8">
      <c r="A11" s="5" t="s">
        <v>2766</v>
      </c>
      <c r="B11" s="178" t="s">
        <v>2788</v>
      </c>
      <c r="C11" s="6" t="s">
        <v>2789</v>
      </c>
      <c r="D11" s="195" t="s">
        <v>2790</v>
      </c>
      <c r="E11" s="165">
        <v>6</v>
      </c>
      <c r="F11" s="180" t="s">
        <v>2791</v>
      </c>
      <c r="G11" s="188" t="s">
        <v>2771</v>
      </c>
      <c r="H11" s="57" t="s">
        <v>5677</v>
      </c>
    </row>
    <row r="12" spans="1:8">
      <c r="A12" s="5" t="s">
        <v>2766</v>
      </c>
      <c r="B12" s="178" t="s">
        <v>2792</v>
      </c>
      <c r="C12" s="6" t="s">
        <v>2793</v>
      </c>
      <c r="D12" s="195" t="s">
        <v>2794</v>
      </c>
      <c r="E12" s="165">
        <v>4</v>
      </c>
      <c r="F12" s="180" t="s">
        <v>2795</v>
      </c>
      <c r="G12" s="188" t="s">
        <v>2771</v>
      </c>
      <c r="H12" s="57" t="s">
        <v>5678</v>
      </c>
    </row>
    <row r="13" spans="1:8">
      <c r="A13" s="336" t="s">
        <v>2766</v>
      </c>
      <c r="B13" s="337" t="s">
        <v>5716</v>
      </c>
      <c r="C13" s="322" t="s">
        <v>5717</v>
      </c>
      <c r="D13" s="338" t="s">
        <v>5718</v>
      </c>
      <c r="E13" s="339">
        <v>5</v>
      </c>
      <c r="F13" s="340" t="s">
        <v>5719</v>
      </c>
      <c r="G13" s="341" t="s">
        <v>2771</v>
      </c>
      <c r="H13" s="350" t="s">
        <v>5720</v>
      </c>
    </row>
    <row r="14" spans="1:8">
      <c r="A14" s="336" t="s">
        <v>2766</v>
      </c>
      <c r="B14" s="337" t="s">
        <v>5721</v>
      </c>
      <c r="C14" s="322" t="s">
        <v>5722</v>
      </c>
      <c r="D14" s="338" t="s">
        <v>5723</v>
      </c>
      <c r="E14" s="339">
        <v>4</v>
      </c>
      <c r="F14" s="340" t="s">
        <v>5724</v>
      </c>
      <c r="G14" s="341" t="s">
        <v>2771</v>
      </c>
      <c r="H14" s="350" t="s">
        <v>5725</v>
      </c>
    </row>
    <row r="15" spans="1:8" ht="34">
      <c r="A15" s="5" t="s">
        <v>2796</v>
      </c>
      <c r="B15" s="178" t="s">
        <v>2797</v>
      </c>
      <c r="C15" s="6" t="s">
        <v>2798</v>
      </c>
      <c r="D15" s="195" t="s">
        <v>2799</v>
      </c>
      <c r="E15" s="165">
        <v>12</v>
      </c>
      <c r="F15" s="180" t="s">
        <v>2800</v>
      </c>
      <c r="G15" s="188" t="s">
        <v>2771</v>
      </c>
      <c r="H15" s="57" t="s">
        <v>5679</v>
      </c>
    </row>
    <row r="16" spans="1:8" ht="34">
      <c r="A16" s="5" t="s">
        <v>2796</v>
      </c>
      <c r="B16" s="178" t="s">
        <v>2801</v>
      </c>
      <c r="C16" s="6" t="s">
        <v>2802</v>
      </c>
      <c r="D16" s="195" t="s">
        <v>2803</v>
      </c>
      <c r="E16" s="165">
        <v>10</v>
      </c>
      <c r="F16" s="180" t="s">
        <v>2804</v>
      </c>
      <c r="G16" s="188" t="s">
        <v>2771</v>
      </c>
      <c r="H16" s="57" t="s">
        <v>5680</v>
      </c>
    </row>
    <row r="17" spans="1:8">
      <c r="A17" s="5" t="s">
        <v>2796</v>
      </c>
      <c r="B17" s="178" t="s">
        <v>2805</v>
      </c>
      <c r="C17" s="6" t="s">
        <v>2806</v>
      </c>
      <c r="D17" s="195" t="s">
        <v>2807</v>
      </c>
      <c r="E17" s="165">
        <v>12</v>
      </c>
      <c r="F17" s="180" t="s">
        <v>2808</v>
      </c>
      <c r="G17" s="188" t="s">
        <v>2771</v>
      </c>
      <c r="H17" s="57" t="s">
        <v>5681</v>
      </c>
    </row>
    <row r="18" spans="1:8">
      <c r="A18" s="5" t="s">
        <v>2796</v>
      </c>
      <c r="B18" s="178" t="s">
        <v>2809</v>
      </c>
      <c r="C18" s="6" t="s">
        <v>2810</v>
      </c>
      <c r="D18" s="195" t="s">
        <v>2811</v>
      </c>
      <c r="E18" s="165">
        <v>10</v>
      </c>
      <c r="F18" s="180" t="s">
        <v>2812</v>
      </c>
      <c r="G18" s="188" t="s">
        <v>2771</v>
      </c>
      <c r="H18" s="57" t="s">
        <v>5682</v>
      </c>
    </row>
    <row r="19" spans="1:8">
      <c r="A19" s="5" t="s">
        <v>2796</v>
      </c>
      <c r="B19" s="178" t="s">
        <v>2813</v>
      </c>
      <c r="C19" s="6" t="s">
        <v>2814</v>
      </c>
      <c r="D19" s="195" t="s">
        <v>2815</v>
      </c>
      <c r="E19" s="165">
        <v>12</v>
      </c>
      <c r="F19" s="180" t="s">
        <v>2760</v>
      </c>
      <c r="G19" s="188" t="s">
        <v>2771</v>
      </c>
      <c r="H19" s="57" t="s">
        <v>5683</v>
      </c>
    </row>
    <row r="20" spans="1:8">
      <c r="A20" s="5" t="s">
        <v>2796</v>
      </c>
      <c r="B20" s="178" t="s">
        <v>2816</v>
      </c>
      <c r="C20" s="6" t="s">
        <v>2817</v>
      </c>
      <c r="D20" s="195" t="s">
        <v>2818</v>
      </c>
      <c r="E20" s="165">
        <v>8</v>
      </c>
      <c r="F20" s="180" t="s">
        <v>2761</v>
      </c>
      <c r="G20" s="188" t="s">
        <v>2771</v>
      </c>
      <c r="H20" s="57" t="s">
        <v>5684</v>
      </c>
    </row>
    <row r="21" spans="1:8">
      <c r="A21" s="5" t="s">
        <v>2796</v>
      </c>
      <c r="B21" s="178" t="s">
        <v>2819</v>
      </c>
      <c r="C21" s="6" t="s">
        <v>2820</v>
      </c>
      <c r="D21" s="195" t="s">
        <v>2821</v>
      </c>
      <c r="E21" s="165">
        <v>12</v>
      </c>
      <c r="F21" s="180" t="s">
        <v>2822</v>
      </c>
      <c r="G21" s="188" t="s">
        <v>2771</v>
      </c>
      <c r="H21" s="57" t="s">
        <v>5685</v>
      </c>
    </row>
    <row r="22" spans="1:8">
      <c r="A22" s="5" t="s">
        <v>2796</v>
      </c>
      <c r="B22" s="178" t="s">
        <v>2823</v>
      </c>
      <c r="C22" s="6" t="s">
        <v>2824</v>
      </c>
      <c r="D22" s="195" t="s">
        <v>2825</v>
      </c>
      <c r="E22" s="165">
        <v>6</v>
      </c>
      <c r="F22" s="180" t="s">
        <v>2826</v>
      </c>
      <c r="G22" s="188" t="s">
        <v>2771</v>
      </c>
      <c r="H22" s="57" t="s">
        <v>5686</v>
      </c>
    </row>
    <row r="23" spans="1:8">
      <c r="A23" s="5" t="s">
        <v>2796</v>
      </c>
      <c r="B23" s="178" t="s">
        <v>2827</v>
      </c>
      <c r="C23" s="6" t="s">
        <v>2828</v>
      </c>
      <c r="D23" s="195" t="s">
        <v>2829</v>
      </c>
      <c r="E23" s="165">
        <v>5</v>
      </c>
      <c r="F23" s="180" t="s">
        <v>2830</v>
      </c>
      <c r="G23" s="188" t="s">
        <v>2771</v>
      </c>
      <c r="H23" s="57" t="s">
        <v>5687</v>
      </c>
    </row>
    <row r="24" spans="1:8">
      <c r="A24" s="5" t="s">
        <v>2831</v>
      </c>
      <c r="B24" s="178" t="s">
        <v>2832</v>
      </c>
      <c r="C24" s="6" t="s">
        <v>2833</v>
      </c>
      <c r="D24" s="195" t="s">
        <v>2834</v>
      </c>
      <c r="E24" s="165">
        <v>10</v>
      </c>
      <c r="F24" s="180" t="s">
        <v>2835</v>
      </c>
      <c r="G24" s="188" t="s">
        <v>1522</v>
      </c>
      <c r="H24" s="57" t="s">
        <v>5688</v>
      </c>
    </row>
    <row r="25" spans="1:8">
      <c r="A25" s="5" t="s">
        <v>2831</v>
      </c>
      <c r="B25" s="178" t="s">
        <v>2836</v>
      </c>
      <c r="C25" s="6" t="s">
        <v>2837</v>
      </c>
      <c r="D25" s="195" t="s">
        <v>2838</v>
      </c>
      <c r="E25" s="165">
        <v>8</v>
      </c>
      <c r="F25" s="180" t="s">
        <v>2839</v>
      </c>
      <c r="G25" s="188" t="s">
        <v>1522</v>
      </c>
      <c r="H25" s="57" t="s">
        <v>5689</v>
      </c>
    </row>
    <row r="26" spans="1:8">
      <c r="A26" s="5" t="s">
        <v>2831</v>
      </c>
      <c r="B26" s="178" t="s">
        <v>2840</v>
      </c>
      <c r="C26" s="6" t="s">
        <v>2841</v>
      </c>
      <c r="D26" s="195" t="s">
        <v>2842</v>
      </c>
      <c r="E26" s="165">
        <v>12</v>
      </c>
      <c r="F26" s="180" t="s">
        <v>2843</v>
      </c>
      <c r="G26" s="188" t="s">
        <v>1522</v>
      </c>
      <c r="H26" s="57" t="s">
        <v>5690</v>
      </c>
    </row>
    <row r="27" spans="1:8">
      <c r="A27" s="5" t="s">
        <v>2831</v>
      </c>
      <c r="B27" s="178" t="s">
        <v>2844</v>
      </c>
      <c r="C27" s="6" t="s">
        <v>2845</v>
      </c>
      <c r="D27" s="195" t="s">
        <v>2846</v>
      </c>
      <c r="E27" s="165">
        <v>8</v>
      </c>
      <c r="F27" s="180" t="s">
        <v>2847</v>
      </c>
      <c r="G27" s="188" t="s">
        <v>1522</v>
      </c>
      <c r="H27" s="57" t="s">
        <v>5691</v>
      </c>
    </row>
    <row r="28" spans="1:8" ht="34">
      <c r="A28" s="5" t="s">
        <v>2848</v>
      </c>
      <c r="B28" s="178" t="s">
        <v>2849</v>
      </c>
      <c r="C28" s="6" t="s">
        <v>2850</v>
      </c>
      <c r="D28" s="195" t="s">
        <v>2851</v>
      </c>
      <c r="E28" s="165">
        <v>18</v>
      </c>
      <c r="F28" s="180" t="s">
        <v>5715</v>
      </c>
      <c r="G28" s="188" t="s">
        <v>2771</v>
      </c>
      <c r="H28" s="57" t="s">
        <v>5692</v>
      </c>
    </row>
    <row r="29" spans="1:8">
      <c r="A29" s="5" t="s">
        <v>2848</v>
      </c>
      <c r="B29" s="178" t="s">
        <v>2852</v>
      </c>
      <c r="C29" s="6" t="s">
        <v>2853</v>
      </c>
      <c r="D29" s="195" t="s">
        <v>2854</v>
      </c>
      <c r="E29" s="165">
        <v>14</v>
      </c>
      <c r="F29" s="180" t="s">
        <v>6019</v>
      </c>
      <c r="G29" s="188" t="s">
        <v>2771</v>
      </c>
      <c r="H29" s="57" t="s">
        <v>5693</v>
      </c>
    </row>
    <row r="30" spans="1:8">
      <c r="A30" s="5" t="s">
        <v>2848</v>
      </c>
      <c r="B30" s="178" t="s">
        <v>2855</v>
      </c>
      <c r="C30" s="6" t="s">
        <v>2856</v>
      </c>
      <c r="D30" s="195" t="s">
        <v>2857</v>
      </c>
      <c r="E30" s="165">
        <v>12</v>
      </c>
      <c r="F30" s="180" t="s">
        <v>6020</v>
      </c>
      <c r="G30" s="188" t="s">
        <v>2771</v>
      </c>
      <c r="H30" s="57" t="s">
        <v>5694</v>
      </c>
    </row>
    <row r="31" spans="1:8">
      <c r="A31" s="5" t="s">
        <v>2848</v>
      </c>
      <c r="B31" s="178" t="s">
        <v>2858</v>
      </c>
      <c r="C31" s="6" t="s">
        <v>2859</v>
      </c>
      <c r="D31" s="195" t="s">
        <v>2860</v>
      </c>
      <c r="E31" s="165">
        <v>8</v>
      </c>
      <c r="F31" s="180" t="s">
        <v>6021</v>
      </c>
      <c r="G31" s="188" t="s">
        <v>2771</v>
      </c>
      <c r="H31" s="57" t="s">
        <v>5695</v>
      </c>
    </row>
    <row r="32" spans="1:8">
      <c r="A32" s="5" t="s">
        <v>2848</v>
      </c>
      <c r="B32" s="178" t="s">
        <v>2861</v>
      </c>
      <c r="C32" s="6" t="s">
        <v>2862</v>
      </c>
      <c r="D32" s="195" t="s">
        <v>2863</v>
      </c>
      <c r="E32" s="165">
        <v>6</v>
      </c>
      <c r="F32" s="180" t="s">
        <v>6022</v>
      </c>
      <c r="G32" s="188" t="s">
        <v>2771</v>
      </c>
      <c r="H32" s="57" t="s">
        <v>5696</v>
      </c>
    </row>
    <row r="33" spans="1:8">
      <c r="A33" s="5" t="s">
        <v>2848</v>
      </c>
      <c r="B33" s="178" t="s">
        <v>2864</v>
      </c>
      <c r="C33" s="6" t="s">
        <v>2865</v>
      </c>
      <c r="D33" s="195" t="s">
        <v>2866</v>
      </c>
      <c r="E33" s="165">
        <v>6</v>
      </c>
      <c r="F33" s="180" t="s">
        <v>6023</v>
      </c>
      <c r="G33" s="188" t="s">
        <v>2771</v>
      </c>
      <c r="H33" s="57" t="s">
        <v>5697</v>
      </c>
    </row>
    <row r="34" spans="1:8">
      <c r="A34" s="5" t="s">
        <v>2867</v>
      </c>
      <c r="B34" s="178" t="s">
        <v>2868</v>
      </c>
      <c r="C34" s="6" t="s">
        <v>2869</v>
      </c>
      <c r="D34" s="195" t="s">
        <v>2870</v>
      </c>
      <c r="E34" s="165">
        <v>12</v>
      </c>
      <c r="F34" s="180" t="s">
        <v>6024</v>
      </c>
      <c r="G34" s="188" t="s">
        <v>2771</v>
      </c>
      <c r="H34" s="57" t="s">
        <v>5698</v>
      </c>
    </row>
    <row r="35" spans="1:8">
      <c r="A35" s="5" t="s">
        <v>2867</v>
      </c>
      <c r="B35" s="178" t="s">
        <v>2871</v>
      </c>
      <c r="C35" s="6" t="s">
        <v>2872</v>
      </c>
      <c r="D35" s="195" t="s">
        <v>2873</v>
      </c>
      <c r="E35" s="165">
        <v>8</v>
      </c>
      <c r="F35" s="180" t="s">
        <v>6025</v>
      </c>
      <c r="G35" s="188" t="s">
        <v>2771</v>
      </c>
      <c r="H35" s="57" t="s">
        <v>5699</v>
      </c>
    </row>
    <row r="36" spans="1:8">
      <c r="A36" s="5" t="s">
        <v>2867</v>
      </c>
      <c r="B36" s="178" t="s">
        <v>2874</v>
      </c>
      <c r="C36" s="6" t="s">
        <v>2875</v>
      </c>
      <c r="D36" s="195" t="s">
        <v>2876</v>
      </c>
      <c r="E36" s="165">
        <v>8</v>
      </c>
      <c r="F36" s="180" t="s">
        <v>6026</v>
      </c>
      <c r="G36" s="188" t="s">
        <v>2771</v>
      </c>
      <c r="H36" s="57" t="s">
        <v>5700</v>
      </c>
    </row>
    <row r="37" spans="1:8">
      <c r="A37" s="5" t="s">
        <v>2867</v>
      </c>
      <c r="B37" s="178" t="s">
        <v>2877</v>
      </c>
      <c r="C37" s="6" t="s">
        <v>2878</v>
      </c>
      <c r="D37" s="195" t="s">
        <v>2879</v>
      </c>
      <c r="E37" s="165">
        <v>6</v>
      </c>
      <c r="F37" s="180" t="s">
        <v>6027</v>
      </c>
      <c r="G37" s="188" t="s">
        <v>2771</v>
      </c>
      <c r="H37" s="57" t="s">
        <v>5701</v>
      </c>
    </row>
    <row r="38" spans="1:8">
      <c r="A38" s="5" t="s">
        <v>2867</v>
      </c>
      <c r="B38" s="178" t="s">
        <v>2880</v>
      </c>
      <c r="C38" s="6" t="s">
        <v>2881</v>
      </c>
      <c r="D38" s="195" t="s">
        <v>2882</v>
      </c>
      <c r="E38" s="165">
        <v>6</v>
      </c>
      <c r="F38" s="180" t="s">
        <v>6028</v>
      </c>
      <c r="G38" s="188" t="s">
        <v>2771</v>
      </c>
      <c r="H38" s="57" t="s">
        <v>5702</v>
      </c>
    </row>
    <row r="39" spans="1:8">
      <c r="A39" s="5" t="s">
        <v>2883</v>
      </c>
      <c r="B39" s="178" t="s">
        <v>2884</v>
      </c>
      <c r="C39" s="6" t="s">
        <v>2885</v>
      </c>
      <c r="D39" s="195" t="s">
        <v>2886</v>
      </c>
      <c r="E39" s="165">
        <v>15</v>
      </c>
      <c r="F39" s="180" t="s">
        <v>2887</v>
      </c>
      <c r="G39" s="188" t="s">
        <v>1522</v>
      </c>
      <c r="H39" s="57" t="s">
        <v>5703</v>
      </c>
    </row>
    <row r="40" spans="1:8">
      <c r="A40" s="5" t="s">
        <v>2883</v>
      </c>
      <c r="B40" s="178" t="s">
        <v>2888</v>
      </c>
      <c r="C40" s="6" t="s">
        <v>2889</v>
      </c>
      <c r="D40" s="195" t="s">
        <v>2890</v>
      </c>
      <c r="E40" s="165">
        <v>8</v>
      </c>
      <c r="F40" s="180" t="s">
        <v>2891</v>
      </c>
      <c r="G40" s="188" t="s">
        <v>2771</v>
      </c>
      <c r="H40" s="57" t="s">
        <v>5704</v>
      </c>
    </row>
    <row r="41" spans="1:8">
      <c r="A41" s="5" t="s">
        <v>2883</v>
      </c>
      <c r="B41" s="178" t="s">
        <v>2892</v>
      </c>
      <c r="C41" s="6" t="s">
        <v>2893</v>
      </c>
      <c r="D41" s="195" t="s">
        <v>2894</v>
      </c>
      <c r="E41" s="165">
        <v>6</v>
      </c>
      <c r="F41" s="180" t="s">
        <v>2895</v>
      </c>
      <c r="G41" s="188" t="s">
        <v>2771</v>
      </c>
      <c r="H41" s="57" t="s">
        <v>5705</v>
      </c>
    </row>
    <row r="42" spans="1:8">
      <c r="A42" s="5" t="s">
        <v>2883</v>
      </c>
      <c r="B42" s="178" t="s">
        <v>2896</v>
      </c>
      <c r="C42" s="6" t="s">
        <v>2897</v>
      </c>
      <c r="D42" s="195" t="s">
        <v>2898</v>
      </c>
      <c r="E42" s="165">
        <v>5</v>
      </c>
      <c r="F42" s="180" t="s">
        <v>2899</v>
      </c>
      <c r="G42" s="188" t="s">
        <v>2771</v>
      </c>
      <c r="H42" s="57" t="s">
        <v>5706</v>
      </c>
    </row>
    <row r="43" spans="1:8">
      <c r="A43" s="5" t="s">
        <v>2883</v>
      </c>
      <c r="B43" s="178" t="s">
        <v>2900</v>
      </c>
      <c r="C43" s="6" t="s">
        <v>2901</v>
      </c>
      <c r="D43" s="195" t="s">
        <v>2902</v>
      </c>
      <c r="E43" s="165">
        <v>4</v>
      </c>
      <c r="F43" s="180" t="s">
        <v>2903</v>
      </c>
      <c r="G43" s="188" t="s">
        <v>2771</v>
      </c>
      <c r="H43" s="57" t="s">
        <v>5707</v>
      </c>
    </row>
    <row r="44" spans="1:8" ht="34">
      <c r="A44" s="336" t="s">
        <v>2883</v>
      </c>
      <c r="B44" s="337" t="s">
        <v>5726</v>
      </c>
      <c r="C44" s="322" t="s">
        <v>5727</v>
      </c>
      <c r="D44" s="338" t="s">
        <v>5728</v>
      </c>
      <c r="E44" s="339">
        <v>5</v>
      </c>
      <c r="F44" s="340" t="s">
        <v>5729</v>
      </c>
      <c r="G44" s="341" t="s">
        <v>2771</v>
      </c>
      <c r="H44" s="350" t="s">
        <v>5730</v>
      </c>
    </row>
    <row r="45" spans="1:8">
      <c r="A45" s="5" t="s">
        <v>2904</v>
      </c>
      <c r="B45" s="178" t="s">
        <v>2905</v>
      </c>
      <c r="C45" s="6" t="s">
        <v>2906</v>
      </c>
      <c r="D45" s="195" t="s">
        <v>2907</v>
      </c>
      <c r="E45" s="165">
        <v>10</v>
      </c>
      <c r="F45" s="180" t="s">
        <v>2908</v>
      </c>
      <c r="G45" s="188" t="s">
        <v>2771</v>
      </c>
      <c r="H45" s="57" t="s">
        <v>5708</v>
      </c>
    </row>
    <row r="46" spans="1:8">
      <c r="A46" s="5" t="s">
        <v>2904</v>
      </c>
      <c r="B46" s="178" t="s">
        <v>2909</v>
      </c>
      <c r="C46" s="6" t="s">
        <v>2910</v>
      </c>
      <c r="D46" s="195" t="s">
        <v>2911</v>
      </c>
      <c r="E46" s="165">
        <v>12</v>
      </c>
      <c r="F46" s="180" t="s">
        <v>2912</v>
      </c>
      <c r="G46" s="188" t="s">
        <v>2771</v>
      </c>
      <c r="H46" s="57" t="s">
        <v>5709</v>
      </c>
    </row>
    <row r="47" spans="1:8">
      <c r="A47" s="5" t="s">
        <v>2904</v>
      </c>
      <c r="B47" s="178" t="s">
        <v>2913</v>
      </c>
      <c r="C47" s="6" t="s">
        <v>2914</v>
      </c>
      <c r="D47" s="195" t="s">
        <v>2915</v>
      </c>
      <c r="E47" s="165">
        <v>8</v>
      </c>
      <c r="F47" s="180" t="s">
        <v>2916</v>
      </c>
      <c r="G47" s="188" t="s">
        <v>2771</v>
      </c>
      <c r="H47" s="57" t="s">
        <v>5710</v>
      </c>
    </row>
    <row r="48" spans="1:8">
      <c r="A48" s="5" t="s">
        <v>2904</v>
      </c>
      <c r="B48" s="178" t="s">
        <v>2917</v>
      </c>
      <c r="C48" s="6" t="s">
        <v>2918</v>
      </c>
      <c r="D48" s="195" t="s">
        <v>2919</v>
      </c>
      <c r="E48" s="165">
        <v>6</v>
      </c>
      <c r="F48" s="180" t="s">
        <v>2920</v>
      </c>
      <c r="G48" s="188" t="s">
        <v>2771</v>
      </c>
      <c r="H48" s="57" t="s">
        <v>5711</v>
      </c>
    </row>
    <row r="49" spans="1:8">
      <c r="A49" s="5" t="s">
        <v>2921</v>
      </c>
      <c r="B49" s="178" t="s">
        <v>2922</v>
      </c>
      <c r="C49" s="6" t="s">
        <v>2923</v>
      </c>
      <c r="D49" s="195" t="s">
        <v>2924</v>
      </c>
      <c r="E49" s="165">
        <v>8</v>
      </c>
      <c r="F49" s="180" t="s">
        <v>2925</v>
      </c>
      <c r="G49" s="188" t="s">
        <v>2771</v>
      </c>
      <c r="H49" s="57" t="s">
        <v>5712</v>
      </c>
    </row>
    <row r="50" spans="1:8">
      <c r="A50" s="5" t="s">
        <v>2921</v>
      </c>
      <c r="B50" s="178" t="s">
        <v>2926</v>
      </c>
      <c r="C50" s="6" t="s">
        <v>2927</v>
      </c>
      <c r="D50" s="195" t="s">
        <v>2928</v>
      </c>
      <c r="E50" s="165">
        <v>6</v>
      </c>
      <c r="F50" s="180" t="s">
        <v>2929</v>
      </c>
      <c r="G50" s="188" t="s">
        <v>2771</v>
      </c>
      <c r="H50" s="57" t="s">
        <v>5713</v>
      </c>
    </row>
    <row r="51" spans="1:8">
      <c r="A51" s="7" t="s">
        <v>2921</v>
      </c>
      <c r="B51" s="179" t="s">
        <v>2930</v>
      </c>
      <c r="C51" s="8" t="s">
        <v>2931</v>
      </c>
      <c r="D51" s="196" t="s">
        <v>2932</v>
      </c>
      <c r="E51" s="166">
        <v>8</v>
      </c>
      <c r="F51" s="181" t="s">
        <v>2933</v>
      </c>
      <c r="G51" s="189" t="s">
        <v>2771</v>
      </c>
      <c r="H51" s="57" t="s">
        <v>5714</v>
      </c>
    </row>
    <row r="52" spans="1:8" ht="34">
      <c r="A52" s="342" t="s">
        <v>5731</v>
      </c>
      <c r="B52" s="343" t="s">
        <v>5732</v>
      </c>
      <c r="C52" s="344" t="s">
        <v>5733</v>
      </c>
      <c r="D52" s="345" t="s">
        <v>2762</v>
      </c>
      <c r="E52" s="346">
        <v>12</v>
      </c>
      <c r="F52" s="347" t="s">
        <v>5734</v>
      </c>
      <c r="G52" s="348" t="s">
        <v>2771</v>
      </c>
      <c r="H52" s="351" t="s">
        <v>5735</v>
      </c>
    </row>
    <row r="53" spans="1:8" ht="34">
      <c r="A53" s="342" t="s">
        <v>5731</v>
      </c>
      <c r="B53" s="343" t="s">
        <v>5736</v>
      </c>
      <c r="C53" s="344" t="s">
        <v>5737</v>
      </c>
      <c r="D53" s="345" t="s">
        <v>2762</v>
      </c>
      <c r="E53" s="346">
        <v>10</v>
      </c>
      <c r="F53" s="347" t="s">
        <v>5738</v>
      </c>
      <c r="G53" s="348" t="s">
        <v>2771</v>
      </c>
      <c r="H53" s="351" t="s">
        <v>5739</v>
      </c>
    </row>
    <row r="54" spans="1:8">
      <c r="A54" s="342" t="s">
        <v>5731</v>
      </c>
      <c r="B54" s="343" t="s">
        <v>5740</v>
      </c>
      <c r="C54" s="344" t="s">
        <v>5741</v>
      </c>
      <c r="D54" s="345" t="s">
        <v>2762</v>
      </c>
      <c r="E54" s="346">
        <v>12</v>
      </c>
      <c r="F54" s="347" t="s">
        <v>5742</v>
      </c>
      <c r="G54" s="348" t="s">
        <v>2771</v>
      </c>
      <c r="H54" s="351" t="s">
        <v>5743</v>
      </c>
    </row>
    <row r="55" spans="1:8" ht="34">
      <c r="A55" s="342" t="s">
        <v>5744</v>
      </c>
      <c r="B55" s="343" t="s">
        <v>5745</v>
      </c>
      <c r="C55" s="344" t="s">
        <v>5746</v>
      </c>
      <c r="D55" s="345" t="s">
        <v>2762</v>
      </c>
      <c r="E55" s="346">
        <v>10</v>
      </c>
      <c r="F55" s="347" t="s">
        <v>5747</v>
      </c>
      <c r="G55" s="348" t="s">
        <v>2771</v>
      </c>
      <c r="H55" s="351" t="s">
        <v>5748</v>
      </c>
    </row>
    <row r="56" spans="1:8">
      <c r="H56" s="57"/>
    </row>
    <row r="58" spans="1:8">
      <c r="A58" s="167" t="s">
        <v>5752</v>
      </c>
    </row>
    <row r="59" spans="1:8">
      <c r="A59" s="323" t="s">
        <v>1</v>
      </c>
      <c r="B59" s="324" t="s">
        <v>2763</v>
      </c>
      <c r="C59" s="324" t="s">
        <v>5523</v>
      </c>
      <c r="D59" s="325" t="s">
        <v>5522</v>
      </c>
      <c r="E59" s="355" t="s">
        <v>2758</v>
      </c>
    </row>
    <row r="60" spans="1:8">
      <c r="A60" s="326" t="s">
        <v>2766</v>
      </c>
      <c r="B60" s="327">
        <f>COUNTIF($A$6:$A$55,$A60)</f>
        <v>9</v>
      </c>
      <c r="C60" s="327">
        <f>SUMIF($A$6:$A$55,$A60,$E$6:$E$55)</f>
        <v>47</v>
      </c>
      <c r="D60" s="328">
        <v>47</v>
      </c>
      <c r="E60">
        <f>C60-D60</f>
        <v>0</v>
      </c>
    </row>
    <row r="61" spans="1:8">
      <c r="A61" s="326" t="s">
        <v>2796</v>
      </c>
      <c r="B61" s="327">
        <f>COUNTIF($A$6:$A$55,$A61)</f>
        <v>9</v>
      </c>
      <c r="C61" s="327">
        <f>SUMIF($A$6:$A$55,$A61,$E$6:$E$55)</f>
        <v>87</v>
      </c>
      <c r="D61" s="328">
        <v>87</v>
      </c>
      <c r="E61">
        <f>C61-D61</f>
        <v>0</v>
      </c>
    </row>
    <row r="62" spans="1:8">
      <c r="A62" s="326" t="s">
        <v>2831</v>
      </c>
      <c r="B62" s="327">
        <f>COUNTIF($A$6:$A$55,$A62)</f>
        <v>4</v>
      </c>
      <c r="C62" s="327">
        <f>SUMIF($A$6:$A$55,$A62,$E$6:$E$55)</f>
        <v>38</v>
      </c>
      <c r="D62" s="328">
        <v>38</v>
      </c>
      <c r="E62">
        <f>C62-D62</f>
        <v>0</v>
      </c>
    </row>
    <row r="63" spans="1:8">
      <c r="A63" s="326" t="s">
        <v>2848</v>
      </c>
      <c r="B63" s="327">
        <f>COUNTIF($A$6:$A$55,$A63)</f>
        <v>6</v>
      </c>
      <c r="C63" s="327">
        <f>SUMIF($A$6:$A$55,$A63,$E$6:$E$55)</f>
        <v>64</v>
      </c>
      <c r="D63" s="328">
        <v>64</v>
      </c>
      <c r="E63">
        <f>C63-D63</f>
        <v>0</v>
      </c>
    </row>
    <row r="64" spans="1:8">
      <c r="A64" s="326" t="s">
        <v>2867</v>
      </c>
      <c r="B64" s="327">
        <f>COUNTIF($A$6:$A$55,$A64)</f>
        <v>5</v>
      </c>
      <c r="C64" s="327">
        <f>SUMIF($A$6:$A$55,$A64,$E$6:$E$55)</f>
        <v>40</v>
      </c>
      <c r="D64" s="328">
        <v>40</v>
      </c>
      <c r="E64">
        <f>C64-D64</f>
        <v>0</v>
      </c>
    </row>
    <row r="65" spans="1:5">
      <c r="A65" s="326" t="s">
        <v>2883</v>
      </c>
      <c r="B65" s="327">
        <f>COUNTIF($A$6:$A$55,$A65)</f>
        <v>6</v>
      </c>
      <c r="C65" s="327">
        <f>SUMIF($A$6:$A$55,$A65,$E$6:$E$55)</f>
        <v>43</v>
      </c>
      <c r="D65" s="328">
        <v>43</v>
      </c>
      <c r="E65">
        <f>C65-D65</f>
        <v>0</v>
      </c>
    </row>
    <row r="66" spans="1:5">
      <c r="A66" s="326" t="s">
        <v>2904</v>
      </c>
      <c r="B66" s="327">
        <f>COUNTIF($A$6:$A$55,$A66)</f>
        <v>4</v>
      </c>
      <c r="C66" s="327">
        <f>SUMIF($A$6:$A$55,$A66,$E$6:$E$55)</f>
        <v>36</v>
      </c>
      <c r="D66" s="328">
        <v>36</v>
      </c>
      <c r="E66">
        <f>C66-D66</f>
        <v>0</v>
      </c>
    </row>
    <row r="67" spans="1:5">
      <c r="A67" s="326" t="s">
        <v>2921</v>
      </c>
      <c r="B67" s="327">
        <f>COUNTIF($A$6:$A$55,$A67)</f>
        <v>3</v>
      </c>
      <c r="C67" s="327">
        <f>SUMIF($A$6:$A$55,$A67,$E$6:$E$55)</f>
        <v>22</v>
      </c>
      <c r="D67" s="328">
        <v>22</v>
      </c>
      <c r="E67">
        <f>C67-D67</f>
        <v>0</v>
      </c>
    </row>
    <row r="68" spans="1:5">
      <c r="A68" s="326" t="s">
        <v>5731</v>
      </c>
      <c r="B68" s="327">
        <f>COUNTIF($A$6:$A$55,$A68)</f>
        <v>3</v>
      </c>
      <c r="C68" s="327">
        <f>SUMIF($A$6:$A$55,$A68,$E$6:$E$55)</f>
        <v>34</v>
      </c>
      <c r="D68" s="328">
        <v>34</v>
      </c>
      <c r="E68">
        <f>C68-D68</f>
        <v>0</v>
      </c>
    </row>
    <row r="69" spans="1:5">
      <c r="A69" s="326" t="s">
        <v>5744</v>
      </c>
      <c r="B69" s="327">
        <f>COUNTIF($A$6:$A$55,$A69)</f>
        <v>1</v>
      </c>
      <c r="C69" s="327">
        <f>SUMIF($A$6:$A$55,$A69,$E$6:$E$55)</f>
        <v>10</v>
      </c>
      <c r="D69" s="328">
        <v>10</v>
      </c>
      <c r="E69">
        <f>C69-D69</f>
        <v>0</v>
      </c>
    </row>
    <row r="70" spans="1:5">
      <c r="A70" s="352" t="s">
        <v>7</v>
      </c>
      <c r="B70" s="353">
        <f>SUM(B60:B69)</f>
        <v>50</v>
      </c>
      <c r="C70" s="353">
        <f>SUM(C60:C69)</f>
        <v>421</v>
      </c>
      <c r="D70" s="354">
        <v>421</v>
      </c>
      <c r="E70">
        <f>C70-D70</f>
        <v>0</v>
      </c>
    </row>
    <row r="72" spans="1:5">
      <c r="A72" s="167" t="s">
        <v>5753</v>
      </c>
    </row>
    <row r="73" spans="1:5">
      <c r="A73" s="289" t="s">
        <v>5754</v>
      </c>
    </row>
    <row r="74" spans="1:5">
      <c r="A74" s="323" t="s">
        <v>5469</v>
      </c>
      <c r="B74" s="324" t="s">
        <v>5532</v>
      </c>
      <c r="C74" s="324" t="s">
        <v>5471</v>
      </c>
      <c r="D74" s="324" t="s">
        <v>5533</v>
      </c>
      <c r="E74" s="325" t="s">
        <v>666</v>
      </c>
    </row>
    <row r="75" spans="1:5" ht="36" customHeight="1">
      <c r="A75" s="326" t="s">
        <v>5755</v>
      </c>
      <c r="B75" s="335" t="s">
        <v>5756</v>
      </c>
      <c r="C75" s="335" t="s">
        <v>5757</v>
      </c>
      <c r="D75" s="327">
        <v>10</v>
      </c>
      <c r="E75" s="328" t="s">
        <v>5518</v>
      </c>
    </row>
    <row r="76" spans="1:5" ht="36" customHeight="1">
      <c r="A76" s="326" t="s">
        <v>5758</v>
      </c>
      <c r="B76" s="335" t="s">
        <v>5759</v>
      </c>
      <c r="C76" s="335" t="s">
        <v>5760</v>
      </c>
      <c r="D76" s="327">
        <v>12</v>
      </c>
      <c r="E76" s="328" t="s">
        <v>5518</v>
      </c>
    </row>
    <row r="77" spans="1:5" ht="36" customHeight="1">
      <c r="A77" s="326" t="s">
        <v>5761</v>
      </c>
      <c r="B77" s="335" t="s">
        <v>5762</v>
      </c>
      <c r="C77" s="335" t="s">
        <v>5763</v>
      </c>
      <c r="D77" s="327">
        <v>6</v>
      </c>
      <c r="E77" s="328" t="s">
        <v>5518</v>
      </c>
    </row>
    <row r="78" spans="1:5" ht="36" customHeight="1">
      <c r="A78" s="326" t="s">
        <v>5764</v>
      </c>
      <c r="B78" s="335" t="s">
        <v>5765</v>
      </c>
      <c r="C78" s="335" t="s">
        <v>5766</v>
      </c>
      <c r="D78" s="327">
        <v>8</v>
      </c>
      <c r="E78" s="328" t="s">
        <v>5518</v>
      </c>
    </row>
    <row r="79" spans="1:5" ht="36" customHeight="1">
      <c r="A79" s="326" t="s">
        <v>5767</v>
      </c>
      <c r="B79" s="335" t="s">
        <v>5768</v>
      </c>
      <c r="C79" s="335" t="s">
        <v>5769</v>
      </c>
      <c r="D79" s="327">
        <v>6</v>
      </c>
      <c r="E79" s="328" t="s">
        <v>5518</v>
      </c>
    </row>
    <row r="80" spans="1:5" ht="36" customHeight="1">
      <c r="A80" s="326" t="s">
        <v>5770</v>
      </c>
      <c r="B80" s="335" t="s">
        <v>5771</v>
      </c>
      <c r="C80" s="335" t="s">
        <v>5772</v>
      </c>
      <c r="D80" s="327">
        <v>8</v>
      </c>
      <c r="E80" s="328" t="s">
        <v>5518</v>
      </c>
    </row>
    <row r="81" spans="1:5">
      <c r="A81" s="329" t="s">
        <v>5773</v>
      </c>
      <c r="B81" s="330"/>
      <c r="C81" s="330"/>
      <c r="D81" s="330">
        <f>SUM(D75:D80)</f>
        <v>50</v>
      </c>
      <c r="E81" s="331"/>
    </row>
    <row r="82" spans="1:5">
      <c r="A82" s="332" t="s">
        <v>5774</v>
      </c>
      <c r="B82" s="333"/>
      <c r="C82" s="333"/>
      <c r="D82" s="333">
        <f>C70+D81</f>
        <v>471</v>
      </c>
      <c r="E82" s="334"/>
    </row>
  </sheetData>
  <autoFilter ref="A5:G51" xr:uid="{513185A0-2764-294B-9250-00ECB5CCB839}"/>
  <phoneticPr fontId="2"/>
  <conditionalFormatting sqref="A6:G55">
    <cfRule type="expression" dxfId="67"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3614</v>
      </c>
    </row>
    <row r="2" spans="1:1">
      <c r="A2" s="32" t="s">
        <v>3615</v>
      </c>
    </row>
    <row r="3" spans="1:1">
      <c r="A3" s="32" t="s">
        <v>3616</v>
      </c>
    </row>
    <row r="4" spans="1:1">
      <c r="A4" s="32"/>
    </row>
    <row r="5" spans="1:1">
      <c r="A5" s="84" t="s">
        <v>3617</v>
      </c>
    </row>
    <row r="6" spans="1:1">
      <c r="A6" s="238" t="s">
        <v>3618</v>
      </c>
    </row>
    <row r="7" spans="1:1">
      <c r="A7" s="238" t="s">
        <v>3619</v>
      </c>
    </row>
    <row r="8" spans="1:1">
      <c r="A8" s="238" t="s">
        <v>3620</v>
      </c>
    </row>
    <row r="9" spans="1:1">
      <c r="A9" s="238" t="s">
        <v>3621</v>
      </c>
    </row>
    <row r="10" spans="1:1">
      <c r="A10" s="238"/>
    </row>
    <row r="11" spans="1:1">
      <c r="A11" s="238" t="s">
        <v>3622</v>
      </c>
    </row>
    <row r="12" spans="1:1">
      <c r="A12" s="238" t="s">
        <v>3623</v>
      </c>
    </row>
    <row r="13" spans="1:1">
      <c r="A13" s="238" t="s">
        <v>3624</v>
      </c>
    </row>
    <row r="14" spans="1:1">
      <c r="A14" s="238" t="s">
        <v>3625</v>
      </c>
    </row>
    <row r="15" spans="1:1">
      <c r="A15" s="238" t="s">
        <v>3626</v>
      </c>
    </row>
    <row r="16" spans="1:1">
      <c r="A16" s="238"/>
    </row>
    <row r="17" spans="1:1">
      <c r="A17" s="238" t="s">
        <v>3627</v>
      </c>
    </row>
    <row r="18" spans="1:1">
      <c r="A18" s="238" t="s">
        <v>3628</v>
      </c>
    </row>
    <row r="19" spans="1:1">
      <c r="A19" s="238"/>
    </row>
    <row r="20" spans="1:1">
      <c r="A20" s="238" t="s">
        <v>3629</v>
      </c>
    </row>
    <row r="21" spans="1:1">
      <c r="A21" s="238" t="s">
        <v>3620</v>
      </c>
    </row>
    <row r="22" spans="1:1">
      <c r="A22" s="238" t="s">
        <v>3630</v>
      </c>
    </row>
    <row r="23" spans="1:1">
      <c r="A23" s="238" t="s">
        <v>3631</v>
      </c>
    </row>
    <row r="24" spans="1:1">
      <c r="A24" s="238"/>
    </row>
    <row r="25" spans="1:1">
      <c r="A25" s="238" t="s">
        <v>3632</v>
      </c>
    </row>
    <row r="26" spans="1:1">
      <c r="A26" s="238"/>
    </row>
    <row r="27" spans="1:1">
      <c r="A27" s="238" t="s">
        <v>3633</v>
      </c>
    </row>
    <row r="28" spans="1:1">
      <c r="A28" s="238" t="s">
        <v>3634</v>
      </c>
    </row>
    <row r="29" spans="1:1">
      <c r="A29" s="238" t="s">
        <v>3635</v>
      </c>
    </row>
    <row r="30" spans="1:1">
      <c r="A30" s="238" t="s">
        <v>3636</v>
      </c>
    </row>
    <row r="31" spans="1:1">
      <c r="A31" s="238" t="s">
        <v>3637</v>
      </c>
    </row>
    <row r="32" spans="1:1">
      <c r="A32" s="238" t="s">
        <v>3638</v>
      </c>
    </row>
    <row r="33" spans="1:1">
      <c r="A33" s="238" t="s">
        <v>3639</v>
      </c>
    </row>
    <row r="34" spans="1:1">
      <c r="A34" s="238" t="s">
        <v>3640</v>
      </c>
    </row>
    <row r="35" spans="1:1">
      <c r="A35" s="238" t="s">
        <v>3641</v>
      </c>
    </row>
    <row r="36" spans="1:1">
      <c r="A36" s="238"/>
    </row>
    <row r="37" spans="1:1">
      <c r="A37" s="238" t="s">
        <v>3642</v>
      </c>
    </row>
    <row r="38" spans="1:1">
      <c r="A38" s="238" t="s">
        <v>3643</v>
      </c>
    </row>
    <row r="39" spans="1:1">
      <c r="A39" s="238" t="s">
        <v>3644</v>
      </c>
    </row>
    <row r="40" spans="1:1">
      <c r="A40" s="238" t="s">
        <v>3645</v>
      </c>
    </row>
    <row r="41" spans="1:1">
      <c r="A41" s="238" t="s">
        <v>3646</v>
      </c>
    </row>
    <row r="42" spans="1:1">
      <c r="A42" s="238" t="s">
        <v>3647</v>
      </c>
    </row>
    <row r="43" spans="1:1">
      <c r="A43" s="238" t="s">
        <v>3648</v>
      </c>
    </row>
    <row r="44" spans="1:1">
      <c r="A44" s="238" t="s">
        <v>3649</v>
      </c>
    </row>
    <row r="45" spans="1:1">
      <c r="A45" s="238"/>
    </row>
    <row r="46" spans="1:1">
      <c r="A46" s="238" t="s">
        <v>3650</v>
      </c>
    </row>
    <row r="47" spans="1:1">
      <c r="A47" s="238" t="s">
        <v>3651</v>
      </c>
    </row>
    <row r="48" spans="1:1">
      <c r="A48" s="238" t="s">
        <v>3652</v>
      </c>
    </row>
    <row r="49" spans="1:1">
      <c r="A49" s="238" t="s">
        <v>3653</v>
      </c>
    </row>
    <row r="50" spans="1:1">
      <c r="A50" s="238" t="s">
        <v>3654</v>
      </c>
    </row>
    <row r="51" spans="1:1">
      <c r="A51" s="238" t="s">
        <v>3655</v>
      </c>
    </row>
    <row r="52" spans="1:1">
      <c r="A52" s="238" t="s">
        <v>3656</v>
      </c>
    </row>
    <row r="53" spans="1:1">
      <c r="A53" s="238" t="s">
        <v>3657</v>
      </c>
    </row>
    <row r="54" spans="1:1">
      <c r="A54" s="238" t="s">
        <v>3658</v>
      </c>
    </row>
    <row r="55" spans="1:1">
      <c r="A55" s="238" t="s">
        <v>3659</v>
      </c>
    </row>
    <row r="56" spans="1:1">
      <c r="A56" s="238" t="s">
        <v>3660</v>
      </c>
    </row>
    <row r="57" spans="1:1">
      <c r="A57" s="238" t="s">
        <v>3661</v>
      </c>
    </row>
    <row r="58" spans="1:1">
      <c r="A58" s="238" t="s">
        <v>3662</v>
      </c>
    </row>
    <row r="59" spans="1:1">
      <c r="A59" s="238" t="s">
        <v>3663</v>
      </c>
    </row>
    <row r="60" spans="1:1">
      <c r="A60" s="238" t="s">
        <v>3664</v>
      </c>
    </row>
    <row r="61" spans="1:1">
      <c r="A61" s="238" t="s">
        <v>3665</v>
      </c>
    </row>
    <row r="62" spans="1:1">
      <c r="A62" s="238" t="s">
        <v>3666</v>
      </c>
    </row>
    <row r="63" spans="1:1">
      <c r="A63" s="238" t="s">
        <v>3659</v>
      </c>
    </row>
    <row r="64" spans="1:1">
      <c r="A64" s="238" t="s">
        <v>3667</v>
      </c>
    </row>
    <row r="65" spans="1:1">
      <c r="A65" s="238"/>
    </row>
    <row r="66" spans="1:1">
      <c r="A66" s="238" t="s">
        <v>3668</v>
      </c>
    </row>
    <row r="67" spans="1:1">
      <c r="A67" s="238" t="s">
        <v>3669</v>
      </c>
    </row>
    <row r="68" spans="1:1">
      <c r="A68" s="238" t="s">
        <v>3670</v>
      </c>
    </row>
    <row r="69" spans="1:1">
      <c r="A69" s="238" t="s">
        <v>3671</v>
      </c>
    </row>
    <row r="70" spans="1:1">
      <c r="A70" s="238" t="s">
        <v>3672</v>
      </c>
    </row>
    <row r="71" spans="1:1">
      <c r="A71" s="238" t="s">
        <v>3673</v>
      </c>
    </row>
    <row r="72" spans="1:1">
      <c r="A72" s="238" t="s">
        <v>3674</v>
      </c>
    </row>
    <row r="73" spans="1:1">
      <c r="A73" s="238" t="s">
        <v>3675</v>
      </c>
    </row>
    <row r="74" spans="1:1">
      <c r="A74" s="238" t="s">
        <v>3676</v>
      </c>
    </row>
    <row r="75" spans="1:1">
      <c r="A75" s="238"/>
    </row>
    <row r="76" spans="1:1">
      <c r="A76" s="238" t="s">
        <v>3677</v>
      </c>
    </row>
    <row r="77" spans="1:1">
      <c r="A77" s="238" t="s">
        <v>3678</v>
      </c>
    </row>
    <row r="78" spans="1:1">
      <c r="A78" s="238" t="s">
        <v>3679</v>
      </c>
    </row>
    <row r="79" spans="1:1">
      <c r="A79" s="238" t="s">
        <v>3680</v>
      </c>
    </row>
    <row r="80" spans="1:1">
      <c r="A80" s="238" t="s">
        <v>3681</v>
      </c>
    </row>
    <row r="81" spans="1:1">
      <c r="A81" s="238" t="s">
        <v>3682</v>
      </c>
    </row>
    <row r="82" spans="1:1">
      <c r="A82" s="238"/>
    </row>
    <row r="83" spans="1:1">
      <c r="A83" s="238" t="s">
        <v>3683</v>
      </c>
    </row>
    <row r="84" spans="1:1">
      <c r="A84" s="238" t="s">
        <v>3684</v>
      </c>
    </row>
    <row r="85" spans="1:1">
      <c r="A85" s="238"/>
    </row>
    <row r="86" spans="1:1">
      <c r="A86" s="238" t="s">
        <v>3685</v>
      </c>
    </row>
    <row r="87" spans="1:1">
      <c r="A87" s="238" t="s">
        <v>3686</v>
      </c>
    </row>
    <row r="88" spans="1:1">
      <c r="A88" s="238"/>
    </row>
    <row r="89" spans="1:1">
      <c r="A89" s="238" t="s">
        <v>3687</v>
      </c>
    </row>
    <row r="90" spans="1:1">
      <c r="A90" s="238" t="s">
        <v>3688</v>
      </c>
    </row>
    <row r="91" spans="1:1">
      <c r="A91" s="238" t="s">
        <v>3689</v>
      </c>
    </row>
    <row r="92" spans="1:1">
      <c r="A92" s="238" t="s">
        <v>3690</v>
      </c>
    </row>
    <row r="93" spans="1:1">
      <c r="A93" s="238" t="s">
        <v>3691</v>
      </c>
    </row>
    <row r="94" spans="1:1">
      <c r="A94" s="238" t="s">
        <v>3692</v>
      </c>
    </row>
    <row r="95" spans="1:1">
      <c r="A95" s="238" t="s">
        <v>3693</v>
      </c>
    </row>
    <row r="96" spans="1:1">
      <c r="A96" s="238" t="s">
        <v>3694</v>
      </c>
    </row>
    <row r="97" spans="1:1">
      <c r="A97" s="238" t="s">
        <v>3695</v>
      </c>
    </row>
    <row r="98" spans="1:1">
      <c r="A98" s="238" t="s">
        <v>3696</v>
      </c>
    </row>
    <row r="99" spans="1:1">
      <c r="A99" s="238" t="s">
        <v>3693</v>
      </c>
    </row>
    <row r="100" spans="1:1">
      <c r="A100" s="238" t="s">
        <v>3697</v>
      </c>
    </row>
    <row r="101" spans="1:1">
      <c r="A101" s="238" t="s">
        <v>3698</v>
      </c>
    </row>
    <row r="102" spans="1:1">
      <c r="A102" s="238" t="s">
        <v>3699</v>
      </c>
    </row>
    <row r="103" spans="1:1">
      <c r="A103" s="238" t="s">
        <v>3700</v>
      </c>
    </row>
    <row r="104" spans="1:1">
      <c r="A104" s="238" t="s">
        <v>3701</v>
      </c>
    </row>
    <row r="105" spans="1:1">
      <c r="A105" s="238" t="s">
        <v>3702</v>
      </c>
    </row>
    <row r="106" spans="1:1">
      <c r="A106" s="238" t="s">
        <v>3703</v>
      </c>
    </row>
    <row r="107" spans="1:1">
      <c r="A107" s="238" t="s">
        <v>3704</v>
      </c>
    </row>
    <row r="108" spans="1:1">
      <c r="A108" s="238" t="s">
        <v>3705</v>
      </c>
    </row>
    <row r="109" spans="1:1">
      <c r="A109" s="238"/>
    </row>
    <row r="110" spans="1:1">
      <c r="A110" s="238" t="s">
        <v>3706</v>
      </c>
    </row>
    <row r="111" spans="1:1">
      <c r="A111" s="238" t="s">
        <v>3707</v>
      </c>
    </row>
    <row r="112" spans="1:1">
      <c r="A112" s="238" t="s">
        <v>3708</v>
      </c>
    </row>
    <row r="113" spans="1:1">
      <c r="A113" s="238" t="s">
        <v>3709</v>
      </c>
    </row>
    <row r="114" spans="1:1">
      <c r="A114" s="238" t="s">
        <v>3710</v>
      </c>
    </row>
    <row r="115" spans="1:1">
      <c r="A115" s="238" t="s">
        <v>3711</v>
      </c>
    </row>
    <row r="116" spans="1:1">
      <c r="A116" s="238" t="s">
        <v>3712</v>
      </c>
    </row>
    <row r="117" spans="1:1">
      <c r="A117" s="238" t="s">
        <v>3713</v>
      </c>
    </row>
    <row r="118" spans="1:1">
      <c r="A118" s="238" t="s">
        <v>3714</v>
      </c>
    </row>
    <row r="119" spans="1:1">
      <c r="A119" s="238" t="s">
        <v>3715</v>
      </c>
    </row>
    <row r="120" spans="1:1">
      <c r="A120" s="238" t="s">
        <v>3716</v>
      </c>
    </row>
    <row r="121" spans="1:1">
      <c r="A121" s="238" t="s">
        <v>3717</v>
      </c>
    </row>
    <row r="122" spans="1:1">
      <c r="A122" s="238" t="s">
        <v>3718</v>
      </c>
    </row>
    <row r="123" spans="1:1">
      <c r="A123" s="238" t="s">
        <v>3719</v>
      </c>
    </row>
    <row r="124" spans="1:1">
      <c r="A124" s="238"/>
    </row>
    <row r="125" spans="1:1">
      <c r="A125" s="238" t="s">
        <v>3720</v>
      </c>
    </row>
    <row r="126" spans="1:1">
      <c r="A126" s="238" t="s">
        <v>3721</v>
      </c>
    </row>
    <row r="127" spans="1:1">
      <c r="A127" s="238"/>
    </row>
    <row r="128" spans="1:1">
      <c r="A128" s="238" t="s">
        <v>3722</v>
      </c>
    </row>
    <row r="129" spans="1:1">
      <c r="A129" s="238" t="s">
        <v>3723</v>
      </c>
    </row>
    <row r="131" spans="1:1">
      <c r="A131" s="239" t="s">
        <v>3724</v>
      </c>
    </row>
    <row r="133" spans="1:1">
      <c r="A133" s="237" t="s">
        <v>3725</v>
      </c>
    </row>
    <row r="134" spans="1:1">
      <c r="A134" s="237" t="s">
        <v>3726</v>
      </c>
    </row>
    <row r="135" spans="1:1">
      <c r="A135" s="237" t="s">
        <v>3727</v>
      </c>
    </row>
    <row r="136" spans="1:1">
      <c r="A136" s="237" t="s">
        <v>3728</v>
      </c>
    </row>
    <row r="137" spans="1:1">
      <c r="A137" s="237" t="s">
        <v>3729</v>
      </c>
    </row>
    <row r="138" spans="1:1">
      <c r="A138" s="237" t="s">
        <v>3730</v>
      </c>
    </row>
    <row r="139" spans="1:1">
      <c r="A139" s="237" t="s">
        <v>3731</v>
      </c>
    </row>
    <row r="140" spans="1:1">
      <c r="A140" s="237"/>
    </row>
    <row r="141" spans="1:1">
      <c r="A141" s="237" t="s">
        <v>3732</v>
      </c>
    </row>
    <row r="142" spans="1:1">
      <c r="A142" s="237" t="s">
        <v>3733</v>
      </c>
    </row>
    <row r="143" spans="1:1">
      <c r="A143" s="237" t="s">
        <v>3734</v>
      </c>
    </row>
    <row r="144" spans="1:1">
      <c r="A144" s="237" t="s">
        <v>3735</v>
      </c>
    </row>
    <row r="145" spans="1:1">
      <c r="A145" s="237" t="s">
        <v>3736</v>
      </c>
    </row>
    <row r="146" spans="1:1">
      <c r="A146" s="237" t="s">
        <v>3737</v>
      </c>
    </row>
    <row r="147" spans="1:1">
      <c r="A147" s="237" t="s">
        <v>3738</v>
      </c>
    </row>
    <row r="148" spans="1:1">
      <c r="A148" s="237" t="s">
        <v>3739</v>
      </c>
    </row>
    <row r="149" spans="1:1">
      <c r="A149" s="237" t="s">
        <v>3740</v>
      </c>
    </row>
    <row r="150" spans="1:1">
      <c r="A150" s="237" t="s">
        <v>3741</v>
      </c>
    </row>
    <row r="151" spans="1:1">
      <c r="A151" s="237" t="s">
        <v>3742</v>
      </c>
    </row>
    <row r="152" spans="1:1">
      <c r="A152" s="237" t="s">
        <v>3743</v>
      </c>
    </row>
    <row r="153" spans="1:1">
      <c r="A153" s="237" t="s">
        <v>3744</v>
      </c>
    </row>
    <row r="154" spans="1:1">
      <c r="A154" s="237" t="s">
        <v>3745</v>
      </c>
    </row>
    <row r="155" spans="1:1">
      <c r="A155" s="237" t="s">
        <v>3738</v>
      </c>
    </row>
    <row r="156" spans="1:1">
      <c r="A156" s="237" t="s">
        <v>3746</v>
      </c>
    </row>
    <row r="157" spans="1:1">
      <c r="A157" s="237" t="s">
        <v>3747</v>
      </c>
    </row>
    <row r="158" spans="1:1">
      <c r="A158" s="237" t="s">
        <v>3748</v>
      </c>
    </row>
    <row r="159" spans="1:1">
      <c r="A159" s="237" t="s">
        <v>3749</v>
      </c>
    </row>
    <row r="160" spans="1:1">
      <c r="A160" s="237" t="s">
        <v>3750</v>
      </c>
    </row>
    <row r="161" spans="1:1">
      <c r="A161" s="237" t="s">
        <v>3751</v>
      </c>
    </row>
    <row r="162" spans="1:1">
      <c r="A162" s="237" t="s">
        <v>3752</v>
      </c>
    </row>
    <row r="163" spans="1:1">
      <c r="A163" s="237" t="s">
        <v>3753</v>
      </c>
    </row>
    <row r="164" spans="1:1">
      <c r="A164" s="237" t="s">
        <v>3754</v>
      </c>
    </row>
    <row r="165" spans="1:1">
      <c r="A165" s="237" t="s">
        <v>3755</v>
      </c>
    </row>
    <row r="166" spans="1:1">
      <c r="A166" s="237" t="s">
        <v>3756</v>
      </c>
    </row>
    <row r="167" spans="1:1">
      <c r="A167" s="237" t="s">
        <v>3757</v>
      </c>
    </row>
    <row r="168" spans="1:1">
      <c r="A168" s="237" t="s">
        <v>3758</v>
      </c>
    </row>
    <row r="169" spans="1:1">
      <c r="A169" s="237" t="s">
        <v>3759</v>
      </c>
    </row>
    <row r="172" spans="1:1">
      <c r="A172" s="62" t="s">
        <v>3760</v>
      </c>
    </row>
    <row r="173" spans="1:1">
      <c r="A173" s="63" t="s">
        <v>3761</v>
      </c>
    </row>
    <row r="174" spans="1:1">
      <c r="A174" s="63" t="s">
        <v>3762</v>
      </c>
    </row>
    <row r="175" spans="1:1">
      <c r="A175" s="63" t="s">
        <v>3763</v>
      </c>
    </row>
    <row r="176" spans="1:1">
      <c r="A176" s="63" t="s">
        <v>3764</v>
      </c>
    </row>
    <row r="177" spans="1:1">
      <c r="A177" s="63" t="s">
        <v>3765</v>
      </c>
    </row>
    <row r="178" spans="1:1">
      <c r="A178" s="63" t="s">
        <v>3766</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4716</v>
      </c>
      <c r="B1" s="32"/>
      <c r="C1" s="32"/>
      <c r="D1" s="32"/>
      <c r="E1" s="32"/>
      <c r="F1" s="32"/>
      <c r="G1" s="32"/>
      <c r="H1" s="32"/>
      <c r="I1" s="32"/>
      <c r="J1" s="32"/>
      <c r="K1" s="32"/>
      <c r="L1" s="32"/>
      <c r="M1" s="32"/>
      <c r="N1" s="32"/>
      <c r="O1" s="32"/>
      <c r="P1" s="32"/>
    </row>
    <row r="2" spans="1:16">
      <c r="A2" s="32" t="s">
        <v>4717</v>
      </c>
      <c r="B2" s="32"/>
      <c r="C2" s="32"/>
      <c r="D2" s="32"/>
      <c r="E2" s="32"/>
      <c r="F2" s="32"/>
      <c r="G2" s="32"/>
      <c r="H2" s="32"/>
      <c r="I2" s="32"/>
      <c r="J2" s="32"/>
      <c r="K2" s="32"/>
      <c r="L2" s="32"/>
      <c r="M2" s="32"/>
      <c r="N2" s="32"/>
      <c r="O2" s="32"/>
      <c r="P2" s="32"/>
    </row>
    <row r="3" spans="1:16">
      <c r="A3" s="32" t="s">
        <v>4718</v>
      </c>
      <c r="B3" s="32"/>
      <c r="C3" s="32"/>
      <c r="D3" s="32"/>
      <c r="E3" s="32"/>
      <c r="F3" s="32"/>
      <c r="G3" s="32"/>
      <c r="H3" s="32"/>
      <c r="I3" s="32"/>
      <c r="J3" s="32"/>
      <c r="K3" s="32"/>
      <c r="L3" s="32"/>
      <c r="M3" s="32"/>
      <c r="N3" s="32"/>
      <c r="O3" s="32"/>
      <c r="P3" s="32"/>
    </row>
    <row r="4" spans="1:16">
      <c r="A4" s="32"/>
      <c r="B4" s="32"/>
      <c r="C4" s="32"/>
      <c r="D4" s="32"/>
      <c r="E4" s="32"/>
      <c r="F4" s="32"/>
      <c r="G4" s="32"/>
      <c r="H4" s="32"/>
      <c r="I4" s="32"/>
      <c r="J4" s="32"/>
      <c r="K4" s="32"/>
      <c r="L4" s="32"/>
      <c r="M4" s="32"/>
      <c r="N4" s="32"/>
      <c r="O4" s="32"/>
      <c r="P4" s="32"/>
    </row>
    <row r="5" spans="1:16">
      <c r="A5" s="254" t="s">
        <v>1</v>
      </c>
      <c r="B5" s="255" t="s">
        <v>3092</v>
      </c>
      <c r="C5" s="255" t="s">
        <v>3093</v>
      </c>
      <c r="D5" s="255" t="s">
        <v>3094</v>
      </c>
      <c r="E5" s="255" t="s">
        <v>3095</v>
      </c>
      <c r="F5" s="255" t="s">
        <v>3096</v>
      </c>
      <c r="G5" s="255" t="s">
        <v>3097</v>
      </c>
      <c r="H5" s="255" t="s">
        <v>3060</v>
      </c>
      <c r="I5" s="255" t="s">
        <v>3098</v>
      </c>
      <c r="J5" s="255" t="s">
        <v>3099</v>
      </c>
      <c r="K5" s="255" t="s">
        <v>3100</v>
      </c>
      <c r="L5" s="255" t="s">
        <v>3101</v>
      </c>
      <c r="M5" s="255" t="s">
        <v>3102</v>
      </c>
      <c r="N5" s="255" t="s">
        <v>4719</v>
      </c>
      <c r="O5" s="255" t="s">
        <v>4720</v>
      </c>
      <c r="P5" s="256" t="s">
        <v>4721</v>
      </c>
    </row>
    <row r="6" spans="1:16">
      <c r="A6" s="257" t="s">
        <v>3125</v>
      </c>
      <c r="B6" s="258" t="s">
        <v>4722</v>
      </c>
      <c r="C6" s="258" t="s">
        <v>4723</v>
      </c>
      <c r="D6" s="258" t="s">
        <v>4724</v>
      </c>
      <c r="E6" s="259">
        <v>400</v>
      </c>
      <c r="F6" s="259">
        <v>2000</v>
      </c>
      <c r="G6" s="259">
        <v>4000</v>
      </c>
      <c r="H6" s="258" t="s">
        <v>3124</v>
      </c>
      <c r="I6" s="260">
        <v>2.3E-2</v>
      </c>
      <c r="J6" s="261">
        <f>E6*$I6</f>
        <v>9.1999999999999993</v>
      </c>
      <c r="K6" s="261">
        <f>F6*$I6</f>
        <v>46</v>
      </c>
      <c r="L6" s="261">
        <f>G6*$I6</f>
        <v>92</v>
      </c>
      <c r="M6" s="258" t="s">
        <v>4670</v>
      </c>
      <c r="N6" s="262" t="s">
        <v>4725</v>
      </c>
      <c r="O6" s="262" t="s">
        <v>4725</v>
      </c>
      <c r="P6" s="263" t="s">
        <v>4725</v>
      </c>
    </row>
    <row r="7" spans="1:16">
      <c r="A7" s="257" t="s">
        <v>1532</v>
      </c>
      <c r="B7" s="258" t="s">
        <v>4726</v>
      </c>
      <c r="C7" s="258" t="s">
        <v>4727</v>
      </c>
      <c r="D7" s="258" t="s">
        <v>4728</v>
      </c>
      <c r="E7" s="259">
        <v>400</v>
      </c>
      <c r="F7" s="259">
        <v>2000</v>
      </c>
      <c r="G7" s="259">
        <v>4000</v>
      </c>
      <c r="H7" s="258" t="s">
        <v>3124</v>
      </c>
      <c r="I7" s="260">
        <v>0.09</v>
      </c>
      <c r="J7" s="261">
        <f>E7*$I7</f>
        <v>36</v>
      </c>
      <c r="K7" s="261">
        <f>F7*$I7</f>
        <v>180</v>
      </c>
      <c r="L7" s="261">
        <f>G7*$I7</f>
        <v>360</v>
      </c>
      <c r="M7" s="258" t="s">
        <v>4705</v>
      </c>
      <c r="N7" s="262" t="s">
        <v>4725</v>
      </c>
      <c r="O7" s="262" t="s">
        <v>4725</v>
      </c>
      <c r="P7" s="263" t="s">
        <v>4725</v>
      </c>
    </row>
    <row r="8" spans="1:16">
      <c r="A8" s="257" t="s">
        <v>1532</v>
      </c>
      <c r="B8" s="258" t="s">
        <v>4729</v>
      </c>
      <c r="C8" s="258" t="s">
        <v>4730</v>
      </c>
      <c r="D8" s="258" t="s">
        <v>4731</v>
      </c>
      <c r="E8" s="259">
        <v>4</v>
      </c>
      <c r="F8" s="259">
        <v>4</v>
      </c>
      <c r="G8" s="259">
        <v>4</v>
      </c>
      <c r="H8" s="258" t="s">
        <v>3195</v>
      </c>
      <c r="I8" s="260">
        <v>1</v>
      </c>
      <c r="J8" s="261">
        <f>E8*$I8</f>
        <v>4</v>
      </c>
      <c r="K8" s="261">
        <f>F8*$I8</f>
        <v>4</v>
      </c>
      <c r="L8" s="261">
        <f>G8*$I8</f>
        <v>4</v>
      </c>
      <c r="M8" s="258" t="s">
        <v>4701</v>
      </c>
      <c r="N8" s="262" t="s">
        <v>4725</v>
      </c>
      <c r="O8" s="262" t="s">
        <v>4725</v>
      </c>
      <c r="P8" s="263" t="s">
        <v>4725</v>
      </c>
    </row>
    <row r="9" spans="1:16">
      <c r="A9" s="257" t="s">
        <v>3144</v>
      </c>
      <c r="B9" s="258" t="s">
        <v>4732</v>
      </c>
      <c r="C9" s="258" t="s">
        <v>4733</v>
      </c>
      <c r="D9" s="258" t="s">
        <v>4734</v>
      </c>
      <c r="E9" s="259">
        <v>100</v>
      </c>
      <c r="F9" s="259">
        <v>500</v>
      </c>
      <c r="G9" s="259">
        <v>1000</v>
      </c>
      <c r="H9" s="258" t="s">
        <v>3156</v>
      </c>
      <c r="I9" s="260">
        <v>0.09</v>
      </c>
      <c r="J9" s="261">
        <f>E9*$I9</f>
        <v>9</v>
      </c>
      <c r="K9" s="261">
        <f>F9*$I9</f>
        <v>45</v>
      </c>
      <c r="L9" s="261">
        <f>G9*$I9</f>
        <v>90</v>
      </c>
      <c r="M9" s="258" t="s">
        <v>4664</v>
      </c>
      <c r="N9" s="262" t="s">
        <v>4725</v>
      </c>
      <c r="O9" s="262" t="s">
        <v>4725</v>
      </c>
      <c r="P9" s="263" t="s">
        <v>4725</v>
      </c>
    </row>
    <row r="10" spans="1:16">
      <c r="A10" s="257" t="s">
        <v>3125</v>
      </c>
      <c r="B10" s="258" t="s">
        <v>4735</v>
      </c>
      <c r="C10" s="258" t="s">
        <v>4736</v>
      </c>
      <c r="D10" s="258" t="s">
        <v>4737</v>
      </c>
      <c r="E10" s="259">
        <v>200</v>
      </c>
      <c r="F10" s="259">
        <v>1000</v>
      </c>
      <c r="G10" s="259">
        <v>2000</v>
      </c>
      <c r="H10" s="258" t="s">
        <v>3124</v>
      </c>
      <c r="I10" s="260">
        <v>0.12</v>
      </c>
      <c r="J10" s="261">
        <f>E10*$I10</f>
        <v>24</v>
      </c>
      <c r="K10" s="261">
        <f>F10*$I10</f>
        <v>120</v>
      </c>
      <c r="L10" s="261">
        <f>G10*$I10</f>
        <v>240</v>
      </c>
      <c r="M10" s="258" t="s">
        <v>4670</v>
      </c>
      <c r="N10" s="262" t="s">
        <v>2236</v>
      </c>
      <c r="O10" s="262" t="s">
        <v>4725</v>
      </c>
      <c r="P10" s="263" t="s">
        <v>4725</v>
      </c>
    </row>
    <row r="11" spans="1:16">
      <c r="A11" s="257" t="s">
        <v>3125</v>
      </c>
      <c r="B11" s="258" t="s">
        <v>4738</v>
      </c>
      <c r="C11" s="258" t="s">
        <v>4739</v>
      </c>
      <c r="D11" s="258" t="s">
        <v>4740</v>
      </c>
      <c r="E11" s="259">
        <v>100</v>
      </c>
      <c r="F11" s="259">
        <v>500</v>
      </c>
      <c r="G11" s="259">
        <v>1000</v>
      </c>
      <c r="H11" s="258" t="s">
        <v>3124</v>
      </c>
      <c r="I11" s="260">
        <v>0.12</v>
      </c>
      <c r="J11" s="261">
        <f>E11*$I11</f>
        <v>12</v>
      </c>
      <c r="K11" s="261">
        <f>F11*$I11</f>
        <v>60</v>
      </c>
      <c r="L11" s="261">
        <f>G11*$I11</f>
        <v>120</v>
      </c>
      <c r="M11" s="258" t="s">
        <v>4670</v>
      </c>
      <c r="N11" s="262" t="s">
        <v>2236</v>
      </c>
      <c r="O11" s="262" t="s">
        <v>4725</v>
      </c>
      <c r="P11" s="263" t="s">
        <v>4725</v>
      </c>
    </row>
    <row r="12" spans="1:16">
      <c r="A12" s="257" t="s">
        <v>3125</v>
      </c>
      <c r="B12" s="258" t="s">
        <v>4741</v>
      </c>
      <c r="C12" s="258" t="s">
        <v>4742</v>
      </c>
      <c r="D12" s="258" t="s">
        <v>4743</v>
      </c>
      <c r="E12" s="259">
        <v>20000000</v>
      </c>
      <c r="F12" s="259">
        <v>100000000</v>
      </c>
      <c r="G12" s="259">
        <v>200000000</v>
      </c>
      <c r="H12" s="258" t="s">
        <v>4673</v>
      </c>
      <c r="I12" s="260">
        <v>2.3999999999999998E-7</v>
      </c>
      <c r="J12" s="261">
        <f>E12*$I12</f>
        <v>4.8</v>
      </c>
      <c r="K12" s="261">
        <f>F12*$I12</f>
        <v>23.999999999999996</v>
      </c>
      <c r="L12" s="261">
        <f>G12*$I12</f>
        <v>47.999999999999993</v>
      </c>
      <c r="M12" s="258" t="s">
        <v>4670</v>
      </c>
      <c r="N12" s="262" t="s">
        <v>2236</v>
      </c>
      <c r="O12" s="262" t="s">
        <v>4725</v>
      </c>
      <c r="P12" s="263" t="s">
        <v>4725</v>
      </c>
    </row>
    <row r="13" spans="1:16">
      <c r="A13" s="257" t="s">
        <v>3176</v>
      </c>
      <c r="B13" s="258" t="s">
        <v>4744</v>
      </c>
      <c r="C13" s="258" t="s">
        <v>4745</v>
      </c>
      <c r="D13" s="258" t="s">
        <v>4746</v>
      </c>
      <c r="E13" s="259">
        <v>5000000</v>
      </c>
      <c r="F13" s="259">
        <v>25000000</v>
      </c>
      <c r="G13" s="259">
        <v>50000000</v>
      </c>
      <c r="H13" s="258" t="s">
        <v>4747</v>
      </c>
      <c r="I13" s="260">
        <v>8.8999999999999995E-7</v>
      </c>
      <c r="J13" s="261">
        <f>E13*$I13</f>
        <v>4.45</v>
      </c>
      <c r="K13" s="261">
        <f>F13*$I13</f>
        <v>22.25</v>
      </c>
      <c r="L13" s="261">
        <f>G13*$I13</f>
        <v>44.5</v>
      </c>
      <c r="M13" s="258" t="s">
        <v>4699</v>
      </c>
      <c r="N13" s="262" t="s">
        <v>2236</v>
      </c>
      <c r="O13" s="262" t="s">
        <v>4725</v>
      </c>
      <c r="P13" s="263" t="s">
        <v>4725</v>
      </c>
    </row>
    <row r="14" spans="1:16">
      <c r="A14" s="257" t="s">
        <v>3207</v>
      </c>
      <c r="B14" s="258" t="s">
        <v>4748</v>
      </c>
      <c r="C14" s="258" t="s">
        <v>4749</v>
      </c>
      <c r="D14" s="258" t="s">
        <v>4750</v>
      </c>
      <c r="E14" s="259">
        <v>300</v>
      </c>
      <c r="F14" s="259">
        <v>1500</v>
      </c>
      <c r="G14" s="259">
        <v>3000</v>
      </c>
      <c r="H14" s="258" t="s">
        <v>3124</v>
      </c>
      <c r="I14" s="260">
        <v>2.5000000000000001E-2</v>
      </c>
      <c r="J14" s="261">
        <f>E14*$I14</f>
        <v>7.5</v>
      </c>
      <c r="K14" s="261">
        <f>F14*$I14</f>
        <v>37.5</v>
      </c>
      <c r="L14" s="261">
        <f>G14*$I14</f>
        <v>75</v>
      </c>
      <c r="M14" s="258" t="s">
        <v>4751</v>
      </c>
      <c r="N14" s="262" t="s">
        <v>2236</v>
      </c>
      <c r="O14" s="262" t="s">
        <v>4725</v>
      </c>
      <c r="P14" s="263" t="s">
        <v>4725</v>
      </c>
    </row>
    <row r="15" spans="1:16">
      <c r="A15" s="257" t="s">
        <v>3207</v>
      </c>
      <c r="B15" s="258" t="s">
        <v>4752</v>
      </c>
      <c r="C15" s="258" t="s">
        <v>4753</v>
      </c>
      <c r="D15" s="258" t="s">
        <v>4754</v>
      </c>
      <c r="E15" s="259">
        <v>50</v>
      </c>
      <c r="F15" s="259">
        <v>50</v>
      </c>
      <c r="G15" s="259">
        <v>50</v>
      </c>
      <c r="H15" s="258" t="s">
        <v>3124</v>
      </c>
      <c r="I15" s="260">
        <v>0.1</v>
      </c>
      <c r="J15" s="261">
        <f>E15*$I15</f>
        <v>5</v>
      </c>
      <c r="K15" s="261">
        <f>F15*$I15</f>
        <v>5</v>
      </c>
      <c r="L15" s="261">
        <f>G15*$I15</f>
        <v>5</v>
      </c>
      <c r="M15" s="258" t="s">
        <v>4755</v>
      </c>
      <c r="N15" s="262" t="s">
        <v>2236</v>
      </c>
      <c r="O15" s="262" t="s">
        <v>4725</v>
      </c>
      <c r="P15" s="263" t="s">
        <v>4725</v>
      </c>
    </row>
    <row r="16" spans="1:16">
      <c r="A16" s="257" t="s">
        <v>3103</v>
      </c>
      <c r="B16" s="258" t="s">
        <v>4756</v>
      </c>
      <c r="C16" s="258" t="s">
        <v>4757</v>
      </c>
      <c r="D16" s="258" t="s">
        <v>4758</v>
      </c>
      <c r="E16" s="259">
        <v>1460</v>
      </c>
      <c r="F16" s="259">
        <v>1460</v>
      </c>
      <c r="G16" s="259">
        <v>1460</v>
      </c>
      <c r="H16" s="258" t="s">
        <v>3117</v>
      </c>
      <c r="I16" s="260">
        <v>0.25</v>
      </c>
      <c r="J16" s="261">
        <f>E16*$I16</f>
        <v>365</v>
      </c>
      <c r="K16" s="261">
        <f>F16*$I16</f>
        <v>365</v>
      </c>
      <c r="L16" s="261">
        <f>G16*$I16</f>
        <v>365</v>
      </c>
      <c r="M16" s="258" t="s">
        <v>4667</v>
      </c>
      <c r="N16" s="262" t="s">
        <v>2236</v>
      </c>
      <c r="O16" s="262" t="s">
        <v>2236</v>
      </c>
      <c r="P16" s="263" t="s">
        <v>4725</v>
      </c>
    </row>
    <row r="17" spans="1:16">
      <c r="A17" s="257" t="s">
        <v>3103</v>
      </c>
      <c r="B17" s="258" t="s">
        <v>4759</v>
      </c>
      <c r="C17" s="258" t="s">
        <v>4760</v>
      </c>
      <c r="D17" s="258" t="s">
        <v>4761</v>
      </c>
      <c r="E17" s="259">
        <v>2920</v>
      </c>
      <c r="F17" s="259">
        <v>2920</v>
      </c>
      <c r="G17" s="259">
        <v>2920</v>
      </c>
      <c r="H17" s="258" t="s">
        <v>3107</v>
      </c>
      <c r="I17" s="260">
        <v>0.248</v>
      </c>
      <c r="J17" s="261">
        <f>E17*$I17</f>
        <v>724.16</v>
      </c>
      <c r="K17" s="261">
        <f>F17*$I17</f>
        <v>724.16</v>
      </c>
      <c r="L17" s="261">
        <f>G17*$I17</f>
        <v>724.16</v>
      </c>
      <c r="M17" s="258" t="s">
        <v>4664</v>
      </c>
      <c r="N17" s="262" t="s">
        <v>2236</v>
      </c>
      <c r="O17" s="262" t="s">
        <v>2236</v>
      </c>
      <c r="P17" s="263" t="s">
        <v>4725</v>
      </c>
    </row>
    <row r="18" spans="1:16">
      <c r="A18" s="257" t="s">
        <v>3103</v>
      </c>
      <c r="B18" s="258" t="s">
        <v>4762</v>
      </c>
      <c r="C18" s="258" t="s">
        <v>4763</v>
      </c>
      <c r="D18" s="258" t="s">
        <v>4764</v>
      </c>
      <c r="E18" s="259">
        <v>730</v>
      </c>
      <c r="F18" s="259">
        <v>730</v>
      </c>
      <c r="G18" s="259">
        <v>730</v>
      </c>
      <c r="H18" s="258" t="s">
        <v>3121</v>
      </c>
      <c r="I18" s="260">
        <v>0.17100000000000001</v>
      </c>
      <c r="J18" s="261">
        <f>E18*$I18</f>
        <v>124.83000000000001</v>
      </c>
      <c r="K18" s="261">
        <f>F18*$I18</f>
        <v>124.83000000000001</v>
      </c>
      <c r="L18" s="261">
        <f>G18*$I18</f>
        <v>124.83000000000001</v>
      </c>
      <c r="M18" s="258" t="s">
        <v>4667</v>
      </c>
      <c r="N18" s="262" t="s">
        <v>2236</v>
      </c>
      <c r="O18" s="262" t="s">
        <v>2236</v>
      </c>
      <c r="P18" s="263" t="s">
        <v>4725</v>
      </c>
    </row>
    <row r="19" spans="1:16">
      <c r="A19" s="257" t="s">
        <v>3103</v>
      </c>
      <c r="B19" s="258" t="s">
        <v>4765</v>
      </c>
      <c r="C19" s="258" t="s">
        <v>4766</v>
      </c>
      <c r="D19" s="258" t="s">
        <v>4767</v>
      </c>
      <c r="E19" s="259">
        <v>400</v>
      </c>
      <c r="F19" s="259">
        <v>400</v>
      </c>
      <c r="G19" s="259">
        <v>400</v>
      </c>
      <c r="H19" s="258" t="s">
        <v>3124</v>
      </c>
      <c r="I19" s="260">
        <v>9.6000000000000002E-2</v>
      </c>
      <c r="J19" s="261">
        <f>E19*$I19</f>
        <v>38.4</v>
      </c>
      <c r="K19" s="261">
        <f>F19*$I19</f>
        <v>38.4</v>
      </c>
      <c r="L19" s="261">
        <f>G19*$I19</f>
        <v>38.4</v>
      </c>
      <c r="M19" s="258" t="s">
        <v>4669</v>
      </c>
      <c r="N19" s="262" t="s">
        <v>2236</v>
      </c>
      <c r="O19" s="262" t="s">
        <v>2236</v>
      </c>
      <c r="P19" s="263" t="s">
        <v>4725</v>
      </c>
    </row>
    <row r="20" spans="1:16">
      <c r="A20" s="257" t="s">
        <v>3125</v>
      </c>
      <c r="B20" s="258" t="s">
        <v>4768</v>
      </c>
      <c r="C20" s="258" t="s">
        <v>4769</v>
      </c>
      <c r="D20" s="258" t="s">
        <v>4770</v>
      </c>
      <c r="E20" s="259">
        <v>730</v>
      </c>
      <c r="F20" s="259">
        <v>730</v>
      </c>
      <c r="G20" s="259">
        <v>730</v>
      </c>
      <c r="H20" s="258" t="s">
        <v>3107</v>
      </c>
      <c r="I20" s="260">
        <v>0.66400000000000003</v>
      </c>
      <c r="J20" s="261">
        <f>E20*$I20</f>
        <v>484.72</v>
      </c>
      <c r="K20" s="261">
        <f>F20*$I20</f>
        <v>484.72</v>
      </c>
      <c r="L20" s="261">
        <f>G20*$I20</f>
        <v>484.72</v>
      </c>
      <c r="M20" s="258" t="s">
        <v>4670</v>
      </c>
      <c r="N20" s="262" t="s">
        <v>2236</v>
      </c>
      <c r="O20" s="262" t="s">
        <v>2236</v>
      </c>
      <c r="P20" s="263" t="s">
        <v>4725</v>
      </c>
    </row>
    <row r="21" spans="1:16">
      <c r="A21" s="257" t="s">
        <v>3125</v>
      </c>
      <c r="B21" s="258" t="s">
        <v>4771</v>
      </c>
      <c r="C21" s="258" t="s">
        <v>4772</v>
      </c>
      <c r="D21" s="258" t="s">
        <v>4770</v>
      </c>
      <c r="E21" s="259">
        <v>730</v>
      </c>
      <c r="F21" s="259">
        <v>730</v>
      </c>
      <c r="G21" s="259">
        <v>730</v>
      </c>
      <c r="H21" s="258" t="s">
        <v>3107</v>
      </c>
      <c r="I21" s="260">
        <v>0.66400000000000003</v>
      </c>
      <c r="J21" s="261">
        <f>E21*$I21</f>
        <v>484.72</v>
      </c>
      <c r="K21" s="261">
        <f>F21*$I21</f>
        <v>484.72</v>
      </c>
      <c r="L21" s="261">
        <f>G21*$I21</f>
        <v>484.72</v>
      </c>
      <c r="M21" s="258" t="s">
        <v>4670</v>
      </c>
      <c r="N21" s="262" t="s">
        <v>2236</v>
      </c>
      <c r="O21" s="262" t="s">
        <v>2236</v>
      </c>
      <c r="P21" s="263" t="s">
        <v>4725</v>
      </c>
    </row>
    <row r="22" spans="1:16">
      <c r="A22" s="257" t="s">
        <v>3144</v>
      </c>
      <c r="B22" s="258" t="s">
        <v>4773</v>
      </c>
      <c r="C22" s="258" t="s">
        <v>4774</v>
      </c>
      <c r="D22" s="258" t="s">
        <v>4775</v>
      </c>
      <c r="E22" s="259">
        <v>1460</v>
      </c>
      <c r="F22" s="259">
        <v>1460</v>
      </c>
      <c r="G22" s="259">
        <v>1460</v>
      </c>
      <c r="H22" s="258" t="s">
        <v>3148</v>
      </c>
      <c r="I22" s="260">
        <v>2.4299999999999999E-2</v>
      </c>
      <c r="J22" s="261">
        <f>E22*$I22</f>
        <v>35.478000000000002</v>
      </c>
      <c r="K22" s="261">
        <f>F22*$I22</f>
        <v>35.478000000000002</v>
      </c>
      <c r="L22" s="261">
        <f>G22*$I22</f>
        <v>35.478000000000002</v>
      </c>
      <c r="M22" s="258" t="s">
        <v>4676</v>
      </c>
      <c r="N22" s="262" t="s">
        <v>2236</v>
      </c>
      <c r="O22" s="262" t="s">
        <v>2236</v>
      </c>
      <c r="P22" s="263" t="s">
        <v>4725</v>
      </c>
    </row>
    <row r="23" spans="1:16">
      <c r="A23" s="257" t="s">
        <v>3144</v>
      </c>
      <c r="B23" s="258" t="s">
        <v>4776</v>
      </c>
      <c r="C23" s="258" t="s">
        <v>4777</v>
      </c>
      <c r="D23" s="258" t="s">
        <v>4778</v>
      </c>
      <c r="E23" s="259">
        <v>730</v>
      </c>
      <c r="F23" s="259">
        <v>730</v>
      </c>
      <c r="G23" s="259">
        <v>730</v>
      </c>
      <c r="H23" s="258" t="s">
        <v>3152</v>
      </c>
      <c r="I23" s="260">
        <v>2.4299999999999999E-2</v>
      </c>
      <c r="J23" s="261">
        <f>E23*$I23</f>
        <v>17.739000000000001</v>
      </c>
      <c r="K23" s="261">
        <f>F23*$I23</f>
        <v>17.739000000000001</v>
      </c>
      <c r="L23" s="261">
        <f>G23*$I23</f>
        <v>17.739000000000001</v>
      </c>
      <c r="M23" s="258" t="s">
        <v>4676</v>
      </c>
      <c r="N23" s="262" t="s">
        <v>2236</v>
      </c>
      <c r="O23" s="262" t="s">
        <v>2236</v>
      </c>
      <c r="P23" s="263" t="s">
        <v>4725</v>
      </c>
    </row>
    <row r="24" spans="1:16">
      <c r="A24" s="257" t="s">
        <v>3144</v>
      </c>
      <c r="B24" s="258" t="s">
        <v>4779</v>
      </c>
      <c r="C24" s="258" t="s">
        <v>4780</v>
      </c>
      <c r="D24" s="258" t="s">
        <v>4781</v>
      </c>
      <c r="E24" s="259">
        <v>7300</v>
      </c>
      <c r="F24" s="259">
        <v>7300</v>
      </c>
      <c r="G24" s="259">
        <v>7300</v>
      </c>
      <c r="H24" s="258" t="s">
        <v>3163</v>
      </c>
      <c r="I24" s="260">
        <v>1.4E-2</v>
      </c>
      <c r="J24" s="261">
        <f>E24*$I24</f>
        <v>102.2</v>
      </c>
      <c r="K24" s="261">
        <f>F24*$I24</f>
        <v>102.2</v>
      </c>
      <c r="L24" s="261">
        <f>G24*$I24</f>
        <v>102.2</v>
      </c>
      <c r="M24" s="258" t="s">
        <v>4683</v>
      </c>
      <c r="N24" s="262" t="s">
        <v>2236</v>
      </c>
      <c r="O24" s="262" t="s">
        <v>2236</v>
      </c>
      <c r="P24" s="263" t="s">
        <v>4725</v>
      </c>
    </row>
    <row r="25" spans="1:16">
      <c r="A25" s="257" t="s">
        <v>3207</v>
      </c>
      <c r="B25" s="258" t="s">
        <v>4782</v>
      </c>
      <c r="C25" s="258" t="s">
        <v>4783</v>
      </c>
      <c r="D25" s="258" t="s">
        <v>4784</v>
      </c>
      <c r="E25" s="259">
        <v>43800</v>
      </c>
      <c r="F25" s="259">
        <v>43800</v>
      </c>
      <c r="G25" s="259">
        <v>43800</v>
      </c>
      <c r="H25" s="258" t="s">
        <v>3223</v>
      </c>
      <c r="I25" s="260">
        <v>1.1999999999999999E-3</v>
      </c>
      <c r="J25" s="261">
        <f>E25*$I25</f>
        <v>52.559999999999995</v>
      </c>
      <c r="K25" s="261">
        <f>F25*$I25</f>
        <v>52.559999999999995</v>
      </c>
      <c r="L25" s="261">
        <f>G25*$I25</f>
        <v>52.559999999999995</v>
      </c>
      <c r="M25" s="258" t="s">
        <v>4706</v>
      </c>
      <c r="N25" s="262" t="s">
        <v>2236</v>
      </c>
      <c r="O25" s="262" t="s">
        <v>2236</v>
      </c>
      <c r="P25" s="263" t="s">
        <v>4725</v>
      </c>
    </row>
    <row r="26" spans="1:16">
      <c r="A26" s="257" t="s">
        <v>1532</v>
      </c>
      <c r="B26" s="258" t="s">
        <v>4806</v>
      </c>
      <c r="C26" s="258" t="s">
        <v>4807</v>
      </c>
      <c r="D26" s="258" t="s">
        <v>4808</v>
      </c>
      <c r="E26" s="259">
        <v>30</v>
      </c>
      <c r="F26" s="259">
        <v>30</v>
      </c>
      <c r="G26" s="259">
        <v>30</v>
      </c>
      <c r="H26" s="258" t="s">
        <v>3199</v>
      </c>
      <c r="I26" s="260">
        <v>0.4</v>
      </c>
      <c r="J26" s="261">
        <f>E26*$I26</f>
        <v>12</v>
      </c>
      <c r="K26" s="261">
        <f>F26*$I26</f>
        <v>12</v>
      </c>
      <c r="L26" s="261">
        <f>G26*$I26</f>
        <v>12</v>
      </c>
      <c r="M26" s="258" t="s">
        <v>4703</v>
      </c>
      <c r="N26" s="262" t="s">
        <v>4725</v>
      </c>
      <c r="O26" s="262" t="s">
        <v>4725</v>
      </c>
      <c r="P26" s="263" t="s">
        <v>4725</v>
      </c>
    </row>
    <row r="27" spans="1:16">
      <c r="A27" s="257" t="s">
        <v>3461</v>
      </c>
      <c r="B27" s="258" t="s">
        <v>4809</v>
      </c>
      <c r="C27" s="258" t="s">
        <v>4810</v>
      </c>
      <c r="D27" s="258" t="s">
        <v>4811</v>
      </c>
      <c r="E27" s="259">
        <v>1</v>
      </c>
      <c r="F27" s="259">
        <v>1</v>
      </c>
      <c r="G27" s="259">
        <v>1</v>
      </c>
      <c r="H27" s="258" t="s">
        <v>4812</v>
      </c>
      <c r="I27" s="260">
        <v>400</v>
      </c>
      <c r="J27" s="261">
        <f>E27*$I27</f>
        <v>400</v>
      </c>
      <c r="K27" s="261">
        <f>F27*$I27</f>
        <v>400</v>
      </c>
      <c r="L27" s="261">
        <f>G27*$I27</f>
        <v>400</v>
      </c>
      <c r="M27" s="258" t="s">
        <v>4704</v>
      </c>
      <c r="N27" s="262" t="s">
        <v>2236</v>
      </c>
      <c r="O27" s="262" t="s">
        <v>2236</v>
      </c>
      <c r="P27" s="263" t="s">
        <v>4725</v>
      </c>
    </row>
    <row r="28" spans="1:16">
      <c r="A28" s="264" t="s">
        <v>4813</v>
      </c>
      <c r="B28" s="265" t="s">
        <v>4814</v>
      </c>
      <c r="C28" s="265" t="s">
        <v>4815</v>
      </c>
      <c r="D28" s="265" t="s">
        <v>4816</v>
      </c>
      <c r="E28" s="266">
        <v>5000000</v>
      </c>
      <c r="F28" s="266">
        <v>15000000</v>
      </c>
      <c r="G28" s="266">
        <v>25000000</v>
      </c>
      <c r="H28" s="265" t="s">
        <v>4817</v>
      </c>
      <c r="I28" s="267">
        <v>9.9999999999999995E-8</v>
      </c>
      <c r="J28" s="268">
        <f>E28*$I28</f>
        <v>0.5</v>
      </c>
      <c r="K28" s="268">
        <f>F28*$I28</f>
        <v>1.5</v>
      </c>
      <c r="L28" s="268">
        <f>G28*$I28</f>
        <v>2.5</v>
      </c>
      <c r="M28" s="265" t="s">
        <v>4696</v>
      </c>
      <c r="N28" s="269" t="s">
        <v>2236</v>
      </c>
      <c r="O28" s="269" t="s">
        <v>4725</v>
      </c>
      <c r="P28" s="270" t="s">
        <v>4725</v>
      </c>
    </row>
    <row r="29" spans="1:16">
      <c r="A29" s="32" t="s">
        <v>4786</v>
      </c>
      <c r="B29" s="32" t="s">
        <v>4787</v>
      </c>
      <c r="C29" s="32" t="s">
        <v>4788</v>
      </c>
      <c r="D29" s="252">
        <f>SUMIF($N$6:$N$28,"○",$J$6:$J$28)</f>
        <v>70.2</v>
      </c>
      <c r="E29" s="252">
        <f>SUMIF($N$6:$N$28,"○",$K$6:$K$28)</f>
        <v>287</v>
      </c>
      <c r="F29" s="252">
        <f>SUMIF($N$6:$N$28,"○",$L$6:$L$28)</f>
        <v>558</v>
      </c>
      <c r="G29" s="32"/>
      <c r="H29" s="32"/>
      <c r="I29" s="32"/>
      <c r="J29" s="32"/>
      <c r="K29" s="32"/>
      <c r="L29" s="32"/>
      <c r="M29" s="32"/>
      <c r="N29" s="32"/>
      <c r="O29" s="32"/>
      <c r="P29" s="32"/>
    </row>
    <row r="30" spans="1:16">
      <c r="A30" s="32" t="s">
        <v>4789</v>
      </c>
      <c r="B30" s="32" t="s">
        <v>4790</v>
      </c>
      <c r="C30" s="32" t="s">
        <v>4791</v>
      </c>
      <c r="D30" s="252">
        <f>SUMIF($O$6:$O$28,"○",$J$6:$J$28)</f>
        <v>128.44999999999999</v>
      </c>
      <c r="E30" s="252">
        <f>SUMIF($O$6:$O$28,"○",$K$6:$K$28)</f>
        <v>557.25</v>
      </c>
      <c r="F30" s="252">
        <f>SUMIF($O$6:$O$28,"○",$L$6:$L$28)</f>
        <v>1093</v>
      </c>
      <c r="G30" s="32"/>
      <c r="H30" s="32"/>
      <c r="I30" s="32"/>
      <c r="J30" s="32"/>
      <c r="K30" s="32"/>
      <c r="L30" s="32"/>
      <c r="M30" s="32"/>
      <c r="N30" s="32"/>
      <c r="O30" s="32"/>
      <c r="P30" s="32"/>
    </row>
    <row r="31" spans="1:16">
      <c r="A31" s="32" t="s">
        <v>4792</v>
      </c>
      <c r="B31" s="32" t="s">
        <v>4793</v>
      </c>
      <c r="C31" s="32" t="s">
        <v>4791</v>
      </c>
      <c r="D31" s="252">
        <f>SUMIF($P$6:$P$28,"○",$J$6:$J$28)</f>
        <v>2958.2569999999996</v>
      </c>
      <c r="E31" s="252">
        <f>SUMIF($P$6:$P$28,"○",$K$6:$K$28)</f>
        <v>3387.0569999999998</v>
      </c>
      <c r="F31" s="252">
        <f>SUMIF($P$6:$P$28,"○",$L$6:$L$28)</f>
        <v>3922.8069999999998</v>
      </c>
      <c r="G31" s="32"/>
      <c r="H31" s="32"/>
      <c r="I31" s="32"/>
      <c r="J31" s="32"/>
      <c r="K31" s="32"/>
      <c r="L31" s="32"/>
      <c r="M31" s="32"/>
      <c r="N31" s="32"/>
      <c r="O31" s="32"/>
      <c r="P31" s="32"/>
    </row>
    <row r="32" spans="1:16">
      <c r="A32" s="32"/>
      <c r="B32" s="32"/>
      <c r="C32" s="32"/>
      <c r="D32" s="32"/>
      <c r="E32" s="32"/>
      <c r="F32" s="32"/>
      <c r="G32" s="32"/>
      <c r="H32" s="32"/>
      <c r="I32" s="32"/>
      <c r="J32" s="32"/>
      <c r="K32" s="32"/>
      <c r="L32" s="32"/>
      <c r="M32" s="32"/>
      <c r="N32" s="32"/>
      <c r="O32" s="32"/>
      <c r="P32" s="32"/>
    </row>
    <row r="33" spans="1:16">
      <c r="A33" s="251" t="s">
        <v>4794</v>
      </c>
      <c r="B33" s="32"/>
      <c r="C33" s="32"/>
      <c r="D33" s="32"/>
      <c r="E33" s="32"/>
      <c r="F33" s="32"/>
      <c r="G33" s="32"/>
      <c r="H33" s="32"/>
      <c r="I33" s="32"/>
      <c r="J33" s="32"/>
      <c r="K33" s="32"/>
      <c r="L33" s="32"/>
      <c r="M33" s="32"/>
      <c r="N33" s="32"/>
      <c r="O33" s="32"/>
      <c r="P33" s="32"/>
    </row>
    <row r="34" spans="1:16">
      <c r="A34" s="143" t="s">
        <v>4785</v>
      </c>
      <c r="B34" s="143" t="s">
        <v>4795</v>
      </c>
      <c r="C34" s="143" t="s">
        <v>4796</v>
      </c>
      <c r="D34" s="143" t="s">
        <v>4797</v>
      </c>
      <c r="E34" s="32"/>
      <c r="F34" s="32"/>
      <c r="G34" s="32"/>
      <c r="H34" s="32"/>
      <c r="I34" s="32"/>
      <c r="J34" s="32"/>
      <c r="K34" s="32"/>
      <c r="L34" s="32"/>
      <c r="M34" s="32"/>
      <c r="N34" s="32"/>
      <c r="O34" s="32"/>
      <c r="P34" s="32"/>
    </row>
    <row r="35" spans="1:16">
      <c r="A35" s="32" t="str">
        <f>A29</f>
        <v>① コールド（現行の設計）</v>
      </c>
      <c r="B35" s="253">
        <f>D29*コスト見積もり!$B$9</f>
        <v>10530</v>
      </c>
      <c r="C35" s="253">
        <f>E29*コスト見積もり!$B$9</f>
        <v>43050</v>
      </c>
      <c r="D35" s="253">
        <f>F29*コスト見積もり!$B$9</f>
        <v>83700</v>
      </c>
      <c r="E35" s="32"/>
      <c r="F35" s="32"/>
      <c r="G35" s="32"/>
      <c r="H35" s="32"/>
      <c r="I35" s="32"/>
      <c r="J35" s="32"/>
      <c r="K35" s="32"/>
      <c r="L35" s="32"/>
      <c r="M35" s="32"/>
      <c r="N35" s="32"/>
      <c r="O35" s="32"/>
      <c r="P35" s="32"/>
    </row>
    <row r="36" spans="1:16">
      <c r="A36" s="32" t="str">
        <f>A30</f>
        <v>② 複製のみ（弊社の推奨）</v>
      </c>
      <c r="B36" s="253">
        <f>D30*コスト見積もり!$B$9</f>
        <v>19267.5</v>
      </c>
      <c r="C36" s="253">
        <f>E30*コスト見積もり!$B$9</f>
        <v>83587.5</v>
      </c>
      <c r="D36" s="253">
        <f>F30*コスト見積もり!$B$9</f>
        <v>163950</v>
      </c>
      <c r="E36" s="32"/>
      <c r="F36" s="32"/>
      <c r="G36" s="32"/>
      <c r="H36" s="32"/>
      <c r="I36" s="32"/>
      <c r="J36" s="32"/>
      <c r="K36" s="32"/>
      <c r="L36" s="32"/>
      <c r="M36" s="32"/>
      <c r="N36" s="32"/>
      <c r="O36" s="32"/>
      <c r="P36" s="32"/>
    </row>
    <row r="37" spans="1:16">
      <c r="A37" s="32" t="str">
        <f>A31</f>
        <v>③ 常時稼働</v>
      </c>
      <c r="B37" s="253">
        <f>D31*コスト見積もり!$B$9</f>
        <v>443738.54999999993</v>
      </c>
      <c r="C37" s="253">
        <f>E31*コスト見積もり!$B$9</f>
        <v>508058.55</v>
      </c>
      <c r="D37" s="253">
        <f>F31*コスト見積もり!$B$9</f>
        <v>588421.04999999993</v>
      </c>
      <c r="E37" s="32"/>
      <c r="F37" s="32"/>
      <c r="G37" s="32"/>
      <c r="H37" s="32"/>
      <c r="I37" s="32"/>
      <c r="J37" s="32"/>
      <c r="K37" s="32"/>
      <c r="L37" s="32"/>
      <c r="M37" s="32"/>
      <c r="N37" s="32"/>
      <c r="O37" s="32"/>
      <c r="P37" s="32"/>
    </row>
    <row r="38" spans="1:16">
      <c r="A38" s="32"/>
      <c r="B38" s="32"/>
      <c r="C38" s="32"/>
      <c r="D38" s="32"/>
      <c r="E38" s="32"/>
      <c r="F38" s="32"/>
      <c r="G38" s="32"/>
      <c r="H38" s="32"/>
      <c r="I38" s="32"/>
      <c r="J38" s="32"/>
      <c r="K38" s="32"/>
      <c r="L38" s="32"/>
      <c r="M38" s="32"/>
      <c r="N38" s="32"/>
      <c r="O38" s="32"/>
      <c r="P38" s="32"/>
    </row>
    <row r="39" spans="1:16">
      <c r="A39" s="251" t="s">
        <v>4798</v>
      </c>
      <c r="B39" s="32"/>
      <c r="C39" s="32"/>
      <c r="D39" s="32"/>
      <c r="E39" s="32"/>
      <c r="F39" s="32"/>
      <c r="G39" s="32"/>
      <c r="H39" s="32"/>
      <c r="I39" s="32"/>
      <c r="J39" s="32"/>
      <c r="K39" s="32"/>
      <c r="L39" s="32"/>
      <c r="M39" s="32"/>
      <c r="N39" s="32"/>
      <c r="O39" s="32"/>
      <c r="P39" s="32"/>
    </row>
    <row r="40" spans="1:16">
      <c r="A40" s="32" t="str">
        <f>"①→② の差額（100万人）: 月 "&amp;TEXT(B36-B35,"#,##0")&amp;" 円 — この差額で「失うデータが数時間ぶん → 1分未満」に変わる"</f>
        <v>①→② の差額（100万人）: 月 8,738 円 — この差額で「失うデータが数時間ぶん → 1分未満」に変わる</v>
      </c>
      <c r="B40" s="32"/>
      <c r="C40" s="32"/>
      <c r="D40" s="32"/>
      <c r="E40" s="32"/>
      <c r="F40" s="32"/>
      <c r="G40" s="32"/>
      <c r="H40" s="32"/>
      <c r="I40" s="32"/>
      <c r="J40" s="32"/>
      <c r="K40" s="32"/>
      <c r="L40" s="32"/>
      <c r="M40" s="32"/>
      <c r="N40" s="32"/>
      <c r="O40" s="32"/>
      <c r="P40" s="32"/>
    </row>
    <row r="41" spans="1:16">
      <c r="A41" s="32" t="str">
        <f>"②→③ の差額（100万人）: 月 "&amp;TEXT(B37-B36,"#,##0")&amp;" 円（年 "&amp;TEXT((B37-B36)*12,"#,##0")&amp;" 円） — 買えるのは「復旧が数日 → 1日以下」だけ"</f>
        <v>②→③ の差額（100万人）: 月 424,471 円（年 5,093,653 円） — 買えるのは「復旧が数日 → 1日以下」だけ</v>
      </c>
      <c r="B41" s="32"/>
      <c r="C41" s="32"/>
      <c r="D41" s="32"/>
      <c r="E41" s="32"/>
      <c r="F41" s="32"/>
      <c r="G41" s="32"/>
      <c r="H41" s="32"/>
      <c r="I41" s="32"/>
      <c r="J41" s="32"/>
      <c r="K41" s="32"/>
      <c r="L41" s="32"/>
      <c r="M41" s="32"/>
      <c r="N41" s="32"/>
      <c r="O41" s="32"/>
      <c r="P41" s="32"/>
    </row>
    <row r="42" spans="1:16">
      <c r="A42" s="32" t="s">
        <v>4799</v>
      </c>
      <c r="B42" s="32"/>
      <c r="C42" s="32"/>
      <c r="D42" s="32"/>
      <c r="E42" s="32"/>
      <c r="F42" s="32"/>
      <c r="G42" s="32"/>
      <c r="H42" s="32"/>
      <c r="I42" s="32"/>
      <c r="J42" s="32"/>
      <c r="K42" s="32"/>
      <c r="L42" s="32"/>
      <c r="M42" s="32"/>
      <c r="N42" s="32"/>
      <c r="O42" s="32"/>
      <c r="P42" s="32"/>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5184</v>
      </c>
      <c r="B1" s="32"/>
      <c r="C1" s="32"/>
      <c r="D1" s="32"/>
      <c r="E1" s="32"/>
      <c r="F1" s="32"/>
      <c r="G1" s="32"/>
      <c r="H1" s="32"/>
      <c r="I1" s="32"/>
      <c r="J1" s="32"/>
      <c r="K1" s="32"/>
      <c r="L1" s="32"/>
      <c r="M1" s="32"/>
      <c r="N1" s="32"/>
    </row>
    <row r="2" spans="1:14">
      <c r="A2" s="290" t="s">
        <v>5185</v>
      </c>
      <c r="B2" s="32"/>
      <c r="C2" s="32"/>
      <c r="D2" s="32"/>
      <c r="E2" s="32"/>
      <c r="F2" s="32"/>
      <c r="G2" s="32"/>
      <c r="H2" s="32"/>
      <c r="I2" s="32"/>
      <c r="J2" s="32"/>
      <c r="K2" s="32"/>
      <c r="L2" s="32"/>
      <c r="M2" s="32"/>
      <c r="N2" s="32"/>
    </row>
    <row r="3" spans="1:14">
      <c r="A3" s="304" t="s">
        <v>5186</v>
      </c>
      <c r="B3" s="32"/>
      <c r="C3" s="32"/>
      <c r="D3" s="32"/>
      <c r="E3" s="32"/>
      <c r="F3" s="32"/>
      <c r="G3" s="32"/>
      <c r="H3" s="32"/>
      <c r="I3" s="32"/>
      <c r="J3" s="32"/>
      <c r="K3" s="32"/>
      <c r="L3" s="32"/>
      <c r="M3" s="32"/>
      <c r="N3" s="32"/>
    </row>
    <row r="4" spans="1:14">
      <c r="A4" s="32"/>
      <c r="B4" s="32"/>
      <c r="C4" s="32"/>
      <c r="D4" s="32"/>
      <c r="E4" s="32"/>
      <c r="F4" s="32"/>
      <c r="G4" s="32"/>
      <c r="H4" s="32"/>
      <c r="I4" s="32"/>
      <c r="J4" s="32"/>
      <c r="K4" s="32"/>
      <c r="L4" s="32"/>
      <c r="M4" s="32"/>
      <c r="N4" s="32"/>
    </row>
    <row r="5" spans="1:14">
      <c r="A5" s="291" t="s">
        <v>5143</v>
      </c>
      <c r="B5" s="292" t="s">
        <v>4874</v>
      </c>
      <c r="C5" s="292" t="s">
        <v>2524</v>
      </c>
      <c r="D5" s="292" t="s">
        <v>4875</v>
      </c>
      <c r="E5" s="292" t="s">
        <v>4876</v>
      </c>
      <c r="F5" s="292" t="s">
        <v>4877</v>
      </c>
      <c r="G5" s="293" t="s">
        <v>4878</v>
      </c>
      <c r="H5" s="293" t="s">
        <v>4879</v>
      </c>
      <c r="I5" s="293" t="s">
        <v>4880</v>
      </c>
      <c r="J5" s="293" t="s">
        <v>4881</v>
      </c>
      <c r="K5" s="294" t="s">
        <v>4882</v>
      </c>
      <c r="L5" s="294" t="s">
        <v>4883</v>
      </c>
      <c r="M5" s="294" t="s">
        <v>4884</v>
      </c>
      <c r="N5" s="295" t="s">
        <v>12</v>
      </c>
    </row>
    <row r="6" spans="1:14" ht="110" customHeight="1">
      <c r="A6" s="305">
        <v>7</v>
      </c>
      <c r="B6" s="296" t="s">
        <v>4885</v>
      </c>
      <c r="C6" s="296" t="s">
        <v>4886</v>
      </c>
      <c r="D6" s="297" t="s">
        <v>4278</v>
      </c>
      <c r="E6" s="296" t="s">
        <v>4887</v>
      </c>
      <c r="F6" s="296" t="s">
        <v>4888</v>
      </c>
      <c r="G6" s="296"/>
      <c r="H6" s="296"/>
      <c r="I6" s="296"/>
      <c r="J6" s="296"/>
      <c r="K6" s="296" t="s">
        <v>4889</v>
      </c>
      <c r="L6" s="296" t="s">
        <v>4890</v>
      </c>
      <c r="M6" s="296" t="s">
        <v>4891</v>
      </c>
      <c r="N6" s="298" t="s">
        <v>4892</v>
      </c>
    </row>
    <row r="7" spans="1:14" ht="110" customHeight="1">
      <c r="A7" s="305">
        <v>8</v>
      </c>
      <c r="B7" s="296" t="s">
        <v>4893</v>
      </c>
      <c r="C7" s="296" t="s">
        <v>4886</v>
      </c>
      <c r="D7" s="297" t="s">
        <v>4278</v>
      </c>
      <c r="E7" s="296" t="s">
        <v>4894</v>
      </c>
      <c r="F7" s="296" t="s">
        <v>4895</v>
      </c>
      <c r="G7" s="296"/>
      <c r="H7" s="296"/>
      <c r="I7" s="296"/>
      <c r="J7" s="296"/>
      <c r="K7" s="296" t="s">
        <v>4896</v>
      </c>
      <c r="L7" s="296" t="s">
        <v>4897</v>
      </c>
      <c r="M7" s="296" t="s">
        <v>4898</v>
      </c>
      <c r="N7" s="298" t="s">
        <v>4899</v>
      </c>
    </row>
    <row r="8" spans="1:14" ht="110" customHeight="1">
      <c r="A8" s="305">
        <v>9</v>
      </c>
      <c r="B8" s="296" t="s">
        <v>4900</v>
      </c>
      <c r="C8" s="296" t="s">
        <v>4886</v>
      </c>
      <c r="D8" s="297" t="s">
        <v>4278</v>
      </c>
      <c r="E8" s="296" t="s">
        <v>4901</v>
      </c>
      <c r="F8" s="296" t="s">
        <v>4902</v>
      </c>
      <c r="G8" s="296"/>
      <c r="H8" s="296"/>
      <c r="I8" s="296"/>
      <c r="J8" s="296"/>
      <c r="K8" s="296" t="s">
        <v>4903</v>
      </c>
      <c r="L8" s="296" t="s">
        <v>4904</v>
      </c>
      <c r="M8" s="296" t="s">
        <v>4905</v>
      </c>
      <c r="N8" s="298" t="s">
        <v>4906</v>
      </c>
    </row>
    <row r="9" spans="1:14" ht="110" customHeight="1">
      <c r="A9" s="305"/>
      <c r="B9" s="296" t="s">
        <v>4907</v>
      </c>
      <c r="C9" s="296" t="s">
        <v>4886</v>
      </c>
      <c r="D9" s="297" t="s">
        <v>4279</v>
      </c>
      <c r="E9" s="296" t="s">
        <v>4908</v>
      </c>
      <c r="F9" s="296" t="s">
        <v>4909</v>
      </c>
      <c r="G9" s="296"/>
      <c r="H9" s="296"/>
      <c r="I9" s="296"/>
      <c r="J9" s="296"/>
      <c r="K9" s="296" t="s">
        <v>4910</v>
      </c>
      <c r="L9" s="296" t="s">
        <v>4911</v>
      </c>
      <c r="M9" s="296" t="s">
        <v>4912</v>
      </c>
      <c r="N9" s="298" t="s">
        <v>4906</v>
      </c>
    </row>
    <row r="10" spans="1:14" ht="110" customHeight="1">
      <c r="A10" s="305"/>
      <c r="B10" s="296" t="s">
        <v>4913</v>
      </c>
      <c r="C10" s="296" t="s">
        <v>4886</v>
      </c>
      <c r="D10" s="297" t="s">
        <v>4279</v>
      </c>
      <c r="E10" s="296" t="s">
        <v>4914</v>
      </c>
      <c r="F10" s="296" t="s">
        <v>4915</v>
      </c>
      <c r="G10" s="296"/>
      <c r="H10" s="296"/>
      <c r="I10" s="296"/>
      <c r="J10" s="296"/>
      <c r="K10" s="296" t="s">
        <v>4916</v>
      </c>
      <c r="L10" s="296" t="s">
        <v>4917</v>
      </c>
      <c r="M10" s="296" t="s">
        <v>4918</v>
      </c>
      <c r="N10" s="298" t="s">
        <v>4919</v>
      </c>
    </row>
    <row r="11" spans="1:14" ht="110" customHeight="1">
      <c r="A11" s="305"/>
      <c r="B11" s="296" t="s">
        <v>4920</v>
      </c>
      <c r="C11" s="296" t="s">
        <v>4886</v>
      </c>
      <c r="D11" s="297" t="s">
        <v>4279</v>
      </c>
      <c r="E11" s="296" t="s">
        <v>4921</v>
      </c>
      <c r="F11" s="296" t="s">
        <v>4922</v>
      </c>
      <c r="G11" s="296"/>
      <c r="H11" s="296"/>
      <c r="I11" s="296"/>
      <c r="J11" s="296"/>
      <c r="K11" s="296" t="s">
        <v>4923</v>
      </c>
      <c r="L11" s="296" t="s">
        <v>4924</v>
      </c>
      <c r="M11" s="296" t="s">
        <v>4925</v>
      </c>
      <c r="N11" s="298" t="s">
        <v>4926</v>
      </c>
    </row>
    <row r="12" spans="1:14" ht="110" customHeight="1">
      <c r="A12" s="305"/>
      <c r="B12" s="296" t="s">
        <v>4927</v>
      </c>
      <c r="C12" s="296" t="s">
        <v>4886</v>
      </c>
      <c r="D12" s="297" t="s">
        <v>4279</v>
      </c>
      <c r="E12" s="296" t="s">
        <v>4928</v>
      </c>
      <c r="F12" s="296" t="s">
        <v>4929</v>
      </c>
      <c r="G12" s="296"/>
      <c r="H12" s="296"/>
      <c r="I12" s="296"/>
      <c r="J12" s="296"/>
      <c r="K12" s="296" t="s">
        <v>4930</v>
      </c>
      <c r="L12" s="296" t="s">
        <v>4931</v>
      </c>
      <c r="M12" s="296" t="s">
        <v>4932</v>
      </c>
      <c r="N12" s="298" t="s">
        <v>4933</v>
      </c>
    </row>
    <row r="13" spans="1:14" ht="110" customHeight="1">
      <c r="A13" s="305">
        <v>10</v>
      </c>
      <c r="B13" s="296" t="s">
        <v>4934</v>
      </c>
      <c r="C13" s="296" t="s">
        <v>4935</v>
      </c>
      <c r="D13" s="297" t="s">
        <v>4278</v>
      </c>
      <c r="E13" s="296" t="s">
        <v>4936</v>
      </c>
      <c r="F13" s="296" t="s">
        <v>4937</v>
      </c>
      <c r="G13" s="296"/>
      <c r="H13" s="296"/>
      <c r="I13" s="296"/>
      <c r="J13" s="296"/>
      <c r="K13" s="296" t="s">
        <v>4938</v>
      </c>
      <c r="L13" s="296" t="s">
        <v>4939</v>
      </c>
      <c r="M13" s="296" t="s">
        <v>4940</v>
      </c>
      <c r="N13" s="298" t="s">
        <v>4941</v>
      </c>
    </row>
    <row r="14" spans="1:14" ht="110" customHeight="1">
      <c r="A14" s="305">
        <v>11</v>
      </c>
      <c r="B14" s="296" t="s">
        <v>4942</v>
      </c>
      <c r="C14" s="296" t="s">
        <v>4935</v>
      </c>
      <c r="D14" s="297" t="s">
        <v>4278</v>
      </c>
      <c r="E14" s="296" t="s">
        <v>4943</v>
      </c>
      <c r="F14" s="296" t="s">
        <v>4944</v>
      </c>
      <c r="G14" s="296"/>
      <c r="H14" s="296"/>
      <c r="I14" s="296"/>
      <c r="J14" s="296"/>
      <c r="K14" s="296" t="s">
        <v>4945</v>
      </c>
      <c r="L14" s="296" t="s">
        <v>4946</v>
      </c>
      <c r="M14" s="296" t="s">
        <v>4947</v>
      </c>
      <c r="N14" s="298" t="s">
        <v>4948</v>
      </c>
    </row>
    <row r="15" spans="1:14" ht="110" customHeight="1">
      <c r="A15" s="305"/>
      <c r="B15" s="296" t="s">
        <v>4949</v>
      </c>
      <c r="C15" s="296" t="s">
        <v>4935</v>
      </c>
      <c r="D15" s="297" t="s">
        <v>4279</v>
      </c>
      <c r="E15" s="296" t="s">
        <v>4950</v>
      </c>
      <c r="F15" s="296" t="s">
        <v>4951</v>
      </c>
      <c r="G15" s="296"/>
      <c r="H15" s="296"/>
      <c r="I15" s="296"/>
      <c r="J15" s="296"/>
      <c r="K15" s="296" t="s">
        <v>4952</v>
      </c>
      <c r="L15" s="296" t="s">
        <v>4953</v>
      </c>
      <c r="M15" s="296" t="s">
        <v>4954</v>
      </c>
      <c r="N15" s="298" t="s">
        <v>903</v>
      </c>
    </row>
    <row r="16" spans="1:14" ht="110" customHeight="1">
      <c r="A16" s="305"/>
      <c r="B16" s="296" t="s">
        <v>4955</v>
      </c>
      <c r="C16" s="296" t="s">
        <v>4935</v>
      </c>
      <c r="D16" s="297" t="s">
        <v>4279</v>
      </c>
      <c r="E16" s="296" t="s">
        <v>4956</v>
      </c>
      <c r="F16" s="296" t="s">
        <v>4957</v>
      </c>
      <c r="G16" s="296"/>
      <c r="H16" s="296"/>
      <c r="I16" s="296"/>
      <c r="J16" s="296"/>
      <c r="K16" s="296" t="s">
        <v>4958</v>
      </c>
      <c r="L16" s="296" t="s">
        <v>4959</v>
      </c>
      <c r="M16" s="296" t="s">
        <v>4960</v>
      </c>
      <c r="N16" s="298" t="s">
        <v>4961</v>
      </c>
    </row>
    <row r="17" spans="1:14" ht="110" customHeight="1">
      <c r="A17" s="305"/>
      <c r="B17" s="296" t="s">
        <v>4962</v>
      </c>
      <c r="C17" s="296" t="s">
        <v>4935</v>
      </c>
      <c r="D17" s="297" t="s">
        <v>4279</v>
      </c>
      <c r="E17" s="296" t="s">
        <v>4963</v>
      </c>
      <c r="F17" s="296" t="s">
        <v>4964</v>
      </c>
      <c r="G17" s="296"/>
      <c r="H17" s="296"/>
      <c r="I17" s="296"/>
      <c r="J17" s="296"/>
      <c r="K17" s="296" t="s">
        <v>4965</v>
      </c>
      <c r="L17" s="296" t="s">
        <v>4966</v>
      </c>
      <c r="M17" s="296" t="s">
        <v>4967</v>
      </c>
      <c r="N17" s="298" t="s">
        <v>4926</v>
      </c>
    </row>
    <row r="18" spans="1:14" ht="110" customHeight="1">
      <c r="A18" s="305"/>
      <c r="B18" s="296" t="s">
        <v>4968</v>
      </c>
      <c r="C18" s="296" t="s">
        <v>4935</v>
      </c>
      <c r="D18" s="297" t="s">
        <v>4279</v>
      </c>
      <c r="E18" s="296" t="s">
        <v>4969</v>
      </c>
      <c r="F18" s="296" t="s">
        <v>4970</v>
      </c>
      <c r="G18" s="296"/>
      <c r="H18" s="296"/>
      <c r="I18" s="296"/>
      <c r="J18" s="296"/>
      <c r="K18" s="296" t="s">
        <v>4971</v>
      </c>
      <c r="L18" s="296" t="s">
        <v>4972</v>
      </c>
      <c r="M18" s="296" t="s">
        <v>4973</v>
      </c>
      <c r="N18" s="298" t="s">
        <v>4974</v>
      </c>
    </row>
    <row r="19" spans="1:14" ht="110" customHeight="1">
      <c r="A19" s="305"/>
      <c r="B19" s="296" t="s">
        <v>4975</v>
      </c>
      <c r="C19" s="296" t="s">
        <v>4935</v>
      </c>
      <c r="D19" s="297" t="s">
        <v>4280</v>
      </c>
      <c r="E19" s="296" t="s">
        <v>4976</v>
      </c>
      <c r="F19" s="296" t="s">
        <v>4977</v>
      </c>
      <c r="G19" s="296"/>
      <c r="H19" s="296"/>
      <c r="I19" s="296"/>
      <c r="J19" s="296"/>
      <c r="K19" s="296" t="s">
        <v>4978</v>
      </c>
      <c r="L19" s="296" t="s">
        <v>4979</v>
      </c>
      <c r="M19" s="296" t="s">
        <v>4980</v>
      </c>
      <c r="N19" s="298" t="s">
        <v>4981</v>
      </c>
    </row>
    <row r="20" spans="1:14" ht="110" customHeight="1">
      <c r="A20" s="305"/>
      <c r="B20" s="296" t="s">
        <v>4982</v>
      </c>
      <c r="C20" s="296" t="s">
        <v>4935</v>
      </c>
      <c r="D20" s="297" t="s">
        <v>4280</v>
      </c>
      <c r="E20" s="296" t="s">
        <v>4983</v>
      </c>
      <c r="F20" s="296" t="s">
        <v>4984</v>
      </c>
      <c r="G20" s="296"/>
      <c r="H20" s="296"/>
      <c r="I20" s="296"/>
      <c r="J20" s="296"/>
      <c r="K20" s="296" t="s">
        <v>4985</v>
      </c>
      <c r="L20" s="296" t="s">
        <v>4986</v>
      </c>
      <c r="M20" s="296" t="s">
        <v>4987</v>
      </c>
      <c r="N20" s="298" t="s">
        <v>4988</v>
      </c>
    </row>
    <row r="21" spans="1:14" ht="110" customHeight="1">
      <c r="A21" s="305">
        <v>12</v>
      </c>
      <c r="B21" s="296" t="s">
        <v>4989</v>
      </c>
      <c r="C21" s="296" t="s">
        <v>4990</v>
      </c>
      <c r="D21" s="297" t="s">
        <v>4278</v>
      </c>
      <c r="E21" s="296" t="s">
        <v>4991</v>
      </c>
      <c r="F21" s="296" t="s">
        <v>4992</v>
      </c>
      <c r="G21" s="296"/>
      <c r="H21" s="296"/>
      <c r="I21" s="296"/>
      <c r="J21" s="296"/>
      <c r="K21" s="296" t="s">
        <v>4993</v>
      </c>
      <c r="L21" s="296" t="s">
        <v>4994</v>
      </c>
      <c r="M21" s="296" t="s">
        <v>4995</v>
      </c>
      <c r="N21" s="298" t="s">
        <v>4899</v>
      </c>
    </row>
    <row r="22" spans="1:14" ht="110" customHeight="1">
      <c r="A22" s="305">
        <v>13</v>
      </c>
      <c r="B22" s="296" t="s">
        <v>4996</v>
      </c>
      <c r="C22" s="296" t="s">
        <v>4990</v>
      </c>
      <c r="D22" s="297" t="s">
        <v>4278</v>
      </c>
      <c r="E22" s="296" t="s">
        <v>4997</v>
      </c>
      <c r="F22" s="296" t="s">
        <v>4998</v>
      </c>
      <c r="G22" s="296"/>
      <c r="H22" s="296"/>
      <c r="I22" s="296"/>
      <c r="J22" s="296"/>
      <c r="K22" s="296" t="s">
        <v>4999</v>
      </c>
      <c r="L22" s="296" t="s">
        <v>5000</v>
      </c>
      <c r="M22" s="296" t="s">
        <v>5001</v>
      </c>
      <c r="N22" s="298" t="s">
        <v>5002</v>
      </c>
    </row>
    <row r="23" spans="1:14" ht="110" customHeight="1">
      <c r="A23" s="305"/>
      <c r="B23" s="296" t="s">
        <v>5003</v>
      </c>
      <c r="C23" s="296" t="s">
        <v>4990</v>
      </c>
      <c r="D23" s="297" t="s">
        <v>4279</v>
      </c>
      <c r="E23" s="296" t="s">
        <v>5004</v>
      </c>
      <c r="F23" s="296" t="s">
        <v>5005</v>
      </c>
      <c r="G23" s="296"/>
      <c r="H23" s="296"/>
      <c r="I23" s="296"/>
      <c r="J23" s="296"/>
      <c r="K23" s="296" t="s">
        <v>5006</v>
      </c>
      <c r="L23" s="296" t="s">
        <v>5007</v>
      </c>
      <c r="M23" s="296" t="s">
        <v>5008</v>
      </c>
      <c r="N23" s="298" t="s">
        <v>5009</v>
      </c>
    </row>
    <row r="24" spans="1:14" ht="110" customHeight="1">
      <c r="A24" s="305"/>
      <c r="B24" s="296" t="s">
        <v>5010</v>
      </c>
      <c r="C24" s="296" t="s">
        <v>4990</v>
      </c>
      <c r="D24" s="297" t="s">
        <v>4279</v>
      </c>
      <c r="E24" s="296" t="s">
        <v>5011</v>
      </c>
      <c r="F24" s="296" t="s">
        <v>5012</v>
      </c>
      <c r="G24" s="296"/>
      <c r="H24" s="296"/>
      <c r="I24" s="296"/>
      <c r="J24" s="296"/>
      <c r="K24" s="296" t="s">
        <v>5013</v>
      </c>
      <c r="L24" s="296" t="s">
        <v>5014</v>
      </c>
      <c r="M24" s="296" t="s">
        <v>5015</v>
      </c>
      <c r="N24" s="298" t="s">
        <v>5016</v>
      </c>
    </row>
    <row r="25" spans="1:14" ht="110" customHeight="1">
      <c r="A25" s="305"/>
      <c r="B25" s="296" t="s">
        <v>5017</v>
      </c>
      <c r="C25" s="296" t="s">
        <v>4990</v>
      </c>
      <c r="D25" s="297" t="s">
        <v>4279</v>
      </c>
      <c r="E25" s="296" t="s">
        <v>5018</v>
      </c>
      <c r="F25" s="296" t="s">
        <v>5019</v>
      </c>
      <c r="G25" s="296"/>
      <c r="H25" s="296"/>
      <c r="I25" s="296"/>
      <c r="J25" s="296"/>
      <c r="K25" s="296" t="s">
        <v>5020</v>
      </c>
      <c r="L25" s="296" t="s">
        <v>5021</v>
      </c>
      <c r="M25" s="296" t="s">
        <v>5022</v>
      </c>
      <c r="N25" s="298" t="s">
        <v>5023</v>
      </c>
    </row>
    <row r="26" spans="1:14" ht="110" customHeight="1">
      <c r="A26" s="305"/>
      <c r="B26" s="296" t="s">
        <v>5024</v>
      </c>
      <c r="C26" s="296" t="s">
        <v>4990</v>
      </c>
      <c r="D26" s="297" t="s">
        <v>4279</v>
      </c>
      <c r="E26" s="296" t="s">
        <v>5025</v>
      </c>
      <c r="F26" s="296" t="s">
        <v>5026</v>
      </c>
      <c r="G26" s="296"/>
      <c r="H26" s="296"/>
      <c r="I26" s="296"/>
      <c r="J26" s="296"/>
      <c r="K26" s="296" t="s">
        <v>5027</v>
      </c>
      <c r="L26" s="296" t="s">
        <v>5028</v>
      </c>
      <c r="M26" s="296" t="s">
        <v>5029</v>
      </c>
      <c r="N26" s="298" t="s">
        <v>5030</v>
      </c>
    </row>
    <row r="27" spans="1:14" ht="110" customHeight="1">
      <c r="A27" s="305">
        <v>2</v>
      </c>
      <c r="B27" s="296" t="s">
        <v>5031</v>
      </c>
      <c r="C27" s="296" t="s">
        <v>5032</v>
      </c>
      <c r="D27" s="297" t="s">
        <v>4278</v>
      </c>
      <c r="E27" s="296" t="s">
        <v>5033</v>
      </c>
      <c r="F27" s="296" t="s">
        <v>5034</v>
      </c>
      <c r="G27" s="296"/>
      <c r="H27" s="296"/>
      <c r="I27" s="296"/>
      <c r="J27" s="296"/>
      <c r="K27" s="296" t="s">
        <v>5035</v>
      </c>
      <c r="L27" s="296" t="s">
        <v>5036</v>
      </c>
      <c r="M27" s="296" t="s">
        <v>5037</v>
      </c>
      <c r="N27" s="298" t="s">
        <v>5038</v>
      </c>
    </row>
    <row r="28" spans="1:14" ht="110" customHeight="1">
      <c r="A28" s="305">
        <v>3</v>
      </c>
      <c r="B28" s="296" t="s">
        <v>5039</v>
      </c>
      <c r="C28" s="296" t="s">
        <v>5032</v>
      </c>
      <c r="D28" s="297" t="s">
        <v>4278</v>
      </c>
      <c r="E28" s="296" t="s">
        <v>5040</v>
      </c>
      <c r="F28" s="296" t="s">
        <v>5041</v>
      </c>
      <c r="G28" s="296"/>
      <c r="H28" s="296"/>
      <c r="I28" s="296"/>
      <c r="J28" s="296"/>
      <c r="K28" s="296" t="s">
        <v>5042</v>
      </c>
      <c r="L28" s="296" t="s">
        <v>5043</v>
      </c>
      <c r="M28" s="296" t="s">
        <v>5044</v>
      </c>
      <c r="N28" s="298" t="s">
        <v>5045</v>
      </c>
    </row>
    <row r="29" spans="1:14" ht="110" customHeight="1">
      <c r="A29" s="305">
        <v>4</v>
      </c>
      <c r="B29" s="296" t="s">
        <v>5046</v>
      </c>
      <c r="C29" s="296" t="s">
        <v>5032</v>
      </c>
      <c r="D29" s="297" t="s">
        <v>4278</v>
      </c>
      <c r="E29" s="296" t="s">
        <v>5047</v>
      </c>
      <c r="F29" s="296" t="s">
        <v>5048</v>
      </c>
      <c r="G29" s="296"/>
      <c r="H29" s="296"/>
      <c r="I29" s="296"/>
      <c r="J29" s="296"/>
      <c r="K29" s="296" t="s">
        <v>5049</v>
      </c>
      <c r="L29" s="296" t="s">
        <v>5050</v>
      </c>
      <c r="M29" s="296" t="s">
        <v>5051</v>
      </c>
      <c r="N29" s="298" t="s">
        <v>4899</v>
      </c>
    </row>
    <row r="30" spans="1:14" ht="110" customHeight="1">
      <c r="A30" s="305"/>
      <c r="B30" s="296" t="s">
        <v>5052</v>
      </c>
      <c r="C30" s="296" t="s">
        <v>5032</v>
      </c>
      <c r="D30" s="297" t="s">
        <v>4279</v>
      </c>
      <c r="E30" s="296" t="s">
        <v>5053</v>
      </c>
      <c r="F30" s="296" t="s">
        <v>5054</v>
      </c>
      <c r="G30" s="296"/>
      <c r="H30" s="296"/>
      <c r="I30" s="296"/>
      <c r="J30" s="296"/>
      <c r="K30" s="296" t="s">
        <v>5055</v>
      </c>
      <c r="L30" s="296" t="s">
        <v>5056</v>
      </c>
      <c r="M30" s="296" t="s">
        <v>5057</v>
      </c>
      <c r="N30" s="298" t="s">
        <v>5058</v>
      </c>
    </row>
    <row r="31" spans="1:14" ht="110" customHeight="1">
      <c r="A31" s="305"/>
      <c r="B31" s="296" t="s">
        <v>5059</v>
      </c>
      <c r="C31" s="296" t="s">
        <v>5032</v>
      </c>
      <c r="D31" s="297" t="s">
        <v>4279</v>
      </c>
      <c r="E31" s="296" t="s">
        <v>5060</v>
      </c>
      <c r="F31" s="296" t="s">
        <v>5061</v>
      </c>
      <c r="G31" s="296"/>
      <c r="H31" s="296"/>
      <c r="I31" s="296"/>
      <c r="J31" s="296"/>
      <c r="K31" s="296" t="s">
        <v>5062</v>
      </c>
      <c r="L31" s="296" t="s">
        <v>5063</v>
      </c>
      <c r="M31" s="296" t="s">
        <v>5064</v>
      </c>
      <c r="N31" s="298" t="s">
        <v>5065</v>
      </c>
    </row>
    <row r="32" spans="1:14" ht="110" customHeight="1">
      <c r="A32" s="305"/>
      <c r="B32" s="296" t="s">
        <v>5066</v>
      </c>
      <c r="C32" s="296" t="s">
        <v>5032</v>
      </c>
      <c r="D32" s="297" t="s">
        <v>4279</v>
      </c>
      <c r="E32" s="296" t="s">
        <v>5067</v>
      </c>
      <c r="F32" s="296" t="s">
        <v>5068</v>
      </c>
      <c r="G32" s="296"/>
      <c r="H32" s="296"/>
      <c r="I32" s="296"/>
      <c r="J32" s="296"/>
      <c r="K32" s="296" t="s">
        <v>5069</v>
      </c>
      <c r="L32" s="296" t="s">
        <v>5070</v>
      </c>
      <c r="M32" s="296" t="s">
        <v>5071</v>
      </c>
      <c r="N32" s="298" t="s">
        <v>5072</v>
      </c>
    </row>
    <row r="33" spans="1:14" ht="110" customHeight="1">
      <c r="A33" s="305"/>
      <c r="B33" s="296" t="s">
        <v>5073</v>
      </c>
      <c r="C33" s="296" t="s">
        <v>5032</v>
      </c>
      <c r="D33" s="297" t="s">
        <v>4280</v>
      </c>
      <c r="E33" s="296" t="s">
        <v>5074</v>
      </c>
      <c r="F33" s="296" t="s">
        <v>5075</v>
      </c>
      <c r="G33" s="296"/>
      <c r="H33" s="296"/>
      <c r="I33" s="296"/>
      <c r="J33" s="296"/>
      <c r="K33" s="296" t="s">
        <v>5076</v>
      </c>
      <c r="L33" s="296" t="s">
        <v>5077</v>
      </c>
      <c r="M33" s="296" t="s">
        <v>5078</v>
      </c>
      <c r="N33" s="298" t="s">
        <v>5079</v>
      </c>
    </row>
    <row r="34" spans="1:14" ht="110" customHeight="1">
      <c r="A34" s="305">
        <v>17</v>
      </c>
      <c r="B34" s="296" t="s">
        <v>5080</v>
      </c>
      <c r="C34" s="296" t="s">
        <v>5081</v>
      </c>
      <c r="D34" s="297" t="s">
        <v>4278</v>
      </c>
      <c r="E34" s="296" t="s">
        <v>5082</v>
      </c>
      <c r="F34" s="296" t="s">
        <v>5083</v>
      </c>
      <c r="G34" s="296"/>
      <c r="H34" s="296"/>
      <c r="I34" s="296"/>
      <c r="J34" s="296"/>
      <c r="K34" s="296" t="s">
        <v>5084</v>
      </c>
      <c r="L34" s="296" t="s">
        <v>5085</v>
      </c>
      <c r="M34" s="296" t="s">
        <v>5086</v>
      </c>
      <c r="N34" s="298" t="s">
        <v>5087</v>
      </c>
    </row>
    <row r="35" spans="1:14" ht="110" customHeight="1">
      <c r="A35" s="305"/>
      <c r="B35" s="296" t="s">
        <v>5088</v>
      </c>
      <c r="C35" s="296" t="s">
        <v>5081</v>
      </c>
      <c r="D35" s="297" t="s">
        <v>4279</v>
      </c>
      <c r="E35" s="296" t="s">
        <v>5089</v>
      </c>
      <c r="F35" s="296" t="s">
        <v>5090</v>
      </c>
      <c r="G35" s="296"/>
      <c r="H35" s="296"/>
      <c r="I35" s="296"/>
      <c r="J35" s="296"/>
      <c r="K35" s="296" t="s">
        <v>5091</v>
      </c>
      <c r="L35" s="296" t="s">
        <v>5092</v>
      </c>
      <c r="M35" s="296" t="s">
        <v>5093</v>
      </c>
      <c r="N35" s="298" t="s">
        <v>4906</v>
      </c>
    </row>
    <row r="36" spans="1:14" ht="110" customHeight="1">
      <c r="A36" s="305"/>
      <c r="B36" s="296" t="s">
        <v>5094</v>
      </c>
      <c r="C36" s="296" t="s">
        <v>5081</v>
      </c>
      <c r="D36" s="297" t="s">
        <v>4279</v>
      </c>
      <c r="E36" s="296" t="s">
        <v>5095</v>
      </c>
      <c r="F36" s="296" t="s">
        <v>5096</v>
      </c>
      <c r="G36" s="296"/>
      <c r="H36" s="296"/>
      <c r="I36" s="296"/>
      <c r="J36" s="296"/>
      <c r="K36" s="296" t="s">
        <v>5097</v>
      </c>
      <c r="L36" s="296" t="s">
        <v>5098</v>
      </c>
      <c r="M36" s="296" t="s">
        <v>5099</v>
      </c>
      <c r="N36" s="298" t="s">
        <v>2687</v>
      </c>
    </row>
    <row r="37" spans="1:14" ht="110" customHeight="1">
      <c r="A37" s="305"/>
      <c r="B37" s="296" t="s">
        <v>5100</v>
      </c>
      <c r="C37" s="296" t="s">
        <v>5081</v>
      </c>
      <c r="D37" s="297" t="s">
        <v>4279</v>
      </c>
      <c r="E37" s="296" t="s">
        <v>5101</v>
      </c>
      <c r="F37" s="296" t="s">
        <v>5102</v>
      </c>
      <c r="G37" s="296"/>
      <c r="H37" s="296"/>
      <c r="I37" s="296"/>
      <c r="J37" s="296"/>
      <c r="K37" s="296" t="s">
        <v>5103</v>
      </c>
      <c r="L37" s="296" t="s">
        <v>5104</v>
      </c>
      <c r="M37" s="296" t="s">
        <v>5105</v>
      </c>
      <c r="N37" s="298" t="s">
        <v>5106</v>
      </c>
    </row>
    <row r="38" spans="1:14" ht="110" customHeight="1">
      <c r="A38" s="305"/>
      <c r="B38" s="296" t="s">
        <v>5107</v>
      </c>
      <c r="C38" s="296" t="s">
        <v>5081</v>
      </c>
      <c r="D38" s="297" t="s">
        <v>4280</v>
      </c>
      <c r="E38" s="296" t="s">
        <v>5108</v>
      </c>
      <c r="F38" s="296" t="s">
        <v>5109</v>
      </c>
      <c r="G38" s="296"/>
      <c r="H38" s="296"/>
      <c r="I38" s="296"/>
      <c r="J38" s="296"/>
      <c r="K38" s="296" t="s">
        <v>5110</v>
      </c>
      <c r="L38" s="296" t="s">
        <v>5111</v>
      </c>
      <c r="M38" s="296" t="s">
        <v>5112</v>
      </c>
      <c r="N38" s="298" t="s">
        <v>5113</v>
      </c>
    </row>
    <row r="39" spans="1:14" ht="110" customHeight="1">
      <c r="A39" s="305">
        <v>18</v>
      </c>
      <c r="B39" s="296" t="s">
        <v>5114</v>
      </c>
      <c r="C39" s="296" t="s">
        <v>5115</v>
      </c>
      <c r="D39" s="297" t="s">
        <v>4278</v>
      </c>
      <c r="E39" s="296" t="s">
        <v>5116</v>
      </c>
      <c r="F39" s="296" t="s">
        <v>5117</v>
      </c>
      <c r="G39" s="296"/>
      <c r="H39" s="296"/>
      <c r="I39" s="296"/>
      <c r="J39" s="296"/>
      <c r="K39" s="296" t="s">
        <v>5118</v>
      </c>
      <c r="L39" s="296" t="s">
        <v>5119</v>
      </c>
      <c r="M39" s="296" t="s">
        <v>5120</v>
      </c>
      <c r="N39" s="298" t="s">
        <v>5121</v>
      </c>
    </row>
    <row r="40" spans="1:14" ht="110" customHeight="1">
      <c r="A40" s="305"/>
      <c r="B40" s="296" t="s">
        <v>5122</v>
      </c>
      <c r="C40" s="296" t="s">
        <v>5115</v>
      </c>
      <c r="D40" s="297" t="s">
        <v>4279</v>
      </c>
      <c r="E40" s="296" t="s">
        <v>5123</v>
      </c>
      <c r="F40" s="296" t="s">
        <v>5124</v>
      </c>
      <c r="G40" s="296"/>
      <c r="H40" s="296"/>
      <c r="I40" s="296"/>
      <c r="J40" s="296"/>
      <c r="K40" s="296" t="s">
        <v>5121</v>
      </c>
      <c r="L40" s="296" t="s">
        <v>5125</v>
      </c>
      <c r="M40" s="296" t="s">
        <v>5126</v>
      </c>
      <c r="N40" s="298" t="s">
        <v>5121</v>
      </c>
    </row>
    <row r="41" spans="1:14" ht="110" customHeight="1">
      <c r="A41" s="305"/>
      <c r="B41" s="296" t="s">
        <v>5127</v>
      </c>
      <c r="C41" s="296" t="s">
        <v>5115</v>
      </c>
      <c r="D41" s="297" t="s">
        <v>4279</v>
      </c>
      <c r="E41" s="296" t="s">
        <v>5128</v>
      </c>
      <c r="F41" s="296" t="s">
        <v>5129</v>
      </c>
      <c r="G41" s="296"/>
      <c r="H41" s="296"/>
      <c r="I41" s="296"/>
      <c r="J41" s="296"/>
      <c r="K41" s="296" t="s">
        <v>5130</v>
      </c>
      <c r="L41" s="296" t="s">
        <v>5131</v>
      </c>
      <c r="M41" s="296" t="s">
        <v>5132</v>
      </c>
      <c r="N41" s="298" t="s">
        <v>5133</v>
      </c>
    </row>
    <row r="42" spans="1:14" ht="110" customHeight="1">
      <c r="A42" s="306"/>
      <c r="B42" s="299" t="s">
        <v>5134</v>
      </c>
      <c r="C42" s="299" t="s">
        <v>5115</v>
      </c>
      <c r="D42" s="300" t="s">
        <v>4279</v>
      </c>
      <c r="E42" s="299" t="s">
        <v>5135</v>
      </c>
      <c r="F42" s="299" t="s">
        <v>5136</v>
      </c>
      <c r="G42" s="299"/>
      <c r="H42" s="299"/>
      <c r="I42" s="299"/>
      <c r="J42" s="299"/>
      <c r="K42" s="299" t="s">
        <v>5137</v>
      </c>
      <c r="L42" s="299" t="s">
        <v>5138</v>
      </c>
      <c r="M42" s="299" t="s">
        <v>5139</v>
      </c>
      <c r="N42" s="301" t="s">
        <v>5140</v>
      </c>
    </row>
    <row r="43" spans="1:14" ht="110" customHeight="1">
      <c r="A43" s="306">
        <v>1</v>
      </c>
      <c r="B43" s="299" t="s">
        <v>5144</v>
      </c>
      <c r="C43" s="299" t="s">
        <v>5145</v>
      </c>
      <c r="D43" s="300" t="s">
        <v>4278</v>
      </c>
      <c r="E43" s="299" t="s">
        <v>5146</v>
      </c>
      <c r="F43" s="299" t="s">
        <v>5147</v>
      </c>
      <c r="G43" s="299"/>
      <c r="H43" s="299"/>
      <c r="I43" s="299"/>
      <c r="J43" s="299"/>
      <c r="K43" s="299" t="s">
        <v>5148</v>
      </c>
      <c r="L43" s="299" t="s">
        <v>5149</v>
      </c>
      <c r="M43" s="299" t="s">
        <v>5150</v>
      </c>
      <c r="N43" s="301" t="s">
        <v>5151</v>
      </c>
    </row>
    <row r="44" spans="1:14" ht="110" customHeight="1">
      <c r="A44" s="306">
        <v>14</v>
      </c>
      <c r="B44" s="299" t="s">
        <v>5152</v>
      </c>
      <c r="C44" s="299" t="s">
        <v>5145</v>
      </c>
      <c r="D44" s="300" t="s">
        <v>4278</v>
      </c>
      <c r="E44" s="299" t="s">
        <v>5153</v>
      </c>
      <c r="F44" s="299" t="s">
        <v>5154</v>
      </c>
      <c r="G44" s="299"/>
      <c r="H44" s="299"/>
      <c r="I44" s="299"/>
      <c r="J44" s="299"/>
      <c r="K44" s="299" t="s">
        <v>5155</v>
      </c>
      <c r="L44" s="299" t="s">
        <v>5156</v>
      </c>
      <c r="M44" s="299" t="s">
        <v>5157</v>
      </c>
      <c r="N44" s="301" t="s">
        <v>5158</v>
      </c>
    </row>
    <row r="45" spans="1:14" ht="110" customHeight="1">
      <c r="A45" s="306">
        <v>5</v>
      </c>
      <c r="B45" s="299" t="s">
        <v>5159</v>
      </c>
      <c r="C45" s="299" t="s">
        <v>5145</v>
      </c>
      <c r="D45" s="300" t="s">
        <v>4278</v>
      </c>
      <c r="E45" s="299" t="s">
        <v>5160</v>
      </c>
      <c r="F45" s="299" t="s">
        <v>5161</v>
      </c>
      <c r="G45" s="299"/>
      <c r="H45" s="299"/>
      <c r="I45" s="299"/>
      <c r="J45" s="299"/>
      <c r="K45" s="299" t="s">
        <v>5162</v>
      </c>
      <c r="L45" s="299" t="s">
        <v>5163</v>
      </c>
      <c r="M45" s="299" t="s">
        <v>5164</v>
      </c>
      <c r="N45" s="301" t="s">
        <v>5165</v>
      </c>
    </row>
    <row r="46" spans="1:14" ht="110" customHeight="1">
      <c r="A46" s="306">
        <v>6</v>
      </c>
      <c r="B46" s="299" t="s">
        <v>5166</v>
      </c>
      <c r="C46" s="299" t="s">
        <v>5145</v>
      </c>
      <c r="D46" s="300" t="s">
        <v>4279</v>
      </c>
      <c r="E46" s="299" t="s">
        <v>5167</v>
      </c>
      <c r="F46" s="299" t="s">
        <v>5168</v>
      </c>
      <c r="G46" s="299"/>
      <c r="H46" s="299"/>
      <c r="I46" s="299"/>
      <c r="J46" s="299"/>
      <c r="K46" s="299" t="s">
        <v>5169</v>
      </c>
      <c r="L46" s="299" t="s">
        <v>5170</v>
      </c>
      <c r="M46" s="299" t="s">
        <v>5171</v>
      </c>
      <c r="N46" s="301" t="s">
        <v>5172</v>
      </c>
    </row>
    <row r="47" spans="1:14" ht="110" customHeight="1">
      <c r="A47" s="306">
        <v>15</v>
      </c>
      <c r="B47" s="299" t="s">
        <v>5173</v>
      </c>
      <c r="C47" s="299" t="s">
        <v>5145</v>
      </c>
      <c r="D47" s="300" t="s">
        <v>4279</v>
      </c>
      <c r="E47" s="299" t="s">
        <v>5174</v>
      </c>
      <c r="F47" s="299" t="s">
        <v>5175</v>
      </c>
      <c r="G47" s="299"/>
      <c r="H47" s="299"/>
      <c r="I47" s="299"/>
      <c r="J47" s="299"/>
      <c r="K47" s="299" t="s">
        <v>5176</v>
      </c>
      <c r="L47" s="299" t="s">
        <v>5177</v>
      </c>
      <c r="M47" s="299" t="s">
        <v>5105</v>
      </c>
      <c r="N47" s="301" t="s">
        <v>5106</v>
      </c>
    </row>
    <row r="48" spans="1:14" ht="110" customHeight="1">
      <c r="A48" s="306">
        <v>16</v>
      </c>
      <c r="B48" s="299" t="s">
        <v>5178</v>
      </c>
      <c r="C48" s="299" t="s">
        <v>5145</v>
      </c>
      <c r="D48" s="300" t="s">
        <v>4279</v>
      </c>
      <c r="E48" s="299" t="s">
        <v>5179</v>
      </c>
      <c r="F48" s="299" t="s">
        <v>5180</v>
      </c>
      <c r="G48" s="299"/>
      <c r="H48" s="299"/>
      <c r="I48" s="299"/>
      <c r="J48" s="299"/>
      <c r="K48" s="299" t="s">
        <v>5181</v>
      </c>
      <c r="L48" s="299" t="s">
        <v>5182</v>
      </c>
      <c r="M48" s="299" t="s">
        <v>5183</v>
      </c>
      <c r="N48" s="301" t="s">
        <v>4919</v>
      </c>
    </row>
  </sheetData>
  <autoFilter ref="A5:N48" xr:uid="{C47BDEA2-3270-2C42-9A1D-C11A5668D48E}"/>
  <phoneticPr fontId="2"/>
  <conditionalFormatting sqref="D6:D48">
    <cfRule type="expression" dxfId="66" priority="1">
      <formula>$D6="最優先"</formula>
    </cfRule>
  </conditionalFormatting>
  <conditionalFormatting sqref="D6:D48">
    <cfRule type="expression" dxfId="65" priority="2">
      <formula>$D6="通常"</formula>
    </cfRule>
  </conditionalFormatting>
  <conditionalFormatting sqref="D6:D48">
    <cfRule type="expression" dxfId="64" priority="3">
      <formula>$D6="後回し可"</formula>
    </cfRule>
  </conditionalFormatting>
  <conditionalFormatting sqref="A6:A48">
    <cfRule type="expression" dxfId="63" priority="4">
      <formula>$A6&lt;&gt;""</formula>
    </cfRule>
  </conditionalFormatting>
  <conditionalFormatting sqref="B6:C48">
    <cfRule type="expression" dxfId="62" priority="5">
      <formula>$C6="G 事例・構成レビュー"</formula>
    </cfRule>
  </conditionalFormatting>
  <conditionalFormatting sqref="B6:C48">
    <cfRule type="expression" dxfId="61" priority="6">
      <formula>$C6="B RHBK本体・SPI"</formula>
    </cfRule>
  </conditionalFormatting>
  <conditionalFormatting sqref="B6:C48">
    <cfRule type="expression" dxfId="60" priority="7">
      <formula>$C6="D セキュリティ"</formula>
    </cfRule>
  </conditionalFormatting>
  <conditionalFormatting sqref="B6:C48">
    <cfRule type="expression" dxfId="59"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5184</v>
      </c>
      <c r="B1" s="32"/>
      <c r="C1" s="32"/>
    </row>
    <row r="2" spans="1:3">
      <c r="A2" s="61" t="s">
        <v>5187</v>
      </c>
      <c r="B2" s="32"/>
      <c r="C2" s="32"/>
    </row>
    <row r="3" spans="1:3">
      <c r="A3" s="32"/>
      <c r="B3" s="32"/>
      <c r="C3" s="32"/>
    </row>
    <row r="4" spans="1:3">
      <c r="A4" s="291" t="s">
        <v>4874</v>
      </c>
      <c r="B4" s="292" t="s">
        <v>5141</v>
      </c>
      <c r="C4" s="302" t="s">
        <v>5142</v>
      </c>
    </row>
    <row r="5" spans="1:3" ht="120" customHeight="1">
      <c r="A5" s="307" t="s">
        <v>4885</v>
      </c>
      <c r="B5" s="135" t="s">
        <v>4887</v>
      </c>
      <c r="C5" s="303" t="s">
        <v>4888</v>
      </c>
    </row>
    <row r="6" spans="1:3" ht="120" customHeight="1">
      <c r="A6" s="307" t="s">
        <v>4893</v>
      </c>
      <c r="B6" s="135" t="s">
        <v>4894</v>
      </c>
      <c r="C6" s="303" t="s">
        <v>4895</v>
      </c>
    </row>
    <row r="7" spans="1:3" ht="120" customHeight="1">
      <c r="A7" s="307" t="s">
        <v>4900</v>
      </c>
      <c r="B7" s="135" t="s">
        <v>4901</v>
      </c>
      <c r="C7" s="303" t="s">
        <v>4902</v>
      </c>
    </row>
    <row r="8" spans="1:3" ht="120" customHeight="1">
      <c r="A8" s="307" t="s">
        <v>4907</v>
      </c>
      <c r="B8" s="135" t="s">
        <v>4908</v>
      </c>
      <c r="C8" s="303" t="s">
        <v>4909</v>
      </c>
    </row>
    <row r="9" spans="1:3" ht="120" customHeight="1">
      <c r="A9" s="307" t="s">
        <v>4913</v>
      </c>
      <c r="B9" s="135" t="s">
        <v>4914</v>
      </c>
      <c r="C9" s="303" t="s">
        <v>4915</v>
      </c>
    </row>
    <row r="10" spans="1:3" ht="120" customHeight="1">
      <c r="A10" s="307" t="s">
        <v>4920</v>
      </c>
      <c r="B10" s="135" t="s">
        <v>4921</v>
      </c>
      <c r="C10" s="303" t="s">
        <v>4922</v>
      </c>
    </row>
    <row r="11" spans="1:3" ht="120" customHeight="1">
      <c r="A11" s="307" t="s">
        <v>4927</v>
      </c>
      <c r="B11" s="135" t="s">
        <v>4928</v>
      </c>
      <c r="C11" s="303" t="s">
        <v>4929</v>
      </c>
    </row>
    <row r="12" spans="1:3" ht="120" customHeight="1">
      <c r="A12" s="307" t="s">
        <v>4934</v>
      </c>
      <c r="B12" s="135" t="s">
        <v>4936</v>
      </c>
      <c r="C12" s="303" t="s">
        <v>4937</v>
      </c>
    </row>
    <row r="13" spans="1:3" ht="120" customHeight="1">
      <c r="A13" s="307" t="s">
        <v>4942</v>
      </c>
      <c r="B13" s="135" t="s">
        <v>4943</v>
      </c>
      <c r="C13" s="303" t="s">
        <v>4944</v>
      </c>
    </row>
    <row r="14" spans="1:3" ht="120" customHeight="1">
      <c r="A14" s="307" t="s">
        <v>4949</v>
      </c>
      <c r="B14" s="135" t="s">
        <v>4950</v>
      </c>
      <c r="C14" s="303" t="s">
        <v>4951</v>
      </c>
    </row>
    <row r="15" spans="1:3" ht="120" customHeight="1">
      <c r="A15" s="307" t="s">
        <v>4955</v>
      </c>
      <c r="B15" s="135" t="s">
        <v>4956</v>
      </c>
      <c r="C15" s="303" t="s">
        <v>4957</v>
      </c>
    </row>
    <row r="16" spans="1:3" ht="120" customHeight="1">
      <c r="A16" s="307" t="s">
        <v>4962</v>
      </c>
      <c r="B16" s="135" t="s">
        <v>4963</v>
      </c>
      <c r="C16" s="303" t="s">
        <v>4964</v>
      </c>
    </row>
    <row r="17" spans="1:3" ht="120" customHeight="1">
      <c r="A17" s="307" t="s">
        <v>4968</v>
      </c>
      <c r="B17" s="135" t="s">
        <v>4969</v>
      </c>
      <c r="C17" s="303" t="s">
        <v>4970</v>
      </c>
    </row>
    <row r="18" spans="1:3" ht="120" customHeight="1">
      <c r="A18" s="307" t="s">
        <v>4975</v>
      </c>
      <c r="B18" s="135" t="s">
        <v>4976</v>
      </c>
      <c r="C18" s="303" t="s">
        <v>4977</v>
      </c>
    </row>
    <row r="19" spans="1:3" ht="120" customHeight="1">
      <c r="A19" s="307" t="s">
        <v>4982</v>
      </c>
      <c r="B19" s="135" t="s">
        <v>4983</v>
      </c>
      <c r="C19" s="303" t="s">
        <v>4984</v>
      </c>
    </row>
    <row r="20" spans="1:3" ht="120" customHeight="1">
      <c r="A20" s="307" t="s">
        <v>4989</v>
      </c>
      <c r="B20" s="135" t="s">
        <v>4991</v>
      </c>
      <c r="C20" s="303" t="s">
        <v>4992</v>
      </c>
    </row>
    <row r="21" spans="1:3" ht="120" customHeight="1">
      <c r="A21" s="307" t="s">
        <v>4996</v>
      </c>
      <c r="B21" s="135" t="s">
        <v>4997</v>
      </c>
      <c r="C21" s="303" t="s">
        <v>4998</v>
      </c>
    </row>
    <row r="22" spans="1:3" ht="120" customHeight="1">
      <c r="A22" s="307" t="s">
        <v>5003</v>
      </c>
      <c r="B22" s="135" t="s">
        <v>5004</v>
      </c>
      <c r="C22" s="303" t="s">
        <v>5005</v>
      </c>
    </row>
    <row r="23" spans="1:3" ht="120" customHeight="1">
      <c r="A23" s="307" t="s">
        <v>5010</v>
      </c>
      <c r="B23" s="135" t="s">
        <v>5011</v>
      </c>
      <c r="C23" s="303" t="s">
        <v>5012</v>
      </c>
    </row>
    <row r="24" spans="1:3" ht="120" customHeight="1">
      <c r="A24" s="307" t="s">
        <v>5017</v>
      </c>
      <c r="B24" s="135" t="s">
        <v>5018</v>
      </c>
      <c r="C24" s="303" t="s">
        <v>5019</v>
      </c>
    </row>
    <row r="25" spans="1:3" ht="120" customHeight="1">
      <c r="A25" s="307" t="s">
        <v>5024</v>
      </c>
      <c r="B25" s="135" t="s">
        <v>5025</v>
      </c>
      <c r="C25" s="303" t="s">
        <v>5026</v>
      </c>
    </row>
    <row r="26" spans="1:3" ht="120" customHeight="1">
      <c r="A26" s="307" t="s">
        <v>5031</v>
      </c>
      <c r="B26" s="135" t="s">
        <v>5033</v>
      </c>
      <c r="C26" s="303" t="s">
        <v>5034</v>
      </c>
    </row>
    <row r="27" spans="1:3" ht="120" customHeight="1">
      <c r="A27" s="307" t="s">
        <v>5039</v>
      </c>
      <c r="B27" s="135" t="s">
        <v>5040</v>
      </c>
      <c r="C27" s="303" t="s">
        <v>5041</v>
      </c>
    </row>
    <row r="28" spans="1:3" ht="120" customHeight="1">
      <c r="A28" s="307" t="s">
        <v>5046</v>
      </c>
      <c r="B28" s="135" t="s">
        <v>5047</v>
      </c>
      <c r="C28" s="303" t="s">
        <v>5048</v>
      </c>
    </row>
    <row r="29" spans="1:3" ht="120" customHeight="1">
      <c r="A29" s="307" t="s">
        <v>5052</v>
      </c>
      <c r="B29" s="135" t="s">
        <v>5053</v>
      </c>
      <c r="C29" s="303" t="s">
        <v>5054</v>
      </c>
    </row>
    <row r="30" spans="1:3" ht="120" customHeight="1">
      <c r="A30" s="307" t="s">
        <v>5059</v>
      </c>
      <c r="B30" s="135" t="s">
        <v>5060</v>
      </c>
      <c r="C30" s="303" t="s">
        <v>5061</v>
      </c>
    </row>
    <row r="31" spans="1:3" ht="120" customHeight="1">
      <c r="A31" s="307" t="s">
        <v>5066</v>
      </c>
      <c r="B31" s="135" t="s">
        <v>5067</v>
      </c>
      <c r="C31" s="303" t="s">
        <v>5068</v>
      </c>
    </row>
    <row r="32" spans="1:3" ht="120" customHeight="1">
      <c r="A32" s="307" t="s">
        <v>5073</v>
      </c>
      <c r="B32" s="135" t="s">
        <v>5074</v>
      </c>
      <c r="C32" s="303" t="s">
        <v>5075</v>
      </c>
    </row>
    <row r="33" spans="1:3" ht="120" customHeight="1">
      <c r="A33" s="307" t="s">
        <v>5080</v>
      </c>
      <c r="B33" s="135" t="s">
        <v>5082</v>
      </c>
      <c r="C33" s="303" t="s">
        <v>5083</v>
      </c>
    </row>
    <row r="34" spans="1:3" ht="120" customHeight="1">
      <c r="A34" s="307" t="s">
        <v>5088</v>
      </c>
      <c r="B34" s="135" t="s">
        <v>5089</v>
      </c>
      <c r="C34" s="303" t="s">
        <v>5090</v>
      </c>
    </row>
    <row r="35" spans="1:3" ht="120" customHeight="1">
      <c r="A35" s="307" t="s">
        <v>5094</v>
      </c>
      <c r="B35" s="135" t="s">
        <v>5095</v>
      </c>
      <c r="C35" s="303" t="s">
        <v>5096</v>
      </c>
    </row>
    <row r="36" spans="1:3" ht="120" customHeight="1">
      <c r="A36" s="307" t="s">
        <v>5100</v>
      </c>
      <c r="B36" s="135" t="s">
        <v>5101</v>
      </c>
      <c r="C36" s="303" t="s">
        <v>5102</v>
      </c>
    </row>
    <row r="37" spans="1:3" ht="120" customHeight="1">
      <c r="A37" s="307" t="s">
        <v>5107</v>
      </c>
      <c r="B37" s="135" t="s">
        <v>5108</v>
      </c>
      <c r="C37" s="303" t="s">
        <v>5109</v>
      </c>
    </row>
    <row r="38" spans="1:3" ht="120" customHeight="1">
      <c r="A38" s="307" t="s">
        <v>5114</v>
      </c>
      <c r="B38" s="135" t="s">
        <v>5116</v>
      </c>
      <c r="C38" s="303" t="s">
        <v>5117</v>
      </c>
    </row>
    <row r="39" spans="1:3" ht="120" customHeight="1">
      <c r="A39" s="307" t="s">
        <v>5122</v>
      </c>
      <c r="B39" s="135" t="s">
        <v>5123</v>
      </c>
      <c r="C39" s="303" t="s">
        <v>5124</v>
      </c>
    </row>
    <row r="40" spans="1:3" ht="120" customHeight="1">
      <c r="A40" s="307" t="s">
        <v>5127</v>
      </c>
      <c r="B40" s="135" t="s">
        <v>5128</v>
      </c>
      <c r="C40" s="303" t="s">
        <v>5129</v>
      </c>
    </row>
    <row r="41" spans="1:3" ht="120" customHeight="1">
      <c r="A41" s="307" t="s">
        <v>5134</v>
      </c>
      <c r="B41" s="135" t="s">
        <v>5135</v>
      </c>
      <c r="C41" s="303" t="s">
        <v>5136</v>
      </c>
    </row>
    <row r="42" spans="1:3" ht="120" customHeight="1">
      <c r="A42" s="307" t="s">
        <v>5144</v>
      </c>
      <c r="B42" s="135" t="s">
        <v>5146</v>
      </c>
      <c r="C42" s="303" t="s">
        <v>5147</v>
      </c>
    </row>
    <row r="43" spans="1:3" ht="120" customHeight="1">
      <c r="A43" s="307" t="s">
        <v>5152</v>
      </c>
      <c r="B43" s="135" t="s">
        <v>5153</v>
      </c>
      <c r="C43" s="303" t="s">
        <v>5154</v>
      </c>
    </row>
    <row r="44" spans="1:3" ht="120" customHeight="1">
      <c r="A44" s="307" t="s">
        <v>5159</v>
      </c>
      <c r="B44" s="135" t="s">
        <v>5160</v>
      </c>
      <c r="C44" s="303" t="s">
        <v>5161</v>
      </c>
    </row>
    <row r="45" spans="1:3" ht="120" customHeight="1">
      <c r="A45" s="307" t="s">
        <v>5166</v>
      </c>
      <c r="B45" s="135" t="s">
        <v>5167</v>
      </c>
      <c r="C45" s="303" t="s">
        <v>5168</v>
      </c>
    </row>
    <row r="46" spans="1:3" ht="120" customHeight="1">
      <c r="A46" s="307" t="s">
        <v>5173</v>
      </c>
      <c r="B46" s="135" t="s">
        <v>5174</v>
      </c>
      <c r="C46" s="303" t="s">
        <v>5175</v>
      </c>
    </row>
    <row r="47" spans="1:3" ht="120" customHeight="1">
      <c r="A47" s="307" t="s">
        <v>5178</v>
      </c>
      <c r="B47" s="135" t="s">
        <v>5179</v>
      </c>
      <c r="C47" s="303" t="s">
        <v>5180</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5188</v>
      </c>
      <c r="B1" s="32"/>
      <c r="C1" s="32"/>
      <c r="D1" s="32"/>
      <c r="E1" s="32"/>
      <c r="F1" s="32"/>
      <c r="G1" s="32"/>
      <c r="H1" s="32"/>
      <c r="I1" s="32"/>
      <c r="J1" s="32"/>
      <c r="K1" s="32"/>
      <c r="L1" s="32"/>
      <c r="M1" s="32"/>
    </row>
    <row r="2" spans="1:15">
      <c r="A2" s="290" t="s">
        <v>5189</v>
      </c>
      <c r="B2" s="32"/>
      <c r="C2" s="32"/>
      <c r="D2" s="32"/>
      <c r="E2" s="32"/>
      <c r="F2" s="32"/>
      <c r="G2" s="32"/>
      <c r="H2" s="32"/>
      <c r="I2" s="32"/>
      <c r="J2" s="32"/>
      <c r="K2" s="32"/>
      <c r="L2" s="32"/>
      <c r="M2" s="32"/>
    </row>
    <row r="3" spans="1:15">
      <c r="A3" s="304" t="s">
        <v>5190</v>
      </c>
      <c r="B3" s="32"/>
      <c r="C3" s="32"/>
      <c r="D3" s="32"/>
      <c r="E3" s="32"/>
      <c r="F3" s="32"/>
      <c r="G3" s="32"/>
      <c r="H3" s="32"/>
      <c r="I3" s="32"/>
      <c r="J3" s="32"/>
      <c r="K3" s="32"/>
      <c r="L3" s="32"/>
      <c r="M3" s="32"/>
    </row>
    <row r="4" spans="1:15">
      <c r="A4" s="78" t="s">
        <v>5191</v>
      </c>
      <c r="B4" s="32"/>
      <c r="C4" s="32"/>
      <c r="D4" s="32"/>
      <c r="E4" s="32"/>
      <c r="F4" s="32"/>
      <c r="G4" s="32"/>
      <c r="H4" s="32"/>
      <c r="I4" s="32"/>
      <c r="J4" s="32"/>
      <c r="K4" s="32"/>
      <c r="L4" s="32"/>
      <c r="M4" s="32"/>
    </row>
    <row r="5" spans="1:15">
      <c r="A5" s="310" t="s">
        <v>5294</v>
      </c>
      <c r="B5" s="32"/>
      <c r="C5" s="32"/>
      <c r="D5" s="32"/>
      <c r="E5" s="32"/>
      <c r="F5" s="32"/>
      <c r="G5" s="32"/>
      <c r="H5" s="32"/>
      <c r="I5" s="32"/>
      <c r="J5" s="32"/>
      <c r="K5" s="32"/>
      <c r="L5" s="32"/>
      <c r="M5" s="32"/>
    </row>
    <row r="6" spans="1:15">
      <c r="A6" s="291" t="s">
        <v>5192</v>
      </c>
      <c r="B6" s="292" t="s">
        <v>5193</v>
      </c>
      <c r="C6" s="292" t="s">
        <v>4875</v>
      </c>
      <c r="D6" s="292" t="s">
        <v>4876</v>
      </c>
      <c r="E6" s="292" t="s">
        <v>4877</v>
      </c>
      <c r="F6" s="293" t="s">
        <v>4878</v>
      </c>
      <c r="G6" s="293" t="s">
        <v>4879</v>
      </c>
      <c r="H6" s="293" t="s">
        <v>4880</v>
      </c>
      <c r="I6" s="293" t="s">
        <v>5194</v>
      </c>
      <c r="J6" s="294" t="s">
        <v>4882</v>
      </c>
      <c r="K6" s="294" t="s">
        <v>4883</v>
      </c>
      <c r="L6" s="294" t="s">
        <v>4884</v>
      </c>
      <c r="M6" s="308" t="s">
        <v>5195</v>
      </c>
      <c r="N6" s="309" t="s">
        <v>5248</v>
      </c>
      <c r="O6" s="309" t="s">
        <v>5249</v>
      </c>
    </row>
    <row r="7" spans="1:15" ht="140" customHeight="1">
      <c r="A7" s="305" t="s">
        <v>5196</v>
      </c>
      <c r="B7" s="297" t="s">
        <v>5197</v>
      </c>
      <c r="C7" s="297" t="s">
        <v>4278</v>
      </c>
      <c r="D7" s="296" t="s">
        <v>5198</v>
      </c>
      <c r="E7" s="296" t="s">
        <v>5199</v>
      </c>
      <c r="F7" s="296"/>
      <c r="G7" s="296"/>
      <c r="H7" s="296"/>
      <c r="I7" s="297"/>
      <c r="J7" s="296" t="s">
        <v>5200</v>
      </c>
      <c r="K7" s="296" t="s">
        <v>5201</v>
      </c>
      <c r="L7" s="296" t="s">
        <v>5202</v>
      </c>
      <c r="M7" s="298" t="s">
        <v>5203</v>
      </c>
      <c r="N7" s="160" t="s">
        <v>5293</v>
      </c>
      <c r="O7" s="160" t="s">
        <v>5196</v>
      </c>
    </row>
    <row r="8" spans="1:15" ht="140" customHeight="1">
      <c r="A8" s="305" t="s">
        <v>5204</v>
      </c>
      <c r="B8" s="297" t="s">
        <v>5197</v>
      </c>
      <c r="C8" s="297" t="s">
        <v>4278</v>
      </c>
      <c r="D8" s="296" t="s">
        <v>5205</v>
      </c>
      <c r="E8" s="296" t="s">
        <v>5206</v>
      </c>
      <c r="F8" s="296"/>
      <c r="G8" s="296"/>
      <c r="H8" s="296"/>
      <c r="I8" s="297"/>
      <c r="J8" s="296" t="s">
        <v>5207</v>
      </c>
      <c r="K8" s="296" t="s">
        <v>5208</v>
      </c>
      <c r="L8" s="296" t="s">
        <v>5209</v>
      </c>
      <c r="M8" s="298" t="s">
        <v>5210</v>
      </c>
      <c r="N8" s="160" t="s">
        <v>5293</v>
      </c>
      <c r="O8" s="160" t="s">
        <v>5204</v>
      </c>
    </row>
    <row r="9" spans="1:15" ht="140" customHeight="1">
      <c r="A9" s="305" t="s">
        <v>5211</v>
      </c>
      <c r="B9" s="297" t="s">
        <v>5197</v>
      </c>
      <c r="C9" s="297" t="s">
        <v>4279</v>
      </c>
      <c r="D9" s="296" t="s">
        <v>5212</v>
      </c>
      <c r="E9" s="296" t="s">
        <v>5213</v>
      </c>
      <c r="F9" s="296"/>
      <c r="G9" s="296"/>
      <c r="H9" s="296"/>
      <c r="I9" s="297"/>
      <c r="J9" s="296" t="s">
        <v>5214</v>
      </c>
      <c r="K9" s="296" t="s">
        <v>5215</v>
      </c>
      <c r="L9" s="296" t="s">
        <v>5216</v>
      </c>
      <c r="M9" s="298" t="s">
        <v>5217</v>
      </c>
      <c r="N9" s="160" t="s">
        <v>5293</v>
      </c>
      <c r="O9" s="160" t="s">
        <v>5211</v>
      </c>
    </row>
    <row r="10" spans="1:15" ht="140" customHeight="1">
      <c r="A10" s="305" t="s">
        <v>5218</v>
      </c>
      <c r="B10" s="297" t="s">
        <v>5197</v>
      </c>
      <c r="C10" s="297" t="s">
        <v>4279</v>
      </c>
      <c r="D10" s="296" t="s">
        <v>5219</v>
      </c>
      <c r="E10" s="296" t="s">
        <v>5220</v>
      </c>
      <c r="F10" s="296"/>
      <c r="G10" s="296"/>
      <c r="H10" s="296"/>
      <c r="I10" s="297"/>
      <c r="J10" s="296" t="s">
        <v>5221</v>
      </c>
      <c r="K10" s="296" t="s">
        <v>5222</v>
      </c>
      <c r="L10" s="296" t="s">
        <v>5223</v>
      </c>
      <c r="M10" s="298" t="s">
        <v>5224</v>
      </c>
      <c r="N10" s="160" t="s">
        <v>5293</v>
      </c>
      <c r="O10" s="160" t="s">
        <v>5218</v>
      </c>
    </row>
    <row r="11" spans="1:15" ht="140" customHeight="1">
      <c r="A11" s="305" t="s">
        <v>5225</v>
      </c>
      <c r="B11" s="297" t="s">
        <v>5226</v>
      </c>
      <c r="C11" s="297" t="s">
        <v>4278</v>
      </c>
      <c r="D11" s="296" t="s">
        <v>5227</v>
      </c>
      <c r="E11" s="296" t="s">
        <v>5228</v>
      </c>
      <c r="F11" s="296"/>
      <c r="G11" s="296"/>
      <c r="H11" s="296"/>
      <c r="I11" s="297"/>
      <c r="J11" s="296" t="s">
        <v>5229</v>
      </c>
      <c r="K11" s="296" t="s">
        <v>5230</v>
      </c>
      <c r="L11" s="296" t="s">
        <v>5231</v>
      </c>
      <c r="M11" s="298" t="s">
        <v>5232</v>
      </c>
      <c r="N11" s="160" t="s">
        <v>5293</v>
      </c>
      <c r="O11" s="160" t="s">
        <v>5225</v>
      </c>
    </row>
    <row r="12" spans="1:15" ht="140" customHeight="1">
      <c r="A12" s="305" t="s">
        <v>5233</v>
      </c>
      <c r="B12" s="297" t="s">
        <v>5226</v>
      </c>
      <c r="C12" s="297" t="s">
        <v>4278</v>
      </c>
      <c r="D12" s="296" t="s">
        <v>5234</v>
      </c>
      <c r="E12" s="296" t="s">
        <v>5235</v>
      </c>
      <c r="F12" s="296"/>
      <c r="G12" s="296"/>
      <c r="H12" s="296"/>
      <c r="I12" s="297"/>
      <c r="J12" s="296" t="s">
        <v>5236</v>
      </c>
      <c r="K12" s="296" t="s">
        <v>5237</v>
      </c>
      <c r="L12" s="296" t="s">
        <v>5238</v>
      </c>
      <c r="M12" s="298" t="s">
        <v>5239</v>
      </c>
      <c r="N12" s="160" t="s">
        <v>5293</v>
      </c>
      <c r="O12" s="160" t="s">
        <v>5233</v>
      </c>
    </row>
    <row r="13" spans="1:15" ht="140" customHeight="1">
      <c r="A13" s="306" t="s">
        <v>5240</v>
      </c>
      <c r="B13" s="300" t="s">
        <v>5226</v>
      </c>
      <c r="C13" s="300" t="s">
        <v>4279</v>
      </c>
      <c r="D13" s="299" t="s">
        <v>5241</v>
      </c>
      <c r="E13" s="299" t="s">
        <v>5242</v>
      </c>
      <c r="F13" s="299"/>
      <c r="G13" s="299"/>
      <c r="H13" s="299"/>
      <c r="I13" s="300"/>
      <c r="J13" s="299" t="s">
        <v>5243</v>
      </c>
      <c r="K13" s="299" t="s">
        <v>5244</v>
      </c>
      <c r="L13" s="299" t="s">
        <v>5245</v>
      </c>
      <c r="M13" s="301" t="s">
        <v>5246</v>
      </c>
      <c r="N13" s="160" t="s">
        <v>5293</v>
      </c>
      <c r="O13" s="160" t="s">
        <v>5240</v>
      </c>
    </row>
  </sheetData>
  <autoFilter ref="A6:M13" xr:uid="{01578FE6-5AF7-D445-B4F3-9D8EB4ACAC69}"/>
  <phoneticPr fontId="2"/>
  <conditionalFormatting sqref="C7:C13">
    <cfRule type="expression" priority="1"/>
  </conditionalFormatting>
  <conditionalFormatting sqref="C7:C13">
    <cfRule type="expression" dxfId="58" priority="2">
      <formula>$C7="最優先"</formula>
    </cfRule>
  </conditionalFormatting>
  <conditionalFormatting sqref="C7:C13">
    <cfRule type="expression" dxfId="57" priority="3">
      <formula>$C7="通常"</formula>
    </cfRule>
  </conditionalFormatting>
  <conditionalFormatting sqref="B7:B13">
    <cfRule type="expression" dxfId="56" priority="4">
      <formula>$B7="アプリチーム"</formula>
    </cfRule>
  </conditionalFormatting>
  <conditionalFormatting sqref="B7:B13">
    <cfRule type="expression" dxfId="55" priority="5">
      <formula>$B7="事業側"</formula>
    </cfRule>
  </conditionalFormatting>
  <conditionalFormatting sqref="M7:M13">
    <cfRule type="expression" dxfId="54" priority="6">
      <formula>LEFT($M7,1)&lt;&gt;"—"</formula>
    </cfRule>
  </conditionalFormatting>
  <conditionalFormatting sqref="I7:I13">
    <cfRule type="expression" dxfId="53" priority="7">
      <formula>$I7="採用"</formula>
    </cfRule>
  </conditionalFormatting>
  <conditionalFormatting sqref="I7:I13">
    <cfRule type="expression" dxfId="52" priority="8">
      <formula>$I7="現行維持"</formula>
    </cfRule>
  </conditionalFormatting>
  <conditionalFormatting sqref="I7:I13">
    <cfRule type="expression" dxfId="51" priority="9">
      <formula>$I7="保留"</formula>
    </cfRule>
  </conditionalFormatting>
  <conditionalFormatting sqref="A7:A13">
    <cfRule type="expression" dxfId="50" priority="10">
      <formula>$A7="QA-BIND-06"</formula>
    </cfRule>
  </conditionalFormatting>
  <conditionalFormatting sqref="N7:N13">
    <cfRule type="expression" dxfId="49" priority="11">
      <formula>$N7="転記済み"</formula>
    </cfRule>
  </conditionalFormatting>
  <conditionalFormatting sqref="N7:N13">
    <cfRule type="expression" dxfId="48"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3"/>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6017</v>
      </c>
      <c r="B1" s="32"/>
      <c r="C1" s="32"/>
      <c r="D1" s="32"/>
      <c r="E1" s="32"/>
      <c r="F1" s="32"/>
    </row>
    <row r="2" spans="1:6">
      <c r="A2" s="61" t="s">
        <v>5934</v>
      </c>
      <c r="B2" s="32"/>
      <c r="C2" s="32"/>
      <c r="D2" s="32"/>
      <c r="E2" s="32"/>
      <c r="F2" s="32"/>
    </row>
    <row r="3" spans="1:6">
      <c r="A3" s="290" t="s">
        <v>6997</v>
      </c>
      <c r="B3" s="32"/>
      <c r="C3" s="32"/>
      <c r="D3" s="32"/>
      <c r="E3" s="32"/>
      <c r="F3" s="32"/>
    </row>
    <row r="4" spans="1:6">
      <c r="A4" s="290" t="s">
        <v>5935</v>
      </c>
      <c r="B4" s="32"/>
      <c r="C4" s="32"/>
      <c r="D4" s="32"/>
      <c r="E4" s="32"/>
      <c r="F4" s="32"/>
    </row>
    <row r="5" spans="1:6">
      <c r="A5" s="290" t="s">
        <v>6998</v>
      </c>
      <c r="B5" s="32"/>
      <c r="C5" s="32"/>
      <c r="D5" s="32"/>
      <c r="E5" s="32"/>
      <c r="F5" s="32"/>
    </row>
    <row r="6" spans="1:6">
      <c r="A6" s="290" t="s">
        <v>6018</v>
      </c>
      <c r="B6" s="32"/>
      <c r="C6" s="32"/>
      <c r="D6" s="32"/>
      <c r="E6" s="32"/>
      <c r="F6" s="32"/>
    </row>
    <row r="7" spans="1:6">
      <c r="A7" s="291" t="s">
        <v>2529</v>
      </c>
      <c r="B7" s="292" t="s">
        <v>5469</v>
      </c>
      <c r="C7" s="292" t="s">
        <v>5470</v>
      </c>
      <c r="D7" s="292" t="s">
        <v>5471</v>
      </c>
      <c r="E7" s="292" t="s">
        <v>5533</v>
      </c>
      <c r="F7" s="302" t="s">
        <v>666</v>
      </c>
    </row>
    <row r="8" spans="1:6" ht="40" customHeight="1">
      <c r="A8" s="356" t="s">
        <v>5936</v>
      </c>
      <c r="B8" s="137" t="s">
        <v>5472</v>
      </c>
      <c r="C8" s="296" t="s">
        <v>5473</v>
      </c>
      <c r="D8" s="296" t="s">
        <v>5474</v>
      </c>
      <c r="E8" s="137">
        <v>8</v>
      </c>
      <c r="F8" s="311" t="s">
        <v>5518</v>
      </c>
    </row>
    <row r="9" spans="1:6" ht="40" customHeight="1">
      <c r="A9" s="356" t="s">
        <v>5936</v>
      </c>
      <c r="B9" s="137" t="s">
        <v>5475</v>
      </c>
      <c r="C9" s="296" t="s">
        <v>5476</v>
      </c>
      <c r="D9" s="296" t="s">
        <v>5477</v>
      </c>
      <c r="E9" s="137">
        <v>5</v>
      </c>
      <c r="F9" s="311" t="s">
        <v>5518</v>
      </c>
    </row>
    <row r="10" spans="1:6" ht="40" customHeight="1">
      <c r="A10" s="356" t="s">
        <v>5936</v>
      </c>
      <c r="B10" s="137" t="s">
        <v>5478</v>
      </c>
      <c r="C10" s="296" t="s">
        <v>5479</v>
      </c>
      <c r="D10" s="296" t="s">
        <v>5480</v>
      </c>
      <c r="E10" s="137">
        <v>3</v>
      </c>
      <c r="F10" s="311" t="s">
        <v>5518</v>
      </c>
    </row>
    <row r="11" spans="1:6" ht="40" customHeight="1">
      <c r="A11" s="356" t="s">
        <v>5936</v>
      </c>
      <c r="B11" s="137" t="s">
        <v>5481</v>
      </c>
      <c r="C11" s="296" t="s">
        <v>5482</v>
      </c>
      <c r="D11" s="296" t="s">
        <v>5483</v>
      </c>
      <c r="E11" s="137">
        <v>3</v>
      </c>
      <c r="F11" s="311" t="s">
        <v>5518</v>
      </c>
    </row>
    <row r="12" spans="1:6" ht="40" customHeight="1">
      <c r="A12" s="356" t="s">
        <v>5936</v>
      </c>
      <c r="B12" s="137" t="s">
        <v>5484</v>
      </c>
      <c r="C12" s="296" t="s">
        <v>5485</v>
      </c>
      <c r="D12" s="296" t="s">
        <v>5486</v>
      </c>
      <c r="E12" s="137">
        <v>2</v>
      </c>
      <c r="F12" s="311" t="s">
        <v>5518</v>
      </c>
    </row>
    <row r="13" spans="1:6" ht="40" customHeight="1">
      <c r="A13" s="356" t="s">
        <v>5936</v>
      </c>
      <c r="B13" s="137" t="s">
        <v>5487</v>
      </c>
      <c r="C13" s="296" t="s">
        <v>5488</v>
      </c>
      <c r="D13" s="296" t="s">
        <v>5489</v>
      </c>
      <c r="E13" s="137">
        <v>3</v>
      </c>
      <c r="F13" s="311" t="s">
        <v>5518</v>
      </c>
    </row>
    <row r="14" spans="1:6" ht="40" customHeight="1">
      <c r="A14" s="356" t="s">
        <v>5936</v>
      </c>
      <c r="B14" s="137" t="s">
        <v>5490</v>
      </c>
      <c r="C14" s="296" t="s">
        <v>5491</v>
      </c>
      <c r="D14" s="296" t="s">
        <v>5492</v>
      </c>
      <c r="E14" s="137">
        <v>3</v>
      </c>
      <c r="F14" s="311" t="s">
        <v>5518</v>
      </c>
    </row>
    <row r="15" spans="1:6" ht="40" customHeight="1">
      <c r="A15" s="356" t="s">
        <v>5936</v>
      </c>
      <c r="B15" s="137" t="s">
        <v>5493</v>
      </c>
      <c r="C15" s="296" t="s">
        <v>5494</v>
      </c>
      <c r="D15" s="296" t="s">
        <v>5495</v>
      </c>
      <c r="E15" s="137">
        <v>6</v>
      </c>
      <c r="F15" s="311" t="s">
        <v>5518</v>
      </c>
    </row>
    <row r="16" spans="1:6" ht="40" customHeight="1">
      <c r="A16" s="356" t="s">
        <v>5936</v>
      </c>
      <c r="B16" s="137" t="s">
        <v>5496</v>
      </c>
      <c r="C16" s="296" t="s">
        <v>5497</v>
      </c>
      <c r="D16" s="296" t="s">
        <v>5498</v>
      </c>
      <c r="E16" s="137">
        <v>3</v>
      </c>
      <c r="F16" s="311" t="s">
        <v>5518</v>
      </c>
    </row>
    <row r="17" spans="1:6" ht="40" customHeight="1">
      <c r="A17" s="356" t="s">
        <v>5936</v>
      </c>
      <c r="B17" s="137" t="s">
        <v>5499</v>
      </c>
      <c r="C17" s="296" t="s">
        <v>5500</v>
      </c>
      <c r="D17" s="296" t="s">
        <v>5501</v>
      </c>
      <c r="E17" s="137">
        <v>2</v>
      </c>
      <c r="F17" s="311" t="s">
        <v>5518</v>
      </c>
    </row>
    <row r="18" spans="1:6" ht="40" customHeight="1">
      <c r="A18" s="356" t="s">
        <v>5936</v>
      </c>
      <c r="B18" s="137" t="s">
        <v>5502</v>
      </c>
      <c r="C18" s="296" t="s">
        <v>5503</v>
      </c>
      <c r="D18" s="296" t="s">
        <v>5937</v>
      </c>
      <c r="E18" s="137">
        <v>1</v>
      </c>
      <c r="F18" s="311" t="s">
        <v>5518</v>
      </c>
    </row>
    <row r="19" spans="1:6" ht="40" customHeight="1">
      <c r="A19" s="356" t="s">
        <v>5936</v>
      </c>
      <c r="B19" s="137" t="s">
        <v>5504</v>
      </c>
      <c r="C19" s="296" t="s">
        <v>5505</v>
      </c>
      <c r="D19" s="296" t="s">
        <v>5506</v>
      </c>
      <c r="E19" s="137">
        <v>5</v>
      </c>
      <c r="F19" s="311" t="s">
        <v>5518</v>
      </c>
    </row>
    <row r="20" spans="1:6" ht="40" customHeight="1">
      <c r="A20" s="356" t="s">
        <v>5936</v>
      </c>
      <c r="B20" s="137" t="s">
        <v>5507</v>
      </c>
      <c r="C20" s="296" t="s">
        <v>5508</v>
      </c>
      <c r="D20" s="296" t="s">
        <v>5509</v>
      </c>
      <c r="E20" s="137">
        <v>8</v>
      </c>
      <c r="F20" s="311" t="s">
        <v>5518</v>
      </c>
    </row>
    <row r="21" spans="1:6" ht="40" customHeight="1">
      <c r="A21" s="356" t="s">
        <v>5936</v>
      </c>
      <c r="B21" s="137" t="s">
        <v>5510</v>
      </c>
      <c r="C21" s="296" t="s">
        <v>5938</v>
      </c>
      <c r="D21" s="296" t="s">
        <v>5511</v>
      </c>
      <c r="E21" s="137">
        <v>8</v>
      </c>
      <c r="F21" s="311" t="s">
        <v>5518</v>
      </c>
    </row>
    <row r="22" spans="1:6" ht="40" customHeight="1">
      <c r="A22" s="356" t="s">
        <v>5936</v>
      </c>
      <c r="B22" s="137" t="s">
        <v>5512</v>
      </c>
      <c r="C22" s="296" t="s">
        <v>5513</v>
      </c>
      <c r="D22" s="296" t="s">
        <v>5514</v>
      </c>
      <c r="E22" s="137">
        <v>2</v>
      </c>
      <c r="F22" s="311" t="s">
        <v>5518</v>
      </c>
    </row>
    <row r="23" spans="1:6" ht="40" customHeight="1">
      <c r="A23" s="356" t="s">
        <v>5936</v>
      </c>
      <c r="B23" s="137" t="s">
        <v>5515</v>
      </c>
      <c r="C23" s="296" t="s">
        <v>5516</v>
      </c>
      <c r="D23" s="296" t="s">
        <v>5517</v>
      </c>
      <c r="E23" s="137">
        <v>3</v>
      </c>
      <c r="F23" s="311" t="s">
        <v>5518</v>
      </c>
    </row>
    <row r="24" spans="1:6" ht="40" customHeight="1">
      <c r="A24" s="356" t="s">
        <v>5939</v>
      </c>
      <c r="B24" s="137" t="s">
        <v>5534</v>
      </c>
      <c r="C24" s="296" t="s">
        <v>5535</v>
      </c>
      <c r="D24" s="296" t="s">
        <v>5536</v>
      </c>
      <c r="E24" s="137">
        <v>20</v>
      </c>
      <c r="F24" s="311" t="s">
        <v>5518</v>
      </c>
    </row>
    <row r="25" spans="1:6" ht="40" customHeight="1">
      <c r="A25" s="356" t="s">
        <v>5939</v>
      </c>
      <c r="B25" s="137" t="s">
        <v>5537</v>
      </c>
      <c r="C25" s="296" t="s">
        <v>6995</v>
      </c>
      <c r="D25" s="296" t="s">
        <v>6996</v>
      </c>
      <c r="E25" s="137">
        <v>18</v>
      </c>
      <c r="F25" s="311" t="s">
        <v>5518</v>
      </c>
    </row>
    <row r="26" spans="1:6" ht="40" customHeight="1">
      <c r="A26" s="356" t="s">
        <v>5939</v>
      </c>
      <c r="B26" s="137" t="s">
        <v>5538</v>
      </c>
      <c r="C26" s="296" t="s">
        <v>5539</v>
      </c>
      <c r="D26" s="296" t="s">
        <v>5540</v>
      </c>
      <c r="E26" s="137">
        <v>9</v>
      </c>
      <c r="F26" s="311" t="s">
        <v>5518</v>
      </c>
    </row>
    <row r="27" spans="1:6" ht="40" customHeight="1">
      <c r="A27" s="356" t="s">
        <v>5939</v>
      </c>
      <c r="B27" s="137" t="s">
        <v>5541</v>
      </c>
      <c r="C27" s="296" t="s">
        <v>5542</v>
      </c>
      <c r="D27" s="296" t="s">
        <v>5543</v>
      </c>
      <c r="E27" s="137">
        <v>15</v>
      </c>
      <c r="F27" s="311" t="s">
        <v>5518</v>
      </c>
    </row>
    <row r="28" spans="1:6" ht="40" customHeight="1">
      <c r="A28" s="356" t="s">
        <v>5939</v>
      </c>
      <c r="B28" s="137" t="s">
        <v>5544</v>
      </c>
      <c r="C28" s="296" t="s">
        <v>5545</v>
      </c>
      <c r="D28" s="296" t="s">
        <v>5546</v>
      </c>
      <c r="E28" s="137">
        <v>25</v>
      </c>
      <c r="F28" s="311" t="s">
        <v>5518</v>
      </c>
    </row>
    <row r="29" spans="1:6" ht="40" customHeight="1">
      <c r="A29" s="356" t="s">
        <v>5940</v>
      </c>
      <c r="B29" s="137" t="s">
        <v>5665</v>
      </c>
      <c r="C29" s="296" t="s">
        <v>5941</v>
      </c>
      <c r="D29" s="296" t="s">
        <v>5942</v>
      </c>
      <c r="E29" s="137">
        <v>15</v>
      </c>
      <c r="F29" s="311" t="s">
        <v>5518</v>
      </c>
    </row>
    <row r="30" spans="1:6" ht="40" customHeight="1">
      <c r="A30" s="356" t="s">
        <v>5940</v>
      </c>
      <c r="B30" s="137" t="s">
        <v>5666</v>
      </c>
      <c r="C30" s="296" t="s">
        <v>5943</v>
      </c>
      <c r="D30" s="296" t="s">
        <v>5944</v>
      </c>
      <c r="E30" s="137">
        <v>20</v>
      </c>
      <c r="F30" s="311" t="s">
        <v>5518</v>
      </c>
    </row>
    <row r="31" spans="1:6" ht="40" customHeight="1">
      <c r="A31" s="356" t="s">
        <v>5940</v>
      </c>
      <c r="B31" s="137" t="s">
        <v>5667</v>
      </c>
      <c r="C31" s="296" t="s">
        <v>6005</v>
      </c>
      <c r="D31" s="296" t="s">
        <v>5946</v>
      </c>
      <c r="E31" s="137">
        <v>12</v>
      </c>
      <c r="F31" s="311" t="s">
        <v>5518</v>
      </c>
    </row>
    <row r="32" spans="1:6" ht="40" customHeight="1">
      <c r="A32" s="356" t="s">
        <v>5940</v>
      </c>
      <c r="B32" s="137" t="s">
        <v>5668</v>
      </c>
      <c r="C32" s="296" t="s">
        <v>6006</v>
      </c>
      <c r="D32" s="296" t="s">
        <v>6007</v>
      </c>
      <c r="E32" s="137">
        <v>8</v>
      </c>
      <c r="F32" s="311" t="s">
        <v>5518</v>
      </c>
    </row>
    <row r="33" spans="1:6" ht="40" customHeight="1">
      <c r="A33" s="356" t="s">
        <v>5940</v>
      </c>
      <c r="B33" s="137" t="s">
        <v>5669</v>
      </c>
      <c r="C33" s="296" t="s">
        <v>6008</v>
      </c>
      <c r="D33" s="296" t="s">
        <v>6009</v>
      </c>
      <c r="E33" s="137">
        <v>8</v>
      </c>
      <c r="F33" s="311" t="s">
        <v>5518</v>
      </c>
    </row>
    <row r="34" spans="1:6" ht="40" customHeight="1">
      <c r="A34" s="356" t="s">
        <v>5940</v>
      </c>
      <c r="B34" s="137" t="s">
        <v>5670</v>
      </c>
      <c r="C34" s="296" t="s">
        <v>5947</v>
      </c>
      <c r="D34" s="296" t="s">
        <v>5948</v>
      </c>
      <c r="E34" s="137">
        <v>10</v>
      </c>
      <c r="F34" s="311" t="s">
        <v>5518</v>
      </c>
    </row>
    <row r="35" spans="1:6" ht="40" customHeight="1">
      <c r="A35" s="356" t="s">
        <v>5940</v>
      </c>
      <c r="B35" s="137" t="s">
        <v>6010</v>
      </c>
      <c r="C35" s="296" t="s">
        <v>6011</v>
      </c>
      <c r="D35" s="296" t="s">
        <v>6012</v>
      </c>
      <c r="E35" s="137">
        <v>15</v>
      </c>
      <c r="F35" s="311" t="s">
        <v>5518</v>
      </c>
    </row>
    <row r="36" spans="1:6" ht="40" customHeight="1">
      <c r="A36" s="356" t="s">
        <v>5940</v>
      </c>
      <c r="B36" s="137" t="s">
        <v>6013</v>
      </c>
      <c r="C36" s="296" t="s">
        <v>6014</v>
      </c>
      <c r="D36" s="296" t="s">
        <v>6015</v>
      </c>
      <c r="E36" s="137">
        <v>10</v>
      </c>
      <c r="F36" s="311" t="s">
        <v>5518</v>
      </c>
    </row>
    <row r="37" spans="1:6" ht="40" customHeight="1">
      <c r="A37" s="356" t="s">
        <v>2535</v>
      </c>
      <c r="B37" s="137" t="s">
        <v>5755</v>
      </c>
      <c r="C37" s="296" t="s">
        <v>5756</v>
      </c>
      <c r="D37" s="296" t="s">
        <v>5757</v>
      </c>
      <c r="E37" s="137">
        <v>10</v>
      </c>
      <c r="F37" s="311" t="s">
        <v>5518</v>
      </c>
    </row>
    <row r="38" spans="1:6" ht="40" customHeight="1">
      <c r="A38" s="356" t="s">
        <v>2535</v>
      </c>
      <c r="B38" s="137" t="s">
        <v>5758</v>
      </c>
      <c r="C38" s="296" t="s">
        <v>5759</v>
      </c>
      <c r="D38" s="296" t="s">
        <v>5760</v>
      </c>
      <c r="E38" s="137">
        <v>12</v>
      </c>
      <c r="F38" s="311" t="s">
        <v>5518</v>
      </c>
    </row>
    <row r="39" spans="1:6" ht="40" customHeight="1">
      <c r="A39" s="356" t="s">
        <v>2535</v>
      </c>
      <c r="B39" s="137" t="s">
        <v>5761</v>
      </c>
      <c r="C39" s="296" t="s">
        <v>5945</v>
      </c>
      <c r="D39" s="296" t="s">
        <v>5763</v>
      </c>
      <c r="E39" s="137">
        <v>6</v>
      </c>
      <c r="F39" s="311" t="s">
        <v>5518</v>
      </c>
    </row>
    <row r="40" spans="1:6" ht="40" customHeight="1">
      <c r="A40" s="356" t="s">
        <v>2535</v>
      </c>
      <c r="B40" s="137" t="s">
        <v>5764</v>
      </c>
      <c r="C40" s="296" t="s">
        <v>5765</v>
      </c>
      <c r="D40" s="296" t="s">
        <v>5766</v>
      </c>
      <c r="E40" s="137">
        <v>8</v>
      </c>
      <c r="F40" s="311" t="s">
        <v>5518</v>
      </c>
    </row>
    <row r="41" spans="1:6" ht="40" customHeight="1">
      <c r="A41" s="356" t="s">
        <v>2535</v>
      </c>
      <c r="B41" s="137" t="s">
        <v>5767</v>
      </c>
      <c r="C41" s="296" t="s">
        <v>5768</v>
      </c>
      <c r="D41" s="296" t="s">
        <v>5769</v>
      </c>
      <c r="E41" s="137">
        <v>6</v>
      </c>
      <c r="F41" s="311" t="s">
        <v>5518</v>
      </c>
    </row>
    <row r="42" spans="1:6" ht="40" customHeight="1">
      <c r="A42" s="357" t="s">
        <v>2535</v>
      </c>
      <c r="B42" s="313" t="s">
        <v>5770</v>
      </c>
      <c r="C42" s="299" t="s">
        <v>5949</v>
      </c>
      <c r="D42" s="299" t="s">
        <v>5772</v>
      </c>
      <c r="E42" s="313">
        <v>8</v>
      </c>
      <c r="F42" s="314" t="s">
        <v>5518</v>
      </c>
    </row>
    <row r="43" spans="1:6">
      <c r="A43" s="32"/>
      <c r="B43" s="32"/>
      <c r="C43" s="32"/>
      <c r="D43" s="32"/>
      <c r="E43" s="32"/>
      <c r="F43" s="32"/>
    </row>
    <row r="44" spans="1:6">
      <c r="A44" s="251" t="s">
        <v>5950</v>
      </c>
      <c r="B44" s="32"/>
      <c r="C44" s="32"/>
      <c r="D44" s="32"/>
      <c r="E44" s="32"/>
      <c r="F44" s="32"/>
    </row>
    <row r="45" spans="1:6">
      <c r="A45" s="291" t="s">
        <v>2529</v>
      </c>
      <c r="B45" s="292" t="s">
        <v>5523</v>
      </c>
      <c r="C45" s="302" t="s">
        <v>5522</v>
      </c>
      <c r="D45" s="32"/>
      <c r="E45" s="32"/>
      <c r="F45" s="32"/>
    </row>
    <row r="46" spans="1:6">
      <c r="A46" s="315" t="s">
        <v>5951</v>
      </c>
      <c r="B46" s="316">
        <f>SUMIF($A$8:$A$50,"① 設計",$E$8:$E$50)</f>
        <v>65</v>
      </c>
      <c r="C46" s="317">
        <v>65</v>
      </c>
      <c r="D46" s="32"/>
      <c r="E46" s="32"/>
      <c r="F46" s="32"/>
    </row>
    <row r="47" spans="1:6">
      <c r="A47" s="315" t="s">
        <v>5952</v>
      </c>
      <c r="B47" s="316">
        <f>SUMIF($A$8:$A$50,"① 設計(H)",$E$8:$E$50)</f>
        <v>87</v>
      </c>
      <c r="C47" s="317">
        <v>87</v>
      </c>
      <c r="D47" s="32"/>
      <c r="E47" s="32"/>
      <c r="F47" s="32"/>
    </row>
    <row r="48" spans="1:6">
      <c r="A48" s="315" t="s">
        <v>6016</v>
      </c>
      <c r="B48" s="316">
        <f>SUMIF($A$8:$A$50,"③ 構築",$E$8:$E$50)</f>
        <v>98</v>
      </c>
      <c r="C48" s="317">
        <v>98</v>
      </c>
      <c r="D48" s="32"/>
      <c r="E48" s="32"/>
      <c r="F48" s="32"/>
    </row>
    <row r="49" spans="1:6">
      <c r="A49" s="315" t="s">
        <v>5953</v>
      </c>
      <c r="B49" s="316">
        <f>SUMIF($A$8:$A$50,"④ テスト",$E$8:$E$50)</f>
        <v>50</v>
      </c>
      <c r="C49" s="317">
        <v>50</v>
      </c>
      <c r="D49" s="32"/>
      <c r="E49" s="32"/>
      <c r="F49" s="32"/>
    </row>
    <row r="50" spans="1:6">
      <c r="A50" s="358" t="s">
        <v>7</v>
      </c>
      <c r="B50" s="359">
        <f>SUM(B46:B49)</f>
        <v>300</v>
      </c>
      <c r="C50" s="360">
        <v>300</v>
      </c>
      <c r="D50" s="32"/>
      <c r="E50" s="32"/>
      <c r="F50" s="32"/>
    </row>
    <row r="51" spans="1:6">
      <c r="A51" s="32"/>
      <c r="B51" s="32"/>
      <c r="C51" s="32"/>
      <c r="D51" s="32"/>
      <c r="E51" s="32"/>
      <c r="F51" s="32"/>
    </row>
    <row r="52" spans="1:6">
      <c r="A52" s="361" t="s">
        <v>6999</v>
      </c>
      <c r="B52" s="32"/>
      <c r="C52" s="32"/>
      <c r="D52" s="32"/>
      <c r="E52" s="32"/>
      <c r="F52" s="32"/>
    </row>
    <row r="53" spans="1:6">
      <c r="A53" s="368" t="s">
        <v>6217</v>
      </c>
    </row>
  </sheetData>
  <autoFilter ref="A7:F42" xr:uid="{69BC7312-1107-2C44-8AAA-D11AA53C6FA5}"/>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6724</v>
      </c>
      <c r="B1" s="32"/>
      <c r="C1" s="32"/>
      <c r="D1" s="32"/>
      <c r="E1" s="32"/>
      <c r="F1" s="32"/>
      <c r="G1" s="32"/>
      <c r="H1" s="32"/>
    </row>
    <row r="2" spans="1:8">
      <c r="A2" s="61" t="s">
        <v>6725</v>
      </c>
      <c r="B2" s="32"/>
      <c r="C2" s="32"/>
      <c r="D2" s="32"/>
      <c r="E2" s="32"/>
      <c r="F2" s="32"/>
      <c r="G2" s="32"/>
      <c r="H2" s="32"/>
    </row>
    <row r="3" spans="1:8">
      <c r="A3" s="290" t="s">
        <v>6726</v>
      </c>
      <c r="B3" s="32"/>
      <c r="C3" s="32"/>
      <c r="D3" s="32"/>
      <c r="E3" s="32"/>
      <c r="F3" s="32"/>
      <c r="G3" s="32"/>
      <c r="H3" s="32"/>
    </row>
    <row r="4" spans="1:8">
      <c r="A4" s="304" t="s">
        <v>6727</v>
      </c>
      <c r="B4" s="32"/>
      <c r="C4" s="32"/>
      <c r="D4" s="32"/>
      <c r="E4" s="32"/>
      <c r="F4" s="32"/>
      <c r="G4" s="32"/>
      <c r="H4" s="32"/>
    </row>
    <row r="5" spans="1:8">
      <c r="A5" s="290" t="s">
        <v>7198</v>
      </c>
      <c r="B5" s="32"/>
      <c r="C5" s="32"/>
      <c r="D5" s="32"/>
      <c r="E5" s="32"/>
      <c r="F5" s="32"/>
      <c r="G5" s="32"/>
      <c r="H5" s="32"/>
    </row>
    <row r="6" spans="1:8">
      <c r="A6" s="291" t="s">
        <v>6728</v>
      </c>
      <c r="B6" s="292" t="s">
        <v>665</v>
      </c>
      <c r="C6" s="292" t="s">
        <v>6729</v>
      </c>
      <c r="D6" s="292" t="s">
        <v>6730</v>
      </c>
      <c r="E6" s="292" t="s">
        <v>6731</v>
      </c>
      <c r="F6" s="292" t="s">
        <v>6732</v>
      </c>
      <c r="G6" s="292" t="s">
        <v>6733</v>
      </c>
      <c r="H6" s="302" t="s">
        <v>666</v>
      </c>
    </row>
    <row r="7" spans="1:8" ht="26" customHeight="1">
      <c r="A7" s="356" t="s">
        <v>6734</v>
      </c>
      <c r="B7" s="137" t="s">
        <v>6735</v>
      </c>
      <c r="C7" s="296" t="s">
        <v>6736</v>
      </c>
      <c r="D7" s="296" t="s">
        <v>6737</v>
      </c>
      <c r="E7" s="137" t="s">
        <v>6610</v>
      </c>
      <c r="F7" s="137" t="s">
        <v>6738</v>
      </c>
      <c r="G7" s="137" t="s">
        <v>6739</v>
      </c>
      <c r="H7" s="311" t="s">
        <v>4</v>
      </c>
    </row>
    <row r="8" spans="1:8" ht="26" customHeight="1">
      <c r="A8" s="356" t="s">
        <v>6740</v>
      </c>
      <c r="B8" s="137" t="s">
        <v>6735</v>
      </c>
      <c r="C8" s="296" t="s">
        <v>6741</v>
      </c>
      <c r="D8" s="296" t="s">
        <v>6742</v>
      </c>
      <c r="E8" s="137" t="s">
        <v>6610</v>
      </c>
      <c r="F8" s="137" t="s">
        <v>6738</v>
      </c>
      <c r="G8" s="137" t="s">
        <v>6739</v>
      </c>
      <c r="H8" s="311" t="s">
        <v>4</v>
      </c>
    </row>
    <row r="9" spans="1:8" ht="26" customHeight="1">
      <c r="A9" s="356" t="s">
        <v>6743</v>
      </c>
      <c r="B9" s="137" t="s">
        <v>6735</v>
      </c>
      <c r="C9" s="296" t="s">
        <v>6744</v>
      </c>
      <c r="D9" s="296" t="s">
        <v>6745</v>
      </c>
      <c r="E9" s="137" t="s">
        <v>6610</v>
      </c>
      <c r="F9" s="137"/>
      <c r="G9" s="137" t="s">
        <v>6739</v>
      </c>
      <c r="H9" s="311" t="s">
        <v>4</v>
      </c>
    </row>
    <row r="10" spans="1:8" ht="26" customHeight="1">
      <c r="A10" s="356" t="s">
        <v>6746</v>
      </c>
      <c r="B10" s="137" t="s">
        <v>6735</v>
      </c>
      <c r="C10" s="296" t="s">
        <v>6747</v>
      </c>
      <c r="D10" s="296" t="s">
        <v>6748</v>
      </c>
      <c r="E10" s="137" t="s">
        <v>6610</v>
      </c>
      <c r="F10" s="137"/>
      <c r="G10" s="137" t="s">
        <v>6739</v>
      </c>
      <c r="H10" s="311" t="s">
        <v>4</v>
      </c>
    </row>
    <row r="11" spans="1:8" ht="26" customHeight="1">
      <c r="A11" s="356" t="s">
        <v>6749</v>
      </c>
      <c r="B11" s="137" t="s">
        <v>6735</v>
      </c>
      <c r="C11" s="296" t="s">
        <v>6750</v>
      </c>
      <c r="D11" s="296" t="s">
        <v>6751</v>
      </c>
      <c r="E11" s="137" t="s">
        <v>6610</v>
      </c>
      <c r="F11" s="137" t="s">
        <v>6738</v>
      </c>
      <c r="G11" s="137" t="s">
        <v>6752</v>
      </c>
      <c r="H11" s="311" t="s">
        <v>4</v>
      </c>
    </row>
    <row r="12" spans="1:8" ht="26" customHeight="1">
      <c r="A12" s="356" t="s">
        <v>6753</v>
      </c>
      <c r="B12" s="137" t="s">
        <v>6735</v>
      </c>
      <c r="C12" s="296" t="s">
        <v>6754</v>
      </c>
      <c r="D12" s="296" t="s">
        <v>6755</v>
      </c>
      <c r="E12" s="137" t="s">
        <v>6610</v>
      </c>
      <c r="F12" s="137" t="s">
        <v>6738</v>
      </c>
      <c r="G12" s="137" t="s">
        <v>6752</v>
      </c>
      <c r="H12" s="311" t="s">
        <v>4</v>
      </c>
    </row>
    <row r="13" spans="1:8" ht="26" customHeight="1">
      <c r="A13" s="356" t="s">
        <v>6756</v>
      </c>
      <c r="B13" s="137" t="s">
        <v>6735</v>
      </c>
      <c r="C13" s="296" t="s">
        <v>6757</v>
      </c>
      <c r="D13" s="296" t="s">
        <v>6758</v>
      </c>
      <c r="E13" s="137" t="s">
        <v>6610</v>
      </c>
      <c r="F13" s="137" t="s">
        <v>6738</v>
      </c>
      <c r="G13" s="137" t="s">
        <v>6752</v>
      </c>
      <c r="H13" s="311" t="s">
        <v>4</v>
      </c>
    </row>
    <row r="14" spans="1:8" ht="26" customHeight="1">
      <c r="A14" s="356" t="s">
        <v>6759</v>
      </c>
      <c r="B14" s="137" t="s">
        <v>6735</v>
      </c>
      <c r="C14" s="296" t="s">
        <v>6760</v>
      </c>
      <c r="D14" s="296" t="s">
        <v>6761</v>
      </c>
      <c r="E14" s="137" t="s">
        <v>6610</v>
      </c>
      <c r="F14" s="137"/>
      <c r="G14" s="137" t="s">
        <v>6752</v>
      </c>
      <c r="H14" s="311" t="s">
        <v>4</v>
      </c>
    </row>
    <row r="15" spans="1:8" ht="26" customHeight="1">
      <c r="A15" s="356" t="s">
        <v>6762</v>
      </c>
      <c r="B15" s="137" t="s">
        <v>6735</v>
      </c>
      <c r="C15" s="296" t="s">
        <v>6763</v>
      </c>
      <c r="D15" s="296" t="s">
        <v>6764</v>
      </c>
      <c r="E15" s="137" t="s">
        <v>6610</v>
      </c>
      <c r="F15" s="137" t="s">
        <v>6738</v>
      </c>
      <c r="G15" s="137" t="s">
        <v>6752</v>
      </c>
      <c r="H15" s="311" t="s">
        <v>4</v>
      </c>
    </row>
    <row r="16" spans="1:8" ht="26" customHeight="1">
      <c r="A16" s="356" t="s">
        <v>6765</v>
      </c>
      <c r="B16" s="137" t="s">
        <v>6735</v>
      </c>
      <c r="C16" s="296" t="s">
        <v>6766</v>
      </c>
      <c r="D16" s="296" t="s">
        <v>6767</v>
      </c>
      <c r="E16" s="137" t="s">
        <v>6610</v>
      </c>
      <c r="F16" s="137"/>
      <c r="G16" s="137" t="s">
        <v>6768</v>
      </c>
      <c r="H16" s="311" t="s">
        <v>4</v>
      </c>
    </row>
    <row r="17" spans="1:8" ht="26" customHeight="1">
      <c r="A17" s="356" t="s">
        <v>6769</v>
      </c>
      <c r="B17" s="137" t="s">
        <v>6735</v>
      </c>
      <c r="C17" s="296" t="s">
        <v>6770</v>
      </c>
      <c r="D17" s="296" t="s">
        <v>6767</v>
      </c>
      <c r="E17" s="137" t="s">
        <v>6610</v>
      </c>
      <c r="F17" s="137" t="s">
        <v>6738</v>
      </c>
      <c r="G17" s="137" t="s">
        <v>6768</v>
      </c>
      <c r="H17" s="311" t="s">
        <v>4</v>
      </c>
    </row>
    <row r="18" spans="1:8" ht="26" customHeight="1">
      <c r="A18" s="356" t="s">
        <v>6771</v>
      </c>
      <c r="B18" s="137" t="s">
        <v>6735</v>
      </c>
      <c r="C18" s="296" t="s">
        <v>6772</v>
      </c>
      <c r="D18" s="296" t="s">
        <v>6773</v>
      </c>
      <c r="E18" s="137" t="s">
        <v>6610</v>
      </c>
      <c r="F18" s="137"/>
      <c r="G18" s="137" t="s">
        <v>6768</v>
      </c>
      <c r="H18" s="311" t="s">
        <v>4</v>
      </c>
    </row>
    <row r="19" spans="1:8" ht="26" customHeight="1">
      <c r="A19" s="356" t="s">
        <v>6774</v>
      </c>
      <c r="B19" s="137" t="s">
        <v>6735</v>
      </c>
      <c r="C19" s="296" t="s">
        <v>6775</v>
      </c>
      <c r="D19" s="296" t="s">
        <v>6773</v>
      </c>
      <c r="E19" s="137" t="s">
        <v>6610</v>
      </c>
      <c r="F19" s="137"/>
      <c r="G19" s="137" t="s">
        <v>6768</v>
      </c>
      <c r="H19" s="311" t="s">
        <v>4</v>
      </c>
    </row>
    <row r="20" spans="1:8" ht="26" customHeight="1">
      <c r="A20" s="356" t="s">
        <v>6776</v>
      </c>
      <c r="B20" s="137" t="s">
        <v>6735</v>
      </c>
      <c r="C20" s="296" t="s">
        <v>6777</v>
      </c>
      <c r="D20" s="296" t="s">
        <v>1430</v>
      </c>
      <c r="E20" s="137" t="s">
        <v>6610</v>
      </c>
      <c r="F20" s="137"/>
      <c r="G20" s="137" t="s">
        <v>6768</v>
      </c>
      <c r="H20" s="311" t="s">
        <v>4</v>
      </c>
    </row>
    <row r="21" spans="1:8" ht="26" customHeight="1">
      <c r="A21" s="356" t="s">
        <v>6778</v>
      </c>
      <c r="B21" s="137" t="s">
        <v>6735</v>
      </c>
      <c r="C21" s="296" t="s">
        <v>6779</v>
      </c>
      <c r="D21" s="296" t="s">
        <v>1432</v>
      </c>
      <c r="E21" s="137" t="s">
        <v>6610</v>
      </c>
      <c r="F21" s="137"/>
      <c r="G21" s="137" t="s">
        <v>6780</v>
      </c>
      <c r="H21" s="311" t="s">
        <v>4</v>
      </c>
    </row>
    <row r="22" spans="1:8" ht="26" customHeight="1">
      <c r="A22" s="356" t="s">
        <v>6781</v>
      </c>
      <c r="B22" s="137" t="s">
        <v>6735</v>
      </c>
      <c r="C22" s="296" t="s">
        <v>6782</v>
      </c>
      <c r="D22" s="296" t="s">
        <v>1432</v>
      </c>
      <c r="E22" s="137" t="s">
        <v>6610</v>
      </c>
      <c r="F22" s="137"/>
      <c r="G22" s="137" t="s">
        <v>6780</v>
      </c>
      <c r="H22" s="311" t="s">
        <v>4</v>
      </c>
    </row>
    <row r="23" spans="1:8" ht="26" customHeight="1">
      <c r="A23" s="356" t="s">
        <v>6783</v>
      </c>
      <c r="B23" s="137" t="s">
        <v>6735</v>
      </c>
      <c r="C23" s="296" t="s">
        <v>6784</v>
      </c>
      <c r="D23" s="296" t="s">
        <v>6785</v>
      </c>
      <c r="E23" s="137" t="s">
        <v>6610</v>
      </c>
      <c r="F23" s="137"/>
      <c r="G23" s="137" t="s">
        <v>6780</v>
      </c>
      <c r="H23" s="311" t="s">
        <v>4</v>
      </c>
    </row>
    <row r="24" spans="1:8" ht="26" customHeight="1">
      <c r="A24" s="356" t="s">
        <v>6786</v>
      </c>
      <c r="B24" s="137" t="s">
        <v>6735</v>
      </c>
      <c r="C24" s="296" t="s">
        <v>6787</v>
      </c>
      <c r="D24" s="296" t="s">
        <v>40</v>
      </c>
      <c r="E24" s="137" t="s">
        <v>6610</v>
      </c>
      <c r="F24" s="137"/>
      <c r="G24" s="137" t="s">
        <v>6780</v>
      </c>
      <c r="H24" s="311" t="s">
        <v>4</v>
      </c>
    </row>
    <row r="25" spans="1:8" ht="26" customHeight="1">
      <c r="A25" s="356" t="s">
        <v>6788</v>
      </c>
      <c r="B25" s="137" t="s">
        <v>6735</v>
      </c>
      <c r="C25" s="296" t="s">
        <v>6789</v>
      </c>
      <c r="D25" s="296" t="s">
        <v>6767</v>
      </c>
      <c r="E25" s="137" t="s">
        <v>6610</v>
      </c>
      <c r="F25" s="137"/>
      <c r="G25" s="137" t="s">
        <v>6780</v>
      </c>
      <c r="H25" s="311" t="s">
        <v>4</v>
      </c>
    </row>
    <row r="26" spans="1:8" ht="26" customHeight="1">
      <c r="A26" s="356" t="s">
        <v>6790</v>
      </c>
      <c r="B26" s="137" t="s">
        <v>6735</v>
      </c>
      <c r="C26" s="296" t="s">
        <v>6791</v>
      </c>
      <c r="D26" s="296" t="s">
        <v>6792</v>
      </c>
      <c r="E26" s="137" t="s">
        <v>6610</v>
      </c>
      <c r="F26" s="137"/>
      <c r="G26" s="137" t="s">
        <v>6793</v>
      </c>
      <c r="H26" s="311" t="s">
        <v>4</v>
      </c>
    </row>
    <row r="27" spans="1:8" ht="26" customHeight="1">
      <c r="A27" s="356" t="s">
        <v>6794</v>
      </c>
      <c r="B27" s="137" t="s">
        <v>6735</v>
      </c>
      <c r="C27" s="296" t="s">
        <v>6795</v>
      </c>
      <c r="D27" s="296" t="s">
        <v>6796</v>
      </c>
      <c r="E27" s="137" t="s">
        <v>6610</v>
      </c>
      <c r="F27" s="137"/>
      <c r="G27" s="137" t="s">
        <v>6793</v>
      </c>
      <c r="H27" s="311" t="s">
        <v>4</v>
      </c>
    </row>
    <row r="28" spans="1:8" ht="26" customHeight="1">
      <c r="A28" s="356" t="s">
        <v>6797</v>
      </c>
      <c r="B28" s="137" t="s">
        <v>6735</v>
      </c>
      <c r="C28" s="296" t="s">
        <v>6798</v>
      </c>
      <c r="D28" s="296" t="s">
        <v>2633</v>
      </c>
      <c r="E28" s="137" t="s">
        <v>6610</v>
      </c>
      <c r="F28" s="137"/>
      <c r="G28" s="137" t="s">
        <v>6793</v>
      </c>
      <c r="H28" s="311" t="s">
        <v>4</v>
      </c>
    </row>
    <row r="29" spans="1:8" ht="26" customHeight="1">
      <c r="A29" s="356" t="s">
        <v>6799</v>
      </c>
      <c r="B29" s="137" t="s">
        <v>6800</v>
      </c>
      <c r="C29" s="296" t="s">
        <v>6801</v>
      </c>
      <c r="D29" s="296" t="s">
        <v>6802</v>
      </c>
      <c r="E29" s="137" t="s">
        <v>6610</v>
      </c>
      <c r="F29" s="137" t="s">
        <v>6738</v>
      </c>
      <c r="G29" s="137" t="s">
        <v>6803</v>
      </c>
      <c r="H29" s="311" t="s">
        <v>4</v>
      </c>
    </row>
    <row r="30" spans="1:8" ht="26" customHeight="1">
      <c r="A30" s="356" t="s">
        <v>6804</v>
      </c>
      <c r="B30" s="137" t="s">
        <v>6800</v>
      </c>
      <c r="C30" s="296" t="s">
        <v>6805</v>
      </c>
      <c r="D30" s="296" t="s">
        <v>6806</v>
      </c>
      <c r="E30" s="137" t="s">
        <v>6610</v>
      </c>
      <c r="F30" s="137"/>
      <c r="G30" s="137" t="s">
        <v>6803</v>
      </c>
      <c r="H30" s="311" t="s">
        <v>4</v>
      </c>
    </row>
    <row r="31" spans="1:8" ht="26" customHeight="1">
      <c r="A31" s="356" t="s">
        <v>6807</v>
      </c>
      <c r="B31" s="137" t="s">
        <v>6800</v>
      </c>
      <c r="C31" s="296" t="s">
        <v>6808</v>
      </c>
      <c r="D31" s="296" t="s">
        <v>6809</v>
      </c>
      <c r="E31" s="137" t="s">
        <v>6610</v>
      </c>
      <c r="F31" s="137" t="s">
        <v>6738</v>
      </c>
      <c r="G31" s="137" t="s">
        <v>6810</v>
      </c>
      <c r="H31" s="311" t="s">
        <v>4</v>
      </c>
    </row>
    <row r="32" spans="1:8" ht="26" customHeight="1">
      <c r="A32" s="356" t="s">
        <v>6811</v>
      </c>
      <c r="B32" s="137" t="s">
        <v>6800</v>
      </c>
      <c r="C32" s="296" t="s">
        <v>6812</v>
      </c>
      <c r="D32" s="296" t="s">
        <v>6813</v>
      </c>
      <c r="E32" s="137" t="s">
        <v>6610</v>
      </c>
      <c r="F32" s="137" t="s">
        <v>6738</v>
      </c>
      <c r="G32" s="137" t="s">
        <v>6810</v>
      </c>
      <c r="H32" s="311" t="s">
        <v>4</v>
      </c>
    </row>
    <row r="33" spans="1:8" ht="26" customHeight="1">
      <c r="A33" s="356" t="s">
        <v>6814</v>
      </c>
      <c r="B33" s="137" t="s">
        <v>6800</v>
      </c>
      <c r="C33" s="296" t="s">
        <v>6815</v>
      </c>
      <c r="D33" s="296" t="s">
        <v>6816</v>
      </c>
      <c r="E33" s="137" t="s">
        <v>6610</v>
      </c>
      <c r="F33" s="137" t="s">
        <v>6738</v>
      </c>
      <c r="G33" s="137" t="s">
        <v>6810</v>
      </c>
      <c r="H33" s="311" t="s">
        <v>4</v>
      </c>
    </row>
    <row r="34" spans="1:8" ht="26" customHeight="1">
      <c r="A34" s="356" t="s">
        <v>6817</v>
      </c>
      <c r="B34" s="137" t="s">
        <v>6800</v>
      </c>
      <c r="C34" s="296" t="s">
        <v>6818</v>
      </c>
      <c r="D34" s="296" t="s">
        <v>511</v>
      </c>
      <c r="E34" s="137" t="s">
        <v>6610</v>
      </c>
      <c r="F34" s="137"/>
      <c r="G34" s="137" t="s">
        <v>6810</v>
      </c>
      <c r="H34" s="311" t="s">
        <v>4</v>
      </c>
    </row>
    <row r="35" spans="1:8" ht="26" customHeight="1">
      <c r="A35" s="356" t="s">
        <v>6819</v>
      </c>
      <c r="B35" s="137" t="s">
        <v>6800</v>
      </c>
      <c r="C35" s="296" t="s">
        <v>6820</v>
      </c>
      <c r="D35" s="296" t="s">
        <v>2610</v>
      </c>
      <c r="E35" s="137" t="s">
        <v>6628</v>
      </c>
      <c r="F35" s="137"/>
      <c r="G35" s="137" t="s">
        <v>6810</v>
      </c>
      <c r="H35" s="311" t="s">
        <v>4</v>
      </c>
    </row>
    <row r="36" spans="1:8" ht="26" customHeight="1">
      <c r="A36" s="356" t="s">
        <v>6821</v>
      </c>
      <c r="B36" s="137" t="s">
        <v>6800</v>
      </c>
      <c r="C36" s="296" t="s">
        <v>6822</v>
      </c>
      <c r="D36" s="296" t="s">
        <v>914</v>
      </c>
      <c r="E36" s="137" t="s">
        <v>6610</v>
      </c>
      <c r="F36" s="137" t="s">
        <v>6738</v>
      </c>
      <c r="G36" s="137" t="s">
        <v>6823</v>
      </c>
      <c r="H36" s="311" t="s">
        <v>4</v>
      </c>
    </row>
    <row r="37" spans="1:8" ht="26" customHeight="1">
      <c r="A37" s="356" t="s">
        <v>6824</v>
      </c>
      <c r="B37" s="137" t="s">
        <v>6800</v>
      </c>
      <c r="C37" s="296" t="s">
        <v>6825</v>
      </c>
      <c r="D37" s="296" t="s">
        <v>909</v>
      </c>
      <c r="E37" s="137" t="s">
        <v>6610</v>
      </c>
      <c r="F37" s="137" t="s">
        <v>6738</v>
      </c>
      <c r="G37" s="137" t="s">
        <v>6823</v>
      </c>
      <c r="H37" s="311" t="s">
        <v>4</v>
      </c>
    </row>
    <row r="38" spans="1:8" ht="26" customHeight="1">
      <c r="A38" s="356" t="s">
        <v>6826</v>
      </c>
      <c r="B38" s="137" t="s">
        <v>6800</v>
      </c>
      <c r="C38" s="296" t="s">
        <v>6827</v>
      </c>
      <c r="D38" s="296" t="s">
        <v>6828</v>
      </c>
      <c r="E38" s="137" t="s">
        <v>6610</v>
      </c>
      <c r="F38" s="137" t="s">
        <v>6738</v>
      </c>
      <c r="G38" s="137" t="s">
        <v>6829</v>
      </c>
      <c r="H38" s="311" t="s">
        <v>4</v>
      </c>
    </row>
    <row r="39" spans="1:8" ht="26" customHeight="1">
      <c r="A39" s="356" t="s">
        <v>6830</v>
      </c>
      <c r="B39" s="137" t="s">
        <v>6800</v>
      </c>
      <c r="C39" s="296" t="s">
        <v>6831</v>
      </c>
      <c r="D39" s="296" t="s">
        <v>6832</v>
      </c>
      <c r="E39" s="137" t="s">
        <v>6610</v>
      </c>
      <c r="F39" s="137" t="s">
        <v>6738</v>
      </c>
      <c r="G39" s="137" t="s">
        <v>6829</v>
      </c>
      <c r="H39" s="311" t="s">
        <v>4</v>
      </c>
    </row>
    <row r="40" spans="1:8" ht="26" customHeight="1">
      <c r="A40" s="356" t="s">
        <v>6833</v>
      </c>
      <c r="B40" s="137" t="s">
        <v>6800</v>
      </c>
      <c r="C40" s="296" t="s">
        <v>6834</v>
      </c>
      <c r="D40" s="296" t="s">
        <v>2501</v>
      </c>
      <c r="E40" s="137" t="s">
        <v>6610</v>
      </c>
      <c r="F40" s="137" t="s">
        <v>6738</v>
      </c>
      <c r="G40" s="137" t="s">
        <v>6829</v>
      </c>
      <c r="H40" s="311" t="s">
        <v>4</v>
      </c>
    </row>
    <row r="41" spans="1:8" ht="26" customHeight="1">
      <c r="A41" s="356" t="s">
        <v>6835</v>
      </c>
      <c r="B41" s="137" t="s">
        <v>6800</v>
      </c>
      <c r="C41" s="296" t="s">
        <v>2458</v>
      </c>
      <c r="D41" s="296" t="s">
        <v>2457</v>
      </c>
      <c r="E41" s="137" t="s">
        <v>6610</v>
      </c>
      <c r="F41" s="137"/>
      <c r="G41" s="137" t="s">
        <v>6829</v>
      </c>
      <c r="H41" s="311" t="s">
        <v>4</v>
      </c>
    </row>
    <row r="42" spans="1:8" ht="26" customHeight="1">
      <c r="A42" s="356" t="s">
        <v>6836</v>
      </c>
      <c r="B42" s="137" t="s">
        <v>6800</v>
      </c>
      <c r="C42" s="296" t="s">
        <v>6837</v>
      </c>
      <c r="D42" s="296" t="s">
        <v>6838</v>
      </c>
      <c r="E42" s="137" t="s">
        <v>6610</v>
      </c>
      <c r="F42" s="137"/>
      <c r="G42" s="137" t="s">
        <v>6839</v>
      </c>
      <c r="H42" s="311" t="s">
        <v>4</v>
      </c>
    </row>
    <row r="43" spans="1:8" ht="26" customHeight="1">
      <c r="A43" s="356" t="s">
        <v>6840</v>
      </c>
      <c r="B43" s="137" t="s">
        <v>6800</v>
      </c>
      <c r="C43" s="296" t="s">
        <v>6841</v>
      </c>
      <c r="D43" s="296" t="s">
        <v>2712</v>
      </c>
      <c r="E43" s="137" t="s">
        <v>6610</v>
      </c>
      <c r="F43" s="137"/>
      <c r="G43" s="137" t="s">
        <v>6839</v>
      </c>
      <c r="H43" s="311" t="s">
        <v>4</v>
      </c>
    </row>
    <row r="44" spans="1:8" ht="26" customHeight="1">
      <c r="A44" s="356" t="s">
        <v>6842</v>
      </c>
      <c r="B44" s="137" t="s">
        <v>6800</v>
      </c>
      <c r="C44" s="296" t="s">
        <v>6843</v>
      </c>
      <c r="D44" s="296" t="s">
        <v>6844</v>
      </c>
      <c r="E44" s="137" t="s">
        <v>6610</v>
      </c>
      <c r="F44" s="137"/>
      <c r="G44" s="137" t="s">
        <v>6839</v>
      </c>
      <c r="H44" s="311" t="s">
        <v>4</v>
      </c>
    </row>
    <row r="45" spans="1:8" ht="26" customHeight="1">
      <c r="A45" s="356" t="s">
        <v>6845</v>
      </c>
      <c r="B45" s="137" t="s">
        <v>6800</v>
      </c>
      <c r="C45" s="296" t="s">
        <v>6846</v>
      </c>
      <c r="D45" s="296" t="s">
        <v>6847</v>
      </c>
      <c r="E45" s="137" t="s">
        <v>6610</v>
      </c>
      <c r="F45" s="137" t="s">
        <v>6738</v>
      </c>
      <c r="G45" s="137" t="s">
        <v>6839</v>
      </c>
      <c r="H45" s="311" t="s">
        <v>4</v>
      </c>
    </row>
    <row r="46" spans="1:8" ht="26" customHeight="1">
      <c r="A46" s="356" t="s">
        <v>6848</v>
      </c>
      <c r="B46" s="137" t="s">
        <v>6849</v>
      </c>
      <c r="C46" s="296" t="s">
        <v>6850</v>
      </c>
      <c r="D46" s="296" t="s">
        <v>2641</v>
      </c>
      <c r="E46" s="137" t="s">
        <v>6610</v>
      </c>
      <c r="F46" s="137" t="s">
        <v>6738</v>
      </c>
      <c r="G46" s="137" t="s">
        <v>6851</v>
      </c>
      <c r="H46" s="311" t="s">
        <v>4</v>
      </c>
    </row>
    <row r="47" spans="1:8" ht="26" customHeight="1">
      <c r="A47" s="356" t="s">
        <v>6852</v>
      </c>
      <c r="B47" s="137" t="s">
        <v>6849</v>
      </c>
      <c r="C47" s="296" t="s">
        <v>6853</v>
      </c>
      <c r="D47" s="296" t="s">
        <v>2641</v>
      </c>
      <c r="E47" s="137" t="s">
        <v>6610</v>
      </c>
      <c r="F47" s="137"/>
      <c r="G47" s="137" t="s">
        <v>6851</v>
      </c>
      <c r="H47" s="311" t="s">
        <v>4</v>
      </c>
    </row>
    <row r="48" spans="1:8" ht="26" customHeight="1">
      <c r="A48" s="356" t="s">
        <v>6854</v>
      </c>
      <c r="B48" s="137" t="s">
        <v>6849</v>
      </c>
      <c r="C48" s="296" t="s">
        <v>6855</v>
      </c>
      <c r="D48" s="296" t="s">
        <v>6856</v>
      </c>
      <c r="E48" s="137" t="s">
        <v>6610</v>
      </c>
      <c r="F48" s="137" t="s">
        <v>6738</v>
      </c>
      <c r="G48" s="137" t="s">
        <v>6851</v>
      </c>
      <c r="H48" s="311" t="s">
        <v>4</v>
      </c>
    </row>
    <row r="49" spans="1:8" ht="26" customHeight="1">
      <c r="A49" s="356" t="s">
        <v>6857</v>
      </c>
      <c r="B49" s="137" t="s">
        <v>6849</v>
      </c>
      <c r="C49" s="296" t="s">
        <v>6858</v>
      </c>
      <c r="D49" s="296" t="s">
        <v>2641</v>
      </c>
      <c r="E49" s="137" t="s">
        <v>6610</v>
      </c>
      <c r="F49" s="137" t="s">
        <v>6738</v>
      </c>
      <c r="G49" s="137" t="s">
        <v>6851</v>
      </c>
      <c r="H49" s="311" t="s">
        <v>4</v>
      </c>
    </row>
    <row r="50" spans="1:8" ht="26" customHeight="1">
      <c r="A50" s="356" t="s">
        <v>6859</v>
      </c>
      <c r="B50" s="137" t="s">
        <v>6849</v>
      </c>
      <c r="C50" s="296" t="s">
        <v>6860</v>
      </c>
      <c r="D50" s="296" t="s">
        <v>2641</v>
      </c>
      <c r="E50" s="137" t="s">
        <v>6610</v>
      </c>
      <c r="F50" s="137" t="s">
        <v>6738</v>
      </c>
      <c r="G50" s="137" t="s">
        <v>6851</v>
      </c>
      <c r="H50" s="311" t="s">
        <v>4</v>
      </c>
    </row>
    <row r="51" spans="1:8" ht="26" customHeight="1">
      <c r="A51" s="356" t="s">
        <v>6861</v>
      </c>
      <c r="B51" s="137" t="s">
        <v>6849</v>
      </c>
      <c r="C51" s="296" t="s">
        <v>6862</v>
      </c>
      <c r="D51" s="296" t="s">
        <v>2501</v>
      </c>
      <c r="E51" s="137" t="s">
        <v>6610</v>
      </c>
      <c r="F51" s="137" t="s">
        <v>6738</v>
      </c>
      <c r="G51" s="137" t="s">
        <v>6851</v>
      </c>
      <c r="H51" s="311" t="s">
        <v>4</v>
      </c>
    </row>
    <row r="52" spans="1:8" ht="26" customHeight="1">
      <c r="A52" s="356" t="s">
        <v>6863</v>
      </c>
      <c r="B52" s="137" t="s">
        <v>6849</v>
      </c>
      <c r="C52" s="296" t="s">
        <v>6864</v>
      </c>
      <c r="D52" s="296" t="s">
        <v>2641</v>
      </c>
      <c r="E52" s="137" t="s">
        <v>6610</v>
      </c>
      <c r="F52" s="137"/>
      <c r="G52" s="137" t="s">
        <v>6865</v>
      </c>
      <c r="H52" s="311" t="s">
        <v>4</v>
      </c>
    </row>
    <row r="53" spans="1:8" ht="26" customHeight="1">
      <c r="A53" s="356" t="s">
        <v>6866</v>
      </c>
      <c r="B53" s="137" t="s">
        <v>6849</v>
      </c>
      <c r="C53" s="296" t="s">
        <v>6867</v>
      </c>
      <c r="D53" s="296" t="s">
        <v>6868</v>
      </c>
      <c r="E53" s="137" t="s">
        <v>6610</v>
      </c>
      <c r="F53" s="137"/>
      <c r="G53" s="137" t="s">
        <v>6865</v>
      </c>
      <c r="H53" s="311" t="s">
        <v>4</v>
      </c>
    </row>
    <row r="54" spans="1:8" ht="26" customHeight="1">
      <c r="A54" s="356" t="s">
        <v>6869</v>
      </c>
      <c r="B54" s="137" t="s">
        <v>6849</v>
      </c>
      <c r="C54" s="296" t="s">
        <v>6870</v>
      </c>
      <c r="D54" s="296" t="s">
        <v>2641</v>
      </c>
      <c r="E54" s="137" t="s">
        <v>6610</v>
      </c>
      <c r="F54" s="137"/>
      <c r="G54" s="137" t="s">
        <v>6865</v>
      </c>
      <c r="H54" s="311" t="s">
        <v>4</v>
      </c>
    </row>
    <row r="55" spans="1:8" ht="26" customHeight="1">
      <c r="A55" s="356" t="s">
        <v>6871</v>
      </c>
      <c r="B55" s="137" t="s">
        <v>6849</v>
      </c>
      <c r="C55" s="296" t="s">
        <v>6872</v>
      </c>
      <c r="D55" s="296" t="s">
        <v>6873</v>
      </c>
      <c r="E55" s="137" t="s">
        <v>6610</v>
      </c>
      <c r="F55" s="137"/>
      <c r="G55" s="137" t="s">
        <v>6865</v>
      </c>
      <c r="H55" s="311" t="s">
        <v>4</v>
      </c>
    </row>
    <row r="56" spans="1:8" ht="26" customHeight="1">
      <c r="A56" s="356" t="s">
        <v>6874</v>
      </c>
      <c r="B56" s="137" t="s">
        <v>6849</v>
      </c>
      <c r="C56" s="296" t="s">
        <v>6875</v>
      </c>
      <c r="D56" s="296" t="s">
        <v>6876</v>
      </c>
      <c r="E56" s="137" t="s">
        <v>6610</v>
      </c>
      <c r="F56" s="137" t="s">
        <v>6738</v>
      </c>
      <c r="G56" s="137" t="s">
        <v>6877</v>
      </c>
      <c r="H56" s="311" t="s">
        <v>4</v>
      </c>
    </row>
    <row r="57" spans="1:8" ht="26" customHeight="1">
      <c r="A57" s="356" t="s">
        <v>6878</v>
      </c>
      <c r="B57" s="137" t="s">
        <v>6849</v>
      </c>
      <c r="C57" s="296" t="s">
        <v>6879</v>
      </c>
      <c r="D57" s="296" t="s">
        <v>6880</v>
      </c>
      <c r="E57" s="137" t="s">
        <v>6610</v>
      </c>
      <c r="F57" s="137" t="s">
        <v>6738</v>
      </c>
      <c r="G57" s="137" t="s">
        <v>6877</v>
      </c>
      <c r="H57" s="311" t="s">
        <v>4</v>
      </c>
    </row>
    <row r="58" spans="1:8" ht="26" customHeight="1">
      <c r="A58" s="356" t="s">
        <v>6881</v>
      </c>
      <c r="B58" s="137" t="s">
        <v>6849</v>
      </c>
      <c r="C58" s="296" t="s">
        <v>6882</v>
      </c>
      <c r="D58" s="296" t="s">
        <v>2641</v>
      </c>
      <c r="E58" s="137" t="s">
        <v>6610</v>
      </c>
      <c r="F58" s="137"/>
      <c r="G58" s="137" t="s">
        <v>6877</v>
      </c>
      <c r="H58" s="311" t="s">
        <v>4</v>
      </c>
    </row>
    <row r="59" spans="1:8" ht="26" customHeight="1">
      <c r="A59" s="356" t="s">
        <v>6883</v>
      </c>
      <c r="B59" s="137" t="s">
        <v>6849</v>
      </c>
      <c r="C59" s="296" t="s">
        <v>6884</v>
      </c>
      <c r="D59" s="296" t="s">
        <v>886</v>
      </c>
      <c r="E59" s="137" t="s">
        <v>6610</v>
      </c>
      <c r="F59" s="137"/>
      <c r="G59" s="137" t="s">
        <v>6885</v>
      </c>
      <c r="H59" s="311" t="s">
        <v>4</v>
      </c>
    </row>
    <row r="60" spans="1:8" ht="26" customHeight="1">
      <c r="A60" s="356" t="s">
        <v>6886</v>
      </c>
      <c r="B60" s="137" t="s">
        <v>6849</v>
      </c>
      <c r="C60" s="296" t="s">
        <v>6887</v>
      </c>
      <c r="D60" s="296" t="s">
        <v>886</v>
      </c>
      <c r="E60" s="137" t="s">
        <v>6610</v>
      </c>
      <c r="F60" s="137"/>
      <c r="G60" s="137" t="s">
        <v>6885</v>
      </c>
      <c r="H60" s="311" t="s">
        <v>4</v>
      </c>
    </row>
    <row r="61" spans="1:8" ht="26" customHeight="1">
      <c r="A61" s="356" t="s">
        <v>6888</v>
      </c>
      <c r="B61" s="137" t="s">
        <v>6849</v>
      </c>
      <c r="C61" s="296" t="s">
        <v>6889</v>
      </c>
      <c r="D61" s="296" t="s">
        <v>1211</v>
      </c>
      <c r="E61" s="137" t="s">
        <v>6610</v>
      </c>
      <c r="F61" s="137" t="s">
        <v>6738</v>
      </c>
      <c r="G61" s="137" t="s">
        <v>6885</v>
      </c>
      <c r="H61" s="311" t="s">
        <v>4</v>
      </c>
    </row>
    <row r="62" spans="1:8" ht="26" customHeight="1">
      <c r="A62" s="356" t="s">
        <v>6890</v>
      </c>
      <c r="B62" s="137" t="s">
        <v>6849</v>
      </c>
      <c r="C62" s="296" t="s">
        <v>6891</v>
      </c>
      <c r="D62" s="296" t="s">
        <v>6892</v>
      </c>
      <c r="E62" s="137" t="s">
        <v>6610</v>
      </c>
      <c r="F62" s="137"/>
      <c r="G62" s="137" t="s">
        <v>6885</v>
      </c>
      <c r="H62" s="311" t="s">
        <v>4</v>
      </c>
    </row>
    <row r="63" spans="1:8" ht="26" customHeight="1">
      <c r="A63" s="356" t="s">
        <v>6893</v>
      </c>
      <c r="B63" s="137" t="s">
        <v>6849</v>
      </c>
      <c r="C63" s="296" t="s">
        <v>6894</v>
      </c>
      <c r="D63" s="296" t="s">
        <v>6895</v>
      </c>
      <c r="E63" s="137" t="s">
        <v>6610</v>
      </c>
      <c r="F63" s="137"/>
      <c r="G63" s="137" t="s">
        <v>6896</v>
      </c>
      <c r="H63" s="311" t="s">
        <v>4</v>
      </c>
    </row>
    <row r="64" spans="1:8" ht="26" customHeight="1">
      <c r="A64" s="356" t="s">
        <v>6897</v>
      </c>
      <c r="B64" s="137" t="s">
        <v>6849</v>
      </c>
      <c r="C64" s="296" t="s">
        <v>6898</v>
      </c>
      <c r="D64" s="296" t="s">
        <v>1439</v>
      </c>
      <c r="E64" s="137" t="s">
        <v>6610</v>
      </c>
      <c r="F64" s="137"/>
      <c r="G64" s="137" t="s">
        <v>6896</v>
      </c>
      <c r="H64" s="311" t="s">
        <v>4</v>
      </c>
    </row>
    <row r="65" spans="1:8" ht="26" customHeight="1">
      <c r="A65" s="356" t="s">
        <v>6899</v>
      </c>
      <c r="B65" s="137" t="s">
        <v>6849</v>
      </c>
      <c r="C65" s="296" t="s">
        <v>6900</v>
      </c>
      <c r="D65" s="296" t="s">
        <v>6901</v>
      </c>
      <c r="E65" s="137" t="s">
        <v>6610</v>
      </c>
      <c r="F65" s="137"/>
      <c r="G65" s="137" t="s">
        <v>6896</v>
      </c>
      <c r="H65" s="311" t="s">
        <v>4</v>
      </c>
    </row>
    <row r="66" spans="1:8" ht="26" customHeight="1">
      <c r="A66" s="356" t="s">
        <v>6902</v>
      </c>
      <c r="B66" s="137" t="s">
        <v>6849</v>
      </c>
      <c r="C66" s="296" t="s">
        <v>6903</v>
      </c>
      <c r="D66" s="296" t="s">
        <v>6904</v>
      </c>
      <c r="E66" s="137" t="s">
        <v>6610</v>
      </c>
      <c r="F66" s="137"/>
      <c r="G66" s="137" t="s">
        <v>6896</v>
      </c>
      <c r="H66" s="311" t="s">
        <v>4</v>
      </c>
    </row>
    <row r="67" spans="1:8" ht="26" customHeight="1">
      <c r="A67" s="356" t="s">
        <v>6905</v>
      </c>
      <c r="B67" s="137" t="s">
        <v>6849</v>
      </c>
      <c r="C67" s="296" t="s">
        <v>6906</v>
      </c>
      <c r="D67" s="296" t="s">
        <v>1437</v>
      </c>
      <c r="E67" s="137" t="s">
        <v>6610</v>
      </c>
      <c r="F67" s="137"/>
      <c r="G67" s="137" t="s">
        <v>6896</v>
      </c>
      <c r="H67" s="311" t="s">
        <v>4</v>
      </c>
    </row>
    <row r="68" spans="1:8" ht="26" customHeight="1">
      <c r="A68" s="356" t="s">
        <v>6907</v>
      </c>
      <c r="B68" s="137" t="s">
        <v>6908</v>
      </c>
      <c r="C68" s="296" t="s">
        <v>6909</v>
      </c>
      <c r="D68" s="296" t="s">
        <v>6910</v>
      </c>
      <c r="E68" s="137" t="s">
        <v>6610</v>
      </c>
      <c r="F68" s="137" t="s">
        <v>6738</v>
      </c>
      <c r="G68" s="137" t="s">
        <v>6911</v>
      </c>
      <c r="H68" s="311" t="s">
        <v>4</v>
      </c>
    </row>
    <row r="69" spans="1:8" ht="26" customHeight="1">
      <c r="A69" s="356" t="s">
        <v>6912</v>
      </c>
      <c r="B69" s="137" t="s">
        <v>6908</v>
      </c>
      <c r="C69" s="296" t="s">
        <v>6913</v>
      </c>
      <c r="D69" s="296" t="s">
        <v>1049</v>
      </c>
      <c r="E69" s="137" t="s">
        <v>6610</v>
      </c>
      <c r="F69" s="137"/>
      <c r="G69" s="137" t="s">
        <v>6911</v>
      </c>
      <c r="H69" s="311" t="s">
        <v>4</v>
      </c>
    </row>
    <row r="70" spans="1:8" ht="26" customHeight="1">
      <c r="A70" s="356" t="s">
        <v>6914</v>
      </c>
      <c r="B70" s="137" t="s">
        <v>6908</v>
      </c>
      <c r="C70" s="296" t="s">
        <v>6915</v>
      </c>
      <c r="D70" s="296" t="s">
        <v>913</v>
      </c>
      <c r="E70" s="137" t="s">
        <v>6610</v>
      </c>
      <c r="F70" s="137" t="s">
        <v>6738</v>
      </c>
      <c r="G70" s="137" t="s">
        <v>6911</v>
      </c>
      <c r="H70" s="311" t="s">
        <v>4</v>
      </c>
    </row>
    <row r="71" spans="1:8" ht="26" customHeight="1">
      <c r="A71" s="356" t="s">
        <v>6916</v>
      </c>
      <c r="B71" s="137" t="s">
        <v>6908</v>
      </c>
      <c r="C71" s="296" t="s">
        <v>6917</v>
      </c>
      <c r="D71" s="296" t="s">
        <v>6918</v>
      </c>
      <c r="E71" s="137" t="s">
        <v>6610</v>
      </c>
      <c r="F71" s="137"/>
      <c r="G71" s="137" t="s">
        <v>6911</v>
      </c>
      <c r="H71" s="311" t="s">
        <v>4</v>
      </c>
    </row>
    <row r="72" spans="1:8" ht="26" customHeight="1">
      <c r="A72" s="356" t="s">
        <v>6919</v>
      </c>
      <c r="B72" s="137" t="s">
        <v>6908</v>
      </c>
      <c r="C72" s="296" t="s">
        <v>6920</v>
      </c>
      <c r="D72" s="296" t="s">
        <v>6921</v>
      </c>
      <c r="E72" s="137" t="s">
        <v>6610</v>
      </c>
      <c r="F72" s="137" t="s">
        <v>6738</v>
      </c>
      <c r="G72" s="137" t="s">
        <v>6922</v>
      </c>
      <c r="H72" s="311" t="s">
        <v>4</v>
      </c>
    </row>
    <row r="73" spans="1:8" ht="26" customHeight="1">
      <c r="A73" s="356" t="s">
        <v>6923</v>
      </c>
      <c r="B73" s="137" t="s">
        <v>6908</v>
      </c>
      <c r="C73" s="296" t="s">
        <v>6924</v>
      </c>
      <c r="D73" s="296" t="s">
        <v>2641</v>
      </c>
      <c r="E73" s="137" t="s">
        <v>6610</v>
      </c>
      <c r="F73" s="137" t="s">
        <v>6738</v>
      </c>
      <c r="G73" s="137" t="s">
        <v>6922</v>
      </c>
      <c r="H73" s="311" t="s">
        <v>4</v>
      </c>
    </row>
    <row r="74" spans="1:8" ht="26" customHeight="1">
      <c r="A74" s="356" t="s">
        <v>6925</v>
      </c>
      <c r="B74" s="137" t="s">
        <v>6908</v>
      </c>
      <c r="C74" s="296" t="s">
        <v>6926</v>
      </c>
      <c r="D74" s="296" t="s">
        <v>6927</v>
      </c>
      <c r="E74" s="137" t="s">
        <v>6610</v>
      </c>
      <c r="F74" s="137"/>
      <c r="G74" s="137" t="s">
        <v>6922</v>
      </c>
      <c r="H74" s="311" t="s">
        <v>4</v>
      </c>
    </row>
    <row r="75" spans="1:8" ht="26" customHeight="1">
      <c r="A75" s="356" t="s">
        <v>6928</v>
      </c>
      <c r="B75" s="137" t="s">
        <v>6908</v>
      </c>
      <c r="C75" s="296" t="s">
        <v>6929</v>
      </c>
      <c r="D75" s="296" t="s">
        <v>6930</v>
      </c>
      <c r="E75" s="137" t="s">
        <v>6610</v>
      </c>
      <c r="F75" s="137"/>
      <c r="G75" s="137" t="s">
        <v>6922</v>
      </c>
      <c r="H75" s="311" t="s">
        <v>4</v>
      </c>
    </row>
    <row r="76" spans="1:8" ht="26" customHeight="1">
      <c r="A76" s="356" t="s">
        <v>6931</v>
      </c>
      <c r="B76" s="137" t="s">
        <v>6908</v>
      </c>
      <c r="C76" s="296" t="s">
        <v>6932</v>
      </c>
      <c r="D76" s="296" t="s">
        <v>1439</v>
      </c>
      <c r="E76" s="137" t="s">
        <v>6610</v>
      </c>
      <c r="F76" s="137"/>
      <c r="G76" s="137" t="s">
        <v>6922</v>
      </c>
      <c r="H76" s="311" t="s">
        <v>4</v>
      </c>
    </row>
    <row r="77" spans="1:8" ht="26" customHeight="1">
      <c r="A77" s="356" t="s">
        <v>6933</v>
      </c>
      <c r="B77" s="137" t="s">
        <v>6934</v>
      </c>
      <c r="C77" s="296" t="s">
        <v>6935</v>
      </c>
      <c r="D77" s="296" t="s">
        <v>2605</v>
      </c>
      <c r="E77" s="137" t="s">
        <v>6610</v>
      </c>
      <c r="F77" s="137" t="s">
        <v>6738</v>
      </c>
      <c r="G77" s="137" t="s">
        <v>6936</v>
      </c>
      <c r="H77" s="311" t="s">
        <v>4</v>
      </c>
    </row>
    <row r="78" spans="1:8" ht="26" customHeight="1">
      <c r="A78" s="356" t="s">
        <v>6937</v>
      </c>
      <c r="B78" s="137" t="s">
        <v>6934</v>
      </c>
      <c r="C78" s="296" t="s">
        <v>6938</v>
      </c>
      <c r="D78" s="296" t="s">
        <v>6939</v>
      </c>
      <c r="E78" s="137" t="s">
        <v>6610</v>
      </c>
      <c r="F78" s="137"/>
      <c r="G78" s="137" t="s">
        <v>6936</v>
      </c>
      <c r="H78" s="311" t="s">
        <v>4</v>
      </c>
    </row>
    <row r="79" spans="1:8" ht="26" customHeight="1">
      <c r="A79" s="356" t="s">
        <v>6940</v>
      </c>
      <c r="B79" s="137" t="s">
        <v>6934</v>
      </c>
      <c r="C79" s="296" t="s">
        <v>6941</v>
      </c>
      <c r="D79" s="296" t="s">
        <v>2520</v>
      </c>
      <c r="E79" s="137" t="s">
        <v>6610</v>
      </c>
      <c r="F79" s="137"/>
      <c r="G79" s="137" t="s">
        <v>6936</v>
      </c>
      <c r="H79" s="311" t="s">
        <v>4</v>
      </c>
    </row>
    <row r="80" spans="1:8" ht="26" customHeight="1">
      <c r="A80" s="356" t="s">
        <v>6942</v>
      </c>
      <c r="B80" s="137" t="s">
        <v>6934</v>
      </c>
      <c r="C80" s="296" t="s">
        <v>6943</v>
      </c>
      <c r="D80" s="296" t="s">
        <v>1254</v>
      </c>
      <c r="E80" s="137" t="s">
        <v>6610</v>
      </c>
      <c r="F80" s="137" t="s">
        <v>6738</v>
      </c>
      <c r="G80" s="137" t="s">
        <v>6944</v>
      </c>
      <c r="H80" s="311" t="s">
        <v>4</v>
      </c>
    </row>
    <row r="81" spans="1:8" ht="26" customHeight="1">
      <c r="A81" s="356" t="s">
        <v>6945</v>
      </c>
      <c r="B81" s="137" t="s">
        <v>6934</v>
      </c>
      <c r="C81" s="296" t="s">
        <v>6946</v>
      </c>
      <c r="D81" s="296" t="s">
        <v>2501</v>
      </c>
      <c r="E81" s="137" t="s">
        <v>6610</v>
      </c>
      <c r="F81" s="137"/>
      <c r="G81" s="137" t="s">
        <v>6944</v>
      </c>
      <c r="H81" s="311" t="s">
        <v>4</v>
      </c>
    </row>
    <row r="82" spans="1:8" ht="26" customHeight="1">
      <c r="A82" s="356" t="s">
        <v>6947</v>
      </c>
      <c r="B82" s="137" t="s">
        <v>6934</v>
      </c>
      <c r="C82" s="296" t="s">
        <v>6948</v>
      </c>
      <c r="D82" s="296" t="s">
        <v>2712</v>
      </c>
      <c r="E82" s="137" t="s">
        <v>6610</v>
      </c>
      <c r="F82" s="137"/>
      <c r="G82" s="137" t="s">
        <v>6944</v>
      </c>
      <c r="H82" s="311" t="s">
        <v>4</v>
      </c>
    </row>
    <row r="83" spans="1:8" ht="26" customHeight="1">
      <c r="A83" s="356" t="s">
        <v>6949</v>
      </c>
      <c r="B83" s="137" t="s">
        <v>6934</v>
      </c>
      <c r="C83" s="296" t="s">
        <v>6950</v>
      </c>
      <c r="D83" s="296" t="s">
        <v>6951</v>
      </c>
      <c r="E83" s="137" t="s">
        <v>6610</v>
      </c>
      <c r="F83" s="137"/>
      <c r="G83" s="137" t="s">
        <v>6952</v>
      </c>
      <c r="H83" s="311" t="s">
        <v>4</v>
      </c>
    </row>
    <row r="84" spans="1:8" ht="26" customHeight="1">
      <c r="A84" s="356" t="s">
        <v>6953</v>
      </c>
      <c r="B84" s="137" t="s">
        <v>6934</v>
      </c>
      <c r="C84" s="296" t="s">
        <v>6954</v>
      </c>
      <c r="D84" s="296" t="s">
        <v>6955</v>
      </c>
      <c r="E84" s="137" t="s">
        <v>6610</v>
      </c>
      <c r="F84" s="137" t="s">
        <v>6738</v>
      </c>
      <c r="G84" s="137" t="s">
        <v>6952</v>
      </c>
      <c r="H84" s="311" t="s">
        <v>4</v>
      </c>
    </row>
    <row r="85" spans="1:8" ht="26" customHeight="1">
      <c r="A85" s="356" t="s">
        <v>6956</v>
      </c>
      <c r="B85" s="137" t="s">
        <v>6934</v>
      </c>
      <c r="C85" s="296" t="s">
        <v>6957</v>
      </c>
      <c r="D85" s="296" t="s">
        <v>2698</v>
      </c>
      <c r="E85" s="137" t="s">
        <v>6610</v>
      </c>
      <c r="F85" s="137"/>
      <c r="G85" s="137" t="s">
        <v>6952</v>
      </c>
      <c r="H85" s="311" t="s">
        <v>4</v>
      </c>
    </row>
    <row r="86" spans="1:8" ht="26" customHeight="1">
      <c r="A86" s="356" t="s">
        <v>6958</v>
      </c>
      <c r="B86" s="137" t="s">
        <v>6934</v>
      </c>
      <c r="C86" s="296" t="s">
        <v>6959</v>
      </c>
      <c r="D86" s="296" t="s">
        <v>2704</v>
      </c>
      <c r="E86" s="137" t="s">
        <v>6610</v>
      </c>
      <c r="F86" s="137"/>
      <c r="G86" s="137" t="s">
        <v>6952</v>
      </c>
      <c r="H86" s="311" t="s">
        <v>4</v>
      </c>
    </row>
    <row r="87" spans="1:8" ht="26" customHeight="1">
      <c r="A87" s="356" t="s">
        <v>6960</v>
      </c>
      <c r="B87" s="137" t="s">
        <v>6934</v>
      </c>
      <c r="C87" s="296" t="s">
        <v>6961</v>
      </c>
      <c r="D87" s="296" t="s">
        <v>6962</v>
      </c>
      <c r="E87" s="137" t="s">
        <v>6610</v>
      </c>
      <c r="F87" s="137"/>
      <c r="G87" s="137" t="s">
        <v>6952</v>
      </c>
      <c r="H87" s="311" t="s">
        <v>4</v>
      </c>
    </row>
    <row r="88" spans="1:8" ht="26" customHeight="1">
      <c r="A88" s="356" t="s">
        <v>6963</v>
      </c>
      <c r="B88" s="137" t="s">
        <v>6934</v>
      </c>
      <c r="C88" s="296" t="s">
        <v>6964</v>
      </c>
      <c r="D88" s="296" t="s">
        <v>6965</v>
      </c>
      <c r="E88" s="137" t="s">
        <v>6628</v>
      </c>
      <c r="F88" s="137"/>
      <c r="G88" s="137" t="s">
        <v>6952</v>
      </c>
      <c r="H88" s="311" t="s">
        <v>4</v>
      </c>
    </row>
    <row r="89" spans="1:8" ht="26" customHeight="1">
      <c r="A89" s="356" t="s">
        <v>6966</v>
      </c>
      <c r="B89" s="137" t="s">
        <v>6967</v>
      </c>
      <c r="C89" s="296" t="s">
        <v>6968</v>
      </c>
      <c r="D89" s="296" t="s">
        <v>6969</v>
      </c>
      <c r="E89" s="137" t="s">
        <v>6610</v>
      </c>
      <c r="F89" s="137" t="s">
        <v>6738</v>
      </c>
      <c r="G89" s="137" t="s">
        <v>6970</v>
      </c>
      <c r="H89" s="311" t="s">
        <v>4</v>
      </c>
    </row>
    <row r="90" spans="1:8" ht="26" customHeight="1">
      <c r="A90" s="356" t="s">
        <v>6971</v>
      </c>
      <c r="B90" s="137" t="s">
        <v>6967</v>
      </c>
      <c r="C90" s="296" t="s">
        <v>6972</v>
      </c>
      <c r="D90" s="296" t="s">
        <v>2501</v>
      </c>
      <c r="E90" s="137" t="s">
        <v>6610</v>
      </c>
      <c r="F90" s="137" t="s">
        <v>6738</v>
      </c>
      <c r="G90" s="137" t="s">
        <v>6970</v>
      </c>
      <c r="H90" s="311" t="s">
        <v>4</v>
      </c>
    </row>
    <row r="91" spans="1:8" ht="26" customHeight="1">
      <c r="A91" s="356" t="s">
        <v>6973</v>
      </c>
      <c r="B91" s="137" t="s">
        <v>6967</v>
      </c>
      <c r="C91" s="296" t="s">
        <v>6974</v>
      </c>
      <c r="D91" s="296" t="s">
        <v>6975</v>
      </c>
      <c r="E91" s="137" t="s">
        <v>6610</v>
      </c>
      <c r="F91" s="137"/>
      <c r="G91" s="137" t="s">
        <v>6970</v>
      </c>
      <c r="H91" s="311" t="s">
        <v>4</v>
      </c>
    </row>
    <row r="92" spans="1:8" ht="26" customHeight="1">
      <c r="A92" s="356" t="s">
        <v>6976</v>
      </c>
      <c r="B92" s="137" t="s">
        <v>6967</v>
      </c>
      <c r="C92" s="296" t="s">
        <v>6977</v>
      </c>
      <c r="D92" s="296" t="s">
        <v>6978</v>
      </c>
      <c r="E92" s="137" t="s">
        <v>6610</v>
      </c>
      <c r="F92" s="137"/>
      <c r="G92" s="137" t="s">
        <v>6979</v>
      </c>
      <c r="H92" s="311" t="s">
        <v>4</v>
      </c>
    </row>
    <row r="93" spans="1:8" ht="26" customHeight="1">
      <c r="A93" s="356" t="s">
        <v>6980</v>
      </c>
      <c r="B93" s="137" t="s">
        <v>6967</v>
      </c>
      <c r="C93" s="296" t="s">
        <v>6981</v>
      </c>
      <c r="D93" s="296" t="s">
        <v>6982</v>
      </c>
      <c r="E93" s="137" t="s">
        <v>6610</v>
      </c>
      <c r="F93" s="137"/>
      <c r="G93" s="137" t="s">
        <v>6979</v>
      </c>
      <c r="H93" s="311" t="s">
        <v>4</v>
      </c>
    </row>
    <row r="94" spans="1:8" ht="26" customHeight="1">
      <c r="A94" s="356" t="s">
        <v>6983</v>
      </c>
      <c r="B94" s="137" t="s">
        <v>6967</v>
      </c>
      <c r="C94" s="296" t="s">
        <v>6984</v>
      </c>
      <c r="D94" s="296" t="s">
        <v>1437</v>
      </c>
      <c r="E94" s="137" t="s">
        <v>6610</v>
      </c>
      <c r="F94" s="137"/>
      <c r="G94" s="137" t="s">
        <v>6979</v>
      </c>
      <c r="H94" s="311" t="s">
        <v>4</v>
      </c>
    </row>
    <row r="95" spans="1:8" ht="26" customHeight="1">
      <c r="A95" s="356" t="s">
        <v>6985</v>
      </c>
      <c r="B95" s="137" t="s">
        <v>6967</v>
      </c>
      <c r="C95" s="296" t="s">
        <v>6986</v>
      </c>
      <c r="D95" s="296" t="s">
        <v>609</v>
      </c>
      <c r="E95" s="137" t="s">
        <v>6610</v>
      </c>
      <c r="F95" s="137"/>
      <c r="G95" s="137" t="s">
        <v>6979</v>
      </c>
      <c r="H95" s="311" t="s">
        <v>4</v>
      </c>
    </row>
    <row r="96" spans="1:8" ht="26" customHeight="1">
      <c r="A96" s="356" t="s">
        <v>6987</v>
      </c>
      <c r="B96" s="137" t="s">
        <v>6967</v>
      </c>
      <c r="C96" s="296" t="s">
        <v>6988</v>
      </c>
      <c r="D96" s="296" t="s">
        <v>1439</v>
      </c>
      <c r="E96" s="137" t="s">
        <v>6610</v>
      </c>
      <c r="F96" s="137"/>
      <c r="G96" s="137" t="s">
        <v>6979</v>
      </c>
      <c r="H96" s="311" t="s">
        <v>4</v>
      </c>
    </row>
    <row r="97" spans="1:8" ht="26" customHeight="1">
      <c r="A97" s="357" t="s">
        <v>6989</v>
      </c>
      <c r="B97" s="313" t="s">
        <v>6967</v>
      </c>
      <c r="C97" s="299" t="s">
        <v>6990</v>
      </c>
      <c r="D97" s="299" t="s">
        <v>6991</v>
      </c>
      <c r="E97" s="313" t="s">
        <v>6628</v>
      </c>
      <c r="F97" s="313"/>
      <c r="G97" s="313" t="s">
        <v>6970</v>
      </c>
      <c r="H97" s="314" t="s">
        <v>4</v>
      </c>
    </row>
  </sheetData>
  <autoFilter ref="A6:H97" xr:uid="{AFC42794-AC73-9346-B99D-3DE21002119D}"/>
  <phoneticPr fontId="2"/>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19</vt:i4>
      </vt:variant>
      <vt:variant>
        <vt:lpstr>名前付き一覧</vt:lpstr>
      </vt:variant>
      <vt:variant>
        <vt:i4>6</vt:i4>
      </vt:variant>
    </vt:vector>
  </HeadingPairs>
  <TitlesOfParts>
    <vt:vector size="25"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2026-08-26T11:00:54Z</dcterms:modified>
</cp:coreProperties>
</file>