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0935E5E-AE02-084B-9744-DC0B437F519B}" xr6:coauthVersionLast="47" xr6:coauthVersionMax="47" xr10:uidLastSave="{00000000-0000-0000-0000-000000000000}"/>
  <bookViews>
    <workbookView xWindow="-2480" yWindow="-21600" windowWidth="38400" windowHeight="21600" firstSheet="3"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'WBS(テスト)'!$A$5:$G$51</definedName>
    <definedName name="_xlnm._FilterDatabase" localSheetId="9" hidden="1">'WBS(基本設計)'!$A$6:$J$327</definedName>
    <definedName name="_xlnm._FilterDatabase" localSheetId="10" hidden="1">'WBS(詳細設計_製造)'!$A$5:$N$184</definedName>
    <definedName name="_xlnm._FilterDatabase" localSheetId="1" hidden="1">コスト見積もり!$A$24:$M$59</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分岐プール!$A$7:$F$42</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2" l="1"/>
  <c r="I42" i="2"/>
  <c r="B50" i="25"/>
  <c r="B49" i="25"/>
  <c r="B48" i="25"/>
  <c r="B47" i="25"/>
  <c r="B46" i="25"/>
  <c r="Y17" i="8"/>
  <c r="E70" i="10"/>
  <c r="E69" i="10"/>
  <c r="E68" i="10"/>
  <c r="E67" i="10"/>
  <c r="E66" i="10"/>
  <c r="E65" i="10"/>
  <c r="E64" i="10"/>
  <c r="E63" i="10"/>
  <c r="E62" i="10"/>
  <c r="E61" i="10"/>
  <c r="E60" i="10"/>
  <c r="C70" i="10"/>
  <c r="B70" i="10"/>
  <c r="C69" i="10"/>
  <c r="B69" i="10"/>
  <c r="C68" i="10"/>
  <c r="B68" i="10"/>
  <c r="C67" i="10"/>
  <c r="B67" i="10"/>
  <c r="C66" i="10"/>
  <c r="B66" i="10"/>
  <c r="C65" i="10"/>
  <c r="B65" i="10"/>
  <c r="C64" i="10"/>
  <c r="B64" i="10"/>
  <c r="C63" i="10"/>
  <c r="B63" i="10"/>
  <c r="C62" i="10"/>
  <c r="B62" i="10"/>
  <c r="C61" i="10"/>
  <c r="B61" i="10"/>
  <c r="C60" i="10"/>
  <c r="B60" i="10"/>
  <c r="D81"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13" i="2" l="1"/>
  <c r="C13" i="2"/>
  <c r="D13" i="2"/>
  <c r="G13" i="2"/>
  <c r="D82" i="10"/>
  <c r="B63" i="2"/>
  <c r="C60" i="2" s="1"/>
  <c r="B74" i="2"/>
  <c r="F29" i="14"/>
  <c r="D35" i="14" s="1"/>
  <c r="D30" i="14"/>
  <c r="B36" i="14" s="1"/>
  <c r="A41" i="14" s="1"/>
  <c r="C62" i="2" l="1"/>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C75" i="12"/>
  <c r="C79" i="12" s="1"/>
  <c r="B76" i="12"/>
  <c r="B77" i="12" s="1"/>
  <c r="B78" i="12" s="1"/>
  <c r="D76" i="12"/>
  <c r="D77" i="12" s="1"/>
  <c r="D78" i="12" s="1"/>
  <c r="D70" i="12"/>
  <c r="U25" i="8" l="1"/>
  <c r="W26" i="8" s="1"/>
</calcChain>
</file>

<file path=xl/sharedStrings.xml><?xml version="1.0" encoding="utf-8"?>
<sst xmlns="http://schemas.openxmlformats.org/spreadsheetml/2006/main" count="14646" uniqueCount="6995">
  <si>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</si>
  <si>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</si>
  <si>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</si>
  <si>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</si>
  <si>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</si>
  <si>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</si>
  <si>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</si>
  <si>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</si>
  <si>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</si>
  <si>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</si>
  <si>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</si>
  <si>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</si>
  <si>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</si>
  <si>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</si>
  <si>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</si>
  <si>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</si>
  <si>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</si>
  <si>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</si>
  <si>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</si>
  <si>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</si>
  <si>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</si>
  <si>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</si>
  <si>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</si>
  <si>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</si>
  <si>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</si>
  <si>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</si>
  <si>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</si>
  <si>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</si>
  <si>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</si>
  <si>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</si>
  <si>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</si>
  <si>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</si>
  <si>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</si>
  <si>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</si>
  <si>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</si>
  <si>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</si>
  <si>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</si>
  <si>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</si>
  <si>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</si>
  <si>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</si>
  <si>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</si>
  <si>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</si>
  <si>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</si>
  <si>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</si>
  <si>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</si>
  <si>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</si>
  <si>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</si>
  <si>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</si>
  <si>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</si>
  <si>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</si>
  <si>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</si>
  <si>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</si>
  <si>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</si>
  <si>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</si>
  <si>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</si>
  <si>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</si>
  <si>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</si>
  <si>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</si>
  <si>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</si>
  <si>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</si>
  <si>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</si>
  <si>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</si>
  <si>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</si>
  <si>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</si>
  <si>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</si>
  <si>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</si>
  <si>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</si>
  <si>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</si>
  <si>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</si>
  <si>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</si>
  <si>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</si>
  <si>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</si>
  <si>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</si>
  <si>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</si>
  <si>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</si>
  <si>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</si>
  <si>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</si>
  <si>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</si>
  <si>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</si>
  <si>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</si>
  <si>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</si>
  <si>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</si>
  <si>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</si>
  <si>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</si>
  <si>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</si>
  <si>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</si>
  <si>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</si>
  <si>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</si>
  <si>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</si>
  <si>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</si>
  <si>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</si>
  <si>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</si>
  <si>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</si>
  <si>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</si>
  <si>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</si>
  <si>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</si>
  <si>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</si>
  <si>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</si>
  <si>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</si>
  <si>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</si>
  <si>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</si>
  <si>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</si>
  <si>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</si>
  <si>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</si>
  <si>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</si>
  <si>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</si>
  <si>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</si>
  <si>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</si>
  <si>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</si>
  <si>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</si>
  <si>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</si>
  <si>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</si>
  <si>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</si>
  <si>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</si>
  <si>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</si>
  <si>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</si>
  <si>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</si>
  <si>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</si>
  <si>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</si>
  <si>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</si>
  <si>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</si>
  <si>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</si>
  <si>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</si>
  <si>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</si>
  <si>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</si>
  <si>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</si>
  <si>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</si>
  <si>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</si>
  <si>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</si>
  <si>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</si>
  <si>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</si>
  <si>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</si>
  <si>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</si>
  <si>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</si>
  <si>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</si>
  <si>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</si>
  <si>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</si>
  <si>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</si>
  <si>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</si>
  <si>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</si>
  <si>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</si>
  <si>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</si>
  <si>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</si>
  <si>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</si>
  <si>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</si>
  <si>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</si>
  <si>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</si>
  <si>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</si>
  <si>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</si>
  <si>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</si>
  <si>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</si>
  <si>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</si>
  <si>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</si>
  <si>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</si>
  <si>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</si>
  <si>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</si>
  <si>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</si>
  <si>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</si>
  <si>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</si>
  <si>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</si>
  <si>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</si>
  <si>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</si>
  <si>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</si>
  <si>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</si>
  <si>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</si>
  <si>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</si>
  <si>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</si>
  <si>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</si>
  <si>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</si>
  <si>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</si>
  <si>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</si>
  <si>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</si>
  <si>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</si>
  <si>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</si>
  <si>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</si>
  <si>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</si>
  <si>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</si>
  <si>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</si>
  <si>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</si>
  <si>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</si>
  <si>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</si>
  <si>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</si>
  <si>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</si>
  <si>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</si>
  <si>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</si>
  <si>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</si>
  <si>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</si>
  <si>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</si>
  <si>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</si>
  <si>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</si>
  <si>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</si>
  <si>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</si>
  <si>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</si>
  <si>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</si>
  <si>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</si>
  <si>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</si>
  <si>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</si>
  <si>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</si>
  <si>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</si>
  <si>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</si>
  <si>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</si>
  <si>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</si>
  <si>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</si>
  <si>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</si>
  <si>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</si>
  <si>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</si>
  <si>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</si>
  <si>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</si>
  <si>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</si>
  <si>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</si>
  <si>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</si>
  <si>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</si>
  <si>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</si>
  <si>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</si>
  <si>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</si>
  <si>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</si>
  <si>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</si>
  <si>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</si>
  <si>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</si>
  <si>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</si>
  <si>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</si>
  <si>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</si>
  <si>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</si>
  <si>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</si>
  <si>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</si>
  <si>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</si>
  <si>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</si>
  <si>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</si>
  <si>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</si>
  <si>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</si>
  <si>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</si>
  <si>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</si>
  <si>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</si>
  <si>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</si>
  <si>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</si>
  <si>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</si>
  <si>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</si>
  <si>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</si>
  <si>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</si>
  <si>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</si>
  <si>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</si>
  <si>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</si>
  <si>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</si>
  <si>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</si>
  <si>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</si>
  <si>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</si>
  <si>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</si>
  <si>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</si>
  <si>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</si>
  <si>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</si>
  <si>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</si>
  <si>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</si>
  <si>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</si>
  <si>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</si>
  <si>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</si>
  <si>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</si>
  <si>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</si>
  <si>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</si>
  <si>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</si>
  <si>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</si>
  <si>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</si>
  <si>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</si>
  <si>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</si>
  <si>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</si>
  <si>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</si>
  <si>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</si>
  <si>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</si>
  <si>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</si>
  <si>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</si>
  <si>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</si>
  <si>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</si>
  <si>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</si>
  <si>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</si>
  <si>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</si>
  <si>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</si>
  <si>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</si>
  <si>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</si>
  <si>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</si>
  <si>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</si>
  <si>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</si>
  <si>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</si>
  <si>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</si>
  <si>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</si>
  <si>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</si>
  <si>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</si>
  <si>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</si>
  <si>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</si>
  <si>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</si>
  <si>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</si>
  <si>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</si>
  <si>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</si>
  <si>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</si>
  <si>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</si>
  <si>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</si>
  <si>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</si>
  <si>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</si>
  <si>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</si>
  <si>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</si>
  <si>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</si>
  <si>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</si>
  <si>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</si>
  <si>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</si>
  <si>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</si>
  <si>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</si>
  <si>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</si>
  <si>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</si>
  <si>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</si>
  <si>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</si>
  <si>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</si>
  <si>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</si>
  <si>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</si>
  <si>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</si>
  <si>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</si>
  <si>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</si>
  <si>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</si>
  <si>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</si>
  <si>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</si>
  <si>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</si>
  <si>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</si>
  <si>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</si>
  <si>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</si>
  <si>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</si>
  <si>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</si>
  <si>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</si>
  <si>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</si>
  <si>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</si>
  <si>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</si>
  <si>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</si>
  <si>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</si>
  <si>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</si>
  <si>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</si>
  <si>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</si>
  <si>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</si>
  <si>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</si>
  <si>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</si>
  <si>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</si>
  <si>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</si>
  <si>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</si>
  <si>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</si>
  <si>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</si>
  <si>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</si>
  <si>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</si>
  <si>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</si>
  <si>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</si>
  <si>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</si>
  <si>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</si>
  <si>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</si>
  <si>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</si>
  <si>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</si>
  <si>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</si>
  <si>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</si>
  <si>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</si>
  <si>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</si>
  <si>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</si>
  <si>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</si>
  <si>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</si>
  <si>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</si>
  <si>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</si>
  <si>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</si>
  <si>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</si>
  <si>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</si>
  <si>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</si>
  <si>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</si>
  <si>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</si>
  <si>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</si>
  <si>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</si>
  <si>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</si>
  <si>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</si>
  <si>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</si>
  <si>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</si>
  <si>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</si>
  <si>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</si>
  <si>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</si>
  <si>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</si>
  <si>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</si>
  <si>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</si>
  <si>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</si>
  <si>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</si>
  <si>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</si>
  <si>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</si>
  <si>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</si>
  <si>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</si>
  <si>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</si>
  <si>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</si>
  <si>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</si>
  <si>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</si>
  <si>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</si>
  <si>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</si>
  <si>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</si>
  <si>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</si>
  <si>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</si>
  <si>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</si>
  <si>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</si>
  <si>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</si>
  <si>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</si>
  <si>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</si>
  <si>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</si>
  <si>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</si>
  <si>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</si>
  <si>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</si>
  <si>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</si>
  <si>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</si>
  <si>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</si>
  <si>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</si>
  <si>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</si>
  <si>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</si>
  <si>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</si>
  <si>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</si>
  <si>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</si>
  <si>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</si>
  <si>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</si>
  <si>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</si>
  <si>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</si>
  <si>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</si>
  <si>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</si>
  <si>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</si>
  <si>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</si>
  <si>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</si>
  <si>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</si>
  <si>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</si>
  <si>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</si>
  <si>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</si>
  <si>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</si>
  <si>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</si>
  <si>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</si>
  <si>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</si>
  <si>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</si>
  <si>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</si>
  <si>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</si>
  <si>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</si>
  <si>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</si>
  <si>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</si>
  <si>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</si>
  <si>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</si>
  <si>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</si>
  <si>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</si>
  <si>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</si>
  <si>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</si>
  <si>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</si>
  <si>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</si>
  <si>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</si>
  <si>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</si>
  <si>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</si>
  <si>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</si>
  <si>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</si>
  <si>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</si>
  <si>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</si>
  <si>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</si>
  <si>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</si>
  <si>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</si>
  <si>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</si>
  <si>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</si>
  <si>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</si>
  <si>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</si>
  <si>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</si>
  <si>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</si>
  <si>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</si>
  <si>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</si>
  <si>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</si>
  <si>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</si>
  <si>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</si>
  <si>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</si>
  <si>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</si>
  <si>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</si>
  <si>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</si>
  <si>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</si>
  <si>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</si>
  <si>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</si>
  <si>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</si>
  <si>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</si>
  <si>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</si>
  <si>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</si>
  <si>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</si>
  <si>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</si>
  <si>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</si>
  <si>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</si>
  <si>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</si>
  <si>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</si>
  <si>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</si>
  <si>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</si>
  <si>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</si>
  <si>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</si>
  <si>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</si>
  <si>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</si>
  <si>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</si>
  <si>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</si>
  <si>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</si>
  <si>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</si>
  <si>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</si>
  <si>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</si>
  <si>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</si>
  <si>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</si>
  <si>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</si>
  <si>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</si>
  <si>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</si>
  <si>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</si>
  <si>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</si>
  <si>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</si>
  <si>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</si>
  <si>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</si>
  <si>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</si>
  <si>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</si>
  <si>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</si>
  <si>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</si>
  <si>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</si>
  <si>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</si>
  <si>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</si>
  <si>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</si>
  <si>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</si>
  <si>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</si>
  <si>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</si>
  <si>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</si>
  <si>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</si>
  <si>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</si>
  <si>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</si>
  <si>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</si>
  <si>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</si>
  <si>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</si>
  <si>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</si>
  <si>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</si>
  <si>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</si>
  <si>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</si>
  <si>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</si>
  <si>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</si>
  <si>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</si>
  <si>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</si>
  <si>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</si>
  <si>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</si>
  <si>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</si>
  <si>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</si>
  <si>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</si>
  <si>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</si>
  <si>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</si>
  <si>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</si>
  <si>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</si>
  <si>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</si>
  <si>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</si>
  <si>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</si>
  <si>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</si>
  <si>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</si>
  <si>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</si>
  <si>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</si>
  <si>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</si>
  <si>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</si>
  <si>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</si>
  <si>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</si>
  <si>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</si>
  <si>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</si>
  <si>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</si>
  <si>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</si>
  <si>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</si>
  <si>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</si>
  <si>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</si>
  <si>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</si>
  <si>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</si>
  <si>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</si>
  <si>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</si>
  <si>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</si>
  <si>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</si>
  <si>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</si>
  <si>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</si>
  <si>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</si>
  <si>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</si>
  <si>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</si>
  <si>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</si>
  <si>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</si>
  <si>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</si>
  <si>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</si>
  <si>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</si>
  <si>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</si>
  <si>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</si>
  <si>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</si>
  <si>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</si>
  <si>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</si>
  <si>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</si>
  <si>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</si>
  <si>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</si>
  <si>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</si>
  <si>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</si>
  <si>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</si>
  <si>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</si>
  <si>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</si>
  <si>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</si>
  <si>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</si>
  <si>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</si>
  <si>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</si>
  <si>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</si>
  <si>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</si>
  <si>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</si>
  <si>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</si>
  <si>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</si>
  <si>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</si>
  <si>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</si>
  <si>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</si>
  <si>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</si>
  <si>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</si>
  <si>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</si>
  <si>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</si>
  <si>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</si>
  <si>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</si>
  <si>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</si>
  <si>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</si>
  <si>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</si>
  <si>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</si>
  <si>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</si>
  <si>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</si>
  <si>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</si>
  <si>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</si>
  <si>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</si>
  <si>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</si>
  <si>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</si>
  <si>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</si>
  <si>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</si>
  <si>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</si>
  <si>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</si>
  <si>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</si>
  <si>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</si>
  <si>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</si>
  <si>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</si>
  <si>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</si>
  <si>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</si>
  <si>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</si>
  <si>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</si>
  <si>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</si>
  <si>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</si>
  <si>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</si>
  <si>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</si>
  <si>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</si>
  <si>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</si>
  <si>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</si>
  <si>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</si>
  <si>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</si>
  <si>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</si>
  <si>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</si>
  <si>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</si>
  <si>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</si>
  <si>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</si>
  <si>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</si>
  <si>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</si>
  <si>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</si>
  <si>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</si>
  <si>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</si>
  <si>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</si>
  <si>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</si>
  <si>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</si>
  <si>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</si>
  <si>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</si>
  <si>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</si>
  <si>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</si>
  <si>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</si>
  <si>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</si>
  <si>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</si>
  <si>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</si>
  <si>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</si>
  <si>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</si>
  <si>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</si>
  <si>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</si>
  <si>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</si>
  <si>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</si>
  <si>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</si>
  <si>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</si>
  <si>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</si>
  <si>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</si>
  <si>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</si>
  <si>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</si>
  <si>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</si>
  <si>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</si>
  <si>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</si>
  <si>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</si>
  <si>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</si>
  <si>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</si>
  <si>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</si>
  <si>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</si>
  <si>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</si>
  <si>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</si>
  <si>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</si>
  <si>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</si>
  <si>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</si>
  <si>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</si>
  <si>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</si>
  <si>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</si>
  <si>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</si>
  <si>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</si>
  <si>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</si>
  <si>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</si>
  <si>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</si>
  <si>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</si>
  <si>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</si>
  <si>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</si>
  <si>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</si>
  <si>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</si>
  <si>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</si>
  <si>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</si>
  <si>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</si>
  <si>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</si>
  <si>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</si>
  <si>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</si>
  <si>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</si>
  <si>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</si>
  <si>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</si>
  <si>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</si>
  <si>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</si>
  <si>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</si>
  <si>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</si>
  <si>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</si>
  <si>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</si>
  <si>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</si>
  <si>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</si>
  <si>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</si>
  <si>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</si>
  <si>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</si>
  <si>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</si>
  <si>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</si>
  <si>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</si>
  <si>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</si>
  <si>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</si>
  <si>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</si>
  <si>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</si>
  <si>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</si>
  <si>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</si>
  <si>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</si>
  <si>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</si>
  <si>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</si>
  <si>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</si>
  <si>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</si>
  <si>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</si>
  <si>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</si>
  <si>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</si>
  <si>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</si>
  <si>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</si>
  <si>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</si>
  <si>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</si>
  <si>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</si>
  <si>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</si>
  <si>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</si>
  <si>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</si>
  <si>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</si>
  <si>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</si>
  <si>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</si>
  <si>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</si>
  <si>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</si>
  <si>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</si>
  <si>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</si>
  <si>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</si>
  <si>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</si>
  <si>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</si>
  <si>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</si>
  <si>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</si>
  <si>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</si>
  <si>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</si>
  <si>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</si>
  <si>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</si>
  <si>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</si>
  <si>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</si>
  <si>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</si>
  <si>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</si>
  <si>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</si>
  <si>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</si>
  <si>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</si>
  <si>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</si>
  <si>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</si>
  <si>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</si>
  <si>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</si>
  <si>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</si>
  <si>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</si>
  <si>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</si>
  <si>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</si>
  <si>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</si>
  <si>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</si>
  <si>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</si>
  <si>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</si>
  <si>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</si>
  <si>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</si>
  <si>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</si>
  <si>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</si>
  <si>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</si>
  <si>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</si>
  <si>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</si>
  <si>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</si>
  <si>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</si>
  <si>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</si>
  <si>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</si>
  <si>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</si>
  <si>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</si>
  <si>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</si>
  <si>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</si>
  <si>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</si>
  <si>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</si>
  <si>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</si>
  <si>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</si>
  <si>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</si>
  <si>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</si>
  <si>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</si>
  <si>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</si>
  <si>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</si>
  <si>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</si>
  <si>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</si>
  <si>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</si>
  <si>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</si>
  <si>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</si>
  <si>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</si>
  <si>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</si>
  <si>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</si>
  <si>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</si>
  <si>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</si>
  <si>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</si>
  <si>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</si>
  <si>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</si>
  <si>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</si>
  <si>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</si>
  <si>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</si>
  <si>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</si>
  <si>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</si>
  <si>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</si>
  <si>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</si>
  <si>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</si>
  <si>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</si>
  <si>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</si>
  <si>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</si>
  <si>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</si>
  <si>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</si>
  <si>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</si>
  <si>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</si>
  <si>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</si>
  <si>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</si>
  <si>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</si>
  <si>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</si>
  <si>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</si>
  <si>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</si>
  <si>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</si>
  <si>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</si>
  <si>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</si>
  <si>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</si>
  <si>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</si>
  <si>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</si>
  <si>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</si>
  <si>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</si>
  <si>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</si>
  <si>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</si>
  <si>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</si>
  <si>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</si>
  <si>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</si>
  <si>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</si>
  <si>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</si>
  <si>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</si>
  <si>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</si>
  <si>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</si>
  <si>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</si>
  <si>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</si>
  <si>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</si>
  <si>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</si>
  <si>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</si>
  <si>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</si>
  <si>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</si>
  <si>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</si>
  <si>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</si>
  <si>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</si>
  <si>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</si>
  <si>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</si>
  <si>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</si>
  <si>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</si>
  <si>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</si>
  <si>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</si>
  <si>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</si>
  <si>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</si>
  <si>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</si>
  <si>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</si>
  <si>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</si>
  <si>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</si>
  <si>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</si>
  <si>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</si>
  <si>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</si>
  <si>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</si>
  <si>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</si>
  <si>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</si>
  <si>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</si>
  <si>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</si>
  <si>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</si>
  <si>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</si>
  <si>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</si>
  <si>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</si>
  <si>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</si>
  <si>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</si>
  <si>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</si>
  <si>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</si>
  <si>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</si>
  <si>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</si>
  <si>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</si>
  <si>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</si>
  <si>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</si>
  <si>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</si>
  <si>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</si>
  <si>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</si>
  <si>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</si>
  <si>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</si>
  <si>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</si>
  <si>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</si>
  <si>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</si>
  <si>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</si>
  <si>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</si>
  <si>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</si>
  <si>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</si>
  <si>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</si>
  <si>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</si>
  <si>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</si>
  <si>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</si>
  <si>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</si>
  <si>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</si>
  <si>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</si>
  <si>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</si>
  <si>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</si>
  <si>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</si>
  <si>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</si>
  <si>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</si>
  <si>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</si>
  <si>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</si>
  <si>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</si>
  <si>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</si>
  <si>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</si>
  <si>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</si>
  <si>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</si>
  <si>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</si>
  <si>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</si>
  <si>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</si>
  <si>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</si>
  <si>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</si>
  <si>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</si>
  <si>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</si>
  <si>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</si>
  <si>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</si>
  <si>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</si>
  <si>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</si>
  <si>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</si>
  <si>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</si>
  <si>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</si>
  <si>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</si>
  <si>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</si>
  <si>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</si>
  <si>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</si>
  <si>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</si>
  <si>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</si>
  <si>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</si>
  <si>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</si>
  <si>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</si>
  <si>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</si>
  <si>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</si>
  <si>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</si>
  <si>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</si>
  <si>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</si>
  <si>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</si>
  <si>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</si>
  <si>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</si>
  <si>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</si>
  <si>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</si>
  <si>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</si>
  <si>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</si>
  <si>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</si>
  <si>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</si>
  <si>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</si>
  <si>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</si>
  <si>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</si>
  <si>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</si>
  <si>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</si>
  <si>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</si>
  <si>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</si>
  <si>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</si>
  <si>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</si>
  <si>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</si>
  <si>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</si>
  <si>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</si>
  <si>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</si>
  <si>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</si>
  <si>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</si>
  <si>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</si>
  <si>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</si>
  <si>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</si>
  <si>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</si>
  <si>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</si>
  <si>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</si>
  <si>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</si>
  <si>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</si>
  <si>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</si>
  <si>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</si>
  <si>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</si>
  <si>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</si>
  <si>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</si>
  <si>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</si>
  <si>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</si>
  <si>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</si>
  <si>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</si>
  <si>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</si>
  <si>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</si>
  <si>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</si>
  <si>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</si>
  <si>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</si>
  <si>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</si>
  <si>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</si>
  <si>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</si>
  <si>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</si>
  <si>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</si>
  <si>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</si>
  <si>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</si>
  <si>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</si>
  <si>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</si>
  <si>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</si>
  <si>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</si>
  <si>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</si>
  <si>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</si>
  <si>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</si>
  <si>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</si>
  <si>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</si>
  <si>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</si>
  <si>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</si>
  <si>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</si>
  <si>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</si>
  <si>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</si>
  <si>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</si>
  <si>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</si>
  <si>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</si>
  <si>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</si>
  <si>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</si>
  <si>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</si>
  <si>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</si>
  <si>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</si>
  <si>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</si>
  <si>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</si>
  <si>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</si>
  <si>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</si>
  <si>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</si>
  <si>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</si>
  <si>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</si>
  <si>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</si>
  <si>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</si>
  <si>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</si>
  <si>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</si>
  <si>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</si>
  <si>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</si>
  <si>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</si>
  <si>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</si>
  <si>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</si>
  <si>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</si>
  <si>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</si>
  <si>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</si>
  <si>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</si>
  <si>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</si>
  <si>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</si>
  <si>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</si>
  <si>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</si>
  <si>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</si>
  <si>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</si>
  <si>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</si>
  <si>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</si>
  <si>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</si>
  <si>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</si>
  <si>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</si>
  <si>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</si>
  <si>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</si>
  <si>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</si>
  <si>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</si>
  <si>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</si>
  <si>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</si>
  <si>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</si>
  <si>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</si>
  <si>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</si>
  <si>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</si>
  <si>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</si>
  <si>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</si>
  <si>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</si>
  <si>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</si>
  <si>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</si>
  <si>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</si>
  <si>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</si>
  <si>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</si>
  <si>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</si>
  <si>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</si>
  <si>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</si>
  <si>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</si>
  <si>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</si>
  <si>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</si>
  <si>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</si>
  <si>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</si>
  <si>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</si>
  <si>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</si>
  <si>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</si>
  <si>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</si>
  <si>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</si>
  <si>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</si>
  <si>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</si>
  <si>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</si>
  <si>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</si>
  <si>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</si>
  <si>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</si>
  <si>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</si>
  <si>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</si>
  <si>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</si>
  <si>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</si>
  <si>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</si>
  <si>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</si>
  <si>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</si>
  <si>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</si>
  <si>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</si>
  <si>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</si>
  <si>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</si>
  <si>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</si>
  <si>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</si>
  <si>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</si>
  <si>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</si>
  <si>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</si>
  <si>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</si>
  <si>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</si>
  <si>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</si>
  <si>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</si>
  <si>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</si>
  <si>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</si>
  <si>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</si>
  <si>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</si>
  <si>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</si>
  <si>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</si>
  <si>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</si>
  <si>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</si>
  <si>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</si>
  <si>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</si>
  <si>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</si>
  <si>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</si>
  <si>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</si>
  <si>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</si>
  <si>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</si>
  <si>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</si>
  <si>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</si>
  <si>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</si>
  <si>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</si>
  <si>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</si>
  <si>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</si>
  <si>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</si>
  <si>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</si>
  <si>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</si>
  <si>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</si>
  <si>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</si>
  <si>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</si>
  <si>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</si>
  <si>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</si>
  <si>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</si>
  <si>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</si>
  <si>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</si>
  <si>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</si>
  <si>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</si>
  <si>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</si>
  <si>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</si>
  <si>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</si>
  <si>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</si>
  <si>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</si>
  <si>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</si>
  <si>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</si>
  <si>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</si>
  <si>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</si>
  <si>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</si>
  <si>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</si>
  <si>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</si>
  <si>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</si>
  <si>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</si>
  <si>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</si>
  <si>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</si>
  <si>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</si>
  <si>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</si>
  <si>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</si>
  <si>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</si>
  <si>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</si>
  <si>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</si>
  <si>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</si>
  <si>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</si>
  <si>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</si>
  <si>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</si>
  <si>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</si>
  <si>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</si>
  <si>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</si>
  <si>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</si>
  <si>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</si>
  <si>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</si>
  <si>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</si>
  <si>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</si>
  <si>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</si>
  <si>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</si>
  <si>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</si>
  <si>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</si>
  <si>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</si>
  <si>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</si>
  <si>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</si>
  <si>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</si>
  <si>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</si>
  <si>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</si>
  <si>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</si>
  <si>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</si>
  <si>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</si>
  <si>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</si>
  <si>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</si>
  <si>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</si>
  <si>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</si>
  <si>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</si>
  <si>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</si>
  <si>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</si>
  <si>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</si>
  <si>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</si>
  <si>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</si>
  <si>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</si>
  <si>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</si>
  <si>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</si>
  <si>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</si>
  <si>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</si>
  <si>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</si>
  <si>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</si>
  <si>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</si>
  <si>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</si>
  <si>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</si>
  <si>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</si>
  <si>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</si>
  <si>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</si>
  <si>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</si>
  <si>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</si>
  <si>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</si>
  <si>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</si>
  <si>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</si>
  <si>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</si>
  <si>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</si>
  <si>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</si>
  <si>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</si>
  <si>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</si>
  <si>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</si>
  <si>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</si>
  <si>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</si>
  <si>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</si>
  <si>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</si>
  <si>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</si>
  <si>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</si>
  <si>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</si>
  <si>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</si>
  <si>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</si>
  <si>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</si>
  <si>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</si>
  <si>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</si>
  <si>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</si>
  <si>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</si>
  <si>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</si>
  <si>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</si>
  <si>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</si>
  <si>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</si>
  <si>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</si>
  <si>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</si>
  <si>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</si>
  <si>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</si>
  <si>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</si>
  <si>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</si>
  <si>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</si>
  <si>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</si>
  <si>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</si>
  <si>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</si>
  <si>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</si>
  <si>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</si>
  <si>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</si>
  <si>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</si>
  <si>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</si>
  <si>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</si>
  <si>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</si>
  <si>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</si>
  <si>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</si>
  <si>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</si>
  <si>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</si>
  <si>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</si>
  <si>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</si>
  <si>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</si>
  <si>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</si>
  <si>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</si>
  <si>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</si>
  <si>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</si>
  <si>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</si>
  <si>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</si>
  <si>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</si>
  <si>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</si>
  <si>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</si>
  <si>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</si>
  <si>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</si>
  <si>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</si>
  <si>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</si>
  <si>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</si>
  <si>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</si>
  <si>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</si>
  <si>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</si>
  <si>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</si>
  <si>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</si>
  <si>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</si>
  <si>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</si>
  <si>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</si>
  <si>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</si>
  <si>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</si>
  <si>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</si>
  <si>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</si>
  <si>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</si>
  <si>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</si>
  <si>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</si>
  <si>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</si>
  <si>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</si>
  <si>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</si>
  <si>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</si>
  <si>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</si>
  <si>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</si>
  <si>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</si>
  <si>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</si>
  <si>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</si>
  <si>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</si>
  <si>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</si>
  <si>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</si>
  <si>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</si>
  <si>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</si>
  <si>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</si>
  <si>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</si>
  <si>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</si>
  <si>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</si>
  <si>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</si>
  <si>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</si>
  <si>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</si>
  <si>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</si>
  <si>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</si>
  <si>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</si>
  <si>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</si>
  <si>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</si>
  <si>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</si>
  <si>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</si>
  <si>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</si>
  <si>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</si>
  <si>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</si>
  <si>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</si>
  <si>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</si>
  <si>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</si>
  <si>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</si>
  <si>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</si>
  <si>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</si>
  <si>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</si>
  <si>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</si>
  <si>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</si>
  <si>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</si>
  <si>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</si>
  <si>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</si>
  <si>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</si>
  <si>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</si>
  <si>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</si>
  <si>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</si>
  <si>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</si>
  <si>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</si>
  <si>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</si>
  <si>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</si>
  <si>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</si>
  <si>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</si>
  <si>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</si>
  <si>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</si>
  <si>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</si>
  <si>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</si>
  <si>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</si>
  <si>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</si>
  <si>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</si>
  <si>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</si>
  <si>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</si>
  <si>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</si>
  <si>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</si>
  <si>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</si>
  <si>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</si>
  <si>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</si>
  <si>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</si>
  <si>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</si>
  <si>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</si>
  <si>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</si>
  <si>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</si>
  <si>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</si>
  <si>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</si>
  <si>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</si>
  <si>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</si>
  <si>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</si>
  <si>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</si>
  <si>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</si>
  <si>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</si>
  <si>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</si>
  <si>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</si>
  <si>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</si>
  <si>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</si>
  <si>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</si>
  <si>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</si>
  <si>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</si>
  <si>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</si>
  <si>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</si>
  <si>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</si>
  <si>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</si>
  <si>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</si>
  <si>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</si>
  <si>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</si>
  <si>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</si>
  <si>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</si>
  <si>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</si>
  <si>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</si>
  <si>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</si>
  <si>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</si>
  <si>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</si>
  <si>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</si>
  <si>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</si>
  <si>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</si>
  <si>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</si>
  <si>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</si>
  <si>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</si>
  <si>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</si>
  <si>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</si>
  <si>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</si>
  <si>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</si>
  <si>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</si>
  <si>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</si>
  <si>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</si>
  <si>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</si>
  <si>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</si>
  <si>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</si>
  <si>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</si>
  <si>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</si>
  <si>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</si>
  <si>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</si>
  <si>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</si>
  <si>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</si>
  <si>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</si>
  <si>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</si>
  <si>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</si>
  <si>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</si>
  <si>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</si>
  <si>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</si>
  <si>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</si>
  <si>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</si>
  <si>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</si>
  <si>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</si>
  <si>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</si>
  <si>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</si>
  <si>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</si>
  <si>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</si>
  <si>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</si>
  <si>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</si>
  <si>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</si>
  <si>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</si>
  <si>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</si>
  <si>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</si>
  <si>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</si>
  <si>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</si>
  <si>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</si>
  <si>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</si>
  <si>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</si>
  <si>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</si>
  <si>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</si>
  <si>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</si>
  <si>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</si>
  <si>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</si>
  <si>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</si>
  <si>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</si>
  <si>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</si>
  <si>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</si>
  <si>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</si>
  <si>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</si>
  <si>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</si>
  <si>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</si>
  <si>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</si>
  <si>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</si>
  <si>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</si>
  <si>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</si>
  <si>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</si>
  <si>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</si>
  <si>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</si>
  <si>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</si>
  <si>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</si>
  <si>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</si>
  <si>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</si>
  <si>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</si>
  <si>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</si>
  <si>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</si>
  <si>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</si>
  <si>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</si>
  <si>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</si>
  <si>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</si>
  <si>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</si>
  <si>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</si>
  <si>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</si>
  <si>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</si>
  <si>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</si>
  <si>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</si>
  <si>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</si>
  <si>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</si>
  <si>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</si>
  <si>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</si>
  <si>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</si>
  <si>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</si>
  <si>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</si>
  <si>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</si>
  <si>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</si>
  <si>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</si>
  <si>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</si>
  <si>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</si>
  <si>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</si>
  <si>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</si>
  <si>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</si>
  <si>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</si>
  <si>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</si>
  <si>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</si>
  <si>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</si>
  <si>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</si>
  <si>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</si>
  <si>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</si>
  <si>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</si>
  <si>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</si>
  <si>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</si>
  <si>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</si>
  <si>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</si>
  <si>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</si>
  <si>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</si>
  <si>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</si>
  <si>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</si>
  <si>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</si>
  <si>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</si>
  <si>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</si>
  <si>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</si>
  <si>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</si>
  <si>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</si>
  <si>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</si>
  <si>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</si>
  <si>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</si>
  <si>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</si>
  <si>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</si>
  <si>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</si>
  <si>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</si>
  <si>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</si>
  <si>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</si>
  <si>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</si>
  <si>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</si>
  <si>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</si>
  <si>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</si>
  <si>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</si>
  <si>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</si>
  <si>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</si>
  <si>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</si>
  <si>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</si>
  <si>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</si>
  <si>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</si>
  <si>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</si>
  <si>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</si>
  <si>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</si>
  <si>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</si>
  <si>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</si>
  <si>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</si>
  <si>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</si>
  <si>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</si>
  <si>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</si>
  <si>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</si>
  <si>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</si>
  <si>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</si>
  <si>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</si>
  <si>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</si>
  <si>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</si>
  <si>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</si>
  <si>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</si>
  <si>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</si>
  <si>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</si>
  <si>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</si>
  <si>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</si>
  <si>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</si>
  <si>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</si>
  <si>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</si>
  <si>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</si>
  <si>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</si>
  <si>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</si>
  <si>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</si>
  <si>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</si>
  <si>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</si>
  <si>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</si>
  <si>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</si>
  <si>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</si>
  <si>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</si>
  <si>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</si>
  <si>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</si>
  <si>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</si>
  <si>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</si>
  <si>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</si>
  <si>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</si>
  <si>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</si>
  <si>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</si>
  <si>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</si>
  <si>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</si>
  <si>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</si>
  <si>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</si>
  <si>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</si>
  <si>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</si>
  <si>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</si>
  <si>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</si>
  <si>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</si>
  <si>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</si>
  <si>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</si>
  <si>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</si>
  <si>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</si>
  <si>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</si>
  <si>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</si>
  <si>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</si>
  <si>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</si>
  <si>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</si>
  <si>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</si>
  <si>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</si>
  <si>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</si>
  <si>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</si>
  <si>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</si>
  <si>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</si>
  <si>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</si>
  <si>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</si>
  <si>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</si>
  <si>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</si>
  <si>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</si>
  <si>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</si>
  <si>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</si>
  <si>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</si>
  <si>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</si>
  <si>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</si>
  <si>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</si>
  <si>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</si>
  <si>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</si>
  <si>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</si>
  <si>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</si>
  <si>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</si>
  <si>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</si>
  <si>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</si>
  <si>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</si>
  <si>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</si>
  <si>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</si>
  <si>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</si>
  <si>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</si>
  <si>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</si>
  <si>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</si>
  <si>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</si>
  <si>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</si>
  <si>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</si>
  <si>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</si>
  <si>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</si>
  <si>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</si>
  <si>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</si>
  <si>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</si>
  <si>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</si>
  <si>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</si>
  <si>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</si>
  <si>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</si>
  <si>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</si>
  <si>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</si>
  <si>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</si>
  <si>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</si>
  <si>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</si>
  <si>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</si>
  <si>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</si>
  <si>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</si>
  <si>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</si>
  <si>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</si>
  <si>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</si>
  <si>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</si>
  <si>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</si>
  <si>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</si>
  <si>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</si>
  <si>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</si>
  <si>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</si>
  <si>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</si>
  <si>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</si>
  <si>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</si>
  <si>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</si>
  <si>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</si>
  <si>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</si>
  <si>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</si>
  <si>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</si>
  <si>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</si>
  <si>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</si>
  <si>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</si>
  <si>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</si>
  <si>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</si>
  <si>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</si>
  <si>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</si>
  <si>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</si>
  <si>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</si>
  <si>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</si>
  <si>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</si>
  <si>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</si>
  <si>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</si>
  <si>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</si>
  <si>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</si>
  <si>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</si>
  <si>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</si>
  <si>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</si>
  <si>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</si>
  <si>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</si>
  <si>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</si>
  <si>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</si>
  <si>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</si>
  <si>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</si>
  <si>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</si>
  <si>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</si>
  <si>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</si>
  <si>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</si>
  <si>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</si>
  <si>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</si>
  <si>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</si>
  <si>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</si>
  <si>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</si>
  <si>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</si>
  <si>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</si>
  <si>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</si>
  <si>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</si>
  <si>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</si>
  <si>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</si>
  <si>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</si>
  <si>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</si>
  <si>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</si>
  <si>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</si>
  <si>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</si>
  <si>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</si>
  <si>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</si>
  <si>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</si>
  <si>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</si>
  <si>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</si>
  <si>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</si>
  <si>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</si>
  <si>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</si>
  <si>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</si>
  <si>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</si>
  <si>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</si>
  <si>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</si>
  <si>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</si>
  <si>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</si>
  <si>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</si>
  <si>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</si>
  <si>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</si>
  <si>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</si>
  <si>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</si>
  <si>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</si>
  <si>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</si>
  <si>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</si>
  <si>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</si>
  <si>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</si>
  <si>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</si>
  <si>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</si>
  <si>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</si>
  <si>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</si>
  <si>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</si>
  <si>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</si>
  <si>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</si>
  <si>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</si>
  <si>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</si>
  <si>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</si>
  <si>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</si>
  <si>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</si>
  <si>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</si>
  <si>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</si>
  <si>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</si>
  <si>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</si>
  <si>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</si>
  <si>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</si>
  <si>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</si>
  <si>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</si>
  <si>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</si>
  <si>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</si>
  <si>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</si>
  <si>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</si>
  <si>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</si>
  <si>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</si>
  <si>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</si>
  <si>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</si>
  <si>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</si>
  <si>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</si>
  <si>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</si>
  <si>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</si>
  <si>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</si>
  <si>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</si>
  <si>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</si>
  <si>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</si>
  <si>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</si>
  <si>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</si>
  <si>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</si>
  <si>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</si>
  <si>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</si>
  <si>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</si>
  <si>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</si>
  <si>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</si>
  <si>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</si>
  <si>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</si>
  <si>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</si>
  <si>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</si>
  <si>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</si>
  <si>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</si>
  <si>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</si>
  <si>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</si>
  <si>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</si>
  <si>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</si>
  <si>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</si>
  <si>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</si>
  <si>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</si>
  <si>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</si>
  <si>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</si>
  <si>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</si>
  <si>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</si>
  <si>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</si>
  <si>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</si>
  <si>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</si>
  <si>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</si>
  <si>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</si>
  <si>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</si>
  <si>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</si>
  <si>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</si>
  <si>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</si>
  <si>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</si>
  <si>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</si>
  <si>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</si>
  <si>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</si>
  <si>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</si>
  <si>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</si>
  <si>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</si>
  <si>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</si>
  <si>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</si>
  <si>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</si>
  <si>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</si>
  <si>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</si>
  <si>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</si>
  <si>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</si>
  <si>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</si>
  <si>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</si>
  <si>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</si>
  <si>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</si>
  <si>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</si>
  <si>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</si>
  <si>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</si>
  <si>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</si>
  <si>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</si>
  <si>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</si>
  <si>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</si>
  <si>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</si>
  <si>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</si>
  <si>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</si>
  <si>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</si>
  <si>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</si>
  <si>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</si>
  <si>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</si>
  <si>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</si>
  <si>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</si>
  <si>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</si>
  <si>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</si>
  <si>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</si>
  <si>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</si>
  <si>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</si>
  <si>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</si>
  <si>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</si>
  <si>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</si>
  <si>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</si>
  <si>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</si>
  <si>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</si>
  <si>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</si>
  <si>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</si>
  <si>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</si>
  <si>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</si>
  <si>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</si>
  <si>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</si>
  <si>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</si>
  <si>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</si>
  <si>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</si>
  <si>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</si>
  <si>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</si>
  <si>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</si>
  <si>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</si>
  <si>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</si>
  <si>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</si>
  <si>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</si>
  <si>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</si>
  <si>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</si>
  <si>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</si>
  <si>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</si>
  <si>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</si>
  <si>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</si>
  <si>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</si>
  <si>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</si>
  <si>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</si>
  <si>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</si>
  <si>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</si>
  <si>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</si>
  <si>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</si>
  <si>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</si>
  <si>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</si>
  <si>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</si>
  <si>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</si>
  <si>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</si>
  <si>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</si>
  <si>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</si>
  <si>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</si>
  <si>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</si>
  <si>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</si>
  <si>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</si>
  <si>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</si>
  <si>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</si>
  <si>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</si>
  <si>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</si>
  <si>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</si>
  <si>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</si>
  <si>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</si>
  <si>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</si>
  <si>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</si>
  <si>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</si>
  <si>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</si>
  <si>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</si>
  <si>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</si>
  <si>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</si>
  <si>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</si>
  <si>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</si>
  <si>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</si>
  <si>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</si>
  <si>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</si>
  <si>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</si>
  <si>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</si>
  <si>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</si>
  <si>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</si>
  <si>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</si>
  <si>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</si>
  <si>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</si>
  <si>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</si>
  <si>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</si>
  <si>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</si>
  <si>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</si>
  <si>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</si>
  <si>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</si>
  <si>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</si>
  <si>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</si>
  <si>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</si>
  <si>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</si>
  <si>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</si>
  <si>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</si>
  <si>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</si>
  <si>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</si>
  <si>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</si>
  <si>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</si>
  <si>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</si>
  <si>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</si>
  <si>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</si>
  <si>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</si>
  <si>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</si>
  <si>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</si>
  <si>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</si>
  <si>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</si>
  <si>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</si>
  <si>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</si>
  <si>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</si>
  <si>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</si>
  <si>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</si>
  <si>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</si>
  <si>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</si>
  <si>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</si>
  <si>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</si>
  <si>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</si>
  <si>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</si>
  <si>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</si>
  <si>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</si>
  <si>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</si>
  <si>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</si>
  <si>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</si>
  <si>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</si>
  <si>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</si>
  <si>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</si>
  <si>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</si>
  <si>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</si>
  <si>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</si>
  <si>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</si>
  <si>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</si>
  <si>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</si>
  <si>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</si>
  <si>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</si>
  <si>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</si>
  <si>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</si>
  <si>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</si>
  <si>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</si>
  <si>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</si>
  <si>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</si>
  <si>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</si>
  <si>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</si>
  <si>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</si>
  <si>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</si>
  <si>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</si>
  <si>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</si>
  <si>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</si>
  <si>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</si>
  <si>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</si>
  <si>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</si>
  <si>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</si>
  <si>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</si>
  <si>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</si>
  <si>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</si>
  <si>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</si>
  <si>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</si>
  <si>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</si>
  <si>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</si>
  <si>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</si>
  <si>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</si>
  <si>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</si>
  <si>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</si>
  <si>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</si>
  <si>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</si>
  <si>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</si>
  <si>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</si>
  <si>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</si>
  <si>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</si>
  <si>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</si>
  <si>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</si>
  <si>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</si>
  <si>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</si>
  <si>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</si>
  <si>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</si>
  <si>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</si>
  <si>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</si>
  <si>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</si>
  <si>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</si>
  <si>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</si>
  <si>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</si>
  <si>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</si>
  <si>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</si>
  <si>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</si>
  <si>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</si>
  <si>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</si>
  <si>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</si>
  <si>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</si>
  <si>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</si>
  <si>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</si>
  <si>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</si>
  <si>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</si>
  <si>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</si>
  <si>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</si>
  <si>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</si>
  <si>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</si>
  <si>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</si>
  <si>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</si>
  <si>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</si>
  <si>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</si>
  <si>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</si>
  <si>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</si>
  <si>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</si>
  <si>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</si>
  <si>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</si>
  <si>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</si>
  <si>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</si>
  <si>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</si>
  <si>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</si>
  <si>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</si>
  <si>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</si>
  <si>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</si>
  <si>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</si>
  <si>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</si>
  <si>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</si>
  <si>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</si>
  <si>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</si>
  <si>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</si>
  <si>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</si>
  <si>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</si>
  <si>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</si>
  <si>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</si>
  <si>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</si>
  <si>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</si>
  <si>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</si>
  <si>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</si>
  <si>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</si>
  <si>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</si>
  <si>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</si>
  <si>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</si>
  <si>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</si>
  <si>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</si>
  <si>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</si>
  <si>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</si>
  <si>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</si>
  <si>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</si>
  <si>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</si>
  <si>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</si>
  <si>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</si>
  <si>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</si>
  <si>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</si>
  <si>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</si>
  <si>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</si>
  <si>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</si>
  <si>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</si>
  <si>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</si>
  <si>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</si>
  <si>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</si>
  <si>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</si>
  <si>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</si>
  <si>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</si>
  <si>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</si>
  <si>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</si>
  <si>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</si>
  <si>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</si>
  <si>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</si>
  <si>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</si>
  <si>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</si>
  <si>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</si>
  <si>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</si>
  <si>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</si>
  <si>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</si>
  <si>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</si>
  <si>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</si>
  <si>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</si>
  <si>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</si>
  <si>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</si>
  <si>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</si>
  <si>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</si>
  <si>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</si>
  <si>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</si>
  <si>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</si>
  <si>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</si>
  <si>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</si>
  <si>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</si>
  <si>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</si>
  <si>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</si>
  <si>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</si>
  <si>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</si>
  <si>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</si>
  <si>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</si>
  <si>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</si>
  <si>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</si>
  <si>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</si>
  <si>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</si>
  <si>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</si>
  <si>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</si>
  <si>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</si>
  <si>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</si>
  <si>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</si>
  <si>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</si>
  <si>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</si>
  <si>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</si>
  <si>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</si>
  <si>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</si>
  <si>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</si>
  <si>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</si>
  <si>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</si>
  <si>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</si>
  <si>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</si>
  <si>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</si>
  <si>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</si>
  <si>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</si>
  <si>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</si>
  <si>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</si>
  <si>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</si>
  <si>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</si>
  <si>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</si>
  <si>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</si>
  <si>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</si>
  <si>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</si>
  <si>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</si>
  <si>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</si>
  <si>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</si>
  <si>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</si>
  <si>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</si>
  <si>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</si>
  <si>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</si>
  <si>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</si>
  <si>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</si>
  <si>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</si>
  <si>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</si>
  <si>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</si>
  <si>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</si>
  <si>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</si>
  <si>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</si>
  <si>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</si>
  <si>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</si>
  <si>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</si>
  <si>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</si>
  <si>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</si>
  <si>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</si>
  <si>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</si>
  <si>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</si>
  <si>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</si>
  <si>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</si>
  <si>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</si>
  <si>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</si>
  <si>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</si>
  <si>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</si>
  <si>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</si>
  <si>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</si>
  <si>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</si>
  <si>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</si>
  <si>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</si>
  <si>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</si>
  <si>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</si>
  <si>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</si>
  <si>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</si>
  <si>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</si>
  <si>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</si>
  <si>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</si>
  <si>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</si>
  <si>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</si>
  <si>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</si>
  <si>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</si>
  <si>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</si>
  <si>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</si>
  <si>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</si>
  <si>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</si>
  <si>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</si>
  <si>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</si>
  <si>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</si>
  <si>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</si>
  <si>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</si>
  <si>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</si>
  <si>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</si>
  <si>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</si>
  <si>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</si>
  <si>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</si>
  <si>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</si>
  <si>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</si>
  <si>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</si>
  <si>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</si>
  <si>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</si>
  <si>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</si>
  <si>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</si>
  <si>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</si>
  <si>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</si>
  <si>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</si>
  <si>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</si>
  <si>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</si>
  <si>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</si>
  <si>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</si>
  <si>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</si>
  <si>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</si>
  <si>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</si>
  <si>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</si>
  <si>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</si>
  <si>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</si>
  <si>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</si>
  <si>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</si>
  <si>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</si>
  <si>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</si>
  <si>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</si>
  <si>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</si>
  <si>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</si>
  <si>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</si>
  <si>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</si>
  <si>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</si>
  <si>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</si>
  <si>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</si>
  <si>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</si>
  <si>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</si>
  <si>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</si>
  <si>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</si>
  <si>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</si>
  <si>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</si>
  <si>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</si>
  <si>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</si>
  <si>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</si>
  <si>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</si>
  <si>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</si>
  <si>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</si>
  <si>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</si>
  <si>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</si>
  <si>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</si>
  <si>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</si>
  <si>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</si>
  <si>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</si>
  <si>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</si>
  <si>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</si>
  <si>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</si>
  <si>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</si>
  <si>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</si>
  <si>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</si>
  <si>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</si>
  <si>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</si>
  <si>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</si>
  <si>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</si>
  <si>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</si>
  <si>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</si>
  <si>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</si>
  <si>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</si>
  <si>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</si>
  <si>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</si>
  <si>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</si>
  <si>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</si>
  <si>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</si>
  <si>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</si>
  <si>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</si>
  <si>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</si>
  <si>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</si>
  <si>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</si>
  <si>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</si>
  <si>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</si>
  <si>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</si>
  <si>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</si>
  <si>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</si>
  <si>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</si>
  <si>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</si>
  <si>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</si>
  <si>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</si>
  <si>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</si>
  <si>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</si>
  <si>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</si>
  <si>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</si>
  <si>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</si>
  <si>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</si>
  <si>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</si>
  <si>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</si>
  <si>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</si>
  <si>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</si>
  <si>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</si>
  <si>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</si>
  <si>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</si>
  <si>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</si>
  <si>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</si>
  <si>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</si>
  <si>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</si>
  <si>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</si>
  <si>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</si>
  <si>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</si>
  <si>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</si>
  <si>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</si>
  <si>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</si>
  <si>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</si>
  <si>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</si>
  <si>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</si>
  <si>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</si>
  <si>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</si>
  <si>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</si>
  <si>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</si>
  <si>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</si>
  <si>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</si>
  <si>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</si>
  <si>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</si>
  <si>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</si>
  <si>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</si>
  <si>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</si>
  <si>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</si>
  <si>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</si>
  <si>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</si>
  <si>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</si>
  <si>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</si>
  <si>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</si>
  <si>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</si>
  <si>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</si>
  <si>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</si>
  <si>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</si>
  <si>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</si>
  <si>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</si>
  <si>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</si>
  <si>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</si>
  <si>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</si>
  <si>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</si>
  <si>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</si>
  <si>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</si>
  <si>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</si>
  <si>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</si>
  <si>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</si>
  <si>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</si>
  <si>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</si>
  <si>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</si>
  <si>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</si>
  <si>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</si>
  <si>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</si>
  <si>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</si>
  <si>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</si>
  <si>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</si>
  <si>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</si>
  <si>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</si>
  <si>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</si>
  <si>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</si>
  <si>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</si>
  <si>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</si>
  <si>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</si>
  <si>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</si>
  <si>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</si>
  <si>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</si>
  <si>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</si>
  <si>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</si>
  <si>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</si>
  <si>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</si>
  <si>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</si>
  <si>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</si>
  <si>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</si>
  <si>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</si>
  <si>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</si>
  <si>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</si>
  <si>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</si>
  <si>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</si>
  <si>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</si>
  <si>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</si>
  <si>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</si>
  <si>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</si>
  <si>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</si>
  <si>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</si>
  <si>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</si>
  <si>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</si>
  <si>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</si>
  <si>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</si>
  <si>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</si>
  <si>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</si>
  <si>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</si>
  <si>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</si>
  <si>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</si>
  <si>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</si>
  <si>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</si>
  <si>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</si>
  <si>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</si>
  <si>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</si>
  <si>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</si>
  <si>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</si>
  <si>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</si>
  <si>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</si>
  <si>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</si>
  <si>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</si>
  <si>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</si>
  <si>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</si>
  <si>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</si>
  <si>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</si>
  <si>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</si>
  <si>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</si>
  <si>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</si>
  <si>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</si>
  <si>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</si>
  <si>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</si>
  <si>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</si>
  <si>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</si>
  <si>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</si>
  <si>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</si>
  <si>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</si>
  <si>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</si>
  <si>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</si>
  <si>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</si>
  <si>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</si>
  <si>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</si>
  <si>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</si>
  <si>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</si>
  <si>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</si>
  <si>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</si>
  <si>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</si>
  <si>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</si>
  <si>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</si>
  <si>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</si>
  <si>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</si>
  <si>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</si>
  <si>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</si>
  <si>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</si>
  <si>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2"/>
  </si>
  <si>
    <t>残り（検討中＋外部待ち）</t>
    <phoneticPr fontId="2"/>
  </si>
  <si>
    <t>内容</t>
    <phoneticPr fontId="2"/>
  </si>
  <si>
    <t>②詳細設計</t>
  </si>
  <si>
    <t>③構築</t>
  </si>
  <si>
    <t>区分</t>
    <phoneticPr fontId="2"/>
  </si>
  <si>
    <t>状態</t>
    <phoneticPr fontId="2"/>
  </si>
  <si>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</si>
  <si>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</si>
  <si>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</si>
  <si>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</si>
  <si>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</si>
  <si>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</si>
  <si>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</si>
  <si>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</si>
  <si>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</si>
  <si>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</si>
  <si>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</si>
  <si>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</si>
  <si>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</si>
  <si>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</si>
  <si>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</si>
  <si>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</si>
  <si>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</si>
  <si>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</si>
  <si>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</si>
  <si>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</si>
  <si>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</si>
  <si>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</si>
  <si>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</si>
  <si>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</si>
  <si>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</si>
  <si>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</si>
  <si>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</si>
  <si>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</si>
  <si>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</si>
  <si>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</si>
  <si>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</si>
  <si>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</si>
  <si>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</si>
  <si>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</si>
  <si>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</si>
  <si>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</si>
  <si>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</si>
  <si>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</si>
  <si>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</si>
  <si>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</si>
  <si>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</si>
  <si>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</si>
  <si>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</si>
  <si>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</si>
  <si>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</si>
  <si>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</si>
  <si>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</si>
  <si>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</si>
  <si>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</si>
  <si>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</si>
  <si>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</si>
  <si>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</si>
  <si>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</si>
  <si>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</si>
  <si>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</si>
  <si>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</si>
  <si>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</si>
  <si>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</si>
  <si>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</si>
  <si>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</si>
  <si>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</si>
  <si>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</si>
  <si>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</si>
  <si>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</si>
  <si>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</si>
  <si>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</si>
  <si>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</si>
  <si>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</si>
  <si>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</si>
  <si>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</si>
  <si>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</si>
  <si>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</si>
  <si>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</si>
  <si>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</si>
  <si>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</si>
  <si>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</si>
  <si>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</si>
  <si>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</si>
  <si>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</si>
  <si>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</si>
  <si>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</si>
  <si>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</si>
  <si>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</si>
  <si>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</si>
  <si>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</si>
  <si>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</si>
  <si>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</si>
  <si>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</si>
  <si>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</si>
  <si>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</si>
  <si>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</si>
  <si>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</si>
  <si>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</si>
  <si>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</si>
  <si>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</si>
  <si>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</si>
  <si>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</si>
  <si>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</si>
  <si>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</si>
  <si>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</si>
  <si>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</si>
  <si>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</si>
  <si>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</si>
  <si>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</si>
  <si>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</si>
  <si>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</si>
  <si>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</si>
  <si>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</si>
  <si>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</si>
  <si>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</si>
  <si>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</si>
  <si>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</si>
  <si>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</si>
  <si>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</si>
  <si>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</si>
  <si>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</si>
  <si>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</si>
  <si>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</si>
  <si>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</si>
  <si>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</si>
  <si>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</si>
  <si>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</si>
  <si>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</si>
  <si>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</si>
  <si>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</si>
  <si>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</si>
  <si>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</si>
  <si>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</si>
  <si>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</si>
  <si>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</si>
  <si>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</si>
  <si>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</si>
  <si>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</si>
  <si>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</si>
  <si>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</si>
  <si>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</si>
  <si>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</si>
  <si>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</si>
  <si>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</si>
  <si>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</si>
  <si>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</si>
  <si>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</si>
  <si>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</si>
  <si>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</si>
  <si>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</si>
  <si>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</si>
  <si>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</si>
  <si>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</si>
  <si>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</si>
  <si>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</si>
  <si>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</si>
  <si>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</si>
  <si>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</si>
  <si>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</si>
  <si>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</si>
  <si>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</si>
  <si>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</si>
  <si>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</si>
  <si>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</si>
  <si>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</si>
  <si>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</si>
  <si>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</si>
  <si>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</si>
  <si>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</si>
  <si>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</si>
  <si>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</si>
  <si>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</si>
  <si>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</si>
  <si>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</si>
  <si>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</si>
  <si>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</si>
  <si>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</si>
  <si>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</si>
  <si>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</si>
  <si>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</si>
  <si>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</si>
  <si>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</si>
  <si>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</si>
  <si>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</si>
  <si>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</si>
  <si>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</si>
  <si>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</si>
  <si>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</si>
  <si>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</si>
  <si>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</si>
  <si>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</si>
  <si>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</si>
  <si>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</si>
  <si>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</si>
  <si>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</si>
  <si>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</si>
  <si>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</si>
  <si>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</si>
  <si>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</si>
  <si>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</si>
  <si>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</si>
  <si>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</si>
  <si>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</si>
  <si>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</si>
  <si>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</si>
  <si>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</si>
  <si>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</si>
  <si>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</si>
  <si>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</si>
  <si>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</si>
  <si>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</si>
  <si>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</si>
  <si>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</si>
  <si>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</si>
  <si>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</si>
  <si>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</si>
  <si>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</si>
  <si>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</si>
  <si>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</si>
  <si>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</si>
  <si>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</si>
  <si>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</si>
  <si>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</si>
  <si>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</si>
  <si>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</si>
  <si>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</si>
  <si>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</si>
  <si>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</si>
  <si>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</si>
  <si>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</si>
  <si>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</si>
  <si>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</si>
  <si>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</si>
  <si>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</si>
  <si>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</si>
  <si>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</si>
  <si>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</si>
  <si>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</si>
  <si>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</si>
  <si>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</si>
  <si>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</si>
  <si>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</si>
  <si>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</si>
  <si>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</si>
  <si>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</si>
  <si>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</si>
  <si>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</si>
  <si>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</si>
  <si>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</si>
  <si>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</si>
  <si>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</si>
  <si>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</si>
  <si>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</si>
  <si>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</si>
  <si>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</si>
  <si>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</si>
  <si>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</si>
  <si>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</si>
  <si>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</si>
  <si>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</si>
  <si>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</si>
  <si>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</si>
  <si>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</si>
  <si>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</si>
  <si>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</si>
  <si>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</si>
  <si>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</si>
  <si>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</si>
  <si>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</si>
  <si>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</si>
  <si>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</si>
  <si>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</si>
  <si>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</si>
  <si>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</si>
  <si>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</si>
  <si>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</si>
  <si>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</si>
  <si>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</si>
  <si>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</si>
  <si>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</si>
  <si>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</si>
  <si>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</si>
  <si>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</si>
  <si>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</si>
  <si>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</si>
  <si>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</si>
  <si>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</si>
  <si>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</si>
  <si>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</si>
  <si>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</si>
  <si>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</si>
  <si>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</si>
  <si>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</si>
  <si>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</si>
  <si>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</si>
  <si>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</si>
  <si>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</si>
  <si>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</si>
  <si>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</si>
  <si>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</si>
  <si>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</si>
  <si>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</si>
  <si>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</si>
  <si>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</si>
  <si>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</si>
  <si>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</si>
  <si>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</si>
  <si>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</si>
  <si>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</si>
  <si>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</si>
  <si>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</si>
  <si>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</si>
  <si>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</si>
  <si>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</si>
  <si>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クラスタ</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</si>
  <si>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</si>
  <si>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</si>
  <si>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</si>
  <si>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</si>
  <si>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</si>
  <si>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</si>
  <si>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</si>
  <si>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</si>
  <si>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</si>
  <si>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</si>
  <si>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</si>
  <si>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</si>
  <si>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</si>
  <si>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</si>
  <si>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</si>
  <si>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</si>
  <si>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</si>
  <si>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</si>
  <si>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</si>
  <si>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</si>
  <si>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</si>
  <si>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</si>
  <si>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</si>
  <si>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</si>
  <si>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</si>
  <si>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</si>
  <si>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</si>
  <si>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</si>
  <si>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</si>
  <si>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</si>
  <si>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</si>
  <si>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</si>
  <si>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</si>
  <si>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</si>
  <si>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</si>
  <si>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</si>
  <si>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</si>
  <si>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</si>
  <si>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</si>
  <si>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</si>
  <si>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</si>
  <si>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</si>
  <si>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</si>
  <si>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</si>
  <si>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</si>
  <si>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</si>
  <si>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</si>
  <si>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</si>
  <si>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</si>
  <si>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</si>
  <si>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</si>
  <si>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</si>
  <si>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</si>
  <si>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</si>
  <si>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</si>
  <si>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</si>
  <si>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</si>
  <si>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</si>
  <si>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</si>
  <si>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</si>
  <si>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</si>
  <si>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</si>
  <si>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</si>
  <si>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</si>
  <si>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</si>
  <si>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</si>
  <si>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</si>
  <si>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</si>
  <si>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</si>
  <si>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</si>
  <si>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</si>
  <si>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</si>
  <si>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</si>
  <si>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</si>
  <si>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</si>
  <si>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</si>
  <si>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</si>
  <si>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</si>
  <si>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</si>
  <si>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</si>
  <si>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</si>
  <si>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</si>
  <si>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</si>
  <si>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</si>
  <si>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</si>
  <si>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</si>
  <si>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</si>
  <si>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</si>
  <si>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</si>
  <si>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</si>
  <si>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</si>
  <si>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</si>
  <si>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</si>
  <si>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</si>
  <si>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</si>
  <si>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</si>
  <si>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</si>
  <si>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</si>
  <si>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</si>
  <si>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</si>
  <si>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</si>
  <si>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</si>
  <si>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</si>
  <si>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</si>
  <si>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</si>
  <si>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</si>
  <si>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</si>
  <si>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</si>
  <si>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</si>
  <si>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</si>
  <si>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</si>
  <si>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</si>
  <si>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</si>
  <si>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</si>
  <si>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</si>
  <si>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</si>
  <si>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</si>
  <si>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</si>
  <si>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</si>
  <si>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</si>
  <si>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</si>
  <si>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</si>
  <si>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</si>
  <si>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</si>
  <si>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</si>
  <si>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</si>
  <si>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</si>
  <si>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</si>
  <si>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</si>
  <si>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</si>
  <si>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</si>
  <si>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</si>
  <si>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</si>
  <si>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</si>
  <si>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</si>
  <si>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</si>
  <si>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</si>
  <si>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</si>
  <si>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</si>
  <si>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</si>
  <si>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</si>
  <si>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</si>
  <si>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</si>
  <si>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</si>
  <si>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</si>
  <si>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</si>
  <si>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</si>
  <si>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</si>
  <si>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</si>
  <si>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</si>
  <si>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</si>
  <si>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</si>
  <si>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</si>
  <si>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</si>
  <si>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</si>
  <si>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</si>
  <si>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</si>
  <si>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</si>
  <si>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</si>
  <si>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</si>
  <si>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</si>
  <si>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</si>
  <si>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</si>
  <si>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</si>
  <si>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</si>
  <si>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</si>
  <si>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</si>
  <si>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</si>
  <si>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</si>
  <si>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</si>
  <si>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</si>
  <si>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</si>
  <si>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</si>
  <si>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</si>
  <si>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</si>
  <si>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</si>
  <si>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</si>
  <si>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</si>
  <si>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</si>
  <si>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</si>
  <si>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</si>
  <si>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</si>
  <si>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</si>
  <si>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</si>
  <si>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</si>
  <si>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</si>
  <si>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</si>
  <si>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</si>
  <si>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</si>
  <si>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</si>
  <si>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</si>
  <si>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</si>
  <si>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</si>
  <si>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</si>
  <si>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</si>
  <si>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</si>
  <si>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</si>
  <si>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</si>
  <si>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</si>
  <si>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</si>
  <si>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</si>
  <si>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</si>
  <si>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</si>
  <si>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</si>
  <si>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</si>
  <si>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</si>
  <si>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</si>
  <si>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</si>
  <si>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</si>
  <si>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</si>
  <si>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</si>
  <si>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</si>
  <si>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</si>
  <si>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</si>
  <si>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</si>
  <si>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</si>
  <si>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</si>
  <si>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</si>
  <si>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</si>
  <si>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</si>
  <si>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</si>
  <si>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</si>
  <si>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</si>
  <si>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</si>
  <si>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</si>
  <si>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</si>
  <si>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</si>
  <si>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</si>
  <si>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</si>
  <si>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</si>
  <si>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</si>
  <si>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</si>
  <si>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</si>
  <si>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</si>
  <si>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</si>
  <si>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</si>
  <si>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</si>
  <si>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</si>
  <si>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</si>
  <si>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</si>
  <si>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</si>
  <si>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</si>
  <si>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</si>
  <si>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</si>
  <si>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</si>
  <si>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</si>
  <si>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</si>
  <si>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</si>
  <si>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</si>
  <si>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</si>
  <si>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</si>
  <si>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</si>
  <si>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</si>
  <si>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</si>
  <si>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</si>
  <si>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</si>
  <si>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</si>
  <si>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</si>
  <si>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</si>
  <si>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</si>
  <si>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</si>
  <si>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</si>
  <si>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</si>
  <si>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</si>
  <si>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</si>
  <si>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</si>
  <si>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</si>
  <si>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</si>
  <si>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</si>
  <si>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</si>
  <si>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</si>
  <si>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</si>
  <si>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</si>
  <si>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</si>
  <si>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</si>
  <si>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</si>
  <si>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</si>
  <si>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</si>
  <si>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</si>
  <si>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</si>
  <si>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</si>
  <si>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</si>
  <si>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</si>
  <si>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</si>
  <si>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</si>
  <si>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</si>
  <si>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</si>
  <si>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</si>
  <si>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</si>
  <si>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</si>
  <si>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</si>
  <si>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</si>
  <si>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</si>
  <si>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</si>
  <si>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</si>
  <si>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</si>
  <si>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</si>
  <si>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</si>
  <si>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</si>
  <si>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</si>
  <si>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</si>
  <si>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</si>
  <si>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</si>
  <si>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</si>
  <si>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</si>
  <si>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</si>
  <si>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</si>
  <si>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</si>
  <si>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</si>
  <si>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</si>
  <si>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</si>
  <si>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</si>
  <si>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</si>
  <si>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</si>
  <si>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</si>
  <si>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</si>
  <si>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</si>
  <si>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</si>
  <si>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</si>
  <si>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</si>
  <si>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</si>
  <si>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</si>
  <si>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</si>
  <si>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</si>
  <si>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</si>
  <si>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</si>
  <si>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</si>
  <si>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</si>
  <si>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</si>
  <si>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</si>
  <si>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</si>
  <si>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</si>
  <si>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</si>
  <si>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</si>
  <si>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</si>
  <si>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</si>
  <si>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</si>
  <si>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</si>
  <si>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</si>
  <si>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</si>
  <si>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</si>
  <si>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</si>
  <si>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</si>
  <si>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</si>
  <si>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</si>
  <si>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</si>
  <si>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</si>
  <si>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</si>
  <si>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</si>
  <si>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</si>
  <si>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</si>
  <si>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</si>
  <si>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</si>
  <si>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</si>
  <si>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</si>
  <si>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</si>
  <si>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</si>
  <si>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</si>
  <si>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</si>
  <si>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</si>
  <si>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</si>
  <si>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</si>
  <si>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</si>
  <si>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</si>
  <si>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</si>
  <si>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</si>
  <si>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</si>
  <si>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</si>
  <si>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</si>
  <si>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</si>
  <si>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</si>
  <si>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</si>
  <si>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</si>
  <si>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</si>
  <si>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</si>
  <si>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</si>
  <si>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</si>
  <si>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</si>
  <si>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</si>
  <si>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</si>
  <si>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</si>
  <si>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</si>
  <si>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</si>
  <si>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</si>
  <si>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</si>
  <si>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</si>
  <si>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</si>
  <si>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</si>
  <si>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</si>
  <si>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</si>
  <si>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</si>
  <si>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</si>
  <si>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</si>
  <si>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</si>
  <si>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</si>
  <si>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</si>
  <si>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</si>
  <si>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</si>
  <si>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</si>
  <si>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</si>
  <si>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</si>
  <si>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</si>
  <si>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</si>
  <si>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</si>
  <si>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</si>
  <si>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</si>
  <si>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</si>
  <si>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</si>
  <si>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</si>
  <si>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</si>
  <si>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</si>
  <si>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</si>
  <si>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</si>
  <si>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</si>
  <si>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</si>
  <si>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</si>
  <si>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</si>
  <si>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</si>
  <si>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</si>
  <si>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</si>
  <si>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</si>
  <si>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</si>
  <si>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</si>
  <si>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</si>
  <si>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</si>
  <si>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</si>
  <si>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</si>
  <si>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</si>
  <si>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</si>
  <si>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</si>
  <si>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</si>
  <si>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</si>
  <si>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</si>
  <si>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</si>
  <si>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</si>
  <si>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</si>
  <si>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</si>
  <si>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</si>
  <si>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</si>
  <si>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</si>
  <si>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</si>
  <si>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</si>
  <si>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</si>
  <si>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</si>
  <si>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</si>
  <si>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</si>
  <si>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</si>
  <si>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</si>
  <si>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</si>
  <si>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</si>
  <si>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</si>
  <si>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</si>
  <si>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</si>
  <si>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</si>
  <si>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</si>
  <si>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</si>
  <si>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</si>
  <si>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</si>
  <si>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</si>
  <si>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</si>
  <si>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</si>
  <si>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</si>
  <si>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</si>
  <si>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</si>
  <si>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</si>
  <si>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</si>
  <si>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</si>
  <si>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</si>
  <si>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</si>
  <si>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</si>
  <si>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</si>
  <si>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</si>
  <si>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</si>
  <si>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</si>
  <si>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</si>
  <si>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</si>
  <si>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</si>
  <si>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</si>
  <si>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</si>
  <si>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</si>
  <si>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</si>
  <si>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</si>
  <si>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</si>
  <si>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</si>
  <si>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</si>
  <si>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</si>
  <si>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</si>
  <si>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</si>
  <si>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</si>
  <si>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</si>
  <si>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</si>
  <si>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</si>
  <si>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</si>
  <si>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</si>
  <si>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</si>
  <si>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</si>
  <si>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</si>
  <si>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</si>
  <si>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</si>
  <si>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</si>
  <si>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</si>
  <si>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</si>
  <si>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</si>
  <si>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</si>
  <si>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</si>
  <si>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</si>
  <si>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</si>
  <si>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</si>
  <si>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</si>
  <si>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</si>
  <si>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</si>
  <si>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</si>
  <si>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</si>
  <si>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</si>
  <si>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</si>
  <si>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</si>
  <si>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</si>
  <si>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</si>
  <si>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</si>
  <si>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</si>
  <si>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</si>
  <si>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</si>
  <si>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</si>
  <si>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</si>
  <si>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</si>
  <si>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</si>
  <si>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</si>
  <si>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</si>
  <si>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</si>
  <si>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</si>
  <si>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</si>
  <si>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</si>
  <si>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</si>
  <si>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</si>
  <si>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</si>
  <si>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</si>
  <si>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</si>
  <si>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</si>
  <si>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</si>
  <si>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</si>
  <si>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</si>
  <si>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</si>
  <si>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</si>
  <si>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</si>
  <si>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</si>
  <si>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</si>
  <si>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</si>
  <si>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</si>
  <si>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</si>
  <si>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</si>
  <si>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</si>
  <si>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</si>
  <si>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</si>
  <si>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</si>
  <si>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</si>
  <si>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</si>
  <si>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</si>
  <si>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</si>
  <si>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</si>
  <si>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</si>
  <si>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</si>
  <si>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</si>
  <si>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</si>
  <si>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</si>
  <si>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</si>
  <si>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</si>
  <si>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</si>
  <si>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</si>
  <si>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</si>
  <si>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</si>
  <si>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</si>
  <si>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</si>
  <si>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</si>
  <si>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</si>
  <si>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</si>
  <si>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</si>
  <si>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</si>
  <si>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</si>
  <si>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</si>
  <si>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</si>
  <si>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</si>
  <si>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</si>
  <si>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</si>
  <si>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</si>
  <si>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</si>
  <si>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</si>
  <si>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</si>
  <si>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</si>
  <si>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</si>
  <si>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</si>
  <si>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</si>
  <si>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</si>
  <si>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</si>
  <si>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</si>
  <si>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</si>
  <si>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</si>
  <si>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</si>
  <si>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</si>
  <si>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</si>
  <si>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</si>
  <si>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</si>
  <si>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</si>
  <si>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</si>
  <si>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</si>
  <si>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</si>
  <si>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</si>
  <si>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</si>
  <si>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</si>
  <si>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</si>
  <si>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</si>
  <si>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</si>
  <si>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</si>
  <si>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</si>
  <si>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</si>
  <si>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</si>
  <si>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</si>
  <si>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</si>
  <si>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</si>
  <si>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</si>
  <si>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</si>
  <si>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</si>
  <si>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</si>
  <si>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</si>
  <si>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</si>
  <si>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</si>
  <si>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</si>
  <si>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</si>
  <si>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</si>
  <si>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</si>
  <si>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</si>
  <si>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</si>
  <si>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</si>
  <si>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</si>
  <si>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</si>
  <si>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</si>
  <si>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</si>
  <si>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</si>
  <si>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</si>
  <si>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</si>
  <si>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</si>
  <si>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</si>
  <si>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</si>
  <si>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</si>
  <si>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</si>
  <si>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</si>
  <si>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</si>
  <si>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</si>
  <si>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</si>
  <si>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</si>
  <si>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</si>
  <si>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</si>
  <si>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</si>
  <si>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</si>
  <si>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</si>
  <si>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</si>
  <si>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</si>
  <si>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</si>
  <si>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</si>
  <si>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</si>
  <si>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</si>
  <si>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</si>
  <si>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</si>
  <si>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</si>
  <si>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</si>
  <si>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</si>
  <si>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</si>
  <si>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</si>
  <si>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</si>
  <si>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</si>
  <si>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</si>
  <si>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</si>
  <si>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</si>
  <si>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</si>
  <si>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</si>
  <si>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</si>
  <si>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</si>
  <si>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</si>
  <si>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</si>
  <si>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</si>
  <si>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</si>
  <si>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</si>
  <si>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</si>
  <si>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</si>
  <si>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</si>
  <si>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</si>
  <si>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</si>
  <si>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</si>
  <si>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</si>
  <si>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</si>
  <si>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</si>
  <si>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</si>
  <si>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</si>
  <si>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</si>
  <si>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</si>
  <si>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</si>
  <si>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</si>
  <si>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</si>
  <si>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</si>
  <si>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</si>
  <si>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</si>
  <si>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</si>
  <si>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</si>
  <si>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</si>
  <si>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</si>
  <si>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</si>
  <si>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</si>
  <si>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</si>
  <si>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</si>
  <si>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</si>
  <si>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</si>
  <si>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</si>
  <si>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</si>
  <si>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</si>
  <si>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</si>
  <si>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</si>
  <si>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A-4</t>
    <phoneticPr fontId="2"/>
  </si>
  <si>
    <t>A-2</t>
    <phoneticPr fontId="2"/>
  </si>
  <si>
    <t>セッション管理</t>
    <phoneticPr fontId="2"/>
  </si>
  <si>
    <t>基本設計</t>
    <phoneticPr fontId="2"/>
  </si>
  <si>
    <t>前提</t>
    <phoneticPr fontId="2"/>
  </si>
  <si>
    <t>基盤・ネットワーク</t>
    <phoneticPr fontId="2"/>
  </si>
  <si>
    <t>検証ゲート</t>
    <phoneticPr fontId="2"/>
  </si>
  <si>
    <t>A. PoC・技術ゲート実測</t>
    <phoneticPr fontId="2"/>
  </si>
  <si>
    <t>D. 未確定設計の合同確定</t>
    <phoneticPr fontId="2"/>
  </si>
  <si>
    <t>D-7</t>
    <phoneticPr fontId="2"/>
  </si>
  <si>
    <t>D-12</t>
    <phoneticPr fontId="2"/>
  </si>
  <si>
    <t>ロックアウト×Brokerリスクスコア整合</t>
    <phoneticPr fontId="2"/>
  </si>
  <si>
    <t>D-13</t>
    <phoneticPr fontId="2"/>
  </si>
  <si>
    <t>ATPフォームフィールド添付 + HRD文言最終稿</t>
    <phoneticPr fontId="2"/>
  </si>
  <si>
    <t>D-14</t>
    <phoneticPr fontId="2"/>
  </si>
  <si>
    <t>E. 新規検討領域</t>
    <phoneticPr fontId="2"/>
  </si>
  <si>
    <t>E-8</t>
    <phoneticPr fontId="2"/>
  </si>
  <si>
    <t>F. ヒアリング・契約・法務</t>
    <phoneticPr fontId="2"/>
  </si>
  <si>
    <t>F-4</t>
    <phoneticPr fontId="2"/>
  </si>
  <si>
    <t>E-3</t>
    <phoneticPr fontId="2"/>
  </si>
  <si>
    <t>A-1</t>
    <phoneticPr fontId="2"/>
  </si>
  <si>
    <t>G-LDAP（B-SCIM-13）</t>
    <phoneticPr fontId="2"/>
  </si>
  <si>
    <t>A-5</t>
    <phoneticPr fontId="2"/>
  </si>
  <si>
    <t>A-6</t>
    <phoneticPr fontId="2"/>
  </si>
  <si>
    <t>A-8</t>
    <phoneticPr fontId="2"/>
  </si>
  <si>
    <t>A-9</t>
    <phoneticPr fontId="2"/>
  </si>
  <si>
    <t>A-11</t>
    <phoneticPr fontId="2"/>
  </si>
  <si>
    <t>B. 他組織・エッジ連携確定</t>
    <phoneticPr fontId="2"/>
  </si>
  <si>
    <t>B-1</t>
    <phoneticPr fontId="2"/>
  </si>
  <si>
    <t>B-2</t>
    <phoneticPr fontId="2"/>
  </si>
  <si>
    <t>B-3</t>
    <phoneticPr fontId="2"/>
  </si>
  <si>
    <t>B-4</t>
    <phoneticPr fontId="2"/>
  </si>
  <si>
    <t>B-5</t>
    <phoneticPr fontId="2"/>
  </si>
  <si>
    <t>C. 設計是正・文書整合</t>
    <phoneticPr fontId="2"/>
  </si>
  <si>
    <t>全般・プロジェクト進行</t>
    <phoneticPr fontId="2"/>
  </si>
  <si>
    <t>C-2</t>
    <phoneticPr fontId="2"/>
  </si>
  <si>
    <t>C-3</t>
    <phoneticPr fontId="2"/>
  </si>
  <si>
    <t>C-4</t>
    <phoneticPr fontId="2"/>
  </si>
  <si>
    <t>C-5</t>
    <phoneticPr fontId="2"/>
  </si>
  <si>
    <t>C-6</t>
    <phoneticPr fontId="2"/>
  </si>
  <si>
    <t>PCI DSSスコープのPhase 1除外化</t>
    <phoneticPr fontId="2"/>
  </si>
  <si>
    <t>C-7</t>
    <phoneticPr fontId="2"/>
  </si>
  <si>
    <t>C-8</t>
    <phoneticPr fontId="2"/>
  </si>
  <si>
    <t>D-1</t>
    <phoneticPr fontId="2"/>
  </si>
  <si>
    <t>D-2</t>
    <phoneticPr fontId="2"/>
  </si>
  <si>
    <t>idmap補助DB物理配置</t>
    <phoneticPr fontId="2"/>
  </si>
  <si>
    <t>D-3</t>
    <phoneticPr fontId="2"/>
  </si>
  <si>
    <t>D-4</t>
    <phoneticPr fontId="2"/>
  </si>
  <si>
    <t>D-5</t>
    <phoneticPr fontId="2"/>
  </si>
  <si>
    <t>D-6</t>
    <phoneticPr fontId="2"/>
  </si>
  <si>
    <t>D-8</t>
    <phoneticPr fontId="2"/>
  </si>
  <si>
    <t>D-9</t>
    <phoneticPr fontId="2"/>
  </si>
  <si>
    <t>LDAP経路の追加Flow設計</t>
    <phoneticPr fontId="2"/>
  </si>
  <si>
    <t>D-10</t>
    <phoneticPr fontId="2"/>
  </si>
  <si>
    <t>SAML IdPテンプレート（Mapper定義）</t>
    <phoneticPr fontId="2"/>
  </si>
  <si>
    <t>D-11</t>
    <phoneticPr fontId="2"/>
  </si>
  <si>
    <t>L3昇格API配置</t>
    <phoneticPr fontId="2"/>
  </si>
  <si>
    <t>D-15</t>
    <phoneticPr fontId="2"/>
  </si>
  <si>
    <t>D-17</t>
    <phoneticPr fontId="2"/>
  </si>
  <si>
    <t>D-18</t>
    <phoneticPr fontId="2"/>
  </si>
  <si>
    <t>E-1</t>
    <phoneticPr fontId="2"/>
  </si>
  <si>
    <t>E-2</t>
    <phoneticPr fontId="2"/>
  </si>
  <si>
    <t>E-4</t>
    <phoneticPr fontId="2"/>
  </si>
  <si>
    <t>E-5</t>
    <phoneticPr fontId="2"/>
  </si>
  <si>
    <t>E-6</t>
    <phoneticPr fontId="2"/>
  </si>
  <si>
    <t>E-7</t>
    <phoneticPr fontId="2"/>
  </si>
  <si>
    <t>F-1</t>
    <phoneticPr fontId="2"/>
  </si>
  <si>
    <t>F-2</t>
    <phoneticPr fontId="2"/>
  </si>
  <si>
    <t>F-3</t>
    <phoneticPr fontId="2"/>
  </si>
  <si>
    <t>G. 運用実体化</t>
    <phoneticPr fontId="2"/>
  </si>
  <si>
    <t>G-3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</si>
  <si>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</si>
  <si>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</si>
  <si>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</si>
  <si>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</si>
  <si>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</si>
  <si>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</si>
  <si>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</si>
  <si>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</si>
  <si>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</si>
  <si>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</si>
  <si>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</si>
  <si>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</si>
  <si>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</si>
  <si>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</si>
  <si>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</si>
  <si>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</si>
  <si>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</si>
  <si>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</si>
  <si>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</si>
  <si>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</si>
  <si>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</si>
  <si>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</si>
  <si>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</si>
  <si>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</si>
  <si>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</si>
  <si>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</si>
  <si>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</si>
  <si>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</si>
  <si>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</si>
  <si>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</si>
  <si>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</si>
  <si>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</si>
  <si>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</si>
  <si>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</si>
  <si>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</si>
  <si>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</si>
  <si>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</si>
  <si>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</si>
  <si>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</si>
  <si>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</si>
  <si>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</si>
  <si>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</si>
  <si>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</si>
  <si>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</si>
  <si>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</si>
  <si>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</si>
  <si>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</si>
  <si>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</si>
  <si>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</si>
  <si>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</si>
  <si>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</si>
  <si>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</si>
  <si>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</si>
  <si>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</si>
  <si>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</si>
  <si>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</si>
  <si>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</si>
  <si>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</si>
  <si>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</si>
  <si>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</si>
  <si>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</si>
  <si>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</si>
  <si>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</si>
  <si>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</si>
  <si>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</si>
  <si>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</si>
  <si>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</si>
  <si>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</si>
  <si>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</si>
  <si>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</si>
  <si>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</si>
  <si>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</si>
  <si>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</si>
  <si>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</si>
  <si>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</si>
  <si>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</si>
  <si>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</si>
  <si>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</si>
  <si>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</si>
  <si>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</si>
  <si>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</si>
  <si>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</si>
  <si>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</si>
  <si>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</si>
  <si>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</si>
  <si>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</si>
  <si>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</si>
  <si>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</si>
  <si>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</si>
  <si>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</si>
  <si>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</si>
  <si>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</si>
  <si>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</si>
  <si>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</si>
  <si>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</si>
  <si>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</si>
  <si>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</si>
  <si>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</si>
  <si>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</si>
  <si>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</si>
  <si>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</si>
  <si>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</si>
  <si>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</si>
  <si>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</si>
  <si>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</si>
  <si>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</si>
  <si>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</si>
  <si>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</si>
  <si>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</si>
  <si>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</si>
  <si>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</si>
  <si>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</si>
  <si>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</si>
  <si>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</si>
  <si>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</si>
  <si>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</si>
  <si>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</si>
  <si>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</si>
  <si>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</si>
  <si>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</si>
  <si>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</si>
  <si>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</si>
  <si>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</si>
  <si>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② 詳細設計</t>
    <phoneticPr fontId="2"/>
  </si>
  <si>
    <t>WBS(詳細設計_製造)</t>
    <phoneticPr fontId="2"/>
  </si>
  <si>
    <t>③ 構築（実装＋単体）</t>
    <phoneticPr fontId="2"/>
  </si>
  <si>
    <t>④ テスト</t>
    <phoneticPr fontId="2"/>
  </si>
  <si>
    <t>WBS(テスト)</t>
    <phoneticPr fontId="2"/>
  </si>
  <si>
    <t>②＋③＋④（これから作る工数）</t>
    <phoneticPr fontId="2"/>
  </si>
  <si>
    <t>—</t>
    <phoneticPr fontId="2"/>
  </si>
  <si>
    <t>総計（①含む）</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</si>
  <si>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</si>
  <si>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</si>
  <si>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</si>
  <si>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</si>
  <si>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</si>
  <si>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</si>
  <si>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</si>
  <si>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</si>
  <si>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</si>
  <si>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</si>
  <si>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</si>
  <si>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</si>
  <si>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</si>
  <si>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</si>
  <si>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</si>
  <si>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</si>
  <si>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</si>
  <si>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</si>
  <si>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</si>
  <si>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</si>
  <si>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</si>
  <si>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</si>
  <si>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</si>
  <si>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</si>
  <si>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</si>
  <si>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</si>
  <si>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</si>
  <si>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</si>
  <si>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</si>
  <si>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</si>
  <si>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</si>
  <si>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</si>
  <si>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</si>
  <si>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</si>
  <si>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</si>
  <si>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</si>
  <si>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</si>
  <si>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</si>
  <si>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</si>
  <si>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</si>
  <si>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</si>
  <si>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</si>
  <si>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</si>
  <si>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</si>
  <si>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</si>
  <si>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</si>
  <si>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</si>
  <si>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</si>
  <si>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</si>
  <si>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</si>
  <si>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</si>
  <si>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</si>
  <si>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</si>
  <si>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</si>
  <si>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</si>
  <si>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</si>
  <si>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</si>
  <si>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</si>
  <si>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</si>
  <si>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</si>
  <si>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</si>
  <si>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</si>
  <si>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</si>
  <si>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</si>
  <si>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</si>
  <si>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</si>
  <si>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</si>
  <si>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</si>
  <si>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</si>
  <si>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</si>
  <si>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</si>
  <si>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</si>
  <si>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</si>
  <si>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</si>
  <si>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</si>
  <si>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</si>
  <si>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</si>
  <si>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</si>
  <si>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</si>
  <si>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</si>
  <si>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</si>
  <si>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</si>
  <si>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</si>
  <si>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</si>
  <si>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</si>
  <si>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</si>
  <si>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</si>
  <si>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</si>
  <si>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</si>
  <si>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</si>
  <si>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</si>
  <si>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</si>
  <si>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</si>
  <si>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</si>
  <si>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</si>
  <si>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</si>
  <si>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</si>
  <si>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</si>
  <si>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</si>
  <si>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</si>
  <si>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</si>
  <si>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</si>
  <si>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</si>
  <si>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</si>
  <si>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</si>
  <si>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</si>
  <si>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</si>
  <si>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</si>
  <si>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</si>
  <si>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</si>
  <si>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</si>
  <si>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</si>
  <si>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</si>
  <si>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</si>
  <si>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</si>
  <si>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</si>
  <si>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</si>
  <si>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</si>
  <si>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</si>
  <si>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</si>
  <si>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</si>
  <si>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</si>
  <si>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</si>
  <si>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</si>
  <si>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</si>
  <si>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</si>
  <si>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</si>
  <si>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</si>
  <si>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</si>
  <si>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</si>
  <si>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</si>
  <si>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</si>
  <si>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</si>
  <si>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</si>
  <si>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</si>
  <si>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</si>
  <si>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</si>
  <si>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</si>
  <si>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</si>
  <si>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</si>
  <si>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</si>
  <si>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</si>
  <si>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</si>
  <si>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</si>
  <si>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</si>
  <si>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</si>
  <si>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</si>
  <si>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</si>
  <si>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</si>
  <si>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</si>
  <si>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</si>
  <si>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</si>
  <si>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</si>
  <si>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</si>
  <si>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</si>
  <si>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</si>
  <si>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</si>
  <si>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</si>
  <si>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</si>
  <si>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</si>
  <si>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</si>
  <si>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</si>
  <si>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</si>
  <si>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</si>
  <si>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</si>
  <si>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</si>
  <si>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</si>
  <si>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</si>
  <si>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</si>
  <si>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</si>
  <si>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</si>
  <si>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</si>
  <si>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</si>
  <si>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</si>
  <si>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</si>
  <si>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</si>
  <si>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</si>
  <si>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</si>
  <si>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</si>
  <si>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</si>
  <si>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</si>
  <si>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</si>
  <si>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</si>
  <si>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</si>
  <si>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</si>
  <si>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</si>
  <si>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</si>
  <si>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</si>
  <si>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</si>
  <si>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</si>
  <si>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</si>
  <si>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</si>
  <si>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</si>
  <si>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</si>
  <si>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</si>
  <si>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</si>
  <si>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</si>
  <si>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</si>
  <si>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</si>
  <si>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</si>
  <si>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</si>
  <si>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</si>
  <si>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</si>
  <si>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</si>
  <si>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</si>
  <si>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</si>
  <si>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</si>
  <si>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</si>
  <si>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</si>
  <si>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</si>
  <si>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</si>
  <si>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</si>
  <si>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</si>
  <si>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</si>
  <si>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</si>
  <si>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</si>
  <si>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</si>
  <si>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</si>
  <si>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</si>
  <si>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</si>
  <si>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</si>
  <si>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</si>
  <si>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</si>
  <si>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</si>
  <si>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</si>
  <si>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</si>
  <si>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</si>
  <si>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</si>
  <si>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</si>
  <si>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</si>
  <si>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</si>
  <si>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</si>
  <si>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</si>
  <si>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</si>
  <si>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</si>
  <si>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</si>
  <si>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</si>
  <si>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</si>
  <si>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</si>
  <si>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</si>
  <si>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</si>
  <si>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</si>
  <si>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</si>
  <si>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</si>
  <si>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</si>
  <si>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</si>
  <si>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</si>
  <si>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</si>
  <si>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</si>
  <si>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</si>
  <si>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</si>
  <si>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</si>
  <si>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</si>
  <si>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</si>
  <si>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</si>
  <si>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</si>
  <si>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</si>
  <si>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</si>
  <si>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</si>
  <si>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</si>
  <si>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</si>
  <si>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</si>
  <si>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</si>
  <si>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</si>
  <si>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</si>
  <si>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</si>
  <si>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</si>
  <si>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</si>
  <si>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</si>
  <si>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</si>
  <si>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</si>
  <si>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</si>
  <si>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</si>
  <si>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</si>
  <si>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</si>
  <si>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</si>
  <si>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</si>
  <si>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</si>
  <si>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</si>
  <si>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</si>
  <si>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</si>
  <si>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</si>
  <si>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</si>
  <si>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</si>
  <si>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</si>
  <si>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</si>
  <si>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</si>
  <si>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</si>
  <si>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</si>
  <si>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</si>
  <si>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</si>
  <si>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</si>
  <si>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</si>
  <si>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</si>
  <si>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</si>
  <si>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</si>
  <si>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</si>
  <si>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</si>
  <si>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</si>
  <si>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</si>
  <si>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</si>
  <si>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</si>
  <si>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</si>
  <si>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</si>
  <si>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</si>
  <si>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</si>
  <si>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</si>
  <si>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</si>
  <si>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</si>
  <si>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</si>
  <si>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</si>
  <si>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</si>
  <si>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</si>
  <si>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</si>
  <si>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</si>
  <si>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</si>
  <si>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</si>
  <si>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</si>
  <si>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</si>
  <si>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</si>
  <si>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</si>
  <si>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</si>
  <si>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</si>
  <si>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</si>
  <si>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</si>
  <si>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</si>
  <si>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</si>
  <si>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</si>
  <si>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</si>
  <si>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</si>
  <si>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</si>
  <si>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</si>
  <si>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</si>
  <si>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</si>
  <si>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</si>
  <si>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</si>
  <si>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</si>
  <si>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</si>
  <si>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</si>
  <si>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</si>
  <si>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</si>
  <si>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</si>
  <si>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</si>
  <si>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</si>
  <si>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</si>
  <si>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</si>
  <si>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</si>
  <si>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</si>
  <si>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</si>
  <si>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</si>
  <si>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</si>
  <si>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</si>
  <si>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</si>
  <si>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</si>
  <si>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</si>
  <si>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</si>
  <si>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</si>
  <si>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</si>
  <si>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</si>
  <si>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</si>
  <si>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</si>
  <si>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</si>
  <si>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</si>
  <si>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</si>
  <si>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</si>
  <si>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</si>
  <si>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</si>
  <si>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</si>
  <si>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</si>
  <si>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</si>
  <si>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</si>
  <si>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</si>
  <si>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</si>
  <si>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</si>
  <si>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</si>
  <si>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</si>
  <si>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</si>
  <si>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</si>
  <si>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</si>
  <si>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</si>
  <si>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</si>
  <si>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</si>
  <si>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</si>
  <si>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</si>
  <si>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</si>
  <si>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</si>
  <si>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</si>
  <si>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</si>
  <si>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</si>
  <si>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</si>
  <si>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</si>
  <si>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</si>
  <si>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</si>
  <si>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</si>
  <si>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</si>
  <si>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</si>
  <si>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</si>
  <si>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</si>
  <si>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</si>
  <si>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</si>
  <si>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</si>
  <si>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</si>
  <si>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</si>
  <si>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</si>
  <si>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</si>
  <si>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</si>
  <si>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</si>
  <si>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</si>
  <si>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</si>
  <si>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</si>
  <si>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</si>
  <si>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</si>
  <si>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</si>
  <si>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</si>
  <si>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</si>
  <si>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</si>
  <si>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</si>
  <si>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</si>
  <si>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</si>
  <si>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</si>
  <si>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</si>
  <si>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</si>
  <si>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</si>
  <si>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</si>
  <si>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</si>
  <si>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</si>
  <si>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</si>
  <si>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</si>
  <si>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</si>
  <si>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</si>
  <si>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</si>
  <si>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</si>
  <si>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</si>
  <si>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</si>
  <si>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</si>
  <si>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</si>
  <si>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</si>
  <si>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</si>
  <si>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</si>
  <si>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</si>
  <si>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</si>
  <si>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</si>
  <si>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</si>
  <si>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</si>
  <si>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</si>
  <si>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</si>
  <si>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</si>
  <si>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</si>
  <si>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</si>
  <si>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</si>
  <si>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</si>
  <si>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</si>
  <si>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</si>
  <si>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</si>
  <si>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</si>
  <si>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</si>
  <si>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</si>
  <si>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</si>
  <si>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</si>
  <si>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</si>
  <si>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</si>
  <si>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</si>
  <si>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</si>
  <si>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</si>
  <si>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</si>
  <si>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</si>
  <si>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</si>
  <si>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</si>
  <si>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</si>
  <si>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</si>
  <si>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</si>
  <si>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</si>
  <si>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</si>
  <si>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</si>
  <si>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</si>
  <si>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</si>
  <si>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</si>
  <si>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</si>
  <si>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</si>
  <si>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</si>
  <si>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</si>
  <si>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</si>
  <si>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</si>
  <si>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</si>
  <si>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</si>
  <si>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</si>
  <si>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</si>
  <si>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</si>
  <si>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</si>
  <si>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</si>
  <si>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</si>
  <si>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</si>
  <si>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</si>
  <si>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</si>
  <si>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</si>
  <si>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</si>
  <si>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</si>
  <si>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</si>
  <si>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</si>
  <si>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</si>
  <si>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</si>
  <si>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</si>
  <si>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</si>
  <si>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</si>
  <si>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</si>
  <si>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</si>
  <si>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</si>
  <si>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</si>
  <si>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</si>
  <si>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</si>
  <si>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</si>
  <si>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</si>
  <si>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</si>
  <si>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</si>
  <si>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</si>
  <si>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</si>
  <si>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</si>
  <si>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</si>
  <si>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</si>
  <si>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</si>
  <si>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</si>
  <si>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</si>
  <si>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</si>
  <si>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</si>
  <si>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</si>
  <si>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</si>
  <si>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</si>
  <si>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</si>
  <si>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</si>
  <si>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</si>
  <si>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</si>
  <si>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</si>
  <si>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</si>
  <si>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</si>
  <si>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</si>
  <si>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</si>
  <si>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</si>
  <si>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</si>
  <si>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</si>
  <si>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</si>
  <si>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</si>
  <si>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</si>
  <si>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</si>
  <si>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</si>
  <si>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</si>
  <si>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</si>
  <si>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</si>
  <si>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</si>
  <si>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</si>
  <si>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</si>
  <si>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</si>
  <si>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</si>
  <si>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</si>
  <si>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</si>
  <si>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</si>
  <si>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</si>
  <si>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</si>
  <si>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</si>
  <si>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</si>
  <si>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</si>
  <si>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</si>
  <si>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</si>
  <si>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</si>
  <si>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</si>
  <si>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</si>
  <si>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</si>
  <si>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</si>
  <si>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</si>
  <si>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</si>
  <si>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</si>
  <si>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</si>
  <si>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</si>
  <si>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</si>
  <si>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</si>
  <si>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</si>
  <si>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</si>
  <si>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</si>
  <si>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</si>
  <si>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</si>
  <si>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</si>
  <si>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</si>
  <si>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</si>
  <si>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</si>
  <si>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</si>
  <si>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</si>
  <si>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</si>
  <si>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</si>
  <si>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</si>
  <si>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</si>
  <si>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</si>
  <si>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</si>
  <si>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</si>
  <si>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</si>
  <si>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</si>
  <si>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</si>
  <si>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</si>
  <si>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</si>
  <si>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</si>
  <si>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</si>
  <si>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</si>
  <si>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</si>
  <si>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</si>
  <si>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</si>
  <si>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</si>
  <si>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</si>
  <si>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</si>
  <si>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</si>
  <si>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</si>
  <si>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</si>
  <si>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</si>
  <si>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</si>
  <si>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</si>
  <si>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</si>
  <si>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</si>
  <si>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</si>
  <si>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</si>
  <si>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</si>
  <si>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</si>
  <si>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</si>
  <si>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</si>
  <si>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</si>
  <si>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</si>
  <si>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</si>
  <si>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</si>
  <si>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</si>
  <si>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</si>
  <si>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</si>
  <si>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</si>
  <si>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</si>
  <si>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</si>
  <si>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</si>
  <si>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</si>
  <si>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</si>
  <si>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</si>
  <si>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</si>
  <si>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</si>
  <si>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</si>
  <si>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</si>
  <si>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</si>
  <si>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</si>
  <si>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</si>
  <si>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</si>
  <si>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</si>
  <si>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</si>
  <si>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</si>
  <si>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</si>
  <si>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</si>
  <si>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</si>
  <si>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</si>
  <si>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</si>
  <si>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</si>
  <si>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</si>
  <si>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</si>
  <si>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</si>
  <si>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</si>
  <si>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</si>
  <si>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</si>
  <si>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</si>
  <si>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</si>
  <si>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</si>
  <si>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</si>
  <si>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</si>
  <si>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</si>
  <si>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</si>
  <si>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</si>
  <si>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</si>
  <si>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</si>
  <si>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</si>
  <si>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</si>
  <si>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</si>
  <si>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</si>
  <si>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</si>
  <si>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</si>
  <si>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</si>
  <si>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</si>
  <si>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</si>
  <si>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</si>
  <si>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</si>
  <si>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</si>
  <si>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</si>
  <si>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</si>
  <si>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</si>
  <si>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</si>
  <si>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</si>
  <si>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</si>
  <si>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</si>
  <si>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</si>
  <si>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</si>
  <si>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</si>
  <si>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</si>
  <si>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</si>
  <si>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</si>
  <si>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</si>
  <si>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</si>
  <si>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</si>
  <si>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</si>
  <si>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</si>
  <si>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</si>
  <si>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</si>
  <si>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</si>
  <si>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</si>
  <si>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</si>
  <si>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</si>
  <si>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</si>
  <si>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</si>
  <si>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</si>
  <si>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</si>
  <si>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</si>
  <si>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</si>
  <si>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</si>
  <si>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</si>
  <si>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</si>
  <si>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</si>
  <si>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</si>
  <si>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</si>
  <si>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</si>
  <si>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</si>
  <si>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</si>
  <si>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</si>
  <si>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</si>
  <si>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</si>
  <si>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</si>
  <si>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</si>
  <si>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</si>
  <si>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</si>
  <si>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</si>
  <si>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</si>
  <si>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</si>
  <si>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</si>
  <si>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</si>
  <si>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</si>
  <si>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</si>
  <si>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</si>
  <si>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</si>
  <si>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</si>
  <si>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</si>
  <si>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</si>
  <si>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</si>
  <si>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</si>
  <si>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</si>
  <si>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</si>
  <si>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</si>
  <si>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</si>
  <si>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</si>
  <si>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</si>
  <si>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</si>
  <si>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</si>
  <si>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</si>
  <si>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</si>
  <si>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</si>
  <si>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</si>
  <si>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</si>
  <si>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</si>
  <si>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</si>
  <si>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</si>
  <si>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</si>
  <si>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</si>
  <si>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</si>
  <si>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</si>
  <si>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</si>
  <si>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</si>
  <si>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</si>
  <si>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</si>
  <si>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</si>
  <si>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</si>
  <si>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</si>
  <si>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</si>
  <si>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</si>
  <si>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</si>
  <si>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</si>
  <si>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</si>
  <si>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</si>
  <si>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</si>
  <si>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</si>
  <si>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</si>
  <si>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</si>
  <si>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</si>
  <si>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</si>
  <si>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</si>
  <si>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</si>
  <si>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</si>
  <si>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</si>
  <si>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</si>
  <si>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</si>
  <si>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</si>
  <si>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</si>
  <si>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</si>
  <si>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</si>
  <si>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</si>
  <si>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</si>
  <si>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</si>
  <si>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</si>
  <si>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</si>
  <si>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</si>
  <si>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</si>
  <si>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</si>
  <si>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</si>
  <si>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</si>
  <si>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</si>
  <si>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</si>
  <si>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</si>
  <si>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</si>
  <si>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</si>
  <si>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</si>
  <si>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</si>
  <si>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</si>
  <si>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</si>
  <si>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</si>
  <si>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</si>
  <si>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</si>
  <si>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</si>
  <si>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</si>
  <si>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</si>
  <si>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</si>
  <si>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</si>
  <si>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</si>
  <si>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</si>
  <si>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</si>
  <si>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</si>
  <si>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</si>
  <si>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</si>
  <si>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</si>
  <si>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</si>
  <si>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</si>
  <si>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</si>
  <si>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</si>
  <si>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</si>
  <si>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</si>
  <si>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</si>
  <si>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</si>
  <si>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</si>
  <si>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</si>
  <si>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</si>
  <si>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</si>
  <si>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</si>
  <si>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</si>
  <si>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</si>
  <si>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</si>
  <si>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</si>
  <si>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</si>
  <si>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</si>
  <si>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</si>
  <si>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</si>
  <si>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</si>
  <si>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</si>
  <si>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</si>
  <si>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</si>
  <si>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</si>
  <si>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</si>
  <si>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</si>
  <si>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</si>
  <si>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</si>
  <si>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</si>
  <si>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</si>
  <si>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</si>
  <si>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</si>
  <si>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</si>
  <si>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</si>
  <si>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</si>
  <si>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</si>
  <si>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</si>
  <si>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</si>
  <si>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</si>
  <si>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</si>
  <si>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</si>
  <si>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</si>
  <si>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</si>
  <si>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</si>
  <si>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</si>
  <si>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</si>
  <si>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</si>
  <si>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</si>
  <si>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</si>
  <si>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</si>
  <si>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</si>
  <si>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</si>
  <si>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</si>
  <si>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</si>
  <si>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</si>
  <si>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</si>
  <si>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</si>
  <si>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</si>
  <si>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</si>
  <si>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</si>
  <si>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</si>
  <si>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</si>
  <si>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</si>
  <si>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</si>
  <si>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</si>
  <si>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</si>
  <si>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</si>
  <si>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</si>
  <si>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</si>
  <si>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</si>
  <si>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</si>
  <si>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</si>
  <si>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</si>
  <si>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</si>
  <si>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</si>
  <si>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</si>
  <si>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</si>
  <si>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</si>
  <si>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</si>
  <si>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</si>
  <si>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</si>
  <si>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</si>
  <si>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</si>
  <si>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</si>
  <si>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</si>
  <si>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</si>
  <si>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</si>
  <si>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</si>
  <si>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</si>
  <si>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</si>
  <si>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</si>
  <si>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</si>
  <si>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</si>
  <si>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</si>
  <si>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</si>
  <si>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</si>
  <si>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</si>
  <si>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</si>
  <si>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</si>
  <si>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</si>
  <si>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</si>
  <si>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</si>
  <si>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</si>
  <si>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</si>
  <si>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</si>
  <si>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</si>
  <si>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</si>
  <si>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</si>
  <si>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</si>
  <si>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</si>
  <si>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</si>
  <si>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</si>
  <si>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</si>
  <si>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</si>
  <si>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</si>
  <si>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</si>
  <si>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</si>
  <si>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</si>
  <si>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</si>
  <si>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</si>
  <si>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</si>
  <si>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</si>
  <si>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</si>
  <si>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</si>
  <si>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</si>
  <si>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</si>
  <si>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</si>
  <si>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</si>
  <si>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</si>
  <si>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</si>
  <si>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</si>
  <si>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</si>
  <si>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</si>
  <si>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</si>
  <si>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</si>
  <si>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</si>
  <si>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</si>
  <si>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</si>
  <si>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</si>
  <si>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</si>
  <si>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</si>
  <si>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</si>
  <si>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</si>
  <si>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</si>
  <si>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</si>
  <si>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</si>
  <si>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</si>
  <si>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</si>
  <si>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</si>
  <si>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</si>
  <si>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</si>
  <si>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</si>
  <si>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</si>
  <si>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</si>
  <si>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</si>
  <si>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</si>
  <si>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</si>
  <si>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</si>
  <si>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</si>
  <si>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</si>
  <si>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</si>
  <si>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</si>
  <si>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</si>
  <si>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</si>
  <si>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</si>
  <si>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</si>
  <si>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</si>
  <si>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</si>
  <si>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</si>
  <si>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</si>
  <si>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</si>
  <si>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</si>
  <si>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</si>
  <si>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</si>
  <si>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</si>
  <si>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</si>
  <si>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</si>
  <si>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</si>
  <si>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</si>
  <si>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</si>
  <si>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</si>
  <si>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</si>
  <si>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</si>
  <si>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</si>
  <si>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</si>
  <si>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</si>
  <si>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</si>
  <si>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</si>
  <si>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</si>
  <si>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</si>
  <si>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</si>
  <si>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</si>
  <si>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</si>
  <si>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</si>
  <si>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</si>
  <si>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</si>
  <si>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</si>
  <si>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</si>
  <si>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</si>
  <si>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</si>
  <si>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</si>
  <si>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</si>
  <si>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</si>
  <si>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</si>
  <si>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</si>
  <si>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</si>
  <si>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</si>
  <si>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</si>
  <si>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</si>
  <si>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</si>
  <si>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</si>
  <si>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</si>
  <si>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</si>
  <si>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</si>
  <si>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</si>
  <si>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</si>
  <si>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</si>
  <si>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</si>
  <si>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</si>
  <si>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</si>
  <si>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</si>
  <si>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</si>
  <si>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</si>
  <si>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</si>
  <si>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</si>
  <si>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</si>
  <si>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</si>
  <si>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</si>
  <si>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</si>
  <si>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</si>
  <si>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</si>
  <si>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</si>
  <si>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</si>
  <si>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</si>
  <si>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</si>
  <si>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</si>
  <si>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</si>
  <si>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</si>
  <si>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</si>
  <si>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</si>
  <si>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</si>
  <si>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</si>
  <si>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</si>
  <si>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</si>
  <si>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</si>
  <si>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</si>
  <si>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</si>
  <si>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</si>
  <si>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</si>
  <si>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</si>
  <si>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</si>
  <si>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</si>
  <si>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</si>
  <si>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</si>
  <si>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</si>
  <si>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</si>
  <si>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</si>
  <si>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</si>
  <si>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</si>
  <si>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</si>
  <si>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</si>
  <si>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</si>
  <si>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</si>
  <si>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</si>
  <si>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</si>
  <si>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</si>
  <si>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</si>
  <si>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</si>
  <si>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</si>
  <si>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</si>
  <si>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</si>
  <si>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</si>
  <si>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</si>
  <si>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</si>
  <si>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</si>
  <si>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</si>
  <si>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</si>
  <si>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</si>
  <si>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</si>
  <si>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</si>
  <si>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</si>
  <si>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</si>
  <si>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</si>
  <si>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</si>
  <si>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</si>
  <si>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</si>
  <si>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</si>
  <si>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</si>
  <si>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</si>
  <si>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</si>
  <si>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</si>
  <si>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</si>
  <si>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</si>
  <si>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</si>
  <si>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</si>
  <si>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</si>
  <si>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</si>
  <si>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</si>
  <si>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</si>
  <si>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</si>
  <si>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</si>
  <si>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</si>
  <si>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</si>
  <si>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</si>
  <si>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</si>
  <si>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</si>
  <si>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</si>
  <si>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</si>
  <si>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</si>
  <si>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</si>
  <si>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</si>
  <si>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</si>
  <si>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</si>
  <si>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</si>
  <si>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</si>
  <si>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</si>
  <si>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</si>
  <si>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</si>
  <si>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</si>
  <si>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</si>
  <si>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</si>
  <si>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</si>
  <si>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</si>
  <si>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</si>
  <si>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</si>
  <si>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</si>
  <si>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</si>
  <si>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</si>
  <si>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</si>
  <si>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</si>
  <si>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</si>
  <si>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</si>
  <si>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</si>
  <si>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</si>
  <si>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</si>
  <si>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</si>
  <si>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</si>
  <si>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</si>
  <si>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</si>
  <si>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</si>
  <si>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</si>
  <si>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</si>
  <si>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</si>
  <si>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</si>
  <si>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</si>
  <si>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</si>
  <si>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</si>
  <si>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</si>
  <si>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</si>
  <si>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</si>
  <si>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</si>
  <si>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</si>
  <si>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</si>
  <si>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</si>
  <si>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</si>
  <si>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</si>
  <si>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</si>
  <si>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</si>
  <si>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</si>
  <si>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</si>
  <si>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</si>
  <si>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</si>
  <si>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</si>
  <si>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</si>
  <si>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</si>
  <si>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</si>
  <si>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</si>
  <si>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</si>
  <si>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</si>
  <si>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</si>
  <si>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</si>
  <si>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</si>
  <si>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</si>
  <si>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</si>
  <si>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</si>
  <si>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</si>
  <si>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</si>
  <si>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</si>
  <si>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</si>
  <si>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</si>
  <si>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</si>
  <si>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</si>
  <si>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</si>
  <si>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</si>
  <si>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</si>
  <si>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</si>
  <si>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</si>
  <si>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</si>
  <si>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</si>
  <si>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</si>
  <si>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</si>
  <si>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</si>
  <si>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</si>
  <si>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</si>
  <si>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</si>
  <si>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</si>
  <si>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</si>
  <si>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</si>
  <si>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</si>
  <si>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</si>
  <si>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</si>
  <si>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</si>
  <si>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</si>
  <si>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</si>
  <si>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</si>
  <si>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</si>
  <si>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</si>
  <si>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</si>
  <si>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</si>
  <si>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</si>
  <si>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</si>
  <si>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</si>
  <si>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</si>
  <si>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</si>
  <si>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</si>
  <si>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</si>
  <si>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</si>
  <si>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</si>
  <si>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</si>
  <si>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</si>
  <si>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</si>
  <si>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</si>
  <si>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</si>
  <si>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</si>
  <si>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</si>
  <si>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</si>
  <si>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</si>
  <si>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</si>
  <si>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</si>
  <si>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</si>
  <si>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</si>
  <si>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</si>
  <si>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</si>
  <si>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</si>
  <si>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</si>
  <si>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</si>
  <si>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</si>
  <si>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</si>
  <si>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</si>
  <si>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</si>
  <si>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</si>
  <si>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</si>
  <si>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</si>
  <si>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</si>
  <si>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</si>
  <si>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</si>
  <si>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</si>
  <si>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</si>
  <si>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</si>
  <si>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</si>
  <si>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</si>
  <si>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</si>
  <si>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</si>
  <si>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</si>
  <si>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</si>
  <si>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</si>
  <si>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</si>
  <si>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</si>
  <si>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</si>
  <si>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</si>
  <si>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</si>
  <si>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</si>
  <si>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</si>
  <si>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</si>
  <si>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</si>
  <si>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</si>
  <si>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</si>
  <si>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</si>
  <si>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</si>
  <si>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</si>
  <si>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</si>
  <si>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</si>
  <si>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</si>
  <si>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</si>
  <si>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</si>
  <si>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</si>
  <si>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</si>
  <si>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</si>
  <si>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</si>
  <si>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</si>
  <si>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</si>
  <si>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</si>
  <si>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</si>
  <si>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</si>
  <si>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</si>
  <si>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</si>
  <si>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</si>
  <si>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</si>
  <si>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</si>
  <si>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</si>
  <si>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</si>
  <si>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</si>
  <si>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</si>
  <si>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</si>
  <si>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</si>
  <si>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</si>
  <si>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</si>
  <si>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</si>
  <si>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</si>
  <si>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</si>
  <si>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</si>
  <si>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</si>
  <si>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</si>
  <si>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</si>
  <si>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</si>
  <si>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</si>
  <si>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</si>
  <si>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</si>
  <si>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</si>
  <si>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</si>
  <si>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</si>
  <si>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</si>
  <si>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</si>
  <si>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</si>
  <si>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</si>
  <si>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</si>
  <si>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</si>
  <si>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</si>
  <si>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</si>
  <si>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</si>
  <si>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</si>
  <si>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</si>
  <si>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</si>
  <si>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</si>
  <si>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</si>
  <si>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</si>
  <si>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</si>
  <si>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</si>
  <si>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</si>
  <si>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</si>
  <si>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</si>
  <si>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</si>
  <si>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</si>
  <si>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</si>
  <si>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</si>
  <si>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</si>
  <si>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</si>
  <si>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</si>
  <si>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</si>
  <si>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</si>
  <si>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</si>
  <si>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</si>
  <si>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</si>
  <si>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</si>
  <si>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</si>
  <si>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</si>
  <si>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</si>
  <si>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</si>
  <si>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</si>
  <si>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</si>
  <si>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</si>
  <si>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</si>
  <si>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</si>
  <si>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</si>
  <si>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</si>
  <si>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</si>
  <si>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</si>
  <si>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</si>
  <si>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</si>
  <si>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</si>
  <si>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</si>
  <si>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</si>
  <si>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</si>
  <si>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</si>
  <si>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</si>
  <si>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</si>
  <si>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</si>
  <si>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</si>
  <si>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</si>
  <si>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</si>
  <si>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</si>
  <si>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</si>
  <si>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</si>
  <si>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</si>
  <si>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</si>
  <si>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</si>
  <si>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</si>
  <si>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</si>
  <si>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</si>
  <si>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</si>
  <si>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</si>
  <si>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</si>
  <si>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</si>
  <si>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</si>
  <si>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</si>
  <si>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</si>
  <si>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</si>
  <si>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</si>
  <si>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</si>
  <si>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</si>
  <si>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</si>
  <si>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</si>
  <si>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</si>
  <si>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</si>
  <si>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</si>
  <si>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</si>
  <si>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</si>
  <si>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</si>
  <si>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</si>
  <si>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</si>
  <si>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</si>
  <si>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</si>
  <si>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</si>
  <si>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</si>
  <si>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</si>
  <si>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</si>
  <si>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</si>
  <si>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</si>
  <si>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</si>
  <si>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</si>
  <si>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</si>
  <si>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</si>
  <si>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</si>
  <si>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</si>
  <si>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</si>
  <si>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</si>
  <si>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</si>
  <si>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</si>
  <si>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</si>
  <si>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</si>
  <si>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</si>
  <si>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</si>
  <si>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</si>
  <si>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</si>
  <si>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</si>
  <si>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</si>
  <si>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</si>
  <si>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</si>
  <si>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</si>
  <si>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</si>
  <si>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</si>
  <si>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</si>
  <si>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</si>
  <si>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</si>
  <si>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</si>
  <si>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</si>
  <si>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</si>
  <si>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</si>
  <si>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</si>
  <si>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</si>
  <si>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</si>
  <si>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</si>
  <si>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</si>
  <si>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</si>
  <si>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</si>
  <si>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</si>
  <si>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</si>
  <si>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</si>
  <si>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</si>
  <si>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</si>
  <si>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</si>
  <si>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</si>
  <si>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</si>
  <si>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</si>
  <si>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</si>
  <si>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</si>
  <si>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</si>
  <si>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</si>
  <si>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</si>
  <si>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</si>
  <si>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</si>
  <si>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</si>
  <si>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</si>
  <si>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</si>
  <si>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</si>
  <si>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</si>
  <si>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</si>
  <si>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</si>
  <si>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</si>
  <si>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</si>
  <si>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</si>
  <si>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</si>
  <si>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</si>
  <si>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</si>
  <si>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</si>
  <si>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</si>
  <si>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</si>
  <si>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</si>
  <si>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</si>
  <si>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</si>
  <si>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</si>
  <si>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</si>
  <si>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</si>
  <si>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</si>
  <si>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</si>
  <si>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</si>
  <si>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</si>
  <si>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</si>
  <si>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</si>
  <si>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</si>
  <si>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</si>
  <si>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</si>
  <si>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</si>
  <si>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</si>
  <si>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</si>
  <si>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</si>
  <si>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</si>
  <si>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</si>
  <si>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</si>
  <si>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</si>
  <si>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</si>
  <si>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</si>
  <si>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</si>
  <si>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</si>
  <si>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</si>
  <si>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</si>
  <si>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</si>
  <si>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</si>
  <si>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</si>
  <si>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</si>
  <si>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</si>
  <si>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</si>
  <si>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</si>
  <si>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</si>
  <si>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</si>
  <si>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</si>
  <si>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</si>
  <si>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</si>
  <si>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</si>
  <si>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</si>
  <si>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</si>
  <si>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</si>
  <si>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</si>
  <si>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</si>
  <si>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</si>
  <si>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</si>
  <si>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</si>
  <si>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</si>
  <si>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</si>
  <si>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</si>
  <si>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</si>
  <si>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</si>
  <si>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</si>
  <si>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</si>
  <si>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</si>
  <si>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</si>
  <si>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</si>
  <si>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</si>
  <si>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</si>
  <si>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</si>
  <si>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</si>
  <si>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</si>
  <si>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</si>
  <si>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</si>
  <si>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</si>
  <si>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</si>
  <si>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</si>
  <si>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</si>
  <si>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</si>
  <si>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</si>
  <si>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</si>
  <si>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</si>
  <si>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</si>
  <si>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</si>
  <si>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</si>
  <si>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</si>
  <si>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</si>
  <si>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</si>
  <si>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</si>
  <si>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</si>
  <si>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</si>
  <si>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</si>
  <si>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</si>
  <si>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</si>
  <si>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</si>
  <si>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</si>
  <si>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</si>
  <si>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</si>
  <si>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</si>
  <si>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</si>
  <si>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</si>
  <si>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</si>
  <si>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</si>
  <si>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</si>
  <si>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</si>
  <si>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</si>
  <si>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</si>
  <si>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</si>
  <si>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</si>
  <si>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</si>
  <si>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</si>
  <si>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</si>
  <si>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</si>
  <si>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</si>
  <si>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</si>
  <si>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</si>
  <si>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</si>
  <si>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</si>
  <si>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</si>
  <si>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</si>
  <si>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</si>
  <si>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</si>
  <si>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</si>
  <si>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</si>
  <si>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</si>
  <si>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</si>
  <si>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</si>
  <si>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</si>
  <si>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</si>
  <si>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</si>
  <si>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</si>
  <si>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</si>
  <si>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</si>
  <si>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</si>
  <si>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</si>
  <si>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</si>
  <si>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</si>
  <si>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</si>
  <si>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</si>
  <si>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</si>
  <si>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</si>
  <si>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</si>
  <si>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</si>
  <si>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</si>
  <si>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</si>
  <si>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</si>
  <si>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</si>
  <si>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</si>
  <si>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</si>
  <si>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</si>
  <si>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</si>
  <si>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</si>
  <si>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</si>
  <si>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</si>
  <si>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</si>
  <si>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</si>
  <si>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</si>
  <si>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</si>
  <si>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</si>
  <si>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</si>
  <si>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</si>
  <si>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</si>
  <si>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</si>
  <si>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</si>
  <si>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</si>
  <si>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</si>
  <si>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</si>
  <si>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</si>
  <si>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</si>
  <si>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</si>
  <si>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</si>
  <si>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</si>
  <si>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</si>
  <si>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</si>
  <si>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</si>
  <si>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</si>
  <si>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</si>
  <si>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</si>
  <si>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</si>
  <si>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</si>
  <si>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</si>
  <si>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</si>
  <si>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</si>
  <si>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</si>
  <si>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</si>
  <si>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</si>
  <si>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</si>
  <si>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</si>
  <si>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</si>
  <si>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</si>
  <si>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</si>
  <si>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</si>
  <si>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</si>
  <si>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</si>
  <si>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</si>
  <si>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</si>
  <si>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</si>
  <si>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</si>
  <si>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</si>
  <si>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</si>
  <si>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</si>
  <si>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</si>
  <si>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</si>
  <si>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</si>
  <si>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</si>
  <si>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</si>
  <si>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</si>
  <si>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</si>
  <si>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</si>
  <si>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</si>
  <si>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</si>
  <si>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</si>
  <si>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</si>
  <si>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</si>
  <si>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</si>
  <si>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</si>
  <si>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</si>
  <si>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</si>
  <si>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</si>
  <si>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内容（成果物・完了条件）</t>
  </si>
  <si>
    <t>依存</t>
  </si>
  <si>
    <t>分岐ID</t>
  </si>
  <si>
    <t>トリガー（〜の状態で〜の場合）</t>
  </si>
  <si>
    <t>追加作業</t>
  </si>
  <si>
    <t>C-A1</t>
  </si>
  <si>
    <t>A-1実測でp99がベースライン比 +10%を超過した場合</t>
  </si>
  <si>
    <t>キャッシュ増強・構成見直しの対策設計 + 再実測</t>
  </si>
  <si>
    <t>C-A2</t>
  </si>
  <si>
    <t>A-2でRHBK互換FAILの場合</t>
  </si>
  <si>
    <t>upstream KC継続判断 or SPI改修方針の再設計（P-01影響評価込み）</t>
  </si>
  <si>
    <t>C-A3</t>
  </si>
  <si>
    <t>A-3でValidator不合格項目が出た場合</t>
  </si>
  <si>
    <t>写像・スキーマ再設計 + 再検証</t>
  </si>
  <si>
    <t>C-A6</t>
  </si>
  <si>
    <t>A-6で実IdPにてSPI不発火ケースを発見した場合</t>
  </si>
  <si>
    <t>Flow配置再設計 + 回帰</t>
  </si>
  <si>
    <t>C-A9</t>
  </si>
  <si>
    <t>A-9で自動更新機能が実在しない場合</t>
  </si>
  <si>
    <t>D-12で運用代替（手動ローテ+監視）設計</t>
  </si>
  <si>
    <t>C-A10</t>
  </si>
  <si>
    <t>A-10.2で同期emitがp99を悪化させる場合</t>
  </si>
  <si>
    <t>非同期化（buffer/バッチ）再設計</t>
  </si>
  <si>
    <t>C-A12</t>
  </si>
  <si>
    <t>B-SN-3回答がパターン②以外の場合</t>
  </si>
  <si>
    <t>該当パターンでA-12再検証 + U10改訂</t>
  </si>
  <si>
    <t>C-B1</t>
  </si>
  <si>
    <t>他組織回答が要求と乖離した場合（In-B不可・NFW例外不可・ヘッダ挿入不可等）</t>
  </si>
  <si>
    <t>該当箇所の設計再検討 + REQ再発行</t>
  </si>
  <si>
    <t>C-B2</t>
  </si>
  <si>
    <t>zero-egressのTGW接続不可（O-10）の場合</t>
  </si>
  <si>
    <t>案A（NAT GW→NFW）へのegress再設計</t>
  </si>
  <si>
    <t>C-B3</t>
  </si>
  <si>
    <t>VPC origins不可の場合</t>
  </si>
  <si>
    <t>custom origin前提のSG/prefix list設計へ切替</t>
  </si>
  <si>
    <t>C-B4</t>
  </si>
  <si>
    <t>B-3でCIDR衝突が発覚した場合</t>
  </si>
  <si>
    <t>C-D18</t>
  </si>
  <si>
    <t>D-18.2で部分ウォーム復活を決定した場合</t>
  </si>
  <si>
    <t>U6常時コスト・大阪常設構成・C-1コストの再設計</t>
  </si>
  <si>
    <t>C-D19</t>
  </si>
  <si>
    <t>D-19で2クラスタ構成を変更する決定の場合</t>
  </si>
  <si>
    <t>U6/06a/CIDR/ADR-033/062/063の波及改訂 + 2-VPC設計（C-9/C-10）の手戻り</t>
  </si>
  <si>
    <t>C-F1</t>
  </si>
  <si>
    <t>U7 FIPS 140-3対応設計（暗号モジュール・ROSA FIPSモード・影響全単元）</t>
  </si>
  <si>
    <t>C-F3</t>
  </si>
  <si>
    <t>識別子/UX系（B-IDM/B-62x）で特殊要望が出た場合</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</si>
  <si>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</si>
  <si>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</si>
  <si>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</si>
  <si>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</si>
  <si>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</si>
  <si>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</si>
  <si>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</si>
  <si>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出典の小計</t>
  </si>
  <si>
    <t>積み上げ</t>
  </si>
  <si>
    <t>トリガー（〜の場合）</t>
  </si>
  <si>
    <t>増分人日</t>
  </si>
  <si>
    <t>CH-1</t>
  </si>
  <si>
    <t>顧客/ステークホルダーレビューで大幅な指摘が出た場合</t>
  </si>
  <si>
    <t>設計書の再構成 + 再レビュー</t>
  </si>
  <si>
    <t>CH-2</t>
  </si>
  <si>
    <t>機能数が想定70を大きく超過（100超）した場合</t>
  </si>
  <si>
    <t>機能仕様書の追加執筆（30機能×0.6）</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</si>
  <si>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</si>
  <si>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</si>
  <si>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</si>
  <si>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</si>
  <si>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</si>
  <si>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</si>
  <si>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</si>
  <si>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</si>
  <si>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</si>
  <si>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</si>
  <si>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</si>
  <si>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</si>
  <si>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</si>
  <si>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</si>
  <si>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</si>
  <si>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</si>
  <si>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</si>
  <si>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</si>
  <si>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</si>
  <si>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</si>
  <si>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</si>
  <si>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</si>
  <si>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</si>
  <si>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</si>
  <si>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</si>
  <si>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</si>
  <si>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</si>
  <si>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</si>
  <si>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</si>
  <si>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</si>
  <si>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</si>
  <si>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</si>
  <si>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</si>
  <si>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</si>
  <si>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</si>
  <si>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</si>
  <si>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</si>
  <si>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</si>
  <si>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</si>
  <si>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</si>
  <si>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</si>
  <si>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</si>
  <si>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</si>
  <si>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</si>
  <si>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</si>
  <si>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</si>
  <si>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</si>
  <si>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</si>
  <si>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</si>
  <si>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</si>
  <si>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</si>
  <si>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</si>
  <si>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</si>
  <si>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</si>
  <si>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</si>
  <si>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</si>
  <si>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</si>
  <si>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</si>
  <si>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</si>
  <si>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</si>
  <si>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</si>
  <si>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</si>
  <si>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</si>
  <si>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</si>
  <si>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</si>
  <si>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</si>
  <si>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</si>
  <si>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</si>
  <si>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</si>
  <si>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</si>
  <si>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</si>
  <si>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</si>
  <si>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</si>
  <si>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</si>
  <si>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</si>
  <si>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</si>
  <si>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</si>
  <si>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</si>
  <si>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</si>
  <si>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</si>
  <si>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</si>
  <si>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</si>
  <si>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</si>
  <si>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</si>
  <si>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</si>
  <si>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</si>
  <si>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</si>
  <si>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</si>
  <si>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</si>
  <si>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</si>
  <si>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</si>
  <si>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</si>
  <si>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</si>
  <si>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</si>
  <si>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</si>
  <si>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</si>
  <si>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</si>
  <si>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</si>
  <si>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</si>
  <si>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</si>
  <si>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</si>
  <si>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</si>
  <si>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</si>
  <si>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</si>
  <si>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</si>
  <si>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</si>
  <si>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</si>
  <si>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</si>
  <si>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</si>
  <si>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</si>
  <si>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</si>
  <si>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</si>
  <si>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</si>
  <si>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</si>
  <si>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</si>
  <si>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</si>
  <si>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</si>
  <si>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</si>
  <si>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</si>
  <si>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</si>
  <si>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</si>
  <si>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</si>
  <si>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</si>
  <si>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</si>
  <si>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</si>
  <si>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</si>
  <si>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</si>
  <si>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</si>
  <si>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</si>
  <si>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</si>
  <si>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</si>
  <si>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</si>
  <si>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</si>
  <si>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</si>
  <si>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</si>
  <si>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</si>
  <si>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</si>
  <si>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</si>
  <si>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</si>
  <si>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</si>
  <si>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</si>
  <si>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</si>
  <si>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</si>
  <si>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</si>
  <si>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</si>
  <si>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</si>
  <si>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</si>
  <si>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</si>
  <si>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</si>
  <si>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</si>
  <si>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</si>
  <si>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</si>
  <si>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</si>
  <si>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</si>
  <si>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</si>
  <si>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</si>
  <si>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</si>
  <si>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</si>
  <si>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</si>
  <si>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</si>
  <si>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</si>
  <si>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</si>
  <si>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</si>
  <si>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</si>
  <si>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</si>
  <si>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</si>
  <si>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</si>
  <si>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</si>
  <si>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</si>
  <si>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</si>
  <si>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</si>
  <si>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</si>
  <si>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</si>
  <si>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</si>
  <si>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</si>
  <si>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</si>
  <si>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</si>
  <si>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</si>
  <si>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</si>
  <si>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</si>
  <si>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</si>
  <si>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</si>
  <si>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</si>
  <si>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</si>
  <si>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</si>
  <si>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</si>
  <si>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</si>
  <si>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</si>
  <si>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</si>
  <si>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</si>
  <si>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</si>
  <si>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</si>
  <si>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</si>
  <si>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</si>
  <si>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</si>
  <si>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</si>
  <si>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</si>
  <si>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</si>
  <si>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</si>
  <si>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</si>
  <si>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</si>
  <si>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</si>
  <si>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</si>
  <si>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</si>
  <si>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</si>
  <si>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</si>
  <si>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</si>
  <si>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</si>
  <si>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</si>
  <si>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</si>
  <si>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</si>
  <si>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</si>
  <si>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</si>
  <si>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</si>
  <si>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</si>
  <si>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</si>
  <si>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</si>
  <si>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</si>
  <si>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</si>
  <si>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</si>
  <si>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</si>
  <si>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</si>
  <si>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</si>
  <si>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</si>
  <si>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</si>
  <si>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</si>
  <si>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</si>
  <si>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</si>
  <si>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</si>
  <si>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</si>
  <si>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</si>
  <si>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</si>
  <si>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</si>
  <si>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</si>
  <si>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</si>
  <si>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</si>
  <si>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</si>
  <si>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</si>
  <si>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出典: 00a v2.3 §2C（C-*）／deliverables v3 §4（CH-*）／wbs-build-refinement §4（CB-*）／wbs-test-refinement §5（CT-*）</t>
  </si>
  <si>
    <t>★運用ルール②: C-F2 と C-D18 は同一実体のため二重計上禁止（本表ではC-F2を計上していない）</t>
  </si>
  <si>
    <t>① 設計</t>
  </si>
  <si>
    <t>CGNAT退避の適用設計</t>
  </si>
  <si>
    <t>FIPS（C-201）が「必要」と回答された場合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</si>
  <si>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</si>
  <si>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</si>
  <si>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</si>
  <si>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</si>
  <si>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</si>
  <si>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</si>
  <si>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</si>
  <si>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</si>
  <si>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</si>
  <si>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</si>
  <si>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</si>
  <si>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</si>
  <si>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設計（C-* 16件）</t>
  </si>
  <si>
    <t>① 設計(H)（CH-* 5件）</t>
  </si>
  <si>
    <t>④ テスト（CT-* 6件）</t>
  </si>
  <si>
    <t>★体制目安: 2名で約16ヶ月 ／ 3名で約11ヶ月 ／ 4名で約8.5ヶ月。A系（調査）とH系（設計書執筆）の2系統並走が最も効く</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</si>
  <si>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</si>
  <si>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</si>
  <si>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同上のOkta差分</t>
    <phoneticPr fontId="2"/>
  </si>
  <si>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</si>
  <si>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</si>
  <si>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</si>
  <si>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</si>
  <si>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</si>
  <si>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</si>
  <si>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</si>
  <si>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</si>
  <si>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</si>
  <si>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</si>
  <si>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</si>
  <si>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</si>
  <si>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</si>
  <si>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</si>
  <si>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</si>
  <si>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</si>
  <si>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</si>
  <si>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</si>
  <si>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</si>
  <si>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</si>
  <si>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</si>
  <si>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</si>
  <si>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</si>
  <si>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</si>
  <si>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</si>
  <si>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</si>
  <si>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</si>
  <si>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</si>
  <si>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</si>
  <si>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</si>
  <si>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</si>
  <si>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</si>
  <si>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</si>
  <si>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</si>
  <si>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</si>
  <si>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</si>
  <si>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</si>
  <si>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</si>
  <si>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</si>
  <si>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</si>
  <si>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</si>
  <si>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</si>
  <si>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</si>
  <si>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</si>
  <si>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</si>
  <si>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</si>
  <si>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</si>
  <si>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</si>
  <si>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</si>
  <si>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</si>
  <si>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</si>
  <si>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</si>
  <si>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</si>
  <si>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</si>
  <si>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</si>
  <si>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</si>
  <si>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</si>
  <si>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</si>
  <si>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</si>
  <si>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</si>
  <si>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条件付きプール（分岐）一覧 — 合計 300 人日（設計152 ／ 構築98 ／ テスト50）</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</si>
  <si>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</si>
  <si>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</si>
  <si>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</si>
  <si>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</si>
  <si>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</si>
  <si>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</si>
  <si>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</si>
  <si>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</si>
  <si>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</si>
  <si>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</si>
  <si>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</si>
  <si>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</si>
  <si>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</si>
  <si>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</si>
  <si>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A. PoC・技術ゲート実測（調査98人日／39件）</t>
  </si>
  <si>
    <t>B. 他組織・エッジ連携確定（検討23人日／9件）</t>
  </si>
  <si>
    <t>D. 未確定設計の合同確定（検討56人日／31件）</t>
  </si>
  <si>
    <t>E. 新規検討領域（調査10+検討23人日／10件）</t>
  </si>
  <si>
    <t>F. ヒアリング・契約・法務（検討15人日／4件）</t>
  </si>
  <si>
    <t>G. 運用実体化（検討22人日／14件）</t>
  </si>
  <si>
    <t>HA-01〜HK-09</t>
    <phoneticPr fontId="2"/>
  </si>
  <si>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</si>
  <si>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</si>
  <si>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</si>
  <si>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</si>
  <si>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</si>
  <si>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</si>
  <si>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</si>
  <si>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</si>
  <si>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</si>
  <si>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</si>
  <si>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</si>
  <si>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</si>
  <si>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</si>
  <si>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</si>
  <si>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</si>
  <si>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</si>
  <si>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</si>
  <si>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</si>
  <si>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</si>
  <si>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</si>
  <si>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</si>
  <si>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</si>
  <si>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</si>
  <si>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</si>
  <si>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</si>
  <si>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</si>
  <si>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</si>
  <si>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</si>
  <si>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</si>
  <si>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</si>
  <si>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</si>
  <si>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</si>
  <si>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</si>
  <si>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</si>
  <si>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</si>
  <si>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</si>
  <si>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</si>
  <si>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</si>
  <si>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Realm/Flow/Mapper/User Profileの実装仕様（10DU）</t>
  </si>
  <si>
    <t>DDB-02</t>
  </si>
  <si>
    <t>U3 ID・プロビ</t>
  </si>
  <si>
    <t>SCIM Facade/射影/outbox/状態機械（11DU）</t>
  </si>
  <si>
    <t>DDB-03</t>
  </si>
  <si>
    <t>U4 UX</t>
  </si>
  <si>
    <t>Theme/SPA/リカバリ導線（11DU）</t>
  </si>
  <si>
    <t>DDB-04</t>
  </si>
  <si>
    <t>クレーム/TTL/revoke/CAEP（8DU）</t>
  </si>
  <si>
    <t>DDB-05</t>
  </si>
  <si>
    <t>U6 インフラ</t>
  </si>
  <si>
    <t>VPC/NLB/PrivateLink/Lambda配置（14DU）</t>
  </si>
  <si>
    <t>DDB-06</t>
  </si>
  <si>
    <t>KMS/ITDR/PAM/マスキング/NHI（18DU）</t>
  </si>
  <si>
    <t>DDB-07</t>
  </si>
  <si>
    <t>SLO/再構築/データ保全（12DU）</t>
  </si>
  <si>
    <t>DDB-08</t>
  </si>
  <si>
    <t>OTel/ログ3層/Runbook連動/オンボAPI（12DU）</t>
  </si>
  <si>
    <t>DDB-09</t>
  </si>
  <si>
    <t>U10 連携</t>
  </si>
  <si>
    <t>idm-api/Webhook/SN/DSAR（11DU）</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</si>
  <si>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</si>
  <si>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</si>
  <si>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</si>
  <si>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</si>
  <si>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</si>
  <si>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</si>
  <si>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</si>
  <si>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</si>
  <si>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</si>
  <si>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</si>
  <si>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</si>
  <si>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</si>
  <si>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</si>
  <si>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</si>
  <si>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</si>
  <si>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</si>
  <si>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</si>
  <si>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</si>
  <si>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</si>
  <si>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</si>
  <si>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</si>
  <si>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</si>
  <si>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</si>
  <si>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</si>
  <si>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</si>
  <si>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</si>
  <si>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</si>
  <si>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</si>
  <si>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</si>
  <si>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</si>
  <si>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</si>
  <si>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</si>
  <si>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</si>
  <si>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</si>
  <si>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</si>
  <si>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</si>
  <si>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</si>
  <si>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</si>
  <si>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</si>
  <si>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</si>
  <si>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</si>
  <si>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</si>
  <si>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</si>
  <si>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</si>
  <si>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</si>
  <si>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</si>
  <si>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</si>
  <si>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</si>
  <si>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</si>
  <si>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</si>
  <si>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</si>
  <si>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</si>
  <si>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</si>
  <si>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</si>
  <si>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</si>
  <si>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</si>
  <si>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</si>
  <si>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</si>
  <si>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</si>
  <si>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</si>
  <si>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</si>
  <si>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</si>
  <si>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</si>
  <si>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</si>
  <si>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</si>
  <si>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</si>
  <si>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</si>
  <si>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</si>
  <si>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</si>
  <si>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</si>
  <si>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</si>
  <si>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</si>
  <si>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</si>
  <si>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</si>
  <si>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</si>
  <si>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</si>
  <si>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</si>
  <si>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</si>
  <si>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HRD Authenticatorクラス設計</t>
  </si>
  <si>
    <t>DDH-02</t>
  </si>
  <si>
    <t>JIT制御・Re-Activationクラス設計</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</si>
  <si>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</si>
  <si>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</si>
  <si>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</si>
  <si>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</si>
  <si>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</si>
  <si>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</si>
  <si>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</si>
  <si>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</si>
  <si>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</si>
  <si>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</si>
  <si>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</si>
  <si>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</si>
  <si>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</si>
  <si>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</si>
  <si>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</si>
  <si>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</si>
  <si>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</si>
  <si>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</si>
  <si>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</si>
  <si>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</si>
  <si>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</si>
  <si>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</si>
  <si>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</si>
  <si>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</si>
  <si>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</si>
  <si>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</si>
  <si>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</si>
  <si>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</si>
  <si>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</si>
  <si>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</si>
  <si>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</si>
  <si>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</si>
  <si>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</si>
  <si>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</si>
  <si>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</si>
  <si>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</si>
  <si>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</si>
  <si>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</si>
  <si>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</si>
  <si>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</si>
  <si>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</si>
  <si>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</si>
  <si>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</si>
  <si>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</si>
  <si>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</si>
  <si>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</si>
  <si>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</si>
  <si>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</si>
  <si>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</si>
  <si>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</si>
  <si>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</si>
  <si>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</si>
  <si>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</si>
  <si>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</si>
  <si>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</si>
  <si>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</si>
  <si>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</si>
  <si>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</si>
  <si>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</si>
  <si>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</si>
  <si>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</si>
  <si>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</si>
  <si>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</si>
  <si>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</si>
  <si>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</si>
  <si>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</si>
  <si>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</si>
  <si>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</si>
  <si>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</si>
  <si>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</si>
  <si>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</si>
  <si>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</si>
  <si>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</si>
  <si>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</si>
  <si>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</si>
  <si>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</si>
  <si>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</si>
  <si>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</si>
  <si>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</si>
  <si>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</si>
  <si>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</si>
  <si>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</si>
  <si>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</si>
  <si>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</si>
  <si>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</si>
  <si>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</si>
  <si>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</si>
  <si>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</si>
  <si>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</si>
  <si>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</si>
  <si>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</si>
  <si>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</si>
  <si>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</si>
  <si>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</si>
  <si>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</si>
  <si>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</si>
  <si>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</si>
  <si>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</si>
  <si>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</si>
  <si>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</si>
  <si>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</si>
  <si>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</si>
  <si>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</si>
  <si>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</si>
  <si>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</si>
  <si>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</si>
  <si>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</si>
  <si>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</si>
  <si>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</si>
  <si>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</si>
  <si>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</si>
  <si>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</si>
  <si>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</si>
  <si>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</si>
  <si>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</si>
  <si>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</si>
  <si>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</si>
  <si>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</si>
  <si>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</si>
  <si>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</si>
  <si>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</si>
  <si>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</si>
  <si>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</si>
  <si>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</si>
  <si>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</si>
  <si>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</si>
  <si>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</si>
  <si>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</si>
  <si>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</si>
  <si>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</si>
  <si>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</si>
  <si>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</si>
  <si>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</si>
  <si>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</si>
  <si>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</si>
  <si>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</si>
  <si>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</si>
  <si>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</si>
  <si>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</si>
  <si>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</si>
  <si>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</si>
  <si>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</si>
  <si>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</si>
  <si>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</si>
  <si>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</si>
  <si>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</si>
  <si>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</si>
  <si>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</si>
  <si>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</si>
  <si>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</si>
  <si>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</si>
  <si>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</si>
  <si>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</si>
  <si>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</si>
  <si>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</si>
  <si>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</si>
  <si>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</si>
  <si>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</si>
  <si>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</si>
  <si>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</si>
  <si>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</si>
  <si>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</si>
  <si>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</si>
  <si>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</si>
  <si>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</si>
  <si>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</si>
  <si>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</si>
  <si>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</si>
  <si>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</si>
  <si>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</si>
  <si>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</si>
  <si>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</si>
  <si>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</si>
  <si>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</si>
  <si>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</si>
  <si>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</si>
  <si>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</si>
  <si>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</si>
  <si>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</si>
  <si>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</si>
  <si>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</si>
  <si>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</si>
  <si>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</si>
  <si>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</si>
  <si>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</si>
  <si>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</si>
  <si>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</si>
  <si>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</si>
  <si>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</si>
  <si>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</si>
  <si>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</si>
  <si>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</si>
  <si>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</si>
  <si>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</si>
  <si>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</si>
  <si>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</si>
  <si>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★1シート1テーブル。工程列でフィルタすれば②③を分けて見られ、そのままピボットできる。DD-I 単体テスト仕様72は②に計上（WBS(テスト)の421＝結合以降とは別物）</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</si>
  <si>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</si>
  <si>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</si>
  <si>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</si>
  <si>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</si>
  <si>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</si>
  <si>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</si>
  <si>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群／サブグループ</t>
  </si>
  <si>
    <t>項目（サブタスク）</t>
  </si>
  <si>
    <t>★1シート1テーブル。クラスタ列・群列でフィルタすればそのままピボットできる（小計表は置かない）。並び順: クラスタ A→H → 群 → ID</t>
  </si>
  <si>
    <t>マスキングまたは合成データ＋平文非着地の機械検査／DoD: 非本番に本番の個人情報が入らない。負荷試験データも合成</t>
    <phoneticPr fontId="2"/>
  </si>
  <si>
    <t>テナントスケール</t>
    <phoneticPr fontId="2"/>
  </si>
  <si>
    <t>A-2 G-SPI-Compat</t>
    <phoneticPr fontId="2"/>
  </si>
  <si>
    <t>部（ガイド章立て）</t>
  </si>
  <si>
    <t>優先度（P0/P1/P2）</t>
  </si>
  <si>
    <t>A-1.1</t>
    <phoneticPr fontId="2"/>
  </si>
  <si>
    <t>A-1 G-IdP-Scale</t>
    <phoneticPr fontId="2"/>
  </si>
  <si>
    <t>環境+データセット</t>
    <phoneticPr fontId="2"/>
  </si>
  <si>
    <t>ROSA試験環境 + 1000/2000 IdP・Org 生成投入スクリプト（keycloak-benchmark/Gatling）</t>
    <phoneticPr fontId="2"/>
  </si>
  <si>
    <t>E-2 計画</t>
    <phoneticPr fontId="2"/>
  </si>
  <si>
    <t>A-1.2</t>
    <phoneticPr fontId="2"/>
  </si>
  <si>
    <t>認証実測</t>
    <phoneticPr fontId="2"/>
  </si>
  <si>
    <t>フェデ/HRD解決のp99（ベースライン比 +10%以内で判定）</t>
    <phoneticPr fontId="2"/>
  </si>
  <si>
    <t>A-1.3</t>
    <phoneticPr fontId="2"/>
  </si>
  <si>
    <t>Admin/オンボーディング実測</t>
    <phoneticPr fontId="2"/>
  </si>
  <si>
    <t>IdP追加・一覧応答・Terraform plan 分割閾値の実測</t>
    <phoneticPr fontId="2"/>
  </si>
  <si>
    <t>A-1.4</t>
    <phoneticPr fontId="2"/>
  </si>
  <si>
    <t>キャッシュ/メモリ実測</t>
    <phoneticPr fontId="2"/>
  </si>
  <si>
    <t>realm cacheメモリ・ウォームアップ・Pod再起動後回復（O-U8-4）</t>
    <phoneticPr fontId="2"/>
  </si>
  <si>
    <t>A-1.5</t>
    <phoneticPr fontId="2"/>
  </si>
  <si>
    <t>パッチ回帰</t>
    <phoneticPr fontId="2"/>
  </si>
  <si>
    <t>1000 IdP状態でのrolling patch回帰（禁則K-11の前提）</t>
    <phoneticPr fontId="2"/>
  </si>
  <si>
    <t>A-1.6</t>
    <phoneticPr fontId="2"/>
  </si>
  <si>
    <t>infra Pool/監視入力</t>
    <phoneticPr fontId="2"/>
  </si>
  <si>
    <t>O-11／O-U9-2（監視系列数・infra Poolサイジング）への実測値整理</t>
    <phoneticPr fontId="2"/>
  </si>
  <si>
    <t>A-1.2〜4</t>
    <phoneticPr fontId="2"/>
  </si>
  <si>
    <t>A-1.7</t>
    <phoneticPr fontId="2"/>
  </si>
  <si>
    <t>設計反映</t>
    <phoneticPr fontId="2"/>
  </si>
  <si>
    <t>U2 §2.7 キャッシュ最終値・U6サイジング・ゲート判定記録</t>
    <phoneticPr fontId="2"/>
  </si>
  <si>
    <t>A-1.2〜6</t>
    <phoneticPr fontId="2"/>
  </si>
  <si>
    <t>A-2.1</t>
    <phoneticPr fontId="2"/>
  </si>
  <si>
    <t>環境</t>
    <phoneticPr fontId="2"/>
  </si>
  <si>
    <t>RHBK 26.4 + Operator Custom Image ビルドチェーン</t>
    <phoneticPr fontId="2"/>
  </si>
  <si>
    <t>RHBK環境</t>
    <phoneticPr fontId="2"/>
  </si>
  <si>
    <t>A-2.2</t>
    <phoneticPr fontId="2"/>
  </si>
  <si>
    <t>SPI×4 個別互換</t>
    <phoneticPr fontId="2"/>
  </si>
  <si>
    <t>HRD／JIT案B／Re-Activation／mfa_indicator の各機能互換</t>
    <phoneticPr fontId="2"/>
  </si>
  <si>
    <t>A-2.3</t>
    <phoneticPr fontId="2"/>
  </si>
  <si>
    <t>Flow配置発火</t>
    <phoneticPr fontId="2"/>
  </si>
  <si>
    <t>3系統Flow + formsサブフロー（PoC F-6準拠）で全経路発火</t>
    <phoneticPr fontId="2"/>
  </si>
  <si>
    <t>A-2.4</t>
    <phoneticPr fontId="2"/>
  </si>
  <si>
    <t>周辺互換</t>
    <phoneticPr fontId="2"/>
  </si>
  <si>
    <t>storeToken=false×id_token_hint・属性ポリシー・CVE-2025-14559回避</t>
    <phoneticPr fontId="2"/>
  </si>
  <si>
    <t>A-2.5</t>
    <phoneticPr fontId="2"/>
  </si>
  <si>
    <t>Micrometer計装</t>
    <phoneticPr fontId="2"/>
  </si>
  <si>
    <t>SPI内計装のRHBK互換（O-U9-5）</t>
    <phoneticPr fontId="2"/>
  </si>
  <si>
    <t>A-3.1</t>
    <phoneticPr fontId="2"/>
  </si>
  <si>
    <t>A-3 G-SCIM</t>
    <phoneticPr fontId="2"/>
  </si>
  <si>
    <t>Facadeプロトタイプ</t>
    <phoneticPr fontId="2"/>
  </si>
  <si>
    <t>SCIM 2.0受信・認証・テナントルーティングの最小実装</t>
    <phoneticPr fontId="2"/>
  </si>
  <si>
    <t>A-3.2</t>
    <phoneticPr fontId="2"/>
  </si>
  <si>
    <t>Validator準拠</t>
    <phoneticPr fontId="2"/>
  </si>
  <si>
    <t>Entra/Okta SCIM Validator 合格</t>
    <phoneticPr fontId="2"/>
  </si>
  <si>
    <t>A-3.3</t>
    <phoneticPr fontId="2"/>
  </si>
  <si>
    <t>D1/D2 E2E</t>
    <phoneticPr fontId="2"/>
  </si>
  <si>
    <t>作成/更新/DELETE→Soft Delete写像・deprovisioned_atセット</t>
    <phoneticPr fontId="2"/>
  </si>
  <si>
    <t>A-3.4</t>
    <phoneticPr fontId="2"/>
  </si>
  <si>
    <t>500/1000テナント externalId検索 p99</t>
    <phoneticPr fontId="2"/>
  </si>
  <si>
    <t>A-3.5</t>
    <phoneticPr fontId="2"/>
  </si>
  <si>
    <t>バルク+流量</t>
    <phoneticPr fontId="2"/>
  </si>
  <si>
    <t>バルク5万件・Writer流量制御下の他テナント遅延</t>
    <phoneticPr fontId="2"/>
  </si>
  <si>
    <t>A-3.6</t>
    <phoneticPr fontId="2"/>
  </si>
  <si>
    <t>射影読取+反映</t>
    <phoneticPr fontId="2"/>
  </si>
  <si>
    <t>統合射影の読取p99 + U3 §3.7/3.8への反映</t>
    <phoneticPr fontId="2"/>
  </si>
  <si>
    <t>廃止（2026-07-30、LDAP顧客なし）</t>
    <phoneticPr fontId="2"/>
  </si>
  <si>
    <t>廃止</t>
    <phoneticPr fontId="2"/>
  </si>
  <si>
    <t>A-5.1</t>
    <phoneticPr fontId="2"/>
  </si>
  <si>
    <t>A-5 SAML経由JIT</t>
    <phoneticPr fontId="2"/>
  </si>
  <si>
    <t>モック環境</t>
    <phoneticPr fontId="2"/>
  </si>
  <si>
    <t>SAML IdPモック（B-SCIM-12）</t>
    <phoneticPr fontId="2"/>
  </si>
  <si>
    <t>A-5.2</t>
    <phoneticPr fontId="2"/>
  </si>
  <si>
    <t>NameID差検証</t>
    <phoneticPr fontId="2"/>
  </si>
  <si>
    <t>persistent/unspecified差でのSPI発火・突合</t>
    <phoneticPr fontId="2"/>
  </si>
  <si>
    <t>A-5.3</t>
    <phoneticPr fontId="2"/>
  </si>
  <si>
    <t>D-11入力整理</t>
    <phoneticPr fontId="2"/>
  </si>
  <si>
    <t>テンプレート設計への差分整理</t>
    <phoneticPr fontId="2"/>
  </si>
  <si>
    <t>A-6.1</t>
    <phoneticPr fontId="2"/>
  </si>
  <si>
    <t>A-6 実IdP</t>
    <phoneticPr fontId="2"/>
  </si>
  <si>
    <t>Entra ID trial</t>
    <phoneticPr fontId="2"/>
  </si>
  <si>
    <t>Claims・iss・login_hint・amrの実機差</t>
    <phoneticPr fontId="2"/>
  </si>
  <si>
    <t>A-5後推奨</t>
    <phoneticPr fontId="2"/>
  </si>
  <si>
    <t>A-6.2</t>
    <phoneticPr fontId="2"/>
  </si>
  <si>
    <t>Okta trial</t>
    <phoneticPr fontId="2"/>
  </si>
  <si>
    <t>A-6.3</t>
    <phoneticPr fontId="2"/>
  </si>
  <si>
    <t>SPI発火+mfa_indicator</t>
    <phoneticPr fontId="2"/>
  </si>
  <si>
    <t>実IdPでのSPI発火・mfa_indicator Mapper動作</t>
    <phoneticPr fontId="2"/>
  </si>
  <si>
    <t>A-6.4</t>
    <phoneticPr fontId="2"/>
  </si>
  <si>
    <t>U2 §2.4 Mapper・HRDへの差分反映</t>
    <phoneticPr fontId="2"/>
  </si>
  <si>
    <t>A-7.1</t>
    <phoneticPr fontId="2"/>
  </si>
  <si>
    <t>A-7 G-OSAKA</t>
    <phoneticPr fontId="2"/>
  </si>
  <si>
    <t>在庫・クォータ照会</t>
    <phoneticPr fontId="2"/>
  </si>
  <si>
    <t>大阪 c7g/c7i 在庫・vCPUクォータ実確認</t>
    <phoneticPr fontId="2"/>
  </si>
  <si>
    <t>A-7.2</t>
    <phoneticPr fontId="2"/>
  </si>
  <si>
    <t>arm64対応確認</t>
    <phoneticPr fontId="2"/>
  </si>
  <si>
    <t>arm64 Machine Pool・RHBK Operator arm64 + 反映</t>
    <phoneticPr fontId="2"/>
  </si>
  <si>
    <t>Argon2idスループット実測</t>
    <phoneticPr fontId="2"/>
  </si>
  <si>
    <t>KCデフォルト（m=7MiB/t=5）req/s実測 → サイジング補正</t>
    <phoneticPr fontId="2"/>
  </si>
  <si>
    <t>A-1環境相乗り</t>
    <phoneticPr fontId="2"/>
  </si>
  <si>
    <t>SAMLメタデータ自動更新の実機確認</t>
    <phoneticPr fontId="2"/>
  </si>
  <si>
    <t>「Use metadata descriptor URL + Refresh period」実在・動作（Discussion #27828）</t>
    <phoneticPr fontId="2"/>
  </si>
  <si>
    <t>A-10.1</t>
    <phoneticPr fontId="2"/>
  </si>
  <si>
    <t>A-10 SPI負荷</t>
    <phoneticPr fontId="2"/>
  </si>
  <si>
    <t>debounce</t>
    <phoneticPr fontId="2"/>
  </si>
  <si>
    <t>100 RPS×24h×10万ユーザのAurora IOPS／invalidate／Podリソース</t>
    <phoneticPr fontId="2"/>
  </si>
  <si>
    <t>A-10.2</t>
    <phoneticPr fontId="2"/>
  </si>
  <si>
    <t>Event Listener emit</t>
    <phoneticPr fontId="2"/>
  </si>
  <si>
    <t>同期PutEventsのToken p99影響・スロットリング・実流量（U7 D-U7-04a）</t>
    <phoneticPr fontId="2"/>
  </si>
  <si>
    <t>小粒実機確認バンドル（4点×0.5）</t>
    <phoneticPr fontId="2"/>
  </si>
  <si>
    <t>①multi-cluster v2版数+EUS/チャネル ②ROSA SA issuer JWKS ③RFC 8414形式提供有無（kc#45271）④kc_idp_hintテナント存在オラクル3パターン+SAML descriptor到達性（O-U7-10）</t>
    <phoneticPr fontId="2"/>
  </si>
  <si>
    <t>A-12.1</t>
    <phoneticPr fontId="2"/>
  </si>
  <si>
    <t>A-12 SN実機</t>
    <phoneticPr fontId="2"/>
  </si>
  <si>
    <t>SAML Client</t>
    <phoneticPr fontId="2"/>
  </si>
  <si>
    <t>CL-SN-01（NameID=username／RSA-SHA256／IdP-init無効）実機</t>
    <phoneticPr fontId="2"/>
  </si>
  <si>
    <t>A-12.2</t>
    <phoneticPr fontId="2"/>
  </si>
  <si>
    <t>パターン②統合</t>
    <phoneticPr fontId="2"/>
  </si>
  <si>
    <t>L1 SCIM→L2 SAML JIT 統合フロー</t>
    <phoneticPr fontId="2"/>
  </si>
  <si>
    <t>A-12.3</t>
    <phoneticPr fontId="2"/>
  </si>
  <si>
    <t>突合+Webhook</t>
    <phoneticPr fontId="2"/>
  </si>
  <si>
    <t>Matching Field（employee_number）+ Webhook（HMAC/冪等）</t>
    <phoneticPr fontId="2"/>
  </si>
  <si>
    <t>A-13</t>
    <phoneticPr fontId="2"/>
  </si>
  <si>
    <t>G-UProfile-Email 実機（新規・2026-08-03ゲート）</t>
    <phoneticPr fontId="2"/>
  </si>
  <si>
    <t>email任意化で3経路（新規/JIT/Admin）完走・kc#21265/#33497回避確認（U2 §2.8.1）</t>
    <phoneticPr fontId="2"/>
  </si>
  <si>
    <t>A-2環境相乗り</t>
    <phoneticPr fontId="2"/>
  </si>
  <si>
    <t>A-14</t>
    <phoneticPr fontId="2"/>
  </si>
  <si>
    <t>G-SSF 実機（新規・2026-08-12ゲート）</t>
    <phoneticPr fontId="2"/>
  </si>
  <si>
    <t>KC experimental SSF transmitter動作・receiver要否・outbox自作SETエミッタ比較（ADR-065）</t>
    <phoneticPr fontId="2"/>
  </si>
  <si>
    <t>A-15</t>
    <phoneticPr fontId="2"/>
  </si>
  <si>
    <t>G-SRE-LogVis 実機（新規・2026-08-14ゲート）</t>
    <phoneticPr fontId="2"/>
  </si>
  <si>
    <t>oc logs にPII非出力（ソース側マスク+ログレベル）実機確認 + Approved Access有効化手順確認</t>
    <phoneticPr fontId="2"/>
  </si>
  <si>
    <t>D-20 方式</t>
    <phoneticPr fontId="2"/>
  </si>
  <si>
    <t>B-1.1</t>
    <phoneticPr fontId="2"/>
  </si>
  <si>
    <t>要求仕様書v1 体裁化・発行</t>
    <phoneticPr fontId="2"/>
  </si>
  <si>
    <t>REQ-IN/OUT/DR 全24件の要求仕様書化 + O-4／O-7／O-10 論点添付</t>
    <phoneticPr fontId="2"/>
  </si>
  <si>
    <t>DR系のみ D-18.2</t>
    <phoneticPr fontId="2"/>
  </si>
  <si>
    <t>B-1.2</t>
    <phoneticPr fontId="2"/>
  </si>
  <si>
    <t>先方QA対応</t>
    <phoneticPr fontId="2"/>
  </si>
  <si>
    <t>質疑往復（2巡想定）・論点整理</t>
    <phoneticPr fontId="2"/>
  </si>
  <si>
    <t>B-1.3</t>
    <phoneticPr fontId="2"/>
  </si>
  <si>
    <t>回答反映（期待経路）</t>
    <phoneticPr fontId="2"/>
  </si>
  <si>
    <t>回答が要求どおり合意した場合の各単元反映</t>
    <phoneticPr fontId="2"/>
  </si>
  <si>
    <t>B-2.1</t>
    <phoneticPr fontId="2"/>
  </si>
  <si>
    <t>CF→エッジLB到達方式の技術詰め</t>
    <phoneticPr fontId="2"/>
  </si>
  <si>
    <t>custom origin vs VPC origins × NFW ingressルート × In-B相性（REQ-IN-13／O-APP-1）</t>
    <phoneticPr fontId="2"/>
  </si>
  <si>
    <t>B-2.2</t>
    <phoneticPr fontId="2"/>
  </si>
  <si>
    <t>協議資料化</t>
    <phoneticPr fontId="2"/>
  </si>
  <si>
    <t>先方向け比較資料</t>
    <phoneticPr fontId="2"/>
  </si>
  <si>
    <t>CIDR台帳の凍結</t>
    <phoneticPr fontId="2"/>
  </si>
  <si>
    <t>社内NW・他組織・顧客CIDR入手と衝突確認（install後変更不可のため構築前必須）</t>
    <phoneticPr fontId="2"/>
  </si>
  <si>
    <t>社内NW</t>
    <phoneticPr fontId="2"/>
  </si>
  <si>
    <t>B-4.1</t>
    <phoneticPr fontId="2"/>
  </si>
  <si>
    <t>G-EGRESS 合意資料</t>
    <phoneticPr fontId="2"/>
  </si>
  <si>
    <t>方式①（初期一括+都度）のSLA文言確定資料</t>
    <phoneticPr fontId="2"/>
  </si>
  <si>
    <t>B-4.2</t>
    <phoneticPr fontId="2"/>
  </si>
  <si>
    <t>G-EDGE-DR 合意資料</t>
    <phoneticPr fontId="2"/>
  </si>
  <si>
    <t>DR方式再判断（D-18.2）結果を反映した合意資料</t>
    <phoneticPr fontId="2"/>
  </si>
  <si>
    <t>D-18.2</t>
    <phoneticPr fontId="2"/>
  </si>
  <si>
    <t>Canary Bot除外合意</t>
    <phoneticPr fontId="2"/>
  </si>
  <si>
    <t>Canary送信元のWAF誤検知除外をREQ追補へ</t>
    <phoneticPr fontId="2"/>
  </si>
  <si>
    <t>C-1.1</t>
    <phoneticPr fontId="2"/>
  </si>
  <si>
    <t>C-1 U6是正</t>
    <phoneticPr fontId="2"/>
  </si>
  <si>
    <t>Podモデル</t>
    <phoneticPr fontId="2"/>
  </si>
  <si>
    <t>「27 Pod」不整合是正・少数大型Podモデルへの設計判断</t>
    <phoneticPr fontId="2"/>
  </si>
  <si>
    <t>C-1.2</t>
    <phoneticPr fontId="2"/>
  </si>
  <si>
    <t>接続予算</t>
    <phoneticPr fontId="2"/>
  </si>
  <si>
    <t>D-U6-08への接続予算規約追加</t>
    <phoneticPr fontId="2"/>
  </si>
  <si>
    <t>C-1.3</t>
    <phoneticPr fontId="2"/>
  </si>
  <si>
    <t>再計算</t>
    <phoneticPr fontId="2"/>
  </si>
  <si>
    <t>フェデ:IdP-KC=50:50 + P-02時点分離（初回100〜500万MAU）での初期サイジング/コスト再計算</t>
    <phoneticPr fontId="2"/>
  </si>
  <si>
    <t>Baseline整合3点（各0.5〜1）</t>
    <phoneticPr fontId="2"/>
  </si>
  <si>
    <t>①NFR-3 10M改訂 ②§C-7改訂ステータスの01/00-index突合 ③P-09「RT 30日」精密化</t>
    <phoneticPr fontId="2"/>
  </si>
  <si>
    <t>ADR反映残の一括処理（7本×0.5）</t>
    <phoneticPr fontId="2"/>
  </si>
  <si>
    <t>ADR-051（12項目）/053/059/019/048/038/023 §L.8</t>
    <phoneticPr fontId="2"/>
  </si>
  <si>
    <t>小粒登録4点</t>
    <phoneticPr fontId="2"/>
  </si>
  <si>
    <t>legacy_spi D3-04行／REQ-IN-12のU6登録／REQ-OUT-06起票／A6a-2承認</t>
    <phoneticPr fontId="2"/>
  </si>
  <si>
    <t>宙に浮いた参照8件の解消</t>
    <phoneticPr fontId="2"/>
  </si>
  <si>
    <t>idp_priority(→D-1)／AAL一覧(→D-2)／canary(→D-9)／L4 JIT API(→D-15)／drawio(→G-4)／00計画書Sorry旧記述／§C-7／ADR-040・036追跡(→F-4)。+ D-3/D-4解消の後始末（U3-OP-2/3クローズ記録）</t>
    <phoneticPr fontId="2"/>
  </si>
  <si>
    <t>research波及文書修正</t>
    <phoneticPr fontId="2"/>
  </si>
  <si>
    <t>rosa-detailed-analysis §4/§7、rhbk-support-and-pricing §4.5</t>
    <phoneticPr fontId="2"/>
  </si>
  <si>
    <t>U7のPCI記述を「Phase 1対象外（将来再開可）」へ降格</t>
    <phoneticPr fontId="2"/>
  </si>
  <si>
    <t>LDAP経路の対象外化</t>
    <phoneticPr fontId="2"/>
  </si>
  <si>
    <t>U2/U3・ADR-025 §Hへ「Phase 1対象外」注記</t>
    <phoneticPr fontId="2"/>
  </si>
  <si>
    <t>C-9</t>
    <phoneticPr fontId="2"/>
  </si>
  <si>
    <t>U6 §6.2 の2-VPC分離（B案）本文再編（新規）</t>
    <phoneticPr fontId="2"/>
  </si>
  <si>
    <t>決定ブロック止まりの現状を、サブネット4層→VPC-K/VPC-M 2VPC構成の本文として全面改稿（topology noteを正、CIDR実値はP-17=D-19確定待ちの変数化）</t>
    <phoneticPr fontId="2"/>
  </si>
  <si>
    <t>D-19</t>
    <phoneticPr fontId="2"/>
  </si>
  <si>
    <t>C-10</t>
    <phoneticPr fontId="2"/>
  </si>
  <si>
    <t>06a §A.6 の2-VPC反映（新規）</t>
    <phoneticPr fontId="2"/>
  </si>
  <si>
    <t>全体図・アカウント別詳細・IP割当表を2-VPC／EPS-OIDC／EPS-Admin構成へ更新</t>
    <phoneticPr fontId="2"/>
  </si>
  <si>
    <t>C-11</t>
    <phoneticPr fontId="2"/>
  </si>
  <si>
    <t>C-11 標準仕様の参照是正</t>
    <phoneticPr fontId="2"/>
  </si>
  <si>
    <t>IETF draft表記のRFC化対応</t>
    <phoneticPr fontId="2"/>
  </si>
  <si>
    <t>U5 §5.6.2 の「IETF draft」表記を「RFC 10017 / BCP 212」へ改訂。implicitの禁止強度も SHOULD NOT → MUST NOT に統一（アプリ向けには強い方で統一）</t>
    <phoneticPr fontId="2"/>
  </si>
  <si>
    <t>idp_priority + Orgセレクター表示順</t>
    <phoneticPr fontId="2"/>
  </si>
  <si>
    <t>U2×U4合同（U2 §2.1.4／U4 #10）</t>
    <phoneticPr fontId="2"/>
  </si>
  <si>
    <t>AAL2/AAL3要求操作一覧</t>
    <phoneticPr fontId="2"/>
  </si>
  <si>
    <t>RP契約の前倒し確定（U5 §5.9.1 #2）</t>
    <phoneticPr fontId="2"/>
  </si>
  <si>
    <t>B-APP-STEPUP-1暫定可</t>
    <phoneticPr fontId="2"/>
  </si>
  <si>
    <t>解消（2026-08-06 ADR-063: authz系Aurora同居）</t>
    <phoneticPr fontId="2"/>
  </si>
  <si>
    <t>完了（解消）</t>
    <phoneticPr fontId="2"/>
  </si>
  <si>
    <t>SCIM Facade実行形態</t>
    <phoneticPr fontId="2"/>
  </si>
  <si>
    <t>解消（2026-08-06 O-9: Lambda substrate）</t>
    <phoneticPr fontId="2"/>
  </si>
  <si>
    <t>idm-api S2S認可の残分</t>
    <phoneticPr fontId="2"/>
  </si>
  <si>
    <t>大半解消（ADR-062/063/064: 内部NLB・越境EventBridge 2本）。残=越境イベント経路のS2S認可具体（U5 §5.8 idm:* スコープ）</t>
    <phoneticPr fontId="2"/>
  </si>
  <si>
    <t>SES/メール送信設計</t>
    <phoneticPr fontId="2"/>
  </si>
  <si>
    <t>サンドボックス解除・SPF/DKIM・realm単位SMTP as-code（A6a-1）</t>
    <phoneticPr fontId="2"/>
  </si>
  <si>
    <t>ITDR DynamoDB大阪 + Break-Glass大阪実体</t>
    <phoneticPr fontId="2"/>
  </si>
  <si>
    <t>U7×U8合同（O-U7-7／O-U8-9）。D-18のDR方式と整合</t>
    <phoneticPr fontId="2"/>
  </si>
  <si>
    <t>D3-17 portal値 + ext_受入枠 + app 90日オプトイン</t>
    <phoneticPr fontId="2"/>
  </si>
  <si>
    <t>U3 §3.8／U2 §2.6</t>
    <phoneticPr fontId="2"/>
  </si>
  <si>
    <t>D-9.1</t>
    <phoneticPr fontId="2"/>
  </si>
  <si>
    <t>エンタイトルメント×App Registryスキーマ統合</t>
    <phoneticPr fontId="2"/>
  </si>
  <si>
    <t>U10-OP-3</t>
    <phoneticPr fontId="2"/>
  </si>
  <si>
    <t>D-9.2</t>
    <phoneticPr fontId="2"/>
  </si>
  <si>
    <t>管理操作監査ログの配置（per-brand vs 中央）</t>
    <phoneticPr fontId="2"/>
  </si>
  <si>
    <t>DU-U9O-09の先行判断と同一論点（保持年数WORM 7年整合込み）</t>
    <phoneticPr fontId="2"/>
  </si>
  <si>
    <t>D-9.3</t>
    <phoneticPr fontId="2"/>
  </si>
  <si>
    <t>承認UI共用 + canaryスコープ + SLO境界</t>
    <phoneticPr fontId="2"/>
  </si>
  <si>
    <t>U10-OP-6/7/8（各0.5〜1）</t>
    <phoneticPr fontId="2"/>
  </si>
  <si>
    <t>廃止（2026-07-30、LDAPなし）</t>
    <phoneticPr fontId="2"/>
  </si>
  <si>
    <t>U2 §2.8.2。A-5のNameID差分を反映</t>
    <phoneticPr fontId="2"/>
  </si>
  <si>
    <t>IdP証明書ローテーション運用設計</t>
    <phoneticPr fontId="2"/>
  </si>
  <si>
    <t>A-9結果反映 + SP側SAML鍵ローテ（U10-OP-1）+ Realm鍵3-6ヶ月ローテ</t>
    <phoneticPr fontId="2"/>
  </si>
  <si>
    <t>U7 §7.2.1</t>
    <phoneticPr fontId="2"/>
  </si>
  <si>
    <t>U7 §7.8.1／U4 §4.1.3</t>
    <phoneticPr fontId="2"/>
  </si>
  <si>
    <t>U7 §7.6.1（ADR-040完了後）</t>
    <phoneticPr fontId="2"/>
  </si>
  <si>
    <t>D-16.1</t>
    <phoneticPr fontId="2"/>
  </si>
  <si>
    <t>D-16 SN移行</t>
    <phoneticPr fontId="2"/>
  </si>
  <si>
    <t>M0〜M3詳細手順</t>
    <phoneticPr fontId="2"/>
  </si>
  <si>
    <t>並走4 Phaseの詳細（U10 §10.4）</t>
    <phoneticPr fontId="2"/>
  </si>
  <si>
    <t>B-SN暫定可</t>
    <phoneticPr fontId="2"/>
  </si>
  <si>
    <t>D-16.2</t>
    <phoneticPr fontId="2"/>
  </si>
  <si>
    <t>削除連鎖 + Break Glass実体</t>
    <phoneticPr fontId="2"/>
  </si>
  <si>
    <t>L1 Soft Delete→SAML拒否でL2遮断・sys_user残置（D-U10-06）</t>
    <phoneticPr fontId="2"/>
  </si>
  <si>
    <t>D-16.3</t>
    <phoneticPr fontId="2"/>
  </si>
  <si>
    <t>SN-onlyユーザ移行/PW移行判定</t>
    <phoneticPr fontId="2"/>
  </si>
  <si>
    <t>B-SN-9/10/18/19の暫定判断</t>
    <phoneticPr fontId="2"/>
  </si>
  <si>
    <t>D-17.1</t>
    <phoneticPr fontId="2"/>
  </si>
  <si>
    <t>D-17 identity改訂</t>
    <phoneticPr fontId="2"/>
  </si>
  <si>
    <t>U2 Browser Flow</t>
    <phoneticPr fontId="2"/>
  </si>
  <si>
    <t>P-07転換のFlow書換（§2.3.1）</t>
    <phoneticPr fontId="2"/>
  </si>
  <si>
    <t>D-17.2</t>
    <phoneticPr fontId="2"/>
  </si>
  <si>
    <t>U3プロビ経路表</t>
    <phoneticPr fontId="2"/>
  </si>
  <si>
    <t>D3-04経路表・provisioned_by=local-admin限定</t>
    <phoneticPr fontId="2"/>
  </si>
  <si>
    <t>D-17.3</t>
    <phoneticPr fontId="2"/>
  </si>
  <si>
    <t>U4 MFA UX</t>
    <phoneticPr fontId="2"/>
  </si>
  <si>
    <t>D-U4-04ケース再定義</t>
    <phoneticPr fontId="2"/>
  </si>
  <si>
    <t>D-17.4</t>
    <phoneticPr fontId="2"/>
  </si>
  <si>
    <t>U7 MFA責任分界</t>
    <phoneticPr fontId="2"/>
  </si>
  <si>
    <t>D-U7-14のP-2フェデ側責任へ書換</t>
    <phoneticPr fontId="2"/>
  </si>
  <si>
    <t>D-17.5</t>
    <phoneticPr fontId="2"/>
  </si>
  <si>
    <t>整合レビュー</t>
    <phoneticPr fontId="2"/>
  </si>
  <si>
    <t>4単元横断の突合</t>
    <phoneticPr fontId="2"/>
  </si>
  <si>
    <t>D-17.1〜4</t>
    <phoneticPr fontId="2"/>
  </si>
  <si>
    <t>D-18.1</t>
    <phoneticPr fontId="2"/>
  </si>
  <si>
    <t>D-18 DR再判断</t>
    <phoneticPr fontId="2"/>
  </si>
  <si>
    <t>成立性分析（P-05再オープン）</t>
    <phoneticPr fontId="2"/>
  </si>
  <si>
    <t>顧客希望（RTO 1日／DR障害時3日／RPO 5分）vsコールドDR（RTO≈14日）の矛盾を、Aurora Global/PITR制約（U8 §8.3.1a）込みで定量分析</t>
    <phoneticPr fontId="2"/>
  </si>
  <si>
    <t>方式決定</t>
    <phoneticPr fontId="2"/>
  </si>
  <si>
    <t>①コールド維持+SLA文言調整 ②部分ウォーム復活（Aurora Global常設+クラスタのみコールド等）の比較と決定（ヒアリングB-DR系と連動）</t>
    <phoneticPr fontId="2"/>
  </si>
  <si>
    <t>D-18.3</t>
    <phoneticPr fontId="2"/>
  </si>
  <si>
    <t>D-18 DR改訂</t>
    <phoneticPr fontId="2"/>
  </si>
  <si>
    <t>U8/U6/ADR-051反映</t>
    <phoneticPr fontId="2"/>
  </si>
  <si>
    <t>決定方式での本文改訂（2障害シナリオ・イミュータブルSS・Vault Lock込み）</t>
    <phoneticPr fontId="2"/>
  </si>
  <si>
    <t>D-18.4</t>
    <phoneticPr fontId="2"/>
  </si>
  <si>
    <t>Runbook骨子</t>
    <phoneticPr fontId="2"/>
  </si>
  <si>
    <t>大阪再構築+リストアRunbook骨子（G-1のDR-00〜05と連動）</t>
    <phoneticPr fontId="2"/>
  </si>
  <si>
    <t>P-17クラスタトポロジ再検討（新規・凍結解除）</t>
    <phoneticPr fontId="2"/>
  </si>
  <si>
    <t>「IdP-KCをどうするか」=別Acct 2クラスタ（従前）vs 1クラスタ2Realm vs 他 の比較・決定（ADR-033改訂。2-VPC設計C-9のCIDR実値・DR対象・コストの前提）</t>
    <phoneticPr fontId="2"/>
  </si>
  <si>
    <t>D-20</t>
    <phoneticPr fontId="2"/>
  </si>
  <si>
    <t>SRE stdoutマスキング方式設計（新規）</t>
    <phoneticPr fontId="2"/>
  </si>
  <si>
    <t>Keycloakがノードに書くstdoutにPIIを出さない方式（logger設定/イベント出力設計/本番ログレベル固定=禁則K-13の実現方式）。A-15実機の入力</t>
    <phoneticPr fontId="2"/>
  </si>
  <si>
    <t>E-1.1</t>
    <phoneticPr fontId="2"/>
  </si>
  <si>
    <t>E-1 dev/stg</t>
    <phoneticPr fontId="2"/>
  </si>
  <si>
    <t>調査</t>
    <phoneticPr fontId="2"/>
  </si>
  <si>
    <t>既存慣行・ROSA非本番の費用/共用オプション調査（調査）</t>
    <phoneticPr fontId="2"/>
  </si>
  <si>
    <t>E-1.2</t>
    <phoneticPr fontId="2"/>
  </si>
  <si>
    <t>Acct/クラスタ方針</t>
    <phoneticPr fontId="2"/>
  </si>
  <si>
    <t>Acct構成・クラスタ数/共用方針の決定（検討）</t>
    <phoneticPr fontId="2"/>
  </si>
  <si>
    <t>E-1.3</t>
    <phoneticPr fontId="2"/>
  </si>
  <si>
    <t>テストデータ + コスト</t>
    <phoneticPr fontId="2"/>
  </si>
  <si>
    <t>合成データ方針（D-U9-19連動）+ 環境コスト見積（検討）</t>
    <phoneticPr fontId="2"/>
  </si>
  <si>
    <t>負荷試験一元計画書</t>
    <phoneticPr fontId="2"/>
  </si>
  <si>
    <t>keycloak-benchmark/Gatling・dataset・合格基準・「Pod増で1Pod性能低下」織込み（A-1の前提）</t>
    <phoneticPr fontId="2"/>
  </si>
  <si>
    <t>FinOps/継続コスト管理</t>
    <phoneticPr fontId="2"/>
  </si>
  <si>
    <t>タグ戦略（SCP/Config補完）・予算アラート・テナント別原価・O-6回収</t>
    <phoneticPr fontId="2"/>
  </si>
  <si>
    <t>KC本番設定の詰め漏れ反映（5項目×1）</t>
    <phoneticPr fontId="2"/>
  </si>
  <si>
    <t>http-max-queued-requests／公開パス遮断表／JGroups mTLS 30日ローテ／jdbc-ping／persistent-user-sessions確認（調査2+検討3）</t>
    <phoneticPr fontId="2"/>
  </si>
  <si>
    <t>アップグレード運用の精密化</t>
    <phoneticPr fontId="2"/>
  </si>
  <si>
    <t>update-compatibility check のCI組込み／recreate=全停止のメンテ窓設計／RHBK EUS（A-11連動）（調査2+検討3）</t>
    <phoneticPr fontId="2"/>
  </si>
  <si>
    <t>Aurora接続の公式部品採否</t>
    <phoneticPr fontId="2"/>
  </si>
  <si>
    <t>AWS Advanced JDBC Wrapper／migration-strategy選定／暗号化範囲確認（調査2+検討1）</t>
    <phoneticPr fontId="2"/>
  </si>
  <si>
    <t>ROSA監査ログの中央集約制約</t>
    <phoneticPr fontId="2"/>
  </si>
  <si>
    <t>CloudWatch別Acct直接転送非サポート確認 + D-U9-01/05整合（調査2+検討1）</t>
    <phoneticPr fontId="2"/>
  </si>
  <si>
    <t>brute force戦略 + アカウント列挙対策</t>
    <phoneticPr fontId="2"/>
  </si>
  <si>
    <t>公式4戦略から選定・明文化</t>
    <phoneticPr fontId="2"/>
  </si>
  <si>
    <t>ヒアリング質問状のパッケージ化</t>
    <phoneticPr fontId="2"/>
  </si>
  <si>
    <t>127項目の優先度圧縮（残はB-SN/B-MIG/B-TAP/B-DR/UX系中心。customer-questionnaire整備と連動）</t>
    <phoneticPr fontId="2"/>
  </si>
  <si>
    <t>回答が暫定前提を追認した場合のP表更新+影響単元反映</t>
    <phoneticPr fontId="2"/>
  </si>
  <si>
    <t>法務・Red Hat照会の起票と追撃</t>
    <phoneticPr fontId="2"/>
  </si>
  <si>
    <t>Red Hat DPA（SRE越境）+ B-SRE-LOG-1/2（Approved Access・oc logs監査可視性）+ B-DPA-2（SRE地理制限）+ Key Custodian + PPC雛形 + 契約テンプレ</t>
    <phoneticPr fontId="2"/>
  </si>
  <si>
    <t>ADR-040/036別スレッド完了後の統合</t>
    <phoneticPr fontId="2"/>
  </si>
  <si>
    <t>OOS残存参照整理（O-U9-9）</t>
    <phoneticPr fontId="2"/>
  </si>
  <si>
    <t>G-1.1</t>
    <phoneticPr fontId="2"/>
  </si>
  <si>
    <t>G-1 Runbook</t>
    <phoneticPr fontId="2"/>
  </si>
  <si>
    <t>TEN-01（テナント追加）</t>
    <phoneticPr fontId="2"/>
  </si>
  <si>
    <t>IdPオンボーディング6ステップの手順書化</t>
    <phoneticPr fontId="2"/>
  </si>
  <si>
    <t>G-1.2</t>
    <phoneticPr fontId="2"/>
  </si>
  <si>
    <t>TEN-03（テナント離脱）</t>
    <phoneticPr fontId="2"/>
  </si>
  <si>
    <t>段階削除（30/90日+エクスポート+証明書）</t>
    <phoneticPr fontId="2"/>
  </si>
  <si>
    <t>G-1.3</t>
    <phoneticPr fontId="2"/>
  </si>
  <si>
    <t>SEC-01（インシデント初動）</t>
    <phoneticPr fontId="2"/>
  </si>
  <si>
    <t>ITDR L3/L4起点の初動（APPI速報タイマ連動）</t>
    <phoneticPr fontId="2"/>
  </si>
  <si>
    <t>G-1.4</t>
    <phoneticPr fontId="2"/>
  </si>
  <si>
    <t>SEC-02（漏えい報告SOP実体）</t>
    <phoneticPr fontId="2"/>
  </si>
  <si>
    <t>D-U7-15の7ステップ実手順</t>
    <phoneticPr fontId="2"/>
  </si>
  <si>
    <t>G-1.5</t>
    <phoneticPr fontId="2"/>
  </si>
  <si>
    <t>SEC-04（緊急鍵ローテ）</t>
    <phoneticPr fontId="2"/>
  </si>
  <si>
    <t>§7.1.3の実手順</t>
    <phoneticPr fontId="2"/>
  </si>
  <si>
    <t>G-1.6</t>
    <phoneticPr fontId="2"/>
  </si>
  <si>
    <t>SEC-05（Break-Glass）</t>
    <phoneticPr fontId="2"/>
  </si>
  <si>
    <t>発動・使用・事後（役員承認・監査）</t>
    <phoneticPr fontId="2"/>
  </si>
  <si>
    <t>G-1.7</t>
    <phoneticPr fontId="2"/>
  </si>
  <si>
    <t>SEC-06（強制ログアウト3粒度）</t>
    <phoneticPr fontId="2"/>
  </si>
  <si>
    <t>U5 §5.4の粒度別実手順</t>
    <phoneticPr fontId="2"/>
  </si>
  <si>
    <t>G-1.8</t>
    <phoneticPr fontId="2"/>
  </si>
  <si>
    <t>DR-00（発動判断）</t>
    <phoneticPr fontId="2"/>
  </si>
  <si>
    <t>判断基準・ITDRフラグ（禁則K-4）</t>
    <phoneticPr fontId="2"/>
  </si>
  <si>
    <t>G-1.9</t>
    <phoneticPr fontId="2"/>
  </si>
  <si>
    <t>DR-01〜02（大阪再構築）</t>
    <phoneticPr fontId="2"/>
  </si>
  <si>
    <t>ROSA再構築+IaC適用（D-18決定方式で書く）</t>
    <phoneticPr fontId="2"/>
  </si>
  <si>
    <t>G-1.10</t>
    <phoneticPr fontId="2"/>
  </si>
  <si>
    <t>DR-03〜04（リストア）</t>
    <phoneticPr fontId="2"/>
  </si>
  <si>
    <t>PITR/イミュータブルSSリストア（論理破壊系）</t>
    <phoneticPr fontId="2"/>
  </si>
  <si>
    <t>G-1.11</t>
    <phoneticPr fontId="2"/>
  </si>
  <si>
    <t>DR-05（切戻し）</t>
    <phoneticPr fontId="2"/>
  </si>
  <si>
    <t>東京復帰・整合確認</t>
    <phoneticPr fontId="2"/>
  </si>
  <si>
    <t>オンコール/アラートRouting実体</t>
    <phoneticPr fontId="2"/>
  </si>
  <si>
    <t>PagerDuty契約・ローテーション（O-U9-6）</t>
    <phoneticPr fontId="2"/>
  </si>
  <si>
    <t>G-4.1</t>
    <phoneticPr fontId="2"/>
  </si>
  <si>
    <t>G-4 drawio清書</t>
    <phoneticPr fontId="2"/>
  </si>
  <si>
    <t>overview</t>
    <phoneticPr fontId="2"/>
  </si>
  <si>
    <t>2-VPC/ブランドユニット反映のAWSアイコン版</t>
    <phoneticPr fontId="2"/>
  </si>
  <si>
    <t>G-4.2</t>
    <phoneticPr fontId="2"/>
  </si>
  <si>
    <t>network-detail</t>
    <phoneticPr fontId="2"/>
  </si>
  <si>
    <t>旧EKS図置換 + EPS-OIDC/EPS-Admin/EventBridge経路</t>
    <phoneticPr fontId="2"/>
  </si>
  <si>
    <t>HA-01</t>
    <phoneticPr fontId="2"/>
  </si>
  <si>
    <t>H. 設計成果物（基本設計書の執筆）</t>
    <phoneticPr fontId="2"/>
  </si>
  <si>
    <t>H-A 全体・方式設計</t>
    <phoneticPr fontId="2"/>
  </si>
  <si>
    <t>設計書 総則（目的・範囲・読み方）</t>
    <phoneticPr fontId="2"/>
  </si>
  <si>
    <t>HA-02</t>
    <phoneticPr fontId="2"/>
  </si>
  <si>
    <t>前提条件一覧（P-01〜20の設計反映）</t>
    <phoneticPr fontId="2"/>
  </si>
  <si>
    <t>HA-03</t>
    <phoneticPr fontId="2"/>
  </si>
  <si>
    <t>用語集・略語集</t>
    <phoneticPr fontId="2"/>
  </si>
  <si>
    <t>HA-04</t>
    <phoneticPr fontId="2"/>
  </si>
  <si>
    <t>全体構成図（論理）</t>
    <phoneticPr fontId="2"/>
  </si>
  <si>
    <t>HA-05</t>
    <phoneticPr fontId="2"/>
  </si>
  <si>
    <t>全体構成図（物理）</t>
    <phoneticPr fontId="2"/>
  </si>
  <si>
    <t>HA-06</t>
    <phoneticPr fontId="2"/>
  </si>
  <si>
    <t>エラー処理方式設計</t>
    <phoneticPr fontId="2"/>
  </si>
  <si>
    <t>HA-07</t>
    <phoneticPr fontId="2"/>
  </si>
  <si>
    <t>ログ出力方式設計（レベル/フォーマット/ローテーション）</t>
    <phoneticPr fontId="2"/>
  </si>
  <si>
    <t>HA-08</t>
    <phoneticPr fontId="2"/>
  </si>
  <si>
    <t>トランザクション・整合性方式設計</t>
    <phoneticPr fontId="2"/>
  </si>
  <si>
    <t>HA-09</t>
    <phoneticPr fontId="2"/>
  </si>
  <si>
    <t>排他制御・同時実行設計（新規）</t>
    <phoneticPr fontId="2"/>
  </si>
  <si>
    <t>HA-10</t>
    <phoneticPr fontId="2"/>
  </si>
  <si>
    <t>セッション管理方式設計</t>
    <phoneticPr fontId="2"/>
  </si>
  <si>
    <t>HA-11</t>
    <phoneticPr fontId="2"/>
  </si>
  <si>
    <t>文字コード・日時・タイムゾーン方式</t>
    <phoneticPr fontId="2"/>
  </si>
  <si>
    <t>HA-12</t>
    <phoneticPr fontId="2"/>
  </si>
  <si>
    <t>多言語・i18n方式設計</t>
    <phoneticPr fontId="2"/>
  </si>
  <si>
    <t>HA-13</t>
    <phoneticPr fontId="2"/>
  </si>
  <si>
    <t>キャッシュ方式設計（Infinispan/realm/projection）（新規）</t>
    <phoneticPr fontId="2"/>
  </si>
  <si>
    <t>HA-14</t>
    <phoneticPr fontId="2"/>
  </si>
  <si>
    <t>採番設計（ID採番方式・重複回避）（新規）</t>
    <phoneticPr fontId="2"/>
  </si>
  <si>
    <t>HA-15</t>
    <phoneticPr fontId="2"/>
  </si>
  <si>
    <t>APIバージョニング・廃止ポリシー（新規）</t>
    <phoneticPr fontId="2"/>
  </si>
  <si>
    <t>HA-16</t>
    <phoneticPr fontId="2"/>
  </si>
  <si>
    <t>命名規約（リソース/API/DB）</t>
    <phoneticPr fontId="2"/>
  </si>
  <si>
    <t>HA-17</t>
    <phoneticPr fontId="2"/>
  </si>
  <si>
    <t>IaC設計規約</t>
    <phoneticPr fontId="2"/>
  </si>
  <si>
    <t>HA-18</t>
    <phoneticPr fontId="2"/>
  </si>
  <si>
    <t>API設計規約</t>
    <phoneticPr fontId="2"/>
  </si>
  <si>
    <t>HA-19</t>
    <phoneticPr fontId="2"/>
  </si>
  <si>
    <t>画面設計規約</t>
    <phoneticPr fontId="2"/>
  </si>
  <si>
    <t>HA-20</t>
    <phoneticPr fontId="2"/>
  </si>
  <si>
    <t>非機能要件→設計対応表</t>
    <phoneticPr fontId="2"/>
  </si>
  <si>
    <t>HA-21</t>
    <phoneticPr fontId="2"/>
  </si>
  <si>
    <t>性能設計書（目標値・処理方式・チューニング方針）（新規）</t>
    <phoneticPr fontId="2"/>
  </si>
  <si>
    <t>HA-22</t>
    <phoneticPr fontId="2"/>
  </si>
  <si>
    <t>キャパシティ・データ量見積（テーブル別・増加率・5年後）（新規）</t>
    <phoneticPr fontId="2"/>
  </si>
  <si>
    <t>HA-23</t>
    <phoneticPr fontId="2"/>
  </si>
  <si>
    <t>サポートブラウザ・デバイス対応方針（新規）</t>
    <phoneticPr fontId="2"/>
  </si>
  <si>
    <t>HA-24</t>
    <phoneticPr fontId="2"/>
  </si>
  <si>
    <t>トレーサビリティマトリクス（要件→機能→設計→テスト）</t>
    <phoneticPr fontId="2"/>
  </si>
  <si>
    <t>HA-25</t>
    <phoneticPr fontId="2"/>
  </si>
  <si>
    <t>トレーサビリティ維持運用ルール</t>
    <phoneticPr fontId="2"/>
  </si>
  <si>
    <t>HA-26</t>
    <phoneticPr fontId="2"/>
  </si>
  <si>
    <t>鍵管理設計書（KMS 3階層・暗号化境界、ADR-045）（新規v3）</t>
    <phoneticPr fontId="2"/>
  </si>
  <si>
    <t>HA-27</t>
    <phoneticPr fontId="2"/>
  </si>
  <si>
    <t>NHI（非人間ID）台帳設計（ADR-066）（新規v3）</t>
    <phoneticPr fontId="2"/>
  </si>
  <si>
    <t>HB-01</t>
    <phoneticPr fontId="2"/>
  </si>
  <si>
    <t>H-B 機能設計</t>
    <phoneticPr fontId="2"/>
  </si>
  <si>
    <t>機能ID体系・階層設計</t>
    <phoneticPr fontId="2"/>
  </si>
  <si>
    <t>HB-02</t>
    <phoneticPr fontId="2"/>
  </si>
  <si>
    <t>機能一覧 洗い出し（認証系15）</t>
    <phoneticPr fontId="2"/>
  </si>
  <si>
    <t>HB-03</t>
    <phoneticPr fontId="2"/>
  </si>
  <si>
    <t>機能一覧 洗い出し（プロビ系12）</t>
    <phoneticPr fontId="2"/>
  </si>
  <si>
    <t>HB-04</t>
    <phoneticPr fontId="2"/>
  </si>
  <si>
    <t>機能一覧 洗い出し（管理CP系18）</t>
    <phoneticPr fontId="2"/>
  </si>
  <si>
    <t>HB-05</t>
    <phoneticPr fontId="2"/>
  </si>
  <si>
    <t>機能一覧 洗い出し（認可系8）</t>
    <phoneticPr fontId="2"/>
  </si>
  <si>
    <t>HB-06</t>
    <phoneticPr fontId="2"/>
  </si>
  <si>
    <t>機能一覧 洗い出し（連携系10）</t>
    <phoneticPr fontId="2"/>
  </si>
  <si>
    <t>HB-07</t>
    <phoneticPr fontId="2"/>
  </si>
  <si>
    <t>機能一覧 洗い出し（バッチ系8）</t>
    <phoneticPr fontId="2"/>
  </si>
  <si>
    <t>HB-08</t>
    <phoneticPr fontId="2"/>
  </si>
  <si>
    <t>既存決定との突合・抜け確認</t>
    <phoneticPr fontId="2"/>
  </si>
  <si>
    <t>HB-09</t>
    <phoneticPr fontId="2"/>
  </si>
  <si>
    <t>機能仕様書 認証系（15機能×0.6）</t>
    <phoneticPr fontId="2"/>
  </si>
  <si>
    <t>HB-10</t>
    <phoneticPr fontId="2"/>
  </si>
  <si>
    <t>機能仕様書 プロビ系（12機能×0.6）</t>
    <phoneticPr fontId="2"/>
  </si>
  <si>
    <t>HB-11</t>
    <phoneticPr fontId="2"/>
  </si>
  <si>
    <t>機能仕様書 管理CP系（18機能×0.6）</t>
    <phoneticPr fontId="2"/>
  </si>
  <si>
    <t>HB-12</t>
    <phoneticPr fontId="2"/>
  </si>
  <si>
    <t>機能仕様書 認可系（8機能×0.6）</t>
    <phoneticPr fontId="2"/>
  </si>
  <si>
    <t>HB-13</t>
    <phoneticPr fontId="2"/>
  </si>
  <si>
    <t>機能仕様書 連携系（10機能×0.6）</t>
    <phoneticPr fontId="2"/>
  </si>
  <si>
    <t>HB-14</t>
    <phoneticPr fontId="2"/>
  </si>
  <si>
    <t>機能仕様書 バッチ系（8機能×0.5）</t>
    <phoneticPr fontId="2"/>
  </si>
  <si>
    <t>HB-15</t>
    <phoneticPr fontId="2"/>
  </si>
  <si>
    <t>業務フロー（エンドユーザー系6シナリオ）</t>
    <phoneticPr fontId="2"/>
  </si>
  <si>
    <t>HB-16</t>
    <phoneticPr fontId="2"/>
  </si>
  <si>
    <t>業務フロー（管理者系5シナリオ）</t>
    <phoneticPr fontId="2"/>
  </si>
  <si>
    <t>HB-17</t>
    <phoneticPr fontId="2"/>
  </si>
  <si>
    <t>業務フロー（連携系4シナリオ）</t>
    <phoneticPr fontId="2"/>
  </si>
  <si>
    <t>HB-18</t>
    <phoneticPr fontId="2"/>
  </si>
  <si>
    <t>状態遷移設計（ユーザーライフサイクル S1-S10）</t>
    <phoneticPr fontId="2"/>
  </si>
  <si>
    <t>HB-19</t>
    <phoneticPr fontId="2"/>
  </si>
  <si>
    <t>状態遷移設計（トークン/セッション状態）</t>
    <phoneticPr fontId="2"/>
  </si>
  <si>
    <t>HB-20</t>
    <phoneticPr fontId="2"/>
  </si>
  <si>
    <t>検索・一覧表示設計（検索条件/ページング/ソート）（新規）</t>
    <phoneticPr fontId="2"/>
  </si>
  <si>
    <t>HB-21</t>
    <phoneticPr fontId="2"/>
  </si>
  <si>
    <t>ファイル入出力設計（CSV一括登録/エクスポート）（新規）</t>
    <phoneticPr fontId="2"/>
  </si>
  <si>
    <t>HB-22</t>
    <phoneticPr fontId="2"/>
  </si>
  <si>
    <t>レポート/エクスポート設計（監査レポート・利用統計）（新規）</t>
    <phoneticPr fontId="2"/>
  </si>
  <si>
    <t>HC-01</t>
    <phoneticPr fontId="2"/>
  </si>
  <si>
    <t>H-C 画面設計</t>
    <phoneticPr fontId="2"/>
  </si>
  <si>
    <t>画面一覧・画面ID体系（約32画面）</t>
    <phoneticPr fontId="2"/>
  </si>
  <si>
    <t>HC-02</t>
    <phoneticPr fontId="2"/>
  </si>
  <si>
    <t>画面遷移図（エンドユーザー系）</t>
    <phoneticPr fontId="2"/>
  </si>
  <si>
    <t>HC-03</t>
    <phoneticPr fontId="2"/>
  </si>
  <si>
    <t>画面遷移図（管理SPA系）</t>
    <phoneticPr fontId="2"/>
  </si>
  <si>
    <t>HC-04</t>
    <phoneticPr fontId="2"/>
  </si>
  <si>
    <t>画面仕様書 エンドユーザー系（12画面×0.5）</t>
    <phoneticPr fontId="2"/>
  </si>
  <si>
    <t>HC-05</t>
    <phoneticPr fontId="2"/>
  </si>
  <si>
    <t>画面仕様書 管理SPA系（20画面×0.5）</t>
    <phoneticPr fontId="2"/>
  </si>
  <si>
    <t>HC-06</t>
    <phoneticPr fontId="2"/>
  </si>
  <si>
    <t>共通レイアウト・部品設計</t>
    <phoneticPr fontId="2"/>
  </si>
  <si>
    <t>HC-07</t>
    <phoneticPr fontId="2"/>
  </si>
  <si>
    <t>A11y設計基準（WCAG 2.2 AAの設計反映）</t>
    <phoneticPr fontId="2"/>
  </si>
  <si>
    <t>HC-08</t>
    <phoneticPr fontId="2"/>
  </si>
  <si>
    <t>画面メッセージ一覧</t>
    <phoneticPr fontId="2"/>
  </si>
  <si>
    <t>HC-09</t>
    <phoneticPr fontId="2"/>
  </si>
  <si>
    <t>APIエラーコード体系</t>
    <phoneticPr fontId="2"/>
  </si>
  <si>
    <t>HC-10</t>
    <phoneticPr fontId="2"/>
  </si>
  <si>
    <t>ログメッセージ一覧</t>
    <phoneticPr fontId="2"/>
  </si>
  <si>
    <t>HC-11</t>
    <phoneticPr fontId="2"/>
  </si>
  <si>
    <t>メール・通知テンプレート一覧（招待/PW/MFA/侵害通知）（新規）</t>
    <phoneticPr fontId="2"/>
  </si>
  <si>
    <t>HD-01</t>
    <phoneticPr fontId="2"/>
  </si>
  <si>
    <t>H-D データ設計</t>
    <phoneticPr fontId="2"/>
  </si>
  <si>
    <t>論理ER図</t>
    <phoneticPr fontId="2"/>
  </si>
  <si>
    <t>HD-02</t>
    <phoneticPr fontId="2"/>
  </si>
  <si>
    <t>物理ER図（identity / authz / projection）</t>
    <phoneticPr fontId="2"/>
  </si>
  <si>
    <t>HD-03</t>
    <phoneticPr fontId="2"/>
  </si>
  <si>
    <t>テーブル定義書 authz系（8テーブル）</t>
    <phoneticPr fontId="2"/>
  </si>
  <si>
    <t>HD-04</t>
    <phoneticPr fontId="2"/>
  </si>
  <si>
    <t>テーブル定義書 idmap / projection系（6テーブル）</t>
    <phoneticPr fontId="2"/>
  </si>
  <si>
    <t>HD-05</t>
    <phoneticPr fontId="2"/>
  </si>
  <si>
    <t>テーブル定義書 outbox / 監査 / NHI系（6テーブル）</t>
    <phoneticPr fontId="2"/>
  </si>
  <si>
    <t>HD-06</t>
    <phoneticPr fontId="2"/>
  </si>
  <si>
    <t>属性辞書（ユーザー属性定義）</t>
    <phoneticPr fontId="2"/>
  </si>
  <si>
    <t>HD-07</t>
    <phoneticPr fontId="2"/>
  </si>
  <si>
    <t>正準化sourceレジストリ統合（D3-15）</t>
    <phoneticPr fontId="2"/>
  </si>
  <si>
    <t>HD-08</t>
    <phoneticPr fontId="2"/>
  </si>
  <si>
    <t>コード体系（識別子3階層）</t>
    <phoneticPr fontId="2"/>
  </si>
  <si>
    <t>HD-09</t>
    <phoneticPr fontId="2"/>
  </si>
  <si>
    <t>コード体系（tenant_id / brand_id）</t>
    <phoneticPr fontId="2"/>
  </si>
  <si>
    <t>HD-10</t>
    <phoneticPr fontId="2"/>
  </si>
  <si>
    <t>コード体系（provisioned_by 6値・状態コード）</t>
    <phoneticPr fontId="2"/>
  </si>
  <si>
    <t>HD-11</t>
    <phoneticPr fontId="2"/>
  </si>
  <si>
    <t>CRUD図（機能×テーブル）</t>
    <phoneticPr fontId="2"/>
  </si>
  <si>
    <t>HD-12</t>
    <phoneticPr fontId="2"/>
  </si>
  <si>
    <t>CRUD図と権限マトリクスの突合</t>
    <phoneticPr fontId="2"/>
  </si>
  <si>
    <t>HD-13</t>
    <phoneticPr fontId="2"/>
  </si>
  <si>
    <t>データ保持・アーカイブ設計（7年/3段階削除/物理削除）（新規）</t>
    <phoneticPr fontId="2"/>
  </si>
  <si>
    <t>HD-14</t>
    <phoneticPr fontId="2"/>
  </si>
  <si>
    <t>インデックス・パーティション設計（新規）</t>
    <phoneticPr fontId="2"/>
  </si>
  <si>
    <t>HE-01</t>
    <phoneticPr fontId="2"/>
  </si>
  <si>
    <t>H-E IF設計</t>
    <phoneticPr fontId="2"/>
  </si>
  <si>
    <t>IF一覧（内部・同期）</t>
    <phoneticPr fontId="2"/>
  </si>
  <si>
    <t>HE-02</t>
    <phoneticPr fontId="2"/>
  </si>
  <si>
    <t>IF一覧（内部・非同期）</t>
    <phoneticPr fontId="2"/>
  </si>
  <si>
    <t>HE-03</t>
    <phoneticPr fontId="2"/>
  </si>
  <si>
    <t>IF一覧（外部）</t>
    <phoneticPr fontId="2"/>
  </si>
  <si>
    <t>HE-04</t>
    <phoneticPr fontId="2"/>
  </si>
  <si>
    <t>API仕様書 idm-api ユーザー系（12EP）</t>
    <phoneticPr fontId="2"/>
  </si>
  <si>
    <t>HE-05</t>
    <phoneticPr fontId="2"/>
  </si>
  <si>
    <t>API仕様書 idm-api 権限/認可系（10EP）</t>
    <phoneticPr fontId="2"/>
  </si>
  <si>
    <t>HE-06</t>
    <phoneticPr fontId="2"/>
  </si>
  <si>
    <t>API仕様書 idm-api 参照系（/api/me/* ほか8EP）</t>
    <phoneticPr fontId="2"/>
  </si>
  <si>
    <t>HE-07</t>
    <phoneticPr fontId="2"/>
  </si>
  <si>
    <t>API認可スコープ対応表（idm:*）</t>
    <phoneticPr fontId="2"/>
  </si>
  <si>
    <t>HE-08</t>
    <phoneticPr fontId="2"/>
  </si>
  <si>
    <t>API共通規約（エラー/ページング/冪等）</t>
    <phoneticPr fontId="2"/>
  </si>
  <si>
    <t>HE-09</t>
    <phoneticPr fontId="2"/>
  </si>
  <si>
    <t>SCIM IF仕様（エンドポイント・属性写像・フィルタ）</t>
    <phoneticPr fontId="2"/>
  </si>
  <si>
    <t>HE-10</t>
    <phoneticPr fontId="2"/>
  </si>
  <si>
    <t>SCIM Soft Delete写像仕様</t>
    <phoneticPr fontId="2"/>
  </si>
  <si>
    <t>HE-11</t>
    <phoneticPr fontId="2"/>
  </si>
  <si>
    <t>イベントIF（EventBridgeスキーマ2本）</t>
    <phoneticPr fontId="2"/>
  </si>
  <si>
    <t>HE-12</t>
    <phoneticPr fontId="2"/>
  </si>
  <si>
    <t>イベントIF（outbox仕様）</t>
    <phoneticPr fontId="2"/>
  </si>
  <si>
    <t>HE-13</t>
    <phoneticPr fontId="2"/>
  </si>
  <si>
    <t>Webhook仕様（7種・署名・再送）</t>
    <phoneticPr fontId="2"/>
  </si>
  <si>
    <t>HE-14</t>
    <phoneticPr fontId="2"/>
  </si>
  <si>
    <t>認証プロトコルIF（OIDCエンドポイント・クレーム）</t>
    <phoneticPr fontId="2"/>
  </si>
  <si>
    <t>HE-15</t>
    <phoneticPr fontId="2"/>
  </si>
  <si>
    <t>認証プロトコルIF（SAMLメタデータ・Assertion）</t>
    <phoneticPr fontId="2"/>
  </si>
  <si>
    <t>HE-16</t>
    <phoneticPr fontId="2"/>
  </si>
  <si>
    <t>外部IF ServiceNow</t>
    <phoneticPr fontId="2"/>
  </si>
  <si>
    <t>HE-17</t>
    <phoneticPr fontId="2"/>
  </si>
  <si>
    <t>外部IF 顧客IdP（SAML/OIDC差分）</t>
    <phoneticPr fontId="2"/>
  </si>
  <si>
    <t>HE-18</t>
    <phoneticPr fontId="2"/>
  </si>
  <si>
    <t>外部IF HIBP / SES</t>
    <phoneticPr fontId="2"/>
  </si>
  <si>
    <t>HE-19</t>
    <phoneticPr fontId="2"/>
  </si>
  <si>
    <t>証明書・鍵の一覧と管理設計（SAML/TLS/mTLS/PCA/JWT）（新規）</t>
    <phoneticPr fontId="2"/>
  </si>
  <si>
    <t>HE-20</t>
    <phoneticPr fontId="2"/>
  </si>
  <si>
    <t>FQDN・DNS一覧（公開 + 内部PHZ）（新規）</t>
    <phoneticPr fontId="2"/>
  </si>
  <si>
    <t>HF-01</t>
    <phoneticPr fontId="2"/>
  </si>
  <si>
    <t>H-F バッチ設計</t>
    <phoneticPr fontId="2"/>
  </si>
  <si>
    <t>バッチ一覧（8本）</t>
    <phoneticPr fontId="2"/>
  </si>
  <si>
    <t>HF-02</t>
    <phoneticPr fontId="2"/>
  </si>
  <si>
    <t>バッチ実行基盤整理（CronJob / EventBridge Scheduler）</t>
    <phoneticPr fontId="2"/>
  </si>
  <si>
    <t>HF-03</t>
    <phoneticPr fontId="2"/>
  </si>
  <si>
    <t>バッチ仕様書（90日休眠・物理削除準備）</t>
    <phoneticPr fontId="2"/>
  </si>
  <si>
    <t>HF-04</t>
    <phoneticPr fontId="2"/>
  </si>
  <si>
    <t>バッチ仕様書（リコンサイル3種）</t>
    <phoneticPr fontId="2"/>
  </si>
  <si>
    <t>HF-05</t>
    <phoneticPr fontId="2"/>
  </si>
  <si>
    <t>バッチ仕様書（証明書ローテ・NHI孤立・recert）</t>
    <phoneticPr fontId="2"/>
  </si>
  <si>
    <t>HF-06</t>
    <phoneticPr fontId="2"/>
  </si>
  <si>
    <t>ジョブスケジュール・依存関係設計</t>
    <phoneticPr fontId="2"/>
  </si>
  <si>
    <t>HF-07</t>
    <phoneticPr fontId="2"/>
  </si>
  <si>
    <t>多重起動制御・リラン設計</t>
    <phoneticPr fontId="2"/>
  </si>
  <si>
    <t>HG-01</t>
    <phoneticPr fontId="2"/>
  </si>
  <si>
    <t>H-G 権限・監査</t>
    <phoneticPr fontId="2"/>
  </si>
  <si>
    <t>ロール定義（3層スコープ）</t>
    <phoneticPr fontId="2"/>
  </si>
  <si>
    <t>HG-02</t>
    <phoneticPr fontId="2"/>
  </si>
  <si>
    <t>権限マトリクス（ロール×機能）</t>
    <phoneticPr fontId="2"/>
  </si>
  <si>
    <t>HG-03</t>
    <phoneticPr fontId="2"/>
  </si>
  <si>
    <t>権限マトリクス（ロール×データ×テナントスコープ）</t>
    <phoneticPr fontId="2"/>
  </si>
  <si>
    <t>HG-04</t>
    <phoneticPr fontId="2"/>
  </si>
  <si>
    <t>監査ログ イベント一覧</t>
    <phoneticPr fontId="2"/>
  </si>
  <si>
    <t>HG-05</t>
    <phoneticPr fontId="2"/>
  </si>
  <si>
    <t>監査ログ 取得項目・保持年数表</t>
    <phoneticPr fontId="2"/>
  </si>
  <si>
    <t>HG-06</t>
    <phoneticPr fontId="2"/>
  </si>
  <si>
    <t>認可判定ログ統合（ADR-067）</t>
    <phoneticPr fontId="2"/>
  </si>
  <si>
    <t>HG-07</t>
    <phoneticPr fontId="2"/>
  </si>
  <si>
    <t>ITDR検知ルール / Goldenシグナル定義（G-1〜6、ADR-035/060）（新規v3）</t>
    <phoneticPr fontId="2"/>
  </si>
  <si>
    <t>HG-08</t>
    <phoneticPr fontId="2"/>
  </si>
  <si>
    <t>攻撃経路対応表（33経路×対策、ADR-060）（新規v3）</t>
    <phoneticPr fontId="2"/>
  </si>
  <si>
    <t>HH-01</t>
    <phoneticPr fontId="2"/>
  </si>
  <si>
    <t>H-H 運用補完</t>
    <phoneticPr fontId="2"/>
  </si>
  <si>
    <t>監視項目一覧（メトリクス）</t>
    <phoneticPr fontId="2"/>
  </si>
  <si>
    <t>D-U9-21/22/23</t>
    <phoneticPr fontId="2"/>
  </si>
  <si>
    <t>HH-02</t>
    <phoneticPr fontId="2"/>
  </si>
  <si>
    <t>監視項目一覧（ログ・合成監視）</t>
    <phoneticPr fontId="2"/>
  </si>
  <si>
    <t>D-U9-21</t>
    <phoneticPr fontId="2"/>
  </si>
  <si>
    <t>HH-03</t>
    <phoneticPr fontId="2"/>
  </si>
  <si>
    <t>閾値・通知先設計</t>
    <phoneticPr fontId="2"/>
  </si>
  <si>
    <t>HH-01/02</t>
    <phoneticPr fontId="2"/>
  </si>
  <si>
    <t>HH-04</t>
    <phoneticPr fontId="2"/>
  </si>
  <si>
    <t>テナントオンボーディング設計（設計面。Runbookとは別）（新規）</t>
    <phoneticPr fontId="2"/>
  </si>
  <si>
    <t>HH-05</t>
    <phoneticPr fontId="2"/>
  </si>
  <si>
    <t>環境設計書（本番 / stg / dev の構成差分）（新規）</t>
    <phoneticPr fontId="2"/>
  </si>
  <si>
    <t>HI-01</t>
    <phoneticPr fontId="2"/>
  </si>
  <si>
    <t>H-I レビュー・合意</t>
    <phoneticPr fontId="2"/>
  </si>
  <si>
    <t>単元間 整合性レビュー（第1回）</t>
    <phoneticPr fontId="2"/>
  </si>
  <si>
    <t>HA〜HK</t>
    <phoneticPr fontId="2"/>
  </si>
  <si>
    <t>HI-02</t>
    <phoneticPr fontId="2"/>
  </si>
  <si>
    <t>指摘対応・改訂（第1回）</t>
    <phoneticPr fontId="2"/>
  </si>
  <si>
    <t>HI-03</t>
    <phoneticPr fontId="2"/>
  </si>
  <si>
    <t>単元間 整合性レビュー（第2回）</t>
    <phoneticPr fontId="2"/>
  </si>
  <si>
    <t>HI-04</t>
    <phoneticPr fontId="2"/>
  </si>
  <si>
    <t>指摘対応・改訂（第2回）</t>
    <phoneticPr fontId="2"/>
  </si>
  <si>
    <t>HI-05</t>
    <phoneticPr fontId="2"/>
  </si>
  <si>
    <t>ステークホルダー説明資料 作成</t>
    <phoneticPr fontId="2"/>
  </si>
  <si>
    <t>HI-06</t>
    <phoneticPr fontId="2"/>
  </si>
  <si>
    <t>説明会 実施・指摘対応</t>
    <phoneticPr fontId="2"/>
  </si>
  <si>
    <t>HJ-01</t>
    <phoneticPr fontId="2"/>
  </si>
  <si>
    <t>H-J プロダクト固有設計</t>
    <phoneticPr fontId="2"/>
  </si>
  <si>
    <t>Realm / Organizations 構成設計書（ADR-017 / 02 §2.1）</t>
    <phoneticPr fontId="2"/>
  </si>
  <si>
    <t>HJ-02</t>
    <phoneticPr fontId="2"/>
  </si>
  <si>
    <t>Authentication Flow 設計書（5系統のFlow木）（02 §2.3）</t>
    <phoneticPr fontId="2"/>
  </si>
  <si>
    <t>HJ-03</t>
    <phoneticPr fontId="2"/>
  </si>
  <si>
    <t>Custom SPI 仕様書（HRD Authenticator）</t>
    <phoneticPr fontId="2"/>
  </si>
  <si>
    <t>HJ-04</t>
    <phoneticPr fontId="2"/>
  </si>
  <si>
    <t>Custom SPI 仕様書（JIT制御・Re-Activation）</t>
    <phoneticPr fontId="2"/>
  </si>
  <si>
    <t>HJ-05</t>
    <phoneticPr fontId="2"/>
  </si>
  <si>
    <t>Custom SPI 仕様書（Event Listener・mfa_indicator）</t>
    <phoneticPr fontId="2"/>
  </si>
  <si>
    <t>HJ-06</t>
    <phoneticPr fontId="2"/>
  </si>
  <si>
    <t>SPI配置・ビルド・版数管理設計</t>
    <phoneticPr fontId="2"/>
  </si>
  <si>
    <t>HJ-03〜05</t>
    <phoneticPr fontId="2"/>
  </si>
  <si>
    <t>HJ-07</t>
    <phoneticPr fontId="2"/>
  </si>
  <si>
    <t>Protocol Mapper / Client Scope 定義書（ADR-030）</t>
    <phoneticPr fontId="2"/>
  </si>
  <si>
    <t>HJ-08</t>
    <phoneticPr fontId="2"/>
  </si>
  <si>
    <t>User Profile 宣言設計（email非保有対応）</t>
    <phoneticPr fontId="2"/>
  </si>
  <si>
    <t>HJ-09</t>
    <phoneticPr fontId="2"/>
  </si>
  <si>
    <t>Client 登録テンプレート（アプリオンボーディング標準）</t>
    <phoneticPr fontId="2"/>
  </si>
  <si>
    <t>／★Audience Mapper を既定同梱（Keycloak既定 aud=account の罠を構造的に潰す）</t>
    <phoneticPr fontId="2"/>
  </si>
  <si>
    <t>HJ-10</t>
    <phoneticPr fontId="2"/>
  </si>
  <si>
    <t>Keycloak Realm パラメータ設計書（TTL/brute force/PW/キャッシュ設定値）</t>
    <phoneticPr fontId="2"/>
  </si>
  <si>
    <t>HJ-11</t>
    <phoneticPr fontId="2"/>
  </si>
  <si>
    <t>2-tier フェデレーション設計書（Broker↔IdP-KC、ADR-033/02a）</t>
    <phoneticPr fontId="2"/>
  </si>
  <si>
    <t>HJ-12</t>
    <phoneticPr fontId="2"/>
  </si>
  <si>
    <t>ブランドユニット設計書（brand=Realm・issuer規律、ADR-063）</t>
    <phoneticPr fontId="2"/>
  </si>
  <si>
    <t>HJ-13</t>
    <phoneticPr fontId="2"/>
  </si>
  <si>
    <t>Broker shadow ライフサイクル設計（ADR-064）</t>
    <phoneticPr fontId="2"/>
  </si>
  <si>
    <t>HJ-14</t>
    <phoneticPr fontId="2"/>
  </si>
  <si>
    <t>IdP接続仕様テンプレート（SAML / OIDC別）（1000+ IdPの標準化）</t>
    <phoneticPr fontId="2"/>
  </si>
  <si>
    <t>A-5 / A-6</t>
    <phoneticPr fontId="2"/>
  </si>
  <si>
    <t>HJ-15</t>
    <phoneticPr fontId="2"/>
  </si>
  <si>
    <t>IdP属性マッピング設計（IdP Mapper写像規則）</t>
    <phoneticPr fontId="2"/>
  </si>
  <si>
    <t>HJ-16</t>
    <phoneticPr fontId="2"/>
  </si>
  <si>
    <t>HRD解決ロジック設計書（識別子先行の判定・降格、ADR-055）</t>
    <phoneticPr fontId="2"/>
  </si>
  <si>
    <t>HJ-17</t>
    <phoneticPr fontId="2"/>
  </si>
  <si>
    <t>ROSAクラスタ構成設計書（Machine Pool / taint / HPA、ADR-056）</t>
    <phoneticPr fontId="2"/>
  </si>
  <si>
    <t>HJ-18</t>
    <phoneticPr fontId="2"/>
  </si>
  <si>
    <t>RHBK Operator / CR 設計（版数・更新戦略）</t>
    <phoneticPr fontId="2"/>
  </si>
  <si>
    <t>HJ-19</t>
    <phoneticPr fontId="2"/>
  </si>
  <si>
    <t>ROSA運用境界・責任分界（Red Hat SREとの分担、L1-L7）</t>
    <phoneticPr fontId="2"/>
  </si>
  <si>
    <t>A-15 / F-3</t>
    <phoneticPr fontId="2"/>
  </si>
  <si>
    <t>HK-01</t>
    <phoneticPr fontId="2"/>
  </si>
  <si>
    <t>H-K 契約・顧客提供成果物</t>
    <phoneticPr fontId="2"/>
  </si>
  <si>
    <t>Shared Responsibility Matrix（責任分界表）（ADR-037）／渡す相手: 全顧客（契約添付）</t>
    <phoneticPr fontId="2"/>
  </si>
  <si>
    <t>HK-02</t>
    <phoneticPr fontId="2"/>
  </si>
  <si>
    <t>SLA / SLO 定義書（顧客向け）／渡す相手: 全顧客（契約添付）</t>
    <phoneticPr fontId="2"/>
  </si>
  <si>
    <t>HK-03</t>
    <phoneticPr fontId="2"/>
  </si>
  <si>
    <t>RP実装ガイド（アプリ開発者向け）（U5 §5.6 / ADR-057）／渡す相手: 接続アプリ開発者</t>
    <phoneticPr fontId="2"/>
  </si>
  <si>
    <t>廃止 → H-L「認証実装ガイド」（GD-01〜GD-53、108人日）へ全面展開。業界標準（GOV.UK One Login／Login.gov／Singpass／Auth0／Okta／Entra／Cognito／Keycloak）と標準仕様（RFC 9700／10017／8252／7636／9449／9470／OIDC Core／RFC 8725／9068）との突合により、5人日の1行では足りず10部50章が必要と判明</t>
    <phoneticPr fontId="2"/>
  </si>
  <si>
    <t>HE-04〜08</t>
    <phoneticPr fontId="2"/>
  </si>
  <si>
    <t>廃止（→ H-Lへ全面展開）</t>
    <phoneticPr fontId="2"/>
  </si>
  <si>
    <t>HK-04</t>
    <phoneticPr fontId="2"/>
  </si>
  <si>
    <t>テナント管理者ガイド（ADR-038）／渡す相手: テナント管理者</t>
    <phoneticPr fontId="2"/>
  </si>
  <si>
    <t>HK-05</t>
    <phoneticPr fontId="2"/>
  </si>
  <si>
    <t>顧客IdP接続ガイド（顧客IT部門向け）／渡す相手: 顧客IT部門</t>
    <phoneticPr fontId="2"/>
  </si>
  <si>
    <t>HK-06</t>
    <phoneticPr fontId="2"/>
  </si>
  <si>
    <t>Trust Center / 顧客監査対応資料（ADR-036）／渡す相手: 監査要求のある顧客</t>
    <phoneticPr fontId="2"/>
  </si>
  <si>
    <t>HK-07</t>
    <phoneticPr fontId="2"/>
  </si>
  <si>
    <t>DSAR対応手順（顧客向け、ADR-048）／渡す相手: 全顧客</t>
    <phoneticPr fontId="2"/>
  </si>
  <si>
    <t>HK-08</t>
    <phoneticPr fontId="2"/>
  </si>
  <si>
    <t>テナントオンボーディング案内テンプレート／渡す相手: 新規テナント</t>
    <phoneticPr fontId="2"/>
  </si>
  <si>
    <t>HK-09</t>
    <phoneticPr fontId="2"/>
  </si>
  <si>
    <t>サービス仕様書・制約事項一覧（ゾンビ窓/ログアウト限界/再認証の明示）／渡す相手: 全顧客</t>
    <phoneticPr fontId="2"/>
  </si>
  <si>
    <t>GD-01</t>
    <phoneticPr fontId="2"/>
  </si>
  <si>
    <t>H-L 認証実装ガイド</t>
    <phoneticPr fontId="2"/>
  </si>
  <si>
    <t>本ガイドについて</t>
    <phoneticPr fontId="2"/>
  </si>
  <si>
    <t>目的・対象読者・読み方・前提知識・改訂方針</t>
    <phoneticPr fontId="2"/>
  </si>
  <si>
    <t>第1部 導入・計画</t>
    <phoneticPr fontId="2"/>
  </si>
  <si>
    <t>GD-02</t>
    <phoneticPr fontId="2"/>
  </si>
  <si>
    <t>本基盤の全体像</t>
    <phoneticPr fontId="2"/>
  </si>
  <si>
    <t>2-tier（Broker/IdP-KC）・ブランド・テナント・提供範囲と非提供範囲</t>
    <phoneticPr fontId="2"/>
  </si>
  <si>
    <t>GD-03</t>
    <phoneticPr fontId="2"/>
  </si>
  <si>
    <t>用語集</t>
    <phoneticPr fontId="2"/>
  </si>
  <si>
    <t>sub／tenant_id／ブランド／エンタイトルメント等</t>
    <phoneticPr fontId="2"/>
  </si>
  <si>
    <t>GD-04</t>
    <phoneticPr fontId="2"/>
  </si>
  <si>
    <t>統合前に決めること</t>
    <phoneticPr fontId="2"/>
  </si>
  <si>
    <t>アプリ種別／フロー／クライアント認証方式／要求スコープ・クレーム／認証レベル(AAL)／トークン保存方式／ログアウト方式（GOV.UK §4型）</t>
    <phoneticPr fontId="2"/>
  </si>
  <si>
    <t>P1</t>
    <phoneticPr fontId="2"/>
  </si>
  <si>
    <t>GD-05</t>
    <phoneticPr fontId="2"/>
  </si>
  <si>
    <t>クライアント登録の申請プロセス</t>
    <phoneticPr fontId="2"/>
  </si>
  <si>
    <t>申請書式・審査・リードタイム・払い出し物</t>
    <phoneticPr fontId="2"/>
  </si>
  <si>
    <t>第2部 オンボーディング</t>
    <phoneticPr fontId="2"/>
  </si>
  <si>
    <t>GD-06</t>
    <phoneticPr fontId="2"/>
  </si>
  <si>
    <t>環境と接続情報</t>
    <phoneticPr fontId="2"/>
  </si>
  <si>
    <t>dev/stg/prodの差分・issuerはブランド設定から解決（ハードコード禁止、ADR-063 不変条件⑤）</t>
    <phoneticPr fontId="2"/>
  </si>
  <si>
    <t>GD-07</t>
    <phoneticPr fontId="2"/>
  </si>
  <si>
    <t>Discovery / エンドポイント案内</t>
    <phoneticPr fontId="2"/>
  </si>
  <si>
    <t>OIDC Discoveryを正・jwks_uriはDiscoveryから解決（U5 §5.6.3b）</t>
    <phoneticPr fontId="2"/>
  </si>
  <si>
    <t>P0</t>
    <phoneticPr fontId="2"/>
  </si>
  <si>
    <t>GD-08</t>
    <phoneticPr fontId="2"/>
  </si>
  <si>
    <t>クレデンシャル管理</t>
    <phoneticPr fontId="2"/>
  </si>
  <si>
    <t>client_secret 90日ローテ追随／private_key_jwt昇格（Phase 2）</t>
    <phoneticPr fontId="2"/>
  </si>
  <si>
    <t>GD-09</t>
    <phoneticPr fontId="2"/>
  </si>
  <si>
    <t>Webアプリ（BFF / SSR）</t>
    <phoneticPr fontId="2"/>
  </si>
  <si>
    <t>既定推奨。RFC 10017 §6.1「業務・機微・個人データを扱うアプリに強く推奨」</t>
    <phoneticPr fontId="2"/>
  </si>
  <si>
    <t>第3部 アプリ種別別 実装</t>
    <phoneticPr fontId="2"/>
  </si>
  <si>
    <t>GD-10</t>
    <phoneticPr fontId="2"/>
  </si>
  <si>
    <t>SPA（ブラウザ）</t>
    <phoneticPr fontId="2"/>
  </si>
  <si>
    <t>許容条件付き。localStorage禁止・Memory保管・L4不可の制約明示</t>
    <phoneticPr fontId="2"/>
  </si>
  <si>
    <t>GD-11</t>
    <phoneticPr fontId="2"/>
  </si>
  <si>
    <t>ネイティブ / モバイル</t>
    <phoneticPr fontId="2"/>
  </si>
  <si>
    <t>RFC 8252（外部UA必須・WebView禁止・loopback IPリテラル）。Phase 2姿勢</t>
    <phoneticPr fontId="2"/>
  </si>
  <si>
    <t>P2</t>
    <phoneticPr fontId="2"/>
  </si>
  <si>
    <t>GD-12</t>
    <phoneticPr fontId="2"/>
  </si>
  <si>
    <t>サーバ間（M2M）</t>
    <phoneticPr fontId="2"/>
  </si>
  <si>
    <t>Client Credentials・idm:*スコープ（U5 §5.8）・最小権限</t>
    <phoneticPr fontId="2"/>
  </si>
  <si>
    <t>GD-13</t>
    <phoneticPr fontId="2"/>
  </si>
  <si>
    <t>既存 SAML SP 向け</t>
    <phoneticPr fontId="2"/>
  </si>
  <si>
    <t>両署名検証／単一パース（XSW対策）／AudienceRestriction／InResponseTo／リプレイ検出／クロックスキュー／証明書2枚並列ローテ + メタデータ24h監視</t>
    <phoneticPr fontId="2"/>
  </si>
  <si>
    <t>GD-14</t>
    <phoneticPr fontId="2"/>
  </si>
  <si>
    <t>認可リクエスト</t>
    <phoneticPr fontId="2"/>
  </si>
  <si>
    <t>codeのみ（Implicit/ROPCはMUST NOT）・state+nonce+PKCE S256・redirect_uri完全一致・クライアント自身がオープンリダイレクタにならない</t>
    <phoneticPr fontId="2"/>
  </si>
  <si>
    <t>第4部 コア実装（全種別共通）</t>
    <phoneticPr fontId="2"/>
  </si>
  <si>
    <t>GD-15</t>
    <phoneticPr fontId="2"/>
  </si>
  <si>
    <t>トークン取得・保存</t>
    <phoneticPr fontId="2"/>
  </si>
  <si>
    <t>BFF=サーバ保管／SPA=Memory。localStorage/Cookie禁止</t>
    <phoneticPr fontId="2"/>
  </si>
  <si>
    <t>GD-16</t>
    <phoneticPr fontId="2"/>
  </si>
  <si>
    <t>アクセストークン検証（RS必須7点）</t>
    <phoneticPr fontId="2"/>
  </si>
  <si>
    <t>署名／iss完全一致／exp／aud／azp／tenant_id／typ=at+jwt。⚠Keycloak既定 aud=account の罠を明示</t>
    <phoneticPr fontId="2"/>
  </si>
  <si>
    <t>GD-17</t>
    <phoneticPr fontId="2"/>
  </si>
  <si>
    <t>ID Token検証</t>
    <phoneticPr fontId="2"/>
  </si>
  <si>
    <t>OIDC Core §3.1.3.7（iss/aud/署名/exp/nonce/azp）＋ UserInfoのsub一致検証（MUST）</t>
    <phoneticPr fontId="2"/>
  </si>
  <si>
    <t>GD-18</t>
    <phoneticPr fontId="2"/>
  </si>
  <si>
    <t>JWKS取得・鍵ローテ追随</t>
    <phoneticPr fontId="2"/>
  </si>
  <si>
    <t>ハードコード明示禁止。キャッシュ規約=kid別／TTL 24h／1h定期refresh／未知kidは即時再取得（5分スロットル）／last-known-good継続／10〜1000鍵保持</t>
    <phoneticPr fontId="2"/>
  </si>
  <si>
    <t>GD-19</t>
    <phoneticPr fontId="2"/>
  </si>
  <si>
    <t>テナント検証と越境防止</t>
    <phoneticPr fontId="2"/>
  </si>
  <si>
    <t>tenant_idを既知リストと照合・パス/ボディよりJWT値優先・オブジェクト単位認可（tid検証だけではBOLAは防げない）・email/upnを認可や主キーに使わない</t>
    <phoneticPr fontId="2"/>
  </si>
  <si>
    <t>GD-20</t>
    <phoneticPr fontId="2"/>
  </si>
  <si>
    <t>認可情報の取得</t>
    <phoneticPr fontId="2"/>
  </si>
  <si>
    <t>JWTにauthzは載らない（ADR-030）。/api/me/contextでpull・キャッシュTTL・権限変更は次回pullで反映</t>
    <phoneticPr fontId="2"/>
  </si>
  <si>
    <t>GD-21</t>
    <phoneticPr fontId="2"/>
  </si>
  <si>
    <t>TTL体系（AT 30分／RT 30日 Rotation／絶対24h／アイドル1h）・SSOの意味</t>
    <phoneticPr fontId="2"/>
  </si>
  <si>
    <t>GD-22</t>
    <phoneticPr fontId="2"/>
  </si>
  <si>
    <t>ログアウト3方式の使い分け</t>
    <phoneticPr fontId="2"/>
  </si>
  <si>
    <t>RP-Initiated／Back-Channel／Front-Channelは独立。「RP-Initiatedを実装したから全アプリでログアウト」は誤り。責任分界を明示</t>
    <phoneticPr fontId="2"/>
  </si>
  <si>
    <t>GD-23</t>
    <phoneticPr fontId="2"/>
  </si>
  <si>
    <t>Back-Channel Logout受信実装</t>
    <phoneticPr fontId="2"/>
  </si>
  <si>
    <t>Logout Token検証8項目（署名・alg≠none・iss/aud/iat/exp・sub or sid存在・events存在・nonce不在・200/204応答）。⚠nonce不在チェック欠落は強制ログアウトDoS</t>
    <phoneticPr fontId="2"/>
  </si>
  <si>
    <t>GD-24</t>
    <phoneticPr fontId="2"/>
  </si>
  <si>
    <t>リフレッシュトークン</t>
    <phoneticPr fontId="2"/>
  </si>
  <si>
    <t>ローテーション必須（パブリックはMUST）・reuse detectionでファミリー全体失効・invalid_grant = 再ログイン誘導</t>
    <phoneticPr fontId="2"/>
  </si>
  <si>
    <t>GD-25</t>
    <phoneticPr fontId="2"/>
  </si>
  <si>
    <t>step-up認証</t>
    <phoneticPr fontId="2"/>
  </si>
  <si>
    <t>RFC 9470（insufficient_user_authentication → acr_values/max_ageを解析して再認可）・AAL2/AAL3要求操作一覧</t>
    <phoneticPr fontId="2"/>
  </si>
  <si>
    <t>GD-26</t>
    <phoneticPr fontId="2"/>
  </si>
  <si>
    <t>必須セキュリティ要件チェックリスト</t>
    <phoneticPr fontId="2"/>
  </si>
  <si>
    <t>契約・受入で使う形（Yes/No判定可能な粒度）</t>
    <phoneticPr fontId="2"/>
  </si>
  <si>
    <t>第5部 セキュリティ要件</t>
    <phoneticPr fontId="2"/>
  </si>
  <si>
    <t>GD-27</t>
    <phoneticPr fontId="2"/>
  </si>
  <si>
    <t>CORS / SameSite / CSP</t>
    <phoneticPr fontId="2"/>
  </si>
  <si>
    <t>origin許可リスト（*禁止）・SameSite=Lax・GETで状態変更禁止・CSP/DOMPurify</t>
    <phoneticPr fontId="2"/>
  </si>
  <si>
    <t>GD-28</t>
    <phoneticPr fontId="2"/>
  </si>
  <si>
    <t>禁止事項・アンチパターン集</t>
    <phoneticPr fontId="2"/>
  </si>
  <si>
    <t>23項目（localStorage保管／aud・iss検証漏れ／JWKSハードコード／alg混同／redirect部分一致／ATをクライアントがパース／ログアウト誤解／Logout Token誤検証／WebView／email認可／429の誤バックオフ／Keycloak専用アダプタ…）</t>
    <phoneticPr fontId="2"/>
  </si>
  <si>
    <t>GD-29</t>
    <phoneticPr fontId="2"/>
  </si>
  <si>
    <t>ログ・監査</t>
    <phoneticPr fontId="2"/>
  </si>
  <si>
    <t>トークンをログに出さない・相関ID・マスキングパターン集（ADR-060 §I）</t>
    <phoneticPr fontId="2"/>
  </si>
  <si>
    <t>GD-30</t>
    <phoneticPr fontId="2"/>
  </si>
  <si>
    <t>エラーコード一覧と期待動作</t>
    <phoneticPr fontId="2"/>
  </si>
  <si>
    <t>login_required／interaction_required／consent_required／invalid_grant／insufficient_user_authentication／Keycloak authentication_expired（即リトライで成功。エラー画面にしない）</t>
    <phoneticPr fontId="2"/>
  </si>
  <si>
    <t>第6部 エラー処理・UX</t>
    <phoneticPr fontId="2"/>
  </si>
  <si>
    <t>GD-31</t>
    <phoneticPr fontId="2"/>
  </si>
  <si>
    <t>403 → Sorry誘導規約</t>
    <phoneticPr fontId="2"/>
  </si>
  <si>
    <t>launchpad.&lt;domain&gt;/sorry?app=&amp;reason=・reasonは固定辞書のみ（自由文禁止、U5 §5.6.6）</t>
    <phoneticPr fontId="2"/>
  </si>
  <si>
    <t>GD-32</t>
    <phoneticPr fontId="2"/>
  </si>
  <si>
    <t>認証失敗・再認証のUX</t>
    <phoneticPr fontId="2"/>
  </si>
  <si>
    <t>再ログイン誘導・セッション切れ表示</t>
    <phoneticPr fontId="2"/>
  </si>
  <si>
    <t>GD-33</t>
    <phoneticPr fontId="2"/>
  </si>
  <si>
    <t>ブランド・ログインボタン</t>
    <phoneticPr fontId="2"/>
  </si>
  <si>
    <t>ログイン導線の表記・ロゴ規約（Singpass型）</t>
    <phoneticPr fontId="2"/>
  </si>
  <si>
    <t>GD-34</t>
    <phoneticPr fontId="2"/>
  </si>
  <si>
    <t>Token Exchange</t>
    <phoneticPr fontId="2"/>
  </si>
  <si>
    <t>Pattern 2/3限定・audienceは短名規約・act/may_act</t>
    <phoneticPr fontId="2"/>
  </si>
  <si>
    <t>第7部 連携・拡張</t>
    <phoneticPr fontId="2"/>
  </si>
  <si>
    <t>GD-35</t>
    <phoneticPr fontId="2"/>
  </si>
  <si>
    <t>Webhook受信</t>
    <phoneticPr fontId="2"/>
  </si>
  <si>
    <t>署名検証／event_id冪等／順序非保証 + fetch-on-event／再送8回・24h（U10 D-U10-11）</t>
    <phoneticPr fontId="2"/>
  </si>
  <si>
    <t>GD-36</t>
    <phoneticPr fontId="2"/>
  </si>
  <si>
    <t>CAEP receiver</t>
    <phoneticPr fontId="2"/>
  </si>
  <si>
    <t>Phase 2姿勢（ADR-065、G-SSF後）</t>
    <phoneticPr fontId="2"/>
  </si>
  <si>
    <t>GD-37</t>
    <phoneticPr fontId="2"/>
  </si>
  <si>
    <t>レート制限と作法</t>
    <phoneticPr fontId="2"/>
  </si>
  <si>
    <t>ヘッダ3種・X-Rate-Limit-Resetを尊守（任意間隔の指数バックオフは誤り）</t>
    <phoneticPr fontId="2"/>
  </si>
  <si>
    <t>第8部 運用</t>
    <phoneticPr fontId="2"/>
  </si>
  <si>
    <t>GD-38</t>
    <phoneticPr fontId="2"/>
  </si>
  <si>
    <t>障害時の挙動</t>
    <phoneticPr fontId="2"/>
  </si>
  <si>
    <t>ゾンビ窓 ≤30分・DR時は全ユーザー再認証・JWKSはlast-known-goodで継続</t>
    <phoneticPr fontId="2"/>
  </si>
  <si>
    <t>GD-39</t>
    <phoneticPr fontId="2"/>
  </si>
  <si>
    <t>監視・可観測性</t>
    <phoneticPr fontId="2"/>
  </si>
  <si>
    <t>相関ID連携・Central Canary（ADR-059）への対応</t>
    <phoneticPr fontId="2"/>
  </si>
  <si>
    <t>GD-40</t>
    <phoneticPr fontId="2"/>
  </si>
  <si>
    <t>SLA・制約事項</t>
    <phoneticPr fontId="2"/>
  </si>
  <si>
    <t>契約で明示するもの（ゾンビ窓／ログアウト限界／DR再認証／権限反映の遅延）</t>
    <phoneticPr fontId="2"/>
  </si>
  <si>
    <t>GD-41</t>
    <phoneticPr fontId="2"/>
  </si>
  <si>
    <t>バージョニング・廃止ポリシー</t>
    <phoneticPr fontId="2"/>
  </si>
  <si>
    <t>≥6ヶ月の移行期間・変更通知手段</t>
    <phoneticPr fontId="2"/>
  </si>
  <si>
    <t>GD-42</t>
    <phoneticPr fontId="2"/>
  </si>
  <si>
    <t>サンドボックス・テスト方法</t>
    <phoneticPr fontId="2"/>
  </si>
  <si>
    <t>検証環境・テストユーザ・モックIdP</t>
    <phoneticPr fontId="2"/>
  </si>
  <si>
    <t>第9部 テスト・移行</t>
    <phoneticPr fontId="2"/>
  </si>
  <si>
    <t>GD-43</t>
    <phoneticPr fontId="2"/>
  </si>
  <si>
    <t>本番移行チェックリスト・ゲート</t>
    <phoneticPr fontId="2"/>
  </si>
  <si>
    <t>Yes/No判定式。OpenID conformance suite（RPテスト）のセルフテスト合格を推奨ゲートに</t>
    <phoneticPr fontId="2"/>
  </si>
  <si>
    <t>GD-44</t>
    <phoneticPr fontId="2"/>
  </si>
  <si>
    <t>ローンチ後の変更手順</t>
    <phoneticPr fontId="2"/>
  </si>
  <si>
    <t>redirect URI追加・スコープ変更・鍵更新の申請フロー</t>
    <phoneticPr fontId="2"/>
  </si>
  <si>
    <t>GD-45</t>
    <phoneticPr fontId="2"/>
  </si>
  <si>
    <t>移行ガイド</t>
    <phoneticPr fontId="2"/>
  </si>
  <si>
    <t>旧方式（既存IdP／旧アダプタ）からの移行</t>
    <phoneticPr fontId="2"/>
  </si>
  <si>
    <t>GD-46</t>
    <phoneticPr fontId="2"/>
  </si>
  <si>
    <t>エンドポイント・リファレンス</t>
    <phoneticPr fontId="2"/>
  </si>
  <si>
    <t>一覧（HE-19/20から転記）</t>
    <phoneticPr fontId="2"/>
  </si>
  <si>
    <t>第10部 リファレンス・サポート</t>
    <phoneticPr fontId="2"/>
  </si>
  <si>
    <t>GD-47</t>
    <phoneticPr fontId="2"/>
  </si>
  <si>
    <t>クレーム辞書・スコープ一覧</t>
    <phoneticPr fontId="2"/>
  </si>
  <si>
    <t>Stage 1 + sid・idm:*（HE-14から転記）</t>
    <phoneticPr fontId="2"/>
  </si>
  <si>
    <t>GD-48</t>
    <phoneticPr fontId="2"/>
  </si>
  <si>
    <t>推奨ライブラリ</t>
    <phoneticPr fontId="2"/>
  </si>
  <si>
    <t>OpenID認定済み汎用OIDCライブラリを必須・Keycloak専用アダプタ禁止（25.0が最後）</t>
    <phoneticPr fontId="2"/>
  </si>
  <si>
    <t>GD-49</t>
    <phoneticPr fontId="2"/>
  </si>
  <si>
    <t>サポート窓口・FAQ</t>
    <phoneticPr fontId="2"/>
  </si>
  <si>
    <t>エスカレーション経路・問い合わせ様式</t>
    <phoneticPr fontId="2"/>
  </si>
  <si>
    <t>GD-50</t>
    <phoneticPr fontId="2"/>
  </si>
  <si>
    <t>ドキュメント変更履歴</t>
    <phoneticPr fontId="2"/>
  </si>
  <si>
    <t>Changelogと管理ルール</t>
    <phoneticPr fontId="2"/>
  </si>
  <si>
    <t>GD-51</t>
    <phoneticPr fontId="2"/>
  </si>
  <si>
    <t>シーケンス図・構成図（主要8フロー）</t>
    <phoneticPr fontId="2"/>
  </si>
  <si>
    <t>一式</t>
    <phoneticPr fontId="2"/>
  </si>
  <si>
    <t>横断</t>
    <phoneticPr fontId="2"/>
  </si>
  <si>
    <t>GD-52</t>
    <phoneticPr fontId="2"/>
  </si>
  <si>
    <t>全体レビュー・整合性確認</t>
    <phoneticPr fontId="2"/>
  </si>
  <si>
    <t>設計書との突合</t>
    <phoneticPr fontId="2"/>
  </si>
  <si>
    <t>GD-53</t>
    <phoneticPr fontId="2"/>
  </si>
  <si>
    <t>アプリチーム向け説明会・フィードバック反映</t>
    <phoneticPr fontId="2"/>
  </si>
  <si>
    <t>WBS ① 基本設計クローズ — ベース 797 人日／全量 321行（A〜G 調査検討 120行=270 ／ H 設計成果物の執筆 201行=527）</t>
  </si>
  <si>
    <t>出典: 00a v2.3 §1/§2（A〜G）+ basic-design-deliverables-2026-08-26.md v3 §3（H-A〜H-K）+ rp-integration-guide-toc-2026-08-26.md §3（H-L 認証実装ガイド GD-01〜53）</t>
  </si>
  <si>
    <t>★分岐（条件付きプール）は別シート「分岐プール」に集約。設計152／構築98／テスト50 = 合計300。予算上は ベース 2,402 + リスク引当 300 = 上限 2,702 人日</t>
  </si>
  <si>
    <t>★H-J＝「何を設定するか」／②詳細設計＝「どう実装するか」で重複なし。★H-K は契約添付を含む顧客提供物。★H-L は認証実装ガイド（HK-03を全面展開）。★H群はRunbook執筆（G-1）とも重複しない</t>
  </si>
  <si>
    <t>■ H-L 認証実装ガイドの備考</t>
  </si>
  <si>
    <t>・第4部（コア実装）にP0が集中する理由: GD-16 アクセストークン検証（4人日）… Keycloakは既定でATのaud=account。Audience Mapper未設定だと「aud検証しているつもり」になる本基盤固有の罠（Keycloak 26.6.2でintrospectionのaud強制が入り、未設定サービスが突然401になった事例あり）</t>
  </si>
  <si>
    <t>・GD-18 JWKS鍵ローテ追随（3）… Keycloak公式が公開鍵ハードコードを許容表現で書いているため、自社ガイドで明示禁止が必要（Microsoftは「単一署名鍵しかサポートしないアプリは本質的に安全性・信頼性が低い」と断定）</t>
  </si>
  <si>
    <t>・GD-19 テナント越境防止（3）… tid検証だけではBOLAを防げない（オブジェクト単位認可が必要）</t>
  </si>
  <si>
    <t>・GD-23 Back-Channel Logout受信（3）… Logout Token検証8項目。events存在・nonce不在のチェック欠落は「強制ログアウトDoS」になる</t>
  </si>
  <si>
    <t>・GD-20 認可情報の取得（3）… JWTにauthzは載らない。/api/me/contextでpullする</t>
  </si>
  <si>
    <t>・★サンプルコードは本ガイドに含めず、③構築のBX-02（共通ライブラリ・リファレンス実装）で作成してガイドからリンクする。二重計上しない</t>
  </si>
  <si>
    <t>・★他のH群との関係（重複ではない）: GD-46/47（エンドポイント・クレーム辞書）はHE-14/19/20を「アプリ向けに転記」／GD-13（SAML SP向け）はHE-15/17を「SP開発者向けに再構成」／GD-30（エラーコード）はHC-09を「RPの期待動作つきで再構成」。設計はH-C/H-E側、ガイドは読者向け再構成</t>
  </si>
  <si>
    <t>・★派生是正3件: ①C-11 新規追加（U5 §5.6.2のIETF draft表記をRFC 10017 / BCP 212へ改訂、1人日）②HJ-09にAudience Mapper既定同梱を追記（人日据え置き）③WBS(詳細設計_製造) DU-U2-05のDoDに「audがRS識別子になること」を追記（人日据え置き）</t>
  </si>
  <si>
    <t>載せる項目の辞書（最小構成、個人情報非搭載）／DoD: 辞書どおりに搭載され、保護対象の属性が上書きされない／★audがRS識別子になること（accountでない）を検証</t>
  </si>
  <si>
    <t>00a v2.3 §1（A〜G 270 = 調査108＋検討162。C-11 +1含む）+ 設計成果物H 527（201項目。うち認証実装ガイド H-L 108／GD-01〜53）。別シート「WBS(基本設計)」に321行の明細</t>
  </si>
  <si>
    <t>★①797の内訳: 調査 108（PoCゲート A系）＋ 検討 689（うち設計成果物H 527、そのうち認証実装ガイド H-L が 108）</t>
  </si>
  <si>
    <t>★条件付きプール 300（設計152 = C-* 65 + CH-* 87 ／ 構築98 = CB-* 8件 ／ テスト50 = CT-* 6件）はベース外。予算上は ベース 2,402 + リスク引当 300 = 上限 2,702 人日。明細は別シート「分岐プール」</t>
  </si>
  <si>
    <t>★注意: 00a §6「構築+テスト 325〜455人日」は詳細設計を含まない旧値。上記の2,402人日とは別系統のため単純合算しないこと</t>
  </si>
  <si>
    <t>✓ 一致（① 797 ＋ ② 441 ＋ ③ 743 ＋ ④ 421）</t>
  </si>
  <si>
    <t>★運用ルール①: ベース合計（2,402人日）には足さない。顕在化した時点でベースへ繰入れ、各WBSの行とダッシュボードのサマリーを更新する</t>
  </si>
  <si>
    <t>★運用ルール③: 予算上は「ベース 2,402 + リスク引当 300 = 上限 2,702 人日」と読む</t>
  </si>
  <si>
    <t>ベース 2,402 + 条件付き 300 = 上限 2,702 人日</t>
  </si>
  <si>
    <t>C. 設計是正・文書整合（検討23人日／13件）</t>
  </si>
  <si>
    <t>H. 設計成果物の執筆（検討527人日／201件）</t>
  </si>
  <si>
    <t>内訳: HA 56／HB 78.5／HC 40／HD 42／HE 53／HF 13.5／HG 21／HH 12／HI 22／HJ 56／HK 25／HL 108（認証実装ガイド GD-01〜53）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</si>
</sst>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1" formatCode="#,##0.0"/>
    <numFmt numFmtId="186" formatCode="#,##0.0000"/>
    <numFmt numFmtId="187" formatCode="#,##0.###"/>
    <numFmt numFmtId="188" formatCode="\¥#,##0"/>
    <numFmt numFmtId="189" formatCode="\¥#,##0.00"/>
    <numFmt numFmtId="190" formatCode="0.00000000"/>
  </numFmts>
  <fonts count="7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b/>
      <sz val="10"/>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sz val="10"/>
      <color rgb="FF1F4E79"/>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0"/>
      <color theme="1"/>
      <name val="游ゴシック"/>
      <family val="2"/>
      <charset val="128"/>
      <scheme val="minor"/>
    </font>
    <font>
      <sz val="10"/>
      <color rgb="FFC00000"/>
      <name val="Meiryo UI"/>
      <family val="2"/>
      <charset val="128"/>
    </font>
    <font>
      <b/>
      <sz val="10"/>
      <color theme="1"/>
      <name val="游ゴシック"/>
      <family val="2"/>
      <charset val="128"/>
      <scheme val="minor"/>
    </font>
  </fonts>
  <fills count="17">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s>
  <borders count="2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s>
  <cellStyleXfs count="1">
    <xf numFmtId="0" fontId="0" fillId="0" borderId="0">
      <alignment vertical="center"/>
    </xf>
  </cellStyleXfs>
  <cellXfs count="383">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9" fillId="0" borderId="5" xfId="0" applyFont="1" applyBorder="1" applyAlignment="1">
      <alignment vertical="top"/>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3" fillId="0" borderId="0" xfId="0" applyFont="1" applyFill="1" applyBorder="1">
      <alignment vertical="center"/>
    </xf>
    <xf numFmtId="0" fontId="25" fillId="0" borderId="0" xfId="0" applyFont="1">
      <alignment vertical="center"/>
    </xf>
    <xf numFmtId="0" fontId="10"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2"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1"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29"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29" fillId="0" borderId="0" xfId="0" applyFont="1" applyFill="1" applyBorder="1">
      <alignment vertical="center"/>
    </xf>
    <xf numFmtId="176" fontId="18" fillId="0" borderId="4" xfId="0" applyNumberFormat="1" applyFont="1" applyBorder="1" applyAlignment="1">
      <alignment horizontal="center" vertical="center"/>
    </xf>
    <xf numFmtId="0" fontId="30"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3"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3"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7"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8"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1" fillId="0" borderId="2" xfId="0" applyFont="1" applyBorder="1">
      <alignment vertical="center"/>
    </xf>
    <xf numFmtId="0" fontId="4" fillId="0" borderId="4" xfId="0" applyFont="1" applyBorder="1" applyAlignment="1">
      <alignment horizontal="center" vertical="top"/>
    </xf>
    <xf numFmtId="0" fontId="4" fillId="0" borderId="8" xfId="0" applyFont="1" applyBorder="1" applyAlignment="1">
      <alignment horizontal="center" vertical="top"/>
    </xf>
    <xf numFmtId="0" fontId="55"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6" fillId="9" borderId="10" xfId="0" applyFont="1" applyFill="1" applyBorder="1" applyAlignment="1">
      <alignment horizontal="center" vertical="top"/>
    </xf>
    <xf numFmtId="0" fontId="6" fillId="9" borderId="11" xfId="0" applyFont="1" applyFill="1" applyBorder="1" applyAlignment="1">
      <alignment horizontal="center" vertical="top"/>
    </xf>
    <xf numFmtId="0" fontId="6" fillId="9"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58"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2"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2" fillId="0" borderId="4" xfId="0" applyFont="1" applyBorder="1">
      <alignment vertical="center"/>
    </xf>
    <xf numFmtId="0" fontId="62"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3"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18"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6" fillId="2" borderId="18" xfId="0" applyFont="1" applyFill="1" applyBorder="1" applyAlignment="1">
      <alignment horizontal="center" vertical="top"/>
    </xf>
    <xf numFmtId="0" fontId="64"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7" fillId="2" borderId="20" xfId="0" applyFont="1" applyFill="1" applyBorder="1">
      <alignment vertical="center"/>
    </xf>
    <xf numFmtId="0" fontId="27" fillId="2" borderId="21" xfId="0" applyFont="1" applyFill="1" applyBorder="1">
      <alignment vertical="center"/>
    </xf>
    <xf numFmtId="0" fontId="27"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7"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2"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9"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4"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6" borderId="21" xfId="0" applyFont="1" applyFill="1" applyBorder="1">
      <alignment vertical="center"/>
    </xf>
    <xf numFmtId="0" fontId="28" fillId="12" borderId="21" xfId="0" applyFont="1" applyFill="1" applyBorder="1">
      <alignment vertical="center"/>
    </xf>
    <xf numFmtId="0" fontId="28"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8" fillId="2" borderId="22"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2" fillId="0" borderId="23" xfId="0" applyFont="1" applyBorder="1" applyAlignment="1">
      <alignment vertical="top" wrapText="1"/>
    </xf>
    <xf numFmtId="0" fontId="28" fillId="14" borderId="22" xfId="0" applyFont="1" applyFill="1" applyBorder="1">
      <alignment vertical="center"/>
    </xf>
    <xf numFmtId="0" fontId="7" fillId="15" borderId="0" xfId="0" applyFont="1" applyFill="1">
      <alignment vertical="center"/>
    </xf>
    <xf numFmtId="0" fontId="67"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3" fillId="13" borderId="4" xfId="0" applyFont="1" applyFill="1" applyBorder="1" applyAlignment="1">
      <alignment vertical="top"/>
    </xf>
    <xf numFmtId="0" fontId="7" fillId="2" borderId="20" xfId="0" applyFont="1" applyFill="1" applyBorder="1">
      <alignment vertical="center"/>
    </xf>
    <xf numFmtId="0" fontId="7" fillId="2" borderId="21" xfId="0" applyFont="1" applyFill="1" applyBorder="1">
      <alignment vertical="center"/>
    </xf>
    <xf numFmtId="0" fontId="7"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1" fillId="4" borderId="23" xfId="0" applyFont="1" applyFill="1" applyBorder="1">
      <alignment vertical="center"/>
    </xf>
    <xf numFmtId="0" fontId="1" fillId="4" borderId="17" xfId="0" applyFont="1" applyFill="1" applyBorder="1">
      <alignment vertical="center"/>
    </xf>
    <xf numFmtId="0" fontId="1" fillId="4" borderId="13" xfId="0" applyFont="1" applyFill="1" applyBorder="1">
      <alignment vertical="center"/>
    </xf>
    <xf numFmtId="0" fontId="1" fillId="7" borderId="24" xfId="0" applyFont="1" applyFill="1" applyBorder="1">
      <alignment vertical="center"/>
    </xf>
    <xf numFmtId="0" fontId="1" fillId="7" borderId="25" xfId="0" applyFont="1" applyFill="1" applyBorder="1">
      <alignment vertical="center"/>
    </xf>
    <xf numFmtId="0" fontId="1" fillId="7" borderId="19" xfId="0" applyFont="1" applyFill="1" applyBorder="1">
      <alignment vertical="center"/>
    </xf>
    <xf numFmtId="0" fontId="0" fillId="0" borderId="17" xfId="0" applyBorder="1" applyAlignment="1">
      <alignment vertical="center" wrapText="1"/>
    </xf>
    <xf numFmtId="0" fontId="3" fillId="13" borderId="3" xfId="0" applyFont="1" applyFill="1" applyBorder="1" applyAlignment="1">
      <alignment vertical="top"/>
    </xf>
    <xf numFmtId="0" fontId="4" fillId="13" borderId="4" xfId="0" applyFont="1" applyFill="1" applyBorder="1" applyAlignment="1">
      <alignment vertical="top"/>
    </xf>
    <xf numFmtId="0" fontId="57" fillId="13" borderId="4" xfId="0" applyFont="1" applyFill="1" applyBorder="1" applyAlignment="1">
      <alignment horizontal="center" vertical="top"/>
    </xf>
    <xf numFmtId="0" fontId="4" fillId="13" borderId="4" xfId="0" applyFont="1" applyFill="1" applyBorder="1" applyAlignment="1">
      <alignment horizontal="center" vertical="top"/>
    </xf>
    <xf numFmtId="0" fontId="57" fillId="13" borderId="4" xfId="0" applyFont="1" applyFill="1" applyBorder="1" applyAlignment="1">
      <alignment vertical="top"/>
    </xf>
    <xf numFmtId="0" fontId="3" fillId="13" borderId="5" xfId="0" applyFont="1" applyFill="1" applyBorder="1" applyAlignment="1">
      <alignment horizontal="center" vertical="top"/>
    </xf>
    <xf numFmtId="0" fontId="3" fillId="8" borderId="7" xfId="0" applyFont="1" applyFill="1" applyBorder="1" applyAlignment="1">
      <alignment vertical="top"/>
    </xf>
    <xf numFmtId="0" fontId="4" fillId="8" borderId="8" xfId="0" applyFont="1" applyFill="1" applyBorder="1" applyAlignment="1">
      <alignment vertical="top"/>
    </xf>
    <xf numFmtId="0" fontId="3" fillId="8" borderId="8" xfId="0" applyFont="1" applyFill="1" applyBorder="1" applyAlignment="1">
      <alignment vertical="top"/>
    </xf>
    <xf numFmtId="0" fontId="57" fillId="8" borderId="8" xfId="0" applyFont="1" applyFill="1" applyBorder="1" applyAlignment="1">
      <alignment horizontal="center" vertical="top"/>
    </xf>
    <xf numFmtId="0" fontId="4" fillId="8" borderId="8" xfId="0" applyFont="1" applyFill="1" applyBorder="1" applyAlignment="1">
      <alignment horizontal="center" vertical="top"/>
    </xf>
    <xf numFmtId="0" fontId="57" fillId="8" borderId="8" xfId="0" applyFont="1" applyFill="1" applyBorder="1" applyAlignment="1">
      <alignment vertical="top"/>
    </xf>
    <xf numFmtId="0" fontId="3" fillId="8" borderId="9" xfId="0" applyFont="1" applyFill="1" applyBorder="1" applyAlignment="1">
      <alignment horizontal="center" vertical="top"/>
    </xf>
    <xf numFmtId="0" fontId="6" fillId="6" borderId="18" xfId="0" applyFont="1" applyFill="1" applyBorder="1" applyAlignment="1">
      <alignment horizontal="center" vertical="top"/>
    </xf>
    <xf numFmtId="0" fontId="3" fillId="13" borderId="0" xfId="0" applyFont="1" applyFill="1" applyAlignment="1">
      <alignment vertical="top" wrapText="1"/>
    </xf>
    <xf numFmtId="0" fontId="3" fillId="8" borderId="0" xfId="0" applyFont="1" applyFill="1" applyAlignment="1">
      <alignment vertical="top" wrapText="1"/>
    </xf>
    <xf numFmtId="0" fontId="1" fillId="5" borderId="24" xfId="0" applyFont="1" applyFill="1" applyBorder="1">
      <alignment vertical="center"/>
    </xf>
    <xf numFmtId="0" fontId="1" fillId="5" borderId="25" xfId="0" applyFont="1" applyFill="1" applyBorder="1">
      <alignment vertical="center"/>
    </xf>
    <xf numFmtId="0" fontId="1" fillId="5" borderId="19" xfId="0" applyFont="1" applyFill="1" applyBorder="1">
      <alignment vertical="center"/>
    </xf>
    <xf numFmtId="0" fontId="7"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29" fillId="7" borderId="24" xfId="0" applyFont="1" applyFill="1" applyBorder="1">
      <alignment vertical="center"/>
    </xf>
    <xf numFmtId="0" fontId="29" fillId="7" borderId="25" xfId="0" applyFont="1" applyFill="1" applyBorder="1">
      <alignment vertical="center"/>
    </xf>
    <xf numFmtId="0" fontId="29" fillId="7" borderId="19" xfId="0" applyFont="1" applyFill="1" applyBorder="1">
      <alignment vertical="center"/>
    </xf>
    <xf numFmtId="0" fontId="68" fillId="0" borderId="0" xfId="0" applyFont="1">
      <alignment vertical="center"/>
    </xf>
    <xf numFmtId="0" fontId="26" fillId="0" borderId="26" xfId="0" applyFont="1" applyFill="1" applyBorder="1">
      <alignment vertical="center"/>
    </xf>
    <xf numFmtId="0" fontId="69"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37" fillId="0" borderId="0" xfId="0" applyFont="1" applyFill="1" applyBorder="1">
      <alignment vertical="center"/>
    </xf>
    <xf numFmtId="0" fontId="70" fillId="0" borderId="0" xfId="0" applyFont="1">
      <alignment vertical="center"/>
    </xf>
    <xf numFmtId="0" fontId="14" fillId="0" borderId="0" xfId="0" applyFont="1" applyFill="1" applyBorder="1" applyAlignment="1">
      <alignment horizontal="center" vertical="top"/>
    </xf>
    <xf numFmtId="0" fontId="71" fillId="0" borderId="0" xfId="0" applyFont="1">
      <alignment vertical="center"/>
    </xf>
    <xf numFmtId="0" fontId="41" fillId="0" borderId="0" xfId="0" applyFont="1">
      <alignment vertical="center"/>
    </xf>
    <xf numFmtId="0" fontId="72" fillId="0" borderId="0" xfId="0" applyFont="1">
      <alignment vertical="center"/>
    </xf>
    <xf numFmtId="0" fontId="17" fillId="2" borderId="20" xfId="0" applyFont="1" applyFill="1" applyBorder="1">
      <alignment vertical="center"/>
    </xf>
    <xf numFmtId="0" fontId="17" fillId="2" borderId="21" xfId="0" applyFont="1" applyFill="1" applyBorder="1">
      <alignment vertical="center"/>
    </xf>
    <xf numFmtId="0" fontId="8" fillId="12" borderId="21" xfId="0" applyFont="1" applyFill="1" applyBorder="1">
      <alignment vertical="center"/>
    </xf>
    <xf numFmtId="0" fontId="8" fillId="12" borderId="22" xfId="0" applyFont="1" applyFill="1" applyBorder="1">
      <alignment vertical="center"/>
    </xf>
    <xf numFmtId="0" fontId="3" fillId="0" borderId="17" xfId="0" applyFont="1" applyBorder="1" applyAlignment="1">
      <alignment horizontal="center" vertical="top"/>
    </xf>
    <xf numFmtId="0" fontId="3" fillId="0" borderId="13" xfId="0" applyFont="1" applyBorder="1" applyAlignment="1">
      <alignment horizontal="center" vertical="top"/>
    </xf>
    <xf numFmtId="0" fontId="3" fillId="0" borderId="25" xfId="0" applyFont="1" applyBorder="1" applyAlignment="1">
      <alignment horizontal="center" vertical="top"/>
    </xf>
    <xf numFmtId="0" fontId="3" fillId="0" borderId="19" xfId="0" applyFont="1" applyBorder="1" applyAlignment="1">
      <alignment horizontal="center" vertical="top"/>
    </xf>
    <xf numFmtId="0" fontId="73" fillId="0" borderId="0" xfId="0" applyFont="1">
      <alignment vertical="center"/>
    </xf>
  </cellXfs>
  <cellStyles count="1">
    <cellStyle name="標準" xfId="0" builtinId="0"/>
  </cellStyles>
  <dxfs count="124">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3034</v>
      </c>
    </row>
    <row r="2" spans="1:4">
      <c r="A2" s="48" t="s">
        <v>3035</v>
      </c>
    </row>
    <row r="4" spans="1:4" ht="24" customHeight="1">
      <c r="A4" s="109" t="s">
        <v>3036</v>
      </c>
      <c r="B4" s="110" t="s">
        <v>3037</v>
      </c>
      <c r="C4" s="110" t="s">
        <v>3038</v>
      </c>
      <c r="D4" s="111" t="s">
        <v>3039</v>
      </c>
    </row>
    <row r="5" spans="1:4" ht="300" customHeight="1">
      <c r="A5" s="112" t="s">
        <v>3030</v>
      </c>
      <c r="B5" s="202">
        <v>57</v>
      </c>
      <c r="C5" s="51" t="s">
        <v>3040</v>
      </c>
      <c r="D5" s="204" t="s">
        <v>3044</v>
      </c>
    </row>
    <row r="6" spans="1:4" ht="300" customHeight="1">
      <c r="A6" s="112" t="s">
        <v>3029</v>
      </c>
      <c r="B6" s="202">
        <v>45</v>
      </c>
      <c r="C6" s="51" t="s">
        <v>3041</v>
      </c>
      <c r="D6" s="204" t="s">
        <v>3046</v>
      </c>
    </row>
    <row r="7" spans="1:4" ht="300" customHeight="1">
      <c r="A7" s="113" t="s">
        <v>3042</v>
      </c>
      <c r="B7" s="203">
        <v>130</v>
      </c>
      <c r="C7" s="52" t="s">
        <v>3043</v>
      </c>
      <c r="D7" s="205" t="s">
        <v>3045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3047</v>
      </c>
    </row>
    <row r="2" spans="1:6">
      <c r="A2" s="3" t="s">
        <v>3048</v>
      </c>
    </row>
    <row r="3" spans="1:6">
      <c r="A3" s="54" t="s">
        <v>3049</v>
      </c>
    </row>
    <row r="5" spans="1:6">
      <c r="A5" s="4" t="s">
        <v>3050</v>
      </c>
    </row>
    <row r="6" spans="1:6">
      <c r="A6" s="18" t="s">
        <v>3051</v>
      </c>
      <c r="B6" s="19" t="s">
        <v>3052</v>
      </c>
      <c r="C6" s="19" t="s">
        <v>3053</v>
      </c>
      <c r="D6" s="20" t="s">
        <v>3054</v>
      </c>
    </row>
    <row r="7" spans="1:6">
      <c r="A7" s="21" t="s">
        <v>3055</v>
      </c>
      <c r="B7" s="223" t="s">
        <v>3056</v>
      </c>
      <c r="C7" s="22" t="s">
        <v>2230</v>
      </c>
      <c r="D7" s="27" t="s">
        <v>3057</v>
      </c>
    </row>
    <row r="8" spans="1:6">
      <c r="A8" s="21" t="s">
        <v>3058</v>
      </c>
      <c r="B8" s="223">
        <v>730</v>
      </c>
      <c r="C8" s="22" t="s">
        <v>3059</v>
      </c>
      <c r="D8" s="27" t="s">
        <v>3060</v>
      </c>
    </row>
    <row r="9" spans="1:6">
      <c r="A9" s="21" t="s">
        <v>3061</v>
      </c>
      <c r="B9" s="223">
        <v>150</v>
      </c>
      <c r="C9" s="22" t="s">
        <v>3062</v>
      </c>
      <c r="D9" s="27" t="s">
        <v>3063</v>
      </c>
    </row>
    <row r="10" spans="1:6">
      <c r="A10" s="21" t="s">
        <v>3064</v>
      </c>
      <c r="B10" s="223">
        <v>1000000</v>
      </c>
      <c r="C10" s="22" t="s">
        <v>3065</v>
      </c>
      <c r="D10" s="27" t="s">
        <v>3066</v>
      </c>
    </row>
    <row r="11" spans="1:6">
      <c r="A11" s="21" t="s">
        <v>3067</v>
      </c>
      <c r="B11" s="223">
        <v>5000000</v>
      </c>
      <c r="C11" s="22" t="s">
        <v>3065</v>
      </c>
      <c r="D11" s="27" t="s">
        <v>3068</v>
      </c>
    </row>
    <row r="12" spans="1:6">
      <c r="A12" s="25" t="s">
        <v>3069</v>
      </c>
      <c r="B12" s="224">
        <v>10000000</v>
      </c>
      <c r="C12" s="26" t="s">
        <v>3065</v>
      </c>
      <c r="D12" s="28" t="s">
        <v>3070</v>
      </c>
    </row>
    <row r="14" spans="1:6">
      <c r="A14" s="4" t="s">
        <v>3071</v>
      </c>
    </row>
    <row r="15" spans="1:6">
      <c r="A15" s="182" t="s">
        <v>1</v>
      </c>
      <c r="B15" s="183" t="s">
        <v>3051</v>
      </c>
      <c r="C15" s="183" t="s">
        <v>3072</v>
      </c>
      <c r="D15" s="183" t="s">
        <v>3053</v>
      </c>
      <c r="E15" s="183" t="s">
        <v>12</v>
      </c>
      <c r="F15" s="184" t="s">
        <v>665</v>
      </c>
    </row>
    <row r="16" spans="1:6">
      <c r="A16" s="21" t="s">
        <v>2991</v>
      </c>
      <c r="B16" s="22" t="s">
        <v>3073</v>
      </c>
      <c r="C16" s="225">
        <v>0.25</v>
      </c>
      <c r="D16" s="22" t="s">
        <v>3074</v>
      </c>
      <c r="E16" s="22" t="s">
        <v>3075</v>
      </c>
      <c r="F16" s="27" t="s">
        <v>3076</v>
      </c>
    </row>
    <row r="17" spans="1:14">
      <c r="A17" s="21" t="s">
        <v>2991</v>
      </c>
      <c r="B17" s="22" t="s">
        <v>3077</v>
      </c>
      <c r="C17" s="225">
        <v>0.17100000000000001</v>
      </c>
      <c r="D17" s="22" t="s">
        <v>3078</v>
      </c>
      <c r="E17" s="22" t="s">
        <v>3075</v>
      </c>
      <c r="F17" s="27" t="s">
        <v>3076</v>
      </c>
    </row>
    <row r="18" spans="1:14">
      <c r="A18" s="21" t="s">
        <v>2991</v>
      </c>
      <c r="B18" s="22" t="s">
        <v>3079</v>
      </c>
      <c r="C18" s="225">
        <v>1500</v>
      </c>
      <c r="D18" s="22" t="s">
        <v>3080</v>
      </c>
      <c r="E18" s="22" t="s">
        <v>3075</v>
      </c>
      <c r="F18" s="27" t="s">
        <v>3076</v>
      </c>
    </row>
    <row r="19" spans="1:14">
      <c r="A19" s="21" t="s">
        <v>2991</v>
      </c>
      <c r="B19" s="22" t="s">
        <v>3081</v>
      </c>
      <c r="C19" s="225">
        <v>1000</v>
      </c>
      <c r="D19" s="22" t="s">
        <v>3080</v>
      </c>
      <c r="E19" s="22" t="s">
        <v>3075</v>
      </c>
      <c r="F19" s="27" t="s">
        <v>3076</v>
      </c>
    </row>
    <row r="20" spans="1:14">
      <c r="A20" s="25" t="s">
        <v>2991</v>
      </c>
      <c r="B20" s="26" t="s">
        <v>3082</v>
      </c>
      <c r="C20" s="226">
        <v>667</v>
      </c>
      <c r="D20" s="26" t="s">
        <v>3080</v>
      </c>
      <c r="E20" s="26" t="s">
        <v>3075</v>
      </c>
      <c r="F20" s="28" t="s">
        <v>3076</v>
      </c>
    </row>
    <row r="21" spans="1:14">
      <c r="A21" s="124" t="s">
        <v>3083</v>
      </c>
    </row>
    <row r="23" spans="1:14">
      <c r="A23" s="4" t="s">
        <v>3084</v>
      </c>
    </row>
    <row r="24" spans="1:14" ht="30" customHeight="1">
      <c r="A24" s="9" t="s">
        <v>1</v>
      </c>
      <c r="B24" s="10" t="s">
        <v>3085</v>
      </c>
      <c r="C24" s="10" t="s">
        <v>3086</v>
      </c>
      <c r="D24" s="10" t="s">
        <v>3087</v>
      </c>
      <c r="E24" s="10" t="s">
        <v>3088</v>
      </c>
      <c r="F24" s="10" t="s">
        <v>3089</v>
      </c>
      <c r="G24" s="10" t="s">
        <v>3090</v>
      </c>
      <c r="H24" s="10" t="s">
        <v>3053</v>
      </c>
      <c r="I24" s="10" t="s">
        <v>3091</v>
      </c>
      <c r="J24" s="10" t="s">
        <v>3092</v>
      </c>
      <c r="K24" s="10" t="s">
        <v>3093</v>
      </c>
      <c r="L24" s="10" t="s">
        <v>3094</v>
      </c>
      <c r="M24" s="11" t="s">
        <v>3095</v>
      </c>
      <c r="N24" s="250" t="s">
        <v>3054</v>
      </c>
    </row>
    <row r="25" spans="1:14">
      <c r="A25" s="212" t="s">
        <v>3096</v>
      </c>
      <c r="B25" s="6" t="s">
        <v>3097</v>
      </c>
      <c r="C25" s="180" t="s">
        <v>3098</v>
      </c>
      <c r="D25" s="180" t="s">
        <v>3099</v>
      </c>
      <c r="E25" s="207">
        <v>2190</v>
      </c>
      <c r="F25" s="207">
        <v>4380</v>
      </c>
      <c r="G25" s="207">
        <v>6570</v>
      </c>
      <c r="H25" s="12" t="s">
        <v>3100</v>
      </c>
      <c r="I25" s="209">
        <v>0.18190000000000001</v>
      </c>
      <c r="J25" s="210">
        <f>E25*$I25</f>
        <v>398.36099999999999</v>
      </c>
      <c r="K25" s="210">
        <f>F25*$I25</f>
        <v>796.72199999999998</v>
      </c>
      <c r="L25" s="210">
        <f>G25*$I25</f>
        <v>1195.0830000000001</v>
      </c>
      <c r="M25" s="14" t="s">
        <v>4718</v>
      </c>
      <c r="N25" t="s">
        <v>4719</v>
      </c>
    </row>
    <row r="26" spans="1:14">
      <c r="A26" s="212" t="s">
        <v>3096</v>
      </c>
      <c r="B26" s="6" t="s">
        <v>3101</v>
      </c>
      <c r="C26" s="180" t="s">
        <v>3102</v>
      </c>
      <c r="D26" s="180" t="s">
        <v>3103</v>
      </c>
      <c r="E26" s="207">
        <v>2190</v>
      </c>
      <c r="F26" s="207">
        <v>6570</v>
      </c>
      <c r="G26" s="207">
        <v>13140</v>
      </c>
      <c r="H26" s="12" t="s">
        <v>3100</v>
      </c>
      <c r="I26" s="209">
        <v>0.18190000000000001</v>
      </c>
      <c r="J26" s="210">
        <f>E26*$I26</f>
        <v>398.36099999999999</v>
      </c>
      <c r="K26" s="210">
        <f>F26*$I26</f>
        <v>1195.0830000000001</v>
      </c>
      <c r="L26" s="210">
        <f>G26*$I26</f>
        <v>2390.1660000000002</v>
      </c>
      <c r="M26" s="14" t="s">
        <v>4718</v>
      </c>
      <c r="N26" t="s">
        <v>4719</v>
      </c>
    </row>
    <row r="27" spans="1:14">
      <c r="A27" s="212" t="s">
        <v>3096</v>
      </c>
      <c r="B27" s="6" t="s">
        <v>3104</v>
      </c>
      <c r="C27" s="180" t="s">
        <v>3105</v>
      </c>
      <c r="D27" s="180" t="s">
        <v>3106</v>
      </c>
      <c r="E27" s="207">
        <v>4380</v>
      </c>
      <c r="F27" s="207">
        <v>4380</v>
      </c>
      <c r="G27" s="207">
        <v>4380</v>
      </c>
      <c r="H27" s="12" t="s">
        <v>3100</v>
      </c>
      <c r="I27" s="209">
        <v>9.0999999999999998E-2</v>
      </c>
      <c r="J27" s="210">
        <f>E27*$I27</f>
        <v>398.58</v>
      </c>
      <c r="K27" s="210">
        <f>F27*$I27</f>
        <v>398.58</v>
      </c>
      <c r="L27" s="210">
        <f>G27*$I27</f>
        <v>398.58</v>
      </c>
      <c r="M27" s="14" t="s">
        <v>4718</v>
      </c>
      <c r="N27" t="s">
        <v>4720</v>
      </c>
    </row>
    <row r="28" spans="1:14">
      <c r="A28" s="212" t="s">
        <v>3096</v>
      </c>
      <c r="B28" s="6" t="s">
        <v>3107</v>
      </c>
      <c r="C28" s="180" t="s">
        <v>3108</v>
      </c>
      <c r="D28" s="180" t="s">
        <v>3109</v>
      </c>
      <c r="E28" s="207">
        <v>1460</v>
      </c>
      <c r="F28" s="207">
        <v>1460</v>
      </c>
      <c r="G28" s="207">
        <v>1460</v>
      </c>
      <c r="H28" s="12" t="s">
        <v>3110</v>
      </c>
      <c r="I28" s="209">
        <v>0.25</v>
      </c>
      <c r="J28" s="210">
        <f>E28*$I28</f>
        <v>365</v>
      </c>
      <c r="K28" s="210">
        <f>F28*$I28</f>
        <v>365</v>
      </c>
      <c r="L28" s="210">
        <f>G28*$I28</f>
        <v>365</v>
      </c>
      <c r="M28" s="14" t="s">
        <v>4721</v>
      </c>
      <c r="N28" t="s">
        <v>4722</v>
      </c>
    </row>
    <row r="29" spans="1:14">
      <c r="A29" s="212" t="s">
        <v>3096</v>
      </c>
      <c r="B29" s="6" t="s">
        <v>3111</v>
      </c>
      <c r="C29" s="180" t="s">
        <v>3112</v>
      </c>
      <c r="D29" s="180" t="s">
        <v>3113</v>
      </c>
      <c r="E29" s="207">
        <v>1642</v>
      </c>
      <c r="F29" s="207">
        <v>3103</v>
      </c>
      <c r="G29" s="207">
        <v>5658</v>
      </c>
      <c r="H29" s="12" t="s">
        <v>3114</v>
      </c>
      <c r="I29" s="209">
        <v>0.17100000000000001</v>
      </c>
      <c r="J29" s="210">
        <f>E29*$I29</f>
        <v>280.78200000000004</v>
      </c>
      <c r="K29" s="210">
        <f>F29*$I29</f>
        <v>530.61300000000006</v>
      </c>
      <c r="L29" s="210">
        <f>G29*$I29</f>
        <v>967.51800000000003</v>
      </c>
      <c r="M29" s="14" t="s">
        <v>4721</v>
      </c>
      <c r="N29" t="s">
        <v>4722</v>
      </c>
    </row>
    <row r="30" spans="1:14">
      <c r="A30" s="273" t="s">
        <v>3096</v>
      </c>
      <c r="B30" s="274" t="s">
        <v>3115</v>
      </c>
      <c r="C30" s="275" t="s">
        <v>3116</v>
      </c>
      <c r="D30" s="275" t="s">
        <v>4920</v>
      </c>
      <c r="E30" s="276">
        <v>1320</v>
      </c>
      <c r="F30" s="276">
        <v>2400</v>
      </c>
      <c r="G30" s="276">
        <v>3840</v>
      </c>
      <c r="H30" s="277" t="s">
        <v>3117</v>
      </c>
      <c r="I30" s="278">
        <v>9.6000000000000002E-2</v>
      </c>
      <c r="J30" s="279">
        <f>E30*$I30</f>
        <v>126.72</v>
      </c>
      <c r="K30" s="279">
        <f>F30*$I30</f>
        <v>230.4</v>
      </c>
      <c r="L30" s="279">
        <f>G30*$I30</f>
        <v>368.64</v>
      </c>
      <c r="M30" s="280" t="s">
        <v>4723</v>
      </c>
      <c r="N30" s="227" t="s">
        <v>4921</v>
      </c>
    </row>
    <row r="31" spans="1:14">
      <c r="A31" s="212" t="s">
        <v>3118</v>
      </c>
      <c r="B31" s="6" t="s">
        <v>3119</v>
      </c>
      <c r="C31" s="180" t="s">
        <v>3120</v>
      </c>
      <c r="D31" s="180" t="s">
        <v>3121</v>
      </c>
      <c r="E31" s="207">
        <v>2190</v>
      </c>
      <c r="F31" s="207">
        <v>2190</v>
      </c>
      <c r="G31" s="207">
        <v>2190</v>
      </c>
      <c r="H31" s="12" t="s">
        <v>3100</v>
      </c>
      <c r="I31" s="209">
        <v>0.66500000000000004</v>
      </c>
      <c r="J31" s="210">
        <f>E31*$I31</f>
        <v>1456.3500000000001</v>
      </c>
      <c r="K31" s="210">
        <f>F31*$I31</f>
        <v>1456.3500000000001</v>
      </c>
      <c r="L31" s="210">
        <f>G31*$I31</f>
        <v>1456.3500000000001</v>
      </c>
      <c r="M31" s="14" t="s">
        <v>4724</v>
      </c>
      <c r="N31" t="s">
        <v>4725</v>
      </c>
    </row>
    <row r="32" spans="1:14">
      <c r="A32" s="212" t="s">
        <v>3118</v>
      </c>
      <c r="B32" s="6" t="s">
        <v>3122</v>
      </c>
      <c r="C32" s="180" t="s">
        <v>3123</v>
      </c>
      <c r="D32" s="180" t="s">
        <v>3121</v>
      </c>
      <c r="E32" s="207">
        <v>2190</v>
      </c>
      <c r="F32" s="207">
        <v>2190</v>
      </c>
      <c r="G32" s="207">
        <v>2190</v>
      </c>
      <c r="H32" s="12" t="s">
        <v>3100</v>
      </c>
      <c r="I32" s="209">
        <v>0.66500000000000004</v>
      </c>
      <c r="J32" s="210">
        <f>E32*$I32</f>
        <v>1456.3500000000001</v>
      </c>
      <c r="K32" s="210">
        <f>F32*$I32</f>
        <v>1456.3500000000001</v>
      </c>
      <c r="L32" s="210">
        <f>G32*$I32</f>
        <v>1456.3500000000001</v>
      </c>
      <c r="M32" s="14" t="s">
        <v>4724</v>
      </c>
      <c r="N32" t="s">
        <v>4725</v>
      </c>
    </row>
    <row r="33" spans="1:14">
      <c r="A33" s="212" t="s">
        <v>3118</v>
      </c>
      <c r="B33" s="6" t="s">
        <v>3124</v>
      </c>
      <c r="C33" s="180" t="s">
        <v>3125</v>
      </c>
      <c r="D33" s="180" t="s">
        <v>3126</v>
      </c>
      <c r="E33" s="207">
        <v>200</v>
      </c>
      <c r="F33" s="207">
        <v>1000</v>
      </c>
      <c r="G33" s="207">
        <v>2000</v>
      </c>
      <c r="H33" s="12" t="s">
        <v>3117</v>
      </c>
      <c r="I33" s="209">
        <v>0.12</v>
      </c>
      <c r="J33" s="210">
        <f>E33*$I33</f>
        <v>24</v>
      </c>
      <c r="K33" s="210">
        <f>F33*$I33</f>
        <v>120</v>
      </c>
      <c r="L33" s="210">
        <f>G33*$I33</f>
        <v>240</v>
      </c>
      <c r="M33" s="14" t="s">
        <v>4724</v>
      </c>
      <c r="N33" t="s">
        <v>4726</v>
      </c>
    </row>
    <row r="34" spans="1:14">
      <c r="A34" s="273" t="s">
        <v>3118</v>
      </c>
      <c r="B34" s="274" t="s">
        <v>3127</v>
      </c>
      <c r="C34" s="275" t="s">
        <v>3128</v>
      </c>
      <c r="D34" s="275" t="s">
        <v>3129</v>
      </c>
      <c r="E34" s="276">
        <v>50000000</v>
      </c>
      <c r="F34" s="276">
        <v>250000000</v>
      </c>
      <c r="G34" s="276">
        <v>500000000</v>
      </c>
      <c r="H34" s="277" t="s">
        <v>4727</v>
      </c>
      <c r="I34" s="278">
        <v>2.3999999999999998E-7</v>
      </c>
      <c r="J34" s="279">
        <f>E34*$I34</f>
        <v>11.999999999999998</v>
      </c>
      <c r="K34" s="279">
        <f>F34*$I34</f>
        <v>59.999999999999993</v>
      </c>
      <c r="L34" s="279">
        <f>G34*$I34</f>
        <v>119.99999999999999</v>
      </c>
      <c r="M34" s="280" t="s">
        <v>4724</v>
      </c>
      <c r="N34" s="227" t="s">
        <v>4728</v>
      </c>
    </row>
    <row r="35" spans="1:14">
      <c r="A35" s="212" t="s">
        <v>3118</v>
      </c>
      <c r="B35" s="6" t="s">
        <v>3131</v>
      </c>
      <c r="C35" s="180" t="s">
        <v>3132</v>
      </c>
      <c r="D35" s="180" t="s">
        <v>3133</v>
      </c>
      <c r="E35" s="207">
        <v>400</v>
      </c>
      <c r="F35" s="207">
        <v>2000</v>
      </c>
      <c r="G35" s="207">
        <v>4000</v>
      </c>
      <c r="H35" s="12" t="s">
        <v>3117</v>
      </c>
      <c r="I35" s="209">
        <v>2.3E-2</v>
      </c>
      <c r="J35" s="210">
        <f>E35*$I35</f>
        <v>9.1999999999999993</v>
      </c>
      <c r="K35" s="210">
        <f>F35*$I35</f>
        <v>46</v>
      </c>
      <c r="L35" s="210">
        <f>G35*$I35</f>
        <v>92</v>
      </c>
      <c r="M35" s="14" t="s">
        <v>4724</v>
      </c>
    </row>
    <row r="36" spans="1:14">
      <c r="A36" s="212" t="s">
        <v>3118</v>
      </c>
      <c r="B36" s="6" t="s">
        <v>3134</v>
      </c>
      <c r="C36" s="180" t="s">
        <v>3135</v>
      </c>
      <c r="D36" s="180" t="s">
        <v>3136</v>
      </c>
      <c r="E36" s="207">
        <v>200</v>
      </c>
      <c r="F36" s="207">
        <v>1000</v>
      </c>
      <c r="G36" s="207">
        <v>2000</v>
      </c>
      <c r="H36" s="12" t="s">
        <v>3117</v>
      </c>
      <c r="I36" s="209">
        <v>0.12</v>
      </c>
      <c r="J36" s="210">
        <f>E36*$I36</f>
        <v>24</v>
      </c>
      <c r="K36" s="210">
        <f>F36*$I36</f>
        <v>120</v>
      </c>
      <c r="L36" s="210">
        <f>G36*$I36</f>
        <v>240</v>
      </c>
      <c r="M36" s="14" t="s">
        <v>4724</v>
      </c>
      <c r="N36" t="s">
        <v>4729</v>
      </c>
    </row>
    <row r="37" spans="1:14">
      <c r="A37" s="212" t="s">
        <v>3137</v>
      </c>
      <c r="B37" s="6" t="s">
        <v>3138</v>
      </c>
      <c r="C37" s="180" t="s">
        <v>3139</v>
      </c>
      <c r="D37" s="180" t="s">
        <v>3140</v>
      </c>
      <c r="E37" s="207">
        <v>1460</v>
      </c>
      <c r="F37" s="207">
        <v>1460</v>
      </c>
      <c r="G37" s="207">
        <v>1460</v>
      </c>
      <c r="H37" s="12" t="s">
        <v>3141</v>
      </c>
      <c r="I37" s="209">
        <v>2.4299999999999999E-2</v>
      </c>
      <c r="J37" s="210">
        <f>E37*$I37</f>
        <v>35.478000000000002</v>
      </c>
      <c r="K37" s="210">
        <f>F37*$I37</f>
        <v>35.478000000000002</v>
      </c>
      <c r="L37" s="210">
        <f>G37*$I37</f>
        <v>35.478000000000002</v>
      </c>
      <c r="M37" s="14" t="s">
        <v>4730</v>
      </c>
      <c r="N37" t="s">
        <v>4731</v>
      </c>
    </row>
    <row r="38" spans="1:14">
      <c r="A38" s="212" t="s">
        <v>3137</v>
      </c>
      <c r="B38" s="6" t="s">
        <v>3142</v>
      </c>
      <c r="C38" s="180" t="s">
        <v>3143</v>
      </c>
      <c r="D38" s="180" t="s">
        <v>3144</v>
      </c>
      <c r="E38" s="207">
        <v>730</v>
      </c>
      <c r="F38" s="207">
        <v>730</v>
      </c>
      <c r="G38" s="207">
        <v>730</v>
      </c>
      <c r="H38" s="12" t="s">
        <v>3145</v>
      </c>
      <c r="I38" s="209">
        <v>2.4299999999999999E-2</v>
      </c>
      <c r="J38" s="210">
        <f>E38*$I38</f>
        <v>17.739000000000001</v>
      </c>
      <c r="K38" s="210">
        <f>F38*$I38</f>
        <v>17.739000000000001</v>
      </c>
      <c r="L38" s="210">
        <f>G38*$I38</f>
        <v>17.739000000000001</v>
      </c>
      <c r="M38" s="14" t="s">
        <v>4730</v>
      </c>
      <c r="N38" t="s">
        <v>4732</v>
      </c>
    </row>
    <row r="39" spans="1:14">
      <c r="A39" s="212" t="s">
        <v>3137</v>
      </c>
      <c r="B39" s="6" t="s">
        <v>3146</v>
      </c>
      <c r="C39" s="180" t="s">
        <v>3147</v>
      </c>
      <c r="D39" s="180" t="s">
        <v>3148</v>
      </c>
      <c r="E39" s="207">
        <v>500</v>
      </c>
      <c r="F39" s="207">
        <v>2500</v>
      </c>
      <c r="G39" s="207">
        <v>5000</v>
      </c>
      <c r="H39" s="12" t="s">
        <v>3149</v>
      </c>
      <c r="I39" s="209">
        <v>0.114</v>
      </c>
      <c r="J39" s="210">
        <f>E39*$I39</f>
        <v>57</v>
      </c>
      <c r="K39" s="210">
        <f>F39*$I39</f>
        <v>285</v>
      </c>
      <c r="L39" s="210">
        <f>G39*$I39</f>
        <v>570</v>
      </c>
      <c r="M39" s="14" t="s">
        <v>4733</v>
      </c>
      <c r="N39" t="s">
        <v>4734</v>
      </c>
    </row>
    <row r="40" spans="1:14">
      <c r="A40" s="212" t="s">
        <v>3137</v>
      </c>
      <c r="B40" s="6" t="s">
        <v>3150</v>
      </c>
      <c r="C40" s="180" t="s">
        <v>3151</v>
      </c>
      <c r="D40" s="180" t="s">
        <v>3152</v>
      </c>
      <c r="E40" s="207">
        <v>10</v>
      </c>
      <c r="F40" s="207">
        <v>50</v>
      </c>
      <c r="G40" s="207">
        <v>100</v>
      </c>
      <c r="H40" s="12" t="s">
        <v>3130</v>
      </c>
      <c r="I40" s="209">
        <v>0.6</v>
      </c>
      <c r="J40" s="210">
        <f>E40*$I40</f>
        <v>6</v>
      </c>
      <c r="K40" s="210">
        <f>F40*$I40</f>
        <v>30</v>
      </c>
      <c r="L40" s="210">
        <f>G40*$I40</f>
        <v>60</v>
      </c>
      <c r="M40" s="14" t="s">
        <v>4735</v>
      </c>
      <c r="N40" t="s">
        <v>4736</v>
      </c>
    </row>
    <row r="41" spans="1:14">
      <c r="A41" s="212" t="s">
        <v>3137</v>
      </c>
      <c r="B41" s="6" t="s">
        <v>3153</v>
      </c>
      <c r="C41" s="180" t="s">
        <v>3154</v>
      </c>
      <c r="D41" s="180" t="s">
        <v>3155</v>
      </c>
      <c r="E41" s="207">
        <v>1460</v>
      </c>
      <c r="F41" s="207">
        <v>1460</v>
      </c>
      <c r="G41" s="207">
        <v>1460</v>
      </c>
      <c r="H41" s="12" t="s">
        <v>3156</v>
      </c>
      <c r="I41" s="209">
        <v>1.4E-2</v>
      </c>
      <c r="J41" s="210">
        <f>E41*$I41</f>
        <v>20.440000000000001</v>
      </c>
      <c r="K41" s="210">
        <f>F41*$I41</f>
        <v>20.440000000000001</v>
      </c>
      <c r="L41" s="210">
        <f>G41*$I41</f>
        <v>20.440000000000001</v>
      </c>
      <c r="M41" s="14" t="s">
        <v>4737</v>
      </c>
    </row>
    <row r="42" spans="1:14">
      <c r="A42" s="212" t="s">
        <v>3137</v>
      </c>
      <c r="B42" s="6" t="s">
        <v>3157</v>
      </c>
      <c r="C42" s="180" t="s">
        <v>3158</v>
      </c>
      <c r="D42" s="180" t="s">
        <v>3159</v>
      </c>
      <c r="E42" s="207">
        <v>7300</v>
      </c>
      <c r="F42" s="207">
        <v>7300</v>
      </c>
      <c r="G42" s="207">
        <v>7300</v>
      </c>
      <c r="H42" s="12" t="s">
        <v>3156</v>
      </c>
      <c r="I42" s="209">
        <v>1.4E-2</v>
      </c>
      <c r="J42" s="210">
        <f>E42*$I42</f>
        <v>102.2</v>
      </c>
      <c r="K42" s="210">
        <f>F42*$I42</f>
        <v>102.2</v>
      </c>
      <c r="L42" s="210">
        <f>G42*$I42</f>
        <v>102.2</v>
      </c>
      <c r="M42" s="14" t="s">
        <v>4737</v>
      </c>
    </row>
    <row r="43" spans="1:14">
      <c r="A43" s="212" t="s">
        <v>3137</v>
      </c>
      <c r="B43" s="6" t="s">
        <v>3160</v>
      </c>
      <c r="C43" s="180" t="s">
        <v>3161</v>
      </c>
      <c r="D43" s="180" t="s">
        <v>3162</v>
      </c>
      <c r="E43" s="207">
        <v>10000000</v>
      </c>
      <c r="F43" s="207">
        <v>50000000</v>
      </c>
      <c r="G43" s="207">
        <v>100000000</v>
      </c>
      <c r="H43" s="12" t="s">
        <v>4738</v>
      </c>
      <c r="I43" s="209">
        <v>3.9999999999999998E-7</v>
      </c>
      <c r="J43" s="210">
        <f>E43*$I43</f>
        <v>4</v>
      </c>
      <c r="K43" s="210">
        <f>F43*$I43</f>
        <v>20</v>
      </c>
      <c r="L43" s="210">
        <f>G43*$I43</f>
        <v>40</v>
      </c>
      <c r="M43" s="14" t="s">
        <v>4739</v>
      </c>
      <c r="N43" t="s">
        <v>4740</v>
      </c>
    </row>
    <row r="44" spans="1:14">
      <c r="A44" s="212" t="s">
        <v>3137</v>
      </c>
      <c r="B44" s="6" t="s">
        <v>3163</v>
      </c>
      <c r="C44" s="180" t="s">
        <v>3164</v>
      </c>
      <c r="D44" s="180" t="s">
        <v>3165</v>
      </c>
      <c r="E44" s="207">
        <v>100</v>
      </c>
      <c r="F44" s="207">
        <v>500</v>
      </c>
      <c r="G44" s="207">
        <v>1000</v>
      </c>
      <c r="H44" s="12" t="s">
        <v>3149</v>
      </c>
      <c r="I44" s="209">
        <v>0.09</v>
      </c>
      <c r="J44" s="210">
        <f>E44*$I44</f>
        <v>9</v>
      </c>
      <c r="K44" s="210">
        <f>F44*$I44</f>
        <v>45</v>
      </c>
      <c r="L44" s="210">
        <f>G44*$I44</f>
        <v>90</v>
      </c>
      <c r="M44" s="14" t="s">
        <v>4718</v>
      </c>
      <c r="N44" t="s">
        <v>4741</v>
      </c>
    </row>
    <row r="45" spans="1:14">
      <c r="A45" s="212" t="s">
        <v>3137</v>
      </c>
      <c r="B45" s="6" t="s">
        <v>3166</v>
      </c>
      <c r="C45" s="180" t="s">
        <v>3167</v>
      </c>
      <c r="D45" s="180" t="s">
        <v>3168</v>
      </c>
      <c r="E45" s="207">
        <v>50</v>
      </c>
      <c r="F45" s="207">
        <v>250</v>
      </c>
      <c r="G45" s="207">
        <v>500</v>
      </c>
      <c r="H45" s="12" t="s">
        <v>3149</v>
      </c>
      <c r="I45" s="209">
        <v>0.114</v>
      </c>
      <c r="J45" s="210">
        <f>E45*$I45</f>
        <v>5.7</v>
      </c>
      <c r="K45" s="210">
        <f>F45*$I45</f>
        <v>28.5</v>
      </c>
      <c r="L45" s="210">
        <f>G45*$I45</f>
        <v>57</v>
      </c>
      <c r="M45" s="14" t="s">
        <v>4718</v>
      </c>
      <c r="N45" t="s">
        <v>4742</v>
      </c>
    </row>
    <row r="46" spans="1:14">
      <c r="A46" s="212" t="s">
        <v>3169</v>
      </c>
      <c r="B46" s="6" t="s">
        <v>3170</v>
      </c>
      <c r="C46" s="180" t="s">
        <v>3171</v>
      </c>
      <c r="D46" s="180" t="s">
        <v>3172</v>
      </c>
      <c r="E46" s="207">
        <v>10000000</v>
      </c>
      <c r="F46" s="207">
        <v>30000000</v>
      </c>
      <c r="G46" s="207">
        <v>50000000</v>
      </c>
      <c r="H46" s="12" t="s">
        <v>4743</v>
      </c>
      <c r="I46" s="209">
        <v>1.9999999999999999E-7</v>
      </c>
      <c r="J46" s="210">
        <f>E46*$I46</f>
        <v>2</v>
      </c>
      <c r="K46" s="210">
        <f>F46*$I46</f>
        <v>6</v>
      </c>
      <c r="L46" s="210">
        <f>G46*$I46</f>
        <v>10</v>
      </c>
      <c r="M46" s="14" t="s">
        <v>4744</v>
      </c>
      <c r="N46" t="s">
        <v>4745</v>
      </c>
    </row>
    <row r="47" spans="1:14">
      <c r="A47" s="212" t="s">
        <v>3169</v>
      </c>
      <c r="B47" s="6" t="s">
        <v>3173</v>
      </c>
      <c r="C47" s="180" t="s">
        <v>3174</v>
      </c>
      <c r="D47" s="180" t="s">
        <v>3175</v>
      </c>
      <c r="E47" s="207">
        <v>5000000</v>
      </c>
      <c r="F47" s="207">
        <v>15000000</v>
      </c>
      <c r="G47" s="207">
        <v>25000000</v>
      </c>
      <c r="H47" s="12" t="s">
        <v>4743</v>
      </c>
      <c r="I47" s="209">
        <v>1.9999999999999999E-7</v>
      </c>
      <c r="J47" s="210">
        <f>E47*$I47</f>
        <v>1</v>
      </c>
      <c r="K47" s="210">
        <f>F47*$I47</f>
        <v>3</v>
      </c>
      <c r="L47" s="210">
        <f>G47*$I47</f>
        <v>5</v>
      </c>
      <c r="M47" s="14" t="s">
        <v>4744</v>
      </c>
      <c r="N47" t="s">
        <v>4746</v>
      </c>
    </row>
    <row r="48" spans="1:14">
      <c r="A48" s="212" t="s">
        <v>3169</v>
      </c>
      <c r="B48" s="6" t="s">
        <v>3176</v>
      </c>
      <c r="C48" s="180" t="s">
        <v>3177</v>
      </c>
      <c r="D48" s="180" t="s">
        <v>3178</v>
      </c>
      <c r="E48" s="207">
        <v>10000000</v>
      </c>
      <c r="F48" s="207">
        <v>30000000</v>
      </c>
      <c r="G48" s="207">
        <v>50000000</v>
      </c>
      <c r="H48" s="12" t="s">
        <v>4743</v>
      </c>
      <c r="I48" s="209">
        <v>1.2899999999999999E-6</v>
      </c>
      <c r="J48" s="210">
        <f>E48*$I48</f>
        <v>12.899999999999999</v>
      </c>
      <c r="K48" s="210">
        <f>F48*$I48</f>
        <v>38.699999999999996</v>
      </c>
      <c r="L48" s="210">
        <f>G48*$I48</f>
        <v>64.5</v>
      </c>
      <c r="M48" s="14" t="s">
        <v>4747</v>
      </c>
      <c r="N48" t="s">
        <v>4748</v>
      </c>
    </row>
    <row r="49" spans="1:14">
      <c r="A49" s="212" t="s">
        <v>3169</v>
      </c>
      <c r="B49" s="6" t="s">
        <v>3179</v>
      </c>
      <c r="C49" s="180" t="s">
        <v>3180</v>
      </c>
      <c r="D49" s="180" t="s">
        <v>3181</v>
      </c>
      <c r="E49" s="207">
        <v>5000000</v>
      </c>
      <c r="F49" s="207">
        <v>15000000</v>
      </c>
      <c r="G49" s="207">
        <v>25000000</v>
      </c>
      <c r="H49" s="12" t="s">
        <v>4749</v>
      </c>
      <c r="I49" s="209">
        <v>9.9999999999999995E-8</v>
      </c>
      <c r="J49" s="210">
        <f>E49*$I49</f>
        <v>0.5</v>
      </c>
      <c r="K49" s="210">
        <f>F49*$I49</f>
        <v>1.5</v>
      </c>
      <c r="L49" s="210">
        <f>G49*$I49</f>
        <v>2.5</v>
      </c>
      <c r="M49" s="14" t="s">
        <v>4750</v>
      </c>
      <c r="N49" t="s">
        <v>4751</v>
      </c>
    </row>
    <row r="50" spans="1:14">
      <c r="A50" s="212" t="s">
        <v>3169</v>
      </c>
      <c r="B50" s="6" t="s">
        <v>3182</v>
      </c>
      <c r="C50" s="180" t="s">
        <v>3183</v>
      </c>
      <c r="D50" s="180" t="s">
        <v>3184</v>
      </c>
      <c r="E50" s="207">
        <v>5000000</v>
      </c>
      <c r="F50" s="207">
        <v>25000000</v>
      </c>
      <c r="G50" s="207">
        <v>50000000</v>
      </c>
      <c r="H50" s="12" t="s">
        <v>4752</v>
      </c>
      <c r="I50" s="209">
        <v>8.8999999999999995E-7</v>
      </c>
      <c r="J50" s="210">
        <f>E50*$I50</f>
        <v>4.45</v>
      </c>
      <c r="K50" s="210">
        <f>F50*$I50</f>
        <v>22.25</v>
      </c>
      <c r="L50" s="210">
        <f>G50*$I50</f>
        <v>44.5</v>
      </c>
      <c r="M50" s="14" t="s">
        <v>4753</v>
      </c>
      <c r="N50" t="s">
        <v>4754</v>
      </c>
    </row>
    <row r="51" spans="1:14">
      <c r="A51" s="212" t="s">
        <v>1526</v>
      </c>
      <c r="B51" s="6" t="s">
        <v>3185</v>
      </c>
      <c r="C51" s="180" t="s">
        <v>3186</v>
      </c>
      <c r="D51" s="180" t="s">
        <v>3187</v>
      </c>
      <c r="E51" s="207">
        <v>10</v>
      </c>
      <c r="F51" s="207">
        <v>10</v>
      </c>
      <c r="G51" s="207">
        <v>10</v>
      </c>
      <c r="H51" s="12" t="s">
        <v>3188</v>
      </c>
      <c r="I51" s="209">
        <v>1</v>
      </c>
      <c r="J51" s="210">
        <f>E51*$I51</f>
        <v>10</v>
      </c>
      <c r="K51" s="210">
        <f>F51*$I51</f>
        <v>10</v>
      </c>
      <c r="L51" s="210">
        <f>G51*$I51</f>
        <v>10</v>
      </c>
      <c r="M51" s="14" t="s">
        <v>4755</v>
      </c>
      <c r="N51" t="s">
        <v>4756</v>
      </c>
    </row>
    <row r="52" spans="1:14">
      <c r="A52" s="212" t="s">
        <v>1526</v>
      </c>
      <c r="B52" s="6" t="s">
        <v>3189</v>
      </c>
      <c r="C52" s="180" t="s">
        <v>3190</v>
      </c>
      <c r="D52" s="180" t="s">
        <v>3191</v>
      </c>
      <c r="E52" s="207">
        <v>30</v>
      </c>
      <c r="F52" s="207">
        <v>30</v>
      </c>
      <c r="G52" s="207">
        <v>30</v>
      </c>
      <c r="H52" s="12" t="s">
        <v>3192</v>
      </c>
      <c r="I52" s="209">
        <v>0.4</v>
      </c>
      <c r="J52" s="210">
        <f>E52*$I52</f>
        <v>12</v>
      </c>
      <c r="K52" s="210">
        <f>F52*$I52</f>
        <v>12</v>
      </c>
      <c r="L52" s="210">
        <f>G52*$I52</f>
        <v>12</v>
      </c>
      <c r="M52" s="14" t="s">
        <v>4757</v>
      </c>
    </row>
    <row r="53" spans="1:14">
      <c r="A53" s="273" t="s">
        <v>1526</v>
      </c>
      <c r="B53" s="274" t="s">
        <v>3193</v>
      </c>
      <c r="C53" s="275" t="s">
        <v>3194</v>
      </c>
      <c r="D53" s="275" t="s">
        <v>3195</v>
      </c>
      <c r="E53" s="276">
        <v>1</v>
      </c>
      <c r="F53" s="276">
        <v>1</v>
      </c>
      <c r="G53" s="276">
        <v>1</v>
      </c>
      <c r="H53" s="277" t="s">
        <v>3196</v>
      </c>
      <c r="I53" s="278">
        <v>400</v>
      </c>
      <c r="J53" s="279">
        <f>E53*$I53</f>
        <v>400</v>
      </c>
      <c r="K53" s="279">
        <f>F53*$I53</f>
        <v>400</v>
      </c>
      <c r="L53" s="279">
        <f>G53*$I53</f>
        <v>400</v>
      </c>
      <c r="M53" s="280" t="s">
        <v>4758</v>
      </c>
      <c r="N53" s="227" t="s">
        <v>4922</v>
      </c>
    </row>
    <row r="54" spans="1:14">
      <c r="A54" s="212" t="s">
        <v>1526</v>
      </c>
      <c r="B54" s="6" t="s">
        <v>3197</v>
      </c>
      <c r="C54" s="180" t="s">
        <v>3198</v>
      </c>
      <c r="D54" s="180" t="s">
        <v>3199</v>
      </c>
      <c r="E54" s="207">
        <v>400</v>
      </c>
      <c r="F54" s="207">
        <v>2000</v>
      </c>
      <c r="G54" s="207">
        <v>4000</v>
      </c>
      <c r="H54" s="12" t="s">
        <v>3117</v>
      </c>
      <c r="I54" s="209">
        <v>0.09</v>
      </c>
      <c r="J54" s="210">
        <f>E54*$I54</f>
        <v>36</v>
      </c>
      <c r="K54" s="210">
        <f>F54*$I54</f>
        <v>180</v>
      </c>
      <c r="L54" s="210">
        <f>G54*$I54</f>
        <v>360</v>
      </c>
      <c r="M54" s="14" t="s">
        <v>4759</v>
      </c>
    </row>
    <row r="55" spans="1:14">
      <c r="A55" s="212" t="s">
        <v>3200</v>
      </c>
      <c r="B55" s="6" t="s">
        <v>3201</v>
      </c>
      <c r="C55" s="180" t="s">
        <v>3202</v>
      </c>
      <c r="D55" s="180" t="s">
        <v>3203</v>
      </c>
      <c r="E55" s="207">
        <v>100</v>
      </c>
      <c r="F55" s="207">
        <v>500</v>
      </c>
      <c r="G55" s="207">
        <v>1000</v>
      </c>
      <c r="H55" s="12" t="s">
        <v>3149</v>
      </c>
      <c r="I55" s="209">
        <v>0.76</v>
      </c>
      <c r="J55" s="210">
        <f>E55*$I55</f>
        <v>76</v>
      </c>
      <c r="K55" s="210">
        <f>F55*$I55</f>
        <v>380</v>
      </c>
      <c r="L55" s="210">
        <f>G55*$I55</f>
        <v>760</v>
      </c>
      <c r="M55" s="14" t="s">
        <v>4760</v>
      </c>
      <c r="N55" t="s">
        <v>4761</v>
      </c>
    </row>
    <row r="56" spans="1:14">
      <c r="A56" s="212" t="s">
        <v>3200</v>
      </c>
      <c r="B56" s="6" t="s">
        <v>3204</v>
      </c>
      <c r="C56" s="180" t="s">
        <v>3205</v>
      </c>
      <c r="D56" s="180" t="s">
        <v>3206</v>
      </c>
      <c r="E56" s="207">
        <v>1460</v>
      </c>
      <c r="F56" s="207">
        <v>2190</v>
      </c>
      <c r="G56" s="207">
        <v>2920</v>
      </c>
      <c r="H56" s="12" t="s">
        <v>3100</v>
      </c>
      <c r="I56" s="209">
        <v>0.16400000000000001</v>
      </c>
      <c r="J56" s="210">
        <f>E56*$I56</f>
        <v>239.44</v>
      </c>
      <c r="K56" s="210">
        <f>F56*$I56</f>
        <v>359.16</v>
      </c>
      <c r="L56" s="210">
        <f>G56*$I56</f>
        <v>478.88</v>
      </c>
      <c r="M56" s="14" t="s">
        <v>4762</v>
      </c>
      <c r="N56" t="s">
        <v>4763</v>
      </c>
    </row>
    <row r="57" spans="1:14">
      <c r="A57" s="212" t="s">
        <v>3200</v>
      </c>
      <c r="B57" s="6" t="s">
        <v>3207</v>
      </c>
      <c r="C57" s="180" t="s">
        <v>3208</v>
      </c>
      <c r="D57" s="180" t="s">
        <v>3209</v>
      </c>
      <c r="E57" s="207">
        <v>5000</v>
      </c>
      <c r="F57" s="207">
        <v>25000</v>
      </c>
      <c r="G57" s="207">
        <v>50000</v>
      </c>
      <c r="H57" s="12" t="s">
        <v>3117</v>
      </c>
      <c r="I57" s="209">
        <v>2E-3</v>
      </c>
      <c r="J57" s="210">
        <f>E57*$I57</f>
        <v>10</v>
      </c>
      <c r="K57" s="210">
        <f>F57*$I57</f>
        <v>50</v>
      </c>
      <c r="L57" s="210">
        <f>G57*$I57</f>
        <v>100</v>
      </c>
      <c r="M57" s="14" t="s">
        <v>4764</v>
      </c>
      <c r="N57" t="s">
        <v>4765</v>
      </c>
    </row>
    <row r="58" spans="1:14">
      <c r="A58" s="212" t="s">
        <v>3200</v>
      </c>
      <c r="B58" s="6" t="s">
        <v>3210</v>
      </c>
      <c r="C58" s="180" t="s">
        <v>3211</v>
      </c>
      <c r="D58" s="180" t="s">
        <v>3212</v>
      </c>
      <c r="E58" s="207">
        <v>100000</v>
      </c>
      <c r="F58" s="207">
        <v>500000</v>
      </c>
      <c r="G58" s="207">
        <v>1000000</v>
      </c>
      <c r="H58" s="12" t="s">
        <v>4766</v>
      </c>
      <c r="I58" s="209">
        <v>1E-4</v>
      </c>
      <c r="J58" s="210">
        <f>E58*$I58</f>
        <v>10</v>
      </c>
      <c r="K58" s="210">
        <f>F58*$I58</f>
        <v>50</v>
      </c>
      <c r="L58" s="210">
        <f>G58*$I58</f>
        <v>100</v>
      </c>
      <c r="M58" s="14" t="s">
        <v>4767</v>
      </c>
      <c r="N58" t="s">
        <v>4768</v>
      </c>
    </row>
    <row r="59" spans="1:14">
      <c r="A59" s="212" t="s">
        <v>3200</v>
      </c>
      <c r="B59" s="6" t="s">
        <v>3213</v>
      </c>
      <c r="C59" s="180" t="s">
        <v>3214</v>
      </c>
      <c r="D59" s="180" t="s">
        <v>3215</v>
      </c>
      <c r="E59" s="207">
        <v>131400</v>
      </c>
      <c r="F59" s="207">
        <v>131400</v>
      </c>
      <c r="G59" s="207">
        <v>131400</v>
      </c>
      <c r="H59" s="12" t="s">
        <v>3216</v>
      </c>
      <c r="I59" s="209">
        <v>1.9E-3</v>
      </c>
      <c r="J59" s="210">
        <f>E59*$I59</f>
        <v>249.66</v>
      </c>
      <c r="K59" s="210">
        <f>F59*$I59</f>
        <v>249.66</v>
      </c>
      <c r="L59" s="210">
        <f>G59*$I59</f>
        <v>249.66</v>
      </c>
      <c r="M59" s="14" t="s">
        <v>4760</v>
      </c>
      <c r="N59" t="s">
        <v>4769</v>
      </c>
    </row>
    <row r="60" spans="1:14">
      <c r="A60" s="50" t="s">
        <v>3217</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3218</v>
      </c>
    </row>
    <row r="63" spans="1:14">
      <c r="A63" s="18" t="s">
        <v>1</v>
      </c>
      <c r="B63" s="19" t="s">
        <v>2756</v>
      </c>
      <c r="C63" s="19" t="s">
        <v>3092</v>
      </c>
      <c r="D63" s="19" t="s">
        <v>3093</v>
      </c>
      <c r="E63" s="20" t="s">
        <v>3094</v>
      </c>
    </row>
    <row r="64" spans="1:14">
      <c r="A64" s="21" t="s">
        <v>3096</v>
      </c>
      <c r="B64" s="213">
        <f>COUNTIF($A$25:$A$59,$A64)</f>
        <v>6</v>
      </c>
      <c r="C64" s="214">
        <f>SUMIF($A$25:$A$59,$A64,$J$25:$J$59)</f>
        <v>1967.8039999999999</v>
      </c>
      <c r="D64" s="214">
        <f>SUMIF($A$25:$A$59,$A64,$K$25:$K$59)</f>
        <v>3516.3980000000006</v>
      </c>
      <c r="E64" s="215">
        <f>SUMIF($A$25:$A$59,$A64,$L$25:$L$59)</f>
        <v>5684.9870000000001</v>
      </c>
    </row>
    <row r="65" spans="1:6">
      <c r="A65" s="21" t="s">
        <v>3118</v>
      </c>
      <c r="B65" s="213">
        <f>COUNTIF($A$25:$A$59,$A65)</f>
        <v>6</v>
      </c>
      <c r="C65" s="214">
        <f>SUMIF($A$25:$A$59,$A65,$J$25:$J$59)</f>
        <v>2981.9</v>
      </c>
      <c r="D65" s="214">
        <f>SUMIF($A$25:$A$59,$A65,$K$25:$K$59)</f>
        <v>3258.7000000000003</v>
      </c>
      <c r="E65" s="215">
        <f>SUMIF($A$25:$A$59,$A65,$L$25:$L$59)</f>
        <v>3604.7000000000003</v>
      </c>
    </row>
    <row r="66" spans="1:6">
      <c r="A66" s="21" t="s">
        <v>3137</v>
      </c>
      <c r="B66" s="213">
        <f>COUNTIF($A$25:$A$59,$A66)</f>
        <v>9</v>
      </c>
      <c r="C66" s="214">
        <f>SUMIF($A$25:$A$59,$A66,$J$25:$J$59)</f>
        <v>257.55700000000002</v>
      </c>
      <c r="D66" s="214">
        <f>SUMIF($A$25:$A$59,$A66,$K$25:$K$59)</f>
        <v>584.35699999999997</v>
      </c>
      <c r="E66" s="215">
        <f>SUMIF($A$25:$A$59,$A66,$L$25:$L$59)</f>
        <v>992.85700000000008</v>
      </c>
    </row>
    <row r="67" spans="1:6">
      <c r="A67" s="21" t="s">
        <v>3169</v>
      </c>
      <c r="B67" s="213">
        <f>COUNTIF($A$25:$A$59,$A67)</f>
        <v>5</v>
      </c>
      <c r="C67" s="214">
        <f>SUMIF($A$25:$A$59,$A67,$J$25:$J$59)</f>
        <v>20.849999999999998</v>
      </c>
      <c r="D67" s="214">
        <f>SUMIF($A$25:$A$59,$A67,$K$25:$K$59)</f>
        <v>71.449999999999989</v>
      </c>
      <c r="E67" s="215">
        <f>SUMIF($A$25:$A$59,$A67,$L$25:$L$59)</f>
        <v>126.5</v>
      </c>
    </row>
    <row r="68" spans="1:6">
      <c r="A68" s="21" t="s">
        <v>1526</v>
      </c>
      <c r="B68" s="213">
        <f>COUNTIF($A$25:$A$59,$A68)</f>
        <v>4</v>
      </c>
      <c r="C68" s="214">
        <f>SUMIF($A$25:$A$59,$A68,$J$25:$J$59)</f>
        <v>458</v>
      </c>
      <c r="D68" s="214">
        <f>SUMIF($A$25:$A$59,$A68,$K$25:$K$59)</f>
        <v>602</v>
      </c>
      <c r="E68" s="215">
        <f>SUMIF($A$25:$A$59,$A68,$L$25:$L$59)</f>
        <v>782</v>
      </c>
    </row>
    <row r="69" spans="1:6">
      <c r="A69" s="21" t="s">
        <v>3200</v>
      </c>
      <c r="B69" s="213">
        <f>COUNTIF($A$25:$A$59,$A69)</f>
        <v>5</v>
      </c>
      <c r="C69" s="214">
        <f>SUMIF($A$25:$A$59,$A69,$J$25:$J$59)</f>
        <v>585.1</v>
      </c>
      <c r="D69" s="214">
        <f>SUMIF($A$25:$A$59,$A69,$K$25:$K$59)</f>
        <v>1088.8200000000002</v>
      </c>
      <c r="E69" s="215">
        <f>SUMIF($A$25:$A$59,$A69,$L$25:$L$59)</f>
        <v>1688.5400000000002</v>
      </c>
    </row>
    <row r="70" spans="1:6">
      <c r="A70" s="23"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3219</v>
      </c>
    </row>
    <row r="73" spans="1:6">
      <c r="A73" s="18" t="s">
        <v>3051</v>
      </c>
      <c r="B73" s="19" t="s">
        <v>3220</v>
      </c>
      <c r="C73" s="19" t="s">
        <v>3221</v>
      </c>
      <c r="D73" s="19" t="s">
        <v>3222</v>
      </c>
      <c r="E73" s="20" t="s">
        <v>3054</v>
      </c>
    </row>
    <row r="74" spans="1:6">
      <c r="A74" s="21" t="s">
        <v>3223</v>
      </c>
      <c r="B74" s="214">
        <f>J60</f>
        <v>6271.2109999999975</v>
      </c>
      <c r="C74" s="214">
        <f>K60</f>
        <v>9121.7249999999985</v>
      </c>
      <c r="D74" s="214">
        <f>L60</f>
        <v>12879.583999999999</v>
      </c>
      <c r="E74" s="27" t="s">
        <v>3224</v>
      </c>
    </row>
    <row r="75" spans="1:6">
      <c r="A75" s="21" t="s">
        <v>3225</v>
      </c>
      <c r="B75" s="219">
        <f>B74*$B$9</f>
        <v>940681.64999999967</v>
      </c>
      <c r="C75" s="219">
        <f>C74*$B$9</f>
        <v>1368258.7499999998</v>
      </c>
      <c r="D75" s="219">
        <f>D74*$B$9</f>
        <v>1931937.5999999999</v>
      </c>
      <c r="E75" s="27" t="s">
        <v>3226</v>
      </c>
    </row>
    <row r="76" spans="1:6">
      <c r="A76" s="21" t="s">
        <v>3227</v>
      </c>
      <c r="B76" s="220">
        <f>B74*12</f>
        <v>75254.531999999977</v>
      </c>
      <c r="C76" s="220">
        <f>C74*12</f>
        <v>109460.69999999998</v>
      </c>
      <c r="D76" s="220">
        <f>D74*12</f>
        <v>154555.00799999997</v>
      </c>
      <c r="E76" s="27" t="s">
        <v>3228</v>
      </c>
    </row>
    <row r="77" spans="1:6">
      <c r="A77" s="21" t="s">
        <v>3229</v>
      </c>
      <c r="B77" s="220">
        <f>B76*3</f>
        <v>225763.59599999993</v>
      </c>
      <c r="C77" s="220">
        <f>C76*3</f>
        <v>328382.09999999998</v>
      </c>
      <c r="D77" s="220">
        <f>D76*3</f>
        <v>463665.02399999992</v>
      </c>
      <c r="E77" s="27" t="s">
        <v>3230</v>
      </c>
    </row>
    <row r="78" spans="1:6">
      <c r="A78" s="21" t="s">
        <v>3231</v>
      </c>
      <c r="B78" s="219">
        <f>B77*$B$9</f>
        <v>33864539.399999991</v>
      </c>
      <c r="C78" s="219">
        <f>C77*$B$9</f>
        <v>49257315</v>
      </c>
      <c r="D78" s="219">
        <f>D77*$B$9</f>
        <v>69549753.599999994</v>
      </c>
      <c r="E78" s="27"/>
    </row>
    <row r="79" spans="1:6">
      <c r="A79" s="21" t="s">
        <v>3232</v>
      </c>
      <c r="B79" s="221">
        <f>IFERROR(B75/$B$10,0)</f>
        <v>0.9406816499999997</v>
      </c>
      <c r="C79" s="221">
        <f>IFERROR(C75/$B$11,0)</f>
        <v>0.27365174999999997</v>
      </c>
      <c r="D79" s="221">
        <f>IFERROR(D75/$B$12,0)</f>
        <v>0.19319375999999999</v>
      </c>
      <c r="E79" s="27" t="s">
        <v>3233</v>
      </c>
    </row>
    <row r="80" spans="1:6">
      <c r="A80" s="25" t="s">
        <v>3234</v>
      </c>
      <c r="B80" s="222">
        <v>2032</v>
      </c>
      <c r="C80" s="222">
        <v>2032</v>
      </c>
      <c r="D80" s="222">
        <v>2032</v>
      </c>
      <c r="E80" s="28" t="s">
        <v>3235</v>
      </c>
    </row>
    <row r="82" spans="1:1">
      <c r="A82" s="271" t="s">
        <v>4854</v>
      </c>
    </row>
    <row r="83" spans="1:1">
      <c r="A83" s="272" t="s">
        <v>4855</v>
      </c>
    </row>
    <row r="84" spans="1:1">
      <c r="A84" s="272" t="s">
        <v>4856</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4857</v>
      </c>
    </row>
    <row r="87" spans="1:1">
      <c r="A87" s="116" t="s">
        <v>4858</v>
      </c>
    </row>
    <row r="88" spans="1:1">
      <c r="A88" s="116" t="s">
        <v>4859</v>
      </c>
    </row>
  </sheetData>
  <autoFilter ref="A24:M59" xr:uid="{B411B8B0-C590-3C46-80D6-CB350769A192}"/>
  <phoneticPr fontId="2"/>
  <conditionalFormatting sqref="A25:M59">
    <cfRule type="expression" dxfId="123"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7"/>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3621</v>
      </c>
    </row>
    <row r="2" spans="1:13">
      <c r="A2" s="48" t="s">
        <v>3622</v>
      </c>
    </row>
    <row r="4" spans="1:13" ht="23">
      <c r="A4" s="118" t="s">
        <v>3623</v>
      </c>
      <c r="E4" s="119" t="s">
        <v>3624</v>
      </c>
      <c r="I4" s="120" t="s">
        <v>3625</v>
      </c>
    </row>
    <row r="5" spans="1:13" ht="61">
      <c r="A5" s="121">
        <f>COUNTIF(進捗一覧!$H$4:$H$337,"確定")+COUNTIF(進捗一覧!$H$4:$H$337,"方向性確定（条件付き）")</f>
        <v>78</v>
      </c>
      <c r="B5" t="s">
        <v>3626</v>
      </c>
      <c r="E5" s="122">
        <f>COUNTIF(進捗一覧!$H$4:$H$337,"検討中")</f>
        <v>75</v>
      </c>
      <c r="F5" t="s">
        <v>3626</v>
      </c>
      <c r="I5" s="123">
        <f>COUNTIF(進捗一覧!$H$4:$H$337,"外部待ち")</f>
        <v>166</v>
      </c>
      <c r="J5" t="s">
        <v>3626</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3627</v>
      </c>
      <c r="I6" s="124" t="s">
        <v>3628</v>
      </c>
    </row>
    <row r="8" spans="1:13">
      <c r="A8" s="4" t="s">
        <v>3629</v>
      </c>
      <c r="E8" s="4" t="s">
        <v>3630</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5" t="s">
        <v>3631</v>
      </c>
      <c r="F9" s="16" t="s">
        <v>3632</v>
      </c>
      <c r="G9" s="16" t="s">
        <v>3633</v>
      </c>
      <c r="H9" s="17" t="s">
        <v>2435</v>
      </c>
    </row>
    <row r="10" spans="1:13">
      <c r="E10" s="21" t="s">
        <v>3634</v>
      </c>
      <c r="F10" s="29">
        <f>COUNTIFS(進捗一覧!$B$4:$B$337,"検証ゲート",進捗一覧!$H$4:$H$337,"検討中")</f>
        <v>3</v>
      </c>
      <c r="G10" s="29" t="str">
        <f>IF(F10=0,"● 充足",IF(F10&lt;=5,"▲ あと少し","× 未充足"))</f>
        <v>▲ あと少し</v>
      </c>
      <c r="H10" s="27" t="s">
        <v>3635</v>
      </c>
    </row>
    <row r="11" spans="1:13">
      <c r="E11" s="21" t="s">
        <v>3636</v>
      </c>
      <c r="F11" s="29">
        <f>COUNTIFS(進捗一覧!$B$4:$B$337,"設計タスク",進捗一覧!$H$4:$H$337,"外部待ち")</f>
        <v>1</v>
      </c>
      <c r="G11" s="29" t="str">
        <f>IF(F11=0,"● 充足",IF(F11&lt;=5,"▲ あと少し","× 未充足"))</f>
        <v>▲ あと少し</v>
      </c>
      <c r="H11" s="27" t="s">
        <v>3637</v>
      </c>
    </row>
    <row r="12" spans="1:13">
      <c r="E12" s="25" t="s">
        <v>3638</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8" t="s">
        <v>3639</v>
      </c>
    </row>
    <row r="14" spans="1:13">
      <c r="A14" s="4" t="s">
        <v>3640</v>
      </c>
      <c r="J14" s="4" t="s">
        <v>3641</v>
      </c>
    </row>
    <row r="15" spans="1:13">
      <c r="A15" s="18" t="s">
        <v>3642</v>
      </c>
      <c r="B15" s="19" t="s">
        <v>2192</v>
      </c>
      <c r="C15" s="19" t="s">
        <v>2193</v>
      </c>
      <c r="D15" s="20" t="s">
        <v>2194</v>
      </c>
      <c r="J15" s="18" t="s">
        <v>2433</v>
      </c>
      <c r="K15" s="19" t="s">
        <v>2192</v>
      </c>
      <c r="L15" s="19" t="s">
        <v>2434</v>
      </c>
      <c r="M15" s="20" t="s">
        <v>2435</v>
      </c>
    </row>
    <row r="16" spans="1:13">
      <c r="A16" s="21" t="s">
        <v>3446</v>
      </c>
      <c r="B16" s="29">
        <f>COUNTIF(進捗一覧!$C$4:$C$337,$A16)</f>
        <v>18</v>
      </c>
      <c r="C16" s="29">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1" t="s">
        <v>3445</v>
      </c>
      <c r="K16" s="29">
        <f>COUNTIF(進捗一覧!$A$4:$A$337,$J16)</f>
        <v>232</v>
      </c>
      <c r="L16" s="29">
        <f>COUNTIFS(進捗一覧!$A$4:$A$337,$J16,進捗一覧!$H$4:$H$337,"検討中")+COUNTIFS(進捗一覧!$A$4:$A$337,$J16,進捗一覧!$H$4:$H$337,"外部待ち")</f>
        <v>165</v>
      </c>
      <c r="M16" s="27" t="s">
        <v>3643</v>
      </c>
    </row>
    <row r="17" spans="1:14">
      <c r="A17" s="21" t="s">
        <v>3449</v>
      </c>
      <c r="B17" s="29">
        <f>COUNTIF(進捗一覧!$C$4:$C$337,$A17)</f>
        <v>25</v>
      </c>
      <c r="C17" s="29">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1" t="s">
        <v>3468</v>
      </c>
      <c r="K17" s="29">
        <f>COUNTIF(進捗一覧!$A$4:$A$337,$J17)</f>
        <v>102</v>
      </c>
      <c r="L17" s="29">
        <f>COUNTIFS(進捗一覧!$A$4:$A$337,$J17,進捗一覧!$H$4:$H$337,"検討中")+COUNTIFS(進捗一覧!$A$4:$A$337,$J17,進捗一覧!$H$4:$H$337,"外部待ち")</f>
        <v>76</v>
      </c>
      <c r="M17" s="27" t="s">
        <v>3644</v>
      </c>
    </row>
    <row r="18" spans="1:14">
      <c r="A18" s="21" t="s">
        <v>3451</v>
      </c>
      <c r="B18" s="29">
        <f>COUNTIF(進捗一覧!$C$4:$C$337,$A18)</f>
        <v>14</v>
      </c>
      <c r="C18" s="29">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3" t="s">
        <v>3540</v>
      </c>
      <c r="K18" s="30">
        <f>SUM(K16:K17)</f>
        <v>334</v>
      </c>
      <c r="L18" s="30">
        <f>SUM(L16:L17)</f>
        <v>241</v>
      </c>
      <c r="M18" s="173"/>
      <c r="N18" s="48" t="str">
        <f>IF(K18=COUNTA(進捗一覧!$P$4:$P$337),"✓ 明細行数と一致","⚠ 不一致")</f>
        <v>✓ 明細行数と一致</v>
      </c>
    </row>
    <row r="19" spans="1:14">
      <c r="A19" s="21" t="s">
        <v>3452</v>
      </c>
      <c r="B19" s="29">
        <f>COUNTIF(進捗一覧!$C$4:$C$337,$A19)</f>
        <v>17</v>
      </c>
      <c r="C19" s="29">
        <f>COUNTIFS(進捗一覧!$C$4:$C$337,$A19,進捗一覧!$H$4:$H$337,"確定")</f>
        <v>1</v>
      </c>
      <c r="D19" s="29">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1" t="s">
        <v>3448</v>
      </c>
      <c r="B20" s="29">
        <f>COUNTIF(進捗一覧!$C$4:$C$337,$A20)</f>
        <v>18</v>
      </c>
      <c r="C20" s="29">
        <f>COUNTIFS(進捗一覧!$C$4:$C$337,$A20,進捗一覧!$H$4:$H$337,"確定")</f>
        <v>4</v>
      </c>
      <c r="D20" s="29">
        <f>COUNTIFS(進捗一覧!$C$4:$C$337,$A20,進捗一覧!$H$4:$H$337,"方向性確定（条件付き）")</f>
        <v>0</v>
      </c>
      <c r="E20" s="29">
        <f>COUNTIFS(進捗一覧!$C$4:$C$337,$A20,進捗一覧!$H$4:$H$337,"検討中")</f>
        <v>1</v>
      </c>
      <c r="F20" s="29">
        <f>COUNTIFS(進捗一覧!$C$4:$C$337,$A20,進捗一覧!$H$4:$H$337,"外部待ち")</f>
        <v>9</v>
      </c>
      <c r="G20" s="29">
        <f>COUNTIFS(進捗一覧!$C$4:$C$337,$A20,進捗一覧!$H$4:$H$337,"対象外")</f>
        <v>4</v>
      </c>
      <c r="H20" s="127"/>
    </row>
    <row r="21" spans="1:14">
      <c r="A21" s="21" t="s">
        <v>3453</v>
      </c>
      <c r="B21" s="29">
        <f>COUNTIF(進捗一覧!$C$4:$C$337,$A21)</f>
        <v>27</v>
      </c>
      <c r="C21" s="29">
        <f>COUNTIFS(進捗一覧!$C$4:$C$337,$A21,進捗一覧!$H$4:$H$337,"確定")</f>
        <v>10</v>
      </c>
      <c r="D21" s="29">
        <f>COUNTIFS(進捗一覧!$C$4:$C$337,$A21,進捗一覧!$H$4:$H$337,"方向性確定（条件付き）")</f>
        <v>0</v>
      </c>
      <c r="E21" s="29">
        <f>COUNTIFS(進捗一覧!$C$4:$C$337,$A21,進捗一覧!$H$4:$H$337,"検討中")</f>
        <v>6</v>
      </c>
      <c r="F21" s="29">
        <f>COUNTIFS(進捗一覧!$C$4:$C$337,$A21,進捗一覧!$H$4:$H$337,"外部待ち")</f>
        <v>11</v>
      </c>
      <c r="G21" s="29">
        <f>COUNTIFS(進捗一覧!$C$4:$C$337,$A21,進捗一覧!$H$4:$H$337,"対象外")</f>
        <v>0</v>
      </c>
      <c r="H21" s="127"/>
    </row>
    <row r="22" spans="1:14">
      <c r="A22" s="21" t="s">
        <v>3447</v>
      </c>
      <c r="B22" s="29">
        <f>COUNTIF(進捗一覧!$C$4:$C$337,$A22)</f>
        <v>13</v>
      </c>
      <c r="C22" s="29">
        <f>COUNTIFS(進捗一覧!$C$4:$C$337,$A22,進捗一覧!$H$4:$H$337,"確定")</f>
        <v>3</v>
      </c>
      <c r="D22" s="29">
        <f>COUNTIFS(進捗一覧!$C$4:$C$337,$A22,進捗一覧!$H$4:$H$337,"方向性確定（条件付き）")</f>
        <v>0</v>
      </c>
      <c r="E22" s="29">
        <f>COUNTIFS(進捗一覧!$C$4:$C$337,$A22,進捗一覧!$H$4:$H$337,"検討中")</f>
        <v>1</v>
      </c>
      <c r="F22" s="29">
        <f>COUNTIFS(進捗一覧!$C$4:$C$337,$A22,進捗一覧!$H$4:$H$337,"外部待ち")</f>
        <v>9</v>
      </c>
      <c r="G22" s="29">
        <f>COUNTIFS(進捗一覧!$C$4:$C$337,$A22,進捗一覧!$H$4:$H$337,"対象外")</f>
        <v>0</v>
      </c>
      <c r="H22" s="127"/>
    </row>
    <row r="23" spans="1:14">
      <c r="A23" s="21" t="s">
        <v>3450</v>
      </c>
      <c r="B23" s="29">
        <f>COUNTIF(進捗一覧!$C$4:$C$337,$A23)</f>
        <v>19</v>
      </c>
      <c r="C23" s="29">
        <f>COUNTIFS(進捗一覧!$C$4:$C$337,$A23,進捗一覧!$H$4:$H$337,"確定")</f>
        <v>8</v>
      </c>
      <c r="D23" s="29">
        <f>COUNTIFS(進捗一覧!$C$4:$C$337,$A23,進捗一覧!$H$4:$H$337,"方向性確定（条件付き）")</f>
        <v>1</v>
      </c>
      <c r="E23" s="29">
        <f>COUNTIFS(進捗一覧!$C$4:$C$337,$A23,進捗一覧!$H$4:$H$337,"検討中")</f>
        <v>8</v>
      </c>
      <c r="F23" s="29">
        <f>COUNTIFS(進捗一覧!$C$4:$C$337,$A23,進捗一覧!$H$4:$H$337,"外部待ち")</f>
        <v>2</v>
      </c>
      <c r="G23" s="29">
        <f>COUNTIFS(進捗一覧!$C$4:$C$337,$A23,進捗一覧!$H$4:$H$337,"対象外")</f>
        <v>0</v>
      </c>
      <c r="H23" s="127"/>
    </row>
    <row r="24" spans="1:14">
      <c r="A24" s="21" t="s">
        <v>3470</v>
      </c>
      <c r="B24" s="29">
        <f>COUNTIF(進捗一覧!$C$4:$C$337,$A24)</f>
        <v>13</v>
      </c>
      <c r="C24" s="29">
        <f>COUNTIFS(進捗一覧!$C$4:$C$337,$A24,進捗一覧!$H$4:$H$337,"確定")</f>
        <v>3</v>
      </c>
      <c r="D24" s="29">
        <f>COUNTIFS(進捗一覧!$C$4:$C$337,$A24,進捗一覧!$H$4:$H$337,"方向性確定（条件付き）")</f>
        <v>1</v>
      </c>
      <c r="E24" s="29">
        <f>COUNTIFS(進捗一覧!$C$4:$C$337,$A24,進捗一覧!$H$4:$H$337,"検討中")</f>
        <v>7</v>
      </c>
      <c r="F24" s="29">
        <f>COUNTIFS(進捗一覧!$C$4:$C$337,$A24,進捗一覧!$H$4:$H$337,"外部待ち")</f>
        <v>2</v>
      </c>
      <c r="G24" s="29">
        <f>COUNTIFS(進捗一覧!$C$4:$C$337,$A24,進捗一覧!$H$4:$H$337,"対象外")</f>
        <v>0</v>
      </c>
      <c r="H24" s="127"/>
    </row>
    <row r="25" spans="1:14">
      <c r="A25" s="21" t="s">
        <v>3463</v>
      </c>
      <c r="B25" s="29">
        <f>COUNTIF(進捗一覧!$C$4:$C$337,$A25)</f>
        <v>26</v>
      </c>
      <c r="C25" s="29">
        <f>COUNTIFS(進捗一覧!$C$4:$C$337,$A25,進捗一覧!$H$4:$H$337,"確定")</f>
        <v>4</v>
      </c>
      <c r="D25" s="29">
        <f>COUNTIFS(進捗一覧!$C$4:$C$337,$A25,進捗一覧!$H$4:$H$337,"方向性確定（条件付き）")</f>
        <v>2</v>
      </c>
      <c r="E25" s="29">
        <f>COUNTIFS(進捗一覧!$C$4:$C$337,$A25,進捗一覧!$H$4:$H$337,"検討中")</f>
        <v>8</v>
      </c>
      <c r="F25" s="29">
        <f>COUNTIFS(進捗一覧!$C$4:$C$337,$A25,進捗一覧!$H$4:$H$337,"外部待ち")</f>
        <v>11</v>
      </c>
      <c r="G25" s="29">
        <f>COUNTIFS(進捗一覧!$C$4:$C$337,$A25,進捗一覧!$H$4:$H$337,"対象外")</f>
        <v>1</v>
      </c>
      <c r="H25" s="127" t="s">
        <v>3645</v>
      </c>
    </row>
    <row r="26" spans="1:14">
      <c r="A26" s="21" t="s">
        <v>3458</v>
      </c>
      <c r="B26" s="29">
        <f>COUNTIF(進捗一覧!$C$4:$C$337,$A26)</f>
        <v>23</v>
      </c>
      <c r="C26" s="29">
        <f>COUNTIFS(進捗一覧!$C$4:$C$337,$A26,進捗一覧!$H$4:$H$337,"確定")</f>
        <v>7</v>
      </c>
      <c r="D26" s="29">
        <f>COUNTIFS(進捗一覧!$C$4:$C$337,$A26,進捗一覧!$H$4:$H$337,"方向性確定（条件付き）")</f>
        <v>0</v>
      </c>
      <c r="E26" s="29">
        <f>COUNTIFS(進捗一覧!$C$4:$C$337,$A26,進捗一覧!$H$4:$H$337,"検討中")</f>
        <v>2</v>
      </c>
      <c r="F26" s="29">
        <f>COUNTIFS(進捗一覧!$C$4:$C$337,$A26,進捗一覧!$H$4:$H$337,"外部待ち")</f>
        <v>14</v>
      </c>
      <c r="G26" s="29">
        <f>COUNTIFS(進捗一覧!$C$4:$C$337,$A26,進捗一覧!$H$4:$H$337,"対象外")</f>
        <v>0</v>
      </c>
      <c r="H26" s="127" t="s">
        <v>3646</v>
      </c>
    </row>
    <row r="27" spans="1:14">
      <c r="A27" s="21" t="s">
        <v>3454</v>
      </c>
      <c r="B27" s="29">
        <f>COUNTIF(進捗一覧!$C$4:$C$337,$A27)</f>
        <v>34</v>
      </c>
      <c r="C27" s="29">
        <f>COUNTIFS(進捗一覧!$C$4:$C$337,$A27,進捗一覧!$H$4:$H$337,"確定")</f>
        <v>10</v>
      </c>
      <c r="D27" s="29">
        <f>COUNTIFS(進捗一覧!$C$4:$C$337,$A27,進捗一覧!$H$4:$H$337,"方向性確定（条件付き）")</f>
        <v>0</v>
      </c>
      <c r="E27" s="29">
        <f>COUNTIFS(進捗一覧!$C$4:$C$337,$A27,進捗一覧!$H$4:$H$337,"検討中")</f>
        <v>7</v>
      </c>
      <c r="F27" s="29">
        <f>COUNTIFS(進捗一覧!$C$4:$C$337,$A27,進捗一覧!$H$4:$H$337,"外部待ち")</f>
        <v>16</v>
      </c>
      <c r="G27" s="29">
        <f>COUNTIFS(進捗一覧!$C$4:$C$337,$A27,進捗一覧!$H$4:$H$337,"対象外")</f>
        <v>1</v>
      </c>
      <c r="H27" s="127"/>
    </row>
    <row r="28" spans="1:14">
      <c r="A28" s="21" t="s">
        <v>3460</v>
      </c>
      <c r="B28" s="29">
        <f>COUNTIF(進捗一覧!$C$4:$C$337,$A28)</f>
        <v>29</v>
      </c>
      <c r="C28" s="29">
        <f>COUNTIFS(進捗一覧!$C$4:$C$337,$A28,進捗一覧!$H$4:$H$337,"確定")</f>
        <v>2</v>
      </c>
      <c r="D28" s="29">
        <f>COUNTIFS(進捗一覧!$C$4:$C$337,$A28,進捗一覧!$H$4:$H$337,"方向性確定（条件付き）")</f>
        <v>0</v>
      </c>
      <c r="E28" s="29">
        <f>COUNTIFS(進捗一覧!$C$4:$C$337,$A28,進捗一覧!$H$4:$H$337,"検討中")</f>
        <v>3</v>
      </c>
      <c r="F28" s="29">
        <f>COUNTIFS(進捗一覧!$C$4:$C$337,$A28,進捗一覧!$H$4:$H$337,"外部待ち")</f>
        <v>23</v>
      </c>
      <c r="G28" s="29">
        <f>COUNTIFS(進捗一覧!$C$4:$C$337,$A28,進捗一覧!$H$4:$H$337,"対象外")</f>
        <v>1</v>
      </c>
      <c r="H28" s="127" t="s">
        <v>3647</v>
      </c>
    </row>
    <row r="29" spans="1:14">
      <c r="A29" s="21" t="s">
        <v>3462</v>
      </c>
      <c r="B29" s="29">
        <f>COUNTIF(進捗一覧!$C$4:$C$337,$A29)</f>
        <v>30</v>
      </c>
      <c r="C29" s="29">
        <f>COUNTIFS(進捗一覧!$C$4:$C$337,$A29,進捗一覧!$H$4:$H$337,"確定")</f>
        <v>4</v>
      </c>
      <c r="D29" s="29">
        <f>COUNTIFS(進捗一覧!$C$4:$C$337,$A29,進捗一覧!$H$4:$H$337,"方向性確定（条件付き）")</f>
        <v>0</v>
      </c>
      <c r="E29" s="29">
        <f>COUNTIFS(進捗一覧!$C$4:$C$337,$A29,進捗一覧!$H$4:$H$337,"検討中")</f>
        <v>8</v>
      </c>
      <c r="F29" s="29">
        <f>COUNTIFS(進捗一覧!$C$4:$C$337,$A29,進捗一覧!$H$4:$H$337,"外部待ち")</f>
        <v>17</v>
      </c>
      <c r="G29" s="29">
        <f>COUNTIFS(進捗一覧!$C$4:$C$337,$A29,進捗一覧!$H$4:$H$337,"対象外")</f>
        <v>1</v>
      </c>
      <c r="H29" s="127" t="s">
        <v>3648</v>
      </c>
    </row>
    <row r="30" spans="1:14">
      <c r="A30" s="21" t="s">
        <v>3455</v>
      </c>
      <c r="B30" s="29">
        <f>COUNTIF(進捗一覧!$C$4:$C$337,$A30)</f>
        <v>12</v>
      </c>
      <c r="C30" s="29">
        <f>COUNTIFS(進捗一覧!$C$4:$C$337,$A30,進捗一覧!$H$4:$H$337,"確定")</f>
        <v>4</v>
      </c>
      <c r="D30" s="29">
        <f>COUNTIFS(進捗一覧!$C$4:$C$337,$A30,進捗一覧!$H$4:$H$337,"方向性確定（条件付き）")</f>
        <v>0</v>
      </c>
      <c r="E30" s="29">
        <f>COUNTIFS(進捗一覧!$C$4:$C$337,$A30,進捗一覧!$H$4:$H$337,"検討中")</f>
        <v>7</v>
      </c>
      <c r="F30" s="29">
        <f>COUNTIFS(進捗一覧!$C$4:$C$337,$A30,進捗一覧!$H$4:$H$337,"外部待ち")</f>
        <v>0</v>
      </c>
      <c r="G30" s="29">
        <f>COUNTIFS(進捗一覧!$C$4:$C$337,$A30,進捗一覧!$H$4:$H$337,"対象外")</f>
        <v>1</v>
      </c>
      <c r="H30" s="127" t="s">
        <v>3649</v>
      </c>
    </row>
    <row r="31" spans="1:14">
      <c r="A31" s="21" t="s">
        <v>3457</v>
      </c>
      <c r="B31" s="29">
        <f>COUNTIF(進捗一覧!$C$4:$C$337,$A31)</f>
        <v>7</v>
      </c>
      <c r="C31" s="29">
        <f>COUNTIFS(進捗一覧!$C$4:$C$337,$A31,進捗一覧!$H$4:$H$337,"確定")</f>
        <v>2</v>
      </c>
      <c r="D31" s="29">
        <f>COUNTIFS(進捗一覧!$C$4:$C$337,$A31,進捗一覧!$H$4:$H$337,"方向性確定（条件付き）")</f>
        <v>0</v>
      </c>
      <c r="E31" s="29">
        <f>COUNTIFS(進捗一覧!$C$4:$C$337,$A31,進捗一覧!$H$4:$H$337,"検討中")</f>
        <v>1</v>
      </c>
      <c r="F31" s="29">
        <f>COUNTIFS(進捗一覧!$C$4:$C$337,$A31,進捗一覧!$H$4:$H$337,"外部待ち")</f>
        <v>3</v>
      </c>
      <c r="G31" s="29">
        <f>COUNTIFS(進捗一覧!$C$4:$C$337,$A31,進捗一覧!$H$4:$H$337,"対象外")</f>
        <v>1</v>
      </c>
      <c r="H31" s="127" t="s">
        <v>3650</v>
      </c>
    </row>
    <row r="32" spans="1:14">
      <c r="A32" s="21" t="s">
        <v>3499</v>
      </c>
      <c r="B32" s="29">
        <f>COUNTIF(進捗一覧!$C$4:$C$337,$A32)</f>
        <v>9</v>
      </c>
      <c r="C32" s="29">
        <f>COUNTIFS(進捗一覧!$C$4:$C$337,$A32,進捗一覧!$H$4:$H$337,"確定")</f>
        <v>1</v>
      </c>
      <c r="D32" s="29">
        <f>COUNTIFS(進捗一覧!$C$4:$C$337,$A32,進捗一覧!$H$4:$H$337,"方向性確定（条件付き）")</f>
        <v>0</v>
      </c>
      <c r="E32" s="29">
        <f>COUNTIFS(進捗一覧!$C$4:$C$337,$A32,進捗一覧!$H$4:$H$337,"検討中")</f>
        <v>7</v>
      </c>
      <c r="F32" s="29">
        <f>COUNTIFS(進捗一覧!$C$4:$C$337,$A32,進捗一覧!$H$4:$H$337,"外部待ち")</f>
        <v>1</v>
      </c>
      <c r="G32" s="29">
        <f>COUNTIFS(進捗一覧!$C$4:$C$337,$A32,進捗一覧!$H$4:$H$337,"対象外")</f>
        <v>0</v>
      </c>
      <c r="H32" s="127" t="s">
        <v>3651</v>
      </c>
    </row>
    <row r="33" spans="1:8">
      <c r="A33" s="23" t="s">
        <v>3540</v>
      </c>
      <c r="B33" s="30">
        <f>SUM(B16:B32)</f>
        <v>334</v>
      </c>
      <c r="C33" s="30">
        <f>SUM(C16:C32)</f>
        <v>74</v>
      </c>
      <c r="D33" s="30">
        <f>SUM(D16:D32)</f>
        <v>4</v>
      </c>
      <c r="E33" s="30">
        <f>SUM(E16:E32)</f>
        <v>75</v>
      </c>
      <c r="F33" s="30">
        <f>SUM(F16:F32)</f>
        <v>166</v>
      </c>
      <c r="G33" s="30">
        <f>SUM(G16:G32)</f>
        <v>15</v>
      </c>
      <c r="H33" s="28"/>
    </row>
    <row r="36" spans="1:8">
      <c r="A36" s="4" t="s">
        <v>3652</v>
      </c>
    </row>
    <row r="37" spans="1:8">
      <c r="A37" s="18" t="s">
        <v>3653</v>
      </c>
      <c r="B37" s="19" t="s">
        <v>3654</v>
      </c>
      <c r="C37" s="19" t="s">
        <v>3655</v>
      </c>
      <c r="D37" s="19" t="s">
        <v>3587</v>
      </c>
      <c r="E37" s="20" t="s">
        <v>3656</v>
      </c>
    </row>
    <row r="38" spans="1:8">
      <c r="A38" s="21" t="s">
        <v>3657</v>
      </c>
      <c r="B38" s="191">
        <v>797</v>
      </c>
      <c r="C38" s="22" t="s">
        <v>3658</v>
      </c>
      <c r="D38" s="29">
        <v>321</v>
      </c>
      <c r="E38" s="27" t="s">
        <v>6984</v>
      </c>
    </row>
    <row r="39" spans="1:8">
      <c r="A39" s="21" t="s">
        <v>3659</v>
      </c>
      <c r="B39" s="191">
        <v>441</v>
      </c>
      <c r="C39" s="22" t="s">
        <v>3660</v>
      </c>
      <c r="D39" s="29">
        <v>64</v>
      </c>
      <c r="E39" s="27" t="s">
        <v>5972</v>
      </c>
      <c r="F39" s="53" t="s">
        <v>5973</v>
      </c>
    </row>
    <row r="40" spans="1:8">
      <c r="A40" s="21" t="s">
        <v>3661</v>
      </c>
      <c r="B40" s="191">
        <v>743</v>
      </c>
      <c r="C40" s="22" t="s">
        <v>3660</v>
      </c>
      <c r="D40" s="29">
        <v>113</v>
      </c>
      <c r="E40" s="27" t="s">
        <v>5778</v>
      </c>
      <c r="F40" s="53" t="s">
        <v>5974</v>
      </c>
    </row>
    <row r="41" spans="1:8">
      <c r="A41" s="21" t="s">
        <v>3662</v>
      </c>
      <c r="B41" s="191">
        <v>421</v>
      </c>
      <c r="C41" s="22" t="s">
        <v>3663</v>
      </c>
      <c r="D41" s="29">
        <v>50</v>
      </c>
      <c r="E41" s="27" t="s">
        <v>5681</v>
      </c>
    </row>
    <row r="42" spans="1:8">
      <c r="A42" s="168" t="s">
        <v>3664</v>
      </c>
      <c r="B42" s="192">
        <f>B39+B40+B41</f>
        <v>1605</v>
      </c>
      <c r="C42" s="193" t="s">
        <v>3665</v>
      </c>
      <c r="D42" s="162"/>
      <c r="E42" s="169"/>
    </row>
    <row r="43" spans="1:8">
      <c r="A43" s="23" t="s">
        <v>3666</v>
      </c>
      <c r="B43" s="194">
        <v>2402</v>
      </c>
      <c r="C43" s="24" t="s">
        <v>3665</v>
      </c>
      <c r="D43" s="30"/>
      <c r="E43" s="173"/>
      <c r="F43" s="48" t="s">
        <v>6988</v>
      </c>
    </row>
    <row r="44" spans="1:8">
      <c r="A44" s="362" t="s">
        <v>6985</v>
      </c>
    </row>
    <row r="45" spans="1:8">
      <c r="A45" s="289" t="s">
        <v>6986</v>
      </c>
    </row>
    <row r="46" spans="1:8">
      <c r="A46" s="363" t="s">
        <v>5702</v>
      </c>
    </row>
    <row r="47" spans="1:8">
      <c r="A47" s="48" t="s">
        <v>6987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2" customWidth="1"/>
    <col min="2" max="2" width="24.28515625" style="32" customWidth="1"/>
    <col min="3" max="3" width="74.28515625" style="32" customWidth="1"/>
    <col min="4" max="4" width="24.28515625" style="32" customWidth="1"/>
    <col min="5" max="5" width="10.7109375" style="32"/>
    <col min="6" max="7" width="11.42578125" style="32" customWidth="1"/>
    <col min="8" max="16384" width="10.7109375" style="32"/>
  </cols>
  <sheetData>
    <row r="1" spans="1:10" ht="22">
      <c r="A1" s="31" t="s">
        <v>3536</v>
      </c>
    </row>
    <row r="2" spans="1:10">
      <c r="A2" s="34" t="s">
        <v>3537</v>
      </c>
    </row>
    <row r="3" spans="1:10">
      <c r="A3" s="35" t="s">
        <v>3538</v>
      </c>
    </row>
    <row r="5" spans="1:10">
      <c r="A5" s="84" t="s">
        <v>3539</v>
      </c>
    </row>
    <row r="6" spans="1:10">
      <c r="A6" s="58" t="s">
        <v>2198</v>
      </c>
      <c r="B6" s="59" t="s">
        <v>2192</v>
      </c>
      <c r="C6" s="59" t="s">
        <v>2193</v>
      </c>
      <c r="D6" s="59" t="s">
        <v>2194</v>
      </c>
      <c r="E6" s="59" t="s">
        <v>2195</v>
      </c>
      <c r="F6" s="60" t="s">
        <v>2196</v>
      </c>
      <c r="G6" s="147" t="s">
        <v>1069</v>
      </c>
    </row>
    <row r="7" spans="1:10">
      <c r="A7" s="85" t="s">
        <v>2189</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2190</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3469</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3471</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5791</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5792</v>
      </c>
    </row>
    <row r="12" spans="1:10">
      <c r="A12" s="114" t="s">
        <v>3464</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3540</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3541</v>
      </c>
      <c r="B15" s="59" t="s">
        <v>3542</v>
      </c>
      <c r="C15" s="59" t="s">
        <v>2199</v>
      </c>
      <c r="D15" s="59" t="s">
        <v>2192</v>
      </c>
      <c r="E15" s="59" t="s">
        <v>2193</v>
      </c>
      <c r="F15" s="59" t="s">
        <v>2194</v>
      </c>
      <c r="G15" s="59" t="s">
        <v>2195</v>
      </c>
      <c r="H15" s="60" t="s">
        <v>2196</v>
      </c>
    </row>
    <row r="16" spans="1:10">
      <c r="A16" s="58" t="s">
        <v>3543</v>
      </c>
      <c r="B16" s="152" t="s">
        <v>2198</v>
      </c>
      <c r="C16" s="152" t="s">
        <v>2199</v>
      </c>
      <c r="D16" s="151" t="s">
        <v>2192</v>
      </c>
      <c r="E16" s="151" t="s">
        <v>2193</v>
      </c>
      <c r="F16" s="151" t="s">
        <v>2194</v>
      </c>
      <c r="G16" s="151" t="s">
        <v>2195</v>
      </c>
      <c r="H16" s="153" t="s">
        <v>2196</v>
      </c>
      <c r="I16" s="32" t="s">
        <v>5788</v>
      </c>
      <c r="J16" s="32" t="s">
        <v>5789</v>
      </c>
    </row>
    <row r="17" spans="1:8">
      <c r="A17" s="85" t="s">
        <v>3544</v>
      </c>
      <c r="B17" s="89" t="s">
        <v>2189</v>
      </c>
      <c r="C17" s="89" t="s">
        <v>2200</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3545</v>
      </c>
      <c r="B18" s="89" t="s">
        <v>2189</v>
      </c>
      <c r="C18" s="89" t="s">
        <v>2201</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3546</v>
      </c>
      <c r="B19" s="89" t="s">
        <v>2189</v>
      </c>
      <c r="C19" s="89" t="s">
        <v>2202</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3547</v>
      </c>
      <c r="B20" s="89" t="s">
        <v>2189</v>
      </c>
      <c r="C20" s="89" t="s">
        <v>2203</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3548</v>
      </c>
      <c r="B21" s="89" t="s">
        <v>2189</v>
      </c>
      <c r="C21" s="89" t="s">
        <v>2204</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3549</v>
      </c>
      <c r="B22" s="89" t="s">
        <v>2189</v>
      </c>
      <c r="C22" s="89" t="s">
        <v>2205</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3550</v>
      </c>
      <c r="B23" s="89" t="s">
        <v>2189</v>
      </c>
      <c r="C23" s="89" t="s">
        <v>2206</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3551</v>
      </c>
      <c r="B24" s="89" t="s">
        <v>2189</v>
      </c>
      <c r="C24" s="89" t="s">
        <v>2207</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3459</v>
      </c>
      <c r="B25" s="89" t="s">
        <v>2190</v>
      </c>
      <c r="C25" s="89" t="s">
        <v>2208</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3552</v>
      </c>
      <c r="B26" s="89" t="s">
        <v>2190</v>
      </c>
      <c r="C26" s="89" t="s">
        <v>2209</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3553</v>
      </c>
      <c r="B27" s="89" t="s">
        <v>2190</v>
      </c>
      <c r="C27" s="89" t="s">
        <v>2210</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3554</v>
      </c>
      <c r="B28" s="89" t="s">
        <v>2190</v>
      </c>
      <c r="C28" s="89" t="s">
        <v>2211</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3461</v>
      </c>
      <c r="B29" s="89" t="s">
        <v>2190</v>
      </c>
      <c r="C29" s="89" t="s">
        <v>2212</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3555</v>
      </c>
      <c r="B30" s="89" t="s">
        <v>2190</v>
      </c>
      <c r="C30" s="89" t="s">
        <v>2213</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3556</v>
      </c>
      <c r="B31" s="89" t="s">
        <v>2190</v>
      </c>
      <c r="C31" s="89" t="s">
        <v>2214</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3456</v>
      </c>
      <c r="B32" s="89" t="s">
        <v>2190</v>
      </c>
      <c r="C32" s="89" t="s">
        <v>2215</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3557</v>
      </c>
      <c r="B33" s="89" t="s">
        <v>2190</v>
      </c>
      <c r="C33" s="89" t="s">
        <v>2216</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5781</v>
      </c>
      <c r="B34" s="89" t="s">
        <v>2191</v>
      </c>
      <c r="C34" s="89" t="s">
        <v>2217</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2">
        <v>98</v>
      </c>
      <c r="J34" s="32">
        <v>39</v>
      </c>
    </row>
    <row r="35" spans="1:11">
      <c r="A35" s="85" t="s">
        <v>5782</v>
      </c>
      <c r="B35" s="89" t="s">
        <v>2191</v>
      </c>
      <c r="C35" s="89" t="s">
        <v>2218</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2">
        <v>23</v>
      </c>
      <c r="J35" s="32">
        <v>9</v>
      </c>
    </row>
    <row r="36" spans="1:11">
      <c r="A36" s="85" t="s">
        <v>6992</v>
      </c>
      <c r="B36" s="89" t="s">
        <v>2191</v>
      </c>
      <c r="C36" s="89" t="s">
        <v>2219</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2">
        <v>23</v>
      </c>
      <c r="J36" s="32">
        <v>13</v>
      </c>
    </row>
    <row r="37" spans="1:11">
      <c r="A37" s="85" t="s">
        <v>5783</v>
      </c>
      <c r="B37" s="89" t="s">
        <v>2191</v>
      </c>
      <c r="C37" s="89" t="s">
        <v>2220</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2">
        <v>56</v>
      </c>
      <c r="J37" s="32">
        <v>31</v>
      </c>
    </row>
    <row r="38" spans="1:11">
      <c r="A38" s="85" t="s">
        <v>5784</v>
      </c>
      <c r="B38" s="89" t="s">
        <v>2191</v>
      </c>
      <c r="C38" s="89" t="s">
        <v>2221</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2">
        <v>33</v>
      </c>
      <c r="J38" s="32">
        <v>10</v>
      </c>
    </row>
    <row r="39" spans="1:11">
      <c r="A39" s="85" t="s">
        <v>5785</v>
      </c>
      <c r="B39" s="92" t="s">
        <v>2191</v>
      </c>
      <c r="C39" s="92" t="s">
        <v>2222</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2">
        <v>15</v>
      </c>
      <c r="J39" s="32">
        <v>4</v>
      </c>
    </row>
    <row r="40" spans="1:11">
      <c r="A40" s="91" t="s">
        <v>5786</v>
      </c>
      <c r="B40" s="116" t="s">
        <v>2191</v>
      </c>
      <c r="C40" s="116" t="s">
        <v>2223</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2">
        <v>22</v>
      </c>
      <c r="J40" s="32">
        <v>14</v>
      </c>
    </row>
    <row r="41" spans="1:11">
      <c r="A41" s="364" t="s">
        <v>6993</v>
      </c>
      <c r="B41" s="365" t="s">
        <v>2191</v>
      </c>
      <c r="C41" s="365" t="s">
        <v>5787</v>
      </c>
      <c r="D41" s="366">
        <v>148</v>
      </c>
      <c r="E41" s="366"/>
      <c r="F41" s="366"/>
      <c r="G41" s="366"/>
      <c r="H41" s="366"/>
      <c r="I41" s="32">
        <v>527</v>
      </c>
      <c r="J41" s="32">
        <v>201</v>
      </c>
      <c r="K41" s="32" t="s">
        <v>6994</v>
      </c>
    </row>
    <row r="42" spans="1:11">
      <c r="A42" s="32" t="s">
        <v>5790</v>
      </c>
      <c r="I42" s="32">
        <f>SUM(I34:I41)</f>
        <v>797</v>
      </c>
      <c r="J42" s="32">
        <f>SUM(J34:J41)</f>
        <v>321</v>
      </c>
    </row>
    <row r="43" spans="1:11">
      <c r="A43" s="84" t="s">
        <v>3558</v>
      </c>
      <c r="B43" s="59" t="s">
        <v>3559</v>
      </c>
      <c r="C43" s="59" t="s">
        <v>3560</v>
      </c>
      <c r="D43" s="60" t="s">
        <v>2439</v>
      </c>
    </row>
    <row r="44" spans="1:11">
      <c r="A44" s="367" t="s">
        <v>5793</v>
      </c>
      <c r="B44" s="89" t="s">
        <v>3561</v>
      </c>
      <c r="C44" s="89" t="s">
        <v>3562</v>
      </c>
      <c r="D44" s="94" t="s">
        <v>3563</v>
      </c>
    </row>
    <row r="45" spans="1:11">
      <c r="A45" s="85" t="s">
        <v>3564</v>
      </c>
      <c r="B45" s="89" t="s">
        <v>3565</v>
      </c>
      <c r="C45" s="89" t="s">
        <v>3566</v>
      </c>
      <c r="D45" s="94" t="s">
        <v>3567</v>
      </c>
    </row>
    <row r="46" spans="1:11">
      <c r="A46" s="85" t="s">
        <v>3568</v>
      </c>
      <c r="B46" s="89" t="s">
        <v>3531</v>
      </c>
      <c r="C46" s="89" t="s">
        <v>3569</v>
      </c>
      <c r="D46" s="94" t="s">
        <v>3570</v>
      </c>
    </row>
    <row r="47" spans="1:11">
      <c r="A47" s="85" t="s">
        <v>3571</v>
      </c>
      <c r="B47" s="89" t="s">
        <v>3493</v>
      </c>
      <c r="C47" s="89" t="s">
        <v>3572</v>
      </c>
      <c r="D47" s="94" t="s">
        <v>3570</v>
      </c>
    </row>
    <row r="48" spans="1:11">
      <c r="A48" s="85" t="s">
        <v>3571</v>
      </c>
      <c r="B48" s="89" t="s">
        <v>3533</v>
      </c>
      <c r="C48" s="89" t="s">
        <v>3573</v>
      </c>
      <c r="D48" s="94" t="s">
        <v>3567</v>
      </c>
    </row>
    <row r="49" spans="1:5">
      <c r="A49" s="85" t="s">
        <v>3571</v>
      </c>
      <c r="B49" s="89" t="s">
        <v>3574</v>
      </c>
      <c r="C49" s="89" t="s">
        <v>3575</v>
      </c>
      <c r="D49" s="94" t="s">
        <v>3570</v>
      </c>
    </row>
    <row r="50" spans="1:5">
      <c r="A50" s="85" t="s">
        <v>3576</v>
      </c>
      <c r="B50" s="89" t="s">
        <v>3523</v>
      </c>
      <c r="C50" s="89" t="s">
        <v>3577</v>
      </c>
      <c r="D50" s="94" t="s">
        <v>3570</v>
      </c>
    </row>
    <row r="51" spans="1:5">
      <c r="A51" s="85" t="s">
        <v>3578</v>
      </c>
      <c r="B51" s="89" t="s">
        <v>3524</v>
      </c>
      <c r="C51" s="89" t="s">
        <v>3579</v>
      </c>
      <c r="D51" s="94" t="s">
        <v>3570</v>
      </c>
    </row>
    <row r="52" spans="1:5">
      <c r="A52" s="85" t="s">
        <v>3578</v>
      </c>
      <c r="B52" s="89" t="s">
        <v>3580</v>
      </c>
      <c r="C52" s="89" t="s">
        <v>3581</v>
      </c>
      <c r="D52" s="94" t="s">
        <v>3582</v>
      </c>
    </row>
    <row r="53" spans="1:5">
      <c r="A53" s="85" t="s">
        <v>3583</v>
      </c>
      <c r="B53" s="92" t="s">
        <v>3584</v>
      </c>
      <c r="C53" s="92" t="s">
        <v>3585</v>
      </c>
      <c r="D53" s="95" t="s">
        <v>3582</v>
      </c>
    </row>
    <row r="54" spans="1:5">
      <c r="A54" s="91" t="s">
        <v>3583</v>
      </c>
    </row>
    <row r="56" spans="1:5">
      <c r="A56" s="96" t="s">
        <v>3586</v>
      </c>
      <c r="B56" s="59" t="s">
        <v>3587</v>
      </c>
      <c r="C56" s="59" t="s">
        <v>3588</v>
      </c>
      <c r="D56" s="60" t="s">
        <v>3589</v>
      </c>
    </row>
    <row r="57" spans="1:5">
      <c r="A57" s="58" t="s">
        <v>3590</v>
      </c>
      <c r="B57" s="86"/>
      <c r="C57" s="97"/>
      <c r="D57" s="94" t="s">
        <v>3591</v>
      </c>
    </row>
    <row r="58" spans="1:5">
      <c r="A58" s="85" t="s">
        <v>1062</v>
      </c>
      <c r="B58" s="86">
        <f>COUNTIF(要件→設計!$G$5:$G$183,$A58)</f>
        <v>114</v>
      </c>
      <c r="C58" s="97">
        <f>IFERROR(B58/$B$63,"-")</f>
        <v>0.63687150837988826</v>
      </c>
      <c r="D58" s="94" t="s">
        <v>3592</v>
      </c>
    </row>
    <row r="59" spans="1:5">
      <c r="A59" s="85" t="s">
        <v>1054</v>
      </c>
      <c r="B59" s="86">
        <f>COUNTIF(要件→設計!$G$5:$G$183,$A59)</f>
        <v>47</v>
      </c>
      <c r="C59" s="97">
        <f>IFERROR(B59/$B$63,"-")</f>
        <v>0.26256983240223464</v>
      </c>
      <c r="D59" s="98" t="s">
        <v>3593</v>
      </c>
    </row>
    <row r="60" spans="1:5">
      <c r="A60" s="85" t="s">
        <v>1057</v>
      </c>
      <c r="B60" s="86">
        <f>COUNTIF(要件→設計!$G$5:$G$183,$A60)</f>
        <v>1</v>
      </c>
      <c r="C60" s="97">
        <f>IFERROR(B60/$B$63,"-")</f>
        <v>5.5865921787709499E-3</v>
      </c>
      <c r="D60" s="94" t="s">
        <v>3594</v>
      </c>
    </row>
    <row r="61" spans="1:5">
      <c r="A61" s="85" t="s">
        <v>1069</v>
      </c>
      <c r="B61" s="86">
        <f>COUNTIF(要件→設計!$G$5:$G$183,$A61)</f>
        <v>17</v>
      </c>
      <c r="C61" s="97">
        <f>IFERROR(B61/$B$63,"-")</f>
        <v>9.4972067039106142E-2</v>
      </c>
      <c r="D61" s="99" t="s">
        <v>3595</v>
      </c>
    </row>
    <row r="62" spans="1:5">
      <c r="A62" s="85" t="s">
        <v>3596</v>
      </c>
      <c r="B62" s="88">
        <f>COUNTIF(要件→設計!$G$5:$G$183,$A62)</f>
        <v>0</v>
      </c>
      <c r="C62" s="100">
        <f>IFERROR(B62/$B$63,"-")</f>
        <v>0</v>
      </c>
      <c r="D62" s="95"/>
      <c r="E62" s="61"/>
    </row>
    <row r="63" spans="1:5">
      <c r="A63" s="87" t="s">
        <v>3540</v>
      </c>
      <c r="B63" s="32">
        <f>SUM(B58:B62)</f>
        <v>179</v>
      </c>
      <c r="C63" s="115">
        <f>IFERROR(B63/B63,"-")</f>
        <v>1</v>
      </c>
      <c r="E63" s="32" t="str">
        <f>IF(B63=COUNTA(要件→設計!$A$5:$A$183),"✓ マッピング行数と一致","⚠ 不一致")</f>
        <v>✓ マッピング行数と一致</v>
      </c>
    </row>
    <row r="66" spans="1:5">
      <c r="A66" s="84" t="s">
        <v>3597</v>
      </c>
      <c r="B66" s="59" t="s">
        <v>3587</v>
      </c>
      <c r="C66" s="59" t="s">
        <v>3588</v>
      </c>
      <c r="D66" s="60" t="s">
        <v>3598</v>
      </c>
    </row>
    <row r="67" spans="1:5">
      <c r="A67" s="58" t="s">
        <v>2438</v>
      </c>
      <c r="B67" s="86"/>
      <c r="C67" s="97"/>
      <c r="D67" s="94" t="s">
        <v>3599</v>
      </c>
    </row>
    <row r="68" spans="1:5">
      <c r="A68" s="85" t="s">
        <v>3600</v>
      </c>
      <c r="B68" s="86">
        <f>COUNTA(設計決定一覧!$A$5:$A$189)-COUNTA(設計→要件!$A$6:$A$55)</f>
        <v>135</v>
      </c>
      <c r="C68" s="97">
        <f>IFERROR(B68/$B$74,"-")</f>
        <v>0.72972972972972971</v>
      </c>
      <c r="D68" s="98" t="s">
        <v>3601</v>
      </c>
    </row>
    <row r="69" spans="1:5">
      <c r="A69" s="85" t="s">
        <v>3602</v>
      </c>
      <c r="B69" s="86">
        <f>COUNTIF(設計→要件!$D$6:$D$55,$A69)</f>
        <v>11</v>
      </c>
      <c r="C69" s="97">
        <f>IFERROR(B69/$B$74,"-")</f>
        <v>5.9459459459459463E-2</v>
      </c>
      <c r="D69" s="99" t="s">
        <v>3603</v>
      </c>
    </row>
    <row r="70" spans="1:5">
      <c r="A70" s="85" t="s">
        <v>3604</v>
      </c>
      <c r="B70" s="86">
        <f>COUNTIF(設計→要件!$D$6:$D$55,$A70)</f>
        <v>14</v>
      </c>
      <c r="C70" s="97">
        <f>IFERROR(B70/$B$74,"-")</f>
        <v>7.567567567567568E-2</v>
      </c>
      <c r="D70" s="101" t="s">
        <v>3605</v>
      </c>
    </row>
    <row r="71" spans="1:5">
      <c r="A71" s="85" t="s">
        <v>3606</v>
      </c>
      <c r="B71" s="86">
        <f>COUNTIF(設計→要件!$D$6:$D$55,$A71)</f>
        <v>1</v>
      </c>
      <c r="C71" s="97">
        <f>IFERROR(B71/$B$74,"-")</f>
        <v>5.4054054054054057E-3</v>
      </c>
      <c r="D71" s="94" t="s">
        <v>3607</v>
      </c>
    </row>
    <row r="72" spans="1:5">
      <c r="A72" s="85" t="s">
        <v>3608</v>
      </c>
      <c r="B72" s="86">
        <f>COUNTIF(設計→要件!$D$6:$D$55,$A72)</f>
        <v>23</v>
      </c>
      <c r="C72" s="97">
        <f>IFERROR(B72/$B$74,"-")</f>
        <v>0.12432432432432433</v>
      </c>
      <c r="D72" s="94" t="s">
        <v>3609</v>
      </c>
    </row>
    <row r="73" spans="1:5">
      <c r="A73" s="85" t="s">
        <v>3610</v>
      </c>
      <c r="B73" s="88">
        <f>COUNTIF(設計→要件!$D$6:$D$55,$A73)</f>
        <v>1</v>
      </c>
      <c r="C73" s="100">
        <f>IFERROR(B73/$B$74,"-")</f>
        <v>5.4054054054054057E-3</v>
      </c>
      <c r="D73" s="95"/>
      <c r="E73" s="61"/>
    </row>
    <row r="74" spans="1:5">
      <c r="A74" s="87" t="s">
        <v>3540</v>
      </c>
      <c r="B74" s="32">
        <f>SUM(B68:B73)</f>
        <v>185</v>
      </c>
      <c r="C74" s="115">
        <f>IFERROR(B74/$B$74,"-")</f>
        <v>1</v>
      </c>
      <c r="E74" s="32" t="str">
        <f>IF(B74=COUNTA(設計決定一覧!$A$5:$A$189),"✓ 設計決定の総数と一致","⚠ 不一致")</f>
        <v>✓ 設計決定の総数と一致</v>
      </c>
    </row>
    <row r="75" spans="1:5">
      <c r="B75" s="103"/>
    </row>
    <row r="76" spans="1:5" ht="75">
      <c r="A76" s="102" t="s">
        <v>3611</v>
      </c>
      <c r="B76" s="105" t="s">
        <v>3612</v>
      </c>
    </row>
    <row r="77" spans="1:5" ht="60">
      <c r="A77" s="104" t="s">
        <v>3469</v>
      </c>
      <c r="B77" s="106" t="s">
        <v>3613</v>
      </c>
    </row>
    <row r="78" spans="1:5" ht="60">
      <c r="A78" s="104" t="s">
        <v>3614</v>
      </c>
      <c r="B78" s="105" t="s">
        <v>3615</v>
      </c>
    </row>
    <row r="79" spans="1:5" ht="60">
      <c r="A79" s="107" t="s">
        <v>3616</v>
      </c>
      <c r="B79" s="105" t="s">
        <v>3617</v>
      </c>
    </row>
    <row r="80" spans="1:5" ht="75">
      <c r="A80" s="107" t="s">
        <v>3618</v>
      </c>
      <c r="B80" s="108" t="s">
        <v>3619</v>
      </c>
    </row>
    <row r="81" spans="1:1">
      <c r="A81" s="107" t="s">
        <v>3620</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8" t="s">
        <v>2430</v>
      </c>
      <c r="B3" s="79" t="s">
        <v>1537</v>
      </c>
      <c r="C3" s="79" t="s">
        <v>1536</v>
      </c>
      <c r="D3" s="79" t="s">
        <v>10</v>
      </c>
      <c r="E3" s="79" t="s">
        <v>666</v>
      </c>
      <c r="F3" s="79" t="s">
        <v>11</v>
      </c>
      <c r="G3" s="79" t="s">
        <v>3026</v>
      </c>
      <c r="H3" s="79" t="s">
        <v>1538</v>
      </c>
      <c r="I3" s="79" t="s">
        <v>3032</v>
      </c>
      <c r="J3" s="79" t="s">
        <v>3033</v>
      </c>
      <c r="K3" s="79" t="s">
        <v>4170</v>
      </c>
      <c r="L3" s="79" t="s">
        <v>4171</v>
      </c>
      <c r="M3" s="79" t="s">
        <v>4172</v>
      </c>
      <c r="N3" s="79" t="s">
        <v>4331</v>
      </c>
      <c r="O3" s="248" t="s">
        <v>8</v>
      </c>
      <c r="P3" s="248" t="s">
        <v>9</v>
      </c>
      <c r="Q3" s="249" t="s">
        <v>3237</v>
      </c>
      <c r="R3" s="248" t="s">
        <v>2929</v>
      </c>
      <c r="S3" s="248" t="s">
        <v>12</v>
      </c>
      <c r="T3" s="248" t="s">
        <v>3667</v>
      </c>
    </row>
    <row r="4" spans="1:20" ht="58" customHeight="1">
      <c r="A4" s="230" t="s">
        <v>2431</v>
      </c>
      <c r="B4" s="41" t="s">
        <v>5</v>
      </c>
      <c r="C4" s="40" t="s">
        <v>1514</v>
      </c>
      <c r="D4" s="40" t="s">
        <v>15</v>
      </c>
      <c r="E4" s="199" t="s">
        <v>2930</v>
      </c>
      <c r="F4" s="199" t="s">
        <v>4019</v>
      </c>
      <c r="G4" s="243" t="s">
        <v>3019</v>
      </c>
      <c r="H4" s="41" t="s">
        <v>2</v>
      </c>
      <c r="I4" s="246" t="s">
        <v>3027</v>
      </c>
      <c r="J4" s="232" t="s">
        <v>3236</v>
      </c>
      <c r="K4" s="161"/>
      <c r="L4" s="240"/>
      <c r="M4" s="240"/>
      <c r="N4" s="160"/>
      <c r="O4" s="139" t="s">
        <v>13</v>
      </c>
      <c r="P4" s="39" t="s">
        <v>14</v>
      </c>
      <c r="Q4" s="228" t="s">
        <v>3238</v>
      </c>
      <c r="R4" s="200" t="s">
        <v>2931</v>
      </c>
      <c r="S4" s="141" t="s">
        <v>16</v>
      </c>
      <c r="T4" s="241"/>
    </row>
    <row r="5" spans="1:20" ht="58" customHeight="1">
      <c r="A5" s="230" t="s">
        <v>2431</v>
      </c>
      <c r="B5" s="41" t="s">
        <v>5</v>
      </c>
      <c r="C5" s="40" t="s">
        <v>1514</v>
      </c>
      <c r="D5" s="40" t="s">
        <v>18</v>
      </c>
      <c r="E5" s="199" t="s">
        <v>667</v>
      </c>
      <c r="F5" s="199" t="s">
        <v>4130</v>
      </c>
      <c r="G5" s="243" t="s">
        <v>3019</v>
      </c>
      <c r="H5" s="41" t="s">
        <v>2</v>
      </c>
      <c r="I5" s="246" t="s">
        <v>3027</v>
      </c>
      <c r="J5" s="232" t="s">
        <v>3236</v>
      </c>
      <c r="K5" s="161"/>
      <c r="L5" s="240"/>
      <c r="M5" s="240"/>
      <c r="N5" s="160"/>
      <c r="O5" s="139" t="s">
        <v>13</v>
      </c>
      <c r="P5" s="39" t="s">
        <v>17</v>
      </c>
      <c r="Q5" s="228" t="s">
        <v>3238</v>
      </c>
      <c r="R5" s="200" t="s">
        <v>2931</v>
      </c>
      <c r="S5" s="141" t="s">
        <v>16</v>
      </c>
      <c r="T5" s="241"/>
    </row>
    <row r="6" spans="1:20" ht="58" customHeight="1">
      <c r="A6" s="230" t="s">
        <v>2431</v>
      </c>
      <c r="B6" s="41" t="s">
        <v>5</v>
      </c>
      <c r="C6" s="40" t="s">
        <v>1514</v>
      </c>
      <c r="D6" s="40" t="s">
        <v>20</v>
      </c>
      <c r="E6" s="199" t="s">
        <v>668</v>
      </c>
      <c r="F6" s="199" t="s">
        <v>4131</v>
      </c>
      <c r="G6" s="243" t="s">
        <v>3019</v>
      </c>
      <c r="H6" s="41" t="s">
        <v>2</v>
      </c>
      <c r="I6" s="246" t="s">
        <v>3027</v>
      </c>
      <c r="J6" s="232" t="s">
        <v>3236</v>
      </c>
      <c r="K6" s="161"/>
      <c r="L6" s="240"/>
      <c r="M6" s="240"/>
      <c r="N6" s="160"/>
      <c r="O6" s="139" t="s">
        <v>13</v>
      </c>
      <c r="P6" s="39" t="s">
        <v>19</v>
      </c>
      <c r="Q6" s="228" t="s">
        <v>3238</v>
      </c>
      <c r="R6" s="200" t="s">
        <v>2932</v>
      </c>
      <c r="S6" s="141" t="s">
        <v>16</v>
      </c>
      <c r="T6" s="241"/>
    </row>
    <row r="7" spans="1:20" ht="58" customHeight="1">
      <c r="A7" s="230" t="s">
        <v>2431</v>
      </c>
      <c r="B7" s="41" t="s">
        <v>5</v>
      </c>
      <c r="C7" s="40" t="s">
        <v>1514</v>
      </c>
      <c r="D7" s="40" t="s">
        <v>22</v>
      </c>
      <c r="E7" s="199" t="s">
        <v>669</v>
      </c>
      <c r="F7" s="199" t="s">
        <v>4020</v>
      </c>
      <c r="G7" s="243" t="s">
        <v>3020</v>
      </c>
      <c r="H7" s="41" t="s">
        <v>955</v>
      </c>
      <c r="I7" s="246" t="s">
        <v>3028</v>
      </c>
      <c r="J7" s="232" t="s">
        <v>3236</v>
      </c>
      <c r="K7" s="161"/>
      <c r="L7" s="240"/>
      <c r="M7" s="240"/>
      <c r="N7" s="160"/>
      <c r="O7" s="139" t="s">
        <v>13</v>
      </c>
      <c r="P7" s="39" t="s">
        <v>21</v>
      </c>
      <c r="Q7" s="228" t="s">
        <v>3238</v>
      </c>
      <c r="R7" s="200" t="s">
        <v>2933</v>
      </c>
      <c r="S7" s="141" t="s">
        <v>16</v>
      </c>
      <c r="T7" s="241"/>
    </row>
    <row r="8" spans="1:20" ht="58" customHeight="1">
      <c r="A8" s="230" t="s">
        <v>2431</v>
      </c>
      <c r="B8" s="41" t="s">
        <v>5</v>
      </c>
      <c r="C8" s="40" t="s">
        <v>1514</v>
      </c>
      <c r="D8" s="40" t="s">
        <v>24</v>
      </c>
      <c r="E8" s="199" t="s">
        <v>670</v>
      </c>
      <c r="F8" s="199" t="s">
        <v>4021</v>
      </c>
      <c r="G8" s="243" t="s">
        <v>3021</v>
      </c>
      <c r="H8" s="41" t="s">
        <v>1516</v>
      </c>
      <c r="I8" s="246" t="s">
        <v>4554</v>
      </c>
      <c r="J8" s="232" t="s">
        <v>3881</v>
      </c>
      <c r="K8" s="161" t="s">
        <v>4340</v>
      </c>
      <c r="L8" s="240" t="s">
        <v>4462</v>
      </c>
      <c r="M8" s="240" t="s">
        <v>4463</v>
      </c>
      <c r="N8" s="160" t="s">
        <v>4333</v>
      </c>
      <c r="O8" s="139" t="s">
        <v>13</v>
      </c>
      <c r="P8" s="39" t="s">
        <v>23</v>
      </c>
      <c r="Q8" s="228" t="s">
        <v>3238</v>
      </c>
      <c r="R8" s="200" t="s">
        <v>2934</v>
      </c>
      <c r="S8" s="141" t="s">
        <v>16</v>
      </c>
      <c r="T8" s="241"/>
    </row>
    <row r="9" spans="1:20" ht="58" customHeight="1">
      <c r="A9" s="230" t="s">
        <v>2431</v>
      </c>
      <c r="B9" s="41" t="s">
        <v>5</v>
      </c>
      <c r="C9" s="40" t="s">
        <v>1514</v>
      </c>
      <c r="D9" s="40" t="s">
        <v>26</v>
      </c>
      <c r="E9" s="199" t="s">
        <v>671</v>
      </c>
      <c r="F9" s="199" t="s">
        <v>4168</v>
      </c>
      <c r="G9" s="243" t="s">
        <v>4169</v>
      </c>
      <c r="H9" s="41" t="s">
        <v>955</v>
      </c>
      <c r="I9" s="246" t="s">
        <v>3028</v>
      </c>
      <c r="J9" s="232" t="s">
        <v>3996</v>
      </c>
      <c r="K9" s="161" t="s">
        <v>955</v>
      </c>
      <c r="L9" s="240"/>
      <c r="M9" s="240"/>
      <c r="N9" s="160"/>
      <c r="O9" s="139" t="s">
        <v>13</v>
      </c>
      <c r="P9" s="39" t="s">
        <v>25</v>
      </c>
      <c r="Q9" s="228" t="s">
        <v>3238</v>
      </c>
      <c r="R9" s="200" t="s">
        <v>446</v>
      </c>
      <c r="S9" s="141" t="s">
        <v>16</v>
      </c>
      <c r="T9" s="241"/>
    </row>
    <row r="10" spans="1:20" ht="58" customHeight="1">
      <c r="A10" s="230" t="s">
        <v>2431</v>
      </c>
      <c r="B10" s="41" t="s">
        <v>5</v>
      </c>
      <c r="C10" s="40" t="s">
        <v>1514</v>
      </c>
      <c r="D10" s="40" t="s">
        <v>28</v>
      </c>
      <c r="E10" s="199" t="s">
        <v>672</v>
      </c>
      <c r="F10" s="199" t="s">
        <v>4354</v>
      </c>
      <c r="G10" s="243" t="s">
        <v>4355</v>
      </c>
      <c r="H10" s="41" t="s">
        <v>955</v>
      </c>
      <c r="I10" s="246" t="s">
        <v>3028</v>
      </c>
      <c r="J10" s="232" t="s">
        <v>3236</v>
      </c>
      <c r="K10" s="161"/>
      <c r="L10" s="240"/>
      <c r="M10" s="240"/>
      <c r="N10" s="160"/>
      <c r="O10" s="139" t="s">
        <v>13</v>
      </c>
      <c r="P10" s="39" t="s">
        <v>27</v>
      </c>
      <c r="Q10" s="228" t="s">
        <v>3238</v>
      </c>
      <c r="R10" s="200" t="s">
        <v>446</v>
      </c>
      <c r="S10" s="141" t="s">
        <v>16</v>
      </c>
      <c r="T10" s="241"/>
    </row>
    <row r="11" spans="1:20" ht="58" customHeight="1">
      <c r="A11" s="230" t="s">
        <v>2431</v>
      </c>
      <c r="B11" s="41" t="s">
        <v>5</v>
      </c>
      <c r="C11" s="40" t="s">
        <v>1514</v>
      </c>
      <c r="D11" s="40" t="s">
        <v>30</v>
      </c>
      <c r="E11" s="199" t="s">
        <v>673</v>
      </c>
      <c r="F11" s="199" t="s">
        <v>4022</v>
      </c>
      <c r="G11" s="243" t="s">
        <v>3019</v>
      </c>
      <c r="H11" s="41" t="s">
        <v>2</v>
      </c>
      <c r="I11" s="246" t="s">
        <v>3027</v>
      </c>
      <c r="J11" s="232" t="s">
        <v>3236</v>
      </c>
      <c r="K11" s="161"/>
      <c r="L11" s="240"/>
      <c r="M11" s="240"/>
      <c r="N11" s="160"/>
      <c r="O11" s="139" t="s">
        <v>13</v>
      </c>
      <c r="P11" s="39" t="s">
        <v>29</v>
      </c>
      <c r="Q11" s="228" t="s">
        <v>3238</v>
      </c>
      <c r="R11" s="200" t="s">
        <v>2931</v>
      </c>
      <c r="S11" s="141" t="s">
        <v>16</v>
      </c>
      <c r="T11" s="241"/>
    </row>
    <row r="12" spans="1:20" ht="58" customHeight="1">
      <c r="A12" s="230" t="s">
        <v>2431</v>
      </c>
      <c r="B12" s="41" t="s">
        <v>5</v>
      </c>
      <c r="C12" s="40" t="s">
        <v>1514</v>
      </c>
      <c r="D12" s="40" t="s">
        <v>33</v>
      </c>
      <c r="E12" s="199" t="s">
        <v>674</v>
      </c>
      <c r="F12" s="199" t="s">
        <v>4023</v>
      </c>
      <c r="G12" s="243" t="s">
        <v>3019</v>
      </c>
      <c r="H12" s="41" t="s">
        <v>2</v>
      </c>
      <c r="I12" s="246" t="s">
        <v>3027</v>
      </c>
      <c r="J12" s="232" t="s">
        <v>3236</v>
      </c>
      <c r="K12" s="161"/>
      <c r="L12" s="240"/>
      <c r="M12" s="240"/>
      <c r="N12" s="160"/>
      <c r="O12" s="139" t="s">
        <v>31</v>
      </c>
      <c r="P12" s="39" t="s">
        <v>32</v>
      </c>
      <c r="Q12" s="228" t="s">
        <v>3238</v>
      </c>
      <c r="R12" s="200" t="s">
        <v>2935</v>
      </c>
      <c r="S12" s="141" t="s">
        <v>34</v>
      </c>
      <c r="T12" s="241"/>
    </row>
    <row r="13" spans="1:20" ht="58" customHeight="1">
      <c r="A13" s="230" t="s">
        <v>2431</v>
      </c>
      <c r="B13" s="41" t="s">
        <v>5</v>
      </c>
      <c r="C13" s="40" t="s">
        <v>1514</v>
      </c>
      <c r="D13" s="40" t="s">
        <v>36</v>
      </c>
      <c r="E13" s="199" t="s">
        <v>675</v>
      </c>
      <c r="F13" s="199" t="s">
        <v>4024</v>
      </c>
      <c r="G13" s="243" t="s">
        <v>3022</v>
      </c>
      <c r="H13" s="41" t="s">
        <v>1516</v>
      </c>
      <c r="I13" s="246" t="s">
        <v>3029</v>
      </c>
      <c r="J13" s="232" t="s">
        <v>3882</v>
      </c>
      <c r="K13" s="161" t="s">
        <v>4312</v>
      </c>
      <c r="L13" s="240" t="s">
        <v>4418</v>
      </c>
      <c r="M13" s="240" t="s">
        <v>4419</v>
      </c>
      <c r="N13" s="160" t="s">
        <v>4333</v>
      </c>
      <c r="O13" s="139" t="s">
        <v>31</v>
      </c>
      <c r="P13" s="39" t="s">
        <v>35</v>
      </c>
      <c r="Q13" s="228" t="s">
        <v>3238</v>
      </c>
      <c r="R13" s="200" t="s">
        <v>2936</v>
      </c>
      <c r="S13" s="141" t="s">
        <v>34</v>
      </c>
      <c r="T13" s="241"/>
    </row>
    <row r="14" spans="1:20" ht="58" customHeight="1">
      <c r="A14" s="230" t="s">
        <v>2431</v>
      </c>
      <c r="B14" s="41" t="s">
        <v>5</v>
      </c>
      <c r="C14" s="40" t="s">
        <v>1514</v>
      </c>
      <c r="D14" s="40" t="s">
        <v>4216</v>
      </c>
      <c r="E14" s="199" t="s">
        <v>676</v>
      </c>
      <c r="F14" s="199" t="s">
        <v>4025</v>
      </c>
      <c r="G14" s="243" t="s">
        <v>3022</v>
      </c>
      <c r="H14" s="41" t="s">
        <v>1516</v>
      </c>
      <c r="I14" s="246" t="s">
        <v>3029</v>
      </c>
      <c r="J14" s="232" t="s">
        <v>3883</v>
      </c>
      <c r="K14" s="161" t="s">
        <v>4217</v>
      </c>
      <c r="L14" s="240" t="s">
        <v>4420</v>
      </c>
      <c r="M14" s="240" t="s">
        <v>4421</v>
      </c>
      <c r="N14" s="160" t="s">
        <v>4333</v>
      </c>
      <c r="O14" s="139" t="s">
        <v>31</v>
      </c>
      <c r="P14" s="39" t="s">
        <v>4215</v>
      </c>
      <c r="Q14" s="228" t="s">
        <v>3238</v>
      </c>
      <c r="R14" s="200" t="s">
        <v>2936</v>
      </c>
      <c r="S14" s="141" t="s">
        <v>34</v>
      </c>
      <c r="T14" s="241"/>
    </row>
    <row r="15" spans="1:20" ht="58" customHeight="1">
      <c r="A15" s="230" t="s">
        <v>2431</v>
      </c>
      <c r="B15" s="41" t="s">
        <v>5</v>
      </c>
      <c r="C15" s="40" t="s">
        <v>1514</v>
      </c>
      <c r="D15" s="40" t="s">
        <v>4218</v>
      </c>
      <c r="E15" s="199" t="s">
        <v>676</v>
      </c>
      <c r="F15" s="199" t="s">
        <v>4025</v>
      </c>
      <c r="G15" s="243" t="s">
        <v>3022</v>
      </c>
      <c r="H15" s="41" t="s">
        <v>1516</v>
      </c>
      <c r="I15" s="246" t="s">
        <v>3029</v>
      </c>
      <c r="J15" s="232" t="s">
        <v>3883</v>
      </c>
      <c r="K15" s="161" t="s">
        <v>4220</v>
      </c>
      <c r="L15" s="240" t="s">
        <v>4440</v>
      </c>
      <c r="M15" s="240" t="s">
        <v>4441</v>
      </c>
      <c r="N15" s="160" t="s">
        <v>4334</v>
      </c>
      <c r="O15" s="139" t="s">
        <v>31</v>
      </c>
      <c r="P15" s="39" t="s">
        <v>4219</v>
      </c>
      <c r="Q15" s="228" t="s">
        <v>3238</v>
      </c>
      <c r="R15" s="200" t="s">
        <v>2936</v>
      </c>
      <c r="S15" s="141" t="s">
        <v>34</v>
      </c>
      <c r="T15" s="241"/>
    </row>
    <row r="16" spans="1:20" ht="58" customHeight="1">
      <c r="A16" s="230" t="s">
        <v>2431</v>
      </c>
      <c r="B16" s="41" t="s">
        <v>5</v>
      </c>
      <c r="C16" s="40" t="s">
        <v>1514</v>
      </c>
      <c r="D16" s="40" t="s">
        <v>39</v>
      </c>
      <c r="E16" s="199" t="s">
        <v>677</v>
      </c>
      <c r="F16" s="199" t="s">
        <v>4026</v>
      </c>
      <c r="G16" s="243" t="s">
        <v>3022</v>
      </c>
      <c r="H16" s="41" t="s">
        <v>1516</v>
      </c>
      <c r="I16" s="246" t="s">
        <v>3029</v>
      </c>
      <c r="J16" s="232" t="s">
        <v>3884</v>
      </c>
      <c r="K16" s="161" t="s">
        <v>4313</v>
      </c>
      <c r="L16" s="240" t="s">
        <v>4422</v>
      </c>
      <c r="M16" s="240" t="s">
        <v>4423</v>
      </c>
      <c r="N16" s="160" t="s">
        <v>4333</v>
      </c>
      <c r="O16" s="139" t="s">
        <v>31</v>
      </c>
      <c r="P16" s="39" t="s">
        <v>38</v>
      </c>
      <c r="Q16" s="228" t="s">
        <v>3238</v>
      </c>
      <c r="R16" s="200" t="s">
        <v>2936</v>
      </c>
      <c r="S16" s="141" t="s">
        <v>34</v>
      </c>
      <c r="T16" s="241"/>
    </row>
    <row r="17" spans="1:20" ht="58" customHeight="1">
      <c r="A17" s="230" t="s">
        <v>2431</v>
      </c>
      <c r="B17" s="41" t="s">
        <v>5</v>
      </c>
      <c r="C17" s="40" t="s">
        <v>1514</v>
      </c>
      <c r="D17" s="40" t="s">
        <v>4222</v>
      </c>
      <c r="E17" s="199" t="s">
        <v>678</v>
      </c>
      <c r="F17" s="199" t="s">
        <v>4132</v>
      </c>
      <c r="G17" s="243" t="s">
        <v>3022</v>
      </c>
      <c r="H17" s="41" t="s">
        <v>1516</v>
      </c>
      <c r="I17" s="246" t="s">
        <v>3029</v>
      </c>
      <c r="J17" s="232" t="s">
        <v>3885</v>
      </c>
      <c r="K17" s="161" t="s">
        <v>4223</v>
      </c>
      <c r="L17" s="240" t="s">
        <v>4424</v>
      </c>
      <c r="M17" s="240" t="s">
        <v>4425</v>
      </c>
      <c r="N17" s="160" t="s">
        <v>4333</v>
      </c>
      <c r="O17" s="139" t="s">
        <v>31</v>
      </c>
      <c r="P17" s="39" t="s">
        <v>4221</v>
      </c>
      <c r="Q17" s="228" t="s">
        <v>3238</v>
      </c>
      <c r="R17" s="200" t="s">
        <v>2936</v>
      </c>
      <c r="S17" s="141" t="s">
        <v>34</v>
      </c>
      <c r="T17" s="241"/>
    </row>
    <row r="18" spans="1:20" ht="58" customHeight="1">
      <c r="A18" s="230" t="s">
        <v>2431</v>
      </c>
      <c r="B18" s="41" t="s">
        <v>5</v>
      </c>
      <c r="C18" s="40" t="s">
        <v>1514</v>
      </c>
      <c r="D18" s="40" t="s">
        <v>4224</v>
      </c>
      <c r="E18" s="199" t="s">
        <v>678</v>
      </c>
      <c r="F18" s="199" t="s">
        <v>4132</v>
      </c>
      <c r="G18" s="243" t="s">
        <v>3022</v>
      </c>
      <c r="H18" s="41" t="s">
        <v>1516</v>
      </c>
      <c r="I18" s="246" t="s">
        <v>3029</v>
      </c>
      <c r="J18" s="232" t="s">
        <v>3885</v>
      </c>
      <c r="K18" s="161" t="s">
        <v>4226</v>
      </c>
      <c r="L18" s="240" t="s">
        <v>4426</v>
      </c>
      <c r="M18" s="240" t="s">
        <v>4427</v>
      </c>
      <c r="N18" s="160" t="s">
        <v>4333</v>
      </c>
      <c r="O18" s="139" t="s">
        <v>31</v>
      </c>
      <c r="P18" s="39" t="s">
        <v>4225</v>
      </c>
      <c r="Q18" s="228" t="s">
        <v>3238</v>
      </c>
      <c r="R18" s="200" t="s">
        <v>2936</v>
      </c>
      <c r="S18" s="141" t="s">
        <v>34</v>
      </c>
      <c r="T18" s="241"/>
    </row>
    <row r="19" spans="1:20" ht="58" customHeight="1">
      <c r="A19" s="230" t="s">
        <v>2431</v>
      </c>
      <c r="B19" s="41" t="s">
        <v>5</v>
      </c>
      <c r="C19" s="40" t="s">
        <v>1514</v>
      </c>
      <c r="D19" s="40" t="s">
        <v>42</v>
      </c>
      <c r="E19" s="199" t="s">
        <v>679</v>
      </c>
      <c r="F19" s="199" t="s">
        <v>4133</v>
      </c>
      <c r="G19" s="243" t="s">
        <v>3022</v>
      </c>
      <c r="H19" s="41" t="s">
        <v>1516</v>
      </c>
      <c r="I19" s="246" t="s">
        <v>3029</v>
      </c>
      <c r="J19" s="232" t="s">
        <v>3886</v>
      </c>
      <c r="K19" s="161" t="s">
        <v>4318</v>
      </c>
      <c r="L19" s="240" t="s">
        <v>4442</v>
      </c>
      <c r="M19" s="240" t="s">
        <v>4443</v>
      </c>
      <c r="N19" s="160" t="s">
        <v>4334</v>
      </c>
      <c r="O19" s="139" t="s">
        <v>31</v>
      </c>
      <c r="P19" s="39" t="s">
        <v>41</v>
      </c>
      <c r="Q19" s="228" t="s">
        <v>3238</v>
      </c>
      <c r="R19" s="200" t="s">
        <v>2936</v>
      </c>
      <c r="S19" s="141" t="s">
        <v>34</v>
      </c>
      <c r="T19" s="241"/>
    </row>
    <row r="20" spans="1:20" ht="58" customHeight="1">
      <c r="A20" s="230" t="s">
        <v>2431</v>
      </c>
      <c r="B20" s="41" t="s">
        <v>5</v>
      </c>
      <c r="C20" s="40" t="s">
        <v>1517</v>
      </c>
      <c r="D20" s="40" t="s">
        <v>45</v>
      </c>
      <c r="E20" s="199" t="s">
        <v>680</v>
      </c>
      <c r="F20" s="199" t="s">
        <v>4027</v>
      </c>
      <c r="G20" s="243" t="s">
        <v>3022</v>
      </c>
      <c r="H20" s="41" t="s">
        <v>1516</v>
      </c>
      <c r="I20" s="246" t="s">
        <v>3029</v>
      </c>
      <c r="J20" s="232" t="s">
        <v>3887</v>
      </c>
      <c r="K20" s="161" t="s">
        <v>4303</v>
      </c>
      <c r="L20" s="240" t="s">
        <v>4384</v>
      </c>
      <c r="M20" s="240" t="s">
        <v>4385</v>
      </c>
      <c r="N20" s="160" t="s">
        <v>4332</v>
      </c>
      <c r="O20" s="139" t="s">
        <v>43</v>
      </c>
      <c r="P20" s="39" t="s">
        <v>44</v>
      </c>
      <c r="Q20" s="228" t="s">
        <v>3238</v>
      </c>
      <c r="R20" s="200" t="s">
        <v>2936</v>
      </c>
      <c r="S20" s="141" t="s">
        <v>46</v>
      </c>
      <c r="T20" s="241"/>
    </row>
    <row r="21" spans="1:20" ht="58" customHeight="1">
      <c r="A21" s="230" t="s">
        <v>2431</v>
      </c>
      <c r="B21" s="41" t="s">
        <v>5</v>
      </c>
      <c r="C21" s="40" t="s">
        <v>1517</v>
      </c>
      <c r="D21" s="40" t="s">
        <v>48</v>
      </c>
      <c r="E21" s="199" t="s">
        <v>681</v>
      </c>
      <c r="F21" s="199" t="s">
        <v>4028</v>
      </c>
      <c r="G21" s="243" t="s">
        <v>3022</v>
      </c>
      <c r="H21" s="41" t="s">
        <v>1516</v>
      </c>
      <c r="I21" s="246" t="s">
        <v>3029</v>
      </c>
      <c r="J21" s="232" t="s">
        <v>3888</v>
      </c>
      <c r="K21" s="161" t="s">
        <v>4304</v>
      </c>
      <c r="L21" s="240" t="s">
        <v>4386</v>
      </c>
      <c r="M21" s="240" t="s">
        <v>4387</v>
      </c>
      <c r="N21" s="160" t="s">
        <v>4332</v>
      </c>
      <c r="O21" s="139" t="s">
        <v>43</v>
      </c>
      <c r="P21" s="39" t="s">
        <v>47</v>
      </c>
      <c r="Q21" s="228" t="s">
        <v>3238</v>
      </c>
      <c r="R21" s="200" t="s">
        <v>2936</v>
      </c>
      <c r="S21" s="141" t="s">
        <v>46</v>
      </c>
      <c r="T21" s="241"/>
    </row>
    <row r="22" spans="1:20" ht="58" customHeight="1">
      <c r="A22" s="230" t="s">
        <v>2431</v>
      </c>
      <c r="B22" s="41" t="s">
        <v>5</v>
      </c>
      <c r="C22" s="40" t="s">
        <v>1517</v>
      </c>
      <c r="D22" s="40" t="s">
        <v>50</v>
      </c>
      <c r="E22" s="199" t="s">
        <v>682</v>
      </c>
      <c r="F22" s="199" t="s">
        <v>4029</v>
      </c>
      <c r="G22" s="243" t="s">
        <v>3022</v>
      </c>
      <c r="H22" s="41" t="s">
        <v>1516</v>
      </c>
      <c r="I22" s="246" t="s">
        <v>3029</v>
      </c>
      <c r="J22" s="232" t="s">
        <v>3889</v>
      </c>
      <c r="K22" s="161" t="s">
        <v>4305</v>
      </c>
      <c r="L22" s="240" t="s">
        <v>4388</v>
      </c>
      <c r="M22" s="240" t="s">
        <v>4389</v>
      </c>
      <c r="N22" s="160" t="s">
        <v>4332</v>
      </c>
      <c r="O22" s="139" t="s">
        <v>43</v>
      </c>
      <c r="P22" s="39" t="s">
        <v>49</v>
      </c>
      <c r="Q22" s="228" t="s">
        <v>3238</v>
      </c>
      <c r="R22" s="200" t="s">
        <v>2936</v>
      </c>
      <c r="S22" s="141" t="s">
        <v>46</v>
      </c>
      <c r="T22" s="241"/>
    </row>
    <row r="23" spans="1:20" ht="58" customHeight="1">
      <c r="A23" s="230" t="s">
        <v>2431</v>
      </c>
      <c r="B23" s="41" t="s">
        <v>5</v>
      </c>
      <c r="C23" s="40" t="s">
        <v>1517</v>
      </c>
      <c r="D23" s="40" t="s">
        <v>52</v>
      </c>
      <c r="E23" s="199" t="s">
        <v>683</v>
      </c>
      <c r="F23" s="199" t="s">
        <v>4030</v>
      </c>
      <c r="G23" s="243" t="s">
        <v>3022</v>
      </c>
      <c r="H23" s="41" t="s">
        <v>1516</v>
      </c>
      <c r="I23" s="246" t="s">
        <v>3029</v>
      </c>
      <c r="J23" s="232" t="s">
        <v>3890</v>
      </c>
      <c r="K23" s="161" t="s">
        <v>4306</v>
      </c>
      <c r="L23" s="240" t="s">
        <v>4390</v>
      </c>
      <c r="M23" s="240" t="s">
        <v>4391</v>
      </c>
      <c r="N23" s="160" t="s">
        <v>4332</v>
      </c>
      <c r="O23" s="139" t="s">
        <v>43</v>
      </c>
      <c r="P23" s="39" t="s">
        <v>51</v>
      </c>
      <c r="Q23" s="228" t="s">
        <v>3238</v>
      </c>
      <c r="R23" s="200" t="s">
        <v>2936</v>
      </c>
      <c r="S23" s="141" t="s">
        <v>46</v>
      </c>
      <c r="T23" s="241"/>
    </row>
    <row r="24" spans="1:20" ht="58" customHeight="1">
      <c r="A24" s="230" t="s">
        <v>2431</v>
      </c>
      <c r="B24" s="41" t="s">
        <v>5</v>
      </c>
      <c r="C24" s="40" t="s">
        <v>1517</v>
      </c>
      <c r="D24" s="40" t="s">
        <v>54</v>
      </c>
      <c r="E24" s="199" t="s">
        <v>684</v>
      </c>
      <c r="F24" s="199" t="s">
        <v>4029</v>
      </c>
      <c r="G24" s="243" t="s">
        <v>3021</v>
      </c>
      <c r="H24" s="41" t="s">
        <v>1516</v>
      </c>
      <c r="I24" s="246" t="s">
        <v>3029</v>
      </c>
      <c r="J24" s="232" t="s">
        <v>3891</v>
      </c>
      <c r="K24" s="161" t="s">
        <v>4596</v>
      </c>
      <c r="L24" s="240" t="s">
        <v>4597</v>
      </c>
      <c r="M24" s="240"/>
      <c r="N24" s="160" t="s">
        <v>4332</v>
      </c>
      <c r="O24" s="139" t="s">
        <v>43</v>
      </c>
      <c r="P24" s="39" t="s">
        <v>53</v>
      </c>
      <c r="Q24" s="228" t="s">
        <v>3238</v>
      </c>
      <c r="R24" s="200" t="s">
        <v>2978</v>
      </c>
      <c r="S24" s="141" t="s">
        <v>46</v>
      </c>
      <c r="T24" s="241"/>
    </row>
    <row r="25" spans="1:20" ht="58" customHeight="1">
      <c r="A25" s="230" t="s">
        <v>2431</v>
      </c>
      <c r="B25" s="41" t="s">
        <v>5</v>
      </c>
      <c r="C25" s="40" t="s">
        <v>1517</v>
      </c>
      <c r="D25" s="40" t="s">
        <v>56</v>
      </c>
      <c r="E25" s="199" t="s">
        <v>685</v>
      </c>
      <c r="F25" s="199" t="s">
        <v>4031</v>
      </c>
      <c r="G25" s="243" t="s">
        <v>3021</v>
      </c>
      <c r="H25" s="41" t="s">
        <v>1516</v>
      </c>
      <c r="I25" s="246" t="s">
        <v>4554</v>
      </c>
      <c r="J25" s="232" t="s">
        <v>3892</v>
      </c>
      <c r="K25" s="161" t="s">
        <v>4335</v>
      </c>
      <c r="L25" s="240" t="s">
        <v>4452</v>
      </c>
      <c r="M25" s="240" t="s">
        <v>4453</v>
      </c>
      <c r="N25" s="160" t="s">
        <v>4332</v>
      </c>
      <c r="O25" s="139" t="s">
        <v>43</v>
      </c>
      <c r="P25" s="39" t="s">
        <v>55</v>
      </c>
      <c r="Q25" s="228" t="s">
        <v>3238</v>
      </c>
      <c r="R25" s="200" t="s">
        <v>2978</v>
      </c>
      <c r="S25" s="141" t="s">
        <v>46</v>
      </c>
      <c r="T25" s="241"/>
    </row>
    <row r="26" spans="1:20" ht="58" customHeight="1">
      <c r="A26" s="230" t="s">
        <v>2431</v>
      </c>
      <c r="B26" s="41" t="s">
        <v>5</v>
      </c>
      <c r="C26" s="40" t="s">
        <v>1517</v>
      </c>
      <c r="D26" s="40" t="s">
        <v>58</v>
      </c>
      <c r="E26" s="199" t="s">
        <v>686</v>
      </c>
      <c r="F26" s="199" t="s">
        <v>4015</v>
      </c>
      <c r="G26" s="243" t="s">
        <v>4614</v>
      </c>
      <c r="H26" s="41" t="s">
        <v>2</v>
      </c>
      <c r="I26" s="246" t="s">
        <v>3027</v>
      </c>
      <c r="J26" s="232" t="s">
        <v>3236</v>
      </c>
      <c r="K26" s="161"/>
      <c r="L26" s="240"/>
      <c r="M26" s="240"/>
      <c r="N26" s="160"/>
      <c r="O26" s="139" t="s">
        <v>43</v>
      </c>
      <c r="P26" s="39" t="s">
        <v>57</v>
      </c>
      <c r="Q26" s="228" t="s">
        <v>3238</v>
      </c>
      <c r="R26" s="200" t="s">
        <v>2938</v>
      </c>
      <c r="S26" s="141" t="s">
        <v>46</v>
      </c>
      <c r="T26" s="241"/>
    </row>
    <row r="27" spans="1:20" ht="58" customHeight="1">
      <c r="A27" s="230" t="s">
        <v>2431</v>
      </c>
      <c r="B27" s="41" t="s">
        <v>5</v>
      </c>
      <c r="C27" s="40" t="s">
        <v>1517</v>
      </c>
      <c r="D27" s="40" t="s">
        <v>62</v>
      </c>
      <c r="E27" s="199" t="s">
        <v>3821</v>
      </c>
      <c r="F27" s="199" t="s">
        <v>3345</v>
      </c>
      <c r="G27" s="243" t="s">
        <v>3346</v>
      </c>
      <c r="H27" s="41" t="s">
        <v>1516</v>
      </c>
      <c r="I27" s="246" t="s">
        <v>3029</v>
      </c>
      <c r="J27" s="232" t="s">
        <v>4141</v>
      </c>
      <c r="K27" s="161" t="s">
        <v>4612</v>
      </c>
      <c r="L27" s="240" t="s">
        <v>4613</v>
      </c>
      <c r="M27" s="240"/>
      <c r="N27" s="160" t="s">
        <v>4332</v>
      </c>
      <c r="O27" s="139" t="s">
        <v>60</v>
      </c>
      <c r="P27" s="39" t="s">
        <v>61</v>
      </c>
      <c r="Q27" s="228" t="s">
        <v>3238</v>
      </c>
      <c r="R27" s="200" t="s">
        <v>2939</v>
      </c>
      <c r="S27" s="141" t="s">
        <v>63</v>
      </c>
      <c r="T27" s="241"/>
    </row>
    <row r="28" spans="1:20" ht="58" customHeight="1">
      <c r="A28" s="230" t="s">
        <v>2431</v>
      </c>
      <c r="B28" s="41" t="s">
        <v>5</v>
      </c>
      <c r="C28" s="40" t="s">
        <v>1517</v>
      </c>
      <c r="D28" s="40" t="s">
        <v>4198</v>
      </c>
      <c r="E28" s="199" t="s">
        <v>3823</v>
      </c>
      <c r="F28" s="199" t="s">
        <v>4032</v>
      </c>
      <c r="G28" s="243" t="s">
        <v>3022</v>
      </c>
      <c r="H28" s="41" t="s">
        <v>1516</v>
      </c>
      <c r="I28" s="246" t="s">
        <v>4167</v>
      </c>
      <c r="J28" s="232" t="s">
        <v>3893</v>
      </c>
      <c r="K28" s="161" t="s">
        <v>4199</v>
      </c>
      <c r="L28" s="240" t="s">
        <v>4398</v>
      </c>
      <c r="M28" s="240" t="s">
        <v>4399</v>
      </c>
      <c r="N28" s="160" t="s">
        <v>4333</v>
      </c>
      <c r="O28" s="139" t="s">
        <v>60</v>
      </c>
      <c r="P28" s="39" t="s">
        <v>4197</v>
      </c>
      <c r="Q28" s="228" t="s">
        <v>3238</v>
      </c>
      <c r="R28" s="200" t="s">
        <v>2940</v>
      </c>
      <c r="S28" s="141" t="s">
        <v>63</v>
      </c>
      <c r="T28" s="241"/>
    </row>
    <row r="29" spans="1:20" ht="58" customHeight="1">
      <c r="A29" s="230" t="s">
        <v>2431</v>
      </c>
      <c r="B29" s="41" t="s">
        <v>5</v>
      </c>
      <c r="C29" s="40" t="s">
        <v>1517</v>
      </c>
      <c r="D29" s="40" t="s">
        <v>4200</v>
      </c>
      <c r="E29" s="199" t="s">
        <v>3823</v>
      </c>
      <c r="F29" s="199" t="s">
        <v>4032</v>
      </c>
      <c r="G29" s="243" t="s">
        <v>3022</v>
      </c>
      <c r="H29" s="41" t="s">
        <v>1516</v>
      </c>
      <c r="I29" s="246" t="s">
        <v>4167</v>
      </c>
      <c r="J29" s="232" t="s">
        <v>3893</v>
      </c>
      <c r="K29" s="161" t="s">
        <v>4202</v>
      </c>
      <c r="L29" s="240" t="s">
        <v>4400</v>
      </c>
      <c r="M29" s="240" t="s">
        <v>4401</v>
      </c>
      <c r="N29" s="160" t="s">
        <v>4333</v>
      </c>
      <c r="O29" s="139" t="s">
        <v>60</v>
      </c>
      <c r="P29" s="39" t="s">
        <v>4201</v>
      </c>
      <c r="Q29" s="228" t="s">
        <v>3238</v>
      </c>
      <c r="R29" s="200" t="s">
        <v>2940</v>
      </c>
      <c r="S29" s="141" t="s">
        <v>63</v>
      </c>
      <c r="T29" s="241"/>
    </row>
    <row r="30" spans="1:20" ht="58" customHeight="1">
      <c r="A30" s="230" t="s">
        <v>2431</v>
      </c>
      <c r="B30" s="41" t="s">
        <v>5</v>
      </c>
      <c r="C30" s="40" t="s">
        <v>1517</v>
      </c>
      <c r="D30" s="40" t="s">
        <v>69</v>
      </c>
      <c r="E30" s="199" t="s">
        <v>689</v>
      </c>
      <c r="F30" s="199" t="s">
        <v>4033</v>
      </c>
      <c r="G30" s="243" t="s">
        <v>3019</v>
      </c>
      <c r="H30" s="41" t="s">
        <v>2</v>
      </c>
      <c r="I30" s="246" t="s">
        <v>3027</v>
      </c>
      <c r="J30" s="232" t="s">
        <v>3236</v>
      </c>
      <c r="K30" s="161"/>
      <c r="L30" s="240"/>
      <c r="M30" s="240"/>
      <c r="N30" s="160"/>
      <c r="O30" s="139" t="s">
        <v>67</v>
      </c>
      <c r="P30" s="39" t="s">
        <v>68</v>
      </c>
      <c r="Q30" s="228" t="s">
        <v>3238</v>
      </c>
      <c r="R30" s="200" t="s">
        <v>2941</v>
      </c>
      <c r="S30" s="141" t="s">
        <v>70</v>
      </c>
      <c r="T30" s="241"/>
    </row>
    <row r="31" spans="1:20" ht="58" customHeight="1">
      <c r="A31" s="230" t="s">
        <v>2431</v>
      </c>
      <c r="B31" s="41" t="s">
        <v>5</v>
      </c>
      <c r="C31" s="40" t="s">
        <v>1517</v>
      </c>
      <c r="D31" s="40" t="s">
        <v>72</v>
      </c>
      <c r="E31" s="199" t="s">
        <v>690</v>
      </c>
      <c r="F31" s="199" t="s">
        <v>4034</v>
      </c>
      <c r="G31" s="243" t="s">
        <v>3022</v>
      </c>
      <c r="H31" s="41" t="s">
        <v>1516</v>
      </c>
      <c r="I31" s="246" t="s">
        <v>3029</v>
      </c>
      <c r="J31" s="232" t="s">
        <v>3894</v>
      </c>
      <c r="K31" s="161" t="s">
        <v>4308</v>
      </c>
      <c r="L31" s="240" t="s">
        <v>4402</v>
      </c>
      <c r="M31" s="240" t="s">
        <v>4403</v>
      </c>
      <c r="N31" s="160" t="s">
        <v>4333</v>
      </c>
      <c r="O31" s="139" t="s">
        <v>67</v>
      </c>
      <c r="P31" s="39" t="s">
        <v>71</v>
      </c>
      <c r="Q31" s="228" t="s">
        <v>3238</v>
      </c>
      <c r="R31" s="200" t="s">
        <v>2936</v>
      </c>
      <c r="S31" s="141" t="s">
        <v>70</v>
      </c>
      <c r="T31" s="241"/>
    </row>
    <row r="32" spans="1:20" ht="58" customHeight="1">
      <c r="A32" s="230" t="s">
        <v>2431</v>
      </c>
      <c r="B32" s="41" t="s">
        <v>5</v>
      </c>
      <c r="C32" s="40" t="s">
        <v>1517</v>
      </c>
      <c r="D32" s="40" t="s">
        <v>66</v>
      </c>
      <c r="E32" s="199" t="s">
        <v>688</v>
      </c>
      <c r="F32" s="199" t="s">
        <v>4035</v>
      </c>
      <c r="G32" s="243" t="s">
        <v>3019</v>
      </c>
      <c r="H32" s="41" t="s">
        <v>2</v>
      </c>
      <c r="I32" s="246" t="s">
        <v>3027</v>
      </c>
      <c r="J32" s="232" t="s">
        <v>3236</v>
      </c>
      <c r="K32" s="161"/>
      <c r="L32" s="240"/>
      <c r="M32" s="240"/>
      <c r="N32" s="160"/>
      <c r="O32" s="139" t="s">
        <v>60</v>
      </c>
      <c r="P32" s="39" t="s">
        <v>65</v>
      </c>
      <c r="Q32" s="228" t="s">
        <v>3238</v>
      </c>
      <c r="R32" s="200" t="s">
        <v>2941</v>
      </c>
      <c r="S32" s="141" t="s">
        <v>63</v>
      </c>
      <c r="T32" s="241"/>
    </row>
    <row r="33" spans="1:20" ht="58" customHeight="1">
      <c r="A33" s="230" t="s">
        <v>2431</v>
      </c>
      <c r="B33" s="41" t="s">
        <v>5</v>
      </c>
      <c r="C33" s="40" t="s">
        <v>1517</v>
      </c>
      <c r="D33" s="40" t="s">
        <v>4192</v>
      </c>
      <c r="E33" s="199" t="s">
        <v>691</v>
      </c>
      <c r="F33" s="199" t="s">
        <v>4036</v>
      </c>
      <c r="G33" s="243" t="s">
        <v>3022</v>
      </c>
      <c r="H33" s="41" t="s">
        <v>1516</v>
      </c>
      <c r="I33" s="246" t="s">
        <v>4167</v>
      </c>
      <c r="J33" s="232" t="s">
        <v>3895</v>
      </c>
      <c r="K33" s="161" t="s">
        <v>4193</v>
      </c>
      <c r="L33" s="240" t="s">
        <v>4392</v>
      </c>
      <c r="M33" s="240" t="s">
        <v>4393</v>
      </c>
      <c r="N33" s="160" t="s">
        <v>4332</v>
      </c>
      <c r="O33" s="139" t="s">
        <v>67</v>
      </c>
      <c r="P33" s="39" t="s">
        <v>4191</v>
      </c>
      <c r="Q33" s="228" t="s">
        <v>3238</v>
      </c>
      <c r="R33" s="200" t="s">
        <v>2936</v>
      </c>
      <c r="S33" s="141" t="s">
        <v>70</v>
      </c>
      <c r="T33" s="241"/>
    </row>
    <row r="34" spans="1:20" ht="58" customHeight="1">
      <c r="A34" s="230" t="s">
        <v>2431</v>
      </c>
      <c r="B34" s="41" t="s">
        <v>5</v>
      </c>
      <c r="C34" s="40" t="s">
        <v>1517</v>
      </c>
      <c r="D34" s="40" t="s">
        <v>4194</v>
      </c>
      <c r="E34" s="199" t="s">
        <v>691</v>
      </c>
      <c r="F34" s="199" t="s">
        <v>4036</v>
      </c>
      <c r="G34" s="243" t="s">
        <v>3022</v>
      </c>
      <c r="H34" s="41" t="s">
        <v>1516</v>
      </c>
      <c r="I34" s="246" t="s">
        <v>4167</v>
      </c>
      <c r="J34" s="232" t="s">
        <v>3895</v>
      </c>
      <c r="K34" s="161" t="s">
        <v>4196</v>
      </c>
      <c r="L34" s="240" t="s">
        <v>4394</v>
      </c>
      <c r="M34" s="240" t="s">
        <v>4395</v>
      </c>
      <c r="N34" s="160" t="s">
        <v>4332</v>
      </c>
      <c r="O34" s="139" t="s">
        <v>67</v>
      </c>
      <c r="P34" s="39" t="s">
        <v>4195</v>
      </c>
      <c r="Q34" s="228" t="s">
        <v>3238</v>
      </c>
      <c r="R34" s="200" t="s">
        <v>2936</v>
      </c>
      <c r="S34" s="141" t="s">
        <v>70</v>
      </c>
      <c r="T34" s="241"/>
    </row>
    <row r="35" spans="1:20" ht="58" customHeight="1">
      <c r="A35" s="230" t="s">
        <v>2431</v>
      </c>
      <c r="B35" s="41" t="s">
        <v>5</v>
      </c>
      <c r="C35" s="40" t="s">
        <v>1517</v>
      </c>
      <c r="D35" s="40" t="s">
        <v>4204</v>
      </c>
      <c r="E35" s="199" t="s">
        <v>687</v>
      </c>
      <c r="F35" s="199" t="s">
        <v>4037</v>
      </c>
      <c r="G35" s="243" t="s">
        <v>3022</v>
      </c>
      <c r="H35" s="41" t="s">
        <v>1516</v>
      </c>
      <c r="I35" s="246" t="s">
        <v>3029</v>
      </c>
      <c r="J35" s="232" t="s">
        <v>3896</v>
      </c>
      <c r="K35" s="161" t="s">
        <v>4205</v>
      </c>
      <c r="L35" s="240" t="s">
        <v>4404</v>
      </c>
      <c r="M35" s="240" t="s">
        <v>4405</v>
      </c>
      <c r="N35" s="160" t="s">
        <v>4333</v>
      </c>
      <c r="O35" s="139" t="s">
        <v>43</v>
      </c>
      <c r="P35" s="39" t="s">
        <v>4203</v>
      </c>
      <c r="Q35" s="228" t="s">
        <v>3238</v>
      </c>
      <c r="R35" s="200" t="s">
        <v>2936</v>
      </c>
      <c r="S35" s="141" t="s">
        <v>46</v>
      </c>
      <c r="T35" s="241"/>
    </row>
    <row r="36" spans="1:20" ht="58" customHeight="1">
      <c r="A36" s="230" t="s">
        <v>2431</v>
      </c>
      <c r="B36" s="41" t="s">
        <v>5</v>
      </c>
      <c r="C36" s="40" t="s">
        <v>1517</v>
      </c>
      <c r="D36" s="40" t="s">
        <v>4206</v>
      </c>
      <c r="E36" s="199" t="s">
        <v>687</v>
      </c>
      <c r="F36" s="199" t="s">
        <v>4037</v>
      </c>
      <c r="G36" s="243" t="s">
        <v>3022</v>
      </c>
      <c r="H36" s="41" t="s">
        <v>1516</v>
      </c>
      <c r="I36" s="246" t="s">
        <v>3029</v>
      </c>
      <c r="J36" s="232" t="s">
        <v>3896</v>
      </c>
      <c r="K36" s="161" t="s">
        <v>4208</v>
      </c>
      <c r="L36" s="240" t="s">
        <v>4406</v>
      </c>
      <c r="M36" s="240" t="s">
        <v>4407</v>
      </c>
      <c r="N36" s="160" t="s">
        <v>4333</v>
      </c>
      <c r="O36" s="139" t="s">
        <v>43</v>
      </c>
      <c r="P36" s="39" t="s">
        <v>4207</v>
      </c>
      <c r="Q36" s="228" t="s">
        <v>3238</v>
      </c>
      <c r="R36" s="200" t="s">
        <v>2936</v>
      </c>
      <c r="S36" s="141" t="s">
        <v>46</v>
      </c>
      <c r="T36" s="241"/>
    </row>
    <row r="37" spans="1:20" ht="58" customHeight="1">
      <c r="A37" s="230" t="s">
        <v>2431</v>
      </c>
      <c r="B37" s="41" t="s">
        <v>5</v>
      </c>
      <c r="C37" s="40" t="s">
        <v>1518</v>
      </c>
      <c r="D37" s="40" t="s">
        <v>76</v>
      </c>
      <c r="E37" s="199" t="s">
        <v>692</v>
      </c>
      <c r="F37" s="199" t="s">
        <v>4038</v>
      </c>
      <c r="G37" s="243" t="s">
        <v>3022</v>
      </c>
      <c r="H37" s="41" t="s">
        <v>1516</v>
      </c>
      <c r="I37" s="246" t="s">
        <v>3029</v>
      </c>
      <c r="J37" s="232" t="s">
        <v>3897</v>
      </c>
      <c r="K37" s="161" t="s">
        <v>4314</v>
      </c>
      <c r="L37" s="240" t="s">
        <v>4428</v>
      </c>
      <c r="M37" s="240" t="s">
        <v>4429</v>
      </c>
      <c r="N37" s="160" t="s">
        <v>4333</v>
      </c>
      <c r="O37" s="139" t="s">
        <v>74</v>
      </c>
      <c r="P37" s="39" t="s">
        <v>75</v>
      </c>
      <c r="Q37" s="228" t="s">
        <v>3238</v>
      </c>
      <c r="R37" s="200" t="s">
        <v>2936</v>
      </c>
      <c r="S37" s="141" t="s">
        <v>77</v>
      </c>
      <c r="T37" s="241"/>
    </row>
    <row r="38" spans="1:20" ht="58" customHeight="1">
      <c r="A38" s="230" t="s">
        <v>2431</v>
      </c>
      <c r="B38" s="41" t="s">
        <v>5</v>
      </c>
      <c r="C38" s="40" t="s">
        <v>1518</v>
      </c>
      <c r="D38" s="40" t="s">
        <v>79</v>
      </c>
      <c r="E38" s="199" t="s">
        <v>693</v>
      </c>
      <c r="F38" s="199" t="s">
        <v>4039</v>
      </c>
      <c r="G38" s="243" t="s">
        <v>3022</v>
      </c>
      <c r="H38" s="41" t="s">
        <v>1516</v>
      </c>
      <c r="I38" s="246" t="s">
        <v>3029</v>
      </c>
      <c r="J38" s="232" t="s">
        <v>3898</v>
      </c>
      <c r="K38" s="161" t="s">
        <v>4315</v>
      </c>
      <c r="L38" s="240" t="s">
        <v>4430</v>
      </c>
      <c r="M38" s="240" t="s">
        <v>4431</v>
      </c>
      <c r="N38" s="160" t="s">
        <v>4333</v>
      </c>
      <c r="O38" s="139" t="s">
        <v>74</v>
      </c>
      <c r="P38" s="39" t="s">
        <v>78</v>
      </c>
      <c r="Q38" s="228" t="s">
        <v>3238</v>
      </c>
      <c r="R38" s="200" t="s">
        <v>2936</v>
      </c>
      <c r="S38" s="141" t="s">
        <v>77</v>
      </c>
      <c r="T38" s="241"/>
    </row>
    <row r="39" spans="1:20" ht="58" customHeight="1">
      <c r="A39" s="230" t="s">
        <v>2431</v>
      </c>
      <c r="B39" s="41" t="s">
        <v>5</v>
      </c>
      <c r="C39" s="40" t="s">
        <v>1518</v>
      </c>
      <c r="D39" s="40" t="s">
        <v>81</v>
      </c>
      <c r="E39" s="199" t="s">
        <v>694</v>
      </c>
      <c r="F39" s="199" t="s">
        <v>4040</v>
      </c>
      <c r="G39" s="243" t="s">
        <v>3022</v>
      </c>
      <c r="H39" s="41" t="s">
        <v>1516</v>
      </c>
      <c r="I39" s="246" t="s">
        <v>3029</v>
      </c>
      <c r="J39" s="232" t="s">
        <v>3899</v>
      </c>
      <c r="K39" s="161" t="s">
        <v>4316</v>
      </c>
      <c r="L39" s="240" t="s">
        <v>4432</v>
      </c>
      <c r="M39" s="240" t="s">
        <v>4433</v>
      </c>
      <c r="N39" s="160" t="s">
        <v>4333</v>
      </c>
      <c r="O39" s="139" t="s">
        <v>74</v>
      </c>
      <c r="P39" s="39" t="s">
        <v>80</v>
      </c>
      <c r="Q39" s="228" t="s">
        <v>3238</v>
      </c>
      <c r="R39" s="200" t="s">
        <v>2936</v>
      </c>
      <c r="S39" s="141" t="s">
        <v>77</v>
      </c>
      <c r="T39" s="241"/>
    </row>
    <row r="40" spans="1:20" ht="58" customHeight="1">
      <c r="A40" s="230" t="s">
        <v>2431</v>
      </c>
      <c r="B40" s="41" t="s">
        <v>5</v>
      </c>
      <c r="C40" s="40" t="s">
        <v>1518</v>
      </c>
      <c r="D40" s="40" t="s">
        <v>83</v>
      </c>
      <c r="E40" s="199" t="s">
        <v>695</v>
      </c>
      <c r="F40" s="199" t="s">
        <v>4041</v>
      </c>
      <c r="G40" s="243" t="s">
        <v>3022</v>
      </c>
      <c r="H40" s="41" t="s">
        <v>1516</v>
      </c>
      <c r="I40" s="246" t="s">
        <v>3029</v>
      </c>
      <c r="J40" s="232" t="s">
        <v>3900</v>
      </c>
      <c r="K40" s="161" t="s">
        <v>4317</v>
      </c>
      <c r="L40" s="240" t="s">
        <v>4434</v>
      </c>
      <c r="M40" s="240" t="s">
        <v>4435</v>
      </c>
      <c r="N40" s="160" t="s">
        <v>4333</v>
      </c>
      <c r="O40" s="139" t="s">
        <v>74</v>
      </c>
      <c r="P40" s="39" t="s">
        <v>82</v>
      </c>
      <c r="Q40" s="228" t="s">
        <v>3238</v>
      </c>
      <c r="R40" s="200" t="s">
        <v>2936</v>
      </c>
      <c r="S40" s="141" t="s">
        <v>77</v>
      </c>
      <c r="T40" s="241"/>
    </row>
    <row r="41" spans="1:20" ht="58" customHeight="1">
      <c r="A41" s="230" t="s">
        <v>2431</v>
      </c>
      <c r="B41" s="41" t="s">
        <v>5</v>
      </c>
      <c r="C41" s="40" t="s">
        <v>1518</v>
      </c>
      <c r="D41" s="40" t="s">
        <v>4228</v>
      </c>
      <c r="E41" s="199" t="s">
        <v>696</v>
      </c>
      <c r="F41" s="199" t="s">
        <v>4042</v>
      </c>
      <c r="G41" s="243" t="s">
        <v>3022</v>
      </c>
      <c r="H41" s="41" t="s">
        <v>1516</v>
      </c>
      <c r="I41" s="246" t="s">
        <v>3029</v>
      </c>
      <c r="J41" s="232" t="s">
        <v>3901</v>
      </c>
      <c r="K41" s="161" t="s">
        <v>4229</v>
      </c>
      <c r="L41" s="240" t="s">
        <v>4436</v>
      </c>
      <c r="M41" s="240" t="s">
        <v>4437</v>
      </c>
      <c r="N41" s="160" t="s">
        <v>4333</v>
      </c>
      <c r="O41" s="139" t="s">
        <v>74</v>
      </c>
      <c r="P41" s="39" t="s">
        <v>4227</v>
      </c>
      <c r="Q41" s="228" t="s">
        <v>3238</v>
      </c>
      <c r="R41" s="200" t="s">
        <v>2936</v>
      </c>
      <c r="S41" s="141" t="s">
        <v>77</v>
      </c>
      <c r="T41" s="241"/>
    </row>
    <row r="42" spans="1:20" ht="58" customHeight="1">
      <c r="A42" s="230" t="s">
        <v>2431</v>
      </c>
      <c r="B42" s="41" t="s">
        <v>5</v>
      </c>
      <c r="C42" s="40" t="s">
        <v>1518</v>
      </c>
      <c r="D42" s="40" t="s">
        <v>4230</v>
      </c>
      <c r="E42" s="199" t="s">
        <v>696</v>
      </c>
      <c r="F42" s="199" t="s">
        <v>4042</v>
      </c>
      <c r="G42" s="243" t="s">
        <v>3022</v>
      </c>
      <c r="H42" s="41" t="s">
        <v>1516</v>
      </c>
      <c r="I42" s="246" t="s">
        <v>3029</v>
      </c>
      <c r="J42" s="232" t="s">
        <v>3901</v>
      </c>
      <c r="K42" s="161" t="s">
        <v>4232</v>
      </c>
      <c r="L42" s="240" t="s">
        <v>4444</v>
      </c>
      <c r="M42" s="240" t="s">
        <v>4445</v>
      </c>
      <c r="N42" s="160" t="s">
        <v>4334</v>
      </c>
      <c r="O42" s="139" t="s">
        <v>74</v>
      </c>
      <c r="P42" s="39" t="s">
        <v>4231</v>
      </c>
      <c r="Q42" s="228" t="s">
        <v>3238</v>
      </c>
      <c r="R42" s="200" t="s">
        <v>2936</v>
      </c>
      <c r="S42" s="141" t="s">
        <v>77</v>
      </c>
      <c r="T42" s="241"/>
    </row>
    <row r="43" spans="1:20" ht="58" customHeight="1">
      <c r="A43" s="230" t="s">
        <v>2431</v>
      </c>
      <c r="B43" s="41" t="s">
        <v>5</v>
      </c>
      <c r="C43" s="40" t="s">
        <v>1518</v>
      </c>
      <c r="D43" s="40" t="s">
        <v>87</v>
      </c>
      <c r="E43" s="199" t="s">
        <v>697</v>
      </c>
      <c r="F43" s="199" t="s">
        <v>4043</v>
      </c>
      <c r="G43" s="243" t="s">
        <v>3019</v>
      </c>
      <c r="H43" s="41" t="s">
        <v>2</v>
      </c>
      <c r="I43" s="246" t="s">
        <v>3027</v>
      </c>
      <c r="J43" s="232" t="s">
        <v>3236</v>
      </c>
      <c r="K43" s="161"/>
      <c r="L43" s="240"/>
      <c r="M43" s="240"/>
      <c r="N43" s="160"/>
      <c r="O43" s="139" t="s">
        <v>85</v>
      </c>
      <c r="P43" s="39" t="s">
        <v>86</v>
      </c>
      <c r="Q43" s="228" t="s">
        <v>3238</v>
      </c>
      <c r="R43" s="200" t="s">
        <v>2938</v>
      </c>
      <c r="S43" s="141" t="s">
        <v>88</v>
      </c>
      <c r="T43" s="241"/>
    </row>
    <row r="44" spans="1:20" ht="58" customHeight="1">
      <c r="A44" s="230" t="s">
        <v>2431</v>
      </c>
      <c r="B44" s="41" t="s">
        <v>5</v>
      </c>
      <c r="C44" s="40" t="s">
        <v>1518</v>
      </c>
      <c r="D44" s="40" t="s">
        <v>90</v>
      </c>
      <c r="E44" s="199" t="s">
        <v>698</v>
      </c>
      <c r="F44" s="199" t="s">
        <v>4044</v>
      </c>
      <c r="G44" s="243" t="s">
        <v>3019</v>
      </c>
      <c r="H44" s="41" t="s">
        <v>2</v>
      </c>
      <c r="I44" s="246" t="s">
        <v>3027</v>
      </c>
      <c r="J44" s="232" t="s">
        <v>3236</v>
      </c>
      <c r="K44" s="161"/>
      <c r="L44" s="240"/>
      <c r="M44" s="240"/>
      <c r="N44" s="160"/>
      <c r="O44" s="139" t="s">
        <v>85</v>
      </c>
      <c r="P44" s="39" t="s">
        <v>89</v>
      </c>
      <c r="Q44" s="228" t="s">
        <v>3238</v>
      </c>
      <c r="R44" s="200" t="s">
        <v>2938</v>
      </c>
      <c r="S44" s="141" t="s">
        <v>88</v>
      </c>
      <c r="T44" s="241"/>
    </row>
    <row r="45" spans="1:20" ht="58" customHeight="1">
      <c r="A45" s="230" t="s">
        <v>2431</v>
      </c>
      <c r="B45" s="41" t="s">
        <v>5</v>
      </c>
      <c r="C45" s="40" t="s">
        <v>1518</v>
      </c>
      <c r="D45" s="40" t="s">
        <v>4234</v>
      </c>
      <c r="E45" s="199" t="s">
        <v>699</v>
      </c>
      <c r="F45" s="199" t="s">
        <v>4045</v>
      </c>
      <c r="G45" s="243" t="s">
        <v>3022</v>
      </c>
      <c r="H45" s="41" t="s">
        <v>1516</v>
      </c>
      <c r="I45" s="246" t="s">
        <v>3029</v>
      </c>
      <c r="J45" s="232" t="s">
        <v>3902</v>
      </c>
      <c r="K45" s="161" t="s">
        <v>4235</v>
      </c>
      <c r="L45" s="240" t="s">
        <v>4438</v>
      </c>
      <c r="M45" s="240" t="s">
        <v>4439</v>
      </c>
      <c r="N45" s="160" t="s">
        <v>4333</v>
      </c>
      <c r="O45" s="139" t="s">
        <v>85</v>
      </c>
      <c r="P45" s="39" t="s">
        <v>4233</v>
      </c>
      <c r="Q45" s="228" t="s">
        <v>3238</v>
      </c>
      <c r="R45" s="200" t="s">
        <v>2936</v>
      </c>
      <c r="S45" s="141" t="s">
        <v>88</v>
      </c>
      <c r="T45" s="241"/>
    </row>
    <row r="46" spans="1:20" ht="58" customHeight="1">
      <c r="A46" s="230" t="s">
        <v>2431</v>
      </c>
      <c r="B46" s="41" t="s">
        <v>5</v>
      </c>
      <c r="C46" s="40" t="s">
        <v>1518</v>
      </c>
      <c r="D46" s="40" t="s">
        <v>4236</v>
      </c>
      <c r="E46" s="199" t="s">
        <v>699</v>
      </c>
      <c r="F46" s="199" t="s">
        <v>4045</v>
      </c>
      <c r="G46" s="243" t="s">
        <v>3022</v>
      </c>
      <c r="H46" s="41" t="s">
        <v>1516</v>
      </c>
      <c r="I46" s="246" t="s">
        <v>3029</v>
      </c>
      <c r="J46" s="232" t="s">
        <v>3902</v>
      </c>
      <c r="K46" s="161" t="s">
        <v>4238</v>
      </c>
      <c r="L46" s="240" t="s">
        <v>4446</v>
      </c>
      <c r="M46" s="240" t="s">
        <v>4447</v>
      </c>
      <c r="N46" s="160" t="s">
        <v>4334</v>
      </c>
      <c r="O46" s="139" t="s">
        <v>85</v>
      </c>
      <c r="P46" s="39" t="s">
        <v>4237</v>
      </c>
      <c r="Q46" s="228" t="s">
        <v>3238</v>
      </c>
      <c r="R46" s="200" t="s">
        <v>2936</v>
      </c>
      <c r="S46" s="141" t="s">
        <v>88</v>
      </c>
      <c r="T46" s="241"/>
    </row>
    <row r="47" spans="1:20" ht="58" customHeight="1">
      <c r="A47" s="230" t="s">
        <v>2431</v>
      </c>
      <c r="B47" s="41" t="s">
        <v>5</v>
      </c>
      <c r="C47" s="40" t="s">
        <v>1518</v>
      </c>
      <c r="D47" s="40" t="s">
        <v>93</v>
      </c>
      <c r="E47" s="199" t="s">
        <v>700</v>
      </c>
      <c r="F47" s="199" t="s">
        <v>4046</v>
      </c>
      <c r="G47" s="243" t="s">
        <v>3019</v>
      </c>
      <c r="H47" s="41" t="s">
        <v>2</v>
      </c>
      <c r="I47" s="246" t="s">
        <v>3027</v>
      </c>
      <c r="J47" s="232" t="s">
        <v>3236</v>
      </c>
      <c r="K47" s="161"/>
      <c r="L47" s="240"/>
      <c r="M47" s="240"/>
      <c r="N47" s="160"/>
      <c r="O47" s="139" t="s">
        <v>85</v>
      </c>
      <c r="P47" s="39" t="s">
        <v>92</v>
      </c>
      <c r="Q47" s="228" t="s">
        <v>3238</v>
      </c>
      <c r="R47" s="200" t="s">
        <v>2938</v>
      </c>
      <c r="S47" s="141" t="s">
        <v>88</v>
      </c>
      <c r="T47" s="241"/>
    </row>
    <row r="48" spans="1:20" ht="58" customHeight="1">
      <c r="A48" s="230" t="s">
        <v>2431</v>
      </c>
      <c r="B48" s="41" t="s">
        <v>5</v>
      </c>
      <c r="C48" s="40" t="s">
        <v>1519</v>
      </c>
      <c r="D48" s="40" t="s">
        <v>96</v>
      </c>
      <c r="E48" s="199" t="s">
        <v>701</v>
      </c>
      <c r="F48" s="199" t="s">
        <v>3280</v>
      </c>
      <c r="G48" s="243" t="s">
        <v>3281</v>
      </c>
      <c r="H48" s="41" t="s">
        <v>2</v>
      </c>
      <c r="I48" s="246" t="s">
        <v>3027</v>
      </c>
      <c r="J48" s="232" t="s">
        <v>3236</v>
      </c>
      <c r="K48" s="161"/>
      <c r="L48" s="240"/>
      <c r="M48" s="240"/>
      <c r="N48" s="160"/>
      <c r="O48" s="139" t="s">
        <v>94</v>
      </c>
      <c r="P48" s="39" t="s">
        <v>95</v>
      </c>
      <c r="Q48" s="228" t="s">
        <v>3238</v>
      </c>
      <c r="R48" s="200" t="s">
        <v>2942</v>
      </c>
      <c r="S48" s="141" t="s">
        <v>97</v>
      </c>
      <c r="T48" s="241"/>
    </row>
    <row r="49" spans="1:20" ht="58" customHeight="1">
      <c r="A49" s="230" t="s">
        <v>2431</v>
      </c>
      <c r="B49" s="41" t="s">
        <v>5</v>
      </c>
      <c r="C49" s="40" t="s">
        <v>1519</v>
      </c>
      <c r="D49" s="40" t="s">
        <v>99</v>
      </c>
      <c r="E49" s="199" t="s">
        <v>702</v>
      </c>
      <c r="F49" s="199" t="s">
        <v>4047</v>
      </c>
      <c r="G49" s="243" t="s">
        <v>3022</v>
      </c>
      <c r="H49" s="41" t="s">
        <v>1516</v>
      </c>
      <c r="I49" s="246" t="s">
        <v>4167</v>
      </c>
      <c r="J49" s="232" t="s">
        <v>3903</v>
      </c>
      <c r="K49" s="161" t="s">
        <v>4309</v>
      </c>
      <c r="L49" s="240" t="s">
        <v>4408</v>
      </c>
      <c r="M49" s="240" t="s">
        <v>4409</v>
      </c>
      <c r="N49" s="160" t="s">
        <v>4333</v>
      </c>
      <c r="O49" s="139" t="s">
        <v>94</v>
      </c>
      <c r="P49" s="39" t="s">
        <v>98</v>
      </c>
      <c r="Q49" s="228" t="s">
        <v>3238</v>
      </c>
      <c r="R49" s="200" t="s">
        <v>2936</v>
      </c>
      <c r="S49" s="141" t="s">
        <v>97</v>
      </c>
      <c r="T49" s="241"/>
    </row>
    <row r="50" spans="1:20" ht="58" customHeight="1">
      <c r="A50" s="230" t="s">
        <v>2431</v>
      </c>
      <c r="B50" s="41" t="s">
        <v>5</v>
      </c>
      <c r="C50" s="40" t="s">
        <v>1519</v>
      </c>
      <c r="D50" s="40" t="s">
        <v>4210</v>
      </c>
      <c r="E50" s="199" t="s">
        <v>703</v>
      </c>
      <c r="F50" s="199" t="s">
        <v>4048</v>
      </c>
      <c r="G50" s="243" t="s">
        <v>3022</v>
      </c>
      <c r="H50" s="41" t="s">
        <v>1516</v>
      </c>
      <c r="I50" s="246" t="s">
        <v>4167</v>
      </c>
      <c r="J50" s="232" t="s">
        <v>3904</v>
      </c>
      <c r="K50" s="161" t="s">
        <v>4211</v>
      </c>
      <c r="L50" s="240" t="s">
        <v>4410</v>
      </c>
      <c r="M50" s="240" t="s">
        <v>4411</v>
      </c>
      <c r="N50" s="160" t="s">
        <v>4333</v>
      </c>
      <c r="O50" s="139" t="s">
        <v>100</v>
      </c>
      <c r="P50" s="39" t="s">
        <v>4209</v>
      </c>
      <c r="Q50" s="228" t="s">
        <v>3238</v>
      </c>
      <c r="R50" s="200" t="s">
        <v>2936</v>
      </c>
      <c r="S50" s="141" t="s">
        <v>102</v>
      </c>
      <c r="T50" s="241"/>
    </row>
    <row r="51" spans="1:20" ht="58" customHeight="1">
      <c r="A51" s="230" t="s">
        <v>2431</v>
      </c>
      <c r="B51" s="41" t="s">
        <v>5</v>
      </c>
      <c r="C51" s="40" t="s">
        <v>1519</v>
      </c>
      <c r="D51" s="40" t="s">
        <v>4212</v>
      </c>
      <c r="E51" s="199" t="s">
        <v>703</v>
      </c>
      <c r="F51" s="199" t="s">
        <v>4048</v>
      </c>
      <c r="G51" s="243" t="s">
        <v>3022</v>
      </c>
      <c r="H51" s="41" t="s">
        <v>1516</v>
      </c>
      <c r="I51" s="246" t="s">
        <v>4167</v>
      </c>
      <c r="J51" s="232" t="s">
        <v>3904</v>
      </c>
      <c r="K51" s="161" t="s">
        <v>4214</v>
      </c>
      <c r="L51" s="240" t="s">
        <v>4412</v>
      </c>
      <c r="M51" s="240" t="s">
        <v>4413</v>
      </c>
      <c r="N51" s="160" t="s">
        <v>4333</v>
      </c>
      <c r="O51" s="139" t="s">
        <v>100</v>
      </c>
      <c r="P51" s="39" t="s">
        <v>4213</v>
      </c>
      <c r="Q51" s="228" t="s">
        <v>3238</v>
      </c>
      <c r="R51" s="200" t="s">
        <v>2936</v>
      </c>
      <c r="S51" s="141" t="s">
        <v>102</v>
      </c>
      <c r="T51" s="241"/>
    </row>
    <row r="52" spans="1:20" ht="58" customHeight="1">
      <c r="A52" s="230" t="s">
        <v>2431</v>
      </c>
      <c r="B52" s="41" t="s">
        <v>5</v>
      </c>
      <c r="C52" s="40" t="s">
        <v>1519</v>
      </c>
      <c r="D52" s="40" t="s">
        <v>104</v>
      </c>
      <c r="E52" s="199" t="s">
        <v>704</v>
      </c>
      <c r="F52" s="199" t="s">
        <v>4048</v>
      </c>
      <c r="G52" s="243" t="s">
        <v>3022</v>
      </c>
      <c r="H52" s="41" t="s">
        <v>1516</v>
      </c>
      <c r="I52" s="246" t="s">
        <v>4554</v>
      </c>
      <c r="J52" s="232" t="s">
        <v>3905</v>
      </c>
      <c r="K52" s="161" t="s">
        <v>4310</v>
      </c>
      <c r="L52" s="240" t="s">
        <v>4414</v>
      </c>
      <c r="M52" s="240" t="s">
        <v>4415</v>
      </c>
      <c r="N52" s="160" t="s">
        <v>4333</v>
      </c>
      <c r="O52" s="139" t="s">
        <v>100</v>
      </c>
      <c r="P52" s="39" t="s">
        <v>103</v>
      </c>
      <c r="Q52" s="228" t="s">
        <v>3238</v>
      </c>
      <c r="R52" s="200" t="s">
        <v>2936</v>
      </c>
      <c r="S52" s="141" t="s">
        <v>102</v>
      </c>
      <c r="T52" s="241"/>
    </row>
    <row r="53" spans="1:20" ht="58" customHeight="1">
      <c r="A53" s="230" t="s">
        <v>2431</v>
      </c>
      <c r="B53" s="41" t="s">
        <v>5</v>
      </c>
      <c r="C53" s="40" t="s">
        <v>1519</v>
      </c>
      <c r="D53" s="40" t="s">
        <v>106</v>
      </c>
      <c r="E53" s="199" t="s">
        <v>705</v>
      </c>
      <c r="F53" s="199" t="s">
        <v>4049</v>
      </c>
      <c r="G53" s="243" t="s">
        <v>3022</v>
      </c>
      <c r="H53" s="41" t="s">
        <v>1516</v>
      </c>
      <c r="I53" s="246" t="s">
        <v>3029</v>
      </c>
      <c r="J53" s="232" t="s">
        <v>3906</v>
      </c>
      <c r="K53" s="161" t="s">
        <v>4311</v>
      </c>
      <c r="L53" s="240" t="s">
        <v>4416</v>
      </c>
      <c r="M53" s="240" t="s">
        <v>4417</v>
      </c>
      <c r="N53" s="160" t="s">
        <v>4333</v>
      </c>
      <c r="O53" s="139" t="s">
        <v>100</v>
      </c>
      <c r="P53" s="39" t="s">
        <v>105</v>
      </c>
      <c r="Q53" s="228" t="s">
        <v>3238</v>
      </c>
      <c r="R53" s="200" t="s">
        <v>2936</v>
      </c>
      <c r="S53" s="141" t="s">
        <v>102</v>
      </c>
      <c r="T53" s="241"/>
    </row>
    <row r="54" spans="1:20" ht="58" customHeight="1">
      <c r="A54" s="230" t="s">
        <v>2431</v>
      </c>
      <c r="B54" s="41" t="s">
        <v>5</v>
      </c>
      <c r="C54" s="40" t="s">
        <v>1519</v>
      </c>
      <c r="D54" s="40" t="s">
        <v>108</v>
      </c>
      <c r="E54" s="199" t="s">
        <v>706</v>
      </c>
      <c r="F54" s="199" t="s">
        <v>4050</v>
      </c>
      <c r="G54" s="243" t="s">
        <v>3023</v>
      </c>
      <c r="H54" s="41" t="s">
        <v>1516</v>
      </c>
      <c r="I54" s="246" t="s">
        <v>4554</v>
      </c>
      <c r="J54" s="232" t="s">
        <v>3907</v>
      </c>
      <c r="K54" s="161" t="s">
        <v>4338</v>
      </c>
      <c r="L54" s="240" t="s">
        <v>4458</v>
      </c>
      <c r="M54" s="240" t="s">
        <v>4459</v>
      </c>
      <c r="N54" s="160" t="s">
        <v>4332</v>
      </c>
      <c r="O54" s="139" t="s">
        <v>100</v>
      </c>
      <c r="P54" s="39" t="s">
        <v>107</v>
      </c>
      <c r="Q54" s="228" t="s">
        <v>3238</v>
      </c>
      <c r="R54" s="200" t="s">
        <v>2937</v>
      </c>
      <c r="S54" s="141" t="s">
        <v>102</v>
      </c>
      <c r="T54" s="241"/>
    </row>
    <row r="55" spans="1:20" ht="58" customHeight="1">
      <c r="A55" s="230" t="s">
        <v>2431</v>
      </c>
      <c r="B55" s="41" t="s">
        <v>5</v>
      </c>
      <c r="C55" s="40" t="s">
        <v>1519</v>
      </c>
      <c r="D55" s="40" t="s">
        <v>110</v>
      </c>
      <c r="E55" s="199" t="s">
        <v>707</v>
      </c>
      <c r="F55" s="199" t="s">
        <v>4051</v>
      </c>
      <c r="G55" s="243" t="s">
        <v>3023</v>
      </c>
      <c r="H55" s="41" t="s">
        <v>1516</v>
      </c>
      <c r="I55" s="246" t="s">
        <v>4554</v>
      </c>
      <c r="J55" s="232" t="s">
        <v>3908</v>
      </c>
      <c r="K55" s="161" t="s">
        <v>4325</v>
      </c>
      <c r="L55" s="240" t="s">
        <v>4484</v>
      </c>
      <c r="M55" s="240"/>
      <c r="N55" s="160" t="s">
        <v>4332</v>
      </c>
      <c r="O55" s="139" t="s">
        <v>100</v>
      </c>
      <c r="P55" s="39" t="s">
        <v>109</v>
      </c>
      <c r="Q55" s="228" t="s">
        <v>3238</v>
      </c>
      <c r="R55" s="200" t="s">
        <v>2937</v>
      </c>
      <c r="S55" s="141" t="s">
        <v>102</v>
      </c>
      <c r="T55" s="241"/>
    </row>
    <row r="56" spans="1:20" ht="58" customHeight="1">
      <c r="A56" s="230" t="s">
        <v>2431</v>
      </c>
      <c r="B56" s="41" t="s">
        <v>5</v>
      </c>
      <c r="C56" s="40" t="s">
        <v>1519</v>
      </c>
      <c r="D56" s="40" t="s">
        <v>113</v>
      </c>
      <c r="E56" s="199" t="s">
        <v>708</v>
      </c>
      <c r="F56" s="199" t="s">
        <v>4052</v>
      </c>
      <c r="G56" s="243" t="s">
        <v>3023</v>
      </c>
      <c r="H56" s="41" t="s">
        <v>1516</v>
      </c>
      <c r="I56" s="246" t="s">
        <v>4167</v>
      </c>
      <c r="J56" s="232" t="s">
        <v>3909</v>
      </c>
      <c r="K56" s="161" t="s">
        <v>4350</v>
      </c>
      <c r="L56" s="240" t="s">
        <v>4482</v>
      </c>
      <c r="M56" s="240" t="s">
        <v>4483</v>
      </c>
      <c r="N56" s="160" t="s">
        <v>4334</v>
      </c>
      <c r="O56" s="139" t="s">
        <v>111</v>
      </c>
      <c r="P56" s="39" t="s">
        <v>112</v>
      </c>
      <c r="Q56" s="228" t="s">
        <v>3238</v>
      </c>
      <c r="R56" s="200" t="s">
        <v>2937</v>
      </c>
      <c r="S56" s="141" t="s">
        <v>114</v>
      </c>
      <c r="T56" s="241"/>
    </row>
    <row r="57" spans="1:20" ht="58" customHeight="1">
      <c r="A57" s="230" t="s">
        <v>2431</v>
      </c>
      <c r="B57" s="41" t="s">
        <v>5</v>
      </c>
      <c r="C57" s="40" t="s">
        <v>1519</v>
      </c>
      <c r="D57" s="40" t="s">
        <v>116</v>
      </c>
      <c r="E57" s="199" t="s">
        <v>709</v>
      </c>
      <c r="F57" s="199" t="s">
        <v>4053</v>
      </c>
      <c r="G57" s="243" t="s">
        <v>3023</v>
      </c>
      <c r="H57" s="41" t="s">
        <v>1516</v>
      </c>
      <c r="I57" s="246" t="s">
        <v>4554</v>
      </c>
      <c r="J57" s="232" t="s">
        <v>3910</v>
      </c>
      <c r="K57" s="161" t="s">
        <v>4337</v>
      </c>
      <c r="L57" s="240" t="s">
        <v>4456</v>
      </c>
      <c r="M57" s="240" t="s">
        <v>4457</v>
      </c>
      <c r="N57" s="160" t="s">
        <v>4332</v>
      </c>
      <c r="O57" s="139" t="s">
        <v>111</v>
      </c>
      <c r="P57" s="39" t="s">
        <v>115</v>
      </c>
      <c r="Q57" s="228" t="s">
        <v>3238</v>
      </c>
      <c r="R57" s="200" t="s">
        <v>2937</v>
      </c>
      <c r="S57" s="141" t="s">
        <v>114</v>
      </c>
      <c r="T57" s="241"/>
    </row>
    <row r="58" spans="1:20" ht="58" customHeight="1">
      <c r="A58" s="230" t="s">
        <v>2431</v>
      </c>
      <c r="B58" s="41" t="s">
        <v>5</v>
      </c>
      <c r="C58" s="40" t="s">
        <v>1519</v>
      </c>
      <c r="D58" s="40" t="s">
        <v>118</v>
      </c>
      <c r="E58" s="199" t="s">
        <v>710</v>
      </c>
      <c r="F58" s="199" t="s">
        <v>4054</v>
      </c>
      <c r="G58" s="243" t="s">
        <v>3023</v>
      </c>
      <c r="H58" s="41" t="s">
        <v>1516</v>
      </c>
      <c r="I58" s="246" t="s">
        <v>4167</v>
      </c>
      <c r="J58" s="232" t="s">
        <v>3911</v>
      </c>
      <c r="K58" s="161" t="s">
        <v>4349</v>
      </c>
      <c r="L58" s="240" t="s">
        <v>4480</v>
      </c>
      <c r="M58" s="240" t="s">
        <v>4481</v>
      </c>
      <c r="N58" s="160" t="s">
        <v>4334</v>
      </c>
      <c r="O58" s="139" t="s">
        <v>111</v>
      </c>
      <c r="P58" s="39" t="s">
        <v>117</v>
      </c>
      <c r="Q58" s="228" t="s">
        <v>3238</v>
      </c>
      <c r="R58" s="200" t="s">
        <v>2937</v>
      </c>
      <c r="S58" s="141" t="s">
        <v>114</v>
      </c>
      <c r="T58" s="241"/>
    </row>
    <row r="59" spans="1:20" ht="58" customHeight="1">
      <c r="A59" s="230" t="s">
        <v>2431</v>
      </c>
      <c r="B59" s="41" t="s">
        <v>5</v>
      </c>
      <c r="C59" s="40" t="s">
        <v>1520</v>
      </c>
      <c r="D59" s="40" t="s">
        <v>121</v>
      </c>
      <c r="E59" s="199" t="s">
        <v>711</v>
      </c>
      <c r="F59" s="199" t="s">
        <v>4055</v>
      </c>
      <c r="G59" s="243" t="s">
        <v>3019</v>
      </c>
      <c r="H59" s="41" t="s">
        <v>2</v>
      </c>
      <c r="I59" s="246" t="s">
        <v>3027</v>
      </c>
      <c r="J59" s="232" t="s">
        <v>3236</v>
      </c>
      <c r="K59" s="161"/>
      <c r="L59" s="240"/>
      <c r="M59" s="240"/>
      <c r="N59" s="160"/>
      <c r="O59" s="139" t="s">
        <v>119</v>
      </c>
      <c r="P59" s="39" t="s">
        <v>120</v>
      </c>
      <c r="Q59" s="228" t="s">
        <v>3238</v>
      </c>
      <c r="R59" s="200" t="s">
        <v>2</v>
      </c>
      <c r="S59" s="141" t="s">
        <v>122</v>
      </c>
      <c r="T59" s="241"/>
    </row>
    <row r="60" spans="1:20" ht="58" customHeight="1">
      <c r="A60" s="230" t="s">
        <v>2431</v>
      </c>
      <c r="B60" s="41" t="s">
        <v>5</v>
      </c>
      <c r="C60" s="40" t="s">
        <v>1520</v>
      </c>
      <c r="D60" s="40" t="s">
        <v>124</v>
      </c>
      <c r="E60" s="199" t="s">
        <v>712</v>
      </c>
      <c r="F60" s="199" t="s">
        <v>4056</v>
      </c>
      <c r="G60" s="243" t="s">
        <v>3019</v>
      </c>
      <c r="H60" s="41" t="s">
        <v>2</v>
      </c>
      <c r="I60" s="246" t="s">
        <v>3027</v>
      </c>
      <c r="J60" s="232" t="s">
        <v>3236</v>
      </c>
      <c r="K60" s="161"/>
      <c r="L60" s="240"/>
      <c r="M60" s="240"/>
      <c r="N60" s="160"/>
      <c r="O60" s="139" t="s">
        <v>119</v>
      </c>
      <c r="P60" s="39" t="s">
        <v>123</v>
      </c>
      <c r="Q60" s="228" t="s">
        <v>3238</v>
      </c>
      <c r="R60" s="200" t="s">
        <v>2</v>
      </c>
      <c r="S60" s="141" t="s">
        <v>122</v>
      </c>
      <c r="T60" s="241"/>
    </row>
    <row r="61" spans="1:20" ht="58" customHeight="1">
      <c r="A61" s="230" t="s">
        <v>2431</v>
      </c>
      <c r="B61" s="41" t="s">
        <v>5</v>
      </c>
      <c r="C61" s="40" t="s">
        <v>1520</v>
      </c>
      <c r="D61" s="40" t="s">
        <v>126</v>
      </c>
      <c r="E61" s="199" t="s">
        <v>713</v>
      </c>
      <c r="F61" s="199" t="s">
        <v>4057</v>
      </c>
      <c r="G61" s="243" t="s">
        <v>3023</v>
      </c>
      <c r="H61" s="41" t="s">
        <v>1516</v>
      </c>
      <c r="I61" s="246" t="s">
        <v>4554</v>
      </c>
      <c r="J61" s="232" t="s">
        <v>3912</v>
      </c>
      <c r="K61" s="161" t="s">
        <v>4339</v>
      </c>
      <c r="L61" s="240" t="s">
        <v>4460</v>
      </c>
      <c r="M61" s="240" t="s">
        <v>4461</v>
      </c>
      <c r="N61" s="160" t="s">
        <v>4332</v>
      </c>
      <c r="O61" s="139" t="s">
        <v>119</v>
      </c>
      <c r="P61" s="39" t="s">
        <v>125</v>
      </c>
      <c r="Q61" s="228" t="s">
        <v>3238</v>
      </c>
      <c r="R61" s="200" t="s">
        <v>2937</v>
      </c>
      <c r="S61" s="141" t="s">
        <v>122</v>
      </c>
      <c r="T61" s="241"/>
    </row>
    <row r="62" spans="1:20" ht="58" customHeight="1">
      <c r="A62" s="230" t="s">
        <v>2431</v>
      </c>
      <c r="B62" s="41" t="s">
        <v>5</v>
      </c>
      <c r="C62" s="40" t="s">
        <v>1520</v>
      </c>
      <c r="D62" s="40" t="s">
        <v>128</v>
      </c>
      <c r="E62" s="199" t="s">
        <v>714</v>
      </c>
      <c r="F62" s="199" t="s">
        <v>4058</v>
      </c>
      <c r="G62" s="243" t="s">
        <v>3023</v>
      </c>
      <c r="H62" s="41" t="s">
        <v>1516</v>
      </c>
      <c r="I62" s="246" t="s">
        <v>4554</v>
      </c>
      <c r="J62" s="232" t="s">
        <v>3913</v>
      </c>
      <c r="K62" s="161" t="s">
        <v>4341</v>
      </c>
      <c r="L62" s="240" t="s">
        <v>4464</v>
      </c>
      <c r="M62" s="240" t="s">
        <v>4465</v>
      </c>
      <c r="N62" s="160" t="s">
        <v>4333</v>
      </c>
      <c r="O62" s="139" t="s">
        <v>119</v>
      </c>
      <c r="P62" s="39" t="s">
        <v>127</v>
      </c>
      <c r="Q62" s="228" t="s">
        <v>3238</v>
      </c>
      <c r="R62" s="200" t="s">
        <v>2937</v>
      </c>
      <c r="S62" s="141" t="s">
        <v>122</v>
      </c>
      <c r="T62" s="241"/>
    </row>
    <row r="63" spans="1:20" ht="58" customHeight="1">
      <c r="A63" s="230" t="s">
        <v>2431</v>
      </c>
      <c r="B63" s="41" t="s">
        <v>5</v>
      </c>
      <c r="C63" s="40" t="s">
        <v>1520</v>
      </c>
      <c r="D63" s="40" t="s">
        <v>130</v>
      </c>
      <c r="E63" s="199" t="s">
        <v>715</v>
      </c>
      <c r="F63" s="199" t="s">
        <v>4059</v>
      </c>
      <c r="G63" s="243" t="s">
        <v>3020</v>
      </c>
      <c r="H63" s="41" t="s">
        <v>955</v>
      </c>
      <c r="I63" s="246" t="s">
        <v>3028</v>
      </c>
      <c r="J63" s="232" t="s">
        <v>3236</v>
      </c>
      <c r="K63" s="161"/>
      <c r="L63" s="240"/>
      <c r="M63" s="240"/>
      <c r="N63" s="160"/>
      <c r="O63" s="139" t="s">
        <v>119</v>
      </c>
      <c r="P63" s="39" t="s">
        <v>129</v>
      </c>
      <c r="Q63" s="228" t="s">
        <v>3238</v>
      </c>
      <c r="R63" s="200" t="s">
        <v>2933</v>
      </c>
      <c r="S63" s="141" t="s">
        <v>122</v>
      </c>
      <c r="T63" s="241"/>
    </row>
    <row r="64" spans="1:20" ht="58" customHeight="1">
      <c r="A64" s="230" t="s">
        <v>2431</v>
      </c>
      <c r="B64" s="41" t="s">
        <v>5</v>
      </c>
      <c r="C64" s="40" t="s">
        <v>1520</v>
      </c>
      <c r="D64" s="40" t="s">
        <v>132</v>
      </c>
      <c r="E64" s="199" t="s">
        <v>716</v>
      </c>
      <c r="F64" s="199" t="s">
        <v>4060</v>
      </c>
      <c r="G64" s="243" t="s">
        <v>3023</v>
      </c>
      <c r="H64" s="41" t="s">
        <v>1516</v>
      </c>
      <c r="I64" s="246" t="s">
        <v>4554</v>
      </c>
      <c r="J64" s="232" t="s">
        <v>3914</v>
      </c>
      <c r="K64" s="161" t="s">
        <v>4326</v>
      </c>
      <c r="L64" s="240" t="s">
        <v>4485</v>
      </c>
      <c r="M64" s="240"/>
      <c r="N64" s="160" t="s">
        <v>4332</v>
      </c>
      <c r="O64" s="139" t="s">
        <v>119</v>
      </c>
      <c r="P64" s="39" t="s">
        <v>131</v>
      </c>
      <c r="Q64" s="228" t="s">
        <v>3238</v>
      </c>
      <c r="R64" s="200" t="s">
        <v>2937</v>
      </c>
      <c r="S64" s="141" t="s">
        <v>122</v>
      </c>
      <c r="T64" s="241"/>
    </row>
    <row r="65" spans="1:20" ht="58" customHeight="1">
      <c r="A65" s="230" t="s">
        <v>2431</v>
      </c>
      <c r="B65" s="41" t="s">
        <v>5</v>
      </c>
      <c r="C65" s="40" t="s">
        <v>1520</v>
      </c>
      <c r="D65" s="40" t="s">
        <v>134</v>
      </c>
      <c r="E65" s="199" t="s">
        <v>717</v>
      </c>
      <c r="F65" s="199" t="s">
        <v>4061</v>
      </c>
      <c r="G65" s="243" t="s">
        <v>3020</v>
      </c>
      <c r="H65" s="41" t="s">
        <v>955</v>
      </c>
      <c r="I65" s="246" t="s">
        <v>3028</v>
      </c>
      <c r="J65" s="232" t="s">
        <v>3236</v>
      </c>
      <c r="K65" s="161"/>
      <c r="L65" s="240"/>
      <c r="M65" s="240"/>
      <c r="N65" s="160"/>
      <c r="O65" s="139" t="s">
        <v>119</v>
      </c>
      <c r="P65" s="39" t="s">
        <v>133</v>
      </c>
      <c r="Q65" s="228" t="s">
        <v>3238</v>
      </c>
      <c r="R65" s="200" t="s">
        <v>2933</v>
      </c>
      <c r="S65" s="141" t="s">
        <v>122</v>
      </c>
      <c r="T65" s="241"/>
    </row>
    <row r="66" spans="1:20" ht="58" customHeight="1">
      <c r="A66" s="230" t="s">
        <v>2431</v>
      </c>
      <c r="B66" s="41" t="s">
        <v>5</v>
      </c>
      <c r="C66" s="40" t="s">
        <v>1520</v>
      </c>
      <c r="D66" s="40" t="s">
        <v>136</v>
      </c>
      <c r="E66" s="199" t="s">
        <v>3999</v>
      </c>
      <c r="F66" s="199" t="s">
        <v>4000</v>
      </c>
      <c r="G66" s="243" t="s">
        <v>4001</v>
      </c>
      <c r="H66" s="41" t="s">
        <v>2</v>
      </c>
      <c r="I66" s="246" t="s">
        <v>3027</v>
      </c>
      <c r="J66" s="232" t="s">
        <v>3236</v>
      </c>
      <c r="K66" s="161"/>
      <c r="L66" s="240"/>
      <c r="M66" s="240"/>
      <c r="N66" s="160"/>
      <c r="O66" s="139" t="s">
        <v>119</v>
      </c>
      <c r="P66" s="39" t="s">
        <v>135</v>
      </c>
      <c r="Q66" s="228" t="s">
        <v>3238</v>
      </c>
      <c r="R66" s="200" t="s">
        <v>2943</v>
      </c>
      <c r="S66" s="141" t="s">
        <v>122</v>
      </c>
      <c r="T66" s="241"/>
    </row>
    <row r="67" spans="1:20" ht="58" customHeight="1">
      <c r="A67" s="230" t="s">
        <v>2431</v>
      </c>
      <c r="B67" s="41" t="s">
        <v>5</v>
      </c>
      <c r="C67" s="40" t="s">
        <v>1520</v>
      </c>
      <c r="D67" s="40" t="s">
        <v>139</v>
      </c>
      <c r="E67" s="199" t="s">
        <v>3834</v>
      </c>
      <c r="F67" s="199" t="s">
        <v>4062</v>
      </c>
      <c r="G67" s="243" t="s">
        <v>3020</v>
      </c>
      <c r="H67" s="41" t="s">
        <v>955</v>
      </c>
      <c r="I67" s="246" t="s">
        <v>3028</v>
      </c>
      <c r="J67" s="232" t="s">
        <v>3236</v>
      </c>
      <c r="K67" s="161"/>
      <c r="L67" s="240"/>
      <c r="M67" s="240"/>
      <c r="N67" s="160"/>
      <c r="O67" s="139" t="s">
        <v>137</v>
      </c>
      <c r="P67" s="39" t="s">
        <v>138</v>
      </c>
      <c r="Q67" s="228" t="s">
        <v>3238</v>
      </c>
      <c r="R67" s="200" t="s">
        <v>2944</v>
      </c>
      <c r="S67" s="141" t="s">
        <v>140</v>
      </c>
      <c r="T67" s="241"/>
    </row>
    <row r="68" spans="1:20" ht="58" customHeight="1">
      <c r="A68" s="230" t="s">
        <v>2431</v>
      </c>
      <c r="B68" s="41" t="s">
        <v>5</v>
      </c>
      <c r="C68" s="40" t="s">
        <v>1520</v>
      </c>
      <c r="D68" s="40" t="s">
        <v>142</v>
      </c>
      <c r="E68" s="199" t="s">
        <v>3835</v>
      </c>
      <c r="F68" s="199" t="s">
        <v>4063</v>
      </c>
      <c r="G68" s="243" t="s">
        <v>3020</v>
      </c>
      <c r="H68" s="41" t="s">
        <v>955</v>
      </c>
      <c r="I68" s="246" t="s">
        <v>3028</v>
      </c>
      <c r="J68" s="232" t="s">
        <v>3236</v>
      </c>
      <c r="K68" s="161"/>
      <c r="L68" s="240"/>
      <c r="M68" s="240"/>
      <c r="N68" s="160"/>
      <c r="O68" s="139" t="s">
        <v>137</v>
      </c>
      <c r="P68" s="39" t="s">
        <v>141</v>
      </c>
      <c r="Q68" s="228" t="s">
        <v>3238</v>
      </c>
      <c r="R68" s="200" t="s">
        <v>2944</v>
      </c>
      <c r="S68" s="141" t="s">
        <v>140</v>
      </c>
      <c r="T68" s="241"/>
    </row>
    <row r="69" spans="1:20" ht="58" customHeight="1">
      <c r="A69" s="230" t="s">
        <v>2431</v>
      </c>
      <c r="B69" s="41" t="s">
        <v>5</v>
      </c>
      <c r="C69" s="40" t="s">
        <v>1521</v>
      </c>
      <c r="D69" s="40" t="s">
        <v>145</v>
      </c>
      <c r="E69" s="199" t="s">
        <v>718</v>
      </c>
      <c r="F69" s="199" t="s">
        <v>3311</v>
      </c>
      <c r="G69" s="243" t="s">
        <v>3312</v>
      </c>
      <c r="H69" s="41" t="s">
        <v>1516</v>
      </c>
      <c r="I69" s="246" t="s">
        <v>3029</v>
      </c>
      <c r="J69" s="232" t="s">
        <v>3236</v>
      </c>
      <c r="K69" s="161" t="s">
        <v>4671</v>
      </c>
      <c r="L69" s="240" t="s">
        <v>4672</v>
      </c>
      <c r="M69" s="240"/>
      <c r="N69" s="160"/>
      <c r="O69" s="139" t="s">
        <v>143</v>
      </c>
      <c r="P69" s="39" t="s">
        <v>144</v>
      </c>
      <c r="Q69" s="228" t="s">
        <v>3238</v>
      </c>
      <c r="R69" s="200" t="s">
        <v>2945</v>
      </c>
      <c r="S69" s="141" t="s">
        <v>146</v>
      </c>
      <c r="T69" s="241" t="s">
        <v>4673</v>
      </c>
    </row>
    <row r="70" spans="1:20" ht="58" customHeight="1">
      <c r="A70" s="230" t="s">
        <v>2431</v>
      </c>
      <c r="B70" s="41" t="s">
        <v>5</v>
      </c>
      <c r="C70" s="40" t="s">
        <v>1521</v>
      </c>
      <c r="D70" s="40" t="s">
        <v>155</v>
      </c>
      <c r="E70" s="199" t="s">
        <v>721</v>
      </c>
      <c r="F70" s="199" t="s">
        <v>4064</v>
      </c>
      <c r="G70" s="243" t="s">
        <v>3023</v>
      </c>
      <c r="H70" s="41" t="s">
        <v>1516</v>
      </c>
      <c r="I70" s="246" t="s">
        <v>4554</v>
      </c>
      <c r="J70" s="232" t="s">
        <v>3915</v>
      </c>
      <c r="K70" s="161" t="s">
        <v>4342</v>
      </c>
      <c r="L70" s="240" t="s">
        <v>4466</v>
      </c>
      <c r="M70" s="240" t="s">
        <v>4467</v>
      </c>
      <c r="N70" s="160" t="s">
        <v>4333</v>
      </c>
      <c r="O70" s="139" t="s">
        <v>153</v>
      </c>
      <c r="P70" s="39" t="s">
        <v>154</v>
      </c>
      <c r="Q70" s="228" t="s">
        <v>3238</v>
      </c>
      <c r="R70" s="200" t="s">
        <v>2937</v>
      </c>
      <c r="S70" s="141" t="s">
        <v>156</v>
      </c>
      <c r="T70" s="241"/>
    </row>
    <row r="71" spans="1:20" ht="58" customHeight="1">
      <c r="A71" s="230" t="s">
        <v>2431</v>
      </c>
      <c r="B71" s="41" t="s">
        <v>5</v>
      </c>
      <c r="C71" s="40" t="s">
        <v>1521</v>
      </c>
      <c r="D71" s="40" t="s">
        <v>169</v>
      </c>
      <c r="E71" s="199" t="s">
        <v>3822</v>
      </c>
      <c r="F71" s="199" t="s">
        <v>4016</v>
      </c>
      <c r="G71" s="243" t="s">
        <v>4615</v>
      </c>
      <c r="H71" s="41" t="s">
        <v>2</v>
      </c>
      <c r="I71" s="246" t="s">
        <v>3027</v>
      </c>
      <c r="J71" s="232" t="s">
        <v>3236</v>
      </c>
      <c r="K71" s="161"/>
      <c r="L71" s="240"/>
      <c r="M71" s="240"/>
      <c r="N71" s="160"/>
      <c r="O71" s="139" t="s">
        <v>167</v>
      </c>
      <c r="P71" s="39" t="s">
        <v>168</v>
      </c>
      <c r="Q71" s="228" t="s">
        <v>3238</v>
      </c>
      <c r="R71" s="200" t="s">
        <v>2948</v>
      </c>
      <c r="S71" s="141" t="s">
        <v>170</v>
      </c>
      <c r="T71" s="241"/>
    </row>
    <row r="72" spans="1:20" ht="58" customHeight="1">
      <c r="A72" s="230" t="s">
        <v>2431</v>
      </c>
      <c r="B72" s="41" t="s">
        <v>5</v>
      </c>
      <c r="C72" s="40" t="s">
        <v>1521</v>
      </c>
      <c r="D72" s="40" t="s">
        <v>163</v>
      </c>
      <c r="E72" s="199" t="s">
        <v>724</v>
      </c>
      <c r="F72" s="199" t="s">
        <v>3313</v>
      </c>
      <c r="G72" s="243" t="s">
        <v>3314</v>
      </c>
      <c r="H72" s="41" t="s">
        <v>1516</v>
      </c>
      <c r="I72" s="246" t="s">
        <v>3029</v>
      </c>
      <c r="J72" s="232" t="s">
        <v>3236</v>
      </c>
      <c r="K72" s="161" t="s">
        <v>4674</v>
      </c>
      <c r="L72" s="240" t="s">
        <v>4675</v>
      </c>
      <c r="M72" s="240"/>
      <c r="N72" s="160"/>
      <c r="O72" s="139" t="s">
        <v>161</v>
      </c>
      <c r="P72" s="39" t="s">
        <v>162</v>
      </c>
      <c r="Q72" s="228" t="s">
        <v>3238</v>
      </c>
      <c r="R72" s="200" t="s">
        <v>2945</v>
      </c>
      <c r="S72" s="141" t="s">
        <v>164</v>
      </c>
      <c r="T72" s="241" t="s">
        <v>4673</v>
      </c>
    </row>
    <row r="73" spans="1:20" ht="58" customHeight="1">
      <c r="A73" s="230" t="s">
        <v>2431</v>
      </c>
      <c r="B73" s="41" t="s">
        <v>5</v>
      </c>
      <c r="C73" s="40" t="s">
        <v>1521</v>
      </c>
      <c r="D73" s="40" t="s">
        <v>148</v>
      </c>
      <c r="E73" s="199" t="s">
        <v>719</v>
      </c>
      <c r="F73" s="199" t="s">
        <v>3315</v>
      </c>
      <c r="G73" s="243" t="s">
        <v>3290</v>
      </c>
      <c r="H73" s="41" t="s">
        <v>2</v>
      </c>
      <c r="I73" s="246" t="s">
        <v>3027</v>
      </c>
      <c r="J73" s="232" t="s">
        <v>3236</v>
      </c>
      <c r="K73" s="161"/>
      <c r="L73" s="240"/>
      <c r="M73" s="240"/>
      <c r="N73" s="160"/>
      <c r="O73" s="139" t="s">
        <v>143</v>
      </c>
      <c r="P73" s="39" t="s">
        <v>147</v>
      </c>
      <c r="Q73" s="228" t="s">
        <v>3238</v>
      </c>
      <c r="R73" s="200" t="s">
        <v>2945</v>
      </c>
      <c r="S73" s="141" t="s">
        <v>146</v>
      </c>
      <c r="T73" s="241"/>
    </row>
    <row r="74" spans="1:20" ht="58" customHeight="1">
      <c r="A74" s="230" t="s">
        <v>2431</v>
      </c>
      <c r="B74" s="41" t="s">
        <v>5</v>
      </c>
      <c r="C74" s="40" t="s">
        <v>1521</v>
      </c>
      <c r="D74" s="40" t="s">
        <v>150</v>
      </c>
      <c r="E74" s="199" t="s">
        <v>3833</v>
      </c>
      <c r="F74" s="199" t="s">
        <v>3284</v>
      </c>
      <c r="G74" s="243" t="s">
        <v>3285</v>
      </c>
      <c r="H74" s="41" t="s">
        <v>2</v>
      </c>
      <c r="I74" s="246" t="s">
        <v>3027</v>
      </c>
      <c r="J74" s="232" t="s">
        <v>3236</v>
      </c>
      <c r="K74" s="161"/>
      <c r="L74" s="240"/>
      <c r="M74" s="240"/>
      <c r="N74" s="160"/>
      <c r="O74" s="139" t="s">
        <v>143</v>
      </c>
      <c r="P74" s="39" t="s">
        <v>149</v>
      </c>
      <c r="Q74" s="228" t="s">
        <v>3238</v>
      </c>
      <c r="R74" s="200" t="s">
        <v>2946</v>
      </c>
      <c r="S74" s="141" t="s">
        <v>146</v>
      </c>
      <c r="T74" s="241"/>
    </row>
    <row r="75" spans="1:20" ht="58" customHeight="1">
      <c r="A75" s="230" t="s">
        <v>2431</v>
      </c>
      <c r="B75" s="41" t="s">
        <v>5</v>
      </c>
      <c r="C75" s="40" t="s">
        <v>1521</v>
      </c>
      <c r="D75" s="40" t="s">
        <v>158</v>
      </c>
      <c r="E75" s="199" t="s">
        <v>722</v>
      </c>
      <c r="F75" s="199" t="s">
        <v>4065</v>
      </c>
      <c r="G75" s="243" t="s">
        <v>3019</v>
      </c>
      <c r="H75" s="41" t="s">
        <v>2</v>
      </c>
      <c r="I75" s="246" t="s">
        <v>3027</v>
      </c>
      <c r="J75" s="232" t="s">
        <v>3236</v>
      </c>
      <c r="K75" s="161"/>
      <c r="L75" s="240"/>
      <c r="M75" s="240"/>
      <c r="N75" s="160"/>
      <c r="O75" s="139" t="s">
        <v>153</v>
      </c>
      <c r="P75" s="39" t="s">
        <v>157</v>
      </c>
      <c r="Q75" s="228" t="s">
        <v>3238</v>
      </c>
      <c r="R75" s="200" t="s">
        <v>2947</v>
      </c>
      <c r="S75" s="141" t="s">
        <v>156</v>
      </c>
      <c r="T75" s="241"/>
    </row>
    <row r="76" spans="1:20" ht="58" customHeight="1">
      <c r="A76" s="230" t="s">
        <v>2431</v>
      </c>
      <c r="B76" s="41" t="s">
        <v>5</v>
      </c>
      <c r="C76" s="40" t="s">
        <v>1521</v>
      </c>
      <c r="D76" s="40" t="s">
        <v>160</v>
      </c>
      <c r="E76" s="199" t="s">
        <v>723</v>
      </c>
      <c r="F76" s="199" t="s">
        <v>4066</v>
      </c>
      <c r="G76" s="243" t="s">
        <v>3019</v>
      </c>
      <c r="H76" s="41" t="s">
        <v>2</v>
      </c>
      <c r="I76" s="246" t="s">
        <v>3027</v>
      </c>
      <c r="J76" s="232" t="s">
        <v>3236</v>
      </c>
      <c r="K76" s="161"/>
      <c r="L76" s="240"/>
      <c r="M76" s="240"/>
      <c r="N76" s="160"/>
      <c r="O76" s="139" t="s">
        <v>153</v>
      </c>
      <c r="P76" s="39" t="s">
        <v>159</v>
      </c>
      <c r="Q76" s="228" t="s">
        <v>3238</v>
      </c>
      <c r="R76" s="200" t="s">
        <v>2947</v>
      </c>
      <c r="S76" s="141" t="s">
        <v>156</v>
      </c>
      <c r="T76" s="241"/>
    </row>
    <row r="77" spans="1:20" ht="58" customHeight="1">
      <c r="A77" s="230" t="s">
        <v>2431</v>
      </c>
      <c r="B77" s="41" t="s">
        <v>5</v>
      </c>
      <c r="C77" s="40" t="s">
        <v>1521</v>
      </c>
      <c r="D77" s="40" t="s">
        <v>172</v>
      </c>
      <c r="E77" s="199" t="s">
        <v>726</v>
      </c>
      <c r="F77" s="199" t="s">
        <v>3316</v>
      </c>
      <c r="G77" s="243" t="s">
        <v>4616</v>
      </c>
      <c r="H77" s="41" t="s">
        <v>1516</v>
      </c>
      <c r="I77" s="246" t="s">
        <v>4554</v>
      </c>
      <c r="J77" s="232" t="s">
        <v>3236</v>
      </c>
      <c r="K77" s="161" t="s">
        <v>4680</v>
      </c>
      <c r="L77" s="240" t="s">
        <v>4681</v>
      </c>
      <c r="M77" s="240"/>
      <c r="N77" s="160"/>
      <c r="O77" s="139" t="s">
        <v>167</v>
      </c>
      <c r="P77" s="39" t="s">
        <v>171</v>
      </c>
      <c r="Q77" s="228" t="s">
        <v>3238</v>
      </c>
      <c r="R77" s="200" t="s">
        <v>2945</v>
      </c>
      <c r="S77" s="141" t="s">
        <v>170</v>
      </c>
      <c r="T77" s="241" t="s">
        <v>4673</v>
      </c>
    </row>
    <row r="78" spans="1:20" ht="58" customHeight="1">
      <c r="A78" s="230" t="s">
        <v>2431</v>
      </c>
      <c r="B78" s="41" t="s">
        <v>5</v>
      </c>
      <c r="C78" s="40" t="s">
        <v>1521</v>
      </c>
      <c r="D78" s="40" t="s">
        <v>174</v>
      </c>
      <c r="E78" s="199" t="s">
        <v>4143</v>
      </c>
      <c r="F78" s="199" t="s">
        <v>3317</v>
      </c>
      <c r="G78" s="243" t="s">
        <v>4144</v>
      </c>
      <c r="H78" s="41" t="s">
        <v>1516</v>
      </c>
      <c r="I78" s="246" t="s">
        <v>3029</v>
      </c>
      <c r="J78" s="232" t="s">
        <v>4145</v>
      </c>
      <c r="K78" s="161" t="s">
        <v>4603</v>
      </c>
      <c r="L78" s="240" t="s">
        <v>4604</v>
      </c>
      <c r="M78" s="240"/>
      <c r="N78" s="160" t="s">
        <v>4333</v>
      </c>
      <c r="O78" s="139" t="s">
        <v>167</v>
      </c>
      <c r="P78" s="39" t="s">
        <v>173</v>
      </c>
      <c r="Q78" s="228" t="s">
        <v>3238</v>
      </c>
      <c r="R78" s="200" t="s">
        <v>2945</v>
      </c>
      <c r="S78" s="141" t="s">
        <v>170</v>
      </c>
      <c r="T78" s="241"/>
    </row>
    <row r="79" spans="1:20" ht="58" customHeight="1">
      <c r="A79" s="230" t="s">
        <v>2431</v>
      </c>
      <c r="B79" s="41" t="s">
        <v>5</v>
      </c>
      <c r="C79" s="40" t="s">
        <v>1521</v>
      </c>
      <c r="D79" s="40" t="s">
        <v>152</v>
      </c>
      <c r="E79" s="199" t="s">
        <v>720</v>
      </c>
      <c r="F79" s="199" t="s">
        <v>4067</v>
      </c>
      <c r="G79" s="243" t="s">
        <v>3023</v>
      </c>
      <c r="H79" s="41" t="s">
        <v>1516</v>
      </c>
      <c r="I79" s="246" t="s">
        <v>4554</v>
      </c>
      <c r="J79" s="232" t="s">
        <v>3916</v>
      </c>
      <c r="K79" s="161" t="s">
        <v>4344</v>
      </c>
      <c r="L79" s="240" t="s">
        <v>4470</v>
      </c>
      <c r="M79" s="240" t="s">
        <v>4471</v>
      </c>
      <c r="N79" s="160" t="s">
        <v>4333</v>
      </c>
      <c r="O79" s="139" t="s">
        <v>143</v>
      </c>
      <c r="P79" s="39" t="s">
        <v>151</v>
      </c>
      <c r="Q79" s="228" t="s">
        <v>3238</v>
      </c>
      <c r="R79" s="200" t="s">
        <v>2937</v>
      </c>
      <c r="S79" s="141" t="s">
        <v>146</v>
      </c>
      <c r="T79" s="241"/>
    </row>
    <row r="80" spans="1:20" ht="58" customHeight="1">
      <c r="A80" s="230" t="s">
        <v>2431</v>
      </c>
      <c r="B80" s="41" t="s">
        <v>5</v>
      </c>
      <c r="C80" s="40" t="s">
        <v>1521</v>
      </c>
      <c r="D80" s="40" t="s">
        <v>166</v>
      </c>
      <c r="E80" s="199" t="s">
        <v>725</v>
      </c>
      <c r="F80" s="199" t="s">
        <v>3318</v>
      </c>
      <c r="G80" s="243" t="s">
        <v>4617</v>
      </c>
      <c r="H80" s="41" t="s">
        <v>3</v>
      </c>
      <c r="I80" s="246" t="s">
        <v>1533</v>
      </c>
      <c r="J80" s="232" t="s">
        <v>3236</v>
      </c>
      <c r="K80" s="161" t="s">
        <v>955</v>
      </c>
      <c r="L80" s="240"/>
      <c r="M80" s="240"/>
      <c r="N80" s="160"/>
      <c r="O80" s="139" t="s">
        <v>161</v>
      </c>
      <c r="P80" s="39" t="s">
        <v>165</v>
      </c>
      <c r="Q80" s="228" t="s">
        <v>3238</v>
      </c>
      <c r="R80" s="200" t="s">
        <v>2945</v>
      </c>
      <c r="S80" s="141" t="s">
        <v>164</v>
      </c>
      <c r="T80" s="241" t="s">
        <v>4682</v>
      </c>
    </row>
    <row r="81" spans="1:20" ht="58" customHeight="1">
      <c r="A81" s="230" t="s">
        <v>2431</v>
      </c>
      <c r="B81" s="41" t="s">
        <v>5</v>
      </c>
      <c r="C81" s="40" t="s">
        <v>1522</v>
      </c>
      <c r="D81" s="40" t="s">
        <v>177</v>
      </c>
      <c r="E81" s="199" t="s">
        <v>727</v>
      </c>
      <c r="F81" s="199" t="s">
        <v>4068</v>
      </c>
      <c r="G81" s="243" t="s">
        <v>3019</v>
      </c>
      <c r="H81" s="41" t="s">
        <v>2</v>
      </c>
      <c r="I81" s="246" t="s">
        <v>3027</v>
      </c>
      <c r="J81" s="232" t="s">
        <v>3236</v>
      </c>
      <c r="K81" s="161"/>
      <c r="L81" s="240"/>
      <c r="M81" s="240"/>
      <c r="N81" s="160"/>
      <c r="O81" s="139" t="s">
        <v>175</v>
      </c>
      <c r="P81" s="39" t="s">
        <v>176</v>
      </c>
      <c r="Q81" s="228" t="s">
        <v>3238</v>
      </c>
      <c r="R81" s="200" t="s">
        <v>2949</v>
      </c>
      <c r="S81" s="141" t="s">
        <v>178</v>
      </c>
      <c r="T81" s="241"/>
    </row>
    <row r="82" spans="1:20" ht="58" customHeight="1">
      <c r="A82" s="230" t="s">
        <v>2431</v>
      </c>
      <c r="B82" s="41" t="s">
        <v>5</v>
      </c>
      <c r="C82" s="40" t="s">
        <v>1522</v>
      </c>
      <c r="D82" s="40" t="s">
        <v>180</v>
      </c>
      <c r="E82" s="199" t="s">
        <v>728</v>
      </c>
      <c r="F82" s="199" t="s">
        <v>3319</v>
      </c>
      <c r="G82" s="243" t="s">
        <v>3320</v>
      </c>
      <c r="H82" s="41" t="s">
        <v>1516</v>
      </c>
      <c r="I82" s="246" t="s">
        <v>3029</v>
      </c>
      <c r="J82" s="232" t="s">
        <v>3236</v>
      </c>
      <c r="K82" s="161" t="s">
        <v>4676</v>
      </c>
      <c r="L82" s="240" t="s">
        <v>4677</v>
      </c>
      <c r="M82" s="240"/>
      <c r="N82" s="160"/>
      <c r="O82" s="139" t="s">
        <v>175</v>
      </c>
      <c r="P82" s="39" t="s">
        <v>179</v>
      </c>
      <c r="Q82" s="228" t="s">
        <v>3238</v>
      </c>
      <c r="R82" s="200" t="s">
        <v>2945</v>
      </c>
      <c r="S82" s="141" t="s">
        <v>178</v>
      </c>
      <c r="T82" s="241" t="s">
        <v>4673</v>
      </c>
    </row>
    <row r="83" spans="1:20" ht="58" customHeight="1">
      <c r="A83" s="230" t="s">
        <v>2431</v>
      </c>
      <c r="B83" s="41" t="s">
        <v>5</v>
      </c>
      <c r="C83" s="40" t="s">
        <v>1522</v>
      </c>
      <c r="D83" s="40" t="s">
        <v>182</v>
      </c>
      <c r="E83" s="199" t="s">
        <v>729</v>
      </c>
      <c r="F83" s="199" t="s">
        <v>3321</v>
      </c>
      <c r="G83" s="243" t="s">
        <v>4618</v>
      </c>
      <c r="H83" s="41" t="s">
        <v>1516</v>
      </c>
      <c r="I83" s="246" t="s">
        <v>3029</v>
      </c>
      <c r="J83" s="232" t="s">
        <v>3236</v>
      </c>
      <c r="K83" s="161" t="s">
        <v>4536</v>
      </c>
      <c r="L83" s="240" t="s">
        <v>4537</v>
      </c>
      <c r="M83" s="240"/>
      <c r="N83" s="160"/>
      <c r="O83" s="139" t="s">
        <v>175</v>
      </c>
      <c r="P83" s="39" t="s">
        <v>181</v>
      </c>
      <c r="Q83" s="228" t="s">
        <v>3238</v>
      </c>
      <c r="R83" s="200" t="s">
        <v>2945</v>
      </c>
      <c r="S83" s="141" t="s">
        <v>178</v>
      </c>
      <c r="T83" s="241"/>
    </row>
    <row r="84" spans="1:20" ht="58" customHeight="1">
      <c r="A84" s="230" t="s">
        <v>2431</v>
      </c>
      <c r="B84" s="41" t="s">
        <v>5</v>
      </c>
      <c r="C84" s="40" t="s">
        <v>1522</v>
      </c>
      <c r="D84" s="40" t="s">
        <v>184</v>
      </c>
      <c r="E84" s="199" t="s">
        <v>730</v>
      </c>
      <c r="F84" s="199" t="s">
        <v>3322</v>
      </c>
      <c r="G84" s="243" t="s">
        <v>4619</v>
      </c>
      <c r="H84" s="41" t="s">
        <v>3</v>
      </c>
      <c r="I84" s="246" t="s">
        <v>1533</v>
      </c>
      <c r="J84" s="232" t="s">
        <v>3236</v>
      </c>
      <c r="K84" s="161" t="s">
        <v>955</v>
      </c>
      <c r="L84" s="240"/>
      <c r="M84" s="240"/>
      <c r="N84" s="160"/>
      <c r="O84" s="139" t="s">
        <v>175</v>
      </c>
      <c r="P84" s="39" t="s">
        <v>183</v>
      </c>
      <c r="Q84" s="228" t="s">
        <v>3238</v>
      </c>
      <c r="R84" s="200" t="s">
        <v>2945</v>
      </c>
      <c r="S84" s="141" t="s">
        <v>178</v>
      </c>
      <c r="T84" s="241" t="s">
        <v>4683</v>
      </c>
    </row>
    <row r="85" spans="1:20" ht="58" customHeight="1">
      <c r="A85" s="230" t="s">
        <v>2431</v>
      </c>
      <c r="B85" s="41" t="s">
        <v>5</v>
      </c>
      <c r="C85" s="40" t="s">
        <v>1522</v>
      </c>
      <c r="D85" s="40" t="s">
        <v>186</v>
      </c>
      <c r="E85" s="199" t="s">
        <v>731</v>
      </c>
      <c r="F85" s="199" t="s">
        <v>3323</v>
      </c>
      <c r="G85" s="243" t="s">
        <v>4620</v>
      </c>
      <c r="H85" s="41" t="s">
        <v>1516</v>
      </c>
      <c r="I85" s="246" t="s">
        <v>3029</v>
      </c>
      <c r="J85" s="232" t="s">
        <v>3236</v>
      </c>
      <c r="K85" s="161" t="s">
        <v>4678</v>
      </c>
      <c r="L85" s="240" t="s">
        <v>4679</v>
      </c>
      <c r="M85" s="240"/>
      <c r="N85" s="160"/>
      <c r="O85" s="139" t="s">
        <v>175</v>
      </c>
      <c r="P85" s="39" t="s">
        <v>185</v>
      </c>
      <c r="Q85" s="228" t="s">
        <v>3238</v>
      </c>
      <c r="R85" s="200" t="s">
        <v>2945</v>
      </c>
      <c r="S85" s="141" t="s">
        <v>178</v>
      </c>
      <c r="T85" s="241" t="s">
        <v>4673</v>
      </c>
    </row>
    <row r="86" spans="1:20" ht="58" customHeight="1">
      <c r="A86" s="230" t="s">
        <v>2431</v>
      </c>
      <c r="B86" s="41" t="s">
        <v>5</v>
      </c>
      <c r="C86" s="40" t="s">
        <v>1522</v>
      </c>
      <c r="D86" s="40" t="s">
        <v>197</v>
      </c>
      <c r="E86" s="199" t="s">
        <v>4552</v>
      </c>
      <c r="F86" s="199" t="s">
        <v>4069</v>
      </c>
      <c r="G86" s="243" t="s">
        <v>3024</v>
      </c>
      <c r="H86" s="41" t="s">
        <v>1516</v>
      </c>
      <c r="I86" s="246" t="s">
        <v>3029</v>
      </c>
      <c r="J86" s="232" t="s">
        <v>3917</v>
      </c>
      <c r="K86" s="161" t="s">
        <v>4708</v>
      </c>
      <c r="L86" s="240" t="s">
        <v>4709</v>
      </c>
      <c r="M86" s="240"/>
      <c r="N86" s="160" t="s">
        <v>4333</v>
      </c>
      <c r="O86" s="139" t="s">
        <v>195</v>
      </c>
      <c r="P86" s="39" t="s">
        <v>196</v>
      </c>
      <c r="Q86" s="228" t="s">
        <v>3238</v>
      </c>
      <c r="R86" s="200" t="s">
        <v>2979</v>
      </c>
      <c r="S86" s="141" t="s">
        <v>198</v>
      </c>
      <c r="T86" s="241"/>
    </row>
    <row r="87" spans="1:20" ht="58" customHeight="1">
      <c r="A87" s="230" t="s">
        <v>2431</v>
      </c>
      <c r="B87" s="41" t="s">
        <v>5</v>
      </c>
      <c r="C87" s="40" t="s">
        <v>1522</v>
      </c>
      <c r="D87" s="40" t="s">
        <v>191</v>
      </c>
      <c r="E87" s="199" t="s">
        <v>732</v>
      </c>
      <c r="F87" s="199" t="s">
        <v>4070</v>
      </c>
      <c r="G87" s="243" t="s">
        <v>3023</v>
      </c>
      <c r="H87" s="41" t="s">
        <v>1516</v>
      </c>
      <c r="I87" s="246" t="s">
        <v>3029</v>
      </c>
      <c r="J87" s="232" t="s">
        <v>3918</v>
      </c>
      <c r="K87" s="161" t="s">
        <v>4611</v>
      </c>
      <c r="L87" s="240"/>
      <c r="M87" s="240"/>
      <c r="N87" s="160"/>
      <c r="O87" s="139" t="s">
        <v>189</v>
      </c>
      <c r="P87" s="39" t="s">
        <v>190</v>
      </c>
      <c r="Q87" s="228" t="s">
        <v>3238</v>
      </c>
      <c r="R87" s="200" t="s">
        <v>2937</v>
      </c>
      <c r="S87" s="141" t="s">
        <v>192</v>
      </c>
      <c r="T87" s="241"/>
    </row>
    <row r="88" spans="1:20" ht="58" customHeight="1">
      <c r="A88" s="230" t="s">
        <v>2431</v>
      </c>
      <c r="B88" s="41" t="s">
        <v>5</v>
      </c>
      <c r="C88" s="40" t="s">
        <v>1522</v>
      </c>
      <c r="D88" s="40" t="s">
        <v>194</v>
      </c>
      <c r="E88" s="199" t="s">
        <v>733</v>
      </c>
      <c r="F88" s="199" t="s">
        <v>4071</v>
      </c>
      <c r="G88" s="243" t="s">
        <v>3023</v>
      </c>
      <c r="H88" s="41" t="s">
        <v>1516</v>
      </c>
      <c r="I88" s="246" t="s">
        <v>3029</v>
      </c>
      <c r="J88" s="232" t="s">
        <v>3919</v>
      </c>
      <c r="K88" s="161" t="s">
        <v>4574</v>
      </c>
      <c r="L88" s="240" t="s">
        <v>4575</v>
      </c>
      <c r="M88" s="240" t="s">
        <v>4576</v>
      </c>
      <c r="N88" s="160" t="s">
        <v>4333</v>
      </c>
      <c r="O88" s="139" t="s">
        <v>189</v>
      </c>
      <c r="P88" s="39" t="s">
        <v>193</v>
      </c>
      <c r="Q88" s="228" t="s">
        <v>3238</v>
      </c>
      <c r="R88" s="200" t="s">
        <v>2937</v>
      </c>
      <c r="S88" s="141" t="s">
        <v>192</v>
      </c>
      <c r="T88" s="241"/>
    </row>
    <row r="89" spans="1:20" ht="58" customHeight="1">
      <c r="A89" s="230" t="s">
        <v>2431</v>
      </c>
      <c r="B89" s="41" t="s">
        <v>5</v>
      </c>
      <c r="C89" s="40" t="s">
        <v>1522</v>
      </c>
      <c r="D89" s="40" t="s">
        <v>188</v>
      </c>
      <c r="E89" s="199" t="s">
        <v>3824</v>
      </c>
      <c r="F89" s="199" t="s">
        <v>3286</v>
      </c>
      <c r="G89" s="243" t="s">
        <v>3287</v>
      </c>
      <c r="H89" s="41" t="s">
        <v>2</v>
      </c>
      <c r="I89" s="246" t="s">
        <v>3027</v>
      </c>
      <c r="J89" s="232" t="s">
        <v>3236</v>
      </c>
      <c r="K89" s="161"/>
      <c r="L89" s="240"/>
      <c r="M89" s="240"/>
      <c r="N89" s="160"/>
      <c r="O89" s="139" t="s">
        <v>175</v>
      </c>
      <c r="P89" s="39" t="s">
        <v>187</v>
      </c>
      <c r="Q89" s="228" t="s">
        <v>3238</v>
      </c>
      <c r="R89" s="200" t="s">
        <v>2950</v>
      </c>
      <c r="S89" s="141" t="s">
        <v>178</v>
      </c>
      <c r="T89" s="241"/>
    </row>
    <row r="90" spans="1:20" ht="58" customHeight="1">
      <c r="A90" s="230" t="s">
        <v>2431</v>
      </c>
      <c r="B90" s="41" t="s">
        <v>5</v>
      </c>
      <c r="C90" s="40" t="s">
        <v>1522</v>
      </c>
      <c r="D90" s="40" t="s">
        <v>200</v>
      </c>
      <c r="E90" s="199" t="s">
        <v>734</v>
      </c>
      <c r="F90" s="199" t="s">
        <v>4072</v>
      </c>
      <c r="G90" s="243" t="s">
        <v>3023</v>
      </c>
      <c r="H90" s="41" t="s">
        <v>1516</v>
      </c>
      <c r="I90" s="246" t="s">
        <v>3029</v>
      </c>
      <c r="J90" s="232" t="s">
        <v>3920</v>
      </c>
      <c r="K90" s="161" t="s">
        <v>4577</v>
      </c>
      <c r="L90" s="240" t="s">
        <v>4578</v>
      </c>
      <c r="M90" s="240" t="s">
        <v>4707</v>
      </c>
      <c r="N90" s="160" t="s">
        <v>4333</v>
      </c>
      <c r="O90" s="139" t="s">
        <v>195</v>
      </c>
      <c r="P90" s="39" t="s">
        <v>199</v>
      </c>
      <c r="Q90" s="228" t="s">
        <v>3238</v>
      </c>
      <c r="R90" s="200" t="s">
        <v>2937</v>
      </c>
      <c r="S90" s="141" t="s">
        <v>198</v>
      </c>
      <c r="T90" s="241"/>
    </row>
    <row r="91" spans="1:20" ht="58" customHeight="1">
      <c r="A91" s="230" t="s">
        <v>2431</v>
      </c>
      <c r="B91" s="41" t="s">
        <v>5</v>
      </c>
      <c r="C91" s="40" t="s">
        <v>1522</v>
      </c>
      <c r="D91" s="40" t="s">
        <v>202</v>
      </c>
      <c r="E91" s="199" t="s">
        <v>735</v>
      </c>
      <c r="F91" s="199" t="s">
        <v>4073</v>
      </c>
      <c r="G91" s="243" t="s">
        <v>3023</v>
      </c>
      <c r="H91" s="41" t="s">
        <v>1516</v>
      </c>
      <c r="I91" s="246" t="s">
        <v>3029</v>
      </c>
      <c r="J91" s="232" t="s">
        <v>3921</v>
      </c>
      <c r="K91" s="161" t="s">
        <v>4609</v>
      </c>
      <c r="L91" s="240"/>
      <c r="M91" s="240"/>
      <c r="N91" s="160"/>
      <c r="O91" s="139" t="s">
        <v>195</v>
      </c>
      <c r="P91" s="39" t="s">
        <v>201</v>
      </c>
      <c r="Q91" s="228" t="s">
        <v>3238</v>
      </c>
      <c r="R91" s="200" t="s">
        <v>2937</v>
      </c>
      <c r="S91" s="141" t="s">
        <v>198</v>
      </c>
      <c r="T91" s="241" t="s">
        <v>4610</v>
      </c>
    </row>
    <row r="92" spans="1:20" ht="58" customHeight="1">
      <c r="A92" s="230" t="s">
        <v>2431</v>
      </c>
      <c r="B92" s="41" t="s">
        <v>5</v>
      </c>
      <c r="C92" s="40" t="s">
        <v>1522</v>
      </c>
      <c r="D92" s="40" t="s">
        <v>204</v>
      </c>
      <c r="E92" s="199" t="s">
        <v>736</v>
      </c>
      <c r="F92" s="199" t="s">
        <v>4074</v>
      </c>
      <c r="G92" s="243" t="s">
        <v>3023</v>
      </c>
      <c r="H92" s="41" t="s">
        <v>1516</v>
      </c>
      <c r="I92" s="246" t="s">
        <v>3029</v>
      </c>
      <c r="J92" s="232" t="s">
        <v>3922</v>
      </c>
      <c r="K92" s="161" t="s">
        <v>4607</v>
      </c>
      <c r="L92" s="240" t="s">
        <v>4608</v>
      </c>
      <c r="M92" s="240"/>
      <c r="N92" s="160" t="s">
        <v>4333</v>
      </c>
      <c r="O92" s="139" t="s">
        <v>195</v>
      </c>
      <c r="P92" s="39" t="s">
        <v>203</v>
      </c>
      <c r="Q92" s="228" t="s">
        <v>3238</v>
      </c>
      <c r="R92" s="200" t="s">
        <v>2937</v>
      </c>
      <c r="S92" s="141" t="s">
        <v>198</v>
      </c>
      <c r="T92" s="241"/>
    </row>
    <row r="93" spans="1:20" ht="58" customHeight="1">
      <c r="A93" s="230" t="s">
        <v>2431</v>
      </c>
      <c r="B93" s="41" t="s">
        <v>5</v>
      </c>
      <c r="C93" s="40" t="s">
        <v>1523</v>
      </c>
      <c r="D93" s="40" t="s">
        <v>207</v>
      </c>
      <c r="E93" s="199" t="s">
        <v>3825</v>
      </c>
      <c r="F93" s="199" t="s">
        <v>4048</v>
      </c>
      <c r="G93" s="243" t="s">
        <v>3019</v>
      </c>
      <c r="H93" s="41" t="s">
        <v>2</v>
      </c>
      <c r="I93" s="246" t="s">
        <v>3027</v>
      </c>
      <c r="J93" s="232" t="s">
        <v>3236</v>
      </c>
      <c r="K93" s="161"/>
      <c r="L93" s="240"/>
      <c r="M93" s="240"/>
      <c r="N93" s="160"/>
      <c r="O93" s="139" t="s">
        <v>205</v>
      </c>
      <c r="P93" s="39" t="s">
        <v>206</v>
      </c>
      <c r="Q93" s="228" t="s">
        <v>3238</v>
      </c>
      <c r="R93" s="200" t="s">
        <v>2951</v>
      </c>
      <c r="S93" s="141" t="s">
        <v>208</v>
      </c>
      <c r="T93" s="241"/>
    </row>
    <row r="94" spans="1:20" ht="58" customHeight="1">
      <c r="A94" s="230" t="s">
        <v>2431</v>
      </c>
      <c r="B94" s="41" t="s">
        <v>5</v>
      </c>
      <c r="C94" s="40" t="s">
        <v>1523</v>
      </c>
      <c r="D94" s="40" t="s">
        <v>210</v>
      </c>
      <c r="E94" s="199" t="s">
        <v>3826</v>
      </c>
      <c r="F94" s="199" t="s">
        <v>3288</v>
      </c>
      <c r="G94" s="243" t="s">
        <v>4621</v>
      </c>
      <c r="H94" s="41" t="s">
        <v>2</v>
      </c>
      <c r="I94" s="246" t="s">
        <v>3027</v>
      </c>
      <c r="J94" s="232" t="s">
        <v>3236</v>
      </c>
      <c r="K94" s="161"/>
      <c r="L94" s="240"/>
      <c r="M94" s="240"/>
      <c r="N94" s="160"/>
      <c r="O94" s="139" t="s">
        <v>205</v>
      </c>
      <c r="P94" s="39" t="s">
        <v>209</v>
      </c>
      <c r="Q94" s="228" t="s">
        <v>3238</v>
      </c>
      <c r="R94" s="200" t="s">
        <v>2952</v>
      </c>
      <c r="S94" s="141" t="s">
        <v>208</v>
      </c>
      <c r="T94" s="241"/>
    </row>
    <row r="95" spans="1:20" ht="58" customHeight="1">
      <c r="A95" s="230" t="s">
        <v>2431</v>
      </c>
      <c r="B95" s="41" t="s">
        <v>5</v>
      </c>
      <c r="C95" s="40" t="s">
        <v>1523</v>
      </c>
      <c r="D95" s="40" t="s">
        <v>212</v>
      </c>
      <c r="E95" s="199" t="s">
        <v>3827</v>
      </c>
      <c r="F95" s="199" t="s">
        <v>3289</v>
      </c>
      <c r="G95" s="243" t="s">
        <v>3290</v>
      </c>
      <c r="H95" s="41" t="s">
        <v>2</v>
      </c>
      <c r="I95" s="246" t="s">
        <v>3027</v>
      </c>
      <c r="J95" s="232" t="s">
        <v>3236</v>
      </c>
      <c r="K95" s="161"/>
      <c r="L95" s="240"/>
      <c r="M95" s="240"/>
      <c r="N95" s="160"/>
      <c r="O95" s="139" t="s">
        <v>205</v>
      </c>
      <c r="P95" s="39" t="s">
        <v>211</v>
      </c>
      <c r="Q95" s="228" t="s">
        <v>3238</v>
      </c>
      <c r="R95" s="200" t="s">
        <v>2969</v>
      </c>
      <c r="S95" s="141" t="s">
        <v>208</v>
      </c>
      <c r="T95" s="241"/>
    </row>
    <row r="96" spans="1:20" ht="58" customHeight="1">
      <c r="A96" s="230" t="s">
        <v>2431</v>
      </c>
      <c r="B96" s="41" t="s">
        <v>5</v>
      </c>
      <c r="C96" s="40" t="s">
        <v>1523</v>
      </c>
      <c r="D96" s="40" t="s">
        <v>214</v>
      </c>
      <c r="E96" s="199" t="s">
        <v>3828</v>
      </c>
      <c r="F96" s="199" t="s">
        <v>3291</v>
      </c>
      <c r="G96" s="243" t="s">
        <v>4622</v>
      </c>
      <c r="H96" s="41" t="s">
        <v>3</v>
      </c>
      <c r="I96" s="246" t="s">
        <v>1533</v>
      </c>
      <c r="J96" s="232" t="s">
        <v>3236</v>
      </c>
      <c r="K96" s="161"/>
      <c r="L96" s="240"/>
      <c r="M96" s="240"/>
      <c r="N96" s="160"/>
      <c r="O96" s="139" t="s">
        <v>205</v>
      </c>
      <c r="P96" s="39" t="s">
        <v>213</v>
      </c>
      <c r="Q96" s="228" t="s">
        <v>3238</v>
      </c>
      <c r="R96" s="200" t="s">
        <v>2953</v>
      </c>
      <c r="S96" s="141" t="s">
        <v>208</v>
      </c>
      <c r="T96" s="241"/>
    </row>
    <row r="97" spans="1:20" ht="58" customHeight="1">
      <c r="A97" s="230" t="s">
        <v>2431</v>
      </c>
      <c r="B97" s="41" t="s">
        <v>5</v>
      </c>
      <c r="C97" s="40" t="s">
        <v>1523</v>
      </c>
      <c r="D97" s="40" t="s">
        <v>225</v>
      </c>
      <c r="E97" s="199" t="s">
        <v>3829</v>
      </c>
      <c r="F97" s="199" t="s">
        <v>4075</v>
      </c>
      <c r="G97" s="243" t="s">
        <v>3023</v>
      </c>
      <c r="H97" s="41" t="s">
        <v>1516</v>
      </c>
      <c r="I97" s="246" t="s">
        <v>4554</v>
      </c>
      <c r="J97" s="232" t="s">
        <v>3923</v>
      </c>
      <c r="K97" s="161" t="s">
        <v>4343</v>
      </c>
      <c r="L97" s="240" t="s">
        <v>4468</v>
      </c>
      <c r="M97" s="240" t="s">
        <v>4469</v>
      </c>
      <c r="N97" s="160" t="s">
        <v>4333</v>
      </c>
      <c r="O97" s="139" t="s">
        <v>223</v>
      </c>
      <c r="P97" s="39" t="s">
        <v>224</v>
      </c>
      <c r="Q97" s="228" t="s">
        <v>3238</v>
      </c>
      <c r="R97" s="235" t="s">
        <v>2970</v>
      </c>
      <c r="S97" s="141" t="s">
        <v>226</v>
      </c>
      <c r="T97" s="241"/>
    </row>
    <row r="98" spans="1:20" ht="58" customHeight="1">
      <c r="A98" s="230" t="s">
        <v>2431</v>
      </c>
      <c r="B98" s="41" t="s">
        <v>5</v>
      </c>
      <c r="C98" s="40" t="s">
        <v>1523</v>
      </c>
      <c r="D98" s="40" t="s">
        <v>228</v>
      </c>
      <c r="E98" s="199" t="s">
        <v>3830</v>
      </c>
      <c r="F98" s="199" t="s">
        <v>3324</v>
      </c>
      <c r="G98" s="243" t="s">
        <v>4623</v>
      </c>
      <c r="H98" s="41" t="s">
        <v>1515</v>
      </c>
      <c r="I98" s="246" t="s">
        <v>1533</v>
      </c>
      <c r="J98" s="232" t="s">
        <v>3236</v>
      </c>
      <c r="K98" s="161" t="s">
        <v>955</v>
      </c>
      <c r="L98" s="240"/>
      <c r="M98" s="240"/>
      <c r="N98" s="160"/>
      <c r="O98" s="139" t="s">
        <v>223</v>
      </c>
      <c r="P98" s="39" t="s">
        <v>227</v>
      </c>
      <c r="Q98" s="228" t="s">
        <v>3238</v>
      </c>
      <c r="R98" s="200" t="s">
        <v>2957</v>
      </c>
      <c r="S98" s="141" t="s">
        <v>226</v>
      </c>
      <c r="T98" s="241" t="s">
        <v>4684</v>
      </c>
    </row>
    <row r="99" spans="1:20" ht="58" customHeight="1">
      <c r="A99" s="230" t="s">
        <v>2431</v>
      </c>
      <c r="B99" s="41" t="s">
        <v>5</v>
      </c>
      <c r="C99" s="40" t="s">
        <v>1523</v>
      </c>
      <c r="D99" s="40" t="s">
        <v>216</v>
      </c>
      <c r="E99" s="199" t="s">
        <v>737</v>
      </c>
      <c r="F99" s="199" t="s">
        <v>4076</v>
      </c>
      <c r="G99" s="243" t="s">
        <v>3019</v>
      </c>
      <c r="H99" s="41" t="s">
        <v>2</v>
      </c>
      <c r="I99" s="246" t="s">
        <v>3027</v>
      </c>
      <c r="J99" s="232" t="s">
        <v>3236</v>
      </c>
      <c r="K99" s="161"/>
      <c r="L99" s="240"/>
      <c r="M99" s="240"/>
      <c r="N99" s="160"/>
      <c r="O99" s="139" t="s">
        <v>205</v>
      </c>
      <c r="P99" s="39" t="s">
        <v>215</v>
      </c>
      <c r="Q99" s="228" t="s">
        <v>3238</v>
      </c>
      <c r="R99" s="200" t="s">
        <v>2954</v>
      </c>
      <c r="S99" s="141" t="s">
        <v>208</v>
      </c>
      <c r="T99" s="241"/>
    </row>
    <row r="100" spans="1:20" ht="58" customHeight="1">
      <c r="A100" s="230" t="s">
        <v>2431</v>
      </c>
      <c r="B100" s="41" t="s">
        <v>5</v>
      </c>
      <c r="C100" s="40" t="s">
        <v>1523</v>
      </c>
      <c r="D100" s="40" t="s">
        <v>219</v>
      </c>
      <c r="E100" s="199" t="s">
        <v>738</v>
      </c>
      <c r="F100" s="199" t="s">
        <v>4077</v>
      </c>
      <c r="G100" s="243" t="s">
        <v>3019</v>
      </c>
      <c r="H100" s="41" t="s">
        <v>2</v>
      </c>
      <c r="I100" s="246" t="s">
        <v>3027</v>
      </c>
      <c r="J100" s="232" t="s">
        <v>3236</v>
      </c>
      <c r="K100" s="161"/>
      <c r="L100" s="240"/>
      <c r="M100" s="240"/>
      <c r="N100" s="160"/>
      <c r="O100" s="139" t="s">
        <v>217</v>
      </c>
      <c r="P100" s="39" t="s">
        <v>218</v>
      </c>
      <c r="Q100" s="228" t="s">
        <v>3238</v>
      </c>
      <c r="R100" s="200" t="s">
        <v>2956</v>
      </c>
      <c r="S100" s="141" t="s">
        <v>220</v>
      </c>
      <c r="T100" s="241"/>
    </row>
    <row r="101" spans="1:20" ht="58" customHeight="1">
      <c r="A101" s="230" t="s">
        <v>2431</v>
      </c>
      <c r="B101" s="41" t="s">
        <v>5</v>
      </c>
      <c r="C101" s="40" t="s">
        <v>1523</v>
      </c>
      <c r="D101" s="40" t="s">
        <v>222</v>
      </c>
      <c r="E101" s="199" t="s">
        <v>3831</v>
      </c>
      <c r="F101" s="199" t="s">
        <v>4078</v>
      </c>
      <c r="G101" s="243" t="s">
        <v>3019</v>
      </c>
      <c r="H101" s="41" t="s">
        <v>2</v>
      </c>
      <c r="I101" s="246" t="s">
        <v>3027</v>
      </c>
      <c r="J101" s="232" t="s">
        <v>3236</v>
      </c>
      <c r="K101" s="161"/>
      <c r="L101" s="240"/>
      <c r="M101" s="240"/>
      <c r="N101" s="160"/>
      <c r="O101" s="139" t="s">
        <v>217</v>
      </c>
      <c r="P101" s="39" t="s">
        <v>221</v>
      </c>
      <c r="Q101" s="228" t="s">
        <v>3238</v>
      </c>
      <c r="R101" s="200" t="s">
        <v>2955</v>
      </c>
      <c r="S101" s="141" t="s">
        <v>220</v>
      </c>
      <c r="T101" s="241"/>
    </row>
    <row r="102" spans="1:20" ht="58" customHeight="1">
      <c r="A102" s="230" t="s">
        <v>2431</v>
      </c>
      <c r="B102" s="41" t="s">
        <v>5</v>
      </c>
      <c r="C102" s="40" t="s">
        <v>1523</v>
      </c>
      <c r="D102" s="40" t="s">
        <v>230</v>
      </c>
      <c r="E102" s="199" t="s">
        <v>3832</v>
      </c>
      <c r="F102" s="199" t="s">
        <v>4356</v>
      </c>
      <c r="G102" s="243" t="s">
        <v>4357</v>
      </c>
      <c r="H102" s="41" t="s">
        <v>3</v>
      </c>
      <c r="I102" s="246" t="s">
        <v>1533</v>
      </c>
      <c r="J102" s="232" t="s">
        <v>3236</v>
      </c>
      <c r="K102" s="161"/>
      <c r="L102" s="240"/>
      <c r="M102" s="240"/>
      <c r="N102" s="160"/>
      <c r="O102" s="139" t="s">
        <v>223</v>
      </c>
      <c r="P102" s="39" t="s">
        <v>229</v>
      </c>
      <c r="Q102" s="228" t="s">
        <v>3238</v>
      </c>
      <c r="R102" s="200" t="s">
        <v>2958</v>
      </c>
      <c r="S102" s="141" t="s">
        <v>226</v>
      </c>
      <c r="T102" s="241"/>
    </row>
    <row r="103" spans="1:20" ht="58" customHeight="1">
      <c r="A103" s="230" t="s">
        <v>2431</v>
      </c>
      <c r="B103" s="41" t="s">
        <v>6</v>
      </c>
      <c r="C103" s="40" t="s">
        <v>1525</v>
      </c>
      <c r="D103" s="40" t="s">
        <v>245</v>
      </c>
      <c r="E103" s="199" t="s">
        <v>745</v>
      </c>
      <c r="F103" s="199" t="s">
        <v>4079</v>
      </c>
      <c r="G103" s="243" t="s">
        <v>3023</v>
      </c>
      <c r="H103" s="41" t="s">
        <v>1516</v>
      </c>
      <c r="I103" s="246" t="s">
        <v>4167</v>
      </c>
      <c r="J103" s="232" t="s">
        <v>3924</v>
      </c>
      <c r="K103" s="161" t="s">
        <v>4345</v>
      </c>
      <c r="L103" s="240" t="s">
        <v>4472</v>
      </c>
      <c r="M103" s="240" t="s">
        <v>4473</v>
      </c>
      <c r="N103" s="160" t="s">
        <v>4333</v>
      </c>
      <c r="O103" s="139" t="s">
        <v>243</v>
      </c>
      <c r="P103" s="39" t="s">
        <v>244</v>
      </c>
      <c r="Q103" s="228" t="s">
        <v>3238</v>
      </c>
      <c r="R103" s="200" t="s">
        <v>2971</v>
      </c>
      <c r="S103" s="141" t="s">
        <v>246</v>
      </c>
      <c r="T103" s="241"/>
    </row>
    <row r="104" spans="1:20" ht="58" customHeight="1">
      <c r="A104" s="230" t="s">
        <v>2431</v>
      </c>
      <c r="B104" s="41" t="s">
        <v>6</v>
      </c>
      <c r="C104" s="40" t="s">
        <v>1525</v>
      </c>
      <c r="D104" s="40" t="s">
        <v>257</v>
      </c>
      <c r="E104" s="199" t="s">
        <v>747</v>
      </c>
      <c r="F104" s="199" t="s">
        <v>4080</v>
      </c>
      <c r="G104" s="243" t="s">
        <v>3023</v>
      </c>
      <c r="H104" s="41" t="s">
        <v>1516</v>
      </c>
      <c r="I104" s="246" t="s">
        <v>4554</v>
      </c>
      <c r="J104" s="232" t="s">
        <v>3925</v>
      </c>
      <c r="K104" s="161" t="s">
        <v>4346</v>
      </c>
      <c r="L104" s="240" t="s">
        <v>4474</v>
      </c>
      <c r="M104" s="240" t="s">
        <v>4475</v>
      </c>
      <c r="N104" s="160" t="s">
        <v>4333</v>
      </c>
      <c r="O104" s="139" t="s">
        <v>255</v>
      </c>
      <c r="P104" s="39" t="s">
        <v>256</v>
      </c>
      <c r="Q104" s="228" t="s">
        <v>3238</v>
      </c>
      <c r="R104" s="200" t="s">
        <v>2937</v>
      </c>
      <c r="S104" s="141" t="s">
        <v>258</v>
      </c>
      <c r="T104" s="241"/>
    </row>
    <row r="105" spans="1:20" ht="58" customHeight="1">
      <c r="A105" s="230" t="s">
        <v>2431</v>
      </c>
      <c r="B105" s="41" t="s">
        <v>6</v>
      </c>
      <c r="C105" s="40" t="s">
        <v>1525</v>
      </c>
      <c r="D105" s="40" t="s">
        <v>248</v>
      </c>
      <c r="E105" s="199" t="s">
        <v>746</v>
      </c>
      <c r="F105" s="199" t="s">
        <v>4081</v>
      </c>
      <c r="G105" s="243" t="s">
        <v>3020</v>
      </c>
      <c r="H105" s="41" t="s">
        <v>955</v>
      </c>
      <c r="I105" s="246" t="s">
        <v>3028</v>
      </c>
      <c r="J105" s="232" t="s">
        <v>3236</v>
      </c>
      <c r="K105" s="161"/>
      <c r="L105" s="240"/>
      <c r="M105" s="240"/>
      <c r="N105" s="160"/>
      <c r="O105" s="139" t="s">
        <v>243</v>
      </c>
      <c r="P105" s="39" t="s">
        <v>247</v>
      </c>
      <c r="Q105" s="228" t="s">
        <v>3238</v>
      </c>
      <c r="R105" s="200" t="s">
        <v>2933</v>
      </c>
      <c r="S105" s="141" t="s">
        <v>246</v>
      </c>
      <c r="T105" s="241"/>
    </row>
    <row r="106" spans="1:20" ht="58" customHeight="1">
      <c r="A106" s="230" t="s">
        <v>2431</v>
      </c>
      <c r="B106" s="41" t="s">
        <v>6</v>
      </c>
      <c r="C106" s="40" t="s">
        <v>1525</v>
      </c>
      <c r="D106" s="40" t="s">
        <v>250</v>
      </c>
      <c r="E106" s="199" t="s">
        <v>3836</v>
      </c>
      <c r="F106" s="199" t="s">
        <v>3292</v>
      </c>
      <c r="G106" s="243" t="s">
        <v>3293</v>
      </c>
      <c r="H106" s="41" t="s">
        <v>2</v>
      </c>
      <c r="I106" s="246" t="s">
        <v>3027</v>
      </c>
      <c r="J106" s="232" t="s">
        <v>3236</v>
      </c>
      <c r="K106" s="161"/>
      <c r="L106" s="240"/>
      <c r="M106" s="240"/>
      <c r="N106" s="160"/>
      <c r="O106" s="139" t="s">
        <v>243</v>
      </c>
      <c r="P106" s="39" t="s">
        <v>249</v>
      </c>
      <c r="Q106" s="228" t="s">
        <v>3238</v>
      </c>
      <c r="R106" s="200" t="s">
        <v>2959</v>
      </c>
      <c r="S106" s="141" t="s">
        <v>246</v>
      </c>
      <c r="T106" s="241"/>
    </row>
    <row r="107" spans="1:20" ht="58" customHeight="1">
      <c r="A107" s="230" t="s">
        <v>2431</v>
      </c>
      <c r="B107" s="41" t="s">
        <v>6</v>
      </c>
      <c r="C107" s="40" t="s">
        <v>1525</v>
      </c>
      <c r="D107" s="40" t="s">
        <v>252</v>
      </c>
      <c r="E107" s="199" t="s">
        <v>3837</v>
      </c>
      <c r="F107" s="199" t="s">
        <v>3294</v>
      </c>
      <c r="G107" s="243" t="s">
        <v>3295</v>
      </c>
      <c r="H107" s="41" t="s">
        <v>2</v>
      </c>
      <c r="I107" s="246" t="s">
        <v>3027</v>
      </c>
      <c r="J107" s="232" t="s">
        <v>3236</v>
      </c>
      <c r="K107" s="161"/>
      <c r="L107" s="240"/>
      <c r="M107" s="240"/>
      <c r="N107" s="160"/>
      <c r="O107" s="139" t="s">
        <v>243</v>
      </c>
      <c r="P107" s="39" t="s">
        <v>251</v>
      </c>
      <c r="Q107" s="228" t="s">
        <v>3238</v>
      </c>
      <c r="R107" s="200" t="s">
        <v>2959</v>
      </c>
      <c r="S107" s="141" t="s">
        <v>246</v>
      </c>
      <c r="T107" s="241"/>
    </row>
    <row r="108" spans="1:20" ht="58" customHeight="1">
      <c r="A108" s="230" t="s">
        <v>2431</v>
      </c>
      <c r="B108" s="41" t="s">
        <v>6</v>
      </c>
      <c r="C108" s="40" t="s">
        <v>1525</v>
      </c>
      <c r="D108" s="40" t="s">
        <v>260</v>
      </c>
      <c r="E108" s="199" t="s">
        <v>748</v>
      </c>
      <c r="F108" s="199" t="s">
        <v>4137</v>
      </c>
      <c r="G108" s="243" t="s">
        <v>3023</v>
      </c>
      <c r="H108" s="41" t="s">
        <v>1516</v>
      </c>
      <c r="I108" s="246" t="s">
        <v>3029</v>
      </c>
      <c r="J108" s="232" t="s">
        <v>3926</v>
      </c>
      <c r="K108" s="161" t="s">
        <v>4553</v>
      </c>
      <c r="L108" s="240" t="s">
        <v>4566</v>
      </c>
      <c r="M108" s="240" t="s">
        <v>4567</v>
      </c>
      <c r="N108" s="160" t="s">
        <v>4332</v>
      </c>
      <c r="O108" s="139" t="s">
        <v>255</v>
      </c>
      <c r="P108" s="39" t="s">
        <v>259</v>
      </c>
      <c r="Q108" s="228" t="s">
        <v>3238</v>
      </c>
      <c r="R108" s="200" t="s">
        <v>2937</v>
      </c>
      <c r="S108" s="141" t="s">
        <v>258</v>
      </c>
      <c r="T108" s="241"/>
    </row>
    <row r="109" spans="1:20" ht="58" customHeight="1">
      <c r="A109" s="230" t="s">
        <v>2431</v>
      </c>
      <c r="B109" s="41" t="s">
        <v>6</v>
      </c>
      <c r="C109" s="40" t="s">
        <v>1525</v>
      </c>
      <c r="D109" s="40" t="s">
        <v>262</v>
      </c>
      <c r="E109" s="199" t="s">
        <v>749</v>
      </c>
      <c r="F109" s="199" t="s">
        <v>4082</v>
      </c>
      <c r="G109" s="243" t="s">
        <v>3023</v>
      </c>
      <c r="H109" s="41" t="s">
        <v>1516</v>
      </c>
      <c r="I109" s="246" t="s">
        <v>4554</v>
      </c>
      <c r="J109" s="232" t="s">
        <v>3927</v>
      </c>
      <c r="K109" s="161" t="s">
        <v>4327</v>
      </c>
      <c r="L109" s="240" t="s">
        <v>4486</v>
      </c>
      <c r="M109" s="240"/>
      <c r="N109" s="160" t="s">
        <v>4333</v>
      </c>
      <c r="O109" s="139" t="s">
        <v>255</v>
      </c>
      <c r="P109" s="39" t="s">
        <v>261</v>
      </c>
      <c r="Q109" s="228" t="s">
        <v>3238</v>
      </c>
      <c r="R109" s="200" t="s">
        <v>2937</v>
      </c>
      <c r="S109" s="141" t="s">
        <v>258</v>
      </c>
      <c r="T109" s="241"/>
    </row>
    <row r="110" spans="1:20" ht="58" customHeight="1">
      <c r="A110" s="230" t="s">
        <v>2431</v>
      </c>
      <c r="B110" s="41" t="s">
        <v>6</v>
      </c>
      <c r="C110" s="40" t="s">
        <v>1525</v>
      </c>
      <c r="D110" s="40" t="s">
        <v>254</v>
      </c>
      <c r="E110" s="199" t="s">
        <v>3838</v>
      </c>
      <c r="F110" s="199" t="s">
        <v>3296</v>
      </c>
      <c r="G110" s="243" t="s">
        <v>4624</v>
      </c>
      <c r="H110" s="41" t="s">
        <v>3</v>
      </c>
      <c r="I110" s="246" t="s">
        <v>3031</v>
      </c>
      <c r="J110" s="232" t="s">
        <v>3236</v>
      </c>
      <c r="K110" s="161"/>
      <c r="L110" s="240"/>
      <c r="M110" s="240"/>
      <c r="N110" s="160"/>
      <c r="O110" s="139" t="s">
        <v>243</v>
      </c>
      <c r="P110" s="39" t="s">
        <v>253</v>
      </c>
      <c r="Q110" s="228" t="s">
        <v>3238</v>
      </c>
      <c r="R110" s="200" t="s">
        <v>2959</v>
      </c>
      <c r="S110" s="141" t="s">
        <v>246</v>
      </c>
      <c r="T110" s="241"/>
    </row>
    <row r="111" spans="1:20" ht="58" customHeight="1">
      <c r="A111" s="230" t="s">
        <v>2431</v>
      </c>
      <c r="B111" s="41" t="s">
        <v>6</v>
      </c>
      <c r="C111" s="40" t="s">
        <v>1525</v>
      </c>
      <c r="D111" s="40" t="s">
        <v>4174</v>
      </c>
      <c r="E111" s="199" t="s">
        <v>750</v>
      </c>
      <c r="F111" s="199" t="s">
        <v>4083</v>
      </c>
      <c r="G111" s="243" t="s">
        <v>3022</v>
      </c>
      <c r="H111" s="41" t="s">
        <v>1516</v>
      </c>
      <c r="I111" s="246" t="s">
        <v>3029</v>
      </c>
      <c r="J111" s="232" t="s">
        <v>3928</v>
      </c>
      <c r="K111" s="161" t="s">
        <v>4175</v>
      </c>
      <c r="L111" s="240" t="s">
        <v>4362</v>
      </c>
      <c r="M111" s="240" t="s">
        <v>4363</v>
      </c>
      <c r="N111" s="160" t="s">
        <v>4332</v>
      </c>
      <c r="O111" s="139" t="s">
        <v>263</v>
      </c>
      <c r="P111" s="39" t="s">
        <v>4173</v>
      </c>
      <c r="Q111" s="228" t="s">
        <v>3238</v>
      </c>
      <c r="R111" s="200" t="s">
        <v>2936</v>
      </c>
      <c r="S111" s="141" t="s">
        <v>265</v>
      </c>
      <c r="T111" s="241"/>
    </row>
    <row r="112" spans="1:20" ht="58" customHeight="1">
      <c r="A112" s="230" t="s">
        <v>2431</v>
      </c>
      <c r="B112" s="41" t="s">
        <v>6</v>
      </c>
      <c r="C112" s="40" t="s">
        <v>1525</v>
      </c>
      <c r="D112" s="40" t="s">
        <v>4176</v>
      </c>
      <c r="E112" s="199" t="s">
        <v>750</v>
      </c>
      <c r="F112" s="199" t="s">
        <v>4083</v>
      </c>
      <c r="G112" s="243" t="s">
        <v>3022</v>
      </c>
      <c r="H112" s="41" t="s">
        <v>1516</v>
      </c>
      <c r="I112" s="246" t="s">
        <v>3029</v>
      </c>
      <c r="J112" s="232" t="s">
        <v>3928</v>
      </c>
      <c r="K112" s="161" t="s">
        <v>4178</v>
      </c>
      <c r="L112" s="240" t="s">
        <v>4364</v>
      </c>
      <c r="M112" s="240" t="s">
        <v>4365</v>
      </c>
      <c r="N112" s="160" t="s">
        <v>4332</v>
      </c>
      <c r="O112" s="139" t="s">
        <v>263</v>
      </c>
      <c r="P112" s="39" t="s">
        <v>4177</v>
      </c>
      <c r="Q112" s="228" t="s">
        <v>3238</v>
      </c>
      <c r="R112" s="200" t="s">
        <v>2936</v>
      </c>
      <c r="S112" s="141" t="s">
        <v>265</v>
      </c>
      <c r="T112" s="241"/>
    </row>
    <row r="113" spans="1:20" ht="58" customHeight="1">
      <c r="A113" s="230" t="s">
        <v>2431</v>
      </c>
      <c r="B113" s="41" t="s">
        <v>6</v>
      </c>
      <c r="C113" s="40" t="s">
        <v>1525</v>
      </c>
      <c r="D113" s="40" t="s">
        <v>267</v>
      </c>
      <c r="E113" s="199" t="s">
        <v>751</v>
      </c>
      <c r="F113" s="199" t="s">
        <v>4084</v>
      </c>
      <c r="G113" s="243" t="s">
        <v>3023</v>
      </c>
      <c r="H113" s="41" t="s">
        <v>1516</v>
      </c>
      <c r="I113" s="246" t="s">
        <v>3029</v>
      </c>
      <c r="J113" s="232" t="s">
        <v>3929</v>
      </c>
      <c r="K113" s="161" t="s">
        <v>4611</v>
      </c>
      <c r="L113" s="240"/>
      <c r="M113" s="240"/>
      <c r="N113" s="160"/>
      <c r="O113" s="139" t="s">
        <v>263</v>
      </c>
      <c r="P113" s="39" t="s">
        <v>266</v>
      </c>
      <c r="Q113" s="228" t="s">
        <v>3238</v>
      </c>
      <c r="R113" s="200" t="s">
        <v>2937</v>
      </c>
      <c r="S113" s="141" t="s">
        <v>265</v>
      </c>
      <c r="T113" s="241"/>
    </row>
    <row r="114" spans="1:20" ht="58" customHeight="1">
      <c r="A114" s="230" t="s">
        <v>2431</v>
      </c>
      <c r="B114" s="41" t="s">
        <v>6</v>
      </c>
      <c r="C114" s="40" t="s">
        <v>1525</v>
      </c>
      <c r="D114" s="40" t="s">
        <v>269</v>
      </c>
      <c r="E114" s="199" t="s">
        <v>752</v>
      </c>
      <c r="F114" s="199" t="s">
        <v>4085</v>
      </c>
      <c r="G114" s="243" t="s">
        <v>3023</v>
      </c>
      <c r="H114" s="41" t="s">
        <v>1516</v>
      </c>
      <c r="I114" s="246" t="s">
        <v>3029</v>
      </c>
      <c r="J114" s="232" t="s">
        <v>3930</v>
      </c>
      <c r="K114" s="161" t="s">
        <v>4596</v>
      </c>
      <c r="L114" s="240" t="s">
        <v>4598</v>
      </c>
      <c r="M114" s="240"/>
      <c r="N114" s="160" t="s">
        <v>4332</v>
      </c>
      <c r="O114" s="139" t="s">
        <v>263</v>
      </c>
      <c r="P114" s="39" t="s">
        <v>268</v>
      </c>
      <c r="Q114" s="228" t="s">
        <v>3238</v>
      </c>
      <c r="R114" s="200" t="s">
        <v>2937</v>
      </c>
      <c r="S114" s="141" t="s">
        <v>265</v>
      </c>
      <c r="T114" s="241"/>
    </row>
    <row r="115" spans="1:20" ht="58" customHeight="1">
      <c r="A115" s="230" t="s">
        <v>2431</v>
      </c>
      <c r="B115" s="41" t="s">
        <v>6</v>
      </c>
      <c r="C115" s="40" t="s">
        <v>1525</v>
      </c>
      <c r="D115" s="40" t="s">
        <v>271</v>
      </c>
      <c r="E115" s="199" t="s">
        <v>753</v>
      </c>
      <c r="F115" s="199" t="s">
        <v>4134</v>
      </c>
      <c r="G115" s="243" t="s">
        <v>3022</v>
      </c>
      <c r="H115" s="41" t="s">
        <v>1516</v>
      </c>
      <c r="I115" s="246" t="s">
        <v>3029</v>
      </c>
      <c r="J115" s="232" t="s">
        <v>3931</v>
      </c>
      <c r="K115" s="161" t="s">
        <v>4299</v>
      </c>
      <c r="L115" s="240" t="s">
        <v>4713</v>
      </c>
      <c r="M115" s="240" t="s">
        <v>4714</v>
      </c>
      <c r="N115" s="160" t="s">
        <v>4333</v>
      </c>
      <c r="O115" s="139" t="s">
        <v>263</v>
      </c>
      <c r="P115" s="39" t="s">
        <v>270</v>
      </c>
      <c r="Q115" s="228" t="s">
        <v>3238</v>
      </c>
      <c r="R115" s="200" t="s">
        <v>2936</v>
      </c>
      <c r="S115" s="141" t="s">
        <v>265</v>
      </c>
      <c r="T115" s="241" t="s">
        <v>4543</v>
      </c>
    </row>
    <row r="116" spans="1:20" ht="58" customHeight="1">
      <c r="A116" s="230" t="s">
        <v>2431</v>
      </c>
      <c r="B116" s="41" t="s">
        <v>6</v>
      </c>
      <c r="C116" s="40" t="s">
        <v>1525</v>
      </c>
      <c r="D116" s="40" t="s">
        <v>273</v>
      </c>
      <c r="E116" s="199" t="s">
        <v>754</v>
      </c>
      <c r="F116" s="199" t="s">
        <v>4086</v>
      </c>
      <c r="G116" s="243" t="s">
        <v>3019</v>
      </c>
      <c r="H116" s="41" t="s">
        <v>2</v>
      </c>
      <c r="I116" s="246" t="s">
        <v>3027</v>
      </c>
      <c r="J116" s="232" t="s">
        <v>3236</v>
      </c>
      <c r="K116" s="161"/>
      <c r="L116" s="240"/>
      <c r="M116" s="240"/>
      <c r="N116" s="160"/>
      <c r="O116" s="139" t="s">
        <v>263</v>
      </c>
      <c r="P116" s="39" t="s">
        <v>272</v>
      </c>
      <c r="Q116" s="228" t="s">
        <v>3238</v>
      </c>
      <c r="R116" s="200" t="s">
        <v>2956</v>
      </c>
      <c r="S116" s="141" t="s">
        <v>265</v>
      </c>
      <c r="T116" s="241"/>
    </row>
    <row r="117" spans="1:20" ht="58" customHeight="1">
      <c r="A117" s="230" t="s">
        <v>2431</v>
      </c>
      <c r="B117" s="41" t="s">
        <v>6</v>
      </c>
      <c r="C117" s="40" t="s">
        <v>1525</v>
      </c>
      <c r="D117" s="40" t="s">
        <v>275</v>
      </c>
      <c r="E117" s="199" t="s">
        <v>755</v>
      </c>
      <c r="F117" s="199" t="s">
        <v>4704</v>
      </c>
      <c r="G117" s="243" t="s">
        <v>4705</v>
      </c>
      <c r="H117" s="41" t="s">
        <v>1516</v>
      </c>
      <c r="I117" s="246" t="s">
        <v>3029</v>
      </c>
      <c r="J117" s="232" t="s">
        <v>3236</v>
      </c>
      <c r="K117" s="161" t="s">
        <v>4323</v>
      </c>
      <c r="L117" s="240" t="s">
        <v>4706</v>
      </c>
      <c r="M117" s="240"/>
      <c r="N117" s="160" t="s">
        <v>4332</v>
      </c>
      <c r="O117" s="139" t="s">
        <v>263</v>
      </c>
      <c r="P117" s="39" t="s">
        <v>274</v>
      </c>
      <c r="Q117" s="228" t="s">
        <v>3238</v>
      </c>
      <c r="R117" s="200" t="s">
        <v>2956</v>
      </c>
      <c r="S117" s="141" t="s">
        <v>265</v>
      </c>
      <c r="T117" s="241"/>
    </row>
    <row r="118" spans="1:20" ht="58" customHeight="1">
      <c r="A118" s="230" t="s">
        <v>2431</v>
      </c>
      <c r="B118" s="41" t="s">
        <v>6</v>
      </c>
      <c r="C118" s="40" t="s">
        <v>1525</v>
      </c>
      <c r="D118" s="40" t="s">
        <v>277</v>
      </c>
      <c r="E118" s="199" t="s">
        <v>3839</v>
      </c>
      <c r="F118" s="199" t="s">
        <v>3325</v>
      </c>
      <c r="G118" s="243" t="s">
        <v>4625</v>
      </c>
      <c r="H118" s="41" t="s">
        <v>3</v>
      </c>
      <c r="I118" s="246" t="s">
        <v>3031</v>
      </c>
      <c r="J118" s="232" t="s">
        <v>3236</v>
      </c>
      <c r="K118" s="161"/>
      <c r="L118" s="240"/>
      <c r="M118" s="240"/>
      <c r="N118" s="160"/>
      <c r="O118" s="139" t="s">
        <v>263</v>
      </c>
      <c r="P118" s="39" t="s">
        <v>276</v>
      </c>
      <c r="Q118" s="228" t="s">
        <v>3238</v>
      </c>
      <c r="R118" s="200" t="s">
        <v>2972</v>
      </c>
      <c r="S118" s="141" t="s">
        <v>265</v>
      </c>
      <c r="T118" s="241"/>
    </row>
    <row r="119" spans="1:20" ht="58" customHeight="1">
      <c r="A119" s="230" t="s">
        <v>2431</v>
      </c>
      <c r="B119" s="41" t="s">
        <v>6</v>
      </c>
      <c r="C119" s="40" t="s">
        <v>1524</v>
      </c>
      <c r="D119" s="40" t="s">
        <v>4180</v>
      </c>
      <c r="E119" s="199" t="s">
        <v>739</v>
      </c>
      <c r="F119" s="199" t="s">
        <v>4087</v>
      </c>
      <c r="G119" s="243" t="s">
        <v>3022</v>
      </c>
      <c r="H119" s="41" t="s">
        <v>1516</v>
      </c>
      <c r="I119" s="246" t="s">
        <v>3029</v>
      </c>
      <c r="J119" s="232" t="s">
        <v>3932</v>
      </c>
      <c r="K119" s="161" t="s">
        <v>4181</v>
      </c>
      <c r="L119" s="240" t="s">
        <v>4366</v>
      </c>
      <c r="M119" s="240" t="s">
        <v>4367</v>
      </c>
      <c r="N119" s="160" t="s">
        <v>4332</v>
      </c>
      <c r="O119" s="139" t="s">
        <v>231</v>
      </c>
      <c r="P119" s="39" t="s">
        <v>4179</v>
      </c>
      <c r="Q119" s="228" t="s">
        <v>3238</v>
      </c>
      <c r="R119" s="200" t="s">
        <v>2936</v>
      </c>
      <c r="S119" s="141" t="s">
        <v>233</v>
      </c>
      <c r="T119" s="241"/>
    </row>
    <row r="120" spans="1:20" ht="58" customHeight="1">
      <c r="A120" s="230" t="s">
        <v>2431</v>
      </c>
      <c r="B120" s="41" t="s">
        <v>6</v>
      </c>
      <c r="C120" s="40" t="s">
        <v>1524</v>
      </c>
      <c r="D120" s="40" t="s">
        <v>4182</v>
      </c>
      <c r="E120" s="199" t="s">
        <v>739</v>
      </c>
      <c r="F120" s="199" t="s">
        <v>4087</v>
      </c>
      <c r="G120" s="243" t="s">
        <v>3022</v>
      </c>
      <c r="H120" s="41" t="s">
        <v>1516</v>
      </c>
      <c r="I120" s="246" t="s">
        <v>3029</v>
      </c>
      <c r="J120" s="232" t="s">
        <v>3932</v>
      </c>
      <c r="K120" s="161" t="s">
        <v>4184</v>
      </c>
      <c r="L120" s="240" t="s">
        <v>4372</v>
      </c>
      <c r="M120" s="240" t="s">
        <v>4373</v>
      </c>
      <c r="N120" s="160" t="s">
        <v>4333</v>
      </c>
      <c r="O120" s="139" t="s">
        <v>231</v>
      </c>
      <c r="P120" s="39" t="s">
        <v>4183</v>
      </c>
      <c r="Q120" s="228" t="s">
        <v>3238</v>
      </c>
      <c r="R120" s="200" t="s">
        <v>2936</v>
      </c>
      <c r="S120" s="141" t="s">
        <v>233</v>
      </c>
      <c r="T120" s="241"/>
    </row>
    <row r="121" spans="1:20" ht="58" customHeight="1">
      <c r="A121" s="230" t="s">
        <v>2431</v>
      </c>
      <c r="B121" s="41" t="s">
        <v>6</v>
      </c>
      <c r="C121" s="40" t="s">
        <v>1524</v>
      </c>
      <c r="D121" s="40" t="s">
        <v>4186</v>
      </c>
      <c r="E121" s="199" t="s">
        <v>740</v>
      </c>
      <c r="F121" s="199" t="s">
        <v>4088</v>
      </c>
      <c r="G121" s="243" t="s">
        <v>3022</v>
      </c>
      <c r="H121" s="41" t="s">
        <v>1516</v>
      </c>
      <c r="I121" s="246" t="s">
        <v>4167</v>
      </c>
      <c r="J121" s="232" t="s">
        <v>3933</v>
      </c>
      <c r="K121" s="161" t="s">
        <v>4187</v>
      </c>
      <c r="L121" s="240" t="s">
        <v>4374</v>
      </c>
      <c r="M121" s="240" t="s">
        <v>4375</v>
      </c>
      <c r="N121" s="160" t="s">
        <v>4333</v>
      </c>
      <c r="O121" s="139" t="s">
        <v>231</v>
      </c>
      <c r="P121" s="39" t="s">
        <v>4185</v>
      </c>
      <c r="Q121" s="228" t="s">
        <v>3238</v>
      </c>
      <c r="R121" s="200" t="s">
        <v>2936</v>
      </c>
      <c r="S121" s="141" t="s">
        <v>233</v>
      </c>
      <c r="T121" s="241"/>
    </row>
    <row r="122" spans="1:20" ht="58" customHeight="1">
      <c r="A122" s="230" t="s">
        <v>2431</v>
      </c>
      <c r="B122" s="41" t="s">
        <v>6</v>
      </c>
      <c r="C122" s="40" t="s">
        <v>1524</v>
      </c>
      <c r="D122" s="40" t="s">
        <v>4188</v>
      </c>
      <c r="E122" s="199" t="s">
        <v>740</v>
      </c>
      <c r="F122" s="199" t="s">
        <v>4088</v>
      </c>
      <c r="G122" s="243" t="s">
        <v>3022</v>
      </c>
      <c r="H122" s="41" t="s">
        <v>1516</v>
      </c>
      <c r="I122" s="246" t="s">
        <v>4167</v>
      </c>
      <c r="J122" s="232" t="s">
        <v>3933</v>
      </c>
      <c r="K122" s="161" t="s">
        <v>4190</v>
      </c>
      <c r="L122" s="240" t="s">
        <v>4382</v>
      </c>
      <c r="M122" s="240" t="s">
        <v>4383</v>
      </c>
      <c r="N122" s="160" t="s">
        <v>4334</v>
      </c>
      <c r="O122" s="139" t="s">
        <v>231</v>
      </c>
      <c r="P122" s="39" t="s">
        <v>4189</v>
      </c>
      <c r="Q122" s="228" t="s">
        <v>3238</v>
      </c>
      <c r="R122" s="200" t="s">
        <v>2936</v>
      </c>
      <c r="S122" s="141" t="s">
        <v>233</v>
      </c>
      <c r="T122" s="241"/>
    </row>
    <row r="123" spans="1:20" ht="58" customHeight="1">
      <c r="A123" s="230" t="s">
        <v>2431</v>
      </c>
      <c r="B123" s="41" t="s">
        <v>6</v>
      </c>
      <c r="C123" s="40" t="s">
        <v>1524</v>
      </c>
      <c r="D123" s="40" t="s">
        <v>236</v>
      </c>
      <c r="E123" s="199" t="s">
        <v>741</v>
      </c>
      <c r="F123" s="199" t="s">
        <v>4089</v>
      </c>
      <c r="G123" s="243" t="s">
        <v>3019</v>
      </c>
      <c r="H123" s="41" t="s">
        <v>2</v>
      </c>
      <c r="I123" s="246" t="s">
        <v>3027</v>
      </c>
      <c r="J123" s="232" t="s">
        <v>3236</v>
      </c>
      <c r="K123" s="161"/>
      <c r="L123" s="240"/>
      <c r="M123" s="240"/>
      <c r="N123" s="160"/>
      <c r="O123" s="139" t="s">
        <v>231</v>
      </c>
      <c r="P123" s="39" t="s">
        <v>235</v>
      </c>
      <c r="Q123" s="228" t="s">
        <v>3238</v>
      </c>
      <c r="R123" s="200" t="s">
        <v>2956</v>
      </c>
      <c r="S123" s="141" t="s">
        <v>233</v>
      </c>
      <c r="T123" s="241"/>
    </row>
    <row r="124" spans="1:20" ht="58" customHeight="1">
      <c r="A124" s="230" t="s">
        <v>2431</v>
      </c>
      <c r="B124" s="41" t="s">
        <v>6</v>
      </c>
      <c r="C124" s="40" t="s">
        <v>1524</v>
      </c>
      <c r="D124" s="40" t="s">
        <v>238</v>
      </c>
      <c r="E124" s="199" t="s">
        <v>742</v>
      </c>
      <c r="F124" s="199" t="s">
        <v>4090</v>
      </c>
      <c r="G124" s="243" t="s">
        <v>3019</v>
      </c>
      <c r="H124" s="41" t="s">
        <v>2</v>
      </c>
      <c r="I124" s="246" t="s">
        <v>3027</v>
      </c>
      <c r="J124" s="232" t="s">
        <v>3236</v>
      </c>
      <c r="K124" s="161"/>
      <c r="L124" s="240"/>
      <c r="M124" s="240"/>
      <c r="N124" s="160"/>
      <c r="O124" s="139" t="s">
        <v>231</v>
      </c>
      <c r="P124" s="39" t="s">
        <v>237</v>
      </c>
      <c r="Q124" s="228" t="s">
        <v>3238</v>
      </c>
      <c r="R124" s="200" t="s">
        <v>2956</v>
      </c>
      <c r="S124" s="141" t="s">
        <v>233</v>
      </c>
      <c r="T124" s="241"/>
    </row>
    <row r="125" spans="1:20" ht="58" customHeight="1">
      <c r="A125" s="230" t="s">
        <v>2431</v>
      </c>
      <c r="B125" s="41" t="s">
        <v>6</v>
      </c>
      <c r="C125" s="40" t="s">
        <v>1524</v>
      </c>
      <c r="D125" s="40" t="s">
        <v>240</v>
      </c>
      <c r="E125" s="199" t="s">
        <v>743</v>
      </c>
      <c r="F125" s="199" t="s">
        <v>4091</v>
      </c>
      <c r="G125" s="243" t="s">
        <v>3019</v>
      </c>
      <c r="H125" s="41" t="s">
        <v>2</v>
      </c>
      <c r="I125" s="246" t="s">
        <v>3027</v>
      </c>
      <c r="J125" s="232" t="s">
        <v>3236</v>
      </c>
      <c r="K125" s="161"/>
      <c r="L125" s="240"/>
      <c r="M125" s="240"/>
      <c r="N125" s="160"/>
      <c r="O125" s="139" t="s">
        <v>231</v>
      </c>
      <c r="P125" s="39" t="s">
        <v>239</v>
      </c>
      <c r="Q125" s="228" t="s">
        <v>3238</v>
      </c>
      <c r="R125" s="200" t="s">
        <v>2956</v>
      </c>
      <c r="S125" s="141" t="s">
        <v>233</v>
      </c>
      <c r="T125" s="241"/>
    </row>
    <row r="126" spans="1:20" ht="58" customHeight="1">
      <c r="A126" s="230" t="s">
        <v>2431</v>
      </c>
      <c r="B126" s="41" t="s">
        <v>6</v>
      </c>
      <c r="C126" s="40" t="s">
        <v>1524</v>
      </c>
      <c r="D126" s="40" t="s">
        <v>242</v>
      </c>
      <c r="E126" s="199" t="s">
        <v>744</v>
      </c>
      <c r="F126" s="199" t="s">
        <v>4092</v>
      </c>
      <c r="G126" s="243" t="s">
        <v>3019</v>
      </c>
      <c r="H126" s="41" t="s">
        <v>2</v>
      </c>
      <c r="I126" s="246" t="s">
        <v>3027</v>
      </c>
      <c r="J126" s="232" t="s">
        <v>3236</v>
      </c>
      <c r="K126" s="161"/>
      <c r="L126" s="240"/>
      <c r="M126" s="240"/>
      <c r="N126" s="160"/>
      <c r="O126" s="139" t="s">
        <v>231</v>
      </c>
      <c r="P126" s="39" t="s">
        <v>241</v>
      </c>
      <c r="Q126" s="228" t="s">
        <v>3238</v>
      </c>
      <c r="R126" s="200" t="s">
        <v>2956</v>
      </c>
      <c r="S126" s="141" t="s">
        <v>233</v>
      </c>
      <c r="T126" s="241"/>
    </row>
    <row r="127" spans="1:20" ht="58" customHeight="1">
      <c r="A127" s="230" t="s">
        <v>2431</v>
      </c>
      <c r="B127" s="41" t="s">
        <v>6</v>
      </c>
      <c r="C127" s="40" t="s">
        <v>1524</v>
      </c>
      <c r="D127" s="40" t="s">
        <v>331</v>
      </c>
      <c r="E127" s="199" t="s">
        <v>4009</v>
      </c>
      <c r="F127" s="199" t="s">
        <v>3297</v>
      </c>
      <c r="G127" s="243" t="s">
        <v>4712</v>
      </c>
      <c r="H127" s="41" t="s">
        <v>1516</v>
      </c>
      <c r="I127" s="246" t="s">
        <v>3029</v>
      </c>
      <c r="J127" s="232" t="s">
        <v>4012</v>
      </c>
      <c r="K127" s="161" t="s">
        <v>4296</v>
      </c>
      <c r="L127" s="240" t="s">
        <v>4710</v>
      </c>
      <c r="M127" s="240" t="s">
        <v>4711</v>
      </c>
      <c r="N127" s="160" t="s">
        <v>4332</v>
      </c>
      <c r="O127" s="139" t="s">
        <v>329</v>
      </c>
      <c r="P127" s="39" t="s">
        <v>330</v>
      </c>
      <c r="Q127" s="228" t="s">
        <v>3238</v>
      </c>
      <c r="R127" s="200" t="s">
        <v>2976</v>
      </c>
      <c r="S127" s="141" t="s">
        <v>332</v>
      </c>
      <c r="T127" s="241"/>
    </row>
    <row r="128" spans="1:20" ht="58" customHeight="1">
      <c r="A128" s="230" t="s">
        <v>2431</v>
      </c>
      <c r="B128" s="41" t="s">
        <v>6</v>
      </c>
      <c r="C128" s="40" t="s">
        <v>1524</v>
      </c>
      <c r="D128" s="40" t="s">
        <v>334</v>
      </c>
      <c r="E128" s="199" t="s">
        <v>4002</v>
      </c>
      <c r="F128" s="199" t="s">
        <v>4003</v>
      </c>
      <c r="G128" s="243" t="s">
        <v>4004</v>
      </c>
      <c r="H128" s="41" t="s">
        <v>1516</v>
      </c>
      <c r="I128" s="246" t="s">
        <v>3029</v>
      </c>
      <c r="J128" s="232" t="s">
        <v>4011</v>
      </c>
      <c r="K128" s="161" t="s">
        <v>4323</v>
      </c>
      <c r="L128" s="240" t="s">
        <v>4715</v>
      </c>
      <c r="M128" s="240"/>
      <c r="N128" s="160" t="s">
        <v>4332</v>
      </c>
      <c r="O128" s="139" t="s">
        <v>329</v>
      </c>
      <c r="P128" s="39" t="s">
        <v>333</v>
      </c>
      <c r="Q128" s="228" t="s">
        <v>3238</v>
      </c>
      <c r="R128" s="200" t="s">
        <v>2975</v>
      </c>
      <c r="S128" s="141" t="s">
        <v>332</v>
      </c>
      <c r="T128" s="241" t="s">
        <v>4005</v>
      </c>
    </row>
    <row r="129" spans="1:20" ht="58" customHeight="1">
      <c r="A129" s="230" t="s">
        <v>2431</v>
      </c>
      <c r="B129" s="41" t="s">
        <v>6</v>
      </c>
      <c r="C129" s="40" t="s">
        <v>1524</v>
      </c>
      <c r="D129" s="40" t="s">
        <v>336</v>
      </c>
      <c r="E129" s="199" t="s">
        <v>4006</v>
      </c>
      <c r="F129" s="199" t="s">
        <v>3298</v>
      </c>
      <c r="G129" s="243" t="s">
        <v>4007</v>
      </c>
      <c r="H129" s="41" t="s">
        <v>2</v>
      </c>
      <c r="I129" s="246" t="s">
        <v>3027</v>
      </c>
      <c r="J129" s="232" t="s">
        <v>3992</v>
      </c>
      <c r="K129" s="161" t="s">
        <v>955</v>
      </c>
      <c r="L129" s="240"/>
      <c r="M129" s="240"/>
      <c r="N129" s="160"/>
      <c r="O129" s="139" t="s">
        <v>329</v>
      </c>
      <c r="P129" s="39" t="s">
        <v>335</v>
      </c>
      <c r="Q129" s="228" t="s">
        <v>3238</v>
      </c>
      <c r="R129" s="200" t="s">
        <v>2977</v>
      </c>
      <c r="S129" s="141" t="s">
        <v>332</v>
      </c>
      <c r="T129" s="241" t="s">
        <v>4008</v>
      </c>
    </row>
    <row r="130" spans="1:20" ht="58" customHeight="1">
      <c r="A130" s="230" t="s">
        <v>2431</v>
      </c>
      <c r="B130" s="41" t="s">
        <v>6</v>
      </c>
      <c r="C130" s="40" t="s">
        <v>1524</v>
      </c>
      <c r="D130" s="40" t="s">
        <v>338</v>
      </c>
      <c r="E130" s="199" t="s">
        <v>775</v>
      </c>
      <c r="F130" s="199" t="s">
        <v>4093</v>
      </c>
      <c r="G130" s="243" t="s">
        <v>3022</v>
      </c>
      <c r="H130" s="41" t="s">
        <v>1516</v>
      </c>
      <c r="I130" s="246" t="s">
        <v>3029</v>
      </c>
      <c r="J130" s="232" t="s">
        <v>3934</v>
      </c>
      <c r="K130" s="161" t="s">
        <v>4300</v>
      </c>
      <c r="L130" s="240" t="s">
        <v>4376</v>
      </c>
      <c r="M130" s="240" t="s">
        <v>4377</v>
      </c>
      <c r="N130" s="160" t="s">
        <v>4333</v>
      </c>
      <c r="O130" s="139" t="s">
        <v>329</v>
      </c>
      <c r="P130" s="39" t="s">
        <v>337</v>
      </c>
      <c r="Q130" s="228" t="s">
        <v>3238</v>
      </c>
      <c r="R130" s="200" t="s">
        <v>2936</v>
      </c>
      <c r="S130" s="141" t="s">
        <v>332</v>
      </c>
      <c r="T130" s="241"/>
    </row>
    <row r="131" spans="1:20" ht="58" customHeight="1">
      <c r="A131" s="230" t="s">
        <v>2431</v>
      </c>
      <c r="B131" s="41" t="s">
        <v>6</v>
      </c>
      <c r="C131" s="40" t="s">
        <v>1524</v>
      </c>
      <c r="D131" s="40" t="s">
        <v>340</v>
      </c>
      <c r="E131" s="199" t="s">
        <v>776</v>
      </c>
      <c r="F131" s="199" t="s">
        <v>4094</v>
      </c>
      <c r="G131" s="243" t="s">
        <v>3022</v>
      </c>
      <c r="H131" s="41" t="s">
        <v>1516</v>
      </c>
      <c r="I131" s="246" t="s">
        <v>3029</v>
      </c>
      <c r="J131" s="232" t="s">
        <v>3935</v>
      </c>
      <c r="K131" s="161" t="s">
        <v>4301</v>
      </c>
      <c r="L131" s="240" t="s">
        <v>4378</v>
      </c>
      <c r="M131" s="240" t="s">
        <v>4379</v>
      </c>
      <c r="N131" s="160" t="s">
        <v>4333</v>
      </c>
      <c r="O131" s="139" t="s">
        <v>329</v>
      </c>
      <c r="P131" s="39" t="s">
        <v>339</v>
      </c>
      <c r="Q131" s="228" t="s">
        <v>3238</v>
      </c>
      <c r="R131" s="200" t="s">
        <v>2936</v>
      </c>
      <c r="S131" s="141" t="s">
        <v>332</v>
      </c>
      <c r="T131" s="241"/>
    </row>
    <row r="132" spans="1:20" ht="58" customHeight="1">
      <c r="A132" s="230" t="s">
        <v>2431</v>
      </c>
      <c r="B132" s="41" t="s">
        <v>6</v>
      </c>
      <c r="C132" s="40" t="s">
        <v>1524</v>
      </c>
      <c r="D132" s="40" t="s">
        <v>342</v>
      </c>
      <c r="E132" s="199" t="s">
        <v>777</v>
      </c>
      <c r="F132" s="199" t="s">
        <v>4095</v>
      </c>
      <c r="G132" s="243" t="s">
        <v>3022</v>
      </c>
      <c r="H132" s="41" t="s">
        <v>1516</v>
      </c>
      <c r="I132" s="246" t="s">
        <v>3029</v>
      </c>
      <c r="J132" s="232" t="s">
        <v>3936</v>
      </c>
      <c r="K132" s="161" t="s">
        <v>4323</v>
      </c>
      <c r="L132" s="240" t="s">
        <v>4716</v>
      </c>
      <c r="M132" s="240"/>
      <c r="N132" s="160" t="s">
        <v>4332</v>
      </c>
      <c r="O132" s="139" t="s">
        <v>329</v>
      </c>
      <c r="P132" s="39" t="s">
        <v>341</v>
      </c>
      <c r="Q132" s="228" t="s">
        <v>3238</v>
      </c>
      <c r="R132" s="200" t="s">
        <v>2936</v>
      </c>
      <c r="S132" s="141" t="s">
        <v>332</v>
      </c>
      <c r="T132" s="241"/>
    </row>
    <row r="133" spans="1:20" ht="58" customHeight="1">
      <c r="A133" s="230" t="s">
        <v>2431</v>
      </c>
      <c r="B133" s="41" t="s">
        <v>6</v>
      </c>
      <c r="C133" s="40" t="s">
        <v>1524</v>
      </c>
      <c r="D133" s="40" t="s">
        <v>344</v>
      </c>
      <c r="E133" s="199" t="s">
        <v>778</v>
      </c>
      <c r="F133" s="199" t="s">
        <v>345</v>
      </c>
      <c r="G133" s="243" t="s">
        <v>3022</v>
      </c>
      <c r="H133" s="41" t="s">
        <v>1516</v>
      </c>
      <c r="I133" s="246" t="s">
        <v>4167</v>
      </c>
      <c r="J133" s="232" t="s">
        <v>3937</v>
      </c>
      <c r="K133" s="161" t="s">
        <v>4302</v>
      </c>
      <c r="L133" s="240" t="s">
        <v>4380</v>
      </c>
      <c r="M133" s="240" t="s">
        <v>4381</v>
      </c>
      <c r="N133" s="160" t="s">
        <v>4333</v>
      </c>
      <c r="O133" s="139" t="s">
        <v>329</v>
      </c>
      <c r="P133" s="39" t="s">
        <v>343</v>
      </c>
      <c r="Q133" s="228" t="s">
        <v>3238</v>
      </c>
      <c r="R133" s="200" t="s">
        <v>2936</v>
      </c>
      <c r="S133" s="141" t="s">
        <v>332</v>
      </c>
      <c r="T133" s="241"/>
    </row>
    <row r="134" spans="1:20" ht="58" customHeight="1">
      <c r="A134" s="230" t="s">
        <v>2431</v>
      </c>
      <c r="B134" s="41" t="s">
        <v>6</v>
      </c>
      <c r="C134" s="40" t="s">
        <v>1524</v>
      </c>
      <c r="D134" s="40" t="s">
        <v>347</v>
      </c>
      <c r="E134" s="199" t="s">
        <v>779</v>
      </c>
      <c r="F134" s="199" t="s">
        <v>4096</v>
      </c>
      <c r="G134" s="243" t="s">
        <v>3022</v>
      </c>
      <c r="H134" s="41" t="s">
        <v>1516</v>
      </c>
      <c r="I134" s="246" t="s">
        <v>4167</v>
      </c>
      <c r="J134" s="232" t="s">
        <v>3938</v>
      </c>
      <c r="K134" s="161" t="s">
        <v>4297</v>
      </c>
      <c r="L134" s="240" t="s">
        <v>4368</v>
      </c>
      <c r="M134" s="240" t="s">
        <v>4369</v>
      </c>
      <c r="N134" s="160" t="s">
        <v>4332</v>
      </c>
      <c r="O134" s="139" t="s">
        <v>329</v>
      </c>
      <c r="P134" s="39" t="s">
        <v>346</v>
      </c>
      <c r="Q134" s="228" t="s">
        <v>3238</v>
      </c>
      <c r="R134" s="200" t="s">
        <v>2936</v>
      </c>
      <c r="S134" s="141" t="s">
        <v>332</v>
      </c>
      <c r="T134" s="241"/>
    </row>
    <row r="135" spans="1:20" ht="58" customHeight="1">
      <c r="A135" s="230" t="s">
        <v>2431</v>
      </c>
      <c r="B135" s="41" t="s">
        <v>6</v>
      </c>
      <c r="C135" s="40" t="s">
        <v>1526</v>
      </c>
      <c r="D135" s="40" t="s">
        <v>280</v>
      </c>
      <c r="E135" s="199" t="s">
        <v>756</v>
      </c>
      <c r="F135" s="199" t="s">
        <v>4097</v>
      </c>
      <c r="G135" s="243" t="s">
        <v>3019</v>
      </c>
      <c r="H135" s="41" t="s">
        <v>2</v>
      </c>
      <c r="I135" s="246" t="s">
        <v>3027</v>
      </c>
      <c r="J135" s="232" t="s">
        <v>3236</v>
      </c>
      <c r="K135" s="161"/>
      <c r="L135" s="240"/>
      <c r="M135" s="240"/>
      <c r="N135" s="160"/>
      <c r="O135" s="139" t="s">
        <v>278</v>
      </c>
      <c r="P135" s="39" t="s">
        <v>279</v>
      </c>
      <c r="Q135" s="228" t="s">
        <v>3238</v>
      </c>
      <c r="R135" s="200" t="s">
        <v>2956</v>
      </c>
      <c r="S135" s="141" t="s">
        <v>281</v>
      </c>
      <c r="T135" s="241"/>
    </row>
    <row r="136" spans="1:20" ht="58" customHeight="1">
      <c r="A136" s="230" t="s">
        <v>2431</v>
      </c>
      <c r="B136" s="41" t="s">
        <v>6</v>
      </c>
      <c r="C136" s="40" t="s">
        <v>1526</v>
      </c>
      <c r="D136" s="40" t="s">
        <v>283</v>
      </c>
      <c r="E136" s="199" t="s">
        <v>757</v>
      </c>
      <c r="F136" s="199" t="s">
        <v>4098</v>
      </c>
      <c r="G136" s="243" t="s">
        <v>3019</v>
      </c>
      <c r="H136" s="41" t="s">
        <v>2</v>
      </c>
      <c r="I136" s="246" t="s">
        <v>3027</v>
      </c>
      <c r="J136" s="232" t="s">
        <v>3236</v>
      </c>
      <c r="K136" s="161"/>
      <c r="L136" s="240"/>
      <c r="M136" s="240"/>
      <c r="N136" s="160"/>
      <c r="O136" s="139" t="s">
        <v>278</v>
      </c>
      <c r="P136" s="39" t="s">
        <v>282</v>
      </c>
      <c r="Q136" s="228" t="s">
        <v>3238</v>
      </c>
      <c r="R136" s="200" t="s">
        <v>2956</v>
      </c>
      <c r="S136" s="141" t="s">
        <v>281</v>
      </c>
      <c r="T136" s="241"/>
    </row>
    <row r="137" spans="1:20" ht="58" customHeight="1">
      <c r="A137" s="230" t="s">
        <v>2431</v>
      </c>
      <c r="B137" s="41" t="s">
        <v>6</v>
      </c>
      <c r="C137" s="40" t="s">
        <v>1526</v>
      </c>
      <c r="D137" s="40" t="s">
        <v>285</v>
      </c>
      <c r="E137" s="199" t="s">
        <v>758</v>
      </c>
      <c r="F137" s="199" t="s">
        <v>4099</v>
      </c>
      <c r="G137" s="243" t="s">
        <v>3023</v>
      </c>
      <c r="H137" s="41" t="s">
        <v>1516</v>
      </c>
      <c r="I137" s="246" t="s">
        <v>3029</v>
      </c>
      <c r="J137" s="232" t="s">
        <v>3939</v>
      </c>
      <c r="K137" s="161" t="s">
        <v>4611</v>
      </c>
      <c r="L137" s="240"/>
      <c r="M137" s="240"/>
      <c r="N137" s="160"/>
      <c r="O137" s="139" t="s">
        <v>278</v>
      </c>
      <c r="P137" s="39" t="s">
        <v>284</v>
      </c>
      <c r="Q137" s="228" t="s">
        <v>3238</v>
      </c>
      <c r="R137" s="200" t="s">
        <v>2937</v>
      </c>
      <c r="S137" s="141" t="s">
        <v>281</v>
      </c>
      <c r="T137" s="241"/>
    </row>
    <row r="138" spans="1:20" ht="58" customHeight="1">
      <c r="A138" s="230" t="s">
        <v>2431</v>
      </c>
      <c r="B138" s="41" t="s">
        <v>6</v>
      </c>
      <c r="C138" s="40" t="s">
        <v>1526</v>
      </c>
      <c r="D138" s="40" t="s">
        <v>292</v>
      </c>
      <c r="E138" s="199" t="s">
        <v>761</v>
      </c>
      <c r="F138" s="199" t="s">
        <v>4100</v>
      </c>
      <c r="G138" s="243" t="s">
        <v>3023</v>
      </c>
      <c r="H138" s="41" t="s">
        <v>1516</v>
      </c>
      <c r="I138" s="246" t="s">
        <v>3029</v>
      </c>
      <c r="J138" s="232" t="s">
        <v>3940</v>
      </c>
      <c r="K138" s="161" t="s">
        <v>4611</v>
      </c>
      <c r="L138" s="240"/>
      <c r="M138" s="240"/>
      <c r="N138" s="160"/>
      <c r="O138" s="139" t="s">
        <v>290</v>
      </c>
      <c r="P138" s="39" t="s">
        <v>291</v>
      </c>
      <c r="Q138" s="228" t="s">
        <v>3238</v>
      </c>
      <c r="R138" s="200" t="s">
        <v>2937</v>
      </c>
      <c r="S138" s="141" t="s">
        <v>293</v>
      </c>
      <c r="T138" s="241"/>
    </row>
    <row r="139" spans="1:20" ht="58" customHeight="1">
      <c r="A139" s="230" t="s">
        <v>2431</v>
      </c>
      <c r="B139" s="41" t="s">
        <v>6</v>
      </c>
      <c r="C139" s="40" t="s">
        <v>1526</v>
      </c>
      <c r="D139" s="40" t="s">
        <v>295</v>
      </c>
      <c r="E139" s="199" t="s">
        <v>762</v>
      </c>
      <c r="F139" s="199" t="s">
        <v>4101</v>
      </c>
      <c r="G139" s="243" t="s">
        <v>3023</v>
      </c>
      <c r="H139" s="41" t="s">
        <v>1516</v>
      </c>
      <c r="I139" s="246" t="s">
        <v>3029</v>
      </c>
      <c r="J139" s="232" t="s">
        <v>3941</v>
      </c>
      <c r="K139" s="161" t="s">
        <v>4611</v>
      </c>
      <c r="L139" s="240"/>
      <c r="M139" s="240"/>
      <c r="N139" s="160"/>
      <c r="O139" s="139" t="s">
        <v>290</v>
      </c>
      <c r="P139" s="39" t="s">
        <v>294</v>
      </c>
      <c r="Q139" s="228" t="s">
        <v>3238</v>
      </c>
      <c r="R139" s="200" t="s">
        <v>2937</v>
      </c>
      <c r="S139" s="141" t="s">
        <v>293</v>
      </c>
      <c r="T139" s="241"/>
    </row>
    <row r="140" spans="1:20" ht="58" customHeight="1">
      <c r="A140" s="230" t="s">
        <v>2431</v>
      </c>
      <c r="B140" s="41" t="s">
        <v>6</v>
      </c>
      <c r="C140" s="40" t="s">
        <v>1526</v>
      </c>
      <c r="D140" s="40" t="s">
        <v>297</v>
      </c>
      <c r="E140" s="199" t="s">
        <v>763</v>
      </c>
      <c r="F140" s="199" t="s">
        <v>4102</v>
      </c>
      <c r="G140" s="243" t="s">
        <v>3023</v>
      </c>
      <c r="H140" s="41" t="s">
        <v>1516</v>
      </c>
      <c r="I140" s="246" t="s">
        <v>3029</v>
      </c>
      <c r="J140" s="232" t="s">
        <v>3942</v>
      </c>
      <c r="K140" s="161" t="s">
        <v>4611</v>
      </c>
      <c r="L140" s="240"/>
      <c r="M140" s="240"/>
      <c r="N140" s="160"/>
      <c r="O140" s="139" t="s">
        <v>290</v>
      </c>
      <c r="P140" s="39" t="s">
        <v>296</v>
      </c>
      <c r="Q140" s="228" t="s">
        <v>3238</v>
      </c>
      <c r="R140" s="200" t="s">
        <v>2937</v>
      </c>
      <c r="S140" s="141" t="s">
        <v>293</v>
      </c>
      <c r="T140" s="241"/>
    </row>
    <row r="141" spans="1:20" ht="58" customHeight="1">
      <c r="A141" s="230" t="s">
        <v>2431</v>
      </c>
      <c r="B141" s="41" t="s">
        <v>6</v>
      </c>
      <c r="C141" s="40" t="s">
        <v>1526</v>
      </c>
      <c r="D141" s="40" t="s">
        <v>299</v>
      </c>
      <c r="E141" s="199" t="s">
        <v>764</v>
      </c>
      <c r="F141" s="199" t="s">
        <v>4103</v>
      </c>
      <c r="G141" s="243" t="s">
        <v>3023</v>
      </c>
      <c r="H141" s="41" t="s">
        <v>1516</v>
      </c>
      <c r="I141" s="246" t="s">
        <v>3029</v>
      </c>
      <c r="J141" s="232" t="s">
        <v>3943</v>
      </c>
      <c r="K141" s="161" t="s">
        <v>4611</v>
      </c>
      <c r="L141" s="240"/>
      <c r="M141" s="240"/>
      <c r="N141" s="160"/>
      <c r="O141" s="139" t="s">
        <v>290</v>
      </c>
      <c r="P141" s="39" t="s">
        <v>298</v>
      </c>
      <c r="Q141" s="228" t="s">
        <v>3238</v>
      </c>
      <c r="R141" s="200" t="s">
        <v>2937</v>
      </c>
      <c r="S141" s="141" t="s">
        <v>293</v>
      </c>
      <c r="T141" s="241"/>
    </row>
    <row r="142" spans="1:20" ht="58" customHeight="1">
      <c r="A142" s="230" t="s">
        <v>2431</v>
      </c>
      <c r="B142" s="41" t="s">
        <v>6</v>
      </c>
      <c r="C142" s="40" t="s">
        <v>1526</v>
      </c>
      <c r="D142" s="40" t="s">
        <v>301</v>
      </c>
      <c r="E142" s="199" t="s">
        <v>765</v>
      </c>
      <c r="F142" s="199" t="s">
        <v>4104</v>
      </c>
      <c r="G142" s="243" t="s">
        <v>3023</v>
      </c>
      <c r="H142" s="41" t="s">
        <v>1516</v>
      </c>
      <c r="I142" s="246" t="s">
        <v>3029</v>
      </c>
      <c r="J142" s="232" t="s">
        <v>3944</v>
      </c>
      <c r="K142" s="161" t="s">
        <v>4611</v>
      </c>
      <c r="L142" s="240"/>
      <c r="M142" s="240"/>
      <c r="N142" s="160"/>
      <c r="O142" s="139" t="s">
        <v>290</v>
      </c>
      <c r="P142" s="39" t="s">
        <v>300</v>
      </c>
      <c r="Q142" s="228" t="s">
        <v>3238</v>
      </c>
      <c r="R142" s="200" t="s">
        <v>2937</v>
      </c>
      <c r="S142" s="141" t="s">
        <v>293</v>
      </c>
      <c r="T142" s="241"/>
    </row>
    <row r="143" spans="1:20" ht="58" customHeight="1">
      <c r="A143" s="230" t="s">
        <v>2431</v>
      </c>
      <c r="B143" s="41" t="s">
        <v>6</v>
      </c>
      <c r="C143" s="40" t="s">
        <v>1526</v>
      </c>
      <c r="D143" s="40" t="s">
        <v>287</v>
      </c>
      <c r="E143" s="199" t="s">
        <v>759</v>
      </c>
      <c r="F143" s="199" t="s">
        <v>4105</v>
      </c>
      <c r="G143" s="243" t="s">
        <v>3023</v>
      </c>
      <c r="H143" s="41" t="s">
        <v>1516</v>
      </c>
      <c r="I143" s="246" t="s">
        <v>3029</v>
      </c>
      <c r="J143" s="232" t="s">
        <v>3945</v>
      </c>
      <c r="K143" s="161" t="s">
        <v>4611</v>
      </c>
      <c r="L143" s="240"/>
      <c r="M143" s="240"/>
      <c r="N143" s="160"/>
      <c r="O143" s="139" t="s">
        <v>278</v>
      </c>
      <c r="P143" s="39" t="s">
        <v>286</v>
      </c>
      <c r="Q143" s="228" t="s">
        <v>3238</v>
      </c>
      <c r="R143" s="200" t="s">
        <v>2937</v>
      </c>
      <c r="S143" s="141" t="s">
        <v>281</v>
      </c>
      <c r="T143" s="241"/>
    </row>
    <row r="144" spans="1:20" ht="58" customHeight="1">
      <c r="A144" s="230" t="s">
        <v>2431</v>
      </c>
      <c r="B144" s="41" t="s">
        <v>6</v>
      </c>
      <c r="C144" s="40" t="s">
        <v>1526</v>
      </c>
      <c r="D144" s="40" t="s">
        <v>306</v>
      </c>
      <c r="E144" s="199" t="s">
        <v>767</v>
      </c>
      <c r="F144" s="199" t="s">
        <v>4138</v>
      </c>
      <c r="G144" s="243" t="s">
        <v>3023</v>
      </c>
      <c r="H144" s="41" t="s">
        <v>1516</v>
      </c>
      <c r="I144" s="246" t="s">
        <v>3029</v>
      </c>
      <c r="J144" s="232" t="s">
        <v>3946</v>
      </c>
      <c r="K144" s="161" t="s">
        <v>4611</v>
      </c>
      <c r="L144" s="240"/>
      <c r="M144" s="240"/>
      <c r="N144" s="160"/>
      <c r="O144" s="139" t="s">
        <v>304</v>
      </c>
      <c r="P144" s="39" t="s">
        <v>305</v>
      </c>
      <c r="Q144" s="228" t="s">
        <v>3238</v>
      </c>
      <c r="R144" s="200" t="s">
        <v>2937</v>
      </c>
      <c r="S144" s="141" t="s">
        <v>307</v>
      </c>
      <c r="T144" s="241"/>
    </row>
    <row r="145" spans="1:20" ht="58" customHeight="1">
      <c r="A145" s="230" t="s">
        <v>2431</v>
      </c>
      <c r="B145" s="41" t="s">
        <v>6</v>
      </c>
      <c r="C145" s="40" t="s">
        <v>1526</v>
      </c>
      <c r="D145" s="40" t="s">
        <v>309</v>
      </c>
      <c r="E145" s="199" t="s">
        <v>768</v>
      </c>
      <c r="F145" s="199" t="s">
        <v>4139</v>
      </c>
      <c r="G145" s="243" t="s">
        <v>3023</v>
      </c>
      <c r="H145" s="41" t="s">
        <v>1516</v>
      </c>
      <c r="I145" s="246" t="s">
        <v>3029</v>
      </c>
      <c r="J145" s="232" t="s">
        <v>3947</v>
      </c>
      <c r="K145" s="161" t="s">
        <v>4571</v>
      </c>
      <c r="L145" s="240" t="s">
        <v>4572</v>
      </c>
      <c r="M145" s="240" t="s">
        <v>4573</v>
      </c>
      <c r="N145" s="160" t="s">
        <v>4333</v>
      </c>
      <c r="O145" s="139" t="s">
        <v>304</v>
      </c>
      <c r="P145" s="39" t="s">
        <v>308</v>
      </c>
      <c r="Q145" s="228" t="s">
        <v>3238</v>
      </c>
      <c r="R145" s="200" t="s">
        <v>2937</v>
      </c>
      <c r="S145" s="141" t="s">
        <v>307</v>
      </c>
      <c r="T145" s="241"/>
    </row>
    <row r="146" spans="1:20" ht="58" customHeight="1">
      <c r="A146" s="230" t="s">
        <v>2431</v>
      </c>
      <c r="B146" s="41" t="s">
        <v>6</v>
      </c>
      <c r="C146" s="40" t="s">
        <v>1526</v>
      </c>
      <c r="D146" s="40" t="s">
        <v>319</v>
      </c>
      <c r="E146" s="199" t="s">
        <v>3840</v>
      </c>
      <c r="F146" s="199" t="s">
        <v>4106</v>
      </c>
      <c r="G146" s="243" t="s">
        <v>3019</v>
      </c>
      <c r="H146" s="41" t="s">
        <v>2</v>
      </c>
      <c r="I146" s="246" t="s">
        <v>3027</v>
      </c>
      <c r="J146" s="232" t="s">
        <v>3236</v>
      </c>
      <c r="K146" s="161"/>
      <c r="L146" s="240"/>
      <c r="M146" s="240"/>
      <c r="N146" s="160"/>
      <c r="O146" s="139" t="s">
        <v>317</v>
      </c>
      <c r="P146" s="39" t="s">
        <v>318</v>
      </c>
      <c r="Q146" s="228" t="s">
        <v>3238</v>
      </c>
      <c r="R146" s="200" t="s">
        <v>2960</v>
      </c>
      <c r="S146" s="141" t="s">
        <v>320</v>
      </c>
      <c r="T146" s="241"/>
    </row>
    <row r="147" spans="1:20" ht="58" customHeight="1">
      <c r="A147" s="230" t="s">
        <v>2431</v>
      </c>
      <c r="B147" s="41" t="s">
        <v>6</v>
      </c>
      <c r="C147" s="40" t="s">
        <v>1526</v>
      </c>
      <c r="D147" s="40" t="s">
        <v>311</v>
      </c>
      <c r="E147" s="199" t="s">
        <v>769</v>
      </c>
      <c r="F147" s="199" t="s">
        <v>4135</v>
      </c>
      <c r="G147" s="243" t="s">
        <v>3019</v>
      </c>
      <c r="H147" s="41" t="s">
        <v>2</v>
      </c>
      <c r="I147" s="246" t="s">
        <v>3027</v>
      </c>
      <c r="J147" s="232" t="s">
        <v>3236</v>
      </c>
      <c r="K147" s="161"/>
      <c r="L147" s="240"/>
      <c r="M147" s="240"/>
      <c r="N147" s="160"/>
      <c r="O147" s="139" t="s">
        <v>304</v>
      </c>
      <c r="P147" s="39" t="s">
        <v>310</v>
      </c>
      <c r="Q147" s="228" t="s">
        <v>3238</v>
      </c>
      <c r="R147" s="200" t="s">
        <v>2956</v>
      </c>
      <c r="S147" s="141" t="s">
        <v>307</v>
      </c>
      <c r="T147" s="241"/>
    </row>
    <row r="148" spans="1:20" ht="58" customHeight="1">
      <c r="A148" s="230" t="s">
        <v>2431</v>
      </c>
      <c r="B148" s="41" t="s">
        <v>6</v>
      </c>
      <c r="C148" s="40" t="s">
        <v>1526</v>
      </c>
      <c r="D148" s="40" t="s">
        <v>313</v>
      </c>
      <c r="E148" s="199" t="s">
        <v>770</v>
      </c>
      <c r="F148" s="199" t="s">
        <v>314</v>
      </c>
      <c r="G148" s="243" t="s">
        <v>3023</v>
      </c>
      <c r="H148" s="41" t="s">
        <v>1516</v>
      </c>
      <c r="I148" s="246" t="s">
        <v>3029</v>
      </c>
      <c r="J148" s="232" t="s">
        <v>3948</v>
      </c>
      <c r="K148" s="161" t="s">
        <v>4585</v>
      </c>
      <c r="L148" s="240" t="s">
        <v>4586</v>
      </c>
      <c r="M148" s="240" t="s">
        <v>4587</v>
      </c>
      <c r="N148" s="160" t="s">
        <v>4333</v>
      </c>
      <c r="O148" s="139" t="s">
        <v>304</v>
      </c>
      <c r="P148" s="39" t="s">
        <v>312</v>
      </c>
      <c r="Q148" s="228" t="s">
        <v>3238</v>
      </c>
      <c r="R148" s="200" t="s">
        <v>2937</v>
      </c>
      <c r="S148" s="141" t="s">
        <v>307</v>
      </c>
      <c r="T148" s="241"/>
    </row>
    <row r="149" spans="1:20" ht="58" customHeight="1">
      <c r="A149" s="230" t="s">
        <v>2431</v>
      </c>
      <c r="B149" s="41" t="s">
        <v>6</v>
      </c>
      <c r="C149" s="40" t="s">
        <v>1526</v>
      </c>
      <c r="D149" s="40" t="s">
        <v>316</v>
      </c>
      <c r="E149" s="199" t="s">
        <v>771</v>
      </c>
      <c r="F149" s="199" t="s">
        <v>4358</v>
      </c>
      <c r="G149" s="243" t="s">
        <v>4359</v>
      </c>
      <c r="H149" s="41" t="s">
        <v>3</v>
      </c>
      <c r="I149" s="246" t="s">
        <v>3031</v>
      </c>
      <c r="J149" s="232" t="s">
        <v>3949</v>
      </c>
      <c r="K149" s="161" t="s">
        <v>955</v>
      </c>
      <c r="L149" s="240"/>
      <c r="M149" s="240"/>
      <c r="N149" s="160"/>
      <c r="O149" s="139" t="s">
        <v>304</v>
      </c>
      <c r="P149" s="39" t="s">
        <v>315</v>
      </c>
      <c r="Q149" s="228" t="s">
        <v>3238</v>
      </c>
      <c r="R149" s="200" t="s">
        <v>2973</v>
      </c>
      <c r="S149" s="141" t="s">
        <v>307</v>
      </c>
      <c r="T149" s="241"/>
    </row>
    <row r="150" spans="1:20" ht="58" customHeight="1">
      <c r="A150" s="230" t="s">
        <v>2431</v>
      </c>
      <c r="B150" s="41" t="s">
        <v>6</v>
      </c>
      <c r="C150" s="40" t="s">
        <v>1526</v>
      </c>
      <c r="D150" s="40" t="s">
        <v>289</v>
      </c>
      <c r="E150" s="199" t="s">
        <v>760</v>
      </c>
      <c r="F150" s="199" t="s">
        <v>4107</v>
      </c>
      <c r="G150" s="243" t="s">
        <v>3019</v>
      </c>
      <c r="H150" s="41" t="s">
        <v>2</v>
      </c>
      <c r="I150" s="246" t="s">
        <v>3027</v>
      </c>
      <c r="J150" s="232" t="s">
        <v>3236</v>
      </c>
      <c r="K150" s="161"/>
      <c r="L150" s="240"/>
      <c r="M150" s="240"/>
      <c r="N150" s="160"/>
      <c r="O150" s="139" t="s">
        <v>278</v>
      </c>
      <c r="P150" s="39" t="s">
        <v>288</v>
      </c>
      <c r="Q150" s="228" t="s">
        <v>3238</v>
      </c>
      <c r="R150" s="200" t="s">
        <v>2956</v>
      </c>
      <c r="S150" s="141" t="s">
        <v>281</v>
      </c>
      <c r="T150" s="241"/>
    </row>
    <row r="151" spans="1:20" ht="58" customHeight="1">
      <c r="A151" s="230" t="s">
        <v>2431</v>
      </c>
      <c r="B151" s="41" t="s">
        <v>6</v>
      </c>
      <c r="C151" s="40" t="s">
        <v>1526</v>
      </c>
      <c r="D151" s="40" t="s">
        <v>322</v>
      </c>
      <c r="E151" s="199" t="s">
        <v>772</v>
      </c>
      <c r="F151" s="199" t="s">
        <v>4108</v>
      </c>
      <c r="G151" s="243" t="s">
        <v>3019</v>
      </c>
      <c r="H151" s="41" t="s">
        <v>2</v>
      </c>
      <c r="I151" s="246" t="s">
        <v>3027</v>
      </c>
      <c r="J151" s="232" t="s">
        <v>3236</v>
      </c>
      <c r="K151" s="161"/>
      <c r="L151" s="240"/>
      <c r="M151" s="240"/>
      <c r="N151" s="160"/>
      <c r="O151" s="139" t="s">
        <v>317</v>
      </c>
      <c r="P151" s="39" t="s">
        <v>321</v>
      </c>
      <c r="Q151" s="228" t="s">
        <v>3238</v>
      </c>
      <c r="R151" s="200" t="s">
        <v>2956</v>
      </c>
      <c r="S151" s="141" t="s">
        <v>320</v>
      </c>
      <c r="T151" s="241"/>
    </row>
    <row r="152" spans="1:20" ht="58" customHeight="1">
      <c r="A152" s="230" t="s">
        <v>2431</v>
      </c>
      <c r="B152" s="41" t="s">
        <v>6</v>
      </c>
      <c r="C152" s="40" t="s">
        <v>1526</v>
      </c>
      <c r="D152" s="40" t="s">
        <v>324</v>
      </c>
      <c r="E152" s="199" t="s">
        <v>3841</v>
      </c>
      <c r="F152" s="199" t="s">
        <v>3299</v>
      </c>
      <c r="G152" s="243" t="s">
        <v>3290</v>
      </c>
      <c r="H152" s="41" t="s">
        <v>2</v>
      </c>
      <c r="I152" s="246" t="s">
        <v>3027</v>
      </c>
      <c r="J152" s="232" t="s">
        <v>3236</v>
      </c>
      <c r="K152" s="161"/>
      <c r="L152" s="240"/>
      <c r="M152" s="240"/>
      <c r="N152" s="160"/>
      <c r="O152" s="139" t="s">
        <v>317</v>
      </c>
      <c r="P152" s="39" t="s">
        <v>323</v>
      </c>
      <c r="Q152" s="228" t="s">
        <v>3238</v>
      </c>
      <c r="R152" s="200" t="s">
        <v>2974</v>
      </c>
      <c r="S152" s="141" t="s">
        <v>320</v>
      </c>
      <c r="T152" s="241"/>
    </row>
    <row r="153" spans="1:20" ht="58" customHeight="1">
      <c r="A153" s="230" t="s">
        <v>2431</v>
      </c>
      <c r="B153" s="41" t="s">
        <v>6</v>
      </c>
      <c r="C153" s="40" t="s">
        <v>1526</v>
      </c>
      <c r="D153" s="40" t="s">
        <v>326</v>
      </c>
      <c r="E153" s="199" t="s">
        <v>773</v>
      </c>
      <c r="F153" s="199" t="s">
        <v>4109</v>
      </c>
      <c r="G153" s="243" t="s">
        <v>3019</v>
      </c>
      <c r="H153" s="41" t="s">
        <v>2</v>
      </c>
      <c r="I153" s="246" t="s">
        <v>3027</v>
      </c>
      <c r="J153" s="232" t="s">
        <v>3236</v>
      </c>
      <c r="K153" s="161"/>
      <c r="L153" s="240"/>
      <c r="M153" s="240"/>
      <c r="N153" s="160"/>
      <c r="O153" s="139" t="s">
        <v>317</v>
      </c>
      <c r="P153" s="39" t="s">
        <v>325</v>
      </c>
      <c r="Q153" s="228" t="s">
        <v>3238</v>
      </c>
      <c r="R153" s="200" t="s">
        <v>2961</v>
      </c>
      <c r="S153" s="141" t="s">
        <v>320</v>
      </c>
      <c r="T153" s="241"/>
    </row>
    <row r="154" spans="1:20" ht="58" customHeight="1">
      <c r="A154" s="230" t="s">
        <v>2431</v>
      </c>
      <c r="B154" s="41" t="s">
        <v>6</v>
      </c>
      <c r="C154" s="40" t="s">
        <v>1526</v>
      </c>
      <c r="D154" s="40" t="s">
        <v>328</v>
      </c>
      <c r="E154" s="199" t="s">
        <v>774</v>
      </c>
      <c r="F154" s="199" t="s">
        <v>4110</v>
      </c>
      <c r="G154" s="243" t="s">
        <v>3019</v>
      </c>
      <c r="H154" s="41" t="s">
        <v>2</v>
      </c>
      <c r="I154" s="246" t="s">
        <v>3027</v>
      </c>
      <c r="J154" s="232" t="s">
        <v>3236</v>
      </c>
      <c r="K154" s="161"/>
      <c r="L154" s="240"/>
      <c r="M154" s="240"/>
      <c r="N154" s="160"/>
      <c r="O154" s="139" t="s">
        <v>317</v>
      </c>
      <c r="P154" s="39" t="s">
        <v>327</v>
      </c>
      <c r="Q154" s="228" t="s">
        <v>3238</v>
      </c>
      <c r="R154" s="200" t="s">
        <v>2961</v>
      </c>
      <c r="S154" s="141" t="s">
        <v>320</v>
      </c>
      <c r="T154" s="241"/>
    </row>
    <row r="155" spans="1:20" ht="58" customHeight="1">
      <c r="A155" s="230" t="s">
        <v>2431</v>
      </c>
      <c r="B155" s="41" t="s">
        <v>6</v>
      </c>
      <c r="C155" s="40" t="s">
        <v>1526</v>
      </c>
      <c r="D155" s="40" t="s">
        <v>303</v>
      </c>
      <c r="E155" s="199" t="s">
        <v>766</v>
      </c>
      <c r="F155" s="199" t="s">
        <v>4687</v>
      </c>
      <c r="G155" s="243" t="s">
        <v>4688</v>
      </c>
      <c r="H155" s="41" t="s">
        <v>2</v>
      </c>
      <c r="I155" s="246" t="s">
        <v>3027</v>
      </c>
      <c r="J155" s="232" t="s">
        <v>3236</v>
      </c>
      <c r="K155" s="161" t="s">
        <v>955</v>
      </c>
      <c r="L155" s="240"/>
      <c r="M155" s="240"/>
      <c r="N155" s="160"/>
      <c r="O155" s="139" t="s">
        <v>290</v>
      </c>
      <c r="P155" s="39" t="s">
        <v>302</v>
      </c>
      <c r="Q155" s="228" t="s">
        <v>3238</v>
      </c>
      <c r="R155" s="200" t="s">
        <v>2937</v>
      </c>
      <c r="S155" s="141" t="s">
        <v>293</v>
      </c>
      <c r="T155" s="241" t="s">
        <v>4689</v>
      </c>
    </row>
    <row r="156" spans="1:20" ht="58" customHeight="1">
      <c r="A156" s="230" t="s">
        <v>2431</v>
      </c>
      <c r="B156" s="41" t="s">
        <v>6</v>
      </c>
      <c r="C156" s="40" t="s">
        <v>1528</v>
      </c>
      <c r="D156" s="40" t="s">
        <v>377</v>
      </c>
      <c r="E156" s="199" t="s">
        <v>790</v>
      </c>
      <c r="F156" s="199" t="s">
        <v>4111</v>
      </c>
      <c r="G156" s="243" t="s">
        <v>3023</v>
      </c>
      <c r="H156" s="41" t="s">
        <v>1516</v>
      </c>
      <c r="I156" s="246" t="s">
        <v>3029</v>
      </c>
      <c r="J156" s="232" t="s">
        <v>3950</v>
      </c>
      <c r="K156" s="161" t="s">
        <v>4611</v>
      </c>
      <c r="L156" s="240"/>
      <c r="M156" s="240"/>
      <c r="N156" s="160"/>
      <c r="O156" s="139" t="s">
        <v>375</v>
      </c>
      <c r="P156" s="39" t="s">
        <v>376</v>
      </c>
      <c r="Q156" s="228" t="s">
        <v>3238</v>
      </c>
      <c r="R156" s="200" t="s">
        <v>2963</v>
      </c>
      <c r="S156" s="141" t="s">
        <v>378</v>
      </c>
      <c r="T156" s="241"/>
    </row>
    <row r="157" spans="1:20" ht="58" customHeight="1">
      <c r="A157" s="230" t="s">
        <v>2431</v>
      </c>
      <c r="B157" s="41" t="s">
        <v>6</v>
      </c>
      <c r="C157" s="40" t="s">
        <v>1528</v>
      </c>
      <c r="D157" s="40" t="s">
        <v>380</v>
      </c>
      <c r="E157" s="199" t="s">
        <v>3842</v>
      </c>
      <c r="F157" s="199" t="s">
        <v>4112</v>
      </c>
      <c r="G157" s="243" t="s">
        <v>3022</v>
      </c>
      <c r="H157" s="41" t="s">
        <v>1516</v>
      </c>
      <c r="I157" s="246" t="s">
        <v>3029</v>
      </c>
      <c r="J157" s="232" t="s">
        <v>3951</v>
      </c>
      <c r="K157" s="161" t="s">
        <v>4319</v>
      </c>
      <c r="L157" s="240" t="s">
        <v>4487</v>
      </c>
      <c r="M157" s="240" t="s">
        <v>4488</v>
      </c>
      <c r="N157" s="160" t="s">
        <v>4332</v>
      </c>
      <c r="O157" s="139" t="s">
        <v>375</v>
      </c>
      <c r="P157" s="39" t="s">
        <v>379</v>
      </c>
      <c r="Q157" s="228" t="s">
        <v>3238</v>
      </c>
      <c r="R157" s="200" t="s">
        <v>2964</v>
      </c>
      <c r="S157" s="141" t="s">
        <v>378</v>
      </c>
      <c r="T157" s="241"/>
    </row>
    <row r="158" spans="1:20" ht="58" customHeight="1">
      <c r="A158" s="230" t="s">
        <v>2431</v>
      </c>
      <c r="B158" s="41" t="s">
        <v>6</v>
      </c>
      <c r="C158" s="40" t="s">
        <v>1528</v>
      </c>
      <c r="D158" s="40" t="s">
        <v>385</v>
      </c>
      <c r="E158" s="199" t="s">
        <v>791</v>
      </c>
      <c r="F158" s="199" t="s">
        <v>4113</v>
      </c>
      <c r="G158" s="243" t="s">
        <v>3022</v>
      </c>
      <c r="H158" s="41" t="s">
        <v>1516</v>
      </c>
      <c r="I158" s="246" t="s">
        <v>3029</v>
      </c>
      <c r="J158" s="232" t="s">
        <v>3952</v>
      </c>
      <c r="K158" s="161" t="s">
        <v>4320</v>
      </c>
      <c r="L158" s="240" t="s">
        <v>4497</v>
      </c>
      <c r="M158" s="240" t="s">
        <v>4498</v>
      </c>
      <c r="N158" s="160" t="s">
        <v>4333</v>
      </c>
      <c r="O158" s="139" t="s">
        <v>383</v>
      </c>
      <c r="P158" s="39" t="s">
        <v>384</v>
      </c>
      <c r="Q158" s="228" t="s">
        <v>3238</v>
      </c>
      <c r="R158" s="200" t="s">
        <v>2936</v>
      </c>
      <c r="S158" s="141" t="s">
        <v>386</v>
      </c>
      <c r="T158" s="241"/>
    </row>
    <row r="159" spans="1:20" ht="58" customHeight="1">
      <c r="A159" s="230" t="s">
        <v>2431</v>
      </c>
      <c r="B159" s="41" t="s">
        <v>6</v>
      </c>
      <c r="C159" s="40" t="s">
        <v>1528</v>
      </c>
      <c r="D159" s="40" t="s">
        <v>388</v>
      </c>
      <c r="E159" s="199" t="s">
        <v>3843</v>
      </c>
      <c r="F159" s="199" t="s">
        <v>4017</v>
      </c>
      <c r="G159" s="243" t="s">
        <v>4018</v>
      </c>
      <c r="H159" s="41" t="s">
        <v>2</v>
      </c>
      <c r="I159" s="246" t="s">
        <v>3027</v>
      </c>
      <c r="J159" s="232" t="s">
        <v>3236</v>
      </c>
      <c r="K159" s="161"/>
      <c r="L159" s="240"/>
      <c r="M159" s="240"/>
      <c r="N159" s="160"/>
      <c r="O159" s="139" t="s">
        <v>383</v>
      </c>
      <c r="P159" s="39" t="s">
        <v>387</v>
      </c>
      <c r="Q159" s="228" t="s">
        <v>3238</v>
      </c>
      <c r="R159" s="200" t="s">
        <v>2966</v>
      </c>
      <c r="S159" s="141" t="s">
        <v>386</v>
      </c>
      <c r="T159" s="241"/>
    </row>
    <row r="160" spans="1:20" ht="58" customHeight="1">
      <c r="A160" s="230" t="s">
        <v>2431</v>
      </c>
      <c r="B160" s="41" t="s">
        <v>6</v>
      </c>
      <c r="C160" s="40" t="s">
        <v>1528</v>
      </c>
      <c r="D160" s="40" t="s">
        <v>4267</v>
      </c>
      <c r="E160" s="199" t="s">
        <v>792</v>
      </c>
      <c r="F160" s="199" t="s">
        <v>4114</v>
      </c>
      <c r="G160" s="243" t="s">
        <v>3022</v>
      </c>
      <c r="H160" s="41" t="s">
        <v>1516</v>
      </c>
      <c r="I160" s="246" t="s">
        <v>4167</v>
      </c>
      <c r="J160" s="232" t="s">
        <v>3953</v>
      </c>
      <c r="K160" s="161" t="s">
        <v>4268</v>
      </c>
      <c r="L160" s="240" t="s">
        <v>4525</v>
      </c>
      <c r="M160" s="240" t="s">
        <v>4526</v>
      </c>
      <c r="N160" s="160" t="s">
        <v>4334</v>
      </c>
      <c r="O160" s="139" t="s">
        <v>383</v>
      </c>
      <c r="P160" s="39" t="s">
        <v>4266</v>
      </c>
      <c r="Q160" s="228" t="s">
        <v>3238</v>
      </c>
      <c r="R160" s="200" t="s">
        <v>2936</v>
      </c>
      <c r="S160" s="141" t="s">
        <v>386</v>
      </c>
      <c r="T160" s="241"/>
    </row>
    <row r="161" spans="1:20" ht="58" customHeight="1">
      <c r="A161" s="230" t="s">
        <v>2431</v>
      </c>
      <c r="B161" s="41" t="s">
        <v>6</v>
      </c>
      <c r="C161" s="40" t="s">
        <v>1528</v>
      </c>
      <c r="D161" s="40" t="s">
        <v>4269</v>
      </c>
      <c r="E161" s="199" t="s">
        <v>792</v>
      </c>
      <c r="F161" s="199" t="s">
        <v>4114</v>
      </c>
      <c r="G161" s="243" t="s">
        <v>3022</v>
      </c>
      <c r="H161" s="41" t="s">
        <v>1516</v>
      </c>
      <c r="I161" s="246" t="s">
        <v>4167</v>
      </c>
      <c r="J161" s="232" t="s">
        <v>3953</v>
      </c>
      <c r="K161" s="161" t="s">
        <v>4271</v>
      </c>
      <c r="L161" s="240" t="s">
        <v>4499</v>
      </c>
      <c r="M161" s="240" t="s">
        <v>4500</v>
      </c>
      <c r="N161" s="160" t="s">
        <v>4333</v>
      </c>
      <c r="O161" s="139" t="s">
        <v>383</v>
      </c>
      <c r="P161" s="39" t="s">
        <v>4270</v>
      </c>
      <c r="Q161" s="228" t="s">
        <v>3238</v>
      </c>
      <c r="R161" s="200" t="s">
        <v>2936</v>
      </c>
      <c r="S161" s="141" t="s">
        <v>386</v>
      </c>
      <c r="T161" s="241"/>
    </row>
    <row r="162" spans="1:20" ht="58" customHeight="1">
      <c r="A162" s="230" t="s">
        <v>2431</v>
      </c>
      <c r="B162" s="41" t="s">
        <v>6</v>
      </c>
      <c r="C162" s="40" t="s">
        <v>1528</v>
      </c>
      <c r="D162" s="40" t="s">
        <v>4273</v>
      </c>
      <c r="E162" s="199" t="s">
        <v>3244</v>
      </c>
      <c r="F162" s="199" t="s">
        <v>4115</v>
      </c>
      <c r="G162" s="243" t="s">
        <v>3022</v>
      </c>
      <c r="H162" s="41" t="s">
        <v>1516</v>
      </c>
      <c r="I162" s="246" t="s">
        <v>3029</v>
      </c>
      <c r="J162" s="232" t="s">
        <v>3954</v>
      </c>
      <c r="K162" s="161" t="s">
        <v>4274</v>
      </c>
      <c r="L162" s="240" t="s">
        <v>4527</v>
      </c>
      <c r="M162" s="240" t="s">
        <v>4528</v>
      </c>
      <c r="N162" s="160" t="s">
        <v>4334</v>
      </c>
      <c r="O162" s="139" t="s">
        <v>383</v>
      </c>
      <c r="P162" s="39" t="s">
        <v>4272</v>
      </c>
      <c r="Q162" s="228" t="s">
        <v>3238</v>
      </c>
      <c r="R162" s="200" t="s">
        <v>3017</v>
      </c>
      <c r="S162" s="141" t="s">
        <v>386</v>
      </c>
      <c r="T162" s="241"/>
    </row>
    <row r="163" spans="1:20" ht="58" customHeight="1">
      <c r="A163" s="230" t="s">
        <v>2431</v>
      </c>
      <c r="B163" s="41" t="s">
        <v>6</v>
      </c>
      <c r="C163" s="40" t="s">
        <v>1528</v>
      </c>
      <c r="D163" s="40" t="s">
        <v>4275</v>
      </c>
      <c r="E163" s="199" t="s">
        <v>3244</v>
      </c>
      <c r="F163" s="199" t="s">
        <v>4115</v>
      </c>
      <c r="G163" s="243" t="s">
        <v>3022</v>
      </c>
      <c r="H163" s="41" t="s">
        <v>1516</v>
      </c>
      <c r="I163" s="246" t="s">
        <v>3029</v>
      </c>
      <c r="J163" s="232" t="s">
        <v>3954</v>
      </c>
      <c r="K163" s="161" t="s">
        <v>4277</v>
      </c>
      <c r="L163" s="240" t="s">
        <v>4501</v>
      </c>
      <c r="M163" s="240" t="s">
        <v>4502</v>
      </c>
      <c r="N163" s="160" t="s">
        <v>4333</v>
      </c>
      <c r="O163" s="139" t="s">
        <v>383</v>
      </c>
      <c r="P163" s="39" t="s">
        <v>4276</v>
      </c>
      <c r="Q163" s="228" t="s">
        <v>3238</v>
      </c>
      <c r="R163" s="200" t="s">
        <v>3017</v>
      </c>
      <c r="S163" s="141" t="s">
        <v>386</v>
      </c>
      <c r="T163" s="241"/>
    </row>
    <row r="164" spans="1:20" ht="58" customHeight="1">
      <c r="A164" s="230" t="s">
        <v>2431</v>
      </c>
      <c r="B164" s="41" t="s">
        <v>6</v>
      </c>
      <c r="C164" s="40" t="s">
        <v>1528</v>
      </c>
      <c r="D164" s="40" t="s">
        <v>4240</v>
      </c>
      <c r="E164" s="199" t="s">
        <v>793</v>
      </c>
      <c r="F164" s="199" t="s">
        <v>4136</v>
      </c>
      <c r="G164" s="243" t="s">
        <v>3022</v>
      </c>
      <c r="H164" s="41" t="s">
        <v>1516</v>
      </c>
      <c r="I164" s="246" t="s">
        <v>3029</v>
      </c>
      <c r="J164" s="232" t="s">
        <v>3955</v>
      </c>
      <c r="K164" s="161" t="s">
        <v>4241</v>
      </c>
      <c r="L164" s="240" t="s">
        <v>4503</v>
      </c>
      <c r="M164" s="240" t="s">
        <v>4504</v>
      </c>
      <c r="N164" s="160" t="s">
        <v>4333</v>
      </c>
      <c r="O164" s="139" t="s">
        <v>383</v>
      </c>
      <c r="P164" s="39" t="s">
        <v>4239</v>
      </c>
      <c r="Q164" s="228" t="s">
        <v>3238</v>
      </c>
      <c r="R164" s="200" t="s">
        <v>2936</v>
      </c>
      <c r="S164" s="141" t="s">
        <v>386</v>
      </c>
      <c r="T164" s="241"/>
    </row>
    <row r="165" spans="1:20" ht="58" customHeight="1">
      <c r="A165" s="230" t="s">
        <v>2431</v>
      </c>
      <c r="B165" s="41" t="s">
        <v>6</v>
      </c>
      <c r="C165" s="40" t="s">
        <v>1528</v>
      </c>
      <c r="D165" s="40" t="s">
        <v>4242</v>
      </c>
      <c r="E165" s="199" t="s">
        <v>793</v>
      </c>
      <c r="F165" s="199" t="s">
        <v>4136</v>
      </c>
      <c r="G165" s="243" t="s">
        <v>3022</v>
      </c>
      <c r="H165" s="41" t="s">
        <v>1516</v>
      </c>
      <c r="I165" s="246" t="s">
        <v>3029</v>
      </c>
      <c r="J165" s="232" t="s">
        <v>3955</v>
      </c>
      <c r="K165" s="161" t="s">
        <v>4244</v>
      </c>
      <c r="L165" s="240" t="s">
        <v>4489</v>
      </c>
      <c r="M165" s="240" t="s">
        <v>4490</v>
      </c>
      <c r="N165" s="160" t="s">
        <v>4332</v>
      </c>
      <c r="O165" s="139" t="s">
        <v>383</v>
      </c>
      <c r="P165" s="39" t="s">
        <v>4243</v>
      </c>
      <c r="Q165" s="228" t="s">
        <v>3238</v>
      </c>
      <c r="R165" s="200" t="s">
        <v>2936</v>
      </c>
      <c r="S165" s="141" t="s">
        <v>386</v>
      </c>
      <c r="T165" s="241"/>
    </row>
    <row r="166" spans="1:20" ht="58" customHeight="1">
      <c r="A166" s="230" t="s">
        <v>2431</v>
      </c>
      <c r="B166" s="41" t="s">
        <v>6</v>
      </c>
      <c r="C166" s="40" t="s">
        <v>1528</v>
      </c>
      <c r="D166" s="40" t="s">
        <v>382</v>
      </c>
      <c r="E166" s="199" t="s">
        <v>3844</v>
      </c>
      <c r="F166" s="199" t="s">
        <v>3300</v>
      </c>
      <c r="G166" s="243" t="s">
        <v>3301</v>
      </c>
      <c r="H166" s="41" t="s">
        <v>1516</v>
      </c>
      <c r="I166" s="246" t="s">
        <v>3029</v>
      </c>
      <c r="J166" s="232" t="s">
        <v>3236</v>
      </c>
      <c r="K166" s="161" t="s">
        <v>4601</v>
      </c>
      <c r="L166" s="240" t="s">
        <v>4667</v>
      </c>
      <c r="M166" s="240"/>
      <c r="N166" s="160" t="s">
        <v>4332</v>
      </c>
      <c r="O166" s="139" t="s">
        <v>375</v>
      </c>
      <c r="P166" s="39" t="s">
        <v>381</v>
      </c>
      <c r="Q166" s="228" t="s">
        <v>3238</v>
      </c>
      <c r="R166" s="200" t="s">
        <v>2965</v>
      </c>
      <c r="S166" s="141" t="s">
        <v>378</v>
      </c>
      <c r="T166" s="241"/>
    </row>
    <row r="167" spans="1:20" ht="58" customHeight="1">
      <c r="A167" s="230" t="s">
        <v>2431</v>
      </c>
      <c r="B167" s="41" t="s">
        <v>6</v>
      </c>
      <c r="C167" s="40" t="s">
        <v>1528</v>
      </c>
      <c r="D167" s="40" t="s">
        <v>4279</v>
      </c>
      <c r="E167" s="199" t="s">
        <v>794</v>
      </c>
      <c r="F167" s="199" t="s">
        <v>4116</v>
      </c>
      <c r="G167" s="243" t="s">
        <v>3022</v>
      </c>
      <c r="H167" s="41" t="s">
        <v>1516</v>
      </c>
      <c r="I167" s="246" t="s">
        <v>3029</v>
      </c>
      <c r="J167" s="232" t="s">
        <v>3956</v>
      </c>
      <c r="K167" s="161" t="s">
        <v>4280</v>
      </c>
      <c r="L167" s="240" t="s">
        <v>4505</v>
      </c>
      <c r="M167" s="240" t="s">
        <v>4506</v>
      </c>
      <c r="N167" s="160" t="s">
        <v>4333</v>
      </c>
      <c r="O167" s="139" t="s">
        <v>394</v>
      </c>
      <c r="P167" s="39" t="s">
        <v>4278</v>
      </c>
      <c r="Q167" s="228" t="s">
        <v>3238</v>
      </c>
      <c r="R167" s="200" t="s">
        <v>2968</v>
      </c>
      <c r="S167" s="141" t="s">
        <v>396</v>
      </c>
      <c r="T167" s="241"/>
    </row>
    <row r="168" spans="1:20" ht="58" customHeight="1">
      <c r="A168" s="230" t="s">
        <v>2431</v>
      </c>
      <c r="B168" s="41" t="s">
        <v>6</v>
      </c>
      <c r="C168" s="40" t="s">
        <v>1528</v>
      </c>
      <c r="D168" s="40" t="s">
        <v>4281</v>
      </c>
      <c r="E168" s="199" t="s">
        <v>794</v>
      </c>
      <c r="F168" s="199" t="s">
        <v>4116</v>
      </c>
      <c r="G168" s="243" t="s">
        <v>3022</v>
      </c>
      <c r="H168" s="41" t="s">
        <v>1516</v>
      </c>
      <c r="I168" s="246" t="s">
        <v>3029</v>
      </c>
      <c r="J168" s="232" t="s">
        <v>3956</v>
      </c>
      <c r="K168" s="161" t="s">
        <v>4283</v>
      </c>
      <c r="L168" s="240" t="s">
        <v>4507</v>
      </c>
      <c r="M168" s="240" t="s">
        <v>4508</v>
      </c>
      <c r="N168" s="160" t="s">
        <v>4333</v>
      </c>
      <c r="O168" s="139" t="s">
        <v>394</v>
      </c>
      <c r="P168" s="39" t="s">
        <v>4282</v>
      </c>
      <c r="Q168" s="228" t="s">
        <v>3238</v>
      </c>
      <c r="R168" s="200" t="s">
        <v>2968</v>
      </c>
      <c r="S168" s="141" t="s">
        <v>396</v>
      </c>
      <c r="T168" s="241"/>
    </row>
    <row r="169" spans="1:20" ht="58" customHeight="1">
      <c r="A169" s="230" t="s">
        <v>2431</v>
      </c>
      <c r="B169" s="41" t="s">
        <v>6</v>
      </c>
      <c r="C169" s="40" t="s">
        <v>1528</v>
      </c>
      <c r="D169" s="40" t="s">
        <v>4328</v>
      </c>
      <c r="E169" s="199" t="s">
        <v>794</v>
      </c>
      <c r="F169" s="199" t="s">
        <v>4116</v>
      </c>
      <c r="G169" s="243" t="s">
        <v>3022</v>
      </c>
      <c r="H169" s="41" t="s">
        <v>1516</v>
      </c>
      <c r="I169" s="246" t="s">
        <v>3029</v>
      </c>
      <c r="J169" s="232" t="s">
        <v>3956</v>
      </c>
      <c r="K169" s="161" t="s">
        <v>4322</v>
      </c>
      <c r="L169" s="240" t="s">
        <v>4529</v>
      </c>
      <c r="M169" s="240" t="s">
        <v>4530</v>
      </c>
      <c r="N169" s="160" t="s">
        <v>4334</v>
      </c>
      <c r="O169" s="139" t="s">
        <v>394</v>
      </c>
      <c r="P169" s="39" t="s">
        <v>4329</v>
      </c>
      <c r="Q169" s="228" t="s">
        <v>3238</v>
      </c>
      <c r="R169" s="200" t="s">
        <v>2968</v>
      </c>
      <c r="S169" s="141" t="s">
        <v>396</v>
      </c>
      <c r="T169" s="241"/>
    </row>
    <row r="170" spans="1:20" ht="58" customHeight="1">
      <c r="A170" s="230" t="s">
        <v>2431</v>
      </c>
      <c r="B170" s="41" t="s">
        <v>6</v>
      </c>
      <c r="C170" s="40" t="s">
        <v>1528</v>
      </c>
      <c r="D170" s="40" t="s">
        <v>393</v>
      </c>
      <c r="E170" s="199" t="s">
        <v>3845</v>
      </c>
      <c r="F170" s="199" t="s">
        <v>4117</v>
      </c>
      <c r="G170" s="243" t="s">
        <v>3023</v>
      </c>
      <c r="H170" s="41" t="s">
        <v>1516</v>
      </c>
      <c r="I170" s="246" t="s">
        <v>3029</v>
      </c>
      <c r="J170" s="232" t="s">
        <v>3957</v>
      </c>
      <c r="K170" s="161" t="s">
        <v>4611</v>
      </c>
      <c r="L170" s="240"/>
      <c r="M170" s="240"/>
      <c r="N170" s="160"/>
      <c r="O170" s="139" t="s">
        <v>383</v>
      </c>
      <c r="P170" s="39" t="s">
        <v>392</v>
      </c>
      <c r="Q170" s="228" t="s">
        <v>3238</v>
      </c>
      <c r="R170" s="200" t="s">
        <v>2967</v>
      </c>
      <c r="S170" s="141" t="s">
        <v>386</v>
      </c>
      <c r="T170" s="241"/>
    </row>
    <row r="171" spans="1:20" ht="58" customHeight="1">
      <c r="A171" s="230" t="s">
        <v>2431</v>
      </c>
      <c r="B171" s="41" t="s">
        <v>6</v>
      </c>
      <c r="C171" s="40" t="s">
        <v>1528</v>
      </c>
      <c r="D171" s="40" t="s">
        <v>398</v>
      </c>
      <c r="E171" s="199" t="s">
        <v>3846</v>
      </c>
      <c r="F171" s="199" t="s">
        <v>3326</v>
      </c>
      <c r="G171" s="243" t="s">
        <v>4626</v>
      </c>
      <c r="H171" s="41" t="s">
        <v>2</v>
      </c>
      <c r="I171" s="246" t="s">
        <v>3027</v>
      </c>
      <c r="J171" s="232" t="s">
        <v>3236</v>
      </c>
      <c r="K171" s="161"/>
      <c r="L171" s="240"/>
      <c r="M171" s="240"/>
      <c r="N171" s="160"/>
      <c r="O171" s="139" t="s">
        <v>394</v>
      </c>
      <c r="P171" s="39" t="s">
        <v>397</v>
      </c>
      <c r="Q171" s="228" t="s">
        <v>3238</v>
      </c>
      <c r="R171" s="200" t="s">
        <v>2980</v>
      </c>
      <c r="S171" s="141" t="s">
        <v>396</v>
      </c>
      <c r="T171" s="241"/>
    </row>
    <row r="172" spans="1:20" ht="58" customHeight="1">
      <c r="A172" s="230" t="s">
        <v>2431</v>
      </c>
      <c r="B172" s="41" t="s">
        <v>6</v>
      </c>
      <c r="C172" s="40" t="s">
        <v>1527</v>
      </c>
      <c r="D172" s="40" t="s">
        <v>350</v>
      </c>
      <c r="E172" s="199" t="s">
        <v>780</v>
      </c>
      <c r="F172" s="199" t="s">
        <v>4118</v>
      </c>
      <c r="G172" s="243" t="s">
        <v>3023</v>
      </c>
      <c r="H172" s="41" t="s">
        <v>1516</v>
      </c>
      <c r="I172" s="246" t="s">
        <v>3029</v>
      </c>
      <c r="J172" s="232" t="s">
        <v>3958</v>
      </c>
      <c r="K172" s="161" t="s">
        <v>4611</v>
      </c>
      <c r="L172" s="240"/>
      <c r="M172" s="240"/>
      <c r="N172" s="160"/>
      <c r="O172" s="139" t="s">
        <v>348</v>
      </c>
      <c r="P172" s="39" t="s">
        <v>349</v>
      </c>
      <c r="Q172" s="228" t="s">
        <v>3238</v>
      </c>
      <c r="R172" s="200" t="s">
        <v>2937</v>
      </c>
      <c r="S172" s="141" t="s">
        <v>351</v>
      </c>
      <c r="T172" s="241"/>
    </row>
    <row r="173" spans="1:20" ht="58" customHeight="1">
      <c r="A173" s="230" t="s">
        <v>2431</v>
      </c>
      <c r="B173" s="41" t="s">
        <v>6</v>
      </c>
      <c r="C173" s="40" t="s">
        <v>1527</v>
      </c>
      <c r="D173" s="40" t="s">
        <v>353</v>
      </c>
      <c r="E173" s="199" t="s">
        <v>781</v>
      </c>
      <c r="F173" s="199" t="s">
        <v>4119</v>
      </c>
      <c r="G173" s="243" t="s">
        <v>3023</v>
      </c>
      <c r="H173" s="41" t="s">
        <v>1516</v>
      </c>
      <c r="I173" s="246" t="s">
        <v>3029</v>
      </c>
      <c r="J173" s="232" t="s">
        <v>3959</v>
      </c>
      <c r="K173" s="161" t="s">
        <v>4611</v>
      </c>
      <c r="L173" s="240"/>
      <c r="M173" s="240"/>
      <c r="N173" s="160"/>
      <c r="O173" s="139" t="s">
        <v>348</v>
      </c>
      <c r="P173" s="39" t="s">
        <v>352</v>
      </c>
      <c r="Q173" s="228" t="s">
        <v>3238</v>
      </c>
      <c r="R173" s="200" t="s">
        <v>2937</v>
      </c>
      <c r="S173" s="141" t="s">
        <v>351</v>
      </c>
      <c r="T173" s="241"/>
    </row>
    <row r="174" spans="1:20" ht="58" customHeight="1">
      <c r="A174" s="230" t="s">
        <v>2431</v>
      </c>
      <c r="B174" s="41" t="s">
        <v>6</v>
      </c>
      <c r="C174" s="40" t="s">
        <v>1527</v>
      </c>
      <c r="D174" s="40" t="s">
        <v>355</v>
      </c>
      <c r="E174" s="199" t="s">
        <v>782</v>
      </c>
      <c r="F174" s="199" t="s">
        <v>356</v>
      </c>
      <c r="G174" s="243" t="s">
        <v>3023</v>
      </c>
      <c r="H174" s="41" t="s">
        <v>1516</v>
      </c>
      <c r="I174" s="246" t="s">
        <v>3029</v>
      </c>
      <c r="J174" s="232" t="s">
        <v>3960</v>
      </c>
      <c r="K174" s="161" t="s">
        <v>4611</v>
      </c>
      <c r="L174" s="240"/>
      <c r="M174" s="240"/>
      <c r="N174" s="160"/>
      <c r="O174" s="139" t="s">
        <v>348</v>
      </c>
      <c r="P174" s="39" t="s">
        <v>354</v>
      </c>
      <c r="Q174" s="228" t="s">
        <v>3238</v>
      </c>
      <c r="R174" s="200" t="s">
        <v>2937</v>
      </c>
      <c r="S174" s="141" t="s">
        <v>351</v>
      </c>
      <c r="T174" s="241"/>
    </row>
    <row r="175" spans="1:20" ht="58" customHeight="1">
      <c r="A175" s="230" t="s">
        <v>2431</v>
      </c>
      <c r="B175" s="41" t="s">
        <v>6</v>
      </c>
      <c r="C175" s="40" t="s">
        <v>1527</v>
      </c>
      <c r="D175" s="40" t="s">
        <v>358</v>
      </c>
      <c r="E175" s="199" t="s">
        <v>783</v>
      </c>
      <c r="F175" s="199" t="s">
        <v>4120</v>
      </c>
      <c r="G175" s="243" t="s">
        <v>3023</v>
      </c>
      <c r="H175" s="41" t="s">
        <v>1516</v>
      </c>
      <c r="I175" s="246" t="s">
        <v>3029</v>
      </c>
      <c r="J175" s="232" t="s">
        <v>3961</v>
      </c>
      <c r="K175" s="161" t="s">
        <v>4611</v>
      </c>
      <c r="L175" s="240"/>
      <c r="M175" s="240"/>
      <c r="N175" s="160"/>
      <c r="O175" s="139" t="s">
        <v>348</v>
      </c>
      <c r="P175" s="39" t="s">
        <v>357</v>
      </c>
      <c r="Q175" s="228" t="s">
        <v>3238</v>
      </c>
      <c r="R175" s="200" t="s">
        <v>2937</v>
      </c>
      <c r="S175" s="141" t="s">
        <v>351</v>
      </c>
      <c r="T175" s="241"/>
    </row>
    <row r="176" spans="1:20" ht="58" customHeight="1">
      <c r="A176" s="230" t="s">
        <v>2431</v>
      </c>
      <c r="B176" s="41" t="s">
        <v>6</v>
      </c>
      <c r="C176" s="40" t="s">
        <v>1527</v>
      </c>
      <c r="D176" s="40" t="s">
        <v>361</v>
      </c>
      <c r="E176" s="199" t="s">
        <v>784</v>
      </c>
      <c r="F176" s="199" t="s">
        <v>4121</v>
      </c>
      <c r="G176" s="243" t="s">
        <v>3023</v>
      </c>
      <c r="H176" s="41" t="s">
        <v>1516</v>
      </c>
      <c r="I176" s="246" t="s">
        <v>3029</v>
      </c>
      <c r="J176" s="232" t="s">
        <v>3962</v>
      </c>
      <c r="K176" s="161" t="s">
        <v>4611</v>
      </c>
      <c r="L176" s="240"/>
      <c r="M176" s="240"/>
      <c r="N176" s="160"/>
      <c r="O176" s="139" t="s">
        <v>359</v>
      </c>
      <c r="P176" s="39" t="s">
        <v>360</v>
      </c>
      <c r="Q176" s="228" t="s">
        <v>3238</v>
      </c>
      <c r="R176" s="200" t="s">
        <v>2937</v>
      </c>
      <c r="S176" s="141" t="s">
        <v>362</v>
      </c>
      <c r="T176" s="241"/>
    </row>
    <row r="177" spans="1:20" ht="58" customHeight="1">
      <c r="A177" s="230" t="s">
        <v>2431</v>
      </c>
      <c r="B177" s="41" t="s">
        <v>6</v>
      </c>
      <c r="C177" s="40" t="s">
        <v>1527</v>
      </c>
      <c r="D177" s="40" t="s">
        <v>4285</v>
      </c>
      <c r="E177" s="199" t="s">
        <v>785</v>
      </c>
      <c r="F177" s="199" t="s">
        <v>4122</v>
      </c>
      <c r="G177" s="243" t="s">
        <v>3022</v>
      </c>
      <c r="H177" s="41" t="s">
        <v>1516</v>
      </c>
      <c r="I177" s="246" t="s">
        <v>4167</v>
      </c>
      <c r="J177" s="232" t="s">
        <v>3963</v>
      </c>
      <c r="K177" s="161" t="s">
        <v>4286</v>
      </c>
      <c r="L177" s="240" t="s">
        <v>4509</v>
      </c>
      <c r="M177" s="240" t="s">
        <v>4510</v>
      </c>
      <c r="N177" s="160" t="s">
        <v>4333</v>
      </c>
      <c r="O177" s="139" t="s">
        <v>359</v>
      </c>
      <c r="P177" s="39" t="s">
        <v>4284</v>
      </c>
      <c r="Q177" s="228" t="s">
        <v>3238</v>
      </c>
      <c r="R177" s="200" t="s">
        <v>2936</v>
      </c>
      <c r="S177" s="141" t="s">
        <v>362</v>
      </c>
      <c r="T177" s="241"/>
    </row>
    <row r="178" spans="1:20" ht="58" customHeight="1">
      <c r="A178" s="230" t="s">
        <v>2431</v>
      </c>
      <c r="B178" s="41" t="s">
        <v>6</v>
      </c>
      <c r="C178" s="40" t="s">
        <v>1527</v>
      </c>
      <c r="D178" s="40" t="s">
        <v>4287</v>
      </c>
      <c r="E178" s="199" t="s">
        <v>785</v>
      </c>
      <c r="F178" s="199" t="s">
        <v>4122</v>
      </c>
      <c r="G178" s="243" t="s">
        <v>3022</v>
      </c>
      <c r="H178" s="41" t="s">
        <v>1516</v>
      </c>
      <c r="I178" s="246" t="s">
        <v>4167</v>
      </c>
      <c r="J178" s="232" t="s">
        <v>3963</v>
      </c>
      <c r="K178" s="161" t="s">
        <v>4289</v>
      </c>
      <c r="L178" s="240" t="s">
        <v>4511</v>
      </c>
      <c r="M178" s="240" t="s">
        <v>4512</v>
      </c>
      <c r="N178" s="160" t="s">
        <v>4333</v>
      </c>
      <c r="O178" s="139" t="s">
        <v>359</v>
      </c>
      <c r="P178" s="39" t="s">
        <v>4288</v>
      </c>
      <c r="Q178" s="228" t="s">
        <v>3238</v>
      </c>
      <c r="R178" s="200" t="s">
        <v>2936</v>
      </c>
      <c r="S178" s="141" t="s">
        <v>362</v>
      </c>
      <c r="T178" s="241"/>
    </row>
    <row r="179" spans="1:20" ht="58" customHeight="1">
      <c r="A179" s="230" t="s">
        <v>2431</v>
      </c>
      <c r="B179" s="41" t="s">
        <v>6</v>
      </c>
      <c r="C179" s="40" t="s">
        <v>1527</v>
      </c>
      <c r="D179" s="40" t="s">
        <v>4291</v>
      </c>
      <c r="E179" s="199" t="s">
        <v>786</v>
      </c>
      <c r="F179" s="199" t="s">
        <v>365</v>
      </c>
      <c r="G179" s="243" t="s">
        <v>3022</v>
      </c>
      <c r="H179" s="41" t="s">
        <v>1516</v>
      </c>
      <c r="I179" s="246" t="s">
        <v>4167</v>
      </c>
      <c r="J179" s="232" t="s">
        <v>3964</v>
      </c>
      <c r="K179" s="161" t="s">
        <v>4292</v>
      </c>
      <c r="L179" s="240" t="s">
        <v>4513</v>
      </c>
      <c r="M179" s="240" t="s">
        <v>4514</v>
      </c>
      <c r="N179" s="160" t="s">
        <v>4333</v>
      </c>
      <c r="O179" s="139" t="s">
        <v>359</v>
      </c>
      <c r="P179" s="39" t="s">
        <v>4290</v>
      </c>
      <c r="Q179" s="228" t="s">
        <v>3238</v>
      </c>
      <c r="R179" s="200" t="s">
        <v>2936</v>
      </c>
      <c r="S179" s="141" t="s">
        <v>362</v>
      </c>
      <c r="T179" s="241"/>
    </row>
    <row r="180" spans="1:20" ht="58" customHeight="1">
      <c r="A180" s="230" t="s">
        <v>2431</v>
      </c>
      <c r="B180" s="41" t="s">
        <v>6</v>
      </c>
      <c r="C180" s="40" t="s">
        <v>1527</v>
      </c>
      <c r="D180" s="40" t="s">
        <v>4293</v>
      </c>
      <c r="E180" s="199" t="s">
        <v>786</v>
      </c>
      <c r="F180" s="199" t="s">
        <v>365</v>
      </c>
      <c r="G180" s="243" t="s">
        <v>3022</v>
      </c>
      <c r="H180" s="41" t="s">
        <v>1516</v>
      </c>
      <c r="I180" s="246" t="s">
        <v>4167</v>
      </c>
      <c r="J180" s="232" t="s">
        <v>3964</v>
      </c>
      <c r="K180" s="161" t="s">
        <v>4295</v>
      </c>
      <c r="L180" s="240" t="s">
        <v>4515</v>
      </c>
      <c r="M180" s="240" t="s">
        <v>4516</v>
      </c>
      <c r="N180" s="160" t="s">
        <v>4333</v>
      </c>
      <c r="O180" s="139" t="s">
        <v>359</v>
      </c>
      <c r="P180" s="39" t="s">
        <v>4294</v>
      </c>
      <c r="Q180" s="228" t="s">
        <v>3238</v>
      </c>
      <c r="R180" s="200" t="s">
        <v>2936</v>
      </c>
      <c r="S180" s="141" t="s">
        <v>362</v>
      </c>
      <c r="T180" s="241"/>
    </row>
    <row r="181" spans="1:20" ht="58" customHeight="1">
      <c r="A181" s="230" t="s">
        <v>2431</v>
      </c>
      <c r="B181" s="41" t="s">
        <v>6</v>
      </c>
      <c r="C181" s="40" t="s">
        <v>1527</v>
      </c>
      <c r="D181" s="40" t="s">
        <v>4246</v>
      </c>
      <c r="E181" s="199" t="s">
        <v>788</v>
      </c>
      <c r="F181" s="199" t="s">
        <v>4123</v>
      </c>
      <c r="G181" s="243" t="s">
        <v>3022</v>
      </c>
      <c r="H181" s="41" t="s">
        <v>1516</v>
      </c>
      <c r="I181" s="246" t="s">
        <v>3029</v>
      </c>
      <c r="J181" s="232" t="s">
        <v>3965</v>
      </c>
      <c r="K181" s="161" t="s">
        <v>4247</v>
      </c>
      <c r="L181" s="240" t="s">
        <v>4491</v>
      </c>
      <c r="M181" s="240" t="s">
        <v>4492</v>
      </c>
      <c r="N181" s="160" t="s">
        <v>4332</v>
      </c>
      <c r="O181" s="139" t="s">
        <v>368</v>
      </c>
      <c r="P181" s="39" t="s">
        <v>4245</v>
      </c>
      <c r="Q181" s="228" t="s">
        <v>3238</v>
      </c>
      <c r="R181" s="200" t="s">
        <v>2936</v>
      </c>
      <c r="S181" s="141" t="s">
        <v>370</v>
      </c>
      <c r="T181" s="241"/>
    </row>
    <row r="182" spans="1:20" ht="58" customHeight="1">
      <c r="A182" s="230" t="s">
        <v>2431</v>
      </c>
      <c r="B182" s="41" t="s">
        <v>6</v>
      </c>
      <c r="C182" s="40" t="s">
        <v>1527</v>
      </c>
      <c r="D182" s="40" t="s">
        <v>4248</v>
      </c>
      <c r="E182" s="199" t="s">
        <v>788</v>
      </c>
      <c r="F182" s="199" t="s">
        <v>4123</v>
      </c>
      <c r="G182" s="243" t="s">
        <v>3022</v>
      </c>
      <c r="H182" s="41" t="s">
        <v>1516</v>
      </c>
      <c r="I182" s="246" t="s">
        <v>3029</v>
      </c>
      <c r="J182" s="232" t="s">
        <v>3965</v>
      </c>
      <c r="K182" s="161" t="s">
        <v>4250</v>
      </c>
      <c r="L182" s="240" t="s">
        <v>4517</v>
      </c>
      <c r="M182" s="240" t="s">
        <v>4518</v>
      </c>
      <c r="N182" s="160" t="s">
        <v>4333</v>
      </c>
      <c r="O182" s="139" t="s">
        <v>368</v>
      </c>
      <c r="P182" s="39" t="s">
        <v>4249</v>
      </c>
      <c r="Q182" s="228" t="s">
        <v>3238</v>
      </c>
      <c r="R182" s="200" t="s">
        <v>2936</v>
      </c>
      <c r="S182" s="141" t="s">
        <v>370</v>
      </c>
      <c r="T182" s="241"/>
    </row>
    <row r="183" spans="1:20" ht="58" customHeight="1">
      <c r="A183" s="230" t="s">
        <v>2431</v>
      </c>
      <c r="B183" s="41" t="s">
        <v>6</v>
      </c>
      <c r="C183" s="40" t="s">
        <v>1527</v>
      </c>
      <c r="D183" s="40" t="s">
        <v>372</v>
      </c>
      <c r="E183" s="199" t="s">
        <v>789</v>
      </c>
      <c r="F183" s="199" t="s">
        <v>4124</v>
      </c>
      <c r="G183" s="243" t="s">
        <v>3023</v>
      </c>
      <c r="H183" s="41" t="s">
        <v>1516</v>
      </c>
      <c r="I183" s="246" t="s">
        <v>3029</v>
      </c>
      <c r="J183" s="232" t="s">
        <v>3966</v>
      </c>
      <c r="K183" s="161" t="s">
        <v>4588</v>
      </c>
      <c r="L183" s="240" t="s">
        <v>4589</v>
      </c>
      <c r="M183" s="240" t="s">
        <v>4590</v>
      </c>
      <c r="N183" s="160" t="s">
        <v>4334</v>
      </c>
      <c r="O183" s="139" t="s">
        <v>368</v>
      </c>
      <c r="P183" s="39" t="s">
        <v>371</v>
      </c>
      <c r="Q183" s="228" t="s">
        <v>3238</v>
      </c>
      <c r="R183" s="200" t="s">
        <v>2937</v>
      </c>
      <c r="S183" s="141" t="s">
        <v>370</v>
      </c>
      <c r="T183" s="241"/>
    </row>
    <row r="184" spans="1:20" ht="58" customHeight="1">
      <c r="A184" s="230" t="s">
        <v>2431</v>
      </c>
      <c r="B184" s="41" t="s">
        <v>6</v>
      </c>
      <c r="C184" s="40" t="s">
        <v>1527</v>
      </c>
      <c r="D184" s="40" t="s">
        <v>367</v>
      </c>
      <c r="E184" s="199" t="s">
        <v>787</v>
      </c>
      <c r="F184" s="199" t="s">
        <v>4690</v>
      </c>
      <c r="G184" s="243" t="s">
        <v>4691</v>
      </c>
      <c r="H184" s="41" t="s">
        <v>3</v>
      </c>
      <c r="I184" s="246" t="s">
        <v>3031</v>
      </c>
      <c r="J184" s="232" t="s">
        <v>3967</v>
      </c>
      <c r="K184" s="161" t="s">
        <v>955</v>
      </c>
      <c r="L184" s="240"/>
      <c r="M184" s="240"/>
      <c r="N184" s="160"/>
      <c r="O184" s="139" t="s">
        <v>359</v>
      </c>
      <c r="P184" s="39" t="s">
        <v>366</v>
      </c>
      <c r="Q184" s="228" t="s">
        <v>3238</v>
      </c>
      <c r="R184" s="200" t="s">
        <v>2937</v>
      </c>
      <c r="S184" s="141" t="s">
        <v>362</v>
      </c>
      <c r="T184" s="241" t="s">
        <v>4692</v>
      </c>
    </row>
    <row r="185" spans="1:20" ht="58" customHeight="1">
      <c r="A185" s="230" t="s">
        <v>2431</v>
      </c>
      <c r="B185" s="41" t="s">
        <v>6</v>
      </c>
      <c r="C185" s="40" t="s">
        <v>1527</v>
      </c>
      <c r="D185" s="40" t="s">
        <v>374</v>
      </c>
      <c r="E185" s="199" t="s">
        <v>2962</v>
      </c>
      <c r="F185" s="199" t="s">
        <v>4125</v>
      </c>
      <c r="G185" s="243" t="s">
        <v>3023</v>
      </c>
      <c r="H185" s="41" t="s">
        <v>1516</v>
      </c>
      <c r="I185" s="246" t="s">
        <v>3029</v>
      </c>
      <c r="J185" s="232" t="s">
        <v>3968</v>
      </c>
      <c r="K185" s="161" t="s">
        <v>4593</v>
      </c>
      <c r="L185" s="240" t="s">
        <v>4595</v>
      </c>
      <c r="M185" s="240"/>
      <c r="N185" s="160" t="s">
        <v>4333</v>
      </c>
      <c r="O185" s="139" t="s">
        <v>368</v>
      </c>
      <c r="P185" s="39" t="s">
        <v>373</v>
      </c>
      <c r="Q185" s="228" t="s">
        <v>3238</v>
      </c>
      <c r="R185" s="200" t="s">
        <v>2937</v>
      </c>
      <c r="S185" s="141" t="s">
        <v>370</v>
      </c>
      <c r="T185" s="241"/>
    </row>
    <row r="186" spans="1:20" ht="58" customHeight="1">
      <c r="A186" s="230" t="s">
        <v>2431</v>
      </c>
      <c r="B186" s="41" t="s">
        <v>6</v>
      </c>
      <c r="C186" s="40" t="s">
        <v>1529</v>
      </c>
      <c r="D186" s="40" t="s">
        <v>401</v>
      </c>
      <c r="E186" s="199" t="s">
        <v>3847</v>
      </c>
      <c r="F186" s="199" t="s">
        <v>4126</v>
      </c>
      <c r="G186" s="243" t="s">
        <v>4627</v>
      </c>
      <c r="H186" s="41" t="s">
        <v>3</v>
      </c>
      <c r="I186" s="246" t="s">
        <v>1533</v>
      </c>
      <c r="J186" s="232" t="s">
        <v>3236</v>
      </c>
      <c r="K186" s="161"/>
      <c r="L186" s="240"/>
      <c r="M186" s="240"/>
      <c r="N186" s="160"/>
      <c r="O186" s="139" t="s">
        <v>399</v>
      </c>
      <c r="P186" s="39" t="s">
        <v>400</v>
      </c>
      <c r="Q186" s="228" t="s">
        <v>3238</v>
      </c>
      <c r="R186" s="200" t="s">
        <v>2982</v>
      </c>
      <c r="S186" s="141" t="s">
        <v>402</v>
      </c>
      <c r="T186" s="241"/>
    </row>
    <row r="187" spans="1:20" ht="58" customHeight="1">
      <c r="A187" s="230" t="s">
        <v>2431</v>
      </c>
      <c r="B187" s="41" t="s">
        <v>6</v>
      </c>
      <c r="C187" s="40" t="s">
        <v>1529</v>
      </c>
      <c r="D187" s="40" t="s">
        <v>404</v>
      </c>
      <c r="E187" s="199" t="s">
        <v>3848</v>
      </c>
      <c r="F187" s="199" t="s">
        <v>3327</v>
      </c>
      <c r="G187" s="243" t="s">
        <v>4628</v>
      </c>
      <c r="H187" s="41" t="s">
        <v>3</v>
      </c>
      <c r="I187" s="246" t="s">
        <v>3031</v>
      </c>
      <c r="J187" s="232" t="s">
        <v>3236</v>
      </c>
      <c r="K187" s="161"/>
      <c r="L187" s="240"/>
      <c r="M187" s="240"/>
      <c r="N187" s="160"/>
      <c r="O187" s="139" t="s">
        <v>399</v>
      </c>
      <c r="P187" s="39" t="s">
        <v>403</v>
      </c>
      <c r="Q187" s="228" t="s">
        <v>3238</v>
      </c>
      <c r="R187" s="200" t="s">
        <v>2981</v>
      </c>
      <c r="S187" s="141" t="s">
        <v>402</v>
      </c>
      <c r="T187" s="241"/>
    </row>
    <row r="188" spans="1:20" ht="58" customHeight="1">
      <c r="A188" s="230" t="s">
        <v>2431</v>
      </c>
      <c r="B188" s="41" t="s">
        <v>6</v>
      </c>
      <c r="C188" s="40" t="s">
        <v>1529</v>
      </c>
      <c r="D188" s="40" t="s">
        <v>406</v>
      </c>
      <c r="E188" s="199" t="s">
        <v>795</v>
      </c>
      <c r="F188" s="199" t="s">
        <v>3302</v>
      </c>
      <c r="G188" s="243" t="s">
        <v>3303</v>
      </c>
      <c r="H188" s="41" t="s">
        <v>2</v>
      </c>
      <c r="I188" s="246" t="s">
        <v>3027</v>
      </c>
      <c r="J188" s="232" t="s">
        <v>3236</v>
      </c>
      <c r="K188" s="161"/>
      <c r="L188" s="240"/>
      <c r="M188" s="240"/>
      <c r="N188" s="160"/>
      <c r="O188" s="139" t="s">
        <v>399</v>
      </c>
      <c r="P188" s="39" t="s">
        <v>405</v>
      </c>
      <c r="Q188" s="228" t="s">
        <v>3238</v>
      </c>
      <c r="R188" s="200" t="s">
        <v>446</v>
      </c>
      <c r="S188" s="141" t="s">
        <v>402</v>
      </c>
      <c r="T188" s="241"/>
    </row>
    <row r="189" spans="1:20" ht="58" customHeight="1">
      <c r="A189" s="230" t="s">
        <v>2431</v>
      </c>
      <c r="B189" s="41" t="s">
        <v>6</v>
      </c>
      <c r="C189" s="40" t="s">
        <v>1529</v>
      </c>
      <c r="D189" s="40" t="s">
        <v>408</v>
      </c>
      <c r="E189" s="199" t="s">
        <v>3849</v>
      </c>
      <c r="F189" s="199" t="s">
        <v>4140</v>
      </c>
      <c r="G189" s="243" t="s">
        <v>3304</v>
      </c>
      <c r="H189" s="41" t="s">
        <v>955</v>
      </c>
      <c r="I189" s="246" t="s">
        <v>3028</v>
      </c>
      <c r="J189" s="232" t="s">
        <v>3236</v>
      </c>
      <c r="K189" s="161"/>
      <c r="L189" s="240"/>
      <c r="M189" s="240"/>
      <c r="N189" s="160"/>
      <c r="O189" s="139" t="s">
        <v>399</v>
      </c>
      <c r="P189" s="39" t="s">
        <v>407</v>
      </c>
      <c r="Q189" s="228" t="s">
        <v>3238</v>
      </c>
      <c r="R189" s="200" t="s">
        <v>2983</v>
      </c>
      <c r="S189" s="141" t="s">
        <v>402</v>
      </c>
      <c r="T189" s="241"/>
    </row>
    <row r="190" spans="1:20" ht="58" customHeight="1">
      <c r="A190" s="230" t="s">
        <v>2431</v>
      </c>
      <c r="B190" s="41" t="s">
        <v>6</v>
      </c>
      <c r="C190" s="40" t="s">
        <v>1529</v>
      </c>
      <c r="D190" s="40" t="s">
        <v>410</v>
      </c>
      <c r="E190" s="199" t="s">
        <v>3850</v>
      </c>
      <c r="F190" s="199" t="s">
        <v>3328</v>
      </c>
      <c r="G190" s="243" t="s">
        <v>4629</v>
      </c>
      <c r="H190" s="41" t="s">
        <v>3</v>
      </c>
      <c r="I190" s="246" t="s">
        <v>3031</v>
      </c>
      <c r="J190" s="232" t="s">
        <v>3236</v>
      </c>
      <c r="K190" s="161"/>
      <c r="L190" s="240"/>
      <c r="M190" s="240"/>
      <c r="N190" s="160"/>
      <c r="O190" s="139" t="s">
        <v>399</v>
      </c>
      <c r="P190" s="39" t="s">
        <v>409</v>
      </c>
      <c r="Q190" s="228" t="s">
        <v>3238</v>
      </c>
      <c r="R190" s="200" t="s">
        <v>2984</v>
      </c>
      <c r="S190" s="141" t="s">
        <v>402</v>
      </c>
      <c r="T190" s="241"/>
    </row>
    <row r="191" spans="1:20" ht="58" customHeight="1">
      <c r="A191" s="230" t="s">
        <v>2431</v>
      </c>
      <c r="B191" s="41" t="s">
        <v>6</v>
      </c>
      <c r="C191" s="40" t="s">
        <v>1529</v>
      </c>
      <c r="D191" s="40" t="s">
        <v>412</v>
      </c>
      <c r="E191" s="199" t="s">
        <v>3851</v>
      </c>
      <c r="F191" s="199" t="s">
        <v>3329</v>
      </c>
      <c r="G191" s="243" t="s">
        <v>3330</v>
      </c>
      <c r="H191" s="41" t="s">
        <v>3</v>
      </c>
      <c r="I191" s="246" t="s">
        <v>3031</v>
      </c>
      <c r="J191" s="232" t="s">
        <v>3236</v>
      </c>
      <c r="K191" s="161"/>
      <c r="L191" s="240"/>
      <c r="M191" s="240"/>
      <c r="N191" s="160"/>
      <c r="O191" s="139" t="s">
        <v>399</v>
      </c>
      <c r="P191" s="39" t="s">
        <v>411</v>
      </c>
      <c r="Q191" s="228" t="s">
        <v>3238</v>
      </c>
      <c r="R191" s="200" t="s">
        <v>2985</v>
      </c>
      <c r="S191" s="141" t="s">
        <v>402</v>
      </c>
      <c r="T191" s="241"/>
    </row>
    <row r="192" spans="1:20" ht="58" customHeight="1">
      <c r="A192" s="230" t="s">
        <v>2431</v>
      </c>
      <c r="B192" s="41" t="s">
        <v>6</v>
      </c>
      <c r="C192" s="40" t="s">
        <v>1529</v>
      </c>
      <c r="D192" s="40" t="s">
        <v>414</v>
      </c>
      <c r="E192" s="199" t="s">
        <v>3852</v>
      </c>
      <c r="F192" s="199" t="s">
        <v>3305</v>
      </c>
      <c r="G192" s="243" t="s">
        <v>4630</v>
      </c>
      <c r="H192" s="41" t="s">
        <v>2</v>
      </c>
      <c r="I192" s="246" t="s">
        <v>3027</v>
      </c>
      <c r="J192" s="232" t="s">
        <v>3236</v>
      </c>
      <c r="K192" s="161"/>
      <c r="L192" s="240"/>
      <c r="M192" s="240"/>
      <c r="N192" s="160"/>
      <c r="O192" s="139" t="s">
        <v>399</v>
      </c>
      <c r="P192" s="39" t="s">
        <v>413</v>
      </c>
      <c r="Q192" s="228" t="s">
        <v>3238</v>
      </c>
      <c r="R192" s="200" t="s">
        <v>2986</v>
      </c>
      <c r="S192" s="141" t="s">
        <v>402</v>
      </c>
      <c r="T192" s="241"/>
    </row>
    <row r="193" spans="1:20" ht="58" customHeight="1">
      <c r="A193" s="230" t="s">
        <v>2431</v>
      </c>
      <c r="B193" s="41" t="s">
        <v>6</v>
      </c>
      <c r="C193" s="40" t="s">
        <v>1529</v>
      </c>
      <c r="D193" s="40" t="s">
        <v>416</v>
      </c>
      <c r="E193" s="199" t="s">
        <v>3853</v>
      </c>
      <c r="F193" s="199" t="s">
        <v>417</v>
      </c>
      <c r="G193" s="243" t="s">
        <v>3019</v>
      </c>
      <c r="H193" s="41" t="s">
        <v>2</v>
      </c>
      <c r="I193" s="246" t="s">
        <v>3027</v>
      </c>
      <c r="J193" s="232" t="s">
        <v>3236</v>
      </c>
      <c r="K193" s="161"/>
      <c r="L193" s="240"/>
      <c r="M193" s="240"/>
      <c r="N193" s="160"/>
      <c r="O193" s="139" t="s">
        <v>399</v>
      </c>
      <c r="P193" s="39" t="s">
        <v>415</v>
      </c>
      <c r="Q193" s="228" t="s">
        <v>3238</v>
      </c>
      <c r="R193" s="200" t="s">
        <v>2987</v>
      </c>
      <c r="S193" s="141" t="s">
        <v>402</v>
      </c>
      <c r="T193" s="241"/>
    </row>
    <row r="194" spans="1:20" ht="58" customHeight="1">
      <c r="A194" s="230" t="s">
        <v>2431</v>
      </c>
      <c r="B194" s="41" t="s">
        <v>6</v>
      </c>
      <c r="C194" s="40" t="s">
        <v>1529</v>
      </c>
      <c r="D194" s="40" t="s">
        <v>419</v>
      </c>
      <c r="E194" s="199" t="s">
        <v>3854</v>
      </c>
      <c r="F194" s="199" t="s">
        <v>420</v>
      </c>
      <c r="G194" s="243" t="s">
        <v>3019</v>
      </c>
      <c r="H194" s="41" t="s">
        <v>2</v>
      </c>
      <c r="I194" s="246" t="s">
        <v>3027</v>
      </c>
      <c r="J194" s="232" t="s">
        <v>3236</v>
      </c>
      <c r="K194" s="161"/>
      <c r="L194" s="240"/>
      <c r="M194" s="240"/>
      <c r="N194" s="160"/>
      <c r="O194" s="139" t="s">
        <v>399</v>
      </c>
      <c r="P194" s="39" t="s">
        <v>418</v>
      </c>
      <c r="Q194" s="228" t="s">
        <v>3238</v>
      </c>
      <c r="R194" s="200" t="s">
        <v>2987</v>
      </c>
      <c r="S194" s="141" t="s">
        <v>402</v>
      </c>
      <c r="T194" s="241"/>
    </row>
    <row r="195" spans="1:20" ht="58" customHeight="1">
      <c r="A195" s="230" t="s">
        <v>2431</v>
      </c>
      <c r="B195" s="41" t="s">
        <v>6</v>
      </c>
      <c r="C195" s="40" t="s">
        <v>1529</v>
      </c>
      <c r="D195" s="40" t="s">
        <v>422</v>
      </c>
      <c r="E195" s="199" t="s">
        <v>3855</v>
      </c>
      <c r="F195" s="199" t="s">
        <v>4127</v>
      </c>
      <c r="G195" s="243" t="s">
        <v>4631</v>
      </c>
      <c r="H195" s="41" t="s">
        <v>3</v>
      </c>
      <c r="I195" s="246" t="s">
        <v>3031</v>
      </c>
      <c r="J195" s="232" t="s">
        <v>3236</v>
      </c>
      <c r="K195" s="161"/>
      <c r="L195" s="240"/>
      <c r="M195" s="240"/>
      <c r="N195" s="160"/>
      <c r="O195" s="139" t="s">
        <v>399</v>
      </c>
      <c r="P195" s="39" t="s">
        <v>421</v>
      </c>
      <c r="Q195" s="228" t="s">
        <v>3238</v>
      </c>
      <c r="R195" s="200" t="s">
        <v>2983</v>
      </c>
      <c r="S195" s="141" t="s">
        <v>402</v>
      </c>
      <c r="T195" s="241"/>
    </row>
    <row r="196" spans="1:20" ht="58" customHeight="1">
      <c r="A196" s="230" t="s">
        <v>2431</v>
      </c>
      <c r="B196" s="41" t="s">
        <v>6</v>
      </c>
      <c r="C196" s="40" t="s">
        <v>1529</v>
      </c>
      <c r="D196" s="40" t="s">
        <v>424</v>
      </c>
      <c r="E196" s="199" t="s">
        <v>3856</v>
      </c>
      <c r="F196" s="199" t="s">
        <v>3306</v>
      </c>
      <c r="G196" s="243" t="s">
        <v>3307</v>
      </c>
      <c r="H196" s="41" t="s">
        <v>3</v>
      </c>
      <c r="I196" s="246" t="s">
        <v>3031</v>
      </c>
      <c r="J196" s="232" t="s">
        <v>3236</v>
      </c>
      <c r="K196" s="161"/>
      <c r="L196" s="240"/>
      <c r="M196" s="240"/>
      <c r="N196" s="160"/>
      <c r="O196" s="139" t="s">
        <v>399</v>
      </c>
      <c r="P196" s="39" t="s">
        <v>423</v>
      </c>
      <c r="Q196" s="228" t="s">
        <v>3238</v>
      </c>
      <c r="R196" s="200" t="s">
        <v>2983</v>
      </c>
      <c r="S196" s="141" t="s">
        <v>402</v>
      </c>
      <c r="T196" s="241"/>
    </row>
    <row r="197" spans="1:20" ht="58" customHeight="1">
      <c r="A197" s="230" t="s">
        <v>2431</v>
      </c>
      <c r="B197" s="41" t="s">
        <v>6</v>
      </c>
      <c r="C197" s="40" t="s">
        <v>1530</v>
      </c>
      <c r="D197" s="40" t="s">
        <v>427</v>
      </c>
      <c r="E197" s="199" t="s">
        <v>796</v>
      </c>
      <c r="F197" s="199" t="s">
        <v>4128</v>
      </c>
      <c r="G197" s="243" t="s">
        <v>3020</v>
      </c>
      <c r="H197" s="41" t="s">
        <v>955</v>
      </c>
      <c r="I197" s="246" t="s">
        <v>3028</v>
      </c>
      <c r="J197" s="232" t="s">
        <v>3236</v>
      </c>
      <c r="K197" s="161"/>
      <c r="L197" s="240"/>
      <c r="M197" s="240"/>
      <c r="N197" s="160"/>
      <c r="O197" s="139" t="s">
        <v>425</v>
      </c>
      <c r="P197" s="39" t="s">
        <v>426</v>
      </c>
      <c r="Q197" s="228" t="s">
        <v>3238</v>
      </c>
      <c r="R197" s="200" t="s">
        <v>2988</v>
      </c>
      <c r="S197" s="141" t="s">
        <v>428</v>
      </c>
      <c r="T197" s="241"/>
    </row>
    <row r="198" spans="1:20" ht="58" customHeight="1">
      <c r="A198" s="230" t="s">
        <v>2431</v>
      </c>
      <c r="B198" s="41" t="s">
        <v>6</v>
      </c>
      <c r="C198" s="40" t="s">
        <v>1530</v>
      </c>
      <c r="D198" s="40" t="s">
        <v>430</v>
      </c>
      <c r="E198" s="199" t="s">
        <v>4147</v>
      </c>
      <c r="F198" s="199" t="s">
        <v>4148</v>
      </c>
      <c r="G198" s="243" t="s">
        <v>4149</v>
      </c>
      <c r="H198" s="41" t="s">
        <v>1516</v>
      </c>
      <c r="I198" s="246" t="s">
        <v>4554</v>
      </c>
      <c r="J198" s="232" t="s">
        <v>4150</v>
      </c>
      <c r="K198" s="161" t="s">
        <v>955</v>
      </c>
      <c r="L198" s="240"/>
      <c r="M198" s="240"/>
      <c r="N198" s="160"/>
      <c r="O198" s="139" t="s">
        <v>425</v>
      </c>
      <c r="P198" s="39" t="s">
        <v>429</v>
      </c>
      <c r="Q198" s="228" t="s">
        <v>3238</v>
      </c>
      <c r="R198" s="200" t="s">
        <v>4151</v>
      </c>
      <c r="S198" s="141" t="s">
        <v>428</v>
      </c>
      <c r="T198" s="241"/>
    </row>
    <row r="199" spans="1:20" ht="58" customHeight="1">
      <c r="A199" s="230" t="s">
        <v>2431</v>
      </c>
      <c r="B199" s="41" t="s">
        <v>6</v>
      </c>
      <c r="C199" s="40" t="s">
        <v>1530</v>
      </c>
      <c r="D199" s="40" t="s">
        <v>432</v>
      </c>
      <c r="E199" s="199" t="s">
        <v>797</v>
      </c>
      <c r="F199" s="199" t="s">
        <v>4129</v>
      </c>
      <c r="G199" s="243" t="s">
        <v>3019</v>
      </c>
      <c r="H199" s="41" t="s">
        <v>2</v>
      </c>
      <c r="I199" s="246" t="s">
        <v>3027</v>
      </c>
      <c r="J199" s="232" t="s">
        <v>3236</v>
      </c>
      <c r="K199" s="161"/>
      <c r="L199" s="240"/>
      <c r="M199" s="240"/>
      <c r="N199" s="160"/>
      <c r="O199" s="139" t="s">
        <v>425</v>
      </c>
      <c r="P199" s="39" t="s">
        <v>431</v>
      </c>
      <c r="Q199" s="228" t="s">
        <v>3238</v>
      </c>
      <c r="R199" s="200" t="s">
        <v>2961</v>
      </c>
      <c r="S199" s="141" t="s">
        <v>428</v>
      </c>
      <c r="T199" s="241"/>
    </row>
    <row r="200" spans="1:20" ht="58" customHeight="1">
      <c r="A200" s="230" t="s">
        <v>2431</v>
      </c>
      <c r="B200" s="41" t="s">
        <v>6</v>
      </c>
      <c r="C200" s="40" t="s">
        <v>1530</v>
      </c>
      <c r="D200" s="40" t="s">
        <v>434</v>
      </c>
      <c r="E200" s="199" t="s">
        <v>3857</v>
      </c>
      <c r="F200" s="199" t="s">
        <v>3331</v>
      </c>
      <c r="G200" s="243" t="s">
        <v>3332</v>
      </c>
      <c r="H200" s="41" t="s">
        <v>3</v>
      </c>
      <c r="I200" s="246" t="s">
        <v>3031</v>
      </c>
      <c r="J200" s="232" t="s">
        <v>3236</v>
      </c>
      <c r="K200" s="161"/>
      <c r="L200" s="240"/>
      <c r="M200" s="240"/>
      <c r="N200" s="160"/>
      <c r="O200" s="139" t="s">
        <v>425</v>
      </c>
      <c r="P200" s="39" t="s">
        <v>433</v>
      </c>
      <c r="Q200" s="228" t="s">
        <v>3238</v>
      </c>
      <c r="R200" s="200" t="s">
        <v>2989</v>
      </c>
      <c r="S200" s="141" t="s">
        <v>428</v>
      </c>
      <c r="T200" s="241"/>
    </row>
    <row r="201" spans="1:20" ht="58" customHeight="1">
      <c r="A201" s="230" t="s">
        <v>2431</v>
      </c>
      <c r="B201" s="41" t="s">
        <v>6</v>
      </c>
      <c r="C201" s="40" t="s">
        <v>1530</v>
      </c>
      <c r="D201" s="40" t="s">
        <v>436</v>
      </c>
      <c r="E201" s="199" t="s">
        <v>3858</v>
      </c>
      <c r="F201" s="199" t="s">
        <v>3308</v>
      </c>
      <c r="G201" s="243" t="s">
        <v>4632</v>
      </c>
      <c r="H201" s="41" t="s">
        <v>2</v>
      </c>
      <c r="I201" s="246" t="s">
        <v>3027</v>
      </c>
      <c r="J201" s="232" t="s">
        <v>3236</v>
      </c>
      <c r="K201" s="161"/>
      <c r="L201" s="240"/>
      <c r="M201" s="240"/>
      <c r="N201" s="160"/>
      <c r="O201" s="139" t="s">
        <v>425</v>
      </c>
      <c r="P201" s="39" t="s">
        <v>435</v>
      </c>
      <c r="Q201" s="228" t="s">
        <v>3238</v>
      </c>
      <c r="R201" s="200" t="s">
        <v>2990</v>
      </c>
      <c r="S201" s="141" t="s">
        <v>428</v>
      </c>
      <c r="T201" s="241"/>
    </row>
    <row r="202" spans="1:20" ht="58" customHeight="1">
      <c r="A202" s="230" t="s">
        <v>2431</v>
      </c>
      <c r="B202" s="41" t="s">
        <v>1535</v>
      </c>
      <c r="C202" s="40" t="s">
        <v>1514</v>
      </c>
      <c r="D202" s="40" t="s">
        <v>1509</v>
      </c>
      <c r="E202" s="199" t="s">
        <v>3860</v>
      </c>
      <c r="F202" s="199" t="s">
        <v>3340</v>
      </c>
      <c r="G202" s="243" t="s">
        <v>3341</v>
      </c>
      <c r="H202" s="41" t="s">
        <v>3</v>
      </c>
      <c r="I202" s="246" t="s">
        <v>3031</v>
      </c>
      <c r="J202" s="232" t="s">
        <v>3236</v>
      </c>
      <c r="K202" s="161" t="s">
        <v>955</v>
      </c>
      <c r="L202" s="240"/>
      <c r="M202" s="240"/>
      <c r="N202" s="160"/>
      <c r="O202" s="139" t="s">
        <v>1504</v>
      </c>
      <c r="P202" s="39" t="s">
        <v>1508</v>
      </c>
      <c r="Q202" s="228" t="s">
        <v>3239</v>
      </c>
      <c r="R202" s="200" t="s">
        <v>3010</v>
      </c>
      <c r="S202" s="141" t="s">
        <v>1460</v>
      </c>
      <c r="T202" s="241" t="s">
        <v>4685</v>
      </c>
    </row>
    <row r="203" spans="1:20" ht="58" customHeight="1">
      <c r="A203" s="230" t="s">
        <v>2431</v>
      </c>
      <c r="B203" s="41" t="s">
        <v>1535</v>
      </c>
      <c r="C203" s="40" t="s">
        <v>1517</v>
      </c>
      <c r="D203" s="40" t="s">
        <v>4555</v>
      </c>
      <c r="E203" s="199" t="s">
        <v>4556</v>
      </c>
      <c r="F203" s="199" t="s">
        <v>4557</v>
      </c>
      <c r="G203" s="243" t="s">
        <v>4558</v>
      </c>
      <c r="H203" s="41" t="s">
        <v>1516</v>
      </c>
      <c r="I203" s="246" t="s">
        <v>3029</v>
      </c>
      <c r="J203" s="232" t="s">
        <v>4559</v>
      </c>
      <c r="K203" s="161" t="s">
        <v>4560</v>
      </c>
      <c r="L203" s="240" t="s">
        <v>4561</v>
      </c>
      <c r="M203" s="240" t="s">
        <v>4562</v>
      </c>
      <c r="N203" s="160" t="s">
        <v>4332</v>
      </c>
      <c r="O203" s="139" t="s">
        <v>60</v>
      </c>
      <c r="P203" s="39" t="s">
        <v>4563</v>
      </c>
      <c r="Q203" s="228" t="s">
        <v>3239</v>
      </c>
      <c r="R203" s="200" t="s">
        <v>4564</v>
      </c>
      <c r="S203" s="141" t="s">
        <v>4565</v>
      </c>
      <c r="T203" s="241" t="s">
        <v>5301</v>
      </c>
    </row>
    <row r="204" spans="1:20" ht="58" customHeight="1">
      <c r="A204" s="230" t="s">
        <v>2431</v>
      </c>
      <c r="B204" s="41" t="s">
        <v>1535</v>
      </c>
      <c r="C204" s="40" t="s">
        <v>1518</v>
      </c>
      <c r="D204" s="40" t="s">
        <v>1490</v>
      </c>
      <c r="E204" s="199" t="s">
        <v>3869</v>
      </c>
      <c r="F204" s="199" t="s">
        <v>1491</v>
      </c>
      <c r="G204" s="243" t="s">
        <v>3023</v>
      </c>
      <c r="H204" s="41" t="s">
        <v>1516</v>
      </c>
      <c r="I204" s="246" t="s">
        <v>3029</v>
      </c>
      <c r="J204" s="232" t="s">
        <v>3969</v>
      </c>
      <c r="K204" s="161" t="s">
        <v>4611</v>
      </c>
      <c r="L204" s="240"/>
      <c r="M204" s="240"/>
      <c r="N204" s="160"/>
      <c r="O204" s="139" t="s">
        <v>1488</v>
      </c>
      <c r="P204" s="39" t="s">
        <v>1489</v>
      </c>
      <c r="Q204" s="228" t="s">
        <v>3239</v>
      </c>
      <c r="R204" s="200" t="s">
        <v>3006</v>
      </c>
      <c r="S204" s="141" t="s">
        <v>1460</v>
      </c>
      <c r="T204" s="241"/>
    </row>
    <row r="205" spans="1:20" ht="58" customHeight="1">
      <c r="A205" s="230" t="s">
        <v>2431</v>
      </c>
      <c r="B205" s="41" t="s">
        <v>1535</v>
      </c>
      <c r="C205" s="40" t="s">
        <v>1518</v>
      </c>
      <c r="D205" s="40" t="s">
        <v>1494</v>
      </c>
      <c r="E205" s="199" t="s">
        <v>3870</v>
      </c>
      <c r="F205" s="199" t="s">
        <v>1495</v>
      </c>
      <c r="G205" s="243" t="s">
        <v>3023</v>
      </c>
      <c r="H205" s="41" t="s">
        <v>1516</v>
      </c>
      <c r="I205" s="246" t="s">
        <v>3029</v>
      </c>
      <c r="J205" s="232" t="s">
        <v>3970</v>
      </c>
      <c r="K205" s="161" t="s">
        <v>4611</v>
      </c>
      <c r="L205" s="240"/>
      <c r="M205" s="240"/>
      <c r="N205" s="160"/>
      <c r="O205" s="139" t="s">
        <v>1492</v>
      </c>
      <c r="P205" s="39" t="s">
        <v>1493</v>
      </c>
      <c r="Q205" s="228" t="s">
        <v>3239</v>
      </c>
      <c r="R205" s="200" t="s">
        <v>3007</v>
      </c>
      <c r="S205" s="141" t="s">
        <v>1460</v>
      </c>
      <c r="T205" s="241"/>
    </row>
    <row r="206" spans="1:20" ht="58" customHeight="1">
      <c r="A206" s="230" t="s">
        <v>2431</v>
      </c>
      <c r="B206" s="41" t="s">
        <v>1535</v>
      </c>
      <c r="C206" s="40" t="s">
        <v>1519</v>
      </c>
      <c r="D206" s="40" t="s">
        <v>1459</v>
      </c>
      <c r="E206" s="199" t="s">
        <v>3865</v>
      </c>
      <c r="F206" s="199" t="s">
        <v>3015</v>
      </c>
      <c r="G206" s="243" t="s">
        <v>3023</v>
      </c>
      <c r="H206" s="41" t="s">
        <v>1516</v>
      </c>
      <c r="I206" s="246" t="s">
        <v>3029</v>
      </c>
      <c r="J206" s="232" t="s">
        <v>3971</v>
      </c>
      <c r="K206" s="161" t="s">
        <v>4611</v>
      </c>
      <c r="L206" s="240"/>
      <c r="M206" s="240"/>
      <c r="N206" s="160"/>
      <c r="O206" s="139" t="s">
        <v>1457</v>
      </c>
      <c r="P206" s="39" t="s">
        <v>1458</v>
      </c>
      <c r="Q206" s="228" t="s">
        <v>3239</v>
      </c>
      <c r="R206" s="200" t="s">
        <v>3016</v>
      </c>
      <c r="S206" s="141" t="s">
        <v>1460</v>
      </c>
      <c r="T206" s="241"/>
    </row>
    <row r="207" spans="1:20" ht="58" customHeight="1">
      <c r="A207" s="230" t="s">
        <v>2431</v>
      </c>
      <c r="B207" s="41" t="s">
        <v>1535</v>
      </c>
      <c r="C207" s="40" t="s">
        <v>1519</v>
      </c>
      <c r="D207" s="40" t="s">
        <v>1470</v>
      </c>
      <c r="E207" s="199" t="s">
        <v>1471</v>
      </c>
      <c r="F207" s="199" t="s">
        <v>1472</v>
      </c>
      <c r="G207" s="243" t="s">
        <v>3023</v>
      </c>
      <c r="H207" s="41" t="s">
        <v>1516</v>
      </c>
      <c r="I207" s="246" t="s">
        <v>3029</v>
      </c>
      <c r="J207" s="232" t="s">
        <v>3972</v>
      </c>
      <c r="K207" s="161" t="s">
        <v>4611</v>
      </c>
      <c r="L207" s="240"/>
      <c r="M207" s="240"/>
      <c r="N207" s="160"/>
      <c r="O207" s="139" t="s">
        <v>1468</v>
      </c>
      <c r="P207" s="39" t="s">
        <v>1469</v>
      </c>
      <c r="Q207" s="228" t="s">
        <v>3239</v>
      </c>
      <c r="R207" s="200" t="s">
        <v>2937</v>
      </c>
      <c r="S207" s="141" t="s">
        <v>1460</v>
      </c>
      <c r="T207" s="241"/>
    </row>
    <row r="208" spans="1:20" ht="58" customHeight="1">
      <c r="A208" s="230" t="s">
        <v>2431</v>
      </c>
      <c r="B208" s="41" t="s">
        <v>1535</v>
      </c>
      <c r="C208" s="40" t="s">
        <v>1519</v>
      </c>
      <c r="D208" s="40" t="s">
        <v>1474</v>
      </c>
      <c r="E208" s="199" t="s">
        <v>1475</v>
      </c>
      <c r="F208" s="199" t="s">
        <v>1476</v>
      </c>
      <c r="G208" s="243" t="s">
        <v>3023</v>
      </c>
      <c r="H208" s="41" t="s">
        <v>1516</v>
      </c>
      <c r="I208" s="246" t="s">
        <v>3029</v>
      </c>
      <c r="J208" s="232" t="s">
        <v>3973</v>
      </c>
      <c r="K208" s="161" t="s">
        <v>4611</v>
      </c>
      <c r="L208" s="240"/>
      <c r="M208" s="240"/>
      <c r="N208" s="160"/>
      <c r="O208" s="139" t="s">
        <v>1468</v>
      </c>
      <c r="P208" s="39" t="s">
        <v>1473</v>
      </c>
      <c r="Q208" s="228" t="s">
        <v>3239</v>
      </c>
      <c r="R208" s="200" t="s">
        <v>2937</v>
      </c>
      <c r="S208" s="141" t="s">
        <v>1460</v>
      </c>
      <c r="T208" s="241"/>
    </row>
    <row r="209" spans="1:20" ht="58" customHeight="1">
      <c r="A209" s="230" t="s">
        <v>2431</v>
      </c>
      <c r="B209" s="41" t="s">
        <v>1535</v>
      </c>
      <c r="C209" s="40" t="s">
        <v>1520</v>
      </c>
      <c r="D209" s="40" t="s">
        <v>1484</v>
      </c>
      <c r="E209" s="199" t="s">
        <v>3866</v>
      </c>
      <c r="F209" s="199" t="s">
        <v>4360</v>
      </c>
      <c r="G209" s="243" t="s">
        <v>4361</v>
      </c>
      <c r="H209" s="41" t="s">
        <v>1516</v>
      </c>
      <c r="I209" s="246" t="s">
        <v>3029</v>
      </c>
      <c r="J209" s="232" t="s">
        <v>3236</v>
      </c>
      <c r="K209" s="161" t="s">
        <v>4669</v>
      </c>
      <c r="L209" s="240" t="s">
        <v>4670</v>
      </c>
      <c r="M209" s="240"/>
      <c r="N209" s="160" t="s">
        <v>4333</v>
      </c>
      <c r="O209" s="139" t="s">
        <v>1482</v>
      </c>
      <c r="P209" s="39" t="s">
        <v>1483</v>
      </c>
      <c r="Q209" s="228" t="s">
        <v>3239</v>
      </c>
      <c r="R209" s="200" t="s">
        <v>3004</v>
      </c>
      <c r="S209" s="141" t="s">
        <v>1460</v>
      </c>
      <c r="T209" s="241"/>
    </row>
    <row r="210" spans="1:20" ht="58" customHeight="1">
      <c r="A210" s="230" t="s">
        <v>2431</v>
      </c>
      <c r="B210" s="41" t="s">
        <v>1535</v>
      </c>
      <c r="C210" s="40" t="s">
        <v>1520</v>
      </c>
      <c r="D210" s="40" t="s">
        <v>1463</v>
      </c>
      <c r="E210" s="199" t="s">
        <v>3867</v>
      </c>
      <c r="F210" s="199" t="s">
        <v>3282</v>
      </c>
      <c r="G210" s="243" t="s">
        <v>3283</v>
      </c>
      <c r="H210" s="41" t="s">
        <v>1516</v>
      </c>
      <c r="I210" s="246" t="s">
        <v>3029</v>
      </c>
      <c r="J210" s="232" t="s">
        <v>3997</v>
      </c>
      <c r="K210" s="161" t="s">
        <v>4591</v>
      </c>
      <c r="L210" s="240" t="s">
        <v>4592</v>
      </c>
      <c r="M210" s="240"/>
      <c r="N210" s="160" t="s">
        <v>4332</v>
      </c>
      <c r="O210" s="139" t="s">
        <v>1461</v>
      </c>
      <c r="P210" s="39" t="s">
        <v>1462</v>
      </c>
      <c r="Q210" s="228" t="s">
        <v>3239</v>
      </c>
      <c r="R210" s="200" t="s">
        <v>3002</v>
      </c>
      <c r="S210" s="141" t="s">
        <v>1460</v>
      </c>
      <c r="T210" s="241"/>
    </row>
    <row r="211" spans="1:20" ht="58" customHeight="1">
      <c r="A211" s="230" t="s">
        <v>2431</v>
      </c>
      <c r="B211" s="41" t="s">
        <v>1535</v>
      </c>
      <c r="C211" s="40" t="s">
        <v>1522</v>
      </c>
      <c r="D211" s="40" t="s">
        <v>2744</v>
      </c>
      <c r="E211" s="199" t="s">
        <v>3868</v>
      </c>
      <c r="F211" s="199" t="s">
        <v>2745</v>
      </c>
      <c r="G211" s="243" t="s">
        <v>3019</v>
      </c>
      <c r="H211" s="41" t="s">
        <v>2</v>
      </c>
      <c r="I211" s="246" t="s">
        <v>3027</v>
      </c>
      <c r="J211" s="232" t="s">
        <v>3982</v>
      </c>
      <c r="K211" s="161" t="s">
        <v>955</v>
      </c>
      <c r="L211" s="240"/>
      <c r="M211" s="240"/>
      <c r="N211" s="160"/>
      <c r="O211" s="139" t="s">
        <v>2746</v>
      </c>
      <c r="P211" s="39" t="s">
        <v>2747</v>
      </c>
      <c r="Q211" s="228" t="s">
        <v>4013</v>
      </c>
      <c r="R211" s="200" t="s">
        <v>3011</v>
      </c>
      <c r="S211" s="141" t="s">
        <v>2748</v>
      </c>
      <c r="T211" s="241" t="s">
        <v>4014</v>
      </c>
    </row>
    <row r="212" spans="1:20" ht="58" customHeight="1">
      <c r="A212" s="230" t="s">
        <v>2431</v>
      </c>
      <c r="B212" s="41" t="s">
        <v>1535</v>
      </c>
      <c r="C212" s="40" t="s">
        <v>1523</v>
      </c>
      <c r="D212" s="40" t="s">
        <v>1511</v>
      </c>
      <c r="E212" s="199" t="s">
        <v>3861</v>
      </c>
      <c r="F212" s="199" t="s">
        <v>3342</v>
      </c>
      <c r="G212" s="243" t="s">
        <v>3343</v>
      </c>
      <c r="H212" s="41" t="s">
        <v>3</v>
      </c>
      <c r="I212" s="246" t="s">
        <v>3031</v>
      </c>
      <c r="J212" s="232" t="s">
        <v>3236</v>
      </c>
      <c r="K212" s="161" t="s">
        <v>955</v>
      </c>
      <c r="L212" s="240"/>
      <c r="M212" s="240"/>
      <c r="N212" s="160"/>
      <c r="O212" s="139" t="s">
        <v>1504</v>
      </c>
      <c r="P212" s="39" t="s">
        <v>1510</v>
      </c>
      <c r="Q212" s="228" t="s">
        <v>3239</v>
      </c>
      <c r="R212" s="200" t="s">
        <v>3010</v>
      </c>
      <c r="S212" s="141" t="s">
        <v>1460</v>
      </c>
      <c r="T212" s="241" t="s">
        <v>4686</v>
      </c>
    </row>
    <row r="213" spans="1:20" ht="58" customHeight="1">
      <c r="A213" s="230" t="s">
        <v>2431</v>
      </c>
      <c r="B213" s="41" t="s">
        <v>1535</v>
      </c>
      <c r="C213" s="40" t="s">
        <v>1525</v>
      </c>
      <c r="D213" s="40" t="s">
        <v>3430</v>
      </c>
      <c r="E213" s="199" t="s">
        <v>3431</v>
      </c>
      <c r="F213" s="199" t="s">
        <v>3432</v>
      </c>
      <c r="G213" s="243" t="s">
        <v>3433</v>
      </c>
      <c r="H213" s="41" t="s">
        <v>1516</v>
      </c>
      <c r="I213" s="246" t="s">
        <v>3029</v>
      </c>
      <c r="J213" s="232" t="s">
        <v>3993</v>
      </c>
      <c r="K213" s="161" t="s">
        <v>4599</v>
      </c>
      <c r="L213" s="240" t="s">
        <v>4600</v>
      </c>
      <c r="M213" s="240"/>
      <c r="N213" s="160" t="s">
        <v>4332</v>
      </c>
      <c r="O213" s="139" t="s">
        <v>3434</v>
      </c>
      <c r="P213" s="39" t="s">
        <v>531</v>
      </c>
      <c r="Q213" s="228" t="s">
        <v>3239</v>
      </c>
      <c r="R213" s="200" t="s">
        <v>3435</v>
      </c>
      <c r="S213" s="141" t="s">
        <v>3436</v>
      </c>
      <c r="T213" s="241"/>
    </row>
    <row r="214" spans="1:20" ht="58" customHeight="1">
      <c r="A214" s="230" t="s">
        <v>2431</v>
      </c>
      <c r="B214" s="41" t="s">
        <v>1535</v>
      </c>
      <c r="C214" s="40" t="s">
        <v>1526</v>
      </c>
      <c r="D214" s="40" t="s">
        <v>1506</v>
      </c>
      <c r="E214" s="199" t="s">
        <v>3862</v>
      </c>
      <c r="F214" s="199" t="s">
        <v>1507</v>
      </c>
      <c r="G214" s="243" t="s">
        <v>3023</v>
      </c>
      <c r="H214" s="41" t="s">
        <v>1516</v>
      </c>
      <c r="I214" s="246" t="s">
        <v>3029</v>
      </c>
      <c r="J214" s="232" t="s">
        <v>3974</v>
      </c>
      <c r="K214" s="161" t="s">
        <v>4611</v>
      </c>
      <c r="L214" s="240"/>
      <c r="M214" s="240"/>
      <c r="N214" s="160"/>
      <c r="O214" s="139" t="s">
        <v>1504</v>
      </c>
      <c r="P214" s="39" t="s">
        <v>1505</v>
      </c>
      <c r="Q214" s="228" t="s">
        <v>3239</v>
      </c>
      <c r="R214" s="200" t="s">
        <v>3009</v>
      </c>
      <c r="S214" s="141" t="s">
        <v>1460</v>
      </c>
      <c r="T214" s="241"/>
    </row>
    <row r="215" spans="1:20" ht="58" customHeight="1">
      <c r="A215" s="230" t="s">
        <v>2431</v>
      </c>
      <c r="B215" s="41" t="s">
        <v>1535</v>
      </c>
      <c r="C215" s="40" t="s">
        <v>1526</v>
      </c>
      <c r="D215" s="40" t="s">
        <v>3261</v>
      </c>
      <c r="E215" s="199" t="s">
        <v>3262</v>
      </c>
      <c r="F215" s="199" t="s">
        <v>3263</v>
      </c>
      <c r="G215" s="243" t="s">
        <v>3264</v>
      </c>
      <c r="H215" s="41" t="s">
        <v>1516</v>
      </c>
      <c r="I215" s="246" t="s">
        <v>3029</v>
      </c>
      <c r="J215" s="232" t="s">
        <v>3975</v>
      </c>
      <c r="K215" s="161" t="s">
        <v>4568</v>
      </c>
      <c r="L215" s="240" t="s">
        <v>4569</v>
      </c>
      <c r="M215" s="240" t="s">
        <v>4570</v>
      </c>
      <c r="N215" s="160" t="s">
        <v>4333</v>
      </c>
      <c r="O215" s="139" t="s">
        <v>3265</v>
      </c>
      <c r="P215" s="39" t="s">
        <v>3266</v>
      </c>
      <c r="Q215" s="228" t="s">
        <v>3239</v>
      </c>
      <c r="R215" s="200" t="s">
        <v>3267</v>
      </c>
      <c r="S215" s="141" t="s">
        <v>3253</v>
      </c>
      <c r="T215" s="241"/>
    </row>
    <row r="216" spans="1:20" ht="58" customHeight="1">
      <c r="A216" s="230" t="s">
        <v>2431</v>
      </c>
      <c r="B216" s="41" t="s">
        <v>1535</v>
      </c>
      <c r="C216" s="40" t="s">
        <v>1526</v>
      </c>
      <c r="D216" s="40" t="s">
        <v>3274</v>
      </c>
      <c r="E216" s="199" t="s">
        <v>3275</v>
      </c>
      <c r="F216" s="199" t="s">
        <v>3276</v>
      </c>
      <c r="G216" s="243" t="s">
        <v>3277</v>
      </c>
      <c r="H216" s="41" t="s">
        <v>1516</v>
      </c>
      <c r="I216" s="246" t="s">
        <v>3029</v>
      </c>
      <c r="J216" s="232" t="s">
        <v>3976</v>
      </c>
      <c r="K216" s="161" t="s">
        <v>4582</v>
      </c>
      <c r="L216" s="240" t="s">
        <v>4583</v>
      </c>
      <c r="M216" s="240" t="s">
        <v>4584</v>
      </c>
      <c r="N216" s="160" t="s">
        <v>4333</v>
      </c>
      <c r="O216" s="139" t="s">
        <v>3278</v>
      </c>
      <c r="P216" s="39" t="s">
        <v>3279</v>
      </c>
      <c r="Q216" s="228" t="s">
        <v>3239</v>
      </c>
      <c r="R216" s="200" t="s">
        <v>3267</v>
      </c>
      <c r="S216" s="141" t="s">
        <v>3253</v>
      </c>
      <c r="T216" s="241"/>
    </row>
    <row r="217" spans="1:20" ht="58" customHeight="1">
      <c r="A217" s="230" t="s">
        <v>2431</v>
      </c>
      <c r="B217" s="41" t="s">
        <v>1535</v>
      </c>
      <c r="C217" s="40" t="s">
        <v>1526</v>
      </c>
      <c r="D217" s="40" t="s">
        <v>1466</v>
      </c>
      <c r="E217" s="199" t="s">
        <v>3863</v>
      </c>
      <c r="F217" s="199" t="s">
        <v>1467</v>
      </c>
      <c r="G217" s="243" t="s">
        <v>3020</v>
      </c>
      <c r="H217" s="41" t="s">
        <v>955</v>
      </c>
      <c r="I217" s="246" t="s">
        <v>3028</v>
      </c>
      <c r="J217" s="232" t="s">
        <v>3236</v>
      </c>
      <c r="K217" s="161"/>
      <c r="L217" s="240"/>
      <c r="M217" s="240"/>
      <c r="N217" s="160"/>
      <c r="O217" s="139" t="s">
        <v>1464</v>
      </c>
      <c r="P217" s="39" t="s">
        <v>1465</v>
      </c>
      <c r="Q217" s="228" t="s">
        <v>3239</v>
      </c>
      <c r="R217" s="200" t="s">
        <v>3003</v>
      </c>
      <c r="S217" s="141" t="s">
        <v>1460</v>
      </c>
      <c r="T217" s="241"/>
    </row>
    <row r="218" spans="1:20" ht="58" customHeight="1">
      <c r="A218" s="230" t="s">
        <v>2431</v>
      </c>
      <c r="B218" s="41" t="s">
        <v>1535</v>
      </c>
      <c r="C218" s="40" t="s">
        <v>1528</v>
      </c>
      <c r="D218" s="40" t="s">
        <v>3438</v>
      </c>
      <c r="E218" s="199" t="s">
        <v>3439</v>
      </c>
      <c r="F218" s="199" t="s">
        <v>3440</v>
      </c>
      <c r="G218" s="243" t="s">
        <v>3441</v>
      </c>
      <c r="H218" s="41" t="s">
        <v>1516</v>
      </c>
      <c r="I218" s="246" t="s">
        <v>3029</v>
      </c>
      <c r="J218" s="232" t="s">
        <v>3994</v>
      </c>
      <c r="K218" s="161" t="s">
        <v>4601</v>
      </c>
      <c r="L218" s="240" t="s">
        <v>4602</v>
      </c>
      <c r="M218" s="240"/>
      <c r="N218" s="160" t="s">
        <v>4332</v>
      </c>
      <c r="O218" s="139" t="s">
        <v>3437</v>
      </c>
      <c r="P218" s="39" t="s">
        <v>536</v>
      </c>
      <c r="Q218" s="228" t="s">
        <v>3239</v>
      </c>
      <c r="R218" s="200" t="s">
        <v>3435</v>
      </c>
      <c r="S218" s="141" t="s">
        <v>3436</v>
      </c>
      <c r="T218" s="241"/>
    </row>
    <row r="219" spans="1:20" ht="58" customHeight="1">
      <c r="A219" s="230" t="s">
        <v>2431</v>
      </c>
      <c r="B219" s="41" t="s">
        <v>1535</v>
      </c>
      <c r="C219" s="40" t="s">
        <v>1528</v>
      </c>
      <c r="D219" s="40" t="s">
        <v>3246</v>
      </c>
      <c r="E219" s="199" t="s">
        <v>3247</v>
      </c>
      <c r="F219" s="199" t="s">
        <v>3248</v>
      </c>
      <c r="G219" s="243" t="s">
        <v>3249</v>
      </c>
      <c r="H219" s="41" t="s">
        <v>1516</v>
      </c>
      <c r="I219" s="246" t="s">
        <v>3029</v>
      </c>
      <c r="J219" s="232" t="s">
        <v>3977</v>
      </c>
      <c r="K219" s="161" t="s">
        <v>4330</v>
      </c>
      <c r="L219" s="240" t="s">
        <v>4531</v>
      </c>
      <c r="M219" s="240"/>
      <c r="N219" s="160" t="s">
        <v>4334</v>
      </c>
      <c r="O219" s="139" t="s">
        <v>3250</v>
      </c>
      <c r="P219" s="39" t="s">
        <v>3251</v>
      </c>
      <c r="Q219" s="228" t="s">
        <v>3239</v>
      </c>
      <c r="R219" s="200" t="s">
        <v>3252</v>
      </c>
      <c r="S219" s="141" t="s">
        <v>3253</v>
      </c>
      <c r="T219" s="241"/>
    </row>
    <row r="220" spans="1:20" ht="58" customHeight="1">
      <c r="A220" s="230" t="s">
        <v>2431</v>
      </c>
      <c r="B220" s="41" t="s">
        <v>1535</v>
      </c>
      <c r="C220" s="40" t="s">
        <v>1528</v>
      </c>
      <c r="D220" s="40" t="s">
        <v>1498</v>
      </c>
      <c r="E220" s="199" t="s">
        <v>3864</v>
      </c>
      <c r="F220" s="199" t="s">
        <v>4702</v>
      </c>
      <c r="G220" s="243" t="s">
        <v>4703</v>
      </c>
      <c r="H220" s="41" t="s">
        <v>3</v>
      </c>
      <c r="I220" s="246" t="s">
        <v>3031</v>
      </c>
      <c r="J220" s="232" t="s">
        <v>3236</v>
      </c>
      <c r="K220" s="161" t="s">
        <v>955</v>
      </c>
      <c r="L220" s="240"/>
      <c r="M220" s="240"/>
      <c r="N220" s="160"/>
      <c r="O220" s="139" t="s">
        <v>1496</v>
      </c>
      <c r="P220" s="39" t="s">
        <v>1497</v>
      </c>
      <c r="Q220" s="228" t="s">
        <v>3239</v>
      </c>
      <c r="R220" s="200" t="s">
        <v>3008</v>
      </c>
      <c r="S220" s="141" t="s">
        <v>1460</v>
      </c>
      <c r="T220" s="241"/>
    </row>
    <row r="221" spans="1:20" ht="58" customHeight="1">
      <c r="A221" s="230" t="s">
        <v>2431</v>
      </c>
      <c r="B221" s="41" t="s">
        <v>1535</v>
      </c>
      <c r="C221" s="40" t="s">
        <v>1528</v>
      </c>
      <c r="D221" s="40" t="s">
        <v>3254</v>
      </c>
      <c r="E221" s="199" t="s">
        <v>3255</v>
      </c>
      <c r="F221" s="199" t="s">
        <v>3256</v>
      </c>
      <c r="G221" s="243" t="s">
        <v>3257</v>
      </c>
      <c r="H221" s="41" t="s">
        <v>1516</v>
      </c>
      <c r="I221" s="246" t="s">
        <v>3029</v>
      </c>
      <c r="J221" s="232" t="s">
        <v>3978</v>
      </c>
      <c r="K221" s="161" t="s">
        <v>4605</v>
      </c>
      <c r="L221" s="240" t="s">
        <v>4606</v>
      </c>
      <c r="M221" s="240"/>
      <c r="N221" s="160" t="s">
        <v>4332</v>
      </c>
      <c r="O221" s="139" t="s">
        <v>3258</v>
      </c>
      <c r="P221" s="39" t="s">
        <v>3259</v>
      </c>
      <c r="Q221" s="228" t="s">
        <v>3239</v>
      </c>
      <c r="R221" s="200" t="s">
        <v>3260</v>
      </c>
      <c r="S221" s="141" t="s">
        <v>3253</v>
      </c>
      <c r="T221" s="241"/>
    </row>
    <row r="222" spans="1:20" ht="58" customHeight="1">
      <c r="A222" s="230" t="s">
        <v>2431</v>
      </c>
      <c r="B222" s="41" t="s">
        <v>1535</v>
      </c>
      <c r="C222" s="40" t="s">
        <v>1528</v>
      </c>
      <c r="D222" s="40" t="s">
        <v>1501</v>
      </c>
      <c r="E222" s="199" t="s">
        <v>1502</v>
      </c>
      <c r="F222" s="199" t="s">
        <v>1503</v>
      </c>
      <c r="G222" s="243" t="s">
        <v>3023</v>
      </c>
      <c r="H222" s="41" t="s">
        <v>1516</v>
      </c>
      <c r="I222" s="246" t="s">
        <v>3029</v>
      </c>
      <c r="J222" s="232" t="s">
        <v>3979</v>
      </c>
      <c r="K222" s="161" t="s">
        <v>4611</v>
      </c>
      <c r="L222" s="240"/>
      <c r="M222" s="240"/>
      <c r="N222" s="160"/>
      <c r="O222" s="139" t="s">
        <v>1499</v>
      </c>
      <c r="P222" s="39" t="s">
        <v>1500</v>
      </c>
      <c r="Q222" s="228" t="s">
        <v>3239</v>
      </c>
      <c r="R222" s="200" t="s">
        <v>2937</v>
      </c>
      <c r="S222" s="141" t="s">
        <v>1460</v>
      </c>
      <c r="T222" s="241"/>
    </row>
    <row r="223" spans="1:20" ht="58" customHeight="1">
      <c r="A223" s="230" t="s">
        <v>2431</v>
      </c>
      <c r="B223" s="41" t="s">
        <v>1535</v>
      </c>
      <c r="C223" s="40" t="s">
        <v>1527</v>
      </c>
      <c r="D223" s="40" t="s">
        <v>3442</v>
      </c>
      <c r="E223" s="199" t="s">
        <v>3443</v>
      </c>
      <c r="F223" s="199" t="s">
        <v>3444</v>
      </c>
      <c r="G223" s="243" t="s">
        <v>4633</v>
      </c>
      <c r="H223" s="41" t="s">
        <v>1516</v>
      </c>
      <c r="I223" s="246" t="s">
        <v>3029</v>
      </c>
      <c r="J223" s="232" t="s">
        <v>3995</v>
      </c>
      <c r="K223" s="161" t="s">
        <v>4593</v>
      </c>
      <c r="L223" s="240" t="s">
        <v>4594</v>
      </c>
      <c r="M223" s="240"/>
      <c r="N223" s="160" t="s">
        <v>4333</v>
      </c>
      <c r="O223" s="139" t="s">
        <v>3200</v>
      </c>
      <c r="P223" s="39" t="s">
        <v>542</v>
      </c>
      <c r="Q223" s="228" t="s">
        <v>3239</v>
      </c>
      <c r="R223" s="200" t="s">
        <v>3435</v>
      </c>
      <c r="S223" s="141" t="s">
        <v>3436</v>
      </c>
      <c r="T223" s="241"/>
    </row>
    <row r="224" spans="1:20" ht="58" customHeight="1">
      <c r="A224" s="230" t="s">
        <v>2431</v>
      </c>
      <c r="B224" s="41" t="s">
        <v>1535</v>
      </c>
      <c r="C224" s="40" t="s">
        <v>1527</v>
      </c>
      <c r="D224" s="40" t="s">
        <v>1487</v>
      </c>
      <c r="E224" s="199" t="s">
        <v>3859</v>
      </c>
      <c r="F224" s="199" t="s">
        <v>3344</v>
      </c>
      <c r="G224" s="243" t="s">
        <v>4634</v>
      </c>
      <c r="H224" s="41" t="s">
        <v>1516</v>
      </c>
      <c r="I224" s="246" t="s">
        <v>3029</v>
      </c>
      <c r="J224" s="232" t="s">
        <v>4142</v>
      </c>
      <c r="K224" s="161" t="s">
        <v>4579</v>
      </c>
      <c r="L224" s="240" t="s">
        <v>4580</v>
      </c>
      <c r="M224" s="240" t="s">
        <v>4581</v>
      </c>
      <c r="N224" s="160" t="s">
        <v>4333</v>
      </c>
      <c r="O224" s="139" t="s">
        <v>1485</v>
      </c>
      <c r="P224" s="39" t="s">
        <v>1486</v>
      </c>
      <c r="Q224" s="228" t="s">
        <v>3239</v>
      </c>
      <c r="R224" s="200" t="s">
        <v>3005</v>
      </c>
      <c r="S224" s="141" t="s">
        <v>1460</v>
      </c>
      <c r="T224" s="241"/>
    </row>
    <row r="225" spans="1:20" ht="58" customHeight="1">
      <c r="A225" s="230" t="s">
        <v>2431</v>
      </c>
      <c r="B225" s="41" t="s">
        <v>1535</v>
      </c>
      <c r="C225" s="40" t="s">
        <v>1527</v>
      </c>
      <c r="D225" s="40" t="s">
        <v>3268</v>
      </c>
      <c r="E225" s="199" t="s">
        <v>3269</v>
      </c>
      <c r="F225" s="199" t="s">
        <v>3270</v>
      </c>
      <c r="G225" s="243" t="s">
        <v>3271</v>
      </c>
      <c r="H225" s="41" t="s">
        <v>1516</v>
      </c>
      <c r="I225" s="246" t="s">
        <v>4554</v>
      </c>
      <c r="J225" s="232" t="s">
        <v>3980</v>
      </c>
      <c r="K225" s="161" t="s">
        <v>4347</v>
      </c>
      <c r="L225" s="240" t="s">
        <v>4476</v>
      </c>
      <c r="M225" s="240" t="s">
        <v>4477</v>
      </c>
      <c r="N225" s="160" t="s">
        <v>4333</v>
      </c>
      <c r="O225" s="139" t="s">
        <v>3272</v>
      </c>
      <c r="P225" s="39" t="s">
        <v>3273</v>
      </c>
      <c r="Q225" s="228" t="s">
        <v>3239</v>
      </c>
      <c r="R225" s="200" t="s">
        <v>3267</v>
      </c>
      <c r="S225" s="141" t="s">
        <v>3253</v>
      </c>
      <c r="T225" s="241"/>
    </row>
    <row r="226" spans="1:20" ht="58" customHeight="1">
      <c r="A226" s="230" t="s">
        <v>2431</v>
      </c>
      <c r="B226" s="41" t="s">
        <v>1535</v>
      </c>
      <c r="C226" s="40" t="s">
        <v>1527</v>
      </c>
      <c r="D226" s="40" t="s">
        <v>1479</v>
      </c>
      <c r="E226" s="199" t="s">
        <v>1480</v>
      </c>
      <c r="F226" s="199" t="s">
        <v>1481</v>
      </c>
      <c r="G226" s="243" t="s">
        <v>3023</v>
      </c>
      <c r="H226" s="41" t="s">
        <v>1516</v>
      </c>
      <c r="I226" s="246" t="s">
        <v>3029</v>
      </c>
      <c r="J226" s="232" t="s">
        <v>3981</v>
      </c>
      <c r="K226" s="161" t="s">
        <v>4611</v>
      </c>
      <c r="L226" s="240"/>
      <c r="M226" s="240"/>
      <c r="N226" s="160"/>
      <c r="O226" s="139" t="s">
        <v>1477</v>
      </c>
      <c r="P226" s="39" t="s">
        <v>1478</v>
      </c>
      <c r="Q226" s="228" t="s">
        <v>3239</v>
      </c>
      <c r="R226" s="200" t="s">
        <v>2937</v>
      </c>
      <c r="S226" s="141" t="s">
        <v>1460</v>
      </c>
      <c r="T226" s="241"/>
    </row>
    <row r="227" spans="1:20" ht="58" customHeight="1">
      <c r="A227" s="230" t="s">
        <v>2431</v>
      </c>
      <c r="B227" s="41" t="s">
        <v>1535</v>
      </c>
      <c r="C227" s="40" t="s">
        <v>1530</v>
      </c>
      <c r="D227" s="40" t="s">
        <v>4152</v>
      </c>
      <c r="E227" s="199" t="s">
        <v>4153</v>
      </c>
      <c r="F227" s="199" t="s">
        <v>4154</v>
      </c>
      <c r="G227" s="243" t="s">
        <v>4635</v>
      </c>
      <c r="H227" s="41" t="s">
        <v>1516</v>
      </c>
      <c r="I227" s="246" t="s">
        <v>4554</v>
      </c>
      <c r="J227" s="232" t="s">
        <v>4155</v>
      </c>
      <c r="K227" s="161" t="s">
        <v>4321</v>
      </c>
      <c r="L227" s="240" t="s">
        <v>4448</v>
      </c>
      <c r="M227" s="240" t="s">
        <v>4449</v>
      </c>
      <c r="N227" s="160" t="s">
        <v>4332</v>
      </c>
      <c r="O227" s="139" t="s">
        <v>4156</v>
      </c>
      <c r="P227" s="39" t="s">
        <v>4157</v>
      </c>
      <c r="Q227" s="228" t="s">
        <v>3239</v>
      </c>
      <c r="R227" s="200" t="s">
        <v>4158</v>
      </c>
      <c r="S227" s="141" t="s">
        <v>4159</v>
      </c>
      <c r="T227" s="241"/>
    </row>
    <row r="228" spans="1:20" ht="58" customHeight="1">
      <c r="A228" s="230" t="s">
        <v>2431</v>
      </c>
      <c r="B228" s="41" t="s">
        <v>1535</v>
      </c>
      <c r="C228" s="40" t="s">
        <v>1530</v>
      </c>
      <c r="D228" s="40" t="s">
        <v>4160</v>
      </c>
      <c r="E228" s="199" t="s">
        <v>4161</v>
      </c>
      <c r="F228" s="199" t="s">
        <v>4162</v>
      </c>
      <c r="G228" s="243" t="s">
        <v>4636</v>
      </c>
      <c r="H228" s="41" t="s">
        <v>1516</v>
      </c>
      <c r="I228" s="246" t="s">
        <v>4167</v>
      </c>
      <c r="J228" s="232" t="s">
        <v>4163</v>
      </c>
      <c r="K228" s="161" t="s">
        <v>4324</v>
      </c>
      <c r="L228" s="240" t="s">
        <v>4450</v>
      </c>
      <c r="M228" s="240" t="s">
        <v>4451</v>
      </c>
      <c r="N228" s="160" t="s">
        <v>4332</v>
      </c>
      <c r="O228" s="139" t="s">
        <v>4156</v>
      </c>
      <c r="P228" s="39" t="s">
        <v>4164</v>
      </c>
      <c r="Q228" s="228" t="s">
        <v>3239</v>
      </c>
      <c r="R228" s="200" t="s">
        <v>4165</v>
      </c>
      <c r="S228" s="141" t="s">
        <v>4159</v>
      </c>
      <c r="T228" s="241"/>
    </row>
    <row r="229" spans="1:20" ht="58" customHeight="1">
      <c r="A229" s="230" t="s">
        <v>2432</v>
      </c>
      <c r="B229" s="41" t="s">
        <v>1420</v>
      </c>
      <c r="C229" s="40" t="s">
        <v>1519</v>
      </c>
      <c r="D229" s="40" t="s">
        <v>467</v>
      </c>
      <c r="E229" s="199" t="s">
        <v>803</v>
      </c>
      <c r="F229" s="199" t="s">
        <v>468</v>
      </c>
      <c r="G229" s="243" t="s">
        <v>3023</v>
      </c>
      <c r="H229" s="41" t="s">
        <v>1516</v>
      </c>
      <c r="I229" s="246" t="s">
        <v>4167</v>
      </c>
      <c r="J229" s="232" t="s">
        <v>3984</v>
      </c>
      <c r="K229" s="161" t="s">
        <v>4336</v>
      </c>
      <c r="L229" s="240" t="s">
        <v>4454</v>
      </c>
      <c r="M229" s="240" t="s">
        <v>4455</v>
      </c>
      <c r="N229" s="160" t="s">
        <v>4332</v>
      </c>
      <c r="O229" s="139" t="s">
        <v>465</v>
      </c>
      <c r="P229" s="39" t="s">
        <v>466</v>
      </c>
      <c r="Q229" s="228" t="s">
        <v>3241</v>
      </c>
      <c r="R229" s="200" t="s">
        <v>2937</v>
      </c>
      <c r="S229" s="141" t="s">
        <v>440</v>
      </c>
      <c r="T229" s="241"/>
    </row>
    <row r="230" spans="1:20" ht="58" customHeight="1">
      <c r="A230" s="230" t="s">
        <v>2432</v>
      </c>
      <c r="B230" s="41" t="s">
        <v>1420</v>
      </c>
      <c r="C230" s="40" t="s">
        <v>1519</v>
      </c>
      <c r="D230" s="40" t="s">
        <v>475</v>
      </c>
      <c r="E230" s="199" t="s">
        <v>805</v>
      </c>
      <c r="F230" s="199" t="s">
        <v>476</v>
      </c>
      <c r="G230" s="243" t="s">
        <v>3023</v>
      </c>
      <c r="H230" s="41" t="s">
        <v>1516</v>
      </c>
      <c r="I230" s="246" t="s">
        <v>4167</v>
      </c>
      <c r="J230" s="232" t="s">
        <v>3986</v>
      </c>
      <c r="K230" s="161" t="s">
        <v>4348</v>
      </c>
      <c r="L230" s="240" t="s">
        <v>4478</v>
      </c>
      <c r="M230" s="240" t="s">
        <v>4479</v>
      </c>
      <c r="N230" s="160" t="s">
        <v>4333</v>
      </c>
      <c r="O230" s="139" t="s">
        <v>473</v>
      </c>
      <c r="P230" s="39" t="s">
        <v>474</v>
      </c>
      <c r="Q230" s="228" t="s">
        <v>3241</v>
      </c>
      <c r="R230" s="200" t="s">
        <v>2937</v>
      </c>
      <c r="S230" s="141" t="s">
        <v>440</v>
      </c>
      <c r="T230" s="241"/>
    </row>
    <row r="231" spans="1:20" ht="58" customHeight="1">
      <c r="A231" s="230" t="s">
        <v>2432</v>
      </c>
      <c r="B231" s="41" t="s">
        <v>1420</v>
      </c>
      <c r="C231" s="40" t="s">
        <v>1520</v>
      </c>
      <c r="D231" s="40" t="s">
        <v>457</v>
      </c>
      <c r="E231" s="199" t="s">
        <v>800</v>
      </c>
      <c r="F231" s="199" t="s">
        <v>458</v>
      </c>
      <c r="G231" s="243" t="s">
        <v>3019</v>
      </c>
      <c r="H231" s="41" t="s">
        <v>2</v>
      </c>
      <c r="I231" s="246" t="s">
        <v>3027</v>
      </c>
      <c r="J231" s="232" t="s">
        <v>3236</v>
      </c>
      <c r="K231" s="161"/>
      <c r="L231" s="240"/>
      <c r="M231" s="240"/>
      <c r="N231" s="160"/>
      <c r="O231" s="139" t="s">
        <v>455</v>
      </c>
      <c r="P231" s="39" t="s">
        <v>456</v>
      </c>
      <c r="Q231" s="228" t="s">
        <v>3241</v>
      </c>
      <c r="R231" s="200" t="s">
        <v>2995</v>
      </c>
      <c r="S231" s="141" t="s">
        <v>440</v>
      </c>
      <c r="T231" s="241"/>
    </row>
    <row r="232" spans="1:20" ht="58" customHeight="1">
      <c r="A232" s="230" t="s">
        <v>2432</v>
      </c>
      <c r="B232" s="41" t="s">
        <v>1420</v>
      </c>
      <c r="C232" s="40" t="s">
        <v>1520</v>
      </c>
      <c r="D232" s="40" t="s">
        <v>471</v>
      </c>
      <c r="E232" s="199" t="s">
        <v>804</v>
      </c>
      <c r="F232" s="199" t="s">
        <v>472</v>
      </c>
      <c r="G232" s="243" t="s">
        <v>3023</v>
      </c>
      <c r="H232" s="41" t="s">
        <v>1516</v>
      </c>
      <c r="I232" s="246" t="s">
        <v>3029</v>
      </c>
      <c r="J232" s="232" t="s">
        <v>3985</v>
      </c>
      <c r="K232" s="161" t="s">
        <v>4611</v>
      </c>
      <c r="L232" s="240"/>
      <c r="M232" s="240"/>
      <c r="N232" s="160"/>
      <c r="O232" s="139" t="s">
        <v>469</v>
      </c>
      <c r="P232" s="39" t="s">
        <v>470</v>
      </c>
      <c r="Q232" s="228" t="s">
        <v>3241</v>
      </c>
      <c r="R232" s="200" t="s">
        <v>2937</v>
      </c>
      <c r="S232" s="141" t="s">
        <v>440</v>
      </c>
      <c r="T232" s="241"/>
    </row>
    <row r="233" spans="1:20" ht="58" customHeight="1">
      <c r="A233" s="230" t="s">
        <v>2432</v>
      </c>
      <c r="B233" s="41" t="s">
        <v>1420</v>
      </c>
      <c r="C233" s="40" t="s">
        <v>1521</v>
      </c>
      <c r="D233" s="40" t="s">
        <v>2741</v>
      </c>
      <c r="E233" s="199" t="s">
        <v>2740</v>
      </c>
      <c r="F233" s="199" t="s">
        <v>4550</v>
      </c>
      <c r="G233" s="243" t="s">
        <v>4637</v>
      </c>
      <c r="H233" s="41" t="s">
        <v>2</v>
      </c>
      <c r="I233" s="246" t="s">
        <v>1533</v>
      </c>
      <c r="J233" s="232" t="s">
        <v>3236</v>
      </c>
      <c r="K233" s="161"/>
      <c r="L233" s="240"/>
      <c r="M233" s="240"/>
      <c r="N233" s="160"/>
      <c r="O233" s="139" t="s">
        <v>2742</v>
      </c>
      <c r="P233" s="39" t="s">
        <v>2743</v>
      </c>
      <c r="Q233" s="228" t="s">
        <v>3242</v>
      </c>
      <c r="R233" s="200" t="s">
        <v>4551</v>
      </c>
      <c r="S233" s="141" t="s">
        <v>2495</v>
      </c>
      <c r="T233" s="241"/>
    </row>
    <row r="234" spans="1:20" ht="58" customHeight="1">
      <c r="A234" s="230" t="s">
        <v>2432</v>
      </c>
      <c r="B234" s="41" t="s">
        <v>1420</v>
      </c>
      <c r="C234" s="40" t="s">
        <v>1521</v>
      </c>
      <c r="D234" s="40" t="s">
        <v>461</v>
      </c>
      <c r="E234" s="199" t="s">
        <v>801</v>
      </c>
      <c r="F234" s="199" t="s">
        <v>462</v>
      </c>
      <c r="G234" s="243" t="s">
        <v>3019</v>
      </c>
      <c r="H234" s="41" t="s">
        <v>2</v>
      </c>
      <c r="I234" s="246" t="s">
        <v>3027</v>
      </c>
      <c r="J234" s="232" t="s">
        <v>3236</v>
      </c>
      <c r="K234" s="161"/>
      <c r="L234" s="240"/>
      <c r="M234" s="240"/>
      <c r="N234" s="160"/>
      <c r="O234" s="139" t="s">
        <v>459</v>
      </c>
      <c r="P234" s="39" t="s">
        <v>460</v>
      </c>
      <c r="Q234" s="228" t="s">
        <v>3241</v>
      </c>
      <c r="R234" s="200" t="s">
        <v>2995</v>
      </c>
      <c r="S234" s="141" t="s">
        <v>447</v>
      </c>
      <c r="T234" s="241"/>
    </row>
    <row r="235" spans="1:20" ht="58" customHeight="1">
      <c r="A235" s="230" t="s">
        <v>2432</v>
      </c>
      <c r="B235" s="41" t="s">
        <v>1420</v>
      </c>
      <c r="C235" s="40" t="s">
        <v>1521</v>
      </c>
      <c r="D235" s="40" t="s">
        <v>4252</v>
      </c>
      <c r="E235" s="199" t="s">
        <v>802</v>
      </c>
      <c r="F235" s="199" t="s">
        <v>464</v>
      </c>
      <c r="G235" s="243" t="s">
        <v>3025</v>
      </c>
      <c r="H235" s="41" t="s">
        <v>1516</v>
      </c>
      <c r="I235" s="246" t="s">
        <v>4167</v>
      </c>
      <c r="J235" s="232" t="s">
        <v>3983</v>
      </c>
      <c r="K235" s="161" t="s">
        <v>4253</v>
      </c>
      <c r="L235" s="240" t="s">
        <v>4519</v>
      </c>
      <c r="M235" s="240" t="s">
        <v>4520</v>
      </c>
      <c r="N235" s="160" t="s">
        <v>4333</v>
      </c>
      <c r="O235" s="139" t="s">
        <v>463</v>
      </c>
      <c r="P235" s="39" t="s">
        <v>4251</v>
      </c>
      <c r="Q235" s="228" t="s">
        <v>3241</v>
      </c>
      <c r="R235" s="200" t="s">
        <v>2996</v>
      </c>
      <c r="S235" s="141" t="s">
        <v>440</v>
      </c>
      <c r="T235" s="241"/>
    </row>
    <row r="236" spans="1:20" ht="58" customHeight="1">
      <c r="A236" s="230" t="s">
        <v>2432</v>
      </c>
      <c r="B236" s="41" t="s">
        <v>1420</v>
      </c>
      <c r="C236" s="40" t="s">
        <v>1521</v>
      </c>
      <c r="D236" s="40" t="s">
        <v>4254</v>
      </c>
      <c r="E236" s="199" t="s">
        <v>802</v>
      </c>
      <c r="F236" s="199" t="s">
        <v>464</v>
      </c>
      <c r="G236" s="243" t="s">
        <v>3025</v>
      </c>
      <c r="H236" s="41" t="s">
        <v>1516</v>
      </c>
      <c r="I236" s="246" t="s">
        <v>4167</v>
      </c>
      <c r="J236" s="232" t="s">
        <v>3983</v>
      </c>
      <c r="K236" s="161" t="s">
        <v>4256</v>
      </c>
      <c r="L236" s="240" t="s">
        <v>4493</v>
      </c>
      <c r="M236" s="240" t="s">
        <v>4494</v>
      </c>
      <c r="N236" s="160" t="s">
        <v>4332</v>
      </c>
      <c r="O236" s="139" t="s">
        <v>463</v>
      </c>
      <c r="P236" s="39" t="s">
        <v>4255</v>
      </c>
      <c r="Q236" s="228" t="s">
        <v>3241</v>
      </c>
      <c r="R236" s="200" t="s">
        <v>2996</v>
      </c>
      <c r="S236" s="141" t="s">
        <v>440</v>
      </c>
      <c r="T236" s="241"/>
    </row>
    <row r="237" spans="1:20" ht="58" customHeight="1">
      <c r="A237" s="230" t="s">
        <v>2432</v>
      </c>
      <c r="B237" s="41" t="s">
        <v>1420</v>
      </c>
      <c r="C237" s="40" t="s">
        <v>1521</v>
      </c>
      <c r="D237" s="40" t="s">
        <v>479</v>
      </c>
      <c r="E237" s="199" t="s">
        <v>806</v>
      </c>
      <c r="F237" s="199" t="s">
        <v>480</v>
      </c>
      <c r="G237" s="243" t="s">
        <v>3019</v>
      </c>
      <c r="H237" s="41" t="s">
        <v>2</v>
      </c>
      <c r="I237" s="246" t="s">
        <v>3027</v>
      </c>
      <c r="J237" s="232" t="s">
        <v>3236</v>
      </c>
      <c r="K237" s="161"/>
      <c r="L237" s="240"/>
      <c r="M237" s="240"/>
      <c r="N237" s="160"/>
      <c r="O237" s="139" t="s">
        <v>477</v>
      </c>
      <c r="P237" s="39" t="s">
        <v>478</v>
      </c>
      <c r="Q237" s="228" t="s">
        <v>3241</v>
      </c>
      <c r="R237" s="200" t="s">
        <v>2995</v>
      </c>
      <c r="S237" s="141" t="s">
        <v>440</v>
      </c>
      <c r="T237" s="241"/>
    </row>
    <row r="238" spans="1:20" ht="58" customHeight="1">
      <c r="A238" s="230" t="s">
        <v>2432</v>
      </c>
      <c r="B238" s="41" t="s">
        <v>1420</v>
      </c>
      <c r="C238" s="40" t="s">
        <v>1523</v>
      </c>
      <c r="D238" s="40" t="s">
        <v>483</v>
      </c>
      <c r="E238" s="199" t="s">
        <v>807</v>
      </c>
      <c r="F238" s="199" t="s">
        <v>484</v>
      </c>
      <c r="G238" s="243" t="s">
        <v>3019</v>
      </c>
      <c r="H238" s="41" t="s">
        <v>2</v>
      </c>
      <c r="I238" s="246" t="s">
        <v>3027</v>
      </c>
      <c r="J238" s="232" t="s">
        <v>3236</v>
      </c>
      <c r="K238" s="161"/>
      <c r="L238" s="240"/>
      <c r="M238" s="240"/>
      <c r="N238" s="160"/>
      <c r="O238" s="139" t="s">
        <v>481</v>
      </c>
      <c r="P238" s="39" t="s">
        <v>482</v>
      </c>
      <c r="Q238" s="228" t="s">
        <v>3241</v>
      </c>
      <c r="R238" s="200" t="s">
        <v>2995</v>
      </c>
      <c r="S238" s="141" t="s">
        <v>440</v>
      </c>
      <c r="T238" s="241"/>
    </row>
    <row r="239" spans="1:20" ht="58" customHeight="1">
      <c r="A239" s="230" t="s">
        <v>2432</v>
      </c>
      <c r="B239" s="41" t="s">
        <v>1420</v>
      </c>
      <c r="C239" s="40" t="s">
        <v>1523</v>
      </c>
      <c r="D239" s="40" t="s">
        <v>487</v>
      </c>
      <c r="E239" s="199" t="s">
        <v>808</v>
      </c>
      <c r="F239" s="199" t="s">
        <v>488</v>
      </c>
      <c r="G239" s="243" t="s">
        <v>3025</v>
      </c>
      <c r="H239" s="41" t="s">
        <v>1516</v>
      </c>
      <c r="I239" s="246" t="s">
        <v>4554</v>
      </c>
      <c r="J239" s="232" t="s">
        <v>3987</v>
      </c>
      <c r="K239" s="161" t="s">
        <v>4307</v>
      </c>
      <c r="L239" s="240" t="s">
        <v>4396</v>
      </c>
      <c r="M239" s="240" t="s">
        <v>4397</v>
      </c>
      <c r="N239" s="160" t="s">
        <v>4332</v>
      </c>
      <c r="O239" s="139" t="s">
        <v>485</v>
      </c>
      <c r="P239" s="39" t="s">
        <v>486</v>
      </c>
      <c r="Q239" s="228" t="s">
        <v>3241</v>
      </c>
      <c r="R239" s="200" t="s">
        <v>2996</v>
      </c>
      <c r="S239" s="141" t="s">
        <v>440</v>
      </c>
      <c r="T239" s="241"/>
    </row>
    <row r="240" spans="1:20" ht="58" customHeight="1">
      <c r="A240" s="230" t="s">
        <v>2432</v>
      </c>
      <c r="B240" s="41" t="s">
        <v>1420</v>
      </c>
      <c r="C240" s="40" t="s">
        <v>1523</v>
      </c>
      <c r="D240" s="40" t="s">
        <v>4544</v>
      </c>
      <c r="E240" s="199" t="s">
        <v>4545</v>
      </c>
      <c r="F240" s="199" t="s">
        <v>4546</v>
      </c>
      <c r="G240" s="243" t="s">
        <v>4638</v>
      </c>
      <c r="H240" s="41" t="s">
        <v>2</v>
      </c>
      <c r="I240" s="246" t="s">
        <v>1533</v>
      </c>
      <c r="J240" s="232" t="s">
        <v>3236</v>
      </c>
      <c r="K240" s="161"/>
      <c r="L240" s="240"/>
      <c r="M240" s="240"/>
      <c r="N240" s="160"/>
      <c r="O240" s="139" t="s">
        <v>2739</v>
      </c>
      <c r="P240" s="39" t="s">
        <v>4547</v>
      </c>
      <c r="Q240" s="228" t="s">
        <v>3241</v>
      </c>
      <c r="R240" s="200" t="s">
        <v>4548</v>
      </c>
      <c r="S240" s="141" t="s">
        <v>4549</v>
      </c>
      <c r="T240" s="241"/>
    </row>
    <row r="241" spans="1:20" ht="58" customHeight="1">
      <c r="A241" s="230" t="s">
        <v>2432</v>
      </c>
      <c r="B241" s="41" t="s">
        <v>1420</v>
      </c>
      <c r="C241" s="40" t="s">
        <v>1531</v>
      </c>
      <c r="D241" s="40" t="s">
        <v>439</v>
      </c>
      <c r="E241" s="199" t="s">
        <v>798</v>
      </c>
      <c r="F241" s="199" t="s">
        <v>3309</v>
      </c>
      <c r="G241" s="243" t="s">
        <v>3310</v>
      </c>
      <c r="H241" s="41" t="s">
        <v>1515</v>
      </c>
      <c r="I241" s="246" t="s">
        <v>3031</v>
      </c>
      <c r="J241" s="232" t="s">
        <v>3236</v>
      </c>
      <c r="K241" s="161"/>
      <c r="L241" s="240"/>
      <c r="M241" s="240"/>
      <c r="N241" s="160"/>
      <c r="O241" s="139" t="s">
        <v>437</v>
      </c>
      <c r="P241" s="39" t="s">
        <v>438</v>
      </c>
      <c r="Q241" s="228" t="s">
        <v>3241</v>
      </c>
      <c r="R241" s="200" t="s">
        <v>2992</v>
      </c>
      <c r="S241" s="141" t="s">
        <v>440</v>
      </c>
      <c r="T241" s="241"/>
    </row>
    <row r="242" spans="1:20" ht="58" customHeight="1">
      <c r="A242" s="230" t="s">
        <v>2432</v>
      </c>
      <c r="B242" s="41" t="s">
        <v>1420</v>
      </c>
      <c r="C242" s="40" t="s">
        <v>1531</v>
      </c>
      <c r="D242" s="40" t="s">
        <v>498</v>
      </c>
      <c r="E242" s="199" t="s">
        <v>3873</v>
      </c>
      <c r="F242" s="199" t="s">
        <v>4353</v>
      </c>
      <c r="G242" s="243" t="s">
        <v>4639</v>
      </c>
      <c r="H242" s="41" t="s">
        <v>3</v>
      </c>
      <c r="I242" s="246" t="s">
        <v>3031</v>
      </c>
      <c r="J242" s="232" t="s">
        <v>3236</v>
      </c>
      <c r="K242" s="161"/>
      <c r="L242" s="240"/>
      <c r="M242" s="240"/>
      <c r="N242" s="160"/>
      <c r="O242" s="139" t="s">
        <v>496</v>
      </c>
      <c r="P242" s="39" t="s">
        <v>497</v>
      </c>
      <c r="Q242" s="228" t="s">
        <v>3241</v>
      </c>
      <c r="R242" s="200" t="s">
        <v>2998</v>
      </c>
      <c r="S242" s="141" t="s">
        <v>499</v>
      </c>
      <c r="T242" s="241"/>
    </row>
    <row r="243" spans="1:20" ht="58" customHeight="1">
      <c r="A243" s="230" t="s">
        <v>2432</v>
      </c>
      <c r="B243" s="41" t="s">
        <v>1420</v>
      </c>
      <c r="C243" s="40" t="s">
        <v>1531</v>
      </c>
      <c r="D243" s="40" t="s">
        <v>502</v>
      </c>
      <c r="E243" s="199" t="s">
        <v>811</v>
      </c>
      <c r="F243" s="199" t="s">
        <v>4539</v>
      </c>
      <c r="G243" s="243" t="s">
        <v>4640</v>
      </c>
      <c r="H243" s="41" t="s">
        <v>1516</v>
      </c>
      <c r="I243" s="246" t="s">
        <v>4538</v>
      </c>
      <c r="J243" s="232" t="s">
        <v>3988</v>
      </c>
      <c r="K243" s="161" t="s">
        <v>955</v>
      </c>
      <c r="L243" s="240"/>
      <c r="M243" s="240"/>
      <c r="N243" s="160"/>
      <c r="O243" s="139" t="s">
        <v>500</v>
      </c>
      <c r="P243" s="39" t="s">
        <v>501</v>
      </c>
      <c r="Q243" s="228" t="s">
        <v>3241</v>
      </c>
      <c r="R243" s="200" t="s">
        <v>2937</v>
      </c>
      <c r="S243" s="141" t="s">
        <v>440</v>
      </c>
      <c r="T243" s="241" t="s">
        <v>4540</v>
      </c>
    </row>
    <row r="244" spans="1:20" ht="58" customHeight="1">
      <c r="A244" s="230" t="s">
        <v>2432</v>
      </c>
      <c r="B244" s="41" t="s">
        <v>1420</v>
      </c>
      <c r="C244" s="40" t="s">
        <v>1531</v>
      </c>
      <c r="D244" s="40" t="s">
        <v>2736</v>
      </c>
      <c r="E244" s="199" t="s">
        <v>2735</v>
      </c>
      <c r="F244" s="199" t="s">
        <v>4532</v>
      </c>
      <c r="G244" s="243" t="s">
        <v>4533</v>
      </c>
      <c r="H244" s="41" t="s">
        <v>2</v>
      </c>
      <c r="I244" s="246" t="s">
        <v>1533</v>
      </c>
      <c r="J244" s="232" t="s">
        <v>3236</v>
      </c>
      <c r="K244" s="161"/>
      <c r="L244" s="240"/>
      <c r="M244" s="240"/>
      <c r="N244" s="160"/>
      <c r="O244" s="139" t="s">
        <v>2737</v>
      </c>
      <c r="P244" s="39" t="s">
        <v>4534</v>
      </c>
      <c r="Q244" s="228" t="s">
        <v>3241</v>
      </c>
      <c r="R244" s="200" t="s">
        <v>4535</v>
      </c>
      <c r="S244" s="141" t="s">
        <v>2738</v>
      </c>
      <c r="T244" s="241"/>
    </row>
    <row r="245" spans="1:20" ht="58" customHeight="1">
      <c r="A245" s="230" t="s">
        <v>2432</v>
      </c>
      <c r="B245" s="41" t="s">
        <v>1420</v>
      </c>
      <c r="C245" s="40" t="s">
        <v>1525</v>
      </c>
      <c r="D245" s="40" t="s">
        <v>443</v>
      </c>
      <c r="E245" s="199" t="s">
        <v>3874</v>
      </c>
      <c r="F245" s="199" t="s">
        <v>3998</v>
      </c>
      <c r="G245" s="243" t="s">
        <v>4641</v>
      </c>
      <c r="H245" s="41" t="s">
        <v>2</v>
      </c>
      <c r="I245" s="246" t="s">
        <v>3027</v>
      </c>
      <c r="J245" s="232" t="s">
        <v>3236</v>
      </c>
      <c r="K245" s="161"/>
      <c r="L245" s="240"/>
      <c r="M245" s="240"/>
      <c r="N245" s="160"/>
      <c r="O245" s="139" t="s">
        <v>441</v>
      </c>
      <c r="P245" s="39" t="s">
        <v>442</v>
      </c>
      <c r="Q245" s="228" t="s">
        <v>3241</v>
      </c>
      <c r="R245" s="200" t="s">
        <v>2993</v>
      </c>
      <c r="S245" s="141" t="s">
        <v>440</v>
      </c>
      <c r="T245" s="241"/>
    </row>
    <row r="246" spans="1:20" ht="58" customHeight="1">
      <c r="A246" s="230" t="s">
        <v>2432</v>
      </c>
      <c r="B246" s="41" t="s">
        <v>1420</v>
      </c>
      <c r="C246" s="40" t="s">
        <v>1525</v>
      </c>
      <c r="D246" s="40" t="s">
        <v>495</v>
      </c>
      <c r="E246" s="199" t="s">
        <v>810</v>
      </c>
      <c r="F246" s="199" t="s">
        <v>3338</v>
      </c>
      <c r="G246" s="243" t="s">
        <v>3339</v>
      </c>
      <c r="H246" s="41" t="s">
        <v>1515</v>
      </c>
      <c r="I246" s="246" t="s">
        <v>3031</v>
      </c>
      <c r="J246" s="232" t="s">
        <v>3236</v>
      </c>
      <c r="K246" s="161"/>
      <c r="L246" s="240"/>
      <c r="M246" s="240"/>
      <c r="N246" s="160"/>
      <c r="O246" s="139" t="s">
        <v>493</v>
      </c>
      <c r="P246" s="39" t="s">
        <v>494</v>
      </c>
      <c r="Q246" s="228" t="s">
        <v>3241</v>
      </c>
      <c r="R246" s="200" t="s">
        <v>2997</v>
      </c>
      <c r="S246" s="141" t="s">
        <v>440</v>
      </c>
      <c r="T246" s="241"/>
    </row>
    <row r="247" spans="1:20" ht="58" customHeight="1">
      <c r="A247" s="230" t="s">
        <v>2432</v>
      </c>
      <c r="B247" s="41" t="s">
        <v>1420</v>
      </c>
      <c r="C247" s="40" t="s">
        <v>1524</v>
      </c>
      <c r="D247" s="40" t="s">
        <v>450</v>
      </c>
      <c r="E247" s="199" t="s">
        <v>799</v>
      </c>
      <c r="F247" s="199" t="s">
        <v>451</v>
      </c>
      <c r="G247" s="243" t="s">
        <v>3022</v>
      </c>
      <c r="H247" s="41" t="s">
        <v>1516</v>
      </c>
      <c r="I247" s="246" t="s">
        <v>3029</v>
      </c>
      <c r="J247" s="232" t="s">
        <v>3989</v>
      </c>
      <c r="K247" s="161" t="s">
        <v>4298</v>
      </c>
      <c r="L247" s="240" t="s">
        <v>4370</v>
      </c>
      <c r="M247" s="240" t="s">
        <v>4371</v>
      </c>
      <c r="N247" s="160" t="s">
        <v>4332</v>
      </c>
      <c r="O247" s="139" t="s">
        <v>448</v>
      </c>
      <c r="P247" s="39" t="s">
        <v>449</v>
      </c>
      <c r="Q247" s="228" t="s">
        <v>3241</v>
      </c>
      <c r="R247" s="200" t="s">
        <v>2936</v>
      </c>
      <c r="S247" s="141" t="s">
        <v>440</v>
      </c>
      <c r="T247" s="241"/>
    </row>
    <row r="248" spans="1:20" ht="58" customHeight="1">
      <c r="A248" s="230" t="s">
        <v>2432</v>
      </c>
      <c r="B248" s="41" t="s">
        <v>1420</v>
      </c>
      <c r="C248" s="40" t="s">
        <v>1524</v>
      </c>
      <c r="D248" s="40" t="s">
        <v>454</v>
      </c>
      <c r="E248" s="199" t="s">
        <v>3875</v>
      </c>
      <c r="F248" s="199" t="s">
        <v>3337</v>
      </c>
      <c r="G248" s="243" t="s">
        <v>4642</v>
      </c>
      <c r="H248" s="41" t="s">
        <v>1516</v>
      </c>
      <c r="I248" s="246" t="s">
        <v>3029</v>
      </c>
      <c r="J248" s="232" t="s">
        <v>4010</v>
      </c>
      <c r="K248" s="161" t="s">
        <v>4323</v>
      </c>
      <c r="L248" s="240" t="s">
        <v>4717</v>
      </c>
      <c r="M248" s="240"/>
      <c r="N248" s="160" t="s">
        <v>4332</v>
      </c>
      <c r="O248" s="139" t="s">
        <v>452</v>
      </c>
      <c r="P248" s="39" t="s">
        <v>453</v>
      </c>
      <c r="Q248" s="228" t="s">
        <v>3241</v>
      </c>
      <c r="R248" s="200" t="s">
        <v>2994</v>
      </c>
      <c r="S248" s="141" t="s">
        <v>447</v>
      </c>
      <c r="T248" s="241" t="s">
        <v>3876</v>
      </c>
    </row>
    <row r="249" spans="1:20" ht="58" customHeight="1">
      <c r="A249" s="230" t="s">
        <v>2432</v>
      </c>
      <c r="B249" s="41" t="s">
        <v>1420</v>
      </c>
      <c r="C249" s="40" t="s">
        <v>1524</v>
      </c>
      <c r="D249" s="40" t="s">
        <v>491</v>
      </c>
      <c r="E249" s="199" t="s">
        <v>809</v>
      </c>
      <c r="F249" s="199" t="s">
        <v>492</v>
      </c>
      <c r="G249" s="243" t="s">
        <v>3019</v>
      </c>
      <c r="H249" s="41" t="s">
        <v>2</v>
      </c>
      <c r="I249" s="246" t="s">
        <v>3027</v>
      </c>
      <c r="J249" s="232" t="s">
        <v>3236</v>
      </c>
      <c r="K249" s="161"/>
      <c r="L249" s="240"/>
      <c r="M249" s="240"/>
      <c r="N249" s="160"/>
      <c r="O249" s="139" t="s">
        <v>489</v>
      </c>
      <c r="P249" s="39" t="s">
        <v>490</v>
      </c>
      <c r="Q249" s="228" t="s">
        <v>3241</v>
      </c>
      <c r="R249" s="200" t="s">
        <v>2995</v>
      </c>
      <c r="S249" s="141" t="s">
        <v>440</v>
      </c>
      <c r="T249" s="241"/>
    </row>
    <row r="250" spans="1:20" ht="58" customHeight="1">
      <c r="A250" s="230" t="s">
        <v>2432</v>
      </c>
      <c r="B250" s="41" t="s">
        <v>1420</v>
      </c>
      <c r="C250" s="40" t="s">
        <v>1528</v>
      </c>
      <c r="D250" s="40" t="s">
        <v>446</v>
      </c>
      <c r="E250" s="199" t="s">
        <v>3245</v>
      </c>
      <c r="F250" s="199" t="s">
        <v>4351</v>
      </c>
      <c r="G250" s="243" t="s">
        <v>4352</v>
      </c>
      <c r="H250" s="41" t="s">
        <v>1516</v>
      </c>
      <c r="I250" s="246" t="s">
        <v>3029</v>
      </c>
      <c r="J250" s="232" t="s">
        <v>3236</v>
      </c>
      <c r="K250" s="161" t="s">
        <v>4665</v>
      </c>
      <c r="L250" s="240" t="s">
        <v>4666</v>
      </c>
      <c r="M250" s="240"/>
      <c r="N250" s="160" t="s">
        <v>4334</v>
      </c>
      <c r="O250" s="139" t="s">
        <v>444</v>
      </c>
      <c r="P250" s="39" t="s">
        <v>445</v>
      </c>
      <c r="Q250" s="228" t="s">
        <v>3241</v>
      </c>
      <c r="R250" s="200" t="s">
        <v>3018</v>
      </c>
      <c r="S250" s="141" t="s">
        <v>447</v>
      </c>
      <c r="T250" s="241"/>
    </row>
    <row r="251" spans="1:20" ht="58" customHeight="1">
      <c r="A251" s="230" t="s">
        <v>2432</v>
      </c>
      <c r="B251" s="41" t="s">
        <v>1532</v>
      </c>
      <c r="C251" s="40" t="s">
        <v>1521</v>
      </c>
      <c r="D251" s="40" t="s">
        <v>512</v>
      </c>
      <c r="E251" s="199" t="s">
        <v>813</v>
      </c>
      <c r="F251" s="199" t="s">
        <v>3333</v>
      </c>
      <c r="G251" s="243" t="s">
        <v>4643</v>
      </c>
      <c r="H251" s="41" t="s">
        <v>3</v>
      </c>
      <c r="I251" s="246" t="s">
        <v>1533</v>
      </c>
      <c r="J251" s="232" t="s">
        <v>3236</v>
      </c>
      <c r="K251" s="161"/>
      <c r="L251" s="240"/>
      <c r="M251" s="240"/>
      <c r="N251" s="160"/>
      <c r="O251" s="139" t="s">
        <v>510</v>
      </c>
      <c r="P251" s="39" t="s">
        <v>511</v>
      </c>
      <c r="Q251" s="228" t="s">
        <v>3243</v>
      </c>
      <c r="R251" s="200" t="s">
        <v>2997</v>
      </c>
      <c r="S251" s="141" t="s">
        <v>506</v>
      </c>
      <c r="T251" s="241"/>
    </row>
    <row r="252" spans="1:20" ht="58" customHeight="1">
      <c r="A252" s="230" t="s">
        <v>2432</v>
      </c>
      <c r="B252" s="41" t="s">
        <v>1532</v>
      </c>
      <c r="C252" s="40" t="s">
        <v>1521</v>
      </c>
      <c r="D252" s="40" t="s">
        <v>509</v>
      </c>
      <c r="E252" s="199" t="s">
        <v>812</v>
      </c>
      <c r="F252" s="199" t="s">
        <v>3334</v>
      </c>
      <c r="G252" s="243" t="s">
        <v>3335</v>
      </c>
      <c r="H252" s="41" t="s">
        <v>3</v>
      </c>
      <c r="I252" s="246" t="s">
        <v>1533</v>
      </c>
      <c r="J252" s="232" t="s">
        <v>3236</v>
      </c>
      <c r="K252" s="161"/>
      <c r="L252" s="240"/>
      <c r="M252" s="240"/>
      <c r="N252" s="160"/>
      <c r="O252" s="139" t="s">
        <v>503</v>
      </c>
      <c r="P252" s="39" t="s">
        <v>508</v>
      </c>
      <c r="Q252" s="228" t="s">
        <v>3243</v>
      </c>
      <c r="R252" s="200" t="s">
        <v>2997</v>
      </c>
      <c r="S252" s="141" t="s">
        <v>506</v>
      </c>
      <c r="T252" s="241"/>
    </row>
    <row r="253" spans="1:20" ht="58" customHeight="1">
      <c r="A253" s="230" t="s">
        <v>2432</v>
      </c>
      <c r="B253" s="41" t="s">
        <v>1532</v>
      </c>
      <c r="C253" s="40" t="s">
        <v>1531</v>
      </c>
      <c r="D253" s="40" t="s">
        <v>516</v>
      </c>
      <c r="E253" s="199" t="s">
        <v>814</v>
      </c>
      <c r="F253" s="199" t="s">
        <v>4541</v>
      </c>
      <c r="G253" s="243" t="s">
        <v>4644</v>
      </c>
      <c r="H253" s="41" t="s">
        <v>1516</v>
      </c>
      <c r="I253" s="246" t="s">
        <v>4538</v>
      </c>
      <c r="J253" s="232" t="s">
        <v>3990</v>
      </c>
      <c r="K253" s="161" t="s">
        <v>955</v>
      </c>
      <c r="L253" s="240"/>
      <c r="M253" s="240"/>
      <c r="N253" s="160"/>
      <c r="O253" s="139" t="s">
        <v>514</v>
      </c>
      <c r="P253" s="39" t="s">
        <v>515</v>
      </c>
      <c r="Q253" s="228" t="s">
        <v>3243</v>
      </c>
      <c r="R253" s="200" t="s">
        <v>2937</v>
      </c>
      <c r="S253" s="141" t="s">
        <v>507</v>
      </c>
      <c r="T253" s="241" t="s">
        <v>4542</v>
      </c>
    </row>
    <row r="254" spans="1:20" ht="58" customHeight="1">
      <c r="A254" s="230" t="s">
        <v>2432</v>
      </c>
      <c r="B254" s="41" t="s">
        <v>1532</v>
      </c>
      <c r="C254" s="40" t="s">
        <v>1525</v>
      </c>
      <c r="D254" s="40" t="s">
        <v>505</v>
      </c>
      <c r="E254" s="199" t="s">
        <v>3872</v>
      </c>
      <c r="F254" s="199" t="s">
        <v>3336</v>
      </c>
      <c r="G254" s="243" t="s">
        <v>4645</v>
      </c>
      <c r="H254" s="41" t="s">
        <v>1515</v>
      </c>
      <c r="I254" s="246" t="s">
        <v>1533</v>
      </c>
      <c r="J254" s="232" t="s">
        <v>3236</v>
      </c>
      <c r="K254" s="161"/>
      <c r="L254" s="240"/>
      <c r="M254" s="240"/>
      <c r="N254" s="160"/>
      <c r="O254" s="139" t="s">
        <v>503</v>
      </c>
      <c r="P254" s="39" t="s">
        <v>504</v>
      </c>
      <c r="Q254" s="228" t="s">
        <v>3243</v>
      </c>
      <c r="R254" s="200" t="s">
        <v>2999</v>
      </c>
      <c r="S254" s="141" t="s">
        <v>506</v>
      </c>
      <c r="T254" s="241"/>
    </row>
    <row r="255" spans="1:20" ht="58" customHeight="1">
      <c r="A255" s="230" t="s">
        <v>2432</v>
      </c>
      <c r="B255" s="41" t="s">
        <v>1532</v>
      </c>
      <c r="C255" s="40" t="s">
        <v>1524</v>
      </c>
      <c r="D255" s="40" t="s">
        <v>521</v>
      </c>
      <c r="E255" s="199" t="s">
        <v>3877</v>
      </c>
      <c r="F255" s="199" t="s">
        <v>522</v>
      </c>
      <c r="G255" s="243" t="s">
        <v>4646</v>
      </c>
      <c r="H255" s="41" t="s">
        <v>1516</v>
      </c>
      <c r="I255" s="246" t="s">
        <v>3029</v>
      </c>
      <c r="J255" s="232" t="s">
        <v>3236</v>
      </c>
      <c r="K255" s="161" t="s">
        <v>4323</v>
      </c>
      <c r="L255" s="240" t="s">
        <v>4668</v>
      </c>
      <c r="M255" s="240"/>
      <c r="N255" s="160" t="s">
        <v>4332</v>
      </c>
      <c r="O255" s="139" t="s">
        <v>519</v>
      </c>
      <c r="P255" s="39" t="s">
        <v>520</v>
      </c>
      <c r="Q255" s="228" t="s">
        <v>3243</v>
      </c>
      <c r="R255" s="200" t="s">
        <v>3001</v>
      </c>
      <c r="S255" s="141" t="s">
        <v>507</v>
      </c>
      <c r="T255" s="241" t="s">
        <v>4146</v>
      </c>
    </row>
    <row r="256" spans="1:20" ht="58" customHeight="1">
      <c r="A256" s="230" t="s">
        <v>2432</v>
      </c>
      <c r="B256" s="41" t="s">
        <v>1532</v>
      </c>
      <c r="C256" s="40" t="s">
        <v>1528</v>
      </c>
      <c r="D256" s="40" t="s">
        <v>4258</v>
      </c>
      <c r="E256" s="199" t="s">
        <v>3871</v>
      </c>
      <c r="F256" s="199" t="s">
        <v>518</v>
      </c>
      <c r="G256" s="243" t="s">
        <v>3022</v>
      </c>
      <c r="H256" s="41" t="s">
        <v>1516</v>
      </c>
      <c r="I256" s="246" t="s">
        <v>3029</v>
      </c>
      <c r="J256" s="232" t="s">
        <v>3991</v>
      </c>
      <c r="K256" s="161" t="s">
        <v>4259</v>
      </c>
      <c r="L256" s="240" t="s">
        <v>4495</v>
      </c>
      <c r="M256" s="240" t="s">
        <v>4496</v>
      </c>
      <c r="N256" s="160" t="s">
        <v>4332</v>
      </c>
      <c r="O256" s="139" t="s">
        <v>517</v>
      </c>
      <c r="P256" s="39" t="s">
        <v>4257</v>
      </c>
      <c r="Q256" s="228" t="s">
        <v>3243</v>
      </c>
      <c r="R256" s="200" t="s">
        <v>3000</v>
      </c>
      <c r="S256" s="141" t="s">
        <v>507</v>
      </c>
      <c r="T256" s="241"/>
    </row>
    <row r="257" spans="1:20" ht="58" customHeight="1">
      <c r="A257" s="230" t="s">
        <v>2432</v>
      </c>
      <c r="B257" s="41" t="s">
        <v>1532</v>
      </c>
      <c r="C257" s="40" t="s">
        <v>1528</v>
      </c>
      <c r="D257" s="40" t="s">
        <v>4260</v>
      </c>
      <c r="E257" s="199" t="s">
        <v>3871</v>
      </c>
      <c r="F257" s="199" t="s">
        <v>518</v>
      </c>
      <c r="G257" s="243" t="s">
        <v>3022</v>
      </c>
      <c r="H257" s="41" t="s">
        <v>1516</v>
      </c>
      <c r="I257" s="246" t="s">
        <v>3029</v>
      </c>
      <c r="J257" s="232" t="s">
        <v>3991</v>
      </c>
      <c r="K257" s="161" t="s">
        <v>4262</v>
      </c>
      <c r="L257" s="240" t="s">
        <v>4521</v>
      </c>
      <c r="M257" s="240" t="s">
        <v>4522</v>
      </c>
      <c r="N257" s="160" t="s">
        <v>4333</v>
      </c>
      <c r="O257" s="139" t="s">
        <v>517</v>
      </c>
      <c r="P257" s="39" t="s">
        <v>4261</v>
      </c>
      <c r="Q257" s="228" t="s">
        <v>3243</v>
      </c>
      <c r="R257" s="200" t="s">
        <v>3000</v>
      </c>
      <c r="S257" s="141" t="s">
        <v>507</v>
      </c>
      <c r="T257" s="241"/>
    </row>
    <row r="258" spans="1:20" ht="58" customHeight="1">
      <c r="A258" s="230" t="s">
        <v>2432</v>
      </c>
      <c r="B258" s="41" t="s">
        <v>1532</v>
      </c>
      <c r="C258" s="40" t="s">
        <v>1528</v>
      </c>
      <c r="D258" s="40" t="s">
        <v>4263</v>
      </c>
      <c r="E258" s="199" t="s">
        <v>3871</v>
      </c>
      <c r="F258" s="199" t="s">
        <v>518</v>
      </c>
      <c r="G258" s="243" t="s">
        <v>3022</v>
      </c>
      <c r="H258" s="41" t="s">
        <v>1516</v>
      </c>
      <c r="I258" s="246" t="s">
        <v>3029</v>
      </c>
      <c r="J258" s="232" t="s">
        <v>3991</v>
      </c>
      <c r="K258" s="161" t="s">
        <v>4265</v>
      </c>
      <c r="L258" s="240" t="s">
        <v>4523</v>
      </c>
      <c r="M258" s="240" t="s">
        <v>4524</v>
      </c>
      <c r="N258" s="160" t="s">
        <v>4333</v>
      </c>
      <c r="O258" s="139" t="s">
        <v>517</v>
      </c>
      <c r="P258" s="39" t="s">
        <v>4264</v>
      </c>
      <c r="Q258" s="228" t="s">
        <v>3243</v>
      </c>
      <c r="R258" s="200" t="s">
        <v>3000</v>
      </c>
      <c r="S258" s="141" t="s">
        <v>507</v>
      </c>
      <c r="T258" s="241"/>
    </row>
    <row r="259" spans="1:20" ht="58" customHeight="1">
      <c r="A259" s="230" t="s">
        <v>2432</v>
      </c>
      <c r="B259" s="41" t="s">
        <v>1532</v>
      </c>
      <c r="C259" s="40" t="s">
        <v>1528</v>
      </c>
      <c r="D259" s="40" t="s">
        <v>525</v>
      </c>
      <c r="E259" s="199" t="s">
        <v>815</v>
      </c>
      <c r="F259" s="199" t="s">
        <v>526</v>
      </c>
      <c r="G259" s="243" t="s">
        <v>3020</v>
      </c>
      <c r="H259" s="41" t="s">
        <v>955</v>
      </c>
      <c r="I259" s="246" t="s">
        <v>3028</v>
      </c>
      <c r="J259" s="232" t="s">
        <v>3236</v>
      </c>
      <c r="K259" s="161"/>
      <c r="L259" s="240"/>
      <c r="M259" s="240"/>
      <c r="N259" s="160"/>
      <c r="O259" s="139" t="s">
        <v>523</v>
      </c>
      <c r="P259" s="39" t="s">
        <v>524</v>
      </c>
      <c r="Q259" s="228" t="s">
        <v>3243</v>
      </c>
      <c r="R259" s="200" t="s">
        <v>955</v>
      </c>
      <c r="S259" s="141" t="s">
        <v>507</v>
      </c>
      <c r="T259" s="241"/>
    </row>
    <row r="260" spans="1:20" ht="58" customHeight="1">
      <c r="A260" s="230" t="s">
        <v>2432</v>
      </c>
      <c r="B260" s="41" t="s">
        <v>1533</v>
      </c>
      <c r="C260" s="40" t="s">
        <v>1514</v>
      </c>
      <c r="D260" s="40" t="s">
        <v>532</v>
      </c>
      <c r="E260" s="199" t="s">
        <v>817</v>
      </c>
      <c r="F260" s="199" t="s">
        <v>3348</v>
      </c>
      <c r="G260" s="243" t="s">
        <v>3349</v>
      </c>
      <c r="H260" s="41" t="s">
        <v>3</v>
      </c>
      <c r="I260" s="246" t="s">
        <v>1533</v>
      </c>
      <c r="J260" s="232" t="s">
        <v>3236</v>
      </c>
      <c r="K260" s="161"/>
      <c r="L260" s="240"/>
      <c r="M260" s="240"/>
      <c r="N260" s="160"/>
      <c r="O260" s="139" t="s">
        <v>527</v>
      </c>
      <c r="P260" s="39" t="s">
        <v>531</v>
      </c>
      <c r="Q260" s="228" t="s">
        <v>3240</v>
      </c>
      <c r="R260" s="200" t="s">
        <v>3012</v>
      </c>
      <c r="S260" s="141" t="s">
        <v>533</v>
      </c>
      <c r="T260" s="241"/>
    </row>
    <row r="261" spans="1:20" ht="58" customHeight="1">
      <c r="A261" s="230" t="s">
        <v>2432</v>
      </c>
      <c r="B261" s="41" t="s">
        <v>1533</v>
      </c>
      <c r="C261" s="40" t="s">
        <v>1517</v>
      </c>
      <c r="D261" s="40" t="s">
        <v>537</v>
      </c>
      <c r="E261" s="199" t="s">
        <v>819</v>
      </c>
      <c r="F261" s="199" t="s">
        <v>3352</v>
      </c>
      <c r="G261" s="243" t="s">
        <v>3353</v>
      </c>
      <c r="H261" s="41" t="s">
        <v>955</v>
      </c>
      <c r="I261" s="246" t="s">
        <v>1533</v>
      </c>
      <c r="J261" s="232" t="s">
        <v>3236</v>
      </c>
      <c r="K261" s="161"/>
      <c r="L261" s="240"/>
      <c r="M261" s="240"/>
      <c r="N261" s="160"/>
      <c r="O261" s="139" t="s">
        <v>527</v>
      </c>
      <c r="P261" s="39" t="s">
        <v>536</v>
      </c>
      <c r="Q261" s="228" t="s">
        <v>3240</v>
      </c>
      <c r="R261" s="200" t="s">
        <v>3013</v>
      </c>
      <c r="S261" s="141" t="s">
        <v>530</v>
      </c>
      <c r="T261" s="241"/>
    </row>
    <row r="262" spans="1:20" ht="58" customHeight="1">
      <c r="A262" s="230" t="s">
        <v>2432</v>
      </c>
      <c r="B262" s="41" t="s">
        <v>1533</v>
      </c>
      <c r="C262" s="40" t="s">
        <v>1517</v>
      </c>
      <c r="D262" s="40" t="s">
        <v>539</v>
      </c>
      <c r="E262" s="199" t="s">
        <v>820</v>
      </c>
      <c r="F262" s="199" t="s">
        <v>3354</v>
      </c>
      <c r="G262" s="243" t="s">
        <v>4647</v>
      </c>
      <c r="H262" s="41" t="s">
        <v>3</v>
      </c>
      <c r="I262" s="246" t="s">
        <v>1533</v>
      </c>
      <c r="J262" s="232" t="s">
        <v>3236</v>
      </c>
      <c r="K262" s="161"/>
      <c r="L262" s="240"/>
      <c r="M262" s="240"/>
      <c r="N262" s="160"/>
      <c r="O262" s="139" t="s">
        <v>527</v>
      </c>
      <c r="P262" s="39" t="s">
        <v>538</v>
      </c>
      <c r="Q262" s="228" t="s">
        <v>3240</v>
      </c>
      <c r="R262" s="200"/>
      <c r="S262" s="141" t="s">
        <v>530</v>
      </c>
      <c r="T262" s="241"/>
    </row>
    <row r="263" spans="1:20" ht="58" customHeight="1">
      <c r="A263" s="230" t="s">
        <v>2432</v>
      </c>
      <c r="B263" s="41" t="s">
        <v>1533</v>
      </c>
      <c r="C263" s="40" t="s">
        <v>1517</v>
      </c>
      <c r="D263" s="40" t="s">
        <v>541</v>
      </c>
      <c r="E263" s="199" t="s">
        <v>821</v>
      </c>
      <c r="F263" s="199" t="s">
        <v>3355</v>
      </c>
      <c r="G263" s="243" t="s">
        <v>4648</v>
      </c>
      <c r="H263" s="41" t="s">
        <v>3</v>
      </c>
      <c r="I263" s="246" t="s">
        <v>1533</v>
      </c>
      <c r="J263" s="232" t="s">
        <v>3236</v>
      </c>
      <c r="K263" s="161"/>
      <c r="L263" s="240"/>
      <c r="M263" s="240"/>
      <c r="N263" s="160"/>
      <c r="O263" s="139" t="s">
        <v>527</v>
      </c>
      <c r="P263" s="39" t="s">
        <v>540</v>
      </c>
      <c r="Q263" s="228" t="s">
        <v>3240</v>
      </c>
      <c r="R263" s="200"/>
      <c r="S263" s="141" t="s">
        <v>530</v>
      </c>
      <c r="T263" s="241"/>
    </row>
    <row r="264" spans="1:20" ht="58" customHeight="1">
      <c r="A264" s="230" t="s">
        <v>2432</v>
      </c>
      <c r="B264" s="41" t="s">
        <v>1533</v>
      </c>
      <c r="C264" s="40" t="s">
        <v>1517</v>
      </c>
      <c r="D264" s="40" t="s">
        <v>584</v>
      </c>
      <c r="E264" s="199" t="s">
        <v>840</v>
      </c>
      <c r="F264" s="199" t="s">
        <v>3379</v>
      </c>
      <c r="G264" s="243" t="s">
        <v>3372</v>
      </c>
      <c r="H264" s="41" t="s">
        <v>3</v>
      </c>
      <c r="I264" s="246" t="s">
        <v>1533</v>
      </c>
      <c r="J264" s="232" t="s">
        <v>3236</v>
      </c>
      <c r="K264" s="161"/>
      <c r="L264" s="240"/>
      <c r="M264" s="240"/>
      <c r="N264" s="160"/>
      <c r="O264" s="139" t="s">
        <v>567</v>
      </c>
      <c r="P264" s="39" t="s">
        <v>583</v>
      </c>
      <c r="Q264" s="228" t="s">
        <v>3240</v>
      </c>
      <c r="R264" s="200"/>
      <c r="S264" s="141" t="s">
        <v>570</v>
      </c>
      <c r="T264" s="241"/>
    </row>
    <row r="265" spans="1:20" ht="58" customHeight="1">
      <c r="A265" s="230" t="s">
        <v>2432</v>
      </c>
      <c r="B265" s="41" t="s">
        <v>1533</v>
      </c>
      <c r="C265" s="40" t="s">
        <v>1517</v>
      </c>
      <c r="D265" s="40" t="s">
        <v>587</v>
      </c>
      <c r="E265" s="199" t="s">
        <v>841</v>
      </c>
      <c r="F265" s="199" t="s">
        <v>3380</v>
      </c>
      <c r="G265" s="243" t="s">
        <v>3372</v>
      </c>
      <c r="H265" s="41" t="s">
        <v>3</v>
      </c>
      <c r="I265" s="246" t="s">
        <v>1533</v>
      </c>
      <c r="J265" s="232" t="s">
        <v>3236</v>
      </c>
      <c r="K265" s="161"/>
      <c r="L265" s="240"/>
      <c r="M265" s="240"/>
      <c r="N265" s="160"/>
      <c r="O265" s="139" t="s">
        <v>585</v>
      </c>
      <c r="P265" s="39" t="s">
        <v>586</v>
      </c>
      <c r="Q265" s="228" t="s">
        <v>3240</v>
      </c>
      <c r="R265" s="200"/>
      <c r="S265" s="141" t="s">
        <v>588</v>
      </c>
      <c r="T265" s="241"/>
    </row>
    <row r="266" spans="1:20" ht="58" customHeight="1">
      <c r="A266" s="230" t="s">
        <v>2432</v>
      </c>
      <c r="B266" s="41" t="s">
        <v>1533</v>
      </c>
      <c r="C266" s="40" t="s">
        <v>1517</v>
      </c>
      <c r="D266" s="40" t="s">
        <v>606</v>
      </c>
      <c r="E266" s="199" t="s">
        <v>850</v>
      </c>
      <c r="F266" s="199" t="s">
        <v>3394</v>
      </c>
      <c r="G266" s="243" t="s">
        <v>3395</v>
      </c>
      <c r="H266" s="41" t="s">
        <v>955</v>
      </c>
      <c r="I266" s="246" t="s">
        <v>1533</v>
      </c>
      <c r="J266" s="232" t="s">
        <v>3236</v>
      </c>
      <c r="K266" s="161"/>
      <c r="L266" s="240"/>
      <c r="M266" s="240"/>
      <c r="N266" s="160"/>
      <c r="O266" s="139" t="s">
        <v>585</v>
      </c>
      <c r="P266" s="39" t="s">
        <v>605</v>
      </c>
      <c r="Q266" s="228" t="s">
        <v>3240</v>
      </c>
      <c r="R266" s="200"/>
      <c r="S266" s="141" t="s">
        <v>588</v>
      </c>
      <c r="T266" s="241"/>
    </row>
    <row r="267" spans="1:20" ht="58" customHeight="1">
      <c r="A267" s="230" t="s">
        <v>2432</v>
      </c>
      <c r="B267" s="41" t="s">
        <v>1533</v>
      </c>
      <c r="C267" s="40" t="s">
        <v>1517</v>
      </c>
      <c r="D267" s="40" t="s">
        <v>608</v>
      </c>
      <c r="E267" s="199" t="s">
        <v>851</v>
      </c>
      <c r="F267" s="199" t="s">
        <v>3396</v>
      </c>
      <c r="G267" s="243" t="s">
        <v>4649</v>
      </c>
      <c r="H267" s="41" t="s">
        <v>3</v>
      </c>
      <c r="I267" s="246" t="s">
        <v>1533</v>
      </c>
      <c r="J267" s="232" t="s">
        <v>3236</v>
      </c>
      <c r="K267" s="161"/>
      <c r="L267" s="240"/>
      <c r="M267" s="240"/>
      <c r="N267" s="160"/>
      <c r="O267" s="139" t="s">
        <v>585</v>
      </c>
      <c r="P267" s="39" t="s">
        <v>607</v>
      </c>
      <c r="Q267" s="228" t="s">
        <v>3240</v>
      </c>
      <c r="R267" s="200"/>
      <c r="S267" s="141" t="s">
        <v>588</v>
      </c>
      <c r="T267" s="241"/>
    </row>
    <row r="268" spans="1:20" ht="58" customHeight="1">
      <c r="A268" s="230" t="s">
        <v>2432</v>
      </c>
      <c r="B268" s="41" t="s">
        <v>1533</v>
      </c>
      <c r="C268" s="40" t="s">
        <v>1518</v>
      </c>
      <c r="D268" s="40" t="s">
        <v>590</v>
      </c>
      <c r="E268" s="199" t="s">
        <v>842</v>
      </c>
      <c r="F268" s="199" t="s">
        <v>3381</v>
      </c>
      <c r="G268" s="243" t="s">
        <v>3382</v>
      </c>
      <c r="H268" s="41" t="s">
        <v>3</v>
      </c>
      <c r="I268" s="246" t="s">
        <v>1533</v>
      </c>
      <c r="J268" s="232" t="s">
        <v>3236</v>
      </c>
      <c r="K268" s="161"/>
      <c r="L268" s="240"/>
      <c r="M268" s="240"/>
      <c r="N268" s="160"/>
      <c r="O268" s="139" t="s">
        <v>585</v>
      </c>
      <c r="P268" s="39" t="s">
        <v>589</v>
      </c>
      <c r="Q268" s="228" t="s">
        <v>3240</v>
      </c>
      <c r="R268" s="200"/>
      <c r="S268" s="141" t="s">
        <v>588</v>
      </c>
      <c r="T268" s="241"/>
    </row>
    <row r="269" spans="1:20" ht="58" customHeight="1">
      <c r="A269" s="230" t="s">
        <v>2432</v>
      </c>
      <c r="B269" s="41" t="s">
        <v>1533</v>
      </c>
      <c r="C269" s="40" t="s">
        <v>1520</v>
      </c>
      <c r="D269" s="40" t="s">
        <v>616</v>
      </c>
      <c r="E269" s="199" t="s">
        <v>855</v>
      </c>
      <c r="F269" s="199" t="s">
        <v>3400</v>
      </c>
      <c r="G269" s="243" t="s">
        <v>4650</v>
      </c>
      <c r="H269" s="41" t="s">
        <v>3</v>
      </c>
      <c r="I269" s="246" t="s">
        <v>1533</v>
      </c>
      <c r="J269" s="232" t="s">
        <v>3236</v>
      </c>
      <c r="K269" s="161"/>
      <c r="L269" s="240"/>
      <c r="M269" s="240"/>
      <c r="N269" s="160"/>
      <c r="O269" s="139" t="s">
        <v>585</v>
      </c>
      <c r="P269" s="39" t="s">
        <v>615</v>
      </c>
      <c r="Q269" s="228" t="s">
        <v>3240</v>
      </c>
      <c r="R269" s="200"/>
      <c r="S269" s="141" t="s">
        <v>588</v>
      </c>
      <c r="T269" s="241"/>
    </row>
    <row r="270" spans="1:20" ht="58" customHeight="1">
      <c r="A270" s="230" t="s">
        <v>2432</v>
      </c>
      <c r="B270" s="41" t="s">
        <v>1533</v>
      </c>
      <c r="C270" s="40" t="s">
        <v>1521</v>
      </c>
      <c r="D270" s="40" t="s">
        <v>535</v>
      </c>
      <c r="E270" s="199" t="s">
        <v>818</v>
      </c>
      <c r="F270" s="199" t="s">
        <v>3350</v>
      </c>
      <c r="G270" s="243" t="s">
        <v>3351</v>
      </c>
      <c r="H270" s="41" t="s">
        <v>3</v>
      </c>
      <c r="I270" s="246" t="s">
        <v>1533</v>
      </c>
      <c r="J270" s="232" t="s">
        <v>3236</v>
      </c>
      <c r="K270" s="161"/>
      <c r="L270" s="240"/>
      <c r="M270" s="240"/>
      <c r="N270" s="160"/>
      <c r="O270" s="139" t="s">
        <v>527</v>
      </c>
      <c r="P270" s="39" t="s">
        <v>534</v>
      </c>
      <c r="Q270" s="228" t="s">
        <v>3240</v>
      </c>
      <c r="R270" s="200"/>
      <c r="S270" s="141" t="s">
        <v>530</v>
      </c>
      <c r="T270" s="241"/>
    </row>
    <row r="271" spans="1:20" ht="58" customHeight="1">
      <c r="A271" s="230" t="s">
        <v>2432</v>
      </c>
      <c r="B271" s="41" t="s">
        <v>1533</v>
      </c>
      <c r="C271" s="40" t="s">
        <v>1521</v>
      </c>
      <c r="D271" s="40" t="s">
        <v>592</v>
      </c>
      <c r="E271" s="199" t="s">
        <v>843</v>
      </c>
      <c r="F271" s="199" t="s">
        <v>3383</v>
      </c>
      <c r="G271" s="243" t="s">
        <v>3372</v>
      </c>
      <c r="H271" s="41" t="s">
        <v>2</v>
      </c>
      <c r="I271" s="246" t="s">
        <v>3027</v>
      </c>
      <c r="J271" s="232" t="s">
        <v>3236</v>
      </c>
      <c r="K271" s="161"/>
      <c r="L271" s="240"/>
      <c r="M271" s="240"/>
      <c r="N271" s="160"/>
      <c r="O271" s="139" t="s">
        <v>585</v>
      </c>
      <c r="P271" s="39" t="s">
        <v>591</v>
      </c>
      <c r="Q271" s="228" t="s">
        <v>3240</v>
      </c>
      <c r="R271" s="200" t="s">
        <v>5379</v>
      </c>
      <c r="S271" s="141" t="s">
        <v>588</v>
      </c>
      <c r="T271" s="241"/>
    </row>
    <row r="272" spans="1:20" ht="58" customHeight="1">
      <c r="A272" s="230" t="s">
        <v>2432</v>
      </c>
      <c r="B272" s="41" t="s">
        <v>1533</v>
      </c>
      <c r="C272" s="40" t="s">
        <v>1521</v>
      </c>
      <c r="D272" s="40" t="s">
        <v>594</v>
      </c>
      <c r="E272" s="199" t="s">
        <v>844</v>
      </c>
      <c r="F272" s="199" t="s">
        <v>3384</v>
      </c>
      <c r="G272" s="243" t="s">
        <v>4651</v>
      </c>
      <c r="H272" s="41" t="s">
        <v>2</v>
      </c>
      <c r="I272" s="246" t="s">
        <v>3027</v>
      </c>
      <c r="J272" s="232" t="s">
        <v>3236</v>
      </c>
      <c r="K272" s="161"/>
      <c r="L272" s="240"/>
      <c r="M272" s="240"/>
      <c r="N272" s="160"/>
      <c r="O272" s="139" t="s">
        <v>585</v>
      </c>
      <c r="P272" s="39" t="s">
        <v>593</v>
      </c>
      <c r="Q272" s="228" t="s">
        <v>3240</v>
      </c>
      <c r="R272" s="200" t="s">
        <v>5379</v>
      </c>
      <c r="S272" s="141" t="s">
        <v>588</v>
      </c>
      <c r="T272" s="241"/>
    </row>
    <row r="273" spans="1:20" ht="58" customHeight="1">
      <c r="A273" s="230" t="s">
        <v>2432</v>
      </c>
      <c r="B273" s="41" t="s">
        <v>1533</v>
      </c>
      <c r="C273" s="40" t="s">
        <v>1521</v>
      </c>
      <c r="D273" s="40" t="s">
        <v>602</v>
      </c>
      <c r="E273" s="199" t="s">
        <v>848</v>
      </c>
      <c r="F273" s="199" t="s">
        <v>3390</v>
      </c>
      <c r="G273" s="243" t="s">
        <v>3391</v>
      </c>
      <c r="H273" s="41" t="s">
        <v>3</v>
      </c>
      <c r="I273" s="246" t="s">
        <v>1533</v>
      </c>
      <c r="J273" s="232" t="s">
        <v>3236</v>
      </c>
      <c r="K273" s="161"/>
      <c r="L273" s="240"/>
      <c r="M273" s="240"/>
      <c r="N273" s="160"/>
      <c r="O273" s="139" t="s">
        <v>585</v>
      </c>
      <c r="P273" s="39" t="s">
        <v>601</v>
      </c>
      <c r="Q273" s="228" t="s">
        <v>3240</v>
      </c>
      <c r="R273" s="200"/>
      <c r="S273" s="141" t="s">
        <v>588</v>
      </c>
      <c r="T273" s="241"/>
    </row>
    <row r="274" spans="1:20" ht="58" customHeight="1">
      <c r="A274" s="230" t="s">
        <v>2432</v>
      </c>
      <c r="B274" s="41" t="s">
        <v>1533</v>
      </c>
      <c r="C274" s="40" t="s">
        <v>1521</v>
      </c>
      <c r="D274" s="40" t="s">
        <v>621</v>
      </c>
      <c r="E274" s="199" t="s">
        <v>857</v>
      </c>
      <c r="F274" s="199" t="s">
        <v>3403</v>
      </c>
      <c r="G274" s="243" t="s">
        <v>3404</v>
      </c>
      <c r="H274" s="41" t="s">
        <v>3</v>
      </c>
      <c r="I274" s="246" t="s">
        <v>1533</v>
      </c>
      <c r="J274" s="232" t="s">
        <v>3236</v>
      </c>
      <c r="K274" s="161"/>
      <c r="L274" s="240"/>
      <c r="M274" s="240"/>
      <c r="N274" s="160"/>
      <c r="O274" s="139" t="s">
        <v>585</v>
      </c>
      <c r="P274" s="39" t="s">
        <v>620</v>
      </c>
      <c r="Q274" s="228" t="s">
        <v>3240</v>
      </c>
      <c r="R274" s="200"/>
      <c r="S274" s="141" t="s">
        <v>588</v>
      </c>
      <c r="T274" s="241"/>
    </row>
    <row r="275" spans="1:20" ht="58" customHeight="1">
      <c r="A275" s="230" t="s">
        <v>2432</v>
      </c>
      <c r="B275" s="41" t="s">
        <v>1533</v>
      </c>
      <c r="C275" s="40" t="s">
        <v>1523</v>
      </c>
      <c r="D275" s="40" t="s">
        <v>547</v>
      </c>
      <c r="E275" s="199" t="s">
        <v>824</v>
      </c>
      <c r="F275" s="199" t="s">
        <v>3359</v>
      </c>
      <c r="G275" s="243" t="s">
        <v>4652</v>
      </c>
      <c r="H275" s="41" t="s">
        <v>3</v>
      </c>
      <c r="I275" s="246" t="s">
        <v>1533</v>
      </c>
      <c r="J275" s="232" t="s">
        <v>3236</v>
      </c>
      <c r="K275" s="161"/>
      <c r="L275" s="240"/>
      <c r="M275" s="240"/>
      <c r="N275" s="160"/>
      <c r="O275" s="139" t="s">
        <v>527</v>
      </c>
      <c r="P275" s="39" t="s">
        <v>546</v>
      </c>
      <c r="Q275" s="228" t="s">
        <v>3240</v>
      </c>
      <c r="R275" s="200"/>
      <c r="S275" s="141" t="s">
        <v>530</v>
      </c>
      <c r="T275" s="241"/>
    </row>
    <row r="276" spans="1:20" ht="58" customHeight="1">
      <c r="A276" s="230" t="s">
        <v>2432</v>
      </c>
      <c r="B276" s="41" t="s">
        <v>1533</v>
      </c>
      <c r="C276" s="40" t="s">
        <v>1523</v>
      </c>
      <c r="D276" s="40" t="s">
        <v>553</v>
      </c>
      <c r="E276" s="199" t="s">
        <v>827</v>
      </c>
      <c r="F276" s="199" t="s">
        <v>3362</v>
      </c>
      <c r="G276" s="243" t="s">
        <v>3363</v>
      </c>
      <c r="H276" s="41" t="s">
        <v>3</v>
      </c>
      <c r="I276" s="246" t="s">
        <v>1533</v>
      </c>
      <c r="J276" s="232" t="s">
        <v>3236</v>
      </c>
      <c r="K276" s="161"/>
      <c r="L276" s="240"/>
      <c r="M276" s="240"/>
      <c r="N276" s="160"/>
      <c r="O276" s="139" t="s">
        <v>527</v>
      </c>
      <c r="P276" s="39" t="s">
        <v>552</v>
      </c>
      <c r="Q276" s="228" t="s">
        <v>3240</v>
      </c>
      <c r="R276" s="200"/>
      <c r="S276" s="141" t="s">
        <v>554</v>
      </c>
      <c r="T276" s="241"/>
    </row>
    <row r="277" spans="1:20" ht="58" customHeight="1">
      <c r="A277" s="230" t="s">
        <v>2432</v>
      </c>
      <c r="B277" s="41" t="s">
        <v>1533</v>
      </c>
      <c r="C277" s="40" t="s">
        <v>1523</v>
      </c>
      <c r="D277" s="40" t="s">
        <v>596</v>
      </c>
      <c r="E277" s="199" t="s">
        <v>845</v>
      </c>
      <c r="F277" s="199" t="s">
        <v>3385</v>
      </c>
      <c r="G277" s="243" t="s">
        <v>3386</v>
      </c>
      <c r="H277" s="41" t="s">
        <v>3</v>
      </c>
      <c r="I277" s="246" t="s">
        <v>1533</v>
      </c>
      <c r="J277" s="232" t="s">
        <v>3236</v>
      </c>
      <c r="K277" s="161"/>
      <c r="L277" s="240"/>
      <c r="M277" s="240"/>
      <c r="N277" s="160"/>
      <c r="O277" s="139" t="s">
        <v>585</v>
      </c>
      <c r="P277" s="39" t="s">
        <v>595</v>
      </c>
      <c r="Q277" s="228" t="s">
        <v>3240</v>
      </c>
      <c r="R277" s="200"/>
      <c r="S277" s="141" t="s">
        <v>588</v>
      </c>
      <c r="T277" s="241"/>
    </row>
    <row r="278" spans="1:20" ht="58" customHeight="1">
      <c r="A278" s="230" t="s">
        <v>2432</v>
      </c>
      <c r="B278" s="41" t="s">
        <v>1533</v>
      </c>
      <c r="C278" s="40" t="s">
        <v>1523</v>
      </c>
      <c r="D278" s="40" t="s">
        <v>604</v>
      </c>
      <c r="E278" s="199" t="s">
        <v>849</v>
      </c>
      <c r="F278" s="199" t="s">
        <v>3392</v>
      </c>
      <c r="G278" s="243" t="s">
        <v>3393</v>
      </c>
      <c r="H278" s="41" t="s">
        <v>3</v>
      </c>
      <c r="I278" s="246" t="s">
        <v>1533</v>
      </c>
      <c r="J278" s="232" t="s">
        <v>3236</v>
      </c>
      <c r="K278" s="161"/>
      <c r="L278" s="240"/>
      <c r="M278" s="240"/>
      <c r="N278" s="160"/>
      <c r="O278" s="139" t="s">
        <v>585</v>
      </c>
      <c r="P278" s="39" t="s">
        <v>603</v>
      </c>
      <c r="Q278" s="228" t="s">
        <v>3240</v>
      </c>
      <c r="R278" s="200"/>
      <c r="S278" s="141" t="s">
        <v>588</v>
      </c>
      <c r="T278" s="241"/>
    </row>
    <row r="279" spans="1:20" ht="58" customHeight="1">
      <c r="A279" s="230" t="s">
        <v>2432</v>
      </c>
      <c r="B279" s="41" t="s">
        <v>1533</v>
      </c>
      <c r="C279" s="40" t="s">
        <v>1523</v>
      </c>
      <c r="D279" s="40" t="s">
        <v>618</v>
      </c>
      <c r="E279" s="199" t="s">
        <v>856</v>
      </c>
      <c r="F279" s="199" t="s">
        <v>3401</v>
      </c>
      <c r="G279" s="243" t="s">
        <v>3402</v>
      </c>
      <c r="H279" s="41" t="s">
        <v>3</v>
      </c>
      <c r="I279" s="246" t="s">
        <v>1533</v>
      </c>
      <c r="J279" s="232" t="s">
        <v>3236</v>
      </c>
      <c r="K279" s="161"/>
      <c r="L279" s="240"/>
      <c r="M279" s="240"/>
      <c r="N279" s="160"/>
      <c r="O279" s="139" t="s">
        <v>585</v>
      </c>
      <c r="P279" s="39" t="s">
        <v>617</v>
      </c>
      <c r="Q279" s="228" t="s">
        <v>3240</v>
      </c>
      <c r="R279" s="200"/>
      <c r="S279" s="141" t="s">
        <v>619</v>
      </c>
      <c r="T279" s="241"/>
    </row>
    <row r="280" spans="1:20" ht="58" customHeight="1">
      <c r="A280" s="230" t="s">
        <v>2432</v>
      </c>
      <c r="B280" s="41" t="s">
        <v>1533</v>
      </c>
      <c r="C280" s="40" t="s">
        <v>1531</v>
      </c>
      <c r="D280" s="40" t="s">
        <v>557</v>
      </c>
      <c r="E280" s="199" t="s">
        <v>828</v>
      </c>
      <c r="F280" s="199" t="s">
        <v>3364</v>
      </c>
      <c r="G280" s="243" t="s">
        <v>4693</v>
      </c>
      <c r="H280" s="41" t="s">
        <v>3</v>
      </c>
      <c r="I280" s="246" t="s">
        <v>1533</v>
      </c>
      <c r="J280" s="232" t="s">
        <v>3236</v>
      </c>
      <c r="K280" s="161"/>
      <c r="L280" s="240"/>
      <c r="M280" s="240"/>
      <c r="N280" s="160"/>
      <c r="O280" s="139" t="s">
        <v>555</v>
      </c>
      <c r="P280" s="39" t="s">
        <v>556</v>
      </c>
      <c r="Q280" s="228" t="s">
        <v>3240</v>
      </c>
      <c r="R280" s="200"/>
      <c r="S280" s="141" t="s">
        <v>558</v>
      </c>
      <c r="T280" s="241" t="s">
        <v>4694</v>
      </c>
    </row>
    <row r="281" spans="1:20" ht="58" customHeight="1">
      <c r="A281" s="230" t="s">
        <v>2432</v>
      </c>
      <c r="B281" s="41" t="s">
        <v>1533</v>
      </c>
      <c r="C281" s="40" t="s">
        <v>1531</v>
      </c>
      <c r="D281" s="40" t="s">
        <v>560</v>
      </c>
      <c r="E281" s="199" t="s">
        <v>829</v>
      </c>
      <c r="F281" s="199" t="s">
        <v>3365</v>
      </c>
      <c r="G281" s="243" t="s">
        <v>4653</v>
      </c>
      <c r="H281" s="41" t="s">
        <v>3</v>
      </c>
      <c r="I281" s="246" t="s">
        <v>1533</v>
      </c>
      <c r="J281" s="232" t="s">
        <v>3236</v>
      </c>
      <c r="K281" s="161"/>
      <c r="L281" s="240"/>
      <c r="M281" s="240"/>
      <c r="N281" s="160"/>
      <c r="O281" s="139" t="s">
        <v>555</v>
      </c>
      <c r="P281" s="39" t="s">
        <v>559</v>
      </c>
      <c r="Q281" s="228" t="s">
        <v>3240</v>
      </c>
      <c r="R281" s="200"/>
      <c r="S281" s="141" t="s">
        <v>558</v>
      </c>
      <c r="T281" s="241"/>
    </row>
    <row r="282" spans="1:20" ht="58" customHeight="1">
      <c r="A282" s="230" t="s">
        <v>2432</v>
      </c>
      <c r="B282" s="41" t="s">
        <v>1533</v>
      </c>
      <c r="C282" s="40" t="s">
        <v>1531</v>
      </c>
      <c r="D282" s="40" t="s">
        <v>562</v>
      </c>
      <c r="E282" s="199" t="s">
        <v>830</v>
      </c>
      <c r="F282" s="199" t="s">
        <v>3366</v>
      </c>
      <c r="G282" s="243" t="s">
        <v>4695</v>
      </c>
      <c r="H282" s="41" t="s">
        <v>3</v>
      </c>
      <c r="I282" s="246" t="s">
        <v>1533</v>
      </c>
      <c r="J282" s="232" t="s">
        <v>3236</v>
      </c>
      <c r="K282" s="161"/>
      <c r="L282" s="240"/>
      <c r="M282" s="240"/>
      <c r="N282" s="160"/>
      <c r="O282" s="139" t="s">
        <v>555</v>
      </c>
      <c r="P282" s="39" t="s">
        <v>561</v>
      </c>
      <c r="Q282" s="228" t="s">
        <v>3240</v>
      </c>
      <c r="R282" s="200"/>
      <c r="S282" s="141" t="s">
        <v>558</v>
      </c>
      <c r="T282" s="241" t="s">
        <v>4696</v>
      </c>
    </row>
    <row r="283" spans="1:20" ht="58" customHeight="1">
      <c r="A283" s="230" t="s">
        <v>2432</v>
      </c>
      <c r="B283" s="41" t="s">
        <v>1533</v>
      </c>
      <c r="C283" s="40" t="s">
        <v>1531</v>
      </c>
      <c r="D283" s="40" t="s">
        <v>564</v>
      </c>
      <c r="E283" s="199" t="s">
        <v>831</v>
      </c>
      <c r="F283" s="199" t="s">
        <v>3367</v>
      </c>
      <c r="G283" s="243" t="s">
        <v>4654</v>
      </c>
      <c r="H283" s="41" t="s">
        <v>3</v>
      </c>
      <c r="I283" s="246" t="s">
        <v>1533</v>
      </c>
      <c r="J283" s="232" t="s">
        <v>3236</v>
      </c>
      <c r="K283" s="161"/>
      <c r="L283" s="240"/>
      <c r="M283" s="240"/>
      <c r="N283" s="160"/>
      <c r="O283" s="139" t="s">
        <v>555</v>
      </c>
      <c r="P283" s="39" t="s">
        <v>563</v>
      </c>
      <c r="Q283" s="228" t="s">
        <v>3240</v>
      </c>
      <c r="R283" s="200"/>
      <c r="S283" s="141" t="s">
        <v>558</v>
      </c>
      <c r="T283" s="241"/>
    </row>
    <row r="284" spans="1:20" ht="58" customHeight="1">
      <c r="A284" s="231" t="s">
        <v>2432</v>
      </c>
      <c r="B284" s="45" t="s">
        <v>1533</v>
      </c>
      <c r="C284" s="44" t="s">
        <v>1531</v>
      </c>
      <c r="D284" s="44" t="s">
        <v>566</v>
      </c>
      <c r="E284" s="244" t="s">
        <v>832</v>
      </c>
      <c r="F284" s="244" t="s">
        <v>3368</v>
      </c>
      <c r="G284" s="245" t="s">
        <v>4655</v>
      </c>
      <c r="H284" s="45" t="s">
        <v>3</v>
      </c>
      <c r="I284" s="247" t="s">
        <v>1533</v>
      </c>
      <c r="J284" s="233" t="s">
        <v>3236</v>
      </c>
      <c r="K284" s="161"/>
      <c r="L284" s="240"/>
      <c r="M284" s="240"/>
      <c r="N284" s="160"/>
      <c r="O284" s="140" t="s">
        <v>555</v>
      </c>
      <c r="P284" s="43" t="s">
        <v>565</v>
      </c>
      <c r="Q284" s="229" t="s">
        <v>3240</v>
      </c>
      <c r="R284" s="201"/>
      <c r="S284" s="142" t="s">
        <v>558</v>
      </c>
      <c r="T284" s="242"/>
    </row>
    <row r="285" spans="1:20" ht="58" customHeight="1">
      <c r="A285" s="231" t="s">
        <v>2432</v>
      </c>
      <c r="B285" s="45" t="s">
        <v>1533</v>
      </c>
      <c r="C285" s="44" t="s">
        <v>1531</v>
      </c>
      <c r="D285" s="44" t="s">
        <v>638</v>
      </c>
      <c r="E285" s="244" t="s">
        <v>863</v>
      </c>
      <c r="F285" s="244" t="s">
        <v>3413</v>
      </c>
      <c r="G285" s="245" t="s">
        <v>3372</v>
      </c>
      <c r="H285" s="45" t="s">
        <v>3</v>
      </c>
      <c r="I285" s="247" t="s">
        <v>1533</v>
      </c>
      <c r="J285" s="233" t="s">
        <v>3236</v>
      </c>
      <c r="K285" s="161"/>
      <c r="L285" s="240"/>
      <c r="M285" s="240"/>
      <c r="N285" s="160"/>
      <c r="O285" s="140" t="s">
        <v>624</v>
      </c>
      <c r="P285" s="43" t="s">
        <v>637</v>
      </c>
      <c r="Q285" s="229" t="s">
        <v>3240</v>
      </c>
      <c r="R285" s="201"/>
      <c r="S285" s="142" t="s">
        <v>627</v>
      </c>
      <c r="T285" s="242"/>
    </row>
    <row r="286" spans="1:20" ht="58" customHeight="1">
      <c r="A286" s="231" t="s">
        <v>2432</v>
      </c>
      <c r="B286" s="45" t="s">
        <v>1533</v>
      </c>
      <c r="C286" s="44" t="s">
        <v>1525</v>
      </c>
      <c r="D286" s="44" t="s">
        <v>529</v>
      </c>
      <c r="E286" s="244" t="s">
        <v>816</v>
      </c>
      <c r="F286" s="244" t="s">
        <v>3347</v>
      </c>
      <c r="G286" s="245" t="s">
        <v>4656</v>
      </c>
      <c r="H286" s="45" t="s">
        <v>3</v>
      </c>
      <c r="I286" s="247" t="s">
        <v>1533</v>
      </c>
      <c r="J286" s="233" t="s">
        <v>3236</v>
      </c>
      <c r="K286" s="161"/>
      <c r="L286" s="240"/>
      <c r="M286" s="240"/>
      <c r="N286" s="160"/>
      <c r="O286" s="140" t="s">
        <v>527</v>
      </c>
      <c r="P286" s="43" t="s">
        <v>528</v>
      </c>
      <c r="Q286" s="229" t="s">
        <v>3240</v>
      </c>
      <c r="R286" s="201"/>
      <c r="S286" s="142" t="s">
        <v>530</v>
      </c>
      <c r="T286" s="242"/>
    </row>
    <row r="287" spans="1:20" ht="58" customHeight="1">
      <c r="A287" s="231" t="s">
        <v>2432</v>
      </c>
      <c r="B287" s="45" t="s">
        <v>1533</v>
      </c>
      <c r="C287" s="44" t="s">
        <v>1525</v>
      </c>
      <c r="D287" s="44" t="s">
        <v>545</v>
      </c>
      <c r="E287" s="244" t="s">
        <v>823</v>
      </c>
      <c r="F287" s="244" t="s">
        <v>3358</v>
      </c>
      <c r="G287" s="245" t="s">
        <v>4657</v>
      </c>
      <c r="H287" s="45" t="s">
        <v>3</v>
      </c>
      <c r="I287" s="247" t="s">
        <v>1533</v>
      </c>
      <c r="J287" s="233" t="s">
        <v>3236</v>
      </c>
      <c r="K287" s="161"/>
      <c r="L287" s="240"/>
      <c r="M287" s="240"/>
      <c r="N287" s="160"/>
      <c r="O287" s="140" t="s">
        <v>527</v>
      </c>
      <c r="P287" s="43" t="s">
        <v>544</v>
      </c>
      <c r="Q287" s="229" t="s">
        <v>3240</v>
      </c>
      <c r="R287" s="201"/>
      <c r="S287" s="142" t="s">
        <v>530</v>
      </c>
      <c r="T287" s="242"/>
    </row>
    <row r="288" spans="1:20" ht="58" customHeight="1">
      <c r="A288" s="231" t="s">
        <v>2432</v>
      </c>
      <c r="B288" s="45" t="s">
        <v>1533</v>
      </c>
      <c r="C288" s="44" t="s">
        <v>1525</v>
      </c>
      <c r="D288" s="44" t="s">
        <v>549</v>
      </c>
      <c r="E288" s="244" t="s">
        <v>825</v>
      </c>
      <c r="F288" s="244" t="s">
        <v>3360</v>
      </c>
      <c r="G288" s="245" t="s">
        <v>4658</v>
      </c>
      <c r="H288" s="45" t="s">
        <v>3</v>
      </c>
      <c r="I288" s="247" t="s">
        <v>1533</v>
      </c>
      <c r="J288" s="233" t="s">
        <v>3236</v>
      </c>
      <c r="K288" s="161"/>
      <c r="L288" s="240"/>
      <c r="M288" s="240"/>
      <c r="N288" s="160"/>
      <c r="O288" s="140" t="s">
        <v>527</v>
      </c>
      <c r="P288" s="43" t="s">
        <v>548</v>
      </c>
      <c r="Q288" s="229" t="s">
        <v>3240</v>
      </c>
      <c r="R288" s="201"/>
      <c r="S288" s="142" t="s">
        <v>530</v>
      </c>
      <c r="T288" s="242"/>
    </row>
    <row r="289" spans="1:20" ht="58" customHeight="1">
      <c r="A289" s="231" t="s">
        <v>2432</v>
      </c>
      <c r="B289" s="45" t="s">
        <v>1533</v>
      </c>
      <c r="C289" s="44" t="s">
        <v>1525</v>
      </c>
      <c r="D289" s="44" t="s">
        <v>569</v>
      </c>
      <c r="E289" s="244" t="s">
        <v>833</v>
      </c>
      <c r="F289" s="244" t="s">
        <v>3369</v>
      </c>
      <c r="G289" s="245" t="s">
        <v>3370</v>
      </c>
      <c r="H289" s="45" t="s">
        <v>3</v>
      </c>
      <c r="I289" s="247" t="s">
        <v>1533</v>
      </c>
      <c r="J289" s="233" t="s">
        <v>3236</v>
      </c>
      <c r="K289" s="161"/>
      <c r="L289" s="240"/>
      <c r="M289" s="240"/>
      <c r="N289" s="160"/>
      <c r="O289" s="140" t="s">
        <v>567</v>
      </c>
      <c r="P289" s="43" t="s">
        <v>568</v>
      </c>
      <c r="Q289" s="229" t="s">
        <v>3240</v>
      </c>
      <c r="R289" s="201"/>
      <c r="S289" s="142" t="s">
        <v>570</v>
      </c>
      <c r="T289" s="242"/>
    </row>
    <row r="290" spans="1:20" ht="58" customHeight="1">
      <c r="A290" s="231" t="s">
        <v>2432</v>
      </c>
      <c r="B290" s="45" t="s">
        <v>1533</v>
      </c>
      <c r="C290" s="44" t="s">
        <v>1525</v>
      </c>
      <c r="D290" s="44" t="s">
        <v>629</v>
      </c>
      <c r="E290" s="244" t="s">
        <v>859</v>
      </c>
      <c r="F290" s="244" t="s">
        <v>3408</v>
      </c>
      <c r="G290" s="245" t="s">
        <v>4659</v>
      </c>
      <c r="H290" s="45" t="s">
        <v>3</v>
      </c>
      <c r="I290" s="247" t="s">
        <v>1533</v>
      </c>
      <c r="J290" s="233" t="s">
        <v>3236</v>
      </c>
      <c r="K290" s="161"/>
      <c r="L290" s="240"/>
      <c r="M290" s="240"/>
      <c r="N290" s="160"/>
      <c r="O290" s="140" t="s">
        <v>624</v>
      </c>
      <c r="P290" s="43" t="s">
        <v>628</v>
      </c>
      <c r="Q290" s="229" t="s">
        <v>3240</v>
      </c>
      <c r="R290" s="201"/>
      <c r="S290" s="142" t="s">
        <v>630</v>
      </c>
      <c r="T290" s="242"/>
    </row>
    <row r="291" spans="1:20" ht="58" customHeight="1">
      <c r="A291" s="231" t="s">
        <v>2432</v>
      </c>
      <c r="B291" s="45" t="s">
        <v>1533</v>
      </c>
      <c r="C291" s="44" t="s">
        <v>1525</v>
      </c>
      <c r="D291" s="44" t="s">
        <v>634</v>
      </c>
      <c r="E291" s="244" t="s">
        <v>861</v>
      </c>
      <c r="F291" s="244" t="s">
        <v>3411</v>
      </c>
      <c r="G291" s="245" t="s">
        <v>3372</v>
      </c>
      <c r="H291" s="45" t="s">
        <v>3</v>
      </c>
      <c r="I291" s="247" t="s">
        <v>1533</v>
      </c>
      <c r="J291" s="233" t="s">
        <v>3236</v>
      </c>
      <c r="K291" s="161"/>
      <c r="L291" s="240"/>
      <c r="M291" s="240"/>
      <c r="N291" s="160"/>
      <c r="O291" s="140" t="s">
        <v>624</v>
      </c>
      <c r="P291" s="43" t="s">
        <v>633</v>
      </c>
      <c r="Q291" s="229" t="s">
        <v>3240</v>
      </c>
      <c r="R291" s="201"/>
      <c r="S291" s="142" t="s">
        <v>627</v>
      </c>
      <c r="T291" s="242"/>
    </row>
    <row r="292" spans="1:20" ht="58" customHeight="1">
      <c r="A292" s="231" t="s">
        <v>2432</v>
      </c>
      <c r="B292" s="45" t="s">
        <v>1533</v>
      </c>
      <c r="C292" s="44" t="s">
        <v>1524</v>
      </c>
      <c r="D292" s="44" t="s">
        <v>543</v>
      </c>
      <c r="E292" s="244" t="s">
        <v>822</v>
      </c>
      <c r="F292" s="244" t="s">
        <v>3356</v>
      </c>
      <c r="G292" s="245" t="s">
        <v>3357</v>
      </c>
      <c r="H292" s="45" t="s">
        <v>3</v>
      </c>
      <c r="I292" s="247" t="s">
        <v>1533</v>
      </c>
      <c r="J292" s="233" t="s">
        <v>3236</v>
      </c>
      <c r="K292" s="161"/>
      <c r="L292" s="240"/>
      <c r="M292" s="240"/>
      <c r="N292" s="160"/>
      <c r="O292" s="140" t="s">
        <v>527</v>
      </c>
      <c r="P292" s="43" t="s">
        <v>542</v>
      </c>
      <c r="Q292" s="229" t="s">
        <v>3240</v>
      </c>
      <c r="R292" s="201" t="s">
        <v>3014</v>
      </c>
      <c r="S292" s="142" t="s">
        <v>530</v>
      </c>
      <c r="T292" s="242"/>
    </row>
    <row r="293" spans="1:20" ht="58" customHeight="1">
      <c r="A293" s="231" t="s">
        <v>2432</v>
      </c>
      <c r="B293" s="45" t="s">
        <v>1533</v>
      </c>
      <c r="C293" s="44" t="s">
        <v>1524</v>
      </c>
      <c r="D293" s="44" t="s">
        <v>623</v>
      </c>
      <c r="E293" s="244" t="s">
        <v>3878</v>
      </c>
      <c r="F293" s="244" t="s">
        <v>3405</v>
      </c>
      <c r="G293" s="245" t="s">
        <v>3879</v>
      </c>
      <c r="H293" s="45" t="s">
        <v>3</v>
      </c>
      <c r="I293" s="247" t="s">
        <v>1533</v>
      </c>
      <c r="J293" s="233" t="s">
        <v>3236</v>
      </c>
      <c r="K293" s="161"/>
      <c r="L293" s="240"/>
      <c r="M293" s="240"/>
      <c r="N293" s="160"/>
      <c r="O293" s="140" t="s">
        <v>585</v>
      </c>
      <c r="P293" s="43" t="s">
        <v>622</v>
      </c>
      <c r="Q293" s="229" t="s">
        <v>3240</v>
      </c>
      <c r="R293" s="201"/>
      <c r="S293" s="142" t="s">
        <v>588</v>
      </c>
      <c r="T293" s="242" t="s">
        <v>3880</v>
      </c>
    </row>
    <row r="294" spans="1:20" ht="58" customHeight="1">
      <c r="A294" s="231" t="s">
        <v>2432</v>
      </c>
      <c r="B294" s="45" t="s">
        <v>1533</v>
      </c>
      <c r="C294" s="44" t="s">
        <v>1526</v>
      </c>
      <c r="D294" s="44" t="s">
        <v>600</v>
      </c>
      <c r="E294" s="244" t="s">
        <v>847</v>
      </c>
      <c r="F294" s="244" t="s">
        <v>3388</v>
      </c>
      <c r="G294" s="245" t="s">
        <v>3389</v>
      </c>
      <c r="H294" s="45" t="s">
        <v>3</v>
      </c>
      <c r="I294" s="247" t="s">
        <v>1533</v>
      </c>
      <c r="J294" s="233" t="s">
        <v>3236</v>
      </c>
      <c r="K294" s="161"/>
      <c r="L294" s="240"/>
      <c r="M294" s="240"/>
      <c r="N294" s="160"/>
      <c r="O294" s="140" t="s">
        <v>585</v>
      </c>
      <c r="P294" s="43" t="s">
        <v>599</v>
      </c>
      <c r="Q294" s="229" t="s">
        <v>3240</v>
      </c>
      <c r="R294" s="201"/>
      <c r="S294" s="142" t="s">
        <v>588</v>
      </c>
      <c r="T294" s="242"/>
    </row>
    <row r="295" spans="1:20" ht="58" customHeight="1">
      <c r="A295" s="231" t="s">
        <v>2432</v>
      </c>
      <c r="B295" s="45" t="s">
        <v>1533</v>
      </c>
      <c r="C295" s="44" t="s">
        <v>1526</v>
      </c>
      <c r="D295" s="44" t="s">
        <v>610</v>
      </c>
      <c r="E295" s="244" t="s">
        <v>852</v>
      </c>
      <c r="F295" s="244" t="s">
        <v>3397</v>
      </c>
      <c r="G295" s="245" t="s">
        <v>4660</v>
      </c>
      <c r="H295" s="45" t="s">
        <v>3</v>
      </c>
      <c r="I295" s="247" t="s">
        <v>1533</v>
      </c>
      <c r="J295" s="233" t="s">
        <v>3236</v>
      </c>
      <c r="K295" s="161"/>
      <c r="L295" s="240"/>
      <c r="M295" s="240"/>
      <c r="N295" s="160"/>
      <c r="O295" s="140" t="s">
        <v>585</v>
      </c>
      <c r="P295" s="43" t="s">
        <v>609</v>
      </c>
      <c r="Q295" s="229" t="s">
        <v>3240</v>
      </c>
      <c r="R295" s="201"/>
      <c r="S295" s="142" t="s">
        <v>588</v>
      </c>
      <c r="T295" s="242"/>
    </row>
    <row r="296" spans="1:20" ht="58" customHeight="1">
      <c r="A296" s="231" t="s">
        <v>2432</v>
      </c>
      <c r="B296" s="45" t="s">
        <v>1533</v>
      </c>
      <c r="C296" s="44" t="s">
        <v>1526</v>
      </c>
      <c r="D296" s="44" t="s">
        <v>612</v>
      </c>
      <c r="E296" s="244" t="s">
        <v>853</v>
      </c>
      <c r="F296" s="244" t="s">
        <v>3398</v>
      </c>
      <c r="G296" s="245" t="s">
        <v>3372</v>
      </c>
      <c r="H296" s="45" t="s">
        <v>3</v>
      </c>
      <c r="I296" s="247" t="s">
        <v>1533</v>
      </c>
      <c r="J296" s="233" t="s">
        <v>3236</v>
      </c>
      <c r="K296" s="161"/>
      <c r="L296" s="240"/>
      <c r="M296" s="240"/>
      <c r="N296" s="160"/>
      <c r="O296" s="140" t="s">
        <v>585</v>
      </c>
      <c r="P296" s="43" t="s">
        <v>611</v>
      </c>
      <c r="Q296" s="229" t="s">
        <v>3240</v>
      </c>
      <c r="R296" s="201"/>
      <c r="S296" s="142" t="s">
        <v>588</v>
      </c>
      <c r="T296" s="242"/>
    </row>
    <row r="297" spans="1:20" ht="58" customHeight="1">
      <c r="A297" s="231" t="s">
        <v>2432</v>
      </c>
      <c r="B297" s="45" t="s">
        <v>1533</v>
      </c>
      <c r="C297" s="44" t="s">
        <v>1526</v>
      </c>
      <c r="D297" s="44" t="s">
        <v>614</v>
      </c>
      <c r="E297" s="244" t="s">
        <v>854</v>
      </c>
      <c r="F297" s="244" t="s">
        <v>3399</v>
      </c>
      <c r="G297" s="245" t="s">
        <v>3372</v>
      </c>
      <c r="H297" s="45" t="s">
        <v>3</v>
      </c>
      <c r="I297" s="247" t="s">
        <v>1533</v>
      </c>
      <c r="J297" s="233" t="s">
        <v>3236</v>
      </c>
      <c r="K297" s="161"/>
      <c r="L297" s="240"/>
      <c r="M297" s="240"/>
      <c r="N297" s="160"/>
      <c r="O297" s="140" t="s">
        <v>585</v>
      </c>
      <c r="P297" s="43" t="s">
        <v>613</v>
      </c>
      <c r="Q297" s="229" t="s">
        <v>3240</v>
      </c>
      <c r="R297" s="201"/>
      <c r="S297" s="142" t="s">
        <v>588</v>
      </c>
      <c r="T297" s="242"/>
    </row>
    <row r="298" spans="1:20" ht="58" customHeight="1">
      <c r="A298" s="231" t="s">
        <v>2432</v>
      </c>
      <c r="B298" s="45" t="s">
        <v>1533</v>
      </c>
      <c r="C298" s="44" t="s">
        <v>1526</v>
      </c>
      <c r="D298" s="44" t="s">
        <v>642</v>
      </c>
      <c r="E298" s="244" t="s">
        <v>865</v>
      </c>
      <c r="F298" s="244" t="s">
        <v>3416</v>
      </c>
      <c r="G298" s="245" t="s">
        <v>3372</v>
      </c>
      <c r="H298" s="45" t="s">
        <v>3</v>
      </c>
      <c r="I298" s="247" t="s">
        <v>1533</v>
      </c>
      <c r="J298" s="233" t="s">
        <v>3236</v>
      </c>
      <c r="K298" s="161"/>
      <c r="L298" s="240"/>
      <c r="M298" s="240"/>
      <c r="N298" s="160"/>
      <c r="O298" s="140" t="s">
        <v>624</v>
      </c>
      <c r="P298" s="43" t="s">
        <v>641</v>
      </c>
      <c r="Q298" s="229" t="s">
        <v>3240</v>
      </c>
      <c r="R298" s="201"/>
      <c r="S298" s="142" t="s">
        <v>627</v>
      </c>
      <c r="T298" s="242"/>
    </row>
    <row r="299" spans="1:20" ht="58" customHeight="1">
      <c r="A299" s="231" t="s">
        <v>2432</v>
      </c>
      <c r="B299" s="45" t="s">
        <v>1533</v>
      </c>
      <c r="C299" s="44" t="s">
        <v>1526</v>
      </c>
      <c r="D299" s="44" t="s">
        <v>654</v>
      </c>
      <c r="E299" s="244" t="s">
        <v>869</v>
      </c>
      <c r="F299" s="244" t="s">
        <v>3422</v>
      </c>
      <c r="G299" s="245" t="s">
        <v>4697</v>
      </c>
      <c r="H299" s="45" t="s">
        <v>3</v>
      </c>
      <c r="I299" s="247" t="s">
        <v>1533</v>
      </c>
      <c r="J299" s="233" t="s">
        <v>3236</v>
      </c>
      <c r="K299" s="161"/>
      <c r="L299" s="240"/>
      <c r="M299" s="240"/>
      <c r="N299" s="160"/>
      <c r="O299" s="140" t="s">
        <v>643</v>
      </c>
      <c r="P299" s="43" t="s">
        <v>653</v>
      </c>
      <c r="Q299" s="229" t="s">
        <v>3240</v>
      </c>
      <c r="R299" s="201"/>
      <c r="S299" s="142" t="s">
        <v>649</v>
      </c>
      <c r="T299" s="242" t="s">
        <v>4698</v>
      </c>
    </row>
    <row r="300" spans="1:20" ht="58" customHeight="1">
      <c r="A300" s="231" t="s">
        <v>2432</v>
      </c>
      <c r="B300" s="45" t="s">
        <v>1533</v>
      </c>
      <c r="C300" s="44" t="s">
        <v>1528</v>
      </c>
      <c r="D300" s="44" t="s">
        <v>582</v>
      </c>
      <c r="E300" s="244" t="s">
        <v>839</v>
      </c>
      <c r="F300" s="244" t="s">
        <v>3377</v>
      </c>
      <c r="G300" s="245" t="s">
        <v>3378</v>
      </c>
      <c r="H300" s="45" t="s">
        <v>3</v>
      </c>
      <c r="I300" s="247" t="s">
        <v>1533</v>
      </c>
      <c r="J300" s="233" t="s">
        <v>3236</v>
      </c>
      <c r="K300" s="161"/>
      <c r="L300" s="240"/>
      <c r="M300" s="240"/>
      <c r="N300" s="160"/>
      <c r="O300" s="140" t="s">
        <v>567</v>
      </c>
      <c r="P300" s="43" t="s">
        <v>581</v>
      </c>
      <c r="Q300" s="229" t="s">
        <v>3240</v>
      </c>
      <c r="R300" s="201"/>
      <c r="S300" s="142" t="s">
        <v>570</v>
      </c>
      <c r="T300" s="242"/>
    </row>
    <row r="301" spans="1:20" ht="58" customHeight="1">
      <c r="A301" s="231" t="s">
        <v>2432</v>
      </c>
      <c r="B301" s="45" t="s">
        <v>1533</v>
      </c>
      <c r="C301" s="44" t="s">
        <v>1528</v>
      </c>
      <c r="D301" s="44" t="s">
        <v>651</v>
      </c>
      <c r="E301" s="244" t="s">
        <v>868</v>
      </c>
      <c r="F301" s="244" t="s">
        <v>3421</v>
      </c>
      <c r="G301" s="245" t="s">
        <v>4699</v>
      </c>
      <c r="H301" s="45" t="s">
        <v>3</v>
      </c>
      <c r="I301" s="247" t="s">
        <v>1533</v>
      </c>
      <c r="J301" s="233" t="s">
        <v>3236</v>
      </c>
      <c r="K301" s="161"/>
      <c r="L301" s="240"/>
      <c r="M301" s="240"/>
      <c r="N301" s="160"/>
      <c r="O301" s="140" t="s">
        <v>643</v>
      </c>
      <c r="P301" s="43" t="s">
        <v>650</v>
      </c>
      <c r="Q301" s="229" t="s">
        <v>3240</v>
      </c>
      <c r="R301" s="201"/>
      <c r="S301" s="142" t="s">
        <v>652</v>
      </c>
      <c r="T301" s="242" t="s">
        <v>4700</v>
      </c>
    </row>
    <row r="302" spans="1:20" ht="58" customHeight="1">
      <c r="A302" s="231" t="s">
        <v>2432</v>
      </c>
      <c r="B302" s="45" t="s">
        <v>1533</v>
      </c>
      <c r="C302" s="44" t="s">
        <v>1527</v>
      </c>
      <c r="D302" s="44" t="s">
        <v>551</v>
      </c>
      <c r="E302" s="244" t="s">
        <v>826</v>
      </c>
      <c r="F302" s="244" t="s">
        <v>3361</v>
      </c>
      <c r="G302" s="245" t="s">
        <v>4661</v>
      </c>
      <c r="H302" s="45" t="s">
        <v>3</v>
      </c>
      <c r="I302" s="247" t="s">
        <v>1533</v>
      </c>
      <c r="J302" s="233" t="s">
        <v>3236</v>
      </c>
      <c r="K302" s="161"/>
      <c r="L302" s="240"/>
      <c r="M302" s="240"/>
      <c r="N302" s="160"/>
      <c r="O302" s="140" t="s">
        <v>527</v>
      </c>
      <c r="P302" s="43" t="s">
        <v>550</v>
      </c>
      <c r="Q302" s="229" t="s">
        <v>3240</v>
      </c>
      <c r="R302" s="201"/>
      <c r="S302" s="142" t="s">
        <v>530</v>
      </c>
      <c r="T302" s="242"/>
    </row>
    <row r="303" spans="1:20" ht="58" customHeight="1">
      <c r="A303" s="231" t="s">
        <v>2432</v>
      </c>
      <c r="B303" s="45" t="s">
        <v>1533</v>
      </c>
      <c r="C303" s="44" t="s">
        <v>1527</v>
      </c>
      <c r="D303" s="44" t="s">
        <v>598</v>
      </c>
      <c r="E303" s="244" t="s">
        <v>846</v>
      </c>
      <c r="F303" s="244" t="s">
        <v>3387</v>
      </c>
      <c r="G303" s="245" t="s">
        <v>4662</v>
      </c>
      <c r="H303" s="45" t="s">
        <v>3</v>
      </c>
      <c r="I303" s="247" t="s">
        <v>1533</v>
      </c>
      <c r="J303" s="233" t="s">
        <v>3236</v>
      </c>
      <c r="K303" s="161"/>
      <c r="L303" s="240"/>
      <c r="M303" s="240"/>
      <c r="N303" s="160"/>
      <c r="O303" s="140" t="s">
        <v>585</v>
      </c>
      <c r="P303" s="43" t="s">
        <v>597</v>
      </c>
      <c r="Q303" s="229" t="s">
        <v>3240</v>
      </c>
      <c r="R303" s="201"/>
      <c r="S303" s="142" t="s">
        <v>588</v>
      </c>
      <c r="T303" s="242"/>
    </row>
    <row r="304" spans="1:20" ht="58" customHeight="1">
      <c r="A304" s="231" t="s">
        <v>2432</v>
      </c>
      <c r="B304" s="45" t="s">
        <v>1533</v>
      </c>
      <c r="C304" s="44" t="s">
        <v>1527</v>
      </c>
      <c r="D304" s="44" t="s">
        <v>626</v>
      </c>
      <c r="E304" s="244" t="s">
        <v>858</v>
      </c>
      <c r="F304" s="244" t="s">
        <v>3406</v>
      </c>
      <c r="G304" s="245" t="s">
        <v>3407</v>
      </c>
      <c r="H304" s="45" t="s">
        <v>3</v>
      </c>
      <c r="I304" s="247" t="s">
        <v>1533</v>
      </c>
      <c r="J304" s="233" t="s">
        <v>3236</v>
      </c>
      <c r="K304" s="161"/>
      <c r="L304" s="240"/>
      <c r="M304" s="240"/>
      <c r="N304" s="160"/>
      <c r="O304" s="140" t="s">
        <v>624</v>
      </c>
      <c r="P304" s="43" t="s">
        <v>625</v>
      </c>
      <c r="Q304" s="229" t="s">
        <v>3240</v>
      </c>
      <c r="R304" s="201"/>
      <c r="S304" s="142" t="s">
        <v>627</v>
      </c>
      <c r="T304" s="242"/>
    </row>
    <row r="305" spans="1:20" ht="58" customHeight="1">
      <c r="A305" s="231" t="s">
        <v>2432</v>
      </c>
      <c r="B305" s="45" t="s">
        <v>1533</v>
      </c>
      <c r="C305" s="44" t="s">
        <v>1527</v>
      </c>
      <c r="D305" s="44" t="s">
        <v>636</v>
      </c>
      <c r="E305" s="244" t="s">
        <v>862</v>
      </c>
      <c r="F305" s="244" t="s">
        <v>3412</v>
      </c>
      <c r="G305" s="245" t="s">
        <v>4663</v>
      </c>
      <c r="H305" s="45" t="s">
        <v>3</v>
      </c>
      <c r="I305" s="247" t="s">
        <v>1533</v>
      </c>
      <c r="J305" s="233" t="s">
        <v>3236</v>
      </c>
      <c r="K305" s="161"/>
      <c r="L305" s="240"/>
      <c r="M305" s="240"/>
      <c r="N305" s="160"/>
      <c r="O305" s="140" t="s">
        <v>624</v>
      </c>
      <c r="P305" s="43" t="s">
        <v>635</v>
      </c>
      <c r="Q305" s="229" t="s">
        <v>3240</v>
      </c>
      <c r="R305" s="201"/>
      <c r="S305" s="142" t="s">
        <v>627</v>
      </c>
      <c r="T305" s="242"/>
    </row>
    <row r="306" spans="1:20" ht="58" customHeight="1">
      <c r="A306" s="231" t="s">
        <v>2432</v>
      </c>
      <c r="B306" s="45" t="s">
        <v>1533</v>
      </c>
      <c r="C306" s="44" t="s">
        <v>1527</v>
      </c>
      <c r="D306" s="44" t="s">
        <v>640</v>
      </c>
      <c r="E306" s="244" t="s">
        <v>864</v>
      </c>
      <c r="F306" s="244" t="s">
        <v>3414</v>
      </c>
      <c r="G306" s="245" t="s">
        <v>3415</v>
      </c>
      <c r="H306" s="45" t="s">
        <v>3</v>
      </c>
      <c r="I306" s="247" t="s">
        <v>1533</v>
      </c>
      <c r="J306" s="233" t="s">
        <v>3236</v>
      </c>
      <c r="K306" s="161"/>
      <c r="L306" s="240"/>
      <c r="M306" s="240"/>
      <c r="N306" s="160"/>
      <c r="O306" s="140" t="s">
        <v>624</v>
      </c>
      <c r="P306" s="43" t="s">
        <v>639</v>
      </c>
      <c r="Q306" s="229" t="s">
        <v>3240</v>
      </c>
      <c r="R306" s="201"/>
      <c r="S306" s="142" t="s">
        <v>627</v>
      </c>
      <c r="T306" s="242"/>
    </row>
    <row r="307" spans="1:20" ht="58" customHeight="1">
      <c r="A307" s="231" t="s">
        <v>2432</v>
      </c>
      <c r="B307" s="45" t="s">
        <v>1533</v>
      </c>
      <c r="C307" s="44" t="s">
        <v>1527</v>
      </c>
      <c r="D307" s="44" t="s">
        <v>657</v>
      </c>
      <c r="E307" s="244" t="s">
        <v>870</v>
      </c>
      <c r="F307" s="244" t="s">
        <v>3423</v>
      </c>
      <c r="G307" s="245" t="s">
        <v>3424</v>
      </c>
      <c r="H307" s="45" t="s">
        <v>3</v>
      </c>
      <c r="I307" s="247" t="s">
        <v>1533</v>
      </c>
      <c r="J307" s="233" t="s">
        <v>3236</v>
      </c>
      <c r="K307" s="161"/>
      <c r="L307" s="240"/>
      <c r="M307" s="240"/>
      <c r="N307" s="160"/>
      <c r="O307" s="140" t="s">
        <v>655</v>
      </c>
      <c r="P307" s="43" t="s">
        <v>656</v>
      </c>
      <c r="Q307" s="229" t="s">
        <v>3240</v>
      </c>
      <c r="R307" s="201"/>
      <c r="S307" s="142" t="s">
        <v>658</v>
      </c>
      <c r="T307" s="242"/>
    </row>
    <row r="308" spans="1:20" ht="58" customHeight="1">
      <c r="A308" s="231" t="s">
        <v>2432</v>
      </c>
      <c r="B308" s="45" t="s">
        <v>1533</v>
      </c>
      <c r="C308" s="44" t="s">
        <v>1527</v>
      </c>
      <c r="D308" s="44" t="s">
        <v>660</v>
      </c>
      <c r="E308" s="244" t="s">
        <v>871</v>
      </c>
      <c r="F308" s="244" t="s">
        <v>3425</v>
      </c>
      <c r="G308" s="245" t="s">
        <v>3426</v>
      </c>
      <c r="H308" s="45" t="s">
        <v>955</v>
      </c>
      <c r="I308" s="247" t="s">
        <v>1533</v>
      </c>
      <c r="J308" s="233" t="s">
        <v>3236</v>
      </c>
      <c r="K308" s="161"/>
      <c r="L308" s="240"/>
      <c r="M308" s="240"/>
      <c r="N308" s="160"/>
      <c r="O308" s="140" t="s">
        <v>655</v>
      </c>
      <c r="P308" s="43" t="s">
        <v>659</v>
      </c>
      <c r="Q308" s="229" t="s">
        <v>3240</v>
      </c>
      <c r="R308" s="201"/>
      <c r="S308" s="142" t="s">
        <v>658</v>
      </c>
      <c r="T308" s="242"/>
    </row>
    <row r="309" spans="1:20" ht="58" customHeight="1">
      <c r="A309" s="231" t="s">
        <v>2432</v>
      </c>
      <c r="B309" s="45" t="s">
        <v>1533</v>
      </c>
      <c r="C309" s="44" t="s">
        <v>1527</v>
      </c>
      <c r="D309" s="44" t="s">
        <v>662</v>
      </c>
      <c r="E309" s="244" t="s">
        <v>872</v>
      </c>
      <c r="F309" s="244" t="s">
        <v>3427</v>
      </c>
      <c r="G309" s="245" t="s">
        <v>3428</v>
      </c>
      <c r="H309" s="45" t="s">
        <v>3</v>
      </c>
      <c r="I309" s="247" t="s">
        <v>1533</v>
      </c>
      <c r="J309" s="233" t="s">
        <v>3236</v>
      </c>
      <c r="K309" s="161"/>
      <c r="L309" s="240"/>
      <c r="M309" s="240"/>
      <c r="N309" s="160"/>
      <c r="O309" s="140" t="s">
        <v>655</v>
      </c>
      <c r="P309" s="43" t="s">
        <v>661</v>
      </c>
      <c r="Q309" s="229" t="s">
        <v>3240</v>
      </c>
      <c r="R309" s="201"/>
      <c r="S309" s="142" t="s">
        <v>658</v>
      </c>
      <c r="T309" s="242"/>
    </row>
    <row r="310" spans="1:20" ht="58" customHeight="1">
      <c r="A310" s="231" t="s">
        <v>2432</v>
      </c>
      <c r="B310" s="45" t="s">
        <v>1533</v>
      </c>
      <c r="C310" s="44" t="s">
        <v>1529</v>
      </c>
      <c r="D310" s="44" t="s">
        <v>632</v>
      </c>
      <c r="E310" s="244" t="s">
        <v>860</v>
      </c>
      <c r="F310" s="244" t="s">
        <v>3409</v>
      </c>
      <c r="G310" s="245" t="s">
        <v>3410</v>
      </c>
      <c r="H310" s="45" t="s">
        <v>3</v>
      </c>
      <c r="I310" s="247" t="s">
        <v>1533</v>
      </c>
      <c r="J310" s="233" t="s">
        <v>3236</v>
      </c>
      <c r="K310" s="161"/>
      <c r="L310" s="240"/>
      <c r="M310" s="240"/>
      <c r="N310" s="160"/>
      <c r="O310" s="140" t="s">
        <v>624</v>
      </c>
      <c r="P310" s="43" t="s">
        <v>631</v>
      </c>
      <c r="Q310" s="229" t="s">
        <v>3240</v>
      </c>
      <c r="R310" s="201"/>
      <c r="S310" s="142" t="s">
        <v>627</v>
      </c>
      <c r="T310" s="242"/>
    </row>
    <row r="311" spans="1:20" ht="58" customHeight="1">
      <c r="A311" s="231" t="s">
        <v>2432</v>
      </c>
      <c r="B311" s="45" t="s">
        <v>1533</v>
      </c>
      <c r="C311" s="44" t="s">
        <v>1534</v>
      </c>
      <c r="D311" s="44" t="s">
        <v>572</v>
      </c>
      <c r="E311" s="244" t="s">
        <v>834</v>
      </c>
      <c r="F311" s="244" t="s">
        <v>3371</v>
      </c>
      <c r="G311" s="245" t="s">
        <v>3372</v>
      </c>
      <c r="H311" s="45" t="s">
        <v>3</v>
      </c>
      <c r="I311" s="247" t="s">
        <v>1533</v>
      </c>
      <c r="J311" s="233" t="s">
        <v>3236</v>
      </c>
      <c r="K311" s="161"/>
      <c r="L311" s="240"/>
      <c r="M311" s="240"/>
      <c r="N311" s="160"/>
      <c r="O311" s="140" t="s">
        <v>567</v>
      </c>
      <c r="P311" s="43" t="s">
        <v>571</v>
      </c>
      <c r="Q311" s="229" t="s">
        <v>3240</v>
      </c>
      <c r="R311" s="201"/>
      <c r="S311" s="142" t="s">
        <v>570</v>
      </c>
      <c r="T311" s="242"/>
    </row>
    <row r="312" spans="1:20" ht="58" customHeight="1">
      <c r="A312" s="231" t="s">
        <v>2432</v>
      </c>
      <c r="B312" s="45" t="s">
        <v>1533</v>
      </c>
      <c r="C312" s="44" t="s">
        <v>1534</v>
      </c>
      <c r="D312" s="44" t="s">
        <v>574</v>
      </c>
      <c r="E312" s="244" t="s">
        <v>835</v>
      </c>
      <c r="F312" s="244" t="s">
        <v>3373</v>
      </c>
      <c r="G312" s="245" t="s">
        <v>4664</v>
      </c>
      <c r="H312" s="45" t="s">
        <v>3</v>
      </c>
      <c r="I312" s="247" t="s">
        <v>1533</v>
      </c>
      <c r="J312" s="233" t="s">
        <v>3236</v>
      </c>
      <c r="K312" s="161"/>
      <c r="L312" s="240"/>
      <c r="M312" s="240"/>
      <c r="N312" s="160"/>
      <c r="O312" s="140" t="s">
        <v>567</v>
      </c>
      <c r="P312" s="43" t="s">
        <v>573</v>
      </c>
      <c r="Q312" s="229" t="s">
        <v>3240</v>
      </c>
      <c r="R312" s="201"/>
      <c r="S312" s="142" t="s">
        <v>570</v>
      </c>
      <c r="T312" s="242"/>
    </row>
    <row r="313" spans="1:20" ht="58" customHeight="1">
      <c r="A313" s="231" t="s">
        <v>2432</v>
      </c>
      <c r="B313" s="45" t="s">
        <v>1533</v>
      </c>
      <c r="C313" s="44" t="s">
        <v>1534</v>
      </c>
      <c r="D313" s="44" t="s">
        <v>576</v>
      </c>
      <c r="E313" s="244" t="s">
        <v>836</v>
      </c>
      <c r="F313" s="244" t="s">
        <v>3374</v>
      </c>
      <c r="G313" s="245" t="s">
        <v>3372</v>
      </c>
      <c r="H313" s="45" t="s">
        <v>3</v>
      </c>
      <c r="I313" s="247" t="s">
        <v>1533</v>
      </c>
      <c r="J313" s="233" t="s">
        <v>3236</v>
      </c>
      <c r="K313" s="161"/>
      <c r="L313" s="240"/>
      <c r="M313" s="240"/>
      <c r="N313" s="160"/>
      <c r="O313" s="140" t="s">
        <v>567</v>
      </c>
      <c r="P313" s="43" t="s">
        <v>575</v>
      </c>
      <c r="Q313" s="229" t="s">
        <v>3240</v>
      </c>
      <c r="R313" s="201"/>
      <c r="S313" s="142" t="s">
        <v>570</v>
      </c>
      <c r="T313" s="242"/>
    </row>
    <row r="314" spans="1:20" ht="58" customHeight="1">
      <c r="A314" s="231" t="s">
        <v>2432</v>
      </c>
      <c r="B314" s="45" t="s">
        <v>1533</v>
      </c>
      <c r="C314" s="44" t="s">
        <v>1534</v>
      </c>
      <c r="D314" s="44" t="s">
        <v>578</v>
      </c>
      <c r="E314" s="244" t="s">
        <v>837</v>
      </c>
      <c r="F314" s="244" t="s">
        <v>3375</v>
      </c>
      <c r="G314" s="245" t="s">
        <v>3372</v>
      </c>
      <c r="H314" s="45" t="s">
        <v>3</v>
      </c>
      <c r="I314" s="247" t="s">
        <v>1533</v>
      </c>
      <c r="J314" s="233" t="s">
        <v>3236</v>
      </c>
      <c r="K314" s="161"/>
      <c r="L314" s="240"/>
      <c r="M314" s="240"/>
      <c r="N314" s="160"/>
      <c r="O314" s="140" t="s">
        <v>567</v>
      </c>
      <c r="P314" s="43" t="s">
        <v>577</v>
      </c>
      <c r="Q314" s="229" t="s">
        <v>3240</v>
      </c>
      <c r="R314" s="201"/>
      <c r="S314" s="142" t="s">
        <v>570</v>
      </c>
      <c r="T314" s="242"/>
    </row>
    <row r="315" spans="1:20" ht="58" customHeight="1">
      <c r="A315" s="231" t="s">
        <v>2432</v>
      </c>
      <c r="B315" s="45" t="s">
        <v>1533</v>
      </c>
      <c r="C315" s="44" t="s">
        <v>1534</v>
      </c>
      <c r="D315" s="44" t="s">
        <v>580</v>
      </c>
      <c r="E315" s="244" t="s">
        <v>838</v>
      </c>
      <c r="F315" s="244" t="s">
        <v>3376</v>
      </c>
      <c r="G315" s="245" t="s">
        <v>3372</v>
      </c>
      <c r="H315" s="45" t="s">
        <v>3</v>
      </c>
      <c r="I315" s="247" t="s">
        <v>1533</v>
      </c>
      <c r="J315" s="233" t="s">
        <v>3236</v>
      </c>
      <c r="K315" s="161"/>
      <c r="L315" s="240"/>
      <c r="M315" s="240"/>
      <c r="N315" s="160"/>
      <c r="O315" s="140" t="s">
        <v>567</v>
      </c>
      <c r="P315" s="43" t="s">
        <v>579</v>
      </c>
      <c r="Q315" s="229" t="s">
        <v>3240</v>
      </c>
      <c r="R315" s="201"/>
      <c r="S315" s="142" t="s">
        <v>570</v>
      </c>
      <c r="T315" s="242"/>
    </row>
    <row r="316" spans="1:20" ht="58" customHeight="1">
      <c r="A316" s="231" t="s">
        <v>2432</v>
      </c>
      <c r="B316" s="45" t="s">
        <v>1533</v>
      </c>
      <c r="C316" s="44" t="s">
        <v>1534</v>
      </c>
      <c r="D316" s="44" t="s">
        <v>645</v>
      </c>
      <c r="E316" s="244" t="s">
        <v>866</v>
      </c>
      <c r="F316" s="244" t="s">
        <v>3417</v>
      </c>
      <c r="G316" s="245" t="s">
        <v>3418</v>
      </c>
      <c r="H316" s="45" t="s">
        <v>3</v>
      </c>
      <c r="I316" s="247" t="s">
        <v>1533</v>
      </c>
      <c r="J316" s="233" t="s">
        <v>3236</v>
      </c>
      <c r="K316" s="161"/>
      <c r="L316" s="240"/>
      <c r="M316" s="240"/>
      <c r="N316" s="160"/>
      <c r="O316" s="140" t="s">
        <v>643</v>
      </c>
      <c r="P316" s="43" t="s">
        <v>644</v>
      </c>
      <c r="Q316" s="229" t="s">
        <v>3240</v>
      </c>
      <c r="R316" s="201"/>
      <c r="S316" s="142" t="s">
        <v>646</v>
      </c>
      <c r="T316" s="242"/>
    </row>
    <row r="317" spans="1:20" ht="58" customHeight="1">
      <c r="A317" s="231" t="s">
        <v>2432</v>
      </c>
      <c r="B317" s="45" t="s">
        <v>1533</v>
      </c>
      <c r="C317" s="44" t="s">
        <v>1534</v>
      </c>
      <c r="D317" s="44" t="s">
        <v>648</v>
      </c>
      <c r="E317" s="244" t="s">
        <v>867</v>
      </c>
      <c r="F317" s="244" t="s">
        <v>3419</v>
      </c>
      <c r="G317" s="245" t="s">
        <v>3420</v>
      </c>
      <c r="H317" s="45" t="s">
        <v>1516</v>
      </c>
      <c r="I317" s="247" t="s">
        <v>1533</v>
      </c>
      <c r="J317" s="233" t="s">
        <v>3236</v>
      </c>
      <c r="K317" s="161"/>
      <c r="L317" s="240"/>
      <c r="M317" s="240"/>
      <c r="N317" s="160"/>
      <c r="O317" s="140" t="s">
        <v>643</v>
      </c>
      <c r="P317" s="43" t="s">
        <v>647</v>
      </c>
      <c r="Q317" s="229" t="s">
        <v>3240</v>
      </c>
      <c r="R317" s="201"/>
      <c r="S317" s="142" t="s">
        <v>649</v>
      </c>
      <c r="T317" s="242" t="s">
        <v>4701</v>
      </c>
    </row>
    <row r="318" spans="1:20" ht="58" customHeight="1">
      <c r="A318" s="231" t="s">
        <v>2432</v>
      </c>
      <c r="B318" s="45" t="s">
        <v>1533</v>
      </c>
      <c r="C318" s="44" t="s">
        <v>1534</v>
      </c>
      <c r="D318" s="44" t="s">
        <v>664</v>
      </c>
      <c r="E318" s="244" t="s">
        <v>873</v>
      </c>
      <c r="F318" s="244" t="s">
        <v>3429</v>
      </c>
      <c r="G318" s="245" t="s">
        <v>3372</v>
      </c>
      <c r="H318" s="45" t="s">
        <v>3</v>
      </c>
      <c r="I318" s="247" t="s">
        <v>1533</v>
      </c>
      <c r="J318" s="233" t="s">
        <v>3236</v>
      </c>
      <c r="K318" s="161"/>
      <c r="L318" s="240"/>
      <c r="M318" s="240"/>
      <c r="N318" s="160"/>
      <c r="O318" s="140" t="s">
        <v>655</v>
      </c>
      <c r="P318" s="43" t="s">
        <v>663</v>
      </c>
      <c r="Q318" s="229" t="s">
        <v>3240</v>
      </c>
      <c r="R318" s="201"/>
      <c r="S318" s="142" t="s">
        <v>658</v>
      </c>
      <c r="T318" s="242"/>
    </row>
    <row r="319" spans="1:20" ht="58" customHeight="1">
      <c r="A319" s="231" t="s">
        <v>2432</v>
      </c>
      <c r="B319" s="45" t="s">
        <v>1533</v>
      </c>
      <c r="C319" s="44" t="s">
        <v>1524</v>
      </c>
      <c r="D319" s="44" t="s">
        <v>4872</v>
      </c>
      <c r="E319" s="244" t="s">
        <v>4873</v>
      </c>
      <c r="F319" s="244" t="s">
        <v>4874</v>
      </c>
      <c r="G319" s="245" t="s">
        <v>4875</v>
      </c>
      <c r="H319" s="45" t="s">
        <v>2</v>
      </c>
      <c r="I319" s="247" t="s">
        <v>1533</v>
      </c>
      <c r="J319" s="233" t="s">
        <v>3236</v>
      </c>
      <c r="K319" s="161" t="s">
        <v>955</v>
      </c>
      <c r="L319" s="240"/>
      <c r="M319" s="240"/>
      <c r="N319" s="160"/>
      <c r="O319" s="140" t="s">
        <v>4876</v>
      </c>
      <c r="P319" s="43" t="s">
        <v>4877</v>
      </c>
      <c r="Q319" s="229" t="s">
        <v>4878</v>
      </c>
      <c r="R319" s="201" t="s">
        <v>4879</v>
      </c>
      <c r="S319" s="142" t="s">
        <v>4880</v>
      </c>
      <c r="T319" s="242"/>
    </row>
    <row r="320" spans="1:20" ht="58" customHeight="1">
      <c r="A320" s="231" t="s">
        <v>2432</v>
      </c>
      <c r="B320" s="45" t="s">
        <v>1533</v>
      </c>
      <c r="C320" s="44" t="s">
        <v>1527</v>
      </c>
      <c r="D320" s="44" t="s">
        <v>4881</v>
      </c>
      <c r="E320" s="244" t="s">
        <v>4882</v>
      </c>
      <c r="F320" s="244" t="s">
        <v>4883</v>
      </c>
      <c r="G320" s="245" t="s">
        <v>4884</v>
      </c>
      <c r="H320" s="45" t="s">
        <v>2</v>
      </c>
      <c r="I320" s="247" t="s">
        <v>1533</v>
      </c>
      <c r="J320" s="233" t="s">
        <v>3236</v>
      </c>
      <c r="K320" s="161" t="s">
        <v>955</v>
      </c>
      <c r="L320" s="240"/>
      <c r="M320" s="240"/>
      <c r="N320" s="160"/>
      <c r="O320" s="140" t="s">
        <v>4876</v>
      </c>
      <c r="P320" s="43" t="s">
        <v>4885</v>
      </c>
      <c r="Q320" s="229" t="s">
        <v>4878</v>
      </c>
      <c r="R320" s="201" t="s">
        <v>4879</v>
      </c>
      <c r="S320" s="142" t="s">
        <v>4886</v>
      </c>
      <c r="T320" s="242"/>
    </row>
    <row r="321" spans="1:20" ht="58" customHeight="1">
      <c r="A321" s="231" t="s">
        <v>2432</v>
      </c>
      <c r="B321" s="45" t="s">
        <v>1533</v>
      </c>
      <c r="C321" s="44" t="s">
        <v>1527</v>
      </c>
      <c r="D321" s="44" t="s">
        <v>4887</v>
      </c>
      <c r="E321" s="244" t="s">
        <v>4888</v>
      </c>
      <c r="F321" s="244" t="s">
        <v>4889</v>
      </c>
      <c r="G321" s="245" t="s">
        <v>4890</v>
      </c>
      <c r="H321" s="45" t="s">
        <v>2</v>
      </c>
      <c r="I321" s="247" t="s">
        <v>1533</v>
      </c>
      <c r="J321" s="233" t="s">
        <v>3236</v>
      </c>
      <c r="K321" s="161" t="s">
        <v>955</v>
      </c>
      <c r="L321" s="240"/>
      <c r="M321" s="240"/>
      <c r="N321" s="160"/>
      <c r="O321" s="140" t="s">
        <v>4876</v>
      </c>
      <c r="P321" s="43" t="s">
        <v>4891</v>
      </c>
      <c r="Q321" s="229" t="s">
        <v>4878</v>
      </c>
      <c r="R321" s="201" t="s">
        <v>4879</v>
      </c>
      <c r="S321" s="142" t="s">
        <v>4886</v>
      </c>
      <c r="T321" s="242"/>
    </row>
    <row r="322" spans="1:20" ht="58" customHeight="1">
      <c r="A322" s="231" t="s">
        <v>2432</v>
      </c>
      <c r="B322" s="45" t="s">
        <v>1533</v>
      </c>
      <c r="C322" s="44" t="s">
        <v>1527</v>
      </c>
      <c r="D322" s="44" t="s">
        <v>4892</v>
      </c>
      <c r="E322" s="244" t="s">
        <v>4893</v>
      </c>
      <c r="F322" s="244" t="s">
        <v>4894</v>
      </c>
      <c r="G322" s="245" t="s">
        <v>4895</v>
      </c>
      <c r="H322" s="45" t="s">
        <v>2</v>
      </c>
      <c r="I322" s="247" t="s">
        <v>1533</v>
      </c>
      <c r="J322" s="233" t="s">
        <v>3236</v>
      </c>
      <c r="K322" s="161" t="s">
        <v>955</v>
      </c>
      <c r="L322" s="240"/>
      <c r="M322" s="240"/>
      <c r="N322" s="160"/>
      <c r="O322" s="140" t="s">
        <v>4876</v>
      </c>
      <c r="P322" s="43" t="s">
        <v>4896</v>
      </c>
      <c r="Q322" s="229" t="s">
        <v>4878</v>
      </c>
      <c r="R322" s="201" t="s">
        <v>4879</v>
      </c>
      <c r="S322" s="142" t="s">
        <v>4886</v>
      </c>
      <c r="T322" s="242"/>
    </row>
    <row r="323" spans="1:20" ht="58" customHeight="1">
      <c r="A323" s="231" t="s">
        <v>2432</v>
      </c>
      <c r="B323" s="45" t="s">
        <v>1533</v>
      </c>
      <c r="C323" s="44" t="s">
        <v>1531</v>
      </c>
      <c r="D323" s="44" t="s">
        <v>4897</v>
      </c>
      <c r="E323" s="244" t="s">
        <v>4898</v>
      </c>
      <c r="F323" s="244" t="s">
        <v>4899</v>
      </c>
      <c r="G323" s="245" t="s">
        <v>4900</v>
      </c>
      <c r="H323" s="45" t="s">
        <v>2</v>
      </c>
      <c r="I323" s="247" t="s">
        <v>1533</v>
      </c>
      <c r="J323" s="233" t="s">
        <v>3236</v>
      </c>
      <c r="K323" s="161" t="s">
        <v>955</v>
      </c>
      <c r="L323" s="240"/>
      <c r="M323" s="240"/>
      <c r="N323" s="160"/>
      <c r="O323" s="140" t="s">
        <v>4876</v>
      </c>
      <c r="P323" s="43" t="s">
        <v>4901</v>
      </c>
      <c r="Q323" s="229" t="s">
        <v>4878</v>
      </c>
      <c r="R323" s="201" t="s">
        <v>4879</v>
      </c>
      <c r="S323" s="142" t="s">
        <v>4902</v>
      </c>
      <c r="T323" s="242"/>
    </row>
    <row r="324" spans="1:20" ht="58" customHeight="1">
      <c r="A324" s="231" t="s">
        <v>2432</v>
      </c>
      <c r="B324" s="45" t="s">
        <v>1533</v>
      </c>
      <c r="C324" s="44" t="s">
        <v>1531</v>
      </c>
      <c r="D324" s="44" t="s">
        <v>4903</v>
      </c>
      <c r="E324" s="244" t="s">
        <v>4904</v>
      </c>
      <c r="F324" s="244" t="s">
        <v>4905</v>
      </c>
      <c r="G324" s="245" t="s">
        <v>4906</v>
      </c>
      <c r="H324" s="45" t="s">
        <v>2</v>
      </c>
      <c r="I324" s="247" t="s">
        <v>1533</v>
      </c>
      <c r="J324" s="233" t="s">
        <v>3236</v>
      </c>
      <c r="K324" s="161" t="s">
        <v>955</v>
      </c>
      <c r="L324" s="240"/>
      <c r="M324" s="240"/>
      <c r="N324" s="160"/>
      <c r="O324" s="140" t="s">
        <v>4876</v>
      </c>
      <c r="P324" s="43" t="s">
        <v>4907</v>
      </c>
      <c r="Q324" s="229" t="s">
        <v>4878</v>
      </c>
      <c r="R324" s="201" t="s">
        <v>4879</v>
      </c>
      <c r="S324" s="142" t="s">
        <v>4908</v>
      </c>
      <c r="T324" s="242"/>
    </row>
    <row r="325" spans="1:20" ht="58" customHeight="1">
      <c r="A325" s="231" t="s">
        <v>2432</v>
      </c>
      <c r="B325" s="45" t="s">
        <v>1533</v>
      </c>
      <c r="C325" s="44" t="s">
        <v>1527</v>
      </c>
      <c r="D325" s="44" t="s">
        <v>4909</v>
      </c>
      <c r="E325" s="244" t="s">
        <v>4910</v>
      </c>
      <c r="F325" s="244" t="s">
        <v>4911</v>
      </c>
      <c r="G325" s="245" t="s">
        <v>4912</v>
      </c>
      <c r="H325" s="45" t="s">
        <v>2</v>
      </c>
      <c r="I325" s="247" t="s">
        <v>1533</v>
      </c>
      <c r="J325" s="233" t="s">
        <v>3236</v>
      </c>
      <c r="K325" s="161" t="s">
        <v>955</v>
      </c>
      <c r="L325" s="240"/>
      <c r="M325" s="240"/>
      <c r="N325" s="160"/>
      <c r="O325" s="140" t="s">
        <v>4876</v>
      </c>
      <c r="P325" s="43" t="s">
        <v>4913</v>
      </c>
      <c r="Q325" s="229" t="s">
        <v>4878</v>
      </c>
      <c r="R325" s="201" t="s">
        <v>4879</v>
      </c>
      <c r="S325" s="142" t="s">
        <v>4878</v>
      </c>
      <c r="T325" s="242"/>
    </row>
    <row r="326" spans="1:20" ht="58" customHeight="1">
      <c r="A326" s="231" t="s">
        <v>2432</v>
      </c>
      <c r="B326" s="45" t="s">
        <v>1533</v>
      </c>
      <c r="C326" s="44" t="s">
        <v>1534</v>
      </c>
      <c r="D326" s="44" t="s">
        <v>4914</v>
      </c>
      <c r="E326" s="244" t="s">
        <v>4915</v>
      </c>
      <c r="F326" s="244" t="s">
        <v>4916</v>
      </c>
      <c r="G326" s="245" t="s">
        <v>4917</v>
      </c>
      <c r="H326" s="45" t="s">
        <v>2</v>
      </c>
      <c r="I326" s="247" t="s">
        <v>1533</v>
      </c>
      <c r="J326" s="233" t="s">
        <v>3236</v>
      </c>
      <c r="K326" s="161" t="s">
        <v>955</v>
      </c>
      <c r="L326" s="240"/>
      <c r="M326" s="240"/>
      <c r="N326" s="160"/>
      <c r="O326" s="140" t="s">
        <v>4876</v>
      </c>
      <c r="P326" s="43" t="s">
        <v>4918</v>
      </c>
      <c r="Q326" s="229" t="s">
        <v>4878</v>
      </c>
      <c r="R326" s="201" t="s">
        <v>4879</v>
      </c>
      <c r="S326" s="142" t="s">
        <v>4919</v>
      </c>
      <c r="T326" s="242"/>
    </row>
    <row r="327" spans="1:20" ht="58" customHeight="1">
      <c r="A327" s="231" t="s">
        <v>2431</v>
      </c>
      <c r="B327" s="45" t="s">
        <v>1535</v>
      </c>
      <c r="C327" s="44" t="s">
        <v>1520</v>
      </c>
      <c r="D327" s="44" t="s">
        <v>5304</v>
      </c>
      <c r="E327" s="244" t="s">
        <v>5305</v>
      </c>
      <c r="F327" s="244" t="s">
        <v>5306</v>
      </c>
      <c r="G327" s="245" t="s">
        <v>5307</v>
      </c>
      <c r="H327" s="45" t="s">
        <v>1516</v>
      </c>
      <c r="I327" s="247" t="s">
        <v>4554</v>
      </c>
      <c r="J327" s="233" t="s">
        <v>5308</v>
      </c>
      <c r="K327" s="161" t="s">
        <v>5250</v>
      </c>
      <c r="L327" s="240"/>
      <c r="M327" s="240"/>
      <c r="N327" s="160" t="s">
        <v>4332</v>
      </c>
      <c r="O327" s="140" t="s">
        <v>5309</v>
      </c>
      <c r="P327" s="43" t="s">
        <v>5250</v>
      </c>
      <c r="Q327" s="229" t="s">
        <v>5311</v>
      </c>
      <c r="R327" s="201" t="s">
        <v>5310</v>
      </c>
      <c r="S327" s="142" t="s">
        <v>5312</v>
      </c>
      <c r="T327" s="242"/>
    </row>
    <row r="328" spans="1:20" ht="58" customHeight="1">
      <c r="A328" s="231" t="s">
        <v>2431</v>
      </c>
      <c r="B328" s="45" t="s">
        <v>1535</v>
      </c>
      <c r="C328" s="44" t="s">
        <v>1520</v>
      </c>
      <c r="D328" s="44" t="s">
        <v>5313</v>
      </c>
      <c r="E328" s="244" t="s">
        <v>5314</v>
      </c>
      <c r="F328" s="244" t="s">
        <v>5315</v>
      </c>
      <c r="G328" s="245" t="s">
        <v>5316</v>
      </c>
      <c r="H328" s="45" t="s">
        <v>1516</v>
      </c>
      <c r="I328" s="247" t="s">
        <v>4554</v>
      </c>
      <c r="J328" s="233" t="s">
        <v>5317</v>
      </c>
      <c r="K328" s="161" t="s">
        <v>5258</v>
      </c>
      <c r="L328" s="240"/>
      <c r="M328" s="240"/>
      <c r="N328" s="160" t="s">
        <v>4332</v>
      </c>
      <c r="O328" s="140" t="s">
        <v>5309</v>
      </c>
      <c r="P328" s="43" t="s">
        <v>5258</v>
      </c>
      <c r="Q328" s="229" t="s">
        <v>5311</v>
      </c>
      <c r="R328" s="201" t="s">
        <v>5310</v>
      </c>
      <c r="S328" s="142" t="s">
        <v>5312</v>
      </c>
      <c r="T328" s="242"/>
    </row>
    <row r="329" spans="1:20" ht="58" customHeight="1">
      <c r="A329" s="231" t="s">
        <v>2431</v>
      </c>
      <c r="B329" s="45" t="s">
        <v>1535</v>
      </c>
      <c r="C329" s="44" t="s">
        <v>1520</v>
      </c>
      <c r="D329" s="44" t="s">
        <v>5318</v>
      </c>
      <c r="E329" s="244" t="s">
        <v>5319</v>
      </c>
      <c r="F329" s="244" t="s">
        <v>5320</v>
      </c>
      <c r="G329" s="245" t="s">
        <v>5321</v>
      </c>
      <c r="H329" s="45" t="s">
        <v>1516</v>
      </c>
      <c r="I329" s="247" t="s">
        <v>4554</v>
      </c>
      <c r="J329" s="233" t="s">
        <v>5322</v>
      </c>
      <c r="K329" s="161" t="s">
        <v>5265</v>
      </c>
      <c r="L329" s="240"/>
      <c r="M329" s="240"/>
      <c r="N329" s="160" t="s">
        <v>4333</v>
      </c>
      <c r="O329" s="140" t="s">
        <v>5309</v>
      </c>
      <c r="P329" s="43" t="s">
        <v>5265</v>
      </c>
      <c r="Q329" s="229" t="s">
        <v>5311</v>
      </c>
      <c r="R329" s="201" t="s">
        <v>5323</v>
      </c>
      <c r="S329" s="142" t="s">
        <v>5312</v>
      </c>
      <c r="T329" s="242"/>
    </row>
    <row r="330" spans="1:20" ht="58" customHeight="1">
      <c r="A330" s="231" t="s">
        <v>2431</v>
      </c>
      <c r="B330" s="45" t="s">
        <v>1535</v>
      </c>
      <c r="C330" s="44" t="s">
        <v>1521</v>
      </c>
      <c r="D330" s="44" t="s">
        <v>5324</v>
      </c>
      <c r="E330" s="244" t="s">
        <v>5325</v>
      </c>
      <c r="F330" s="244" t="s">
        <v>5326</v>
      </c>
      <c r="G330" s="245" t="s">
        <v>5327</v>
      </c>
      <c r="H330" s="45" t="s">
        <v>1516</v>
      </c>
      <c r="I330" s="247" t="s">
        <v>4554</v>
      </c>
      <c r="J330" s="233" t="s">
        <v>5328</v>
      </c>
      <c r="K330" s="161" t="s">
        <v>5272</v>
      </c>
      <c r="L330" s="240"/>
      <c r="M330" s="240"/>
      <c r="N330" s="160" t="s">
        <v>4333</v>
      </c>
      <c r="O330" s="140" t="s">
        <v>5309</v>
      </c>
      <c r="P330" s="43" t="s">
        <v>5272</v>
      </c>
      <c r="Q330" s="229" t="s">
        <v>5311</v>
      </c>
      <c r="R330" s="201" t="s">
        <v>5323</v>
      </c>
      <c r="S330" s="142" t="s">
        <v>5312</v>
      </c>
      <c r="T330" s="242"/>
    </row>
    <row r="331" spans="1:20" ht="58" customHeight="1">
      <c r="A331" s="231" t="s">
        <v>2431</v>
      </c>
      <c r="B331" s="45" t="s">
        <v>1535</v>
      </c>
      <c r="C331" s="44" t="s">
        <v>1528</v>
      </c>
      <c r="D331" s="44" t="s">
        <v>5329</v>
      </c>
      <c r="E331" s="244" t="s">
        <v>5330</v>
      </c>
      <c r="F331" s="244" t="s">
        <v>5331</v>
      </c>
      <c r="G331" s="245" t="s">
        <v>5332</v>
      </c>
      <c r="H331" s="45" t="s">
        <v>1516</v>
      </c>
      <c r="I331" s="247" t="s">
        <v>3029</v>
      </c>
      <c r="J331" s="233" t="s">
        <v>5333</v>
      </c>
      <c r="K331" s="161" t="s">
        <v>5279</v>
      </c>
      <c r="L331" s="240"/>
      <c r="M331" s="240"/>
      <c r="N331" s="160" t="s">
        <v>4332</v>
      </c>
      <c r="O331" s="140" t="s">
        <v>5309</v>
      </c>
      <c r="P331" s="43" t="s">
        <v>5279</v>
      </c>
      <c r="Q331" s="229" t="s">
        <v>5311</v>
      </c>
      <c r="R331" s="201" t="s">
        <v>5334</v>
      </c>
      <c r="S331" s="142" t="s">
        <v>5312</v>
      </c>
      <c r="T331" s="242"/>
    </row>
    <row r="332" spans="1:20" ht="58" customHeight="1">
      <c r="A332" s="231" t="s">
        <v>2431</v>
      </c>
      <c r="B332" s="45" t="s">
        <v>1535</v>
      </c>
      <c r="C332" s="44" t="s">
        <v>1521</v>
      </c>
      <c r="D332" s="44" t="s">
        <v>5335</v>
      </c>
      <c r="E332" s="244" t="s">
        <v>5336</v>
      </c>
      <c r="F332" s="244" t="s">
        <v>5337</v>
      </c>
      <c r="G332" s="245" t="s">
        <v>5338</v>
      </c>
      <c r="H332" s="45" t="s">
        <v>1516</v>
      </c>
      <c r="I332" s="247" t="s">
        <v>3029</v>
      </c>
      <c r="J332" s="233" t="s">
        <v>5339</v>
      </c>
      <c r="K332" s="161" t="s">
        <v>5287</v>
      </c>
      <c r="L332" s="240"/>
      <c r="M332" s="240"/>
      <c r="N332" s="160" t="s">
        <v>4332</v>
      </c>
      <c r="O332" s="140" t="s">
        <v>5309</v>
      </c>
      <c r="P332" s="43" t="s">
        <v>5287</v>
      </c>
      <c r="Q332" s="229" t="s">
        <v>5311</v>
      </c>
      <c r="R332" s="201" t="s">
        <v>5340</v>
      </c>
      <c r="S332" s="142" t="s">
        <v>5312</v>
      </c>
      <c r="T332" s="242" t="s">
        <v>5341</v>
      </c>
    </row>
    <row r="333" spans="1:20" ht="58" customHeight="1">
      <c r="A333" s="231" t="s">
        <v>2431</v>
      </c>
      <c r="B333" s="45" t="s">
        <v>1535</v>
      </c>
      <c r="C333" s="44" t="s">
        <v>1521</v>
      </c>
      <c r="D333" s="44" t="s">
        <v>5342</v>
      </c>
      <c r="E333" s="244" t="s">
        <v>5343</v>
      </c>
      <c r="F333" s="244" t="s">
        <v>5344</v>
      </c>
      <c r="G333" s="245" t="s">
        <v>5345</v>
      </c>
      <c r="H333" s="45" t="s">
        <v>1516</v>
      </c>
      <c r="I333" s="247" t="s">
        <v>3029</v>
      </c>
      <c r="J333" s="233" t="s">
        <v>5346</v>
      </c>
      <c r="K333" s="161" t="s">
        <v>5294</v>
      </c>
      <c r="L333" s="240"/>
      <c r="M333" s="240"/>
      <c r="N333" s="160" t="s">
        <v>4333</v>
      </c>
      <c r="O333" s="140" t="s">
        <v>5309</v>
      </c>
      <c r="P333" s="43" t="s">
        <v>5294</v>
      </c>
      <c r="Q333" s="229" t="s">
        <v>5311</v>
      </c>
      <c r="R333" s="201" t="s">
        <v>5323</v>
      </c>
      <c r="S333" s="142" t="s">
        <v>5312</v>
      </c>
      <c r="T333" s="242"/>
    </row>
    <row r="334" spans="1:20" ht="58" customHeight="1">
      <c r="A334" s="231" t="s">
        <v>2432</v>
      </c>
      <c r="B334" s="45" t="s">
        <v>1532</v>
      </c>
      <c r="C334" s="44" t="s">
        <v>1526</v>
      </c>
      <c r="D334" s="44" t="s">
        <v>5349</v>
      </c>
      <c r="E334" s="244" t="s">
        <v>5350</v>
      </c>
      <c r="F334" s="244" t="s">
        <v>5351</v>
      </c>
      <c r="G334" s="245" t="s">
        <v>5352</v>
      </c>
      <c r="H334" s="45" t="s">
        <v>1516</v>
      </c>
      <c r="I334" s="247" t="s">
        <v>4538</v>
      </c>
      <c r="J334" s="233" t="s">
        <v>3236</v>
      </c>
      <c r="K334" s="161" t="s">
        <v>955</v>
      </c>
      <c r="L334" s="240"/>
      <c r="M334" s="240"/>
      <c r="N334" s="160" t="s">
        <v>4332</v>
      </c>
      <c r="O334" s="140" t="s">
        <v>5353</v>
      </c>
      <c r="P334" s="43" t="s">
        <v>5354</v>
      </c>
      <c r="Q334" s="229" t="s">
        <v>3243</v>
      </c>
      <c r="R334" s="201" t="s">
        <v>5355</v>
      </c>
      <c r="S334" s="142" t="s">
        <v>5356</v>
      </c>
      <c r="T334" s="242"/>
    </row>
    <row r="335" spans="1:20" ht="58" customHeight="1">
      <c r="A335" s="231" t="s">
        <v>2432</v>
      </c>
      <c r="B335" s="45" t="s">
        <v>1532</v>
      </c>
      <c r="C335" s="44" t="s">
        <v>1526</v>
      </c>
      <c r="D335" s="44" t="s">
        <v>5357</v>
      </c>
      <c r="E335" s="244" t="s">
        <v>5358</v>
      </c>
      <c r="F335" s="244" t="s">
        <v>5359</v>
      </c>
      <c r="G335" s="245" t="s">
        <v>5360</v>
      </c>
      <c r="H335" s="45" t="s">
        <v>1516</v>
      </c>
      <c r="I335" s="247" t="s">
        <v>4538</v>
      </c>
      <c r="J335" s="233" t="s">
        <v>3236</v>
      </c>
      <c r="K335" s="161" t="s">
        <v>955</v>
      </c>
      <c r="L335" s="240"/>
      <c r="M335" s="240"/>
      <c r="N335" s="160" t="s">
        <v>4332</v>
      </c>
      <c r="O335" s="140" t="s">
        <v>5361</v>
      </c>
      <c r="P335" s="43" t="s">
        <v>5362</v>
      </c>
      <c r="Q335" s="229" t="s">
        <v>3239</v>
      </c>
      <c r="R335" s="201" t="s">
        <v>5363</v>
      </c>
      <c r="S335" s="142" t="s">
        <v>5364</v>
      </c>
      <c r="T335" s="242"/>
    </row>
    <row r="336" spans="1:20" ht="58" customHeight="1">
      <c r="A336" s="231" t="s">
        <v>2432</v>
      </c>
      <c r="B336" s="45" t="s">
        <v>1532</v>
      </c>
      <c r="C336" s="44" t="s">
        <v>1526</v>
      </c>
      <c r="D336" s="44" t="s">
        <v>5365</v>
      </c>
      <c r="E336" s="244" t="s">
        <v>5366</v>
      </c>
      <c r="F336" s="244" t="s">
        <v>5367</v>
      </c>
      <c r="G336" s="245" t="s">
        <v>5368</v>
      </c>
      <c r="H336" s="45" t="s">
        <v>1516</v>
      </c>
      <c r="I336" s="247" t="s">
        <v>4538</v>
      </c>
      <c r="J336" s="233" t="s">
        <v>3236</v>
      </c>
      <c r="K336" s="161" t="s">
        <v>955</v>
      </c>
      <c r="L336" s="240"/>
      <c r="M336" s="240"/>
      <c r="N336" s="160" t="s">
        <v>4332</v>
      </c>
      <c r="O336" s="140" t="s">
        <v>5361</v>
      </c>
      <c r="P336" s="43" t="s">
        <v>5369</v>
      </c>
      <c r="Q336" s="229" t="s">
        <v>3239</v>
      </c>
      <c r="R336" s="201" t="s">
        <v>5363</v>
      </c>
      <c r="S336" s="142" t="s">
        <v>5370</v>
      </c>
      <c r="T336" s="242"/>
    </row>
    <row r="337" spans="1:20" ht="58" customHeight="1">
      <c r="A337" s="231" t="s">
        <v>2432</v>
      </c>
      <c r="B337" s="45" t="s">
        <v>1532</v>
      </c>
      <c r="C337" s="44" t="s">
        <v>1519</v>
      </c>
      <c r="D337" s="44" t="s">
        <v>5371</v>
      </c>
      <c r="E337" s="244" t="s">
        <v>5372</v>
      </c>
      <c r="F337" s="244" t="s">
        <v>5373</v>
      </c>
      <c r="G337" s="245" t="s">
        <v>5374</v>
      </c>
      <c r="H337" s="45" t="s">
        <v>3</v>
      </c>
      <c r="I337" s="247" t="s">
        <v>1533</v>
      </c>
      <c r="J337" s="233" t="s">
        <v>3236</v>
      </c>
      <c r="K337" s="161" t="s">
        <v>955</v>
      </c>
      <c r="L337" s="240"/>
      <c r="M337" s="240"/>
      <c r="N337" s="160" t="s">
        <v>4333</v>
      </c>
      <c r="O337" s="140" t="s">
        <v>5375</v>
      </c>
      <c r="P337" s="43" t="s">
        <v>1436</v>
      </c>
      <c r="Q337" s="229" t="s">
        <v>3243</v>
      </c>
      <c r="R337" s="201" t="s">
        <v>5376</v>
      </c>
      <c r="S337" s="142" t="s">
        <v>5377</v>
      </c>
      <c r="T337" s="242" t="s">
        <v>5378</v>
      </c>
    </row>
  </sheetData>
  <autoFilter ref="A3:T337" xr:uid="{4F6F187A-C144-EF41-838F-8FD30632C19C}"/>
  <phoneticPr fontId="2"/>
  <conditionalFormatting sqref="A4:S1000">
    <cfRule type="expression" dxfId="99" priority="1">
      <formula>AND($P4&lt;&gt;"",$H4="確定")</formula>
    </cfRule>
  </conditionalFormatting>
  <conditionalFormatting sqref="A4:S1000">
    <cfRule type="expression" dxfId="98" priority="2">
      <formula>AND($P4&lt;&gt;"",$H4="方向性確定（条件付き）")</formula>
    </cfRule>
  </conditionalFormatting>
  <conditionalFormatting sqref="A4:S1000">
    <cfRule type="expression" dxfId="97" priority="3">
      <formula>AND($P4&lt;&gt;"",$H4="検討中")</formula>
    </cfRule>
  </conditionalFormatting>
  <conditionalFormatting sqref="A4:S1000">
    <cfRule type="expression" dxfId="96" priority="4">
      <formula>AND($P4&lt;&gt;"",$H4="外部待ち")</formula>
    </cfRule>
  </conditionalFormatting>
  <conditionalFormatting sqref="A4:S1000">
    <cfRule type="expression" dxfId="95" priority="5">
      <formula>AND($P4&lt;&gt;"",$H4="対象外")</formula>
    </cfRule>
  </conditionalFormatting>
  <conditionalFormatting sqref="I4:I1000">
    <cfRule type="expression" dxfId="94" priority="6">
      <formula>$I4="顧客ヒアリング"</formula>
    </cfRule>
  </conditionalFormatting>
  <conditionalFormatting sqref="I4:I1000">
    <cfRule type="expression" dxfId="93" priority="7">
      <formula>$I4="顧客ヒアリング（アプリチーム）"</formula>
    </cfRule>
  </conditionalFormatting>
  <conditionalFormatting sqref="I4:I1000">
    <cfRule type="expression" dxfId="92" priority="8">
      <formula>$I4="顧客ヒアリング→アプリ確認"</formula>
    </cfRule>
  </conditionalFormatting>
  <conditionalFormatting sqref="I4:I1000">
    <cfRule type="expression" dxfId="91" priority="9">
      <formula>$I4="他組織ヒアリング（要求仕様）"</formula>
    </cfRule>
  </conditionalFormatting>
  <conditionalFormatting sqref="I4:I1000">
    <cfRule type="expression" dxfId="90" priority="10">
      <formula>$I4="社内判断待ち"</formula>
    </cfRule>
  </conditionalFormatting>
  <conditionalFormatting sqref="I4:I1000">
    <cfRule type="expression" dxfId="89" priority="11">
      <formula>$I4="設計タスク"</formula>
    </cfRule>
  </conditionalFormatting>
  <conditionalFormatting sqref="I4:I1000">
    <cfRule type="expression" dxfId="88" priority="12">
      <formula>$I4="確定（反映のみ）"</formula>
    </cfRule>
  </conditionalFormatting>
  <conditionalFormatting sqref="I4:I1000">
    <cfRule type="expression" dxfId="87" priority="13">
      <formula>$I4="スコープ外"</formula>
    </cfRule>
  </conditionalFormatting>
  <conditionalFormatting sqref="T4:T1000">
    <cfRule type="expression" dxfId="86" priority="14">
      <formula>$T4&lt;&gt;""</formula>
    </cfRule>
  </conditionalFormatting>
  <conditionalFormatting sqref="N4:N1000">
    <cfRule type="expression" dxfId="85" priority="15">
      <formula>$N4="最優先"</formula>
    </cfRule>
  </conditionalFormatting>
  <conditionalFormatting sqref="N4:N1000">
    <cfRule type="expression" dxfId="84" priority="16">
      <formula>$N4="通常"</formula>
    </cfRule>
  </conditionalFormatting>
  <conditionalFormatting sqref="N4:N1000">
    <cfRule type="expression" dxfId="83"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874</v>
      </c>
    </row>
    <row r="2" spans="1:5">
      <c r="A2" s="64" t="s">
        <v>1512</v>
      </c>
    </row>
    <row r="4" spans="1:5" ht="22" customHeight="1">
      <c r="A4" s="36" t="s">
        <v>1540</v>
      </c>
      <c r="B4" s="37" t="s">
        <v>1541</v>
      </c>
      <c r="C4" s="37" t="s">
        <v>1542</v>
      </c>
      <c r="D4" s="37" t="s">
        <v>1543</v>
      </c>
      <c r="E4" s="38" t="s">
        <v>1544</v>
      </c>
    </row>
    <row r="5" spans="1:5">
      <c r="A5" s="128" t="s">
        <v>1545</v>
      </c>
      <c r="B5" s="66" t="s">
        <v>1546</v>
      </c>
      <c r="C5" s="66" t="s">
        <v>1547</v>
      </c>
      <c r="D5" s="131" t="s">
        <v>1548</v>
      </c>
      <c r="E5" s="42" t="s">
        <v>1549</v>
      </c>
    </row>
    <row r="6" spans="1:5">
      <c r="A6" s="128" t="s">
        <v>1550</v>
      </c>
      <c r="B6" s="66" t="s">
        <v>1546</v>
      </c>
      <c r="C6" s="66" t="s">
        <v>1551</v>
      </c>
      <c r="D6" s="131" t="s">
        <v>1552</v>
      </c>
      <c r="E6" s="42" t="s">
        <v>1549</v>
      </c>
    </row>
    <row r="7" spans="1:5">
      <c r="A7" s="128" t="s">
        <v>1553</v>
      </c>
      <c r="B7" s="66" t="s">
        <v>1546</v>
      </c>
      <c r="C7" s="66" t="s">
        <v>1554</v>
      </c>
      <c r="D7" s="131" t="s">
        <v>1555</v>
      </c>
      <c r="E7" s="42" t="s">
        <v>1549</v>
      </c>
    </row>
    <row r="8" spans="1:5">
      <c r="A8" s="128" t="s">
        <v>1556</v>
      </c>
      <c r="B8" s="66" t="s">
        <v>1546</v>
      </c>
      <c r="C8" s="66" t="s">
        <v>1557</v>
      </c>
      <c r="D8" s="131" t="s">
        <v>1558</v>
      </c>
      <c r="E8" s="42" t="s">
        <v>1549</v>
      </c>
    </row>
    <row r="9" spans="1:5">
      <c r="A9" s="128" t="s">
        <v>1559</v>
      </c>
      <c r="B9" s="66" t="s">
        <v>1546</v>
      </c>
      <c r="C9" s="66" t="s">
        <v>1560</v>
      </c>
      <c r="D9" s="131" t="s">
        <v>1561</v>
      </c>
      <c r="E9" s="42" t="s">
        <v>1549</v>
      </c>
    </row>
    <row r="10" spans="1:5">
      <c r="A10" s="128" t="s">
        <v>1562</v>
      </c>
      <c r="B10" s="66" t="s">
        <v>1546</v>
      </c>
      <c r="C10" s="66" t="s">
        <v>1563</v>
      </c>
      <c r="D10" s="131" t="s">
        <v>1564</v>
      </c>
      <c r="E10" s="42" t="s">
        <v>1549</v>
      </c>
    </row>
    <row r="11" spans="1:5">
      <c r="A11" s="128" t="s">
        <v>1565</v>
      </c>
      <c r="B11" s="66" t="s">
        <v>1546</v>
      </c>
      <c r="C11" s="66" t="s">
        <v>1566</v>
      </c>
      <c r="D11" s="131" t="s">
        <v>1567</v>
      </c>
      <c r="E11" s="42" t="s">
        <v>1549</v>
      </c>
    </row>
    <row r="12" spans="1:5">
      <c r="A12" s="128" t="s">
        <v>1568</v>
      </c>
      <c r="B12" s="66" t="s">
        <v>1546</v>
      </c>
      <c r="C12" s="66" t="s">
        <v>1569</v>
      </c>
      <c r="D12" s="131" t="s">
        <v>1570</v>
      </c>
      <c r="E12" s="42" t="s">
        <v>1549</v>
      </c>
    </row>
    <row r="13" spans="1:5">
      <c r="A13" s="128" t="s">
        <v>1571</v>
      </c>
      <c r="B13" s="66" t="s">
        <v>1546</v>
      </c>
      <c r="C13" s="66" t="s">
        <v>1572</v>
      </c>
      <c r="D13" s="131" t="s">
        <v>1573</v>
      </c>
      <c r="E13" s="42" t="s">
        <v>1549</v>
      </c>
    </row>
    <row r="14" spans="1:5">
      <c r="A14" s="128" t="s">
        <v>1574</v>
      </c>
      <c r="B14" s="66" t="s">
        <v>1546</v>
      </c>
      <c r="C14" s="66" t="s">
        <v>1575</v>
      </c>
      <c r="D14" s="131" t="s">
        <v>1576</v>
      </c>
      <c r="E14" s="42" t="s">
        <v>1549</v>
      </c>
    </row>
    <row r="15" spans="1:5">
      <c r="A15" s="128" t="s">
        <v>1577</v>
      </c>
      <c r="B15" s="66" t="s">
        <v>1546</v>
      </c>
      <c r="C15" s="66" t="s">
        <v>1578</v>
      </c>
      <c r="D15" s="131" t="s">
        <v>1579</v>
      </c>
      <c r="E15" s="42" t="s">
        <v>1549</v>
      </c>
    </row>
    <row r="16" spans="1:5">
      <c r="A16" s="128" t="s">
        <v>1580</v>
      </c>
      <c r="B16" s="66" t="s">
        <v>1546</v>
      </c>
      <c r="C16" s="66" t="s">
        <v>1581</v>
      </c>
      <c r="D16" s="131" t="s">
        <v>1582</v>
      </c>
      <c r="E16" s="42" t="s">
        <v>1549</v>
      </c>
    </row>
    <row r="17" spans="1:5">
      <c r="A17" s="128" t="s">
        <v>1583</v>
      </c>
      <c r="B17" s="66" t="s">
        <v>1546</v>
      </c>
      <c r="C17" s="66" t="s">
        <v>1584</v>
      </c>
      <c r="D17" s="131" t="s">
        <v>1585</v>
      </c>
      <c r="E17" s="42" t="s">
        <v>1549</v>
      </c>
    </row>
    <row r="18" spans="1:5">
      <c r="A18" s="128" t="s">
        <v>1586</v>
      </c>
      <c r="B18" s="66" t="s">
        <v>1546</v>
      </c>
      <c r="C18" s="66" t="s">
        <v>1587</v>
      </c>
      <c r="D18" s="131" t="s">
        <v>1588</v>
      </c>
      <c r="E18" s="42" t="s">
        <v>1549</v>
      </c>
    </row>
    <row r="19" spans="1:5">
      <c r="A19" s="128" t="s">
        <v>1589</v>
      </c>
      <c r="B19" s="66" t="s">
        <v>1546</v>
      </c>
      <c r="C19" s="66" t="s">
        <v>1590</v>
      </c>
      <c r="D19" s="131" t="s">
        <v>1591</v>
      </c>
      <c r="E19" s="42" t="s">
        <v>1549</v>
      </c>
    </row>
    <row r="20" spans="1:5">
      <c r="A20" s="128" t="s">
        <v>1592</v>
      </c>
      <c r="B20" s="66" t="s">
        <v>1546</v>
      </c>
      <c r="C20" s="66" t="s">
        <v>1593</v>
      </c>
      <c r="D20" s="131" t="s">
        <v>1594</v>
      </c>
      <c r="E20" s="42" t="s">
        <v>1549</v>
      </c>
    </row>
    <row r="21" spans="1:5">
      <c r="A21" s="128" t="s">
        <v>1595</v>
      </c>
      <c r="B21" s="66" t="s">
        <v>1546</v>
      </c>
      <c r="C21" s="66" t="s">
        <v>1596</v>
      </c>
      <c r="D21" s="131" t="s">
        <v>1597</v>
      </c>
      <c r="E21" s="42" t="s">
        <v>1549</v>
      </c>
    </row>
    <row r="22" spans="1:5">
      <c r="A22" s="128" t="s">
        <v>1598</v>
      </c>
      <c r="B22" s="66" t="s">
        <v>1546</v>
      </c>
      <c r="C22" s="66" t="s">
        <v>1599</v>
      </c>
      <c r="D22" s="131" t="s">
        <v>1600</v>
      </c>
      <c r="E22" s="42" t="s">
        <v>1549</v>
      </c>
    </row>
    <row r="23" spans="1:5">
      <c r="A23" s="128" t="s">
        <v>1601</v>
      </c>
      <c r="B23" s="66" t="s">
        <v>1546</v>
      </c>
      <c r="C23" s="66" t="s">
        <v>1602</v>
      </c>
      <c r="D23" s="131" t="s">
        <v>1603</v>
      </c>
      <c r="E23" s="42" t="s">
        <v>1549</v>
      </c>
    </row>
    <row r="24" spans="1:5">
      <c r="A24" s="128" t="s">
        <v>1604</v>
      </c>
      <c r="B24" s="66" t="s">
        <v>1546</v>
      </c>
      <c r="C24" s="66" t="s">
        <v>1605</v>
      </c>
      <c r="D24" s="131" t="s">
        <v>1606</v>
      </c>
      <c r="E24" s="42" t="s">
        <v>1549</v>
      </c>
    </row>
    <row r="25" spans="1:5">
      <c r="A25" s="128" t="s">
        <v>1607</v>
      </c>
      <c r="B25" s="66" t="s">
        <v>1546</v>
      </c>
      <c r="C25" s="66" t="s">
        <v>1608</v>
      </c>
      <c r="D25" s="131" t="s">
        <v>1609</v>
      </c>
      <c r="E25" s="42" t="s">
        <v>1549</v>
      </c>
    </row>
    <row r="26" spans="1:5">
      <c r="A26" s="128" t="s">
        <v>1610</v>
      </c>
      <c r="B26" s="66" t="s">
        <v>1546</v>
      </c>
      <c r="C26" s="66" t="s">
        <v>1611</v>
      </c>
      <c r="D26" s="131" t="s">
        <v>1612</v>
      </c>
      <c r="E26" s="42" t="s">
        <v>1549</v>
      </c>
    </row>
    <row r="27" spans="1:5">
      <c r="A27" s="128" t="s">
        <v>1613</v>
      </c>
      <c r="B27" s="66" t="s">
        <v>1546</v>
      </c>
      <c r="C27" s="66" t="s">
        <v>1614</v>
      </c>
      <c r="D27" s="131" t="s">
        <v>1615</v>
      </c>
      <c r="E27" s="42" t="s">
        <v>1549</v>
      </c>
    </row>
    <row r="28" spans="1:5">
      <c r="A28" s="128" t="s">
        <v>1616</v>
      </c>
      <c r="B28" s="66" t="s">
        <v>1546</v>
      </c>
      <c r="C28" s="66" t="s">
        <v>1617</v>
      </c>
      <c r="D28" s="131" t="s">
        <v>1618</v>
      </c>
      <c r="E28" s="42" t="s">
        <v>1549</v>
      </c>
    </row>
    <row r="29" spans="1:5">
      <c r="A29" s="128" t="s">
        <v>1619</v>
      </c>
      <c r="B29" s="66" t="s">
        <v>1546</v>
      </c>
      <c r="C29" s="66" t="s">
        <v>1620</v>
      </c>
      <c r="D29" s="131" t="s">
        <v>1621</v>
      </c>
      <c r="E29" s="42" t="s">
        <v>1549</v>
      </c>
    </row>
    <row r="30" spans="1:5">
      <c r="A30" s="128" t="s">
        <v>1622</v>
      </c>
      <c r="B30" s="66" t="s">
        <v>1546</v>
      </c>
      <c r="C30" s="66" t="s">
        <v>1623</v>
      </c>
      <c r="D30" s="131" t="s">
        <v>1624</v>
      </c>
      <c r="E30" s="42" t="s">
        <v>1549</v>
      </c>
    </row>
    <row r="31" spans="1:5">
      <c r="A31" s="128" t="s">
        <v>1625</v>
      </c>
      <c r="B31" s="66" t="s">
        <v>1546</v>
      </c>
      <c r="C31" s="66" t="s">
        <v>1626</v>
      </c>
      <c r="D31" s="131" t="s">
        <v>1627</v>
      </c>
      <c r="E31" s="42" t="s">
        <v>1549</v>
      </c>
    </row>
    <row r="32" spans="1:5">
      <c r="A32" s="128" t="s">
        <v>1628</v>
      </c>
      <c r="B32" s="66" t="s">
        <v>1546</v>
      </c>
      <c r="C32" s="66" t="s">
        <v>1629</v>
      </c>
      <c r="D32" s="131" t="s">
        <v>1630</v>
      </c>
      <c r="E32" s="42" t="s">
        <v>1549</v>
      </c>
    </row>
    <row r="33" spans="1:5">
      <c r="A33" s="128" t="s">
        <v>1631</v>
      </c>
      <c r="B33" s="66" t="s">
        <v>1546</v>
      </c>
      <c r="C33" s="66" t="s">
        <v>1632</v>
      </c>
      <c r="D33" s="131" t="s">
        <v>1633</v>
      </c>
      <c r="E33" s="42" t="s">
        <v>1549</v>
      </c>
    </row>
    <row r="34" spans="1:5">
      <c r="A34" s="128" t="s">
        <v>1634</v>
      </c>
      <c r="B34" s="66" t="s">
        <v>1546</v>
      </c>
      <c r="C34" s="66" t="s">
        <v>1635</v>
      </c>
      <c r="D34" s="131" t="s">
        <v>1636</v>
      </c>
      <c r="E34" s="42" t="s">
        <v>1549</v>
      </c>
    </row>
    <row r="35" spans="1:5">
      <c r="A35" s="128" t="s">
        <v>1637</v>
      </c>
      <c r="B35" s="66" t="s">
        <v>1546</v>
      </c>
      <c r="C35" s="66" t="s">
        <v>1638</v>
      </c>
      <c r="D35" s="131" t="s">
        <v>1639</v>
      </c>
      <c r="E35" s="42" t="s">
        <v>1549</v>
      </c>
    </row>
    <row r="36" spans="1:5">
      <c r="A36" s="128" t="s">
        <v>1640</v>
      </c>
      <c r="B36" s="66" t="s">
        <v>1546</v>
      </c>
      <c r="C36" s="66" t="s">
        <v>1641</v>
      </c>
      <c r="D36" s="131" t="s">
        <v>1642</v>
      </c>
      <c r="E36" s="42" t="s">
        <v>1549</v>
      </c>
    </row>
    <row r="37" spans="1:5">
      <c r="A37" s="128" t="s">
        <v>1643</v>
      </c>
      <c r="B37" s="66" t="s">
        <v>1546</v>
      </c>
      <c r="C37" s="66" t="s">
        <v>1644</v>
      </c>
      <c r="D37" s="131" t="s">
        <v>1645</v>
      </c>
      <c r="E37" s="42" t="s">
        <v>1549</v>
      </c>
    </row>
    <row r="38" spans="1:5">
      <c r="A38" s="128" t="s">
        <v>1646</v>
      </c>
      <c r="B38" s="66" t="s">
        <v>1546</v>
      </c>
      <c r="C38" s="66" t="s">
        <v>1647</v>
      </c>
      <c r="D38" s="131" t="s">
        <v>1648</v>
      </c>
      <c r="E38" s="42" t="s">
        <v>1549</v>
      </c>
    </row>
    <row r="39" spans="1:5">
      <c r="A39" s="128" t="s">
        <v>1649</v>
      </c>
      <c r="B39" s="66" t="s">
        <v>1546</v>
      </c>
      <c r="C39" s="66" t="s">
        <v>1650</v>
      </c>
      <c r="D39" s="131" t="s">
        <v>1651</v>
      </c>
      <c r="E39" s="42" t="s">
        <v>1549</v>
      </c>
    </row>
    <row r="40" spans="1:5">
      <c r="A40" s="128" t="s">
        <v>1652</v>
      </c>
      <c r="B40" s="66" t="s">
        <v>1546</v>
      </c>
      <c r="C40" s="66" t="s">
        <v>1653</v>
      </c>
      <c r="D40" s="131" t="s">
        <v>1654</v>
      </c>
      <c r="E40" s="42" t="s">
        <v>1549</v>
      </c>
    </row>
    <row r="41" spans="1:5">
      <c r="A41" s="128" t="s">
        <v>1655</v>
      </c>
      <c r="B41" s="66" t="s">
        <v>1546</v>
      </c>
      <c r="C41" s="66" t="s">
        <v>1656</v>
      </c>
      <c r="D41" s="131" t="s">
        <v>1657</v>
      </c>
      <c r="E41" s="42" t="s">
        <v>1549</v>
      </c>
    </row>
    <row r="42" spans="1:5">
      <c r="A42" s="128" t="s">
        <v>1658</v>
      </c>
      <c r="B42" s="66" t="s">
        <v>1659</v>
      </c>
      <c r="C42" s="66" t="s">
        <v>1660</v>
      </c>
      <c r="D42" s="131" t="s">
        <v>1661</v>
      </c>
      <c r="E42" s="42" t="s">
        <v>1662</v>
      </c>
    </row>
    <row r="43" spans="1:5">
      <c r="A43" s="128" t="s">
        <v>1663</v>
      </c>
      <c r="B43" s="66" t="s">
        <v>1659</v>
      </c>
      <c r="C43" s="66" t="s">
        <v>1664</v>
      </c>
      <c r="D43" s="131" t="s">
        <v>1665</v>
      </c>
      <c r="E43" s="42" t="s">
        <v>1662</v>
      </c>
    </row>
    <row r="44" spans="1:5">
      <c r="A44" s="128" t="s">
        <v>1666</v>
      </c>
      <c r="B44" s="66" t="s">
        <v>1659</v>
      </c>
      <c r="C44" s="66" t="s">
        <v>1667</v>
      </c>
      <c r="D44" s="131" t="s">
        <v>1668</v>
      </c>
      <c r="E44" s="42" t="s">
        <v>1662</v>
      </c>
    </row>
    <row r="45" spans="1:5">
      <c r="A45" s="128" t="s">
        <v>1669</v>
      </c>
      <c r="B45" s="66" t="s">
        <v>1659</v>
      </c>
      <c r="C45" s="66" t="s">
        <v>1670</v>
      </c>
      <c r="D45" s="131" t="s">
        <v>1671</v>
      </c>
      <c r="E45" s="42" t="s">
        <v>1672</v>
      </c>
    </row>
    <row r="46" spans="1:5">
      <c r="A46" s="128" t="s">
        <v>1673</v>
      </c>
      <c r="B46" s="66" t="s">
        <v>1659</v>
      </c>
      <c r="C46" s="66" t="s">
        <v>1674</v>
      </c>
      <c r="D46" s="131" t="s">
        <v>1675</v>
      </c>
      <c r="E46" s="42" t="s">
        <v>1672</v>
      </c>
    </row>
    <row r="47" spans="1:5">
      <c r="A47" s="128" t="s">
        <v>1676</v>
      </c>
      <c r="B47" s="66" t="s">
        <v>1659</v>
      </c>
      <c r="C47" s="66" t="s">
        <v>1677</v>
      </c>
      <c r="D47" s="131" t="s">
        <v>1678</v>
      </c>
      <c r="E47" s="42" t="s">
        <v>1672</v>
      </c>
    </row>
    <row r="48" spans="1:5">
      <c r="A48" s="128" t="s">
        <v>1679</v>
      </c>
      <c r="B48" s="66" t="s">
        <v>1659</v>
      </c>
      <c r="C48" s="66" t="s">
        <v>1680</v>
      </c>
      <c r="D48" s="131" t="s">
        <v>1681</v>
      </c>
      <c r="E48" s="42" t="s">
        <v>1682</v>
      </c>
    </row>
    <row r="49" spans="1:5">
      <c r="A49" s="128" t="s">
        <v>1683</v>
      </c>
      <c r="B49" s="66" t="s">
        <v>1659</v>
      </c>
      <c r="C49" s="66" t="s">
        <v>1684</v>
      </c>
      <c r="D49" s="131" t="s">
        <v>1685</v>
      </c>
      <c r="E49" s="42" t="s">
        <v>1682</v>
      </c>
    </row>
    <row r="50" spans="1:5">
      <c r="A50" s="128" t="s">
        <v>1686</v>
      </c>
      <c r="B50" s="66" t="s">
        <v>1659</v>
      </c>
      <c r="C50" s="66" t="s">
        <v>1687</v>
      </c>
      <c r="D50" s="131" t="s">
        <v>1688</v>
      </c>
      <c r="E50" s="42" t="s">
        <v>1689</v>
      </c>
    </row>
    <row r="51" spans="1:5">
      <c r="A51" s="128" t="s">
        <v>1690</v>
      </c>
      <c r="B51" s="66" t="s">
        <v>1659</v>
      </c>
      <c r="C51" s="66" t="s">
        <v>1691</v>
      </c>
      <c r="D51" s="131" t="s">
        <v>1692</v>
      </c>
      <c r="E51" s="42" t="s">
        <v>1689</v>
      </c>
    </row>
    <row r="52" spans="1:5">
      <c r="A52" s="128" t="s">
        <v>1693</v>
      </c>
      <c r="B52" s="66" t="s">
        <v>1659</v>
      </c>
      <c r="C52" s="66" t="s">
        <v>1694</v>
      </c>
      <c r="D52" s="131" t="s">
        <v>1695</v>
      </c>
      <c r="E52" s="42" t="s">
        <v>1696</v>
      </c>
    </row>
    <row r="53" spans="1:5">
      <c r="A53" s="128" t="s">
        <v>1697</v>
      </c>
      <c r="B53" s="66" t="s">
        <v>1659</v>
      </c>
      <c r="C53" s="66" t="s">
        <v>1698</v>
      </c>
      <c r="D53" s="131" t="s">
        <v>1699</v>
      </c>
      <c r="E53" s="42" t="s">
        <v>1689</v>
      </c>
    </row>
    <row r="54" spans="1:5">
      <c r="A54" s="128" t="s">
        <v>1700</v>
      </c>
      <c r="B54" s="66" t="s">
        <v>1659</v>
      </c>
      <c r="C54" s="66" t="s">
        <v>1701</v>
      </c>
      <c r="D54" s="131" t="s">
        <v>1702</v>
      </c>
      <c r="E54" s="42" t="s">
        <v>1703</v>
      </c>
    </row>
    <row r="55" spans="1:5">
      <c r="A55" s="128" t="s">
        <v>1704</v>
      </c>
      <c r="B55" s="66" t="s">
        <v>1659</v>
      </c>
      <c r="C55" s="66" t="s">
        <v>1705</v>
      </c>
      <c r="D55" s="131" t="s">
        <v>1706</v>
      </c>
      <c r="E55" s="42" t="s">
        <v>1707</v>
      </c>
    </row>
    <row r="56" spans="1:5">
      <c r="A56" s="128" t="s">
        <v>1708</v>
      </c>
      <c r="B56" s="66" t="s">
        <v>1659</v>
      </c>
      <c r="C56" s="66" t="s">
        <v>1709</v>
      </c>
      <c r="D56" s="131" t="s">
        <v>1710</v>
      </c>
      <c r="E56" s="42" t="s">
        <v>1707</v>
      </c>
    </row>
    <row r="57" spans="1:5">
      <c r="A57" s="128" t="s">
        <v>1711</v>
      </c>
      <c r="B57" s="66" t="s">
        <v>1659</v>
      </c>
      <c r="C57" s="66" t="s">
        <v>1712</v>
      </c>
      <c r="D57" s="131" t="s">
        <v>1713</v>
      </c>
      <c r="E57" s="42" t="s">
        <v>1707</v>
      </c>
    </row>
    <row r="58" spans="1:5">
      <c r="A58" s="128" t="s">
        <v>1714</v>
      </c>
      <c r="B58" s="66" t="s">
        <v>1659</v>
      </c>
      <c r="C58" s="66" t="s">
        <v>1715</v>
      </c>
      <c r="D58" s="131" t="s">
        <v>1716</v>
      </c>
      <c r="E58" s="42" t="s">
        <v>1707</v>
      </c>
    </row>
    <row r="59" spans="1:5">
      <c r="A59" s="128" t="s">
        <v>1717</v>
      </c>
      <c r="B59" s="66" t="s">
        <v>1718</v>
      </c>
      <c r="C59" s="66" t="s">
        <v>1719</v>
      </c>
      <c r="D59" s="131" t="s">
        <v>1720</v>
      </c>
      <c r="E59" s="42" t="s">
        <v>1721</v>
      </c>
    </row>
    <row r="60" spans="1:5">
      <c r="A60" s="128" t="s">
        <v>1722</v>
      </c>
      <c r="B60" s="66" t="s">
        <v>1718</v>
      </c>
      <c r="C60" s="66" t="s">
        <v>1723</v>
      </c>
      <c r="D60" s="131" t="s">
        <v>1724</v>
      </c>
      <c r="E60" s="42" t="s">
        <v>1721</v>
      </c>
    </row>
    <row r="61" spans="1:5">
      <c r="A61" s="128" t="s">
        <v>1725</v>
      </c>
      <c r="B61" s="66" t="s">
        <v>1718</v>
      </c>
      <c r="C61" s="66" t="s">
        <v>1726</v>
      </c>
      <c r="D61" s="131" t="s">
        <v>1727</v>
      </c>
      <c r="E61" s="42" t="s">
        <v>1721</v>
      </c>
    </row>
    <row r="62" spans="1:5">
      <c r="A62" s="128" t="s">
        <v>1728</v>
      </c>
      <c r="B62" s="66" t="s">
        <v>1718</v>
      </c>
      <c r="C62" s="66" t="s">
        <v>1729</v>
      </c>
      <c r="D62" s="131" t="s">
        <v>1730</v>
      </c>
      <c r="E62" s="42" t="s">
        <v>1721</v>
      </c>
    </row>
    <row r="63" spans="1:5">
      <c r="A63" s="128" t="s">
        <v>1731</v>
      </c>
      <c r="B63" s="66" t="s">
        <v>1718</v>
      </c>
      <c r="C63" s="66" t="s">
        <v>1732</v>
      </c>
      <c r="D63" s="131" t="s">
        <v>1733</v>
      </c>
      <c r="E63" s="42" t="s">
        <v>1721</v>
      </c>
    </row>
    <row r="64" spans="1:5">
      <c r="A64" s="128" t="s">
        <v>1734</v>
      </c>
      <c r="B64" s="66" t="s">
        <v>1718</v>
      </c>
      <c r="C64" s="66" t="s">
        <v>1735</v>
      </c>
      <c r="D64" s="131" t="s">
        <v>1736</v>
      </c>
      <c r="E64" s="42" t="s">
        <v>1721</v>
      </c>
    </row>
    <row r="65" spans="1:5">
      <c r="A65" s="128" t="s">
        <v>1737</v>
      </c>
      <c r="B65" s="66" t="s">
        <v>1718</v>
      </c>
      <c r="C65" s="66" t="s">
        <v>1738</v>
      </c>
      <c r="D65" s="131" t="s">
        <v>1739</v>
      </c>
      <c r="E65" s="42" t="s">
        <v>1721</v>
      </c>
    </row>
    <row r="66" spans="1:5">
      <c r="A66" s="128" t="s">
        <v>1740</v>
      </c>
      <c r="B66" s="66" t="s">
        <v>1718</v>
      </c>
      <c r="C66" s="66" t="s">
        <v>1741</v>
      </c>
      <c r="D66" s="131" t="s">
        <v>1742</v>
      </c>
      <c r="E66" s="42" t="s">
        <v>1721</v>
      </c>
    </row>
    <row r="67" spans="1:5">
      <c r="A67" s="128" t="s">
        <v>1743</v>
      </c>
      <c r="B67" s="66" t="s">
        <v>1718</v>
      </c>
      <c r="C67" s="66" t="s">
        <v>1744</v>
      </c>
      <c r="D67" s="131" t="s">
        <v>1745</v>
      </c>
      <c r="E67" s="42" t="s">
        <v>1721</v>
      </c>
    </row>
    <row r="68" spans="1:5">
      <c r="A68" s="128" t="s">
        <v>1746</v>
      </c>
      <c r="B68" s="66" t="s">
        <v>1718</v>
      </c>
      <c r="C68" s="66" t="s">
        <v>1747</v>
      </c>
      <c r="D68" s="131" t="s">
        <v>1748</v>
      </c>
      <c r="E68" s="42" t="s">
        <v>1721</v>
      </c>
    </row>
    <row r="69" spans="1:5">
      <c r="A69" s="128" t="s">
        <v>1749</v>
      </c>
      <c r="B69" s="66" t="s">
        <v>1718</v>
      </c>
      <c r="C69" s="66" t="s">
        <v>1750</v>
      </c>
      <c r="D69" s="131" t="s">
        <v>1751</v>
      </c>
      <c r="E69" s="42" t="s">
        <v>1721</v>
      </c>
    </row>
    <row r="70" spans="1:5">
      <c r="A70" s="128" t="s">
        <v>1752</v>
      </c>
      <c r="B70" s="66" t="s">
        <v>1718</v>
      </c>
      <c r="C70" s="66" t="s">
        <v>1753</v>
      </c>
      <c r="D70" s="131" t="s">
        <v>1754</v>
      </c>
      <c r="E70" s="42" t="s">
        <v>1721</v>
      </c>
    </row>
    <row r="71" spans="1:5">
      <c r="A71" s="128" t="s">
        <v>1755</v>
      </c>
      <c r="B71" s="66" t="s">
        <v>1718</v>
      </c>
      <c r="C71" s="66" t="s">
        <v>1756</v>
      </c>
      <c r="D71" s="131" t="s">
        <v>1757</v>
      </c>
      <c r="E71" s="42" t="s">
        <v>1721</v>
      </c>
    </row>
    <row r="72" spans="1:5">
      <c r="A72" s="128" t="s">
        <v>1758</v>
      </c>
      <c r="B72" s="66" t="s">
        <v>1718</v>
      </c>
      <c r="C72" s="66" t="s">
        <v>1759</v>
      </c>
      <c r="D72" s="131" t="s">
        <v>1760</v>
      </c>
      <c r="E72" s="42" t="s">
        <v>1721</v>
      </c>
    </row>
    <row r="73" spans="1:5">
      <c r="A73" s="128" t="s">
        <v>1761</v>
      </c>
      <c r="B73" s="66" t="s">
        <v>1718</v>
      </c>
      <c r="C73" s="66" t="s">
        <v>1762</v>
      </c>
      <c r="D73" s="131" t="s">
        <v>1763</v>
      </c>
      <c r="E73" s="42" t="s">
        <v>1721</v>
      </c>
    </row>
    <row r="74" spans="1:5">
      <c r="A74" s="128" t="s">
        <v>1764</v>
      </c>
      <c r="B74" s="66" t="s">
        <v>1718</v>
      </c>
      <c r="C74" s="66" t="s">
        <v>1765</v>
      </c>
      <c r="D74" s="131" t="s">
        <v>1766</v>
      </c>
      <c r="E74" s="42" t="s">
        <v>1721</v>
      </c>
    </row>
    <row r="75" spans="1:5">
      <c r="A75" s="128" t="s">
        <v>1767</v>
      </c>
      <c r="B75" s="66" t="s">
        <v>1718</v>
      </c>
      <c r="C75" s="66" t="s">
        <v>1768</v>
      </c>
      <c r="D75" s="131" t="s">
        <v>1769</v>
      </c>
      <c r="E75" s="42" t="s">
        <v>1721</v>
      </c>
    </row>
    <row r="76" spans="1:5">
      <c r="A76" s="128" t="s">
        <v>1770</v>
      </c>
      <c r="B76" s="66" t="s">
        <v>1718</v>
      </c>
      <c r="C76" s="66" t="s">
        <v>1771</v>
      </c>
      <c r="D76" s="131" t="s">
        <v>1772</v>
      </c>
      <c r="E76" s="42" t="s">
        <v>1721</v>
      </c>
    </row>
    <row r="77" spans="1:5">
      <c r="A77" s="128" t="s">
        <v>1773</v>
      </c>
      <c r="B77" s="66" t="s">
        <v>1718</v>
      </c>
      <c r="C77" s="66" t="s">
        <v>1774</v>
      </c>
      <c r="D77" s="131" t="s">
        <v>1775</v>
      </c>
      <c r="E77" s="42" t="s">
        <v>1721</v>
      </c>
    </row>
    <row r="78" spans="1:5">
      <c r="A78" s="128" t="s">
        <v>1776</v>
      </c>
      <c r="B78" s="66" t="s">
        <v>1718</v>
      </c>
      <c r="C78" s="66" t="s">
        <v>1777</v>
      </c>
      <c r="D78" s="131" t="s">
        <v>1778</v>
      </c>
      <c r="E78" s="42" t="s">
        <v>1721</v>
      </c>
    </row>
    <row r="79" spans="1:5">
      <c r="A79" s="128" t="s">
        <v>1422</v>
      </c>
      <c r="B79" s="66" t="s">
        <v>1718</v>
      </c>
      <c r="C79" s="66" t="s">
        <v>1423</v>
      </c>
      <c r="D79" s="131" t="s">
        <v>1779</v>
      </c>
      <c r="E79" s="42" t="s">
        <v>1721</v>
      </c>
    </row>
    <row r="80" spans="1:5">
      <c r="A80" s="128" t="s">
        <v>1780</v>
      </c>
      <c r="B80" s="66" t="s">
        <v>1718</v>
      </c>
      <c r="C80" s="66" t="s">
        <v>1781</v>
      </c>
      <c r="D80" s="131" t="s">
        <v>1782</v>
      </c>
      <c r="E80" s="42" t="s">
        <v>1721</v>
      </c>
    </row>
    <row r="81" spans="1:5">
      <c r="A81" s="128" t="s">
        <v>1783</v>
      </c>
      <c r="B81" s="66" t="s">
        <v>1718</v>
      </c>
      <c r="C81" s="66" t="s">
        <v>1784</v>
      </c>
      <c r="D81" s="131" t="s">
        <v>1785</v>
      </c>
      <c r="E81" s="42" t="s">
        <v>1721</v>
      </c>
    </row>
    <row r="82" spans="1:5">
      <c r="A82" s="128" t="s">
        <v>1786</v>
      </c>
      <c r="B82" s="66" t="s">
        <v>1718</v>
      </c>
      <c r="C82" s="66" t="s">
        <v>1787</v>
      </c>
      <c r="D82" s="131" t="s">
        <v>1788</v>
      </c>
      <c r="E82" s="42" t="s">
        <v>1721</v>
      </c>
    </row>
    <row r="83" spans="1:5">
      <c r="A83" s="128" t="s">
        <v>1789</v>
      </c>
      <c r="B83" s="66" t="s">
        <v>1718</v>
      </c>
      <c r="C83" s="66" t="s">
        <v>1790</v>
      </c>
      <c r="D83" s="131" t="s">
        <v>1791</v>
      </c>
      <c r="E83" s="42" t="s">
        <v>1721</v>
      </c>
    </row>
    <row r="84" spans="1:5">
      <c r="A84" s="129" t="s">
        <v>1792</v>
      </c>
      <c r="B84" s="70" t="s">
        <v>1718</v>
      </c>
      <c r="C84" s="70" t="s">
        <v>1793</v>
      </c>
      <c r="D84" s="132" t="s">
        <v>1794</v>
      </c>
      <c r="E84" s="46" t="s">
        <v>1721</v>
      </c>
    </row>
    <row r="85" spans="1:5">
      <c r="A85" s="130" t="s">
        <v>1795</v>
      </c>
      <c r="B85" s="63" t="s">
        <v>1796</v>
      </c>
      <c r="C85" s="63" t="s">
        <v>1797</v>
      </c>
      <c r="D85" s="133" t="s">
        <v>1798</v>
      </c>
      <c r="E85" s="134" t="s">
        <v>1799</v>
      </c>
    </row>
    <row r="86" spans="1:5">
      <c r="A86" s="130" t="s">
        <v>1800</v>
      </c>
      <c r="B86" s="63" t="s">
        <v>1796</v>
      </c>
      <c r="C86" s="63" t="s">
        <v>1801</v>
      </c>
      <c r="D86" s="133" t="s">
        <v>1802</v>
      </c>
      <c r="E86" s="134" t="s">
        <v>1803</v>
      </c>
    </row>
    <row r="87" spans="1:5">
      <c r="A87" s="130" t="s">
        <v>1804</v>
      </c>
      <c r="B87" s="63" t="s">
        <v>1796</v>
      </c>
      <c r="C87" s="63" t="s">
        <v>1805</v>
      </c>
      <c r="D87" s="133" t="s">
        <v>1058</v>
      </c>
      <c r="E87" s="134" t="s">
        <v>1806</v>
      </c>
    </row>
    <row r="88" spans="1:5">
      <c r="A88" s="130" t="s">
        <v>1807</v>
      </c>
      <c r="B88" s="63" t="s">
        <v>1796</v>
      </c>
      <c r="C88" s="63" t="s">
        <v>1808</v>
      </c>
      <c r="D88" s="133" t="s">
        <v>1068</v>
      </c>
      <c r="E88" s="134" t="s">
        <v>1809</v>
      </c>
    </row>
    <row r="89" spans="1:5">
      <c r="A89" s="130" t="s">
        <v>1810</v>
      </c>
      <c r="B89" s="63" t="s">
        <v>1796</v>
      </c>
      <c r="C89" s="63" t="s">
        <v>1811</v>
      </c>
      <c r="D89" s="133" t="s">
        <v>1812</v>
      </c>
      <c r="E89" s="134" t="s">
        <v>1813</v>
      </c>
    </row>
    <row r="90" spans="1:5">
      <c r="A90" s="130" t="s">
        <v>1814</v>
      </c>
      <c r="B90" s="63" t="s">
        <v>1796</v>
      </c>
      <c r="C90" s="63" t="s">
        <v>1815</v>
      </c>
      <c r="D90" s="133" t="s">
        <v>1052</v>
      </c>
      <c r="E90" s="134" t="s">
        <v>1816</v>
      </c>
    </row>
    <row r="91" spans="1:5">
      <c r="A91" s="130" t="s">
        <v>1817</v>
      </c>
      <c r="B91" s="63" t="s">
        <v>1796</v>
      </c>
      <c r="C91" s="63" t="s">
        <v>1818</v>
      </c>
      <c r="D91" s="133" t="s">
        <v>1819</v>
      </c>
      <c r="E91" s="134" t="s">
        <v>1820</v>
      </c>
    </row>
    <row r="92" spans="1:5">
      <c r="A92" s="130" t="s">
        <v>1821</v>
      </c>
      <c r="B92" s="63" t="s">
        <v>1796</v>
      </c>
      <c r="C92" s="63" t="s">
        <v>1822</v>
      </c>
      <c r="D92" s="133" t="s">
        <v>1823</v>
      </c>
      <c r="E92" s="134" t="s">
        <v>1824</v>
      </c>
    </row>
    <row r="93" spans="1:5">
      <c r="A93" s="130" t="s">
        <v>1825</v>
      </c>
      <c r="B93" s="63" t="s">
        <v>1796</v>
      </c>
      <c r="C93" s="63" t="s">
        <v>1826</v>
      </c>
      <c r="D93" s="133" t="s">
        <v>1827</v>
      </c>
      <c r="E93" s="134" t="s">
        <v>1828</v>
      </c>
    </row>
    <row r="94" spans="1:5">
      <c r="A94" s="130" t="s">
        <v>1829</v>
      </c>
      <c r="B94" s="63" t="s">
        <v>1796</v>
      </c>
      <c r="C94" s="63" t="s">
        <v>1830</v>
      </c>
      <c r="D94" s="133" t="s">
        <v>1831</v>
      </c>
      <c r="E94" s="134" t="s">
        <v>1832</v>
      </c>
    </row>
    <row r="95" spans="1:5">
      <c r="A95" s="130" t="s">
        <v>1833</v>
      </c>
      <c r="B95" s="63" t="s">
        <v>1796</v>
      </c>
      <c r="C95" s="63" t="s">
        <v>1834</v>
      </c>
      <c r="D95" s="133" t="s">
        <v>1078</v>
      </c>
      <c r="E95" s="134" t="s">
        <v>1835</v>
      </c>
    </row>
    <row r="96" spans="1:5">
      <c r="A96" s="130" t="s">
        <v>1836</v>
      </c>
      <c r="B96" s="63" t="s">
        <v>1796</v>
      </c>
      <c r="C96" s="63" t="s">
        <v>1837</v>
      </c>
      <c r="D96" s="133" t="s">
        <v>1076</v>
      </c>
      <c r="E96" s="134" t="s">
        <v>1838</v>
      </c>
    </row>
    <row r="97" spans="1:5">
      <c r="A97" s="130" t="s">
        <v>1839</v>
      </c>
      <c r="B97" s="63" t="s">
        <v>1840</v>
      </c>
      <c r="C97" s="63" t="s">
        <v>1841</v>
      </c>
      <c r="D97" s="133" t="s">
        <v>1842</v>
      </c>
      <c r="E97" s="134" t="s">
        <v>1843</v>
      </c>
    </row>
    <row r="98" spans="1:5">
      <c r="A98" s="130" t="s">
        <v>1844</v>
      </c>
      <c r="B98" s="63" t="s">
        <v>1840</v>
      </c>
      <c r="C98" s="63" t="s">
        <v>1845</v>
      </c>
      <c r="D98" s="133" t="s">
        <v>1846</v>
      </c>
      <c r="E98" s="134" t="s">
        <v>1847</v>
      </c>
    </row>
    <row r="99" spans="1:5">
      <c r="A99" s="130" t="s">
        <v>1848</v>
      </c>
      <c r="B99" s="63" t="s">
        <v>1840</v>
      </c>
      <c r="C99" s="63" t="s">
        <v>1849</v>
      </c>
      <c r="D99" s="133" t="s">
        <v>1850</v>
      </c>
      <c r="E99" s="134" t="s">
        <v>1851</v>
      </c>
    </row>
    <row r="100" spans="1:5">
      <c r="A100" s="130" t="s">
        <v>1852</v>
      </c>
      <c r="B100" s="63" t="s">
        <v>1840</v>
      </c>
      <c r="C100" s="63" t="s">
        <v>1853</v>
      </c>
      <c r="D100" s="133" t="s">
        <v>1854</v>
      </c>
      <c r="E100" s="134" t="s">
        <v>1855</v>
      </c>
    </row>
    <row r="101" spans="1:5">
      <c r="A101" s="130" t="s">
        <v>1856</v>
      </c>
      <c r="B101" s="63" t="s">
        <v>1840</v>
      </c>
      <c r="C101" s="63" t="s">
        <v>1857</v>
      </c>
      <c r="D101" s="133" t="s">
        <v>1113</v>
      </c>
      <c r="E101" s="134" t="s">
        <v>1858</v>
      </c>
    </row>
    <row r="102" spans="1:5">
      <c r="A102" s="130" t="s">
        <v>1859</v>
      </c>
      <c r="B102" s="63" t="s">
        <v>1840</v>
      </c>
      <c r="C102" s="63" t="s">
        <v>1860</v>
      </c>
      <c r="D102" s="133" t="s">
        <v>1861</v>
      </c>
      <c r="E102" s="134" t="s">
        <v>1862</v>
      </c>
    </row>
    <row r="103" spans="1:5">
      <c r="A103" s="130" t="s">
        <v>1863</v>
      </c>
      <c r="B103" s="63" t="s">
        <v>1840</v>
      </c>
      <c r="C103" s="63" t="s">
        <v>1864</v>
      </c>
      <c r="D103" s="133" t="s">
        <v>1865</v>
      </c>
      <c r="E103" s="134" t="s">
        <v>1866</v>
      </c>
    </row>
    <row r="104" spans="1:5">
      <c r="A104" s="130" t="s">
        <v>1867</v>
      </c>
      <c r="B104" s="63" t="s">
        <v>1840</v>
      </c>
      <c r="C104" s="63" t="s">
        <v>1868</v>
      </c>
      <c r="D104" s="133" t="s">
        <v>1869</v>
      </c>
      <c r="E104" s="134" t="s">
        <v>1870</v>
      </c>
    </row>
    <row r="105" spans="1:5">
      <c r="A105" s="130" t="s">
        <v>1871</v>
      </c>
      <c r="B105" s="63" t="s">
        <v>1840</v>
      </c>
      <c r="C105" s="63" t="s">
        <v>1872</v>
      </c>
      <c r="D105" s="133" t="s">
        <v>1873</v>
      </c>
      <c r="E105" s="134" t="s">
        <v>1874</v>
      </c>
    </row>
    <row r="106" spans="1:5">
      <c r="A106" s="130" t="s">
        <v>1875</v>
      </c>
      <c r="B106" s="63" t="s">
        <v>1840</v>
      </c>
      <c r="C106" s="63" t="s">
        <v>1876</v>
      </c>
      <c r="D106" s="133" t="s">
        <v>1877</v>
      </c>
      <c r="E106" s="134" t="s">
        <v>1878</v>
      </c>
    </row>
    <row r="107" spans="1:5">
      <c r="A107" s="130" t="s">
        <v>1879</v>
      </c>
      <c r="B107" s="63" t="s">
        <v>1840</v>
      </c>
      <c r="C107" s="63" t="s">
        <v>1880</v>
      </c>
      <c r="D107" s="133" t="s">
        <v>1881</v>
      </c>
      <c r="E107" s="134" t="s">
        <v>1882</v>
      </c>
    </row>
    <row r="108" spans="1:5">
      <c r="A108" s="130" t="s">
        <v>1883</v>
      </c>
      <c r="B108" s="63" t="s">
        <v>1840</v>
      </c>
      <c r="C108" s="63" t="s">
        <v>1884</v>
      </c>
      <c r="D108" s="133" t="s">
        <v>1885</v>
      </c>
      <c r="E108" s="134" t="s">
        <v>1886</v>
      </c>
    </row>
    <row r="109" spans="1:5">
      <c r="A109" s="130" t="s">
        <v>1887</v>
      </c>
      <c r="B109" s="63" t="s">
        <v>1840</v>
      </c>
      <c r="C109" s="63" t="s">
        <v>1888</v>
      </c>
      <c r="D109" s="133" t="s">
        <v>1889</v>
      </c>
      <c r="E109" s="134" t="s">
        <v>1890</v>
      </c>
    </row>
    <row r="110" spans="1:5">
      <c r="A110" s="130" t="s">
        <v>1891</v>
      </c>
      <c r="B110" s="63" t="s">
        <v>1840</v>
      </c>
      <c r="C110" s="63" t="s">
        <v>1892</v>
      </c>
      <c r="D110" s="133" t="s">
        <v>1118</v>
      </c>
      <c r="E110" s="134" t="s">
        <v>1893</v>
      </c>
    </row>
    <row r="111" spans="1:5">
      <c r="A111" s="130" t="s">
        <v>1894</v>
      </c>
      <c r="B111" s="63" t="s">
        <v>1840</v>
      </c>
      <c r="C111" s="63" t="s">
        <v>1895</v>
      </c>
      <c r="D111" s="133" t="s">
        <v>1103</v>
      </c>
      <c r="E111" s="134" t="s">
        <v>1896</v>
      </c>
    </row>
    <row r="112" spans="1:5">
      <c r="A112" s="130" t="s">
        <v>1897</v>
      </c>
      <c r="B112" s="63" t="s">
        <v>1840</v>
      </c>
      <c r="C112" s="63" t="s">
        <v>1898</v>
      </c>
      <c r="D112" s="133" t="s">
        <v>1091</v>
      </c>
      <c r="E112" s="134" t="s">
        <v>1899</v>
      </c>
    </row>
    <row r="113" spans="1:5">
      <c r="A113" s="130" t="s">
        <v>1900</v>
      </c>
      <c r="B113" s="63" t="s">
        <v>1840</v>
      </c>
      <c r="C113" s="63" t="s">
        <v>1901</v>
      </c>
      <c r="D113" s="133" t="s">
        <v>1902</v>
      </c>
      <c r="E113" s="134" t="s">
        <v>1903</v>
      </c>
    </row>
    <row r="114" spans="1:5">
      <c r="A114" s="130" t="s">
        <v>1904</v>
      </c>
      <c r="B114" s="63" t="s">
        <v>1840</v>
      </c>
      <c r="C114" s="63" t="s">
        <v>1905</v>
      </c>
      <c r="D114" s="133" t="s">
        <v>1109</v>
      </c>
      <c r="E114" s="134" t="s">
        <v>1906</v>
      </c>
    </row>
    <row r="115" spans="1:5">
      <c r="A115" s="130" t="s">
        <v>1907</v>
      </c>
      <c r="B115" s="63" t="s">
        <v>1840</v>
      </c>
      <c r="C115" s="63" t="s">
        <v>1908</v>
      </c>
      <c r="D115" s="133" t="s">
        <v>1104</v>
      </c>
      <c r="E115" s="134" t="s">
        <v>1909</v>
      </c>
    </row>
    <row r="116" spans="1:5">
      <c r="A116" s="130" t="s">
        <v>1910</v>
      </c>
      <c r="B116" s="63" t="s">
        <v>1840</v>
      </c>
      <c r="C116" s="63" t="s">
        <v>1911</v>
      </c>
      <c r="D116" s="133" t="s">
        <v>1085</v>
      </c>
      <c r="E116" s="134" t="s">
        <v>1912</v>
      </c>
    </row>
    <row r="117" spans="1:5">
      <c r="A117" s="130" t="s">
        <v>1913</v>
      </c>
      <c r="B117" s="63" t="s">
        <v>1914</v>
      </c>
      <c r="C117" s="63" t="s">
        <v>1915</v>
      </c>
      <c r="D117" s="133" t="s">
        <v>1132</v>
      </c>
      <c r="E117" s="134" t="s">
        <v>1916</v>
      </c>
    </row>
    <row r="118" spans="1:5">
      <c r="A118" s="130" t="s">
        <v>1917</v>
      </c>
      <c r="B118" s="63" t="s">
        <v>1914</v>
      </c>
      <c r="C118" s="63" t="s">
        <v>1918</v>
      </c>
      <c r="D118" s="133" t="s">
        <v>1137</v>
      </c>
      <c r="E118" s="134" t="s">
        <v>1919</v>
      </c>
    </row>
    <row r="119" spans="1:5">
      <c r="A119" s="130" t="s">
        <v>1920</v>
      </c>
      <c r="B119" s="63" t="s">
        <v>1914</v>
      </c>
      <c r="C119" s="63" t="s">
        <v>1921</v>
      </c>
      <c r="D119" s="133" t="s">
        <v>1922</v>
      </c>
      <c r="E119" s="134" t="s">
        <v>1923</v>
      </c>
    </row>
    <row r="120" spans="1:5">
      <c r="A120" s="130" t="s">
        <v>1924</v>
      </c>
      <c r="B120" s="63" t="s">
        <v>1914</v>
      </c>
      <c r="C120" s="63" t="s">
        <v>1925</v>
      </c>
      <c r="D120" s="133" t="s">
        <v>1142</v>
      </c>
      <c r="E120" s="134" t="s">
        <v>1926</v>
      </c>
    </row>
    <row r="121" spans="1:5">
      <c r="A121" s="130" t="s">
        <v>1927</v>
      </c>
      <c r="B121" s="63" t="s">
        <v>1914</v>
      </c>
      <c r="C121" s="63" t="s">
        <v>1928</v>
      </c>
      <c r="D121" s="133" t="s">
        <v>1929</v>
      </c>
      <c r="E121" s="134" t="s">
        <v>1930</v>
      </c>
    </row>
    <row r="122" spans="1:5">
      <c r="A122" s="130" t="s">
        <v>1931</v>
      </c>
      <c r="B122" s="63" t="s">
        <v>1914</v>
      </c>
      <c r="C122" s="63" t="s">
        <v>1932</v>
      </c>
      <c r="D122" s="133" t="s">
        <v>1933</v>
      </c>
      <c r="E122" s="134" t="s">
        <v>1934</v>
      </c>
    </row>
    <row r="123" spans="1:5">
      <c r="A123" s="130" t="s">
        <v>1935</v>
      </c>
      <c r="B123" s="63" t="s">
        <v>1914</v>
      </c>
      <c r="C123" s="63" t="s">
        <v>1936</v>
      </c>
      <c r="D123" s="133" t="s">
        <v>1150</v>
      </c>
      <c r="E123" s="134" t="s">
        <v>1937</v>
      </c>
    </row>
    <row r="124" spans="1:5">
      <c r="A124" s="130" t="s">
        <v>1938</v>
      </c>
      <c r="B124" s="63" t="s">
        <v>1914</v>
      </c>
      <c r="C124" s="63" t="s">
        <v>1939</v>
      </c>
      <c r="D124" s="133" t="s">
        <v>1940</v>
      </c>
      <c r="E124" s="134" t="s">
        <v>1937</v>
      </c>
    </row>
    <row r="125" spans="1:5">
      <c r="A125" s="130" t="s">
        <v>1941</v>
      </c>
      <c r="B125" s="63" t="s">
        <v>1914</v>
      </c>
      <c r="C125" s="63" t="s">
        <v>1942</v>
      </c>
      <c r="D125" s="133" t="s">
        <v>1943</v>
      </c>
      <c r="E125" s="134" t="s">
        <v>1944</v>
      </c>
    </row>
    <row r="126" spans="1:5">
      <c r="A126" s="130" t="s">
        <v>1945</v>
      </c>
      <c r="B126" s="63" t="s">
        <v>1914</v>
      </c>
      <c r="C126" s="63" t="s">
        <v>1946</v>
      </c>
      <c r="D126" s="133" t="s">
        <v>1947</v>
      </c>
      <c r="E126" s="134" t="s">
        <v>1948</v>
      </c>
    </row>
    <row r="127" spans="1:5">
      <c r="A127" s="130" t="s">
        <v>1949</v>
      </c>
      <c r="B127" s="63" t="s">
        <v>1914</v>
      </c>
      <c r="C127" s="63" t="s">
        <v>1950</v>
      </c>
      <c r="D127" s="133" t="s">
        <v>1157</v>
      </c>
      <c r="E127" s="134" t="s">
        <v>1951</v>
      </c>
    </row>
    <row r="128" spans="1:5">
      <c r="A128" s="130" t="s">
        <v>1952</v>
      </c>
      <c r="B128" s="63" t="s">
        <v>1914</v>
      </c>
      <c r="C128" s="63" t="s">
        <v>1953</v>
      </c>
      <c r="D128" s="133" t="s">
        <v>1954</v>
      </c>
      <c r="E128" s="134" t="s">
        <v>1955</v>
      </c>
    </row>
    <row r="129" spans="1:5">
      <c r="A129" s="130" t="s">
        <v>1956</v>
      </c>
      <c r="B129" s="63" t="s">
        <v>1914</v>
      </c>
      <c r="C129" s="63" t="s">
        <v>1957</v>
      </c>
      <c r="D129" s="133" t="s">
        <v>1155</v>
      </c>
      <c r="E129" s="134" t="s">
        <v>1958</v>
      </c>
    </row>
    <row r="130" spans="1:5">
      <c r="A130" s="130" t="s">
        <v>1959</v>
      </c>
      <c r="B130" s="63" t="s">
        <v>1914</v>
      </c>
      <c r="C130" s="63" t="s">
        <v>1960</v>
      </c>
      <c r="D130" s="133" t="s">
        <v>1961</v>
      </c>
      <c r="E130" s="134" t="s">
        <v>1962</v>
      </c>
    </row>
    <row r="131" spans="1:5">
      <c r="A131" s="130" t="s">
        <v>1963</v>
      </c>
      <c r="B131" s="63" t="s">
        <v>1964</v>
      </c>
      <c r="C131" s="63" t="s">
        <v>1965</v>
      </c>
      <c r="D131" s="133" t="s">
        <v>1966</v>
      </c>
      <c r="E131" s="134" t="s">
        <v>1967</v>
      </c>
    </row>
    <row r="132" spans="1:5">
      <c r="A132" s="130" t="s">
        <v>1968</v>
      </c>
      <c r="B132" s="63" t="s">
        <v>1964</v>
      </c>
      <c r="C132" s="63" t="s">
        <v>1969</v>
      </c>
      <c r="D132" s="133" t="s">
        <v>1970</v>
      </c>
      <c r="E132" s="134" t="s">
        <v>1971</v>
      </c>
    </row>
    <row r="133" spans="1:5">
      <c r="A133" s="130" t="s">
        <v>1972</v>
      </c>
      <c r="B133" s="63" t="s">
        <v>1964</v>
      </c>
      <c r="C133" s="63" t="s">
        <v>1973</v>
      </c>
      <c r="D133" s="133" t="s">
        <v>1974</v>
      </c>
      <c r="E133" s="134" t="s">
        <v>1975</v>
      </c>
    </row>
    <row r="134" spans="1:5">
      <c r="A134" s="130" t="s">
        <v>1976</v>
      </c>
      <c r="B134" s="63" t="s">
        <v>1964</v>
      </c>
      <c r="C134" s="63" t="s">
        <v>1977</v>
      </c>
      <c r="D134" s="133" t="s">
        <v>1183</v>
      </c>
      <c r="E134" s="134" t="s">
        <v>1978</v>
      </c>
    </row>
    <row r="135" spans="1:5">
      <c r="A135" s="130" t="s">
        <v>1979</v>
      </c>
      <c r="B135" s="63" t="s">
        <v>1964</v>
      </c>
      <c r="C135" s="63" t="s">
        <v>1980</v>
      </c>
      <c r="D135" s="133" t="s">
        <v>1199</v>
      </c>
      <c r="E135" s="134" t="s">
        <v>1981</v>
      </c>
    </row>
    <row r="136" spans="1:5">
      <c r="A136" s="130" t="s">
        <v>1982</v>
      </c>
      <c r="B136" s="63" t="s">
        <v>1964</v>
      </c>
      <c r="C136" s="63" t="s">
        <v>1983</v>
      </c>
      <c r="D136" s="133" t="s">
        <v>1984</v>
      </c>
      <c r="E136" s="134" t="s">
        <v>1985</v>
      </c>
    </row>
    <row r="137" spans="1:5">
      <c r="A137" s="130" t="s">
        <v>1986</v>
      </c>
      <c r="B137" s="63" t="s">
        <v>1964</v>
      </c>
      <c r="C137" s="63" t="s">
        <v>1987</v>
      </c>
      <c r="D137" s="133" t="s">
        <v>1988</v>
      </c>
      <c r="E137" s="134" t="s">
        <v>1989</v>
      </c>
    </row>
    <row r="138" spans="1:5">
      <c r="A138" s="130" t="s">
        <v>1990</v>
      </c>
      <c r="B138" s="63" t="s">
        <v>1964</v>
      </c>
      <c r="C138" s="63" t="s">
        <v>1991</v>
      </c>
      <c r="D138" s="133" t="s">
        <v>1992</v>
      </c>
      <c r="E138" s="134" t="s">
        <v>1993</v>
      </c>
    </row>
    <row r="139" spans="1:5">
      <c r="A139" s="130" t="s">
        <v>1994</v>
      </c>
      <c r="B139" s="63" t="s">
        <v>1964</v>
      </c>
      <c r="C139" s="63" t="s">
        <v>1995</v>
      </c>
      <c r="D139" s="133" t="s">
        <v>1996</v>
      </c>
      <c r="E139" s="134" t="s">
        <v>1997</v>
      </c>
    </row>
    <row r="140" spans="1:5">
      <c r="A140" s="130" t="s">
        <v>1998</v>
      </c>
      <c r="B140" s="63" t="s">
        <v>1964</v>
      </c>
      <c r="C140" s="63" t="s">
        <v>1999</v>
      </c>
      <c r="D140" s="133" t="s">
        <v>1187</v>
      </c>
      <c r="E140" s="134" t="s">
        <v>2000</v>
      </c>
    </row>
    <row r="141" spans="1:5">
      <c r="A141" s="130" t="s">
        <v>2001</v>
      </c>
      <c r="B141" s="63" t="s">
        <v>1964</v>
      </c>
      <c r="C141" s="63" t="s">
        <v>2002</v>
      </c>
      <c r="D141" s="133" t="s">
        <v>2003</v>
      </c>
      <c r="E141" s="134" t="s">
        <v>2004</v>
      </c>
    </row>
    <row r="142" spans="1:5">
      <c r="A142" s="130" t="s">
        <v>2005</v>
      </c>
      <c r="B142" s="63" t="s">
        <v>1964</v>
      </c>
      <c r="C142" s="63" t="s">
        <v>2006</v>
      </c>
      <c r="D142" s="133" t="s">
        <v>2007</v>
      </c>
      <c r="E142" s="134" t="s">
        <v>2008</v>
      </c>
    </row>
    <row r="143" spans="1:5">
      <c r="A143" s="130" t="s">
        <v>2009</v>
      </c>
      <c r="B143" s="63" t="s">
        <v>1964</v>
      </c>
      <c r="C143" s="63" t="s">
        <v>2010</v>
      </c>
      <c r="D143" s="133" t="s">
        <v>1181</v>
      </c>
      <c r="E143" s="134" t="s">
        <v>2011</v>
      </c>
    </row>
    <row r="144" spans="1:5">
      <c r="A144" s="130" t="s">
        <v>2012</v>
      </c>
      <c r="B144" s="63" t="s">
        <v>2013</v>
      </c>
      <c r="C144" s="63" t="s">
        <v>2014</v>
      </c>
      <c r="D144" s="133" t="s">
        <v>2015</v>
      </c>
      <c r="E144" s="134" t="s">
        <v>2016</v>
      </c>
    </row>
    <row r="145" spans="1:5">
      <c r="A145" s="130" t="s">
        <v>2017</v>
      </c>
      <c r="B145" s="63" t="s">
        <v>2013</v>
      </c>
      <c r="C145" s="63" t="s">
        <v>2018</v>
      </c>
      <c r="D145" s="133" t="s">
        <v>2019</v>
      </c>
      <c r="E145" s="134" t="s">
        <v>2020</v>
      </c>
    </row>
    <row r="146" spans="1:5">
      <c r="A146" s="130" t="s">
        <v>2021</v>
      </c>
      <c r="B146" s="63" t="s">
        <v>2013</v>
      </c>
      <c r="C146" s="63" t="s">
        <v>2022</v>
      </c>
      <c r="D146" s="133" t="s">
        <v>2023</v>
      </c>
      <c r="E146" s="134" t="s">
        <v>2024</v>
      </c>
    </row>
    <row r="147" spans="1:5">
      <c r="A147" s="130" t="s">
        <v>2025</v>
      </c>
      <c r="B147" s="63" t="s">
        <v>2013</v>
      </c>
      <c r="C147" s="63" t="s">
        <v>2026</v>
      </c>
      <c r="D147" s="133" t="s">
        <v>1393</v>
      </c>
      <c r="E147" s="134" t="s">
        <v>2027</v>
      </c>
    </row>
    <row r="148" spans="1:5">
      <c r="A148" s="130" t="s">
        <v>2028</v>
      </c>
      <c r="B148" s="63" t="s">
        <v>2013</v>
      </c>
      <c r="C148" s="63" t="s">
        <v>2029</v>
      </c>
      <c r="D148" s="133" t="s">
        <v>1216</v>
      </c>
      <c r="E148" s="134" t="s">
        <v>2030</v>
      </c>
    </row>
    <row r="149" spans="1:5">
      <c r="A149" s="130" t="s">
        <v>2031</v>
      </c>
      <c r="B149" s="63" t="s">
        <v>2013</v>
      </c>
      <c r="C149" s="63" t="s">
        <v>2032</v>
      </c>
      <c r="D149" s="133" t="s">
        <v>1218</v>
      </c>
      <c r="E149" s="134" t="s">
        <v>2033</v>
      </c>
    </row>
    <row r="150" spans="1:5">
      <c r="A150" s="130" t="s">
        <v>2034</v>
      </c>
      <c r="B150" s="63" t="s">
        <v>2013</v>
      </c>
      <c r="C150" s="63" t="s">
        <v>2035</v>
      </c>
      <c r="D150" s="133" t="s">
        <v>2036</v>
      </c>
      <c r="E150" s="134" t="s">
        <v>2037</v>
      </c>
    </row>
    <row r="151" spans="1:5">
      <c r="A151" s="130" t="s">
        <v>2038</v>
      </c>
      <c r="B151" s="63" t="s">
        <v>2013</v>
      </c>
      <c r="C151" s="63" t="s">
        <v>2039</v>
      </c>
      <c r="D151" s="133" t="s">
        <v>2040</v>
      </c>
      <c r="E151" s="134" t="s">
        <v>2041</v>
      </c>
    </row>
    <row r="152" spans="1:5">
      <c r="A152" s="130" t="s">
        <v>2042</v>
      </c>
      <c r="B152" s="63" t="s">
        <v>2013</v>
      </c>
      <c r="C152" s="63" t="s">
        <v>2043</v>
      </c>
      <c r="D152" s="133" t="s">
        <v>2044</v>
      </c>
      <c r="E152" s="134" t="s">
        <v>2045</v>
      </c>
    </row>
    <row r="153" spans="1:5">
      <c r="A153" s="130" t="s">
        <v>2046</v>
      </c>
      <c r="B153" s="63" t="s">
        <v>2013</v>
      </c>
      <c r="C153" s="63" t="s">
        <v>2047</v>
      </c>
      <c r="D153" s="133" t="s">
        <v>2048</v>
      </c>
      <c r="E153" s="134" t="s">
        <v>2049</v>
      </c>
    </row>
    <row r="154" spans="1:5">
      <c r="A154" s="130" t="s">
        <v>2050</v>
      </c>
      <c r="B154" s="63" t="s">
        <v>2013</v>
      </c>
      <c r="C154" s="63" t="s">
        <v>2051</v>
      </c>
      <c r="D154" s="133" t="s">
        <v>2052</v>
      </c>
      <c r="E154" s="134" t="s">
        <v>2053</v>
      </c>
    </row>
    <row r="155" spans="1:5">
      <c r="A155" s="130" t="s">
        <v>2054</v>
      </c>
      <c r="B155" s="63" t="s">
        <v>2013</v>
      </c>
      <c r="C155" s="63" t="s">
        <v>2055</v>
      </c>
      <c r="D155" s="133" t="s">
        <v>2056</v>
      </c>
      <c r="E155" s="134" t="s">
        <v>2057</v>
      </c>
    </row>
    <row r="156" spans="1:5">
      <c r="A156" s="130" t="s">
        <v>2058</v>
      </c>
      <c r="B156" s="63" t="s">
        <v>2013</v>
      </c>
      <c r="C156" s="63" t="s">
        <v>2059</v>
      </c>
      <c r="D156" s="133" t="s">
        <v>2060</v>
      </c>
      <c r="E156" s="134" t="s">
        <v>2061</v>
      </c>
    </row>
    <row r="157" spans="1:5">
      <c r="A157" s="130" t="s">
        <v>2062</v>
      </c>
      <c r="B157" s="63" t="s">
        <v>2013</v>
      </c>
      <c r="C157" s="63" t="s">
        <v>2063</v>
      </c>
      <c r="D157" s="133" t="s">
        <v>2064</v>
      </c>
      <c r="E157" s="134" t="s">
        <v>2065</v>
      </c>
    </row>
    <row r="158" spans="1:5">
      <c r="A158" s="130" t="s">
        <v>2066</v>
      </c>
      <c r="B158" s="63" t="s">
        <v>2013</v>
      </c>
      <c r="C158" s="63" t="s">
        <v>2067</v>
      </c>
      <c r="D158" s="133" t="s">
        <v>2068</v>
      </c>
      <c r="E158" s="134" t="s">
        <v>2069</v>
      </c>
    </row>
    <row r="159" spans="1:5">
      <c r="A159" s="130" t="s">
        <v>2070</v>
      </c>
      <c r="B159" s="63" t="s">
        <v>2013</v>
      </c>
      <c r="C159" s="63" t="s">
        <v>2071</v>
      </c>
      <c r="D159" s="133" t="s">
        <v>2072</v>
      </c>
      <c r="E159" s="134" t="s">
        <v>2073</v>
      </c>
    </row>
    <row r="160" spans="1:5">
      <c r="A160" s="130" t="s">
        <v>2074</v>
      </c>
      <c r="B160" s="63" t="s">
        <v>2013</v>
      </c>
      <c r="C160" s="63" t="s">
        <v>2075</v>
      </c>
      <c r="D160" s="133" t="s">
        <v>1234</v>
      </c>
      <c r="E160" s="134" t="s">
        <v>2076</v>
      </c>
    </row>
    <row r="161" spans="1:5">
      <c r="A161" s="130" t="s">
        <v>2077</v>
      </c>
      <c r="B161" s="63" t="s">
        <v>2013</v>
      </c>
      <c r="C161" s="63" t="s">
        <v>2078</v>
      </c>
      <c r="D161" s="133" t="s">
        <v>2079</v>
      </c>
      <c r="E161" s="134" t="s">
        <v>2080</v>
      </c>
    </row>
    <row r="162" spans="1:5">
      <c r="A162" s="130" t="s">
        <v>2081</v>
      </c>
      <c r="B162" s="63" t="s">
        <v>2082</v>
      </c>
      <c r="C162" s="63" t="s">
        <v>2083</v>
      </c>
      <c r="D162" s="133" t="s">
        <v>2084</v>
      </c>
      <c r="E162" s="134" t="s">
        <v>2085</v>
      </c>
    </row>
    <row r="163" spans="1:5">
      <c r="A163" s="130" t="s">
        <v>2086</v>
      </c>
      <c r="B163" s="63" t="s">
        <v>2082</v>
      </c>
      <c r="C163" s="63" t="s">
        <v>2087</v>
      </c>
      <c r="D163" s="133" t="s">
        <v>1265</v>
      </c>
      <c r="E163" s="134" t="s">
        <v>2088</v>
      </c>
    </row>
    <row r="164" spans="1:5">
      <c r="A164" s="130" t="s">
        <v>2089</v>
      </c>
      <c r="B164" s="63" t="s">
        <v>2082</v>
      </c>
      <c r="C164" s="63" t="s">
        <v>2090</v>
      </c>
      <c r="D164" s="133" t="s">
        <v>2091</v>
      </c>
      <c r="E164" s="134" t="s">
        <v>2092</v>
      </c>
    </row>
    <row r="165" spans="1:5">
      <c r="A165" s="130" t="s">
        <v>2093</v>
      </c>
      <c r="B165" s="63" t="s">
        <v>2082</v>
      </c>
      <c r="C165" s="63" t="s">
        <v>2094</v>
      </c>
      <c r="D165" s="133" t="s">
        <v>2095</v>
      </c>
      <c r="E165" s="134" t="s">
        <v>2096</v>
      </c>
    </row>
    <row r="166" spans="1:5">
      <c r="A166" s="130" t="s">
        <v>2097</v>
      </c>
      <c r="B166" s="63" t="s">
        <v>2082</v>
      </c>
      <c r="C166" s="63" t="s">
        <v>2098</v>
      </c>
      <c r="D166" s="133" t="s">
        <v>2099</v>
      </c>
      <c r="E166" s="134" t="s">
        <v>2100</v>
      </c>
    </row>
    <row r="167" spans="1:5">
      <c r="A167" s="130" t="s">
        <v>2101</v>
      </c>
      <c r="B167" s="63" t="s">
        <v>2082</v>
      </c>
      <c r="C167" s="63" t="s">
        <v>2102</v>
      </c>
      <c r="D167" s="133" t="s">
        <v>2103</v>
      </c>
      <c r="E167" s="134" t="s">
        <v>2104</v>
      </c>
    </row>
    <row r="168" spans="1:5">
      <c r="A168" s="130" t="s">
        <v>2105</v>
      </c>
      <c r="B168" s="63" t="s">
        <v>2082</v>
      </c>
      <c r="C168" s="63" t="s">
        <v>2106</v>
      </c>
      <c r="D168" s="133" t="s">
        <v>2107</v>
      </c>
      <c r="E168" s="134" t="s">
        <v>2108</v>
      </c>
    </row>
    <row r="169" spans="1:5">
      <c r="A169" s="130" t="s">
        <v>2109</v>
      </c>
      <c r="B169" s="63" t="s">
        <v>2082</v>
      </c>
      <c r="C169" s="63" t="s">
        <v>2110</v>
      </c>
      <c r="D169" s="133" t="s">
        <v>2111</v>
      </c>
      <c r="E169" s="134" t="s">
        <v>2112</v>
      </c>
    </row>
    <row r="170" spans="1:5">
      <c r="A170" s="130" t="s">
        <v>2113</v>
      </c>
      <c r="B170" s="63" t="s">
        <v>2082</v>
      </c>
      <c r="C170" s="63" t="s">
        <v>2114</v>
      </c>
      <c r="D170" s="133" t="s">
        <v>2115</v>
      </c>
      <c r="E170" s="134" t="s">
        <v>2116</v>
      </c>
    </row>
    <row r="171" spans="1:5">
      <c r="A171" s="130" t="s">
        <v>2117</v>
      </c>
      <c r="B171" s="63" t="s">
        <v>2082</v>
      </c>
      <c r="C171" s="63" t="s">
        <v>2118</v>
      </c>
      <c r="D171" s="133" t="s">
        <v>2119</v>
      </c>
      <c r="E171" s="134" t="s">
        <v>2120</v>
      </c>
    </row>
    <row r="172" spans="1:5">
      <c r="A172" s="130" t="s">
        <v>2121</v>
      </c>
      <c r="B172" s="63" t="s">
        <v>2082</v>
      </c>
      <c r="C172" s="63" t="s">
        <v>2122</v>
      </c>
      <c r="D172" s="133" t="s">
        <v>2123</v>
      </c>
      <c r="E172" s="134" t="s">
        <v>2124</v>
      </c>
    </row>
    <row r="173" spans="1:5">
      <c r="A173" s="130" t="s">
        <v>2125</v>
      </c>
      <c r="B173" s="63" t="s">
        <v>2082</v>
      </c>
      <c r="C173" s="63" t="s">
        <v>2126</v>
      </c>
      <c r="D173" s="133" t="s">
        <v>1272</v>
      </c>
      <c r="E173" s="134" t="s">
        <v>2127</v>
      </c>
    </row>
    <row r="174" spans="1:5">
      <c r="A174" s="130" t="s">
        <v>2128</v>
      </c>
      <c r="B174" s="63" t="s">
        <v>2082</v>
      </c>
      <c r="C174" s="63" t="s">
        <v>2129</v>
      </c>
      <c r="D174" s="133" t="s">
        <v>2130</v>
      </c>
      <c r="E174" s="134" t="s">
        <v>2131</v>
      </c>
    </row>
    <row r="175" spans="1:5">
      <c r="A175" s="130" t="s">
        <v>2132</v>
      </c>
      <c r="B175" s="63" t="s">
        <v>1718</v>
      </c>
      <c r="C175" s="63" t="s">
        <v>2133</v>
      </c>
      <c r="D175" s="133" t="s">
        <v>2134</v>
      </c>
      <c r="E175" s="134" t="s">
        <v>2135</v>
      </c>
    </row>
    <row r="176" spans="1:5">
      <c r="A176" s="130" t="s">
        <v>2136</v>
      </c>
      <c r="B176" s="63" t="s">
        <v>1718</v>
      </c>
      <c r="C176" s="63" t="s">
        <v>2137</v>
      </c>
      <c r="D176" s="133" t="s">
        <v>2138</v>
      </c>
      <c r="E176" s="134" t="s">
        <v>2139</v>
      </c>
    </row>
    <row r="177" spans="1:5">
      <c r="A177" s="130" t="s">
        <v>2140</v>
      </c>
      <c r="B177" s="63" t="s">
        <v>1718</v>
      </c>
      <c r="C177" s="63" t="s">
        <v>2141</v>
      </c>
      <c r="D177" s="133" t="s">
        <v>2142</v>
      </c>
      <c r="E177" s="134" t="s">
        <v>2143</v>
      </c>
    </row>
    <row r="178" spans="1:5">
      <c r="A178" s="130" t="s">
        <v>2144</v>
      </c>
      <c r="B178" s="63" t="s">
        <v>1718</v>
      </c>
      <c r="C178" s="63" t="s">
        <v>2145</v>
      </c>
      <c r="D178" s="133" t="s">
        <v>2146</v>
      </c>
      <c r="E178" s="134" t="s">
        <v>2147</v>
      </c>
    </row>
    <row r="179" spans="1:5">
      <c r="A179" s="130" t="s">
        <v>2148</v>
      </c>
      <c r="B179" s="63" t="s">
        <v>1718</v>
      </c>
      <c r="C179" s="63" t="s">
        <v>2149</v>
      </c>
      <c r="D179" s="133" t="s">
        <v>2150</v>
      </c>
      <c r="E179" s="134" t="s">
        <v>2151</v>
      </c>
    </row>
    <row r="180" spans="1:5">
      <c r="A180" s="130" t="s">
        <v>2152</v>
      </c>
      <c r="B180" s="63" t="s">
        <v>1718</v>
      </c>
      <c r="C180" s="63" t="s">
        <v>2153</v>
      </c>
      <c r="D180" s="133" t="s">
        <v>2154</v>
      </c>
      <c r="E180" s="134" t="s">
        <v>2155</v>
      </c>
    </row>
    <row r="181" spans="1:5">
      <c r="A181" s="130" t="s">
        <v>2156</v>
      </c>
      <c r="B181" s="63" t="s">
        <v>1796</v>
      </c>
      <c r="C181" s="63" t="s">
        <v>2157</v>
      </c>
      <c r="D181" s="133" t="s">
        <v>2158</v>
      </c>
      <c r="E181" s="134" t="s">
        <v>2159</v>
      </c>
    </row>
    <row r="182" spans="1:5">
      <c r="A182" s="130" t="s">
        <v>2160</v>
      </c>
      <c r="B182" s="63" t="s">
        <v>1796</v>
      </c>
      <c r="C182" s="63" t="s">
        <v>2161</v>
      </c>
      <c r="D182" s="133" t="s">
        <v>2162</v>
      </c>
      <c r="E182" s="134" t="s">
        <v>1813</v>
      </c>
    </row>
    <row r="183" spans="1:5">
      <c r="A183" s="130" t="s">
        <v>2163</v>
      </c>
      <c r="B183" s="63" t="s">
        <v>1796</v>
      </c>
      <c r="C183" s="63" t="s">
        <v>2164</v>
      </c>
      <c r="D183" s="133" t="s">
        <v>2165</v>
      </c>
      <c r="E183" s="134" t="s">
        <v>1816</v>
      </c>
    </row>
    <row r="184" spans="1:5">
      <c r="A184" s="130" t="s">
        <v>2166</v>
      </c>
      <c r="B184" s="63" t="s">
        <v>1840</v>
      </c>
      <c r="C184" s="63" t="s">
        <v>2167</v>
      </c>
      <c r="D184" s="133" t="s">
        <v>2168</v>
      </c>
      <c r="E184" s="134" t="s">
        <v>2169</v>
      </c>
    </row>
    <row r="185" spans="1:5">
      <c r="A185" s="130" t="s">
        <v>2170</v>
      </c>
      <c r="B185" s="63" t="s">
        <v>1840</v>
      </c>
      <c r="C185" s="63" t="s">
        <v>2171</v>
      </c>
      <c r="D185" s="133" t="s">
        <v>2172</v>
      </c>
      <c r="E185" s="134" t="s">
        <v>2173</v>
      </c>
    </row>
    <row r="186" spans="1:5">
      <c r="A186" s="130" t="s">
        <v>2174</v>
      </c>
      <c r="B186" s="63" t="s">
        <v>2013</v>
      </c>
      <c r="C186" s="63" t="s">
        <v>2175</v>
      </c>
      <c r="D186" s="133" t="s">
        <v>2176</v>
      </c>
      <c r="E186" s="134" t="s">
        <v>2177</v>
      </c>
    </row>
    <row r="187" spans="1:5">
      <c r="A187" s="130" t="s">
        <v>2178</v>
      </c>
      <c r="B187" s="63" t="s">
        <v>2013</v>
      </c>
      <c r="C187" s="63" t="s">
        <v>2179</v>
      </c>
      <c r="D187" s="133" t="s">
        <v>2180</v>
      </c>
      <c r="E187" s="134" t="s">
        <v>2181</v>
      </c>
    </row>
    <row r="188" spans="1:5">
      <c r="A188" s="130" t="s">
        <v>2182</v>
      </c>
      <c r="B188" s="63" t="s">
        <v>1964</v>
      </c>
      <c r="C188" s="63" t="s">
        <v>2183</v>
      </c>
      <c r="D188" s="133" t="s">
        <v>2184</v>
      </c>
      <c r="E188" s="134" t="s">
        <v>2185</v>
      </c>
    </row>
    <row r="189" spans="1:5">
      <c r="A189" s="130" t="s">
        <v>2186</v>
      </c>
      <c r="B189" s="63" t="s">
        <v>2082</v>
      </c>
      <c r="C189" s="63" t="s">
        <v>2187</v>
      </c>
      <c r="D189" s="133" t="s">
        <v>2188</v>
      </c>
      <c r="E189" s="134" t="s">
        <v>2131</v>
      </c>
    </row>
  </sheetData>
  <autoFilter ref="A4:E189" xr:uid="{310581F7-ECDF-C64A-A7B0-C540D55B3FA1}"/>
  <phoneticPr fontId="2"/>
  <conditionalFormatting sqref="A5:E189">
    <cfRule type="expression" dxfId="82" priority="1">
      <formula>$B5="U2 Keycloak論理"</formula>
    </cfRule>
  </conditionalFormatting>
  <conditionalFormatting sqref="A5:E189">
    <cfRule type="expression" dxfId="81" priority="2">
      <formula>$B5="U3 ID・プロビジョニング"</formula>
    </cfRule>
  </conditionalFormatting>
  <conditionalFormatting sqref="A5:E189">
    <cfRule type="expression" dxfId="80" priority="3">
      <formula>$B5="U5 トークン・認可"</formula>
    </cfRule>
  </conditionalFormatting>
  <conditionalFormatting sqref="A5:E189">
    <cfRule type="expression" dxfId="79" priority="4">
      <formula>$B5="U4 認証体験・UX"</formula>
    </cfRule>
  </conditionalFormatting>
  <conditionalFormatting sqref="A5:E189">
    <cfRule type="expression" dxfId="78" priority="5">
      <formula>$B5="U7 セキュリティ"</formula>
    </cfRule>
  </conditionalFormatting>
  <conditionalFormatting sqref="A5:E189">
    <cfRule type="expression" dxfId="77" priority="6">
      <formula>$B5="U8 可用性・DR"</formula>
    </cfRule>
  </conditionalFormatting>
  <conditionalFormatting sqref="A5:E189">
    <cfRule type="expression" dxfId="76" priority="7">
      <formula>$B5="U6 インフラ・NW"</formula>
    </cfRule>
  </conditionalFormatting>
  <conditionalFormatting sqref="A5:E189">
    <cfRule type="expression" dxfId="75" priority="8">
      <formula>$B5="U9 運用・監視・IaC"</formula>
    </cfRule>
  </conditionalFormatting>
  <conditionalFormatting sqref="A5:E189">
    <cfRule type="expression" dxfId="74"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878</v>
      </c>
    </row>
    <row r="2" spans="1:8">
      <c r="A2" s="75" t="s">
        <v>879</v>
      </c>
    </row>
    <row r="4" spans="1:8" ht="22" customHeight="1">
      <c r="A4" s="36" t="s">
        <v>880</v>
      </c>
      <c r="B4" s="37" t="s">
        <v>881</v>
      </c>
      <c r="C4" s="37" t="s">
        <v>666</v>
      </c>
      <c r="D4" s="37" t="s">
        <v>2197</v>
      </c>
      <c r="E4" s="37" t="s">
        <v>882</v>
      </c>
      <c r="F4" s="37" t="s">
        <v>876</v>
      </c>
      <c r="G4" s="37" t="s">
        <v>883</v>
      </c>
      <c r="H4" s="38" t="s">
        <v>884</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893</v>
      </c>
      <c r="F5" s="68" t="s">
        <v>934</v>
      </c>
      <c r="G5" s="68" t="s">
        <v>935</v>
      </c>
      <c r="H5" s="76" t="s">
        <v>936</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937</v>
      </c>
      <c r="F6" s="68" t="s">
        <v>938</v>
      </c>
      <c r="G6" s="68" t="s">
        <v>935</v>
      </c>
      <c r="H6" s="76" t="s">
        <v>939</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928</v>
      </c>
      <c r="F7" s="68" t="s">
        <v>938</v>
      </c>
      <c r="G7" s="68" t="s">
        <v>935</v>
      </c>
      <c r="H7" s="76" t="s">
        <v>940</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933</v>
      </c>
      <c r="F8" s="68" t="s">
        <v>938</v>
      </c>
      <c r="G8" s="68" t="s">
        <v>935</v>
      </c>
      <c r="H8" s="76" t="s">
        <v>941</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942</v>
      </c>
      <c r="F9" s="68" t="s">
        <v>938</v>
      </c>
      <c r="G9" s="68" t="s">
        <v>935</v>
      </c>
      <c r="H9" s="76" t="s">
        <v>943</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1056</v>
      </c>
      <c r="F10" s="68" t="s">
        <v>1396</v>
      </c>
      <c r="G10" s="68" t="s">
        <v>1057</v>
      </c>
      <c r="H10" s="76" t="s">
        <v>1397</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1437</v>
      </c>
      <c r="F11" s="68" t="s">
        <v>1438</v>
      </c>
      <c r="G11" s="68" t="s">
        <v>1054</v>
      </c>
      <c r="H11" s="76" t="s">
        <v>1439</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927</v>
      </c>
      <c r="F12" s="68" t="s">
        <v>938</v>
      </c>
      <c r="G12" s="68" t="s">
        <v>945</v>
      </c>
      <c r="H12" s="76" t="s">
        <v>946</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1085</v>
      </c>
      <c r="F13" s="68" t="s">
        <v>1086</v>
      </c>
      <c r="G13" s="68" t="s">
        <v>1062</v>
      </c>
      <c r="H13" s="76" t="s">
        <v>1087</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1085</v>
      </c>
      <c r="F14" s="68" t="s">
        <v>1086</v>
      </c>
      <c r="G14" s="68" t="s">
        <v>1062</v>
      </c>
      <c r="H14" s="76" t="s">
        <v>1390</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1088</v>
      </c>
      <c r="F15" s="68" t="s">
        <v>1089</v>
      </c>
      <c r="G15" s="68" t="s">
        <v>1062</v>
      </c>
      <c r="H15" s="76" t="s">
        <v>1090</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1091</v>
      </c>
      <c r="F16" s="68" t="s">
        <v>1086</v>
      </c>
      <c r="G16" s="68" t="s">
        <v>1069</v>
      </c>
      <c r="H16" s="76" t="s">
        <v>1092</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1052</v>
      </c>
      <c r="F17" s="68" t="s">
        <v>1053</v>
      </c>
      <c r="G17" s="68" t="s">
        <v>1054</v>
      </c>
      <c r="H17" s="76" t="s">
        <v>1055</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1085</v>
      </c>
      <c r="F18" s="68" t="s">
        <v>1086</v>
      </c>
      <c r="G18" s="68" t="s">
        <v>1062</v>
      </c>
      <c r="H18" s="76" t="s">
        <v>1391</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947</v>
      </c>
      <c r="F19" s="68" t="s">
        <v>934</v>
      </c>
      <c r="G19" s="68" t="s">
        <v>935</v>
      </c>
      <c r="H19" s="76" t="s">
        <v>948</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949</v>
      </c>
      <c r="F20" s="68" t="s">
        <v>934</v>
      </c>
      <c r="G20" s="68" t="s">
        <v>945</v>
      </c>
      <c r="H20" s="76" t="s">
        <v>950</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949</v>
      </c>
      <c r="F21" s="68" t="s">
        <v>934</v>
      </c>
      <c r="G21" s="68" t="s">
        <v>945</v>
      </c>
      <c r="H21" s="76" t="s">
        <v>951</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894</v>
      </c>
      <c r="F22" s="68" t="s">
        <v>934</v>
      </c>
      <c r="G22" s="68" t="s">
        <v>945</v>
      </c>
      <c r="H22" s="76" t="s">
        <v>952</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898</v>
      </c>
      <c r="F23" s="68" t="s">
        <v>934</v>
      </c>
      <c r="G23" s="68" t="s">
        <v>945</v>
      </c>
      <c r="H23" s="76" t="s">
        <v>953</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1398</v>
      </c>
      <c r="F24" s="68" t="s">
        <v>1258</v>
      </c>
      <c r="G24" s="68" t="s">
        <v>1062</v>
      </c>
      <c r="H24" s="76" t="s">
        <v>1399</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905</v>
      </c>
      <c r="F25" s="68" t="s">
        <v>954</v>
      </c>
      <c r="G25" s="68" t="s">
        <v>955</v>
      </c>
      <c r="H25" s="76" t="s">
        <v>956</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1058</v>
      </c>
      <c r="F26" s="68" t="s">
        <v>1053</v>
      </c>
      <c r="G26" s="68" t="s">
        <v>1054</v>
      </c>
      <c r="H26" s="76" t="s">
        <v>1059</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957</v>
      </c>
      <c r="F27" s="68" t="s">
        <v>958</v>
      </c>
      <c r="G27" s="68" t="s">
        <v>935</v>
      </c>
      <c r="H27" s="76" t="s">
        <v>959</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960</v>
      </c>
      <c r="F28" s="68" t="s">
        <v>958</v>
      </c>
      <c r="G28" s="68" t="s">
        <v>935</v>
      </c>
      <c r="H28" s="76" t="s">
        <v>961</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962</v>
      </c>
      <c r="F29" s="68" t="s">
        <v>934</v>
      </c>
      <c r="G29" s="68" t="s">
        <v>935</v>
      </c>
      <c r="H29" s="76" t="s">
        <v>963</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964</v>
      </c>
      <c r="F30" s="68" t="s">
        <v>934</v>
      </c>
      <c r="G30" s="68" t="s">
        <v>935</v>
      </c>
      <c r="H30" s="76" t="s">
        <v>965</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902</v>
      </c>
      <c r="F31" s="68" t="s">
        <v>934</v>
      </c>
      <c r="G31" s="68" t="s">
        <v>945</v>
      </c>
      <c r="H31" s="76" t="s">
        <v>966</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1060</v>
      </c>
      <c r="F32" s="68" t="s">
        <v>1061</v>
      </c>
      <c r="G32" s="68" t="s">
        <v>1062</v>
      </c>
      <c r="H32" s="76" t="s">
        <v>1063</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1064</v>
      </c>
      <c r="F33" s="68" t="s">
        <v>1061</v>
      </c>
      <c r="G33" s="68" t="s">
        <v>1062</v>
      </c>
      <c r="H33" s="76" t="s">
        <v>1065</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1066</v>
      </c>
      <c r="F34" s="68" t="s">
        <v>1061</v>
      </c>
      <c r="G34" s="68" t="s">
        <v>1062</v>
      </c>
      <c r="H34" s="76" t="s">
        <v>1067</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1068</v>
      </c>
      <c r="F35" s="68" t="s">
        <v>1053</v>
      </c>
      <c r="G35" s="68" t="s">
        <v>1069</v>
      </c>
      <c r="H35" s="76" t="s">
        <v>1070</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1091</v>
      </c>
      <c r="F36" s="68" t="s">
        <v>1086</v>
      </c>
      <c r="G36" s="68" t="s">
        <v>1069</v>
      </c>
      <c r="H36" s="76" t="s">
        <v>1392</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1052</v>
      </c>
      <c r="F37" s="68" t="s">
        <v>1053</v>
      </c>
      <c r="G37" s="68" t="s">
        <v>1062</v>
      </c>
      <c r="H37" s="76" t="s">
        <v>1071</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1072</v>
      </c>
      <c r="F38" s="68" t="s">
        <v>1061</v>
      </c>
      <c r="G38" s="68" t="s">
        <v>1054</v>
      </c>
      <c r="H38" s="76" t="s">
        <v>1073</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1064</v>
      </c>
      <c r="F39" s="68" t="s">
        <v>1061</v>
      </c>
      <c r="G39" s="68" t="s">
        <v>1062</v>
      </c>
      <c r="H39" s="76" t="s">
        <v>1074</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1056</v>
      </c>
      <c r="F40" s="68" t="s">
        <v>1053</v>
      </c>
      <c r="G40" s="68" t="s">
        <v>1054</v>
      </c>
      <c r="H40" s="76" t="s">
        <v>1075</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893</v>
      </c>
      <c r="F41" s="68" t="s">
        <v>934</v>
      </c>
      <c r="G41" s="68" t="s">
        <v>935</v>
      </c>
      <c r="H41" s="76" t="s">
        <v>967</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917</v>
      </c>
      <c r="F42" s="68" t="s">
        <v>938</v>
      </c>
      <c r="G42" s="68" t="s">
        <v>935</v>
      </c>
      <c r="H42" s="76" t="s">
        <v>968</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969</v>
      </c>
      <c r="F43" s="68" t="s">
        <v>934</v>
      </c>
      <c r="G43" s="68" t="s">
        <v>935</v>
      </c>
      <c r="H43" s="76" t="s">
        <v>970</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924</v>
      </c>
      <c r="F44" s="68" t="s">
        <v>938</v>
      </c>
      <c r="G44" s="68" t="s">
        <v>935</v>
      </c>
      <c r="H44" s="76" t="s">
        <v>971</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924</v>
      </c>
      <c r="F45" s="68" t="s">
        <v>938</v>
      </c>
      <c r="G45" s="68" t="s">
        <v>935</v>
      </c>
      <c r="H45" s="76" t="s">
        <v>972</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973</v>
      </c>
      <c r="F46" s="68" t="s">
        <v>974</v>
      </c>
      <c r="G46" s="68" t="s">
        <v>935</v>
      </c>
      <c r="H46" s="76" t="s">
        <v>975</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924</v>
      </c>
      <c r="F47" s="68" t="s">
        <v>938</v>
      </c>
      <c r="G47" s="68" t="s">
        <v>935</v>
      </c>
      <c r="H47" s="76" t="s">
        <v>976</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977</v>
      </c>
      <c r="F48" s="68" t="s">
        <v>938</v>
      </c>
      <c r="G48" s="68" t="s">
        <v>935</v>
      </c>
      <c r="H48" s="76" t="s">
        <v>978</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1440</v>
      </c>
      <c r="F49" s="68" t="s">
        <v>1441</v>
      </c>
      <c r="G49" s="68" t="s">
        <v>1062</v>
      </c>
      <c r="H49" s="76" t="s">
        <v>1442</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1443</v>
      </c>
      <c r="F50" s="68" t="s">
        <v>1444</v>
      </c>
      <c r="G50" s="68" t="s">
        <v>1062</v>
      </c>
      <c r="H50" s="76" t="s">
        <v>1445</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1446</v>
      </c>
      <c r="F51" s="68" t="s">
        <v>1447</v>
      </c>
      <c r="G51" s="68" t="s">
        <v>1062</v>
      </c>
      <c r="H51" s="76" t="s">
        <v>1448</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979</v>
      </c>
      <c r="F52" s="68" t="s">
        <v>938</v>
      </c>
      <c r="G52" s="68" t="s">
        <v>935</v>
      </c>
      <c r="H52" s="76" t="s">
        <v>980</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981</v>
      </c>
      <c r="F53" s="68" t="s">
        <v>974</v>
      </c>
      <c r="G53" s="68" t="s">
        <v>935</v>
      </c>
      <c r="H53" s="76" t="s">
        <v>982</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983</v>
      </c>
      <c r="F54" s="68" t="s">
        <v>984</v>
      </c>
      <c r="G54" s="68" t="s">
        <v>935</v>
      </c>
      <c r="H54" s="76" t="s">
        <v>985</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893</v>
      </c>
      <c r="F55" s="68" t="s">
        <v>934</v>
      </c>
      <c r="G55" s="68" t="s">
        <v>945</v>
      </c>
      <c r="H55" s="76" t="s">
        <v>986</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987</v>
      </c>
      <c r="F56" s="68" t="s">
        <v>938</v>
      </c>
      <c r="G56" s="68" t="s">
        <v>935</v>
      </c>
      <c r="H56" s="76" t="s">
        <v>988</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915</v>
      </c>
      <c r="F57" s="68" t="s">
        <v>938</v>
      </c>
      <c r="G57" s="68" t="s">
        <v>935</v>
      </c>
      <c r="H57" s="76" t="s">
        <v>989</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929</v>
      </c>
      <c r="F58" s="68" t="s">
        <v>938</v>
      </c>
      <c r="G58" s="68" t="s">
        <v>945</v>
      </c>
      <c r="H58" s="76" t="s">
        <v>990</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991</v>
      </c>
      <c r="F59" s="68" t="s">
        <v>984</v>
      </c>
      <c r="G59" s="68" t="s">
        <v>935</v>
      </c>
      <c r="H59" s="76" t="s">
        <v>992</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910</v>
      </c>
      <c r="F60" s="68" t="s">
        <v>954</v>
      </c>
      <c r="G60" s="68" t="s">
        <v>955</v>
      </c>
      <c r="H60" s="76" t="s">
        <v>993</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994</v>
      </c>
      <c r="F61" s="68" t="s">
        <v>954</v>
      </c>
      <c r="G61" s="68" t="s">
        <v>955</v>
      </c>
      <c r="H61" s="76" t="s">
        <v>995</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996</v>
      </c>
      <c r="F62" s="68" t="s">
        <v>997</v>
      </c>
      <c r="G62" s="68" t="s">
        <v>935</v>
      </c>
      <c r="H62" s="76" t="s">
        <v>998</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1250</v>
      </c>
      <c r="F63" s="68" t="s">
        <v>1251</v>
      </c>
      <c r="G63" s="68" t="s">
        <v>1062</v>
      </c>
      <c r="H63" s="76" t="s">
        <v>1252</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999</v>
      </c>
      <c r="F64" s="68" t="s">
        <v>997</v>
      </c>
      <c r="G64" s="68" t="s">
        <v>935</v>
      </c>
      <c r="H64" s="76" t="s">
        <v>1000</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1001</v>
      </c>
      <c r="F65" s="68" t="s">
        <v>954</v>
      </c>
      <c r="G65" s="68" t="s">
        <v>935</v>
      </c>
      <c r="H65" s="76" t="s">
        <v>1002</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1003</v>
      </c>
      <c r="F66" s="68" t="s">
        <v>958</v>
      </c>
      <c r="G66" s="68" t="s">
        <v>935</v>
      </c>
      <c r="H66" s="76" t="s">
        <v>1004</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1400</v>
      </c>
      <c r="F67" s="68" t="s">
        <v>1401</v>
      </c>
      <c r="G67" s="68" t="s">
        <v>1069</v>
      </c>
      <c r="H67" s="76" t="s">
        <v>1402</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1005</v>
      </c>
      <c r="F68" s="68" t="s">
        <v>997</v>
      </c>
      <c r="G68" s="68" t="s">
        <v>935</v>
      </c>
      <c r="H68" s="76" t="s">
        <v>1006</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1076</v>
      </c>
      <c r="F69" s="68" t="s">
        <v>1061</v>
      </c>
      <c r="G69" s="68" t="s">
        <v>1054</v>
      </c>
      <c r="H69" s="76" t="s">
        <v>1077</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1254</v>
      </c>
      <c r="F70" s="68" t="s">
        <v>1255</v>
      </c>
      <c r="G70" s="68" t="s">
        <v>1054</v>
      </c>
      <c r="H70" s="76" t="s">
        <v>1256</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1007</v>
      </c>
      <c r="F71" s="68" t="s">
        <v>954</v>
      </c>
      <c r="G71" s="68" t="s">
        <v>935</v>
      </c>
      <c r="H71" s="76" t="s">
        <v>1008</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907</v>
      </c>
      <c r="F72" s="68" t="s">
        <v>954</v>
      </c>
      <c r="G72" s="68" t="s">
        <v>945</v>
      </c>
      <c r="H72" s="76" t="s">
        <v>1009</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903</v>
      </c>
      <c r="F73" s="68" t="s">
        <v>954</v>
      </c>
      <c r="G73" s="68" t="s">
        <v>945</v>
      </c>
      <c r="H73" s="76" t="s">
        <v>1010</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1011</v>
      </c>
      <c r="F74" s="68" t="s">
        <v>954</v>
      </c>
      <c r="G74" s="68" t="s">
        <v>935</v>
      </c>
      <c r="H74" s="76" t="s">
        <v>1012</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1257</v>
      </c>
      <c r="F75" s="68" t="s">
        <v>1258</v>
      </c>
      <c r="G75" s="68" t="s">
        <v>1054</v>
      </c>
      <c r="H75" s="76" t="s">
        <v>1259</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1013</v>
      </c>
      <c r="F76" s="68" t="s">
        <v>934</v>
      </c>
      <c r="G76" s="68" t="s">
        <v>935</v>
      </c>
      <c r="H76" s="76" t="s">
        <v>1014</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902</v>
      </c>
      <c r="F77" s="68" t="s">
        <v>934</v>
      </c>
      <c r="G77" s="68" t="s">
        <v>935</v>
      </c>
      <c r="H77" s="76" t="s">
        <v>1015</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1260</v>
      </c>
      <c r="F78" s="68" t="s">
        <v>1261</v>
      </c>
      <c r="G78" s="68" t="s">
        <v>1062</v>
      </c>
      <c r="H78" s="76" t="s">
        <v>1262</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1016</v>
      </c>
      <c r="F79" s="68" t="s">
        <v>984</v>
      </c>
      <c r="G79" s="68" t="s">
        <v>935</v>
      </c>
      <c r="H79" s="76" t="s">
        <v>1017</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1210</v>
      </c>
      <c r="F80" s="68" t="s">
        <v>1211</v>
      </c>
      <c r="G80" s="68" t="s">
        <v>1062</v>
      </c>
      <c r="H80" s="76" t="s">
        <v>1212</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1213</v>
      </c>
      <c r="F81" s="68" t="s">
        <v>1214</v>
      </c>
      <c r="G81" s="68" t="s">
        <v>1062</v>
      </c>
      <c r="H81" s="76" t="s">
        <v>1215</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1263</v>
      </c>
      <c r="F82" s="68" t="s">
        <v>1251</v>
      </c>
      <c r="G82" s="68" t="s">
        <v>1062</v>
      </c>
      <c r="H82" s="76" t="s">
        <v>1264</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1018</v>
      </c>
      <c r="F83" s="68" t="s">
        <v>958</v>
      </c>
      <c r="G83" s="68" t="s">
        <v>945</v>
      </c>
      <c r="H83" s="76" t="s">
        <v>1019</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1020</v>
      </c>
      <c r="F84" s="68" t="s">
        <v>1021</v>
      </c>
      <c r="G84" s="68" t="s">
        <v>935</v>
      </c>
      <c r="H84" s="76" t="s">
        <v>1022</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1079</v>
      </c>
      <c r="F85" s="68" t="s">
        <v>1053</v>
      </c>
      <c r="G85" s="68" t="s">
        <v>1062</v>
      </c>
      <c r="H85" s="76" t="s">
        <v>1080</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1023</v>
      </c>
      <c r="F86" s="68" t="s">
        <v>938</v>
      </c>
      <c r="G86" s="68" t="s">
        <v>935</v>
      </c>
      <c r="H86" s="76" t="s">
        <v>1024</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1403</v>
      </c>
      <c r="F87" s="68" t="s">
        <v>1251</v>
      </c>
      <c r="G87" s="68" t="s">
        <v>1062</v>
      </c>
      <c r="H87" s="76" t="s">
        <v>1404</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929</v>
      </c>
      <c r="F88" s="68" t="s">
        <v>938</v>
      </c>
      <c r="G88" s="68" t="s">
        <v>935</v>
      </c>
      <c r="H88" s="76" t="s">
        <v>1025</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1265</v>
      </c>
      <c r="F89" s="68" t="s">
        <v>1261</v>
      </c>
      <c r="G89" s="68" t="s">
        <v>1062</v>
      </c>
      <c r="H89" s="76" t="s">
        <v>1266</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929</v>
      </c>
      <c r="F90" s="68" t="s">
        <v>938</v>
      </c>
      <c r="G90" s="68" t="s">
        <v>945</v>
      </c>
      <c r="H90" s="76" t="s">
        <v>990</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1216</v>
      </c>
      <c r="F91" s="68" t="s">
        <v>1214</v>
      </c>
      <c r="G91" s="68" t="s">
        <v>1062</v>
      </c>
      <c r="H91" s="76" t="s">
        <v>1217</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1267</v>
      </c>
      <c r="F92" s="68" t="s">
        <v>1268</v>
      </c>
      <c r="G92" s="68" t="s">
        <v>1054</v>
      </c>
      <c r="H92" s="76" t="s">
        <v>1269</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1270</v>
      </c>
      <c r="F93" s="68" t="s">
        <v>1253</v>
      </c>
      <c r="G93" s="68" t="s">
        <v>1062</v>
      </c>
      <c r="H93" s="76" t="s">
        <v>1271</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1026</v>
      </c>
      <c r="F94" s="68" t="s">
        <v>1021</v>
      </c>
      <c r="G94" s="68" t="s">
        <v>935</v>
      </c>
      <c r="H94" s="76" t="s">
        <v>1027</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902</v>
      </c>
      <c r="F95" s="68" t="s">
        <v>934</v>
      </c>
      <c r="G95" s="68" t="s">
        <v>935</v>
      </c>
      <c r="H95" s="76" t="s">
        <v>1028</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1132</v>
      </c>
      <c r="F96" s="68" t="s">
        <v>1133</v>
      </c>
      <c r="G96" s="68" t="s">
        <v>1062</v>
      </c>
      <c r="H96" s="76" t="s">
        <v>1134</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1135</v>
      </c>
      <c r="F97" s="68" t="s">
        <v>1133</v>
      </c>
      <c r="G97" s="68" t="s">
        <v>1062</v>
      </c>
      <c r="H97" s="76" t="s">
        <v>1136</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1137</v>
      </c>
      <c r="F98" s="68" t="s">
        <v>1133</v>
      </c>
      <c r="G98" s="68" t="s">
        <v>1062</v>
      </c>
      <c r="H98" s="76" t="s">
        <v>1138</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1137</v>
      </c>
      <c r="F99" s="68" t="s">
        <v>1133</v>
      </c>
      <c r="G99" s="68" t="s">
        <v>1062</v>
      </c>
      <c r="H99" s="76" t="s">
        <v>1139</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1140</v>
      </c>
      <c r="F100" s="68" t="s">
        <v>1133</v>
      </c>
      <c r="G100" s="68" t="s">
        <v>1062</v>
      </c>
      <c r="H100" s="76" t="s">
        <v>1141</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1142</v>
      </c>
      <c r="F101" s="68" t="s">
        <v>1133</v>
      </c>
      <c r="G101" s="68" t="s">
        <v>1062</v>
      </c>
      <c r="H101" s="76" t="s">
        <v>1143</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1171</v>
      </c>
      <c r="F102" s="68" t="s">
        <v>1172</v>
      </c>
      <c r="G102" s="68" t="s">
        <v>1054</v>
      </c>
      <c r="H102" s="76" t="s">
        <v>1173</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1393</v>
      </c>
      <c r="F103" s="68" t="s">
        <v>1214</v>
      </c>
      <c r="G103" s="68" t="s">
        <v>1054</v>
      </c>
      <c r="H103" s="76" t="s">
        <v>1394</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1393</v>
      </c>
      <c r="F104" s="68" t="s">
        <v>1214</v>
      </c>
      <c r="G104" s="68" t="s">
        <v>1054</v>
      </c>
      <c r="H104" s="76" t="s">
        <v>1395</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1175</v>
      </c>
      <c r="F105" s="68" t="s">
        <v>1174</v>
      </c>
      <c r="G105" s="68" t="s">
        <v>1054</v>
      </c>
      <c r="H105" s="76" t="s">
        <v>1176</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1177</v>
      </c>
      <c r="F106" s="68" t="s">
        <v>1172</v>
      </c>
      <c r="G106" s="68" t="s">
        <v>1054</v>
      </c>
      <c r="H106" s="76" t="s">
        <v>1178</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1179</v>
      </c>
      <c r="F107" s="68" t="s">
        <v>1172</v>
      </c>
      <c r="G107" s="68" t="s">
        <v>1062</v>
      </c>
      <c r="H107" s="76" t="s">
        <v>1180</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1181</v>
      </c>
      <c r="F108" s="68" t="s">
        <v>1172</v>
      </c>
      <c r="G108" s="68" t="s">
        <v>1054</v>
      </c>
      <c r="H108" s="76" t="s">
        <v>1182</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1183</v>
      </c>
      <c r="F109" s="68" t="s">
        <v>1172</v>
      </c>
      <c r="G109" s="68" t="s">
        <v>1062</v>
      </c>
      <c r="H109" s="76" t="s">
        <v>1184</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1185</v>
      </c>
      <c r="F110" s="68" t="s">
        <v>1172</v>
      </c>
      <c r="G110" s="68" t="s">
        <v>1062</v>
      </c>
      <c r="H110" s="76" t="s">
        <v>1186</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1187</v>
      </c>
      <c r="F111" s="68" t="s">
        <v>1172</v>
      </c>
      <c r="G111" s="68" t="s">
        <v>1054</v>
      </c>
      <c r="H111" s="76" t="s">
        <v>1188</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1029</v>
      </c>
      <c r="F112" s="68" t="s">
        <v>934</v>
      </c>
      <c r="G112" s="68" t="s">
        <v>935</v>
      </c>
      <c r="H112" s="76" t="s">
        <v>1030</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1181</v>
      </c>
      <c r="F113" s="68" t="s">
        <v>1172</v>
      </c>
      <c r="G113" s="68" t="s">
        <v>1054</v>
      </c>
      <c r="H113" s="76" t="s">
        <v>1189</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1183</v>
      </c>
      <c r="F114" s="68" t="s">
        <v>1172</v>
      </c>
      <c r="G114" s="68" t="s">
        <v>1062</v>
      </c>
      <c r="H114" s="76" t="s">
        <v>1190</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1191</v>
      </c>
      <c r="F115" s="68" t="s">
        <v>1192</v>
      </c>
      <c r="G115" s="68" t="s">
        <v>1062</v>
      </c>
      <c r="H115" s="76" t="s">
        <v>1193</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1194</v>
      </c>
      <c r="F116" s="68" t="s">
        <v>1172</v>
      </c>
      <c r="G116" s="68" t="s">
        <v>1062</v>
      </c>
      <c r="H116" s="76" t="s">
        <v>1195</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1196</v>
      </c>
      <c r="F117" s="68" t="s">
        <v>1172</v>
      </c>
      <c r="G117" s="68" t="s">
        <v>1062</v>
      </c>
      <c r="H117" s="76" t="s">
        <v>1197</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1093</v>
      </c>
      <c r="F118" s="68" t="s">
        <v>1086</v>
      </c>
      <c r="G118" s="68" t="s">
        <v>1062</v>
      </c>
      <c r="H118" s="76" t="s">
        <v>1094</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1095</v>
      </c>
      <c r="F119" s="68" t="s">
        <v>1096</v>
      </c>
      <c r="G119" s="68" t="s">
        <v>1062</v>
      </c>
      <c r="H119" s="76" t="s">
        <v>1097</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1085</v>
      </c>
      <c r="F120" s="68" t="s">
        <v>1086</v>
      </c>
      <c r="G120" s="68" t="s">
        <v>1054</v>
      </c>
      <c r="H120" s="76" t="s">
        <v>1098</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1099</v>
      </c>
      <c r="F121" s="68" t="s">
        <v>1086</v>
      </c>
      <c r="G121" s="68" t="s">
        <v>1062</v>
      </c>
      <c r="H121" s="76" t="s">
        <v>1100</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1031</v>
      </c>
      <c r="F122" s="68" t="s">
        <v>938</v>
      </c>
      <c r="G122" s="68" t="s">
        <v>935</v>
      </c>
      <c r="H122" s="76" t="s">
        <v>1032</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1033</v>
      </c>
      <c r="F123" s="68" t="s">
        <v>938</v>
      </c>
      <c r="G123" s="68" t="s">
        <v>935</v>
      </c>
      <c r="H123" s="76" t="s">
        <v>1034</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1035</v>
      </c>
      <c r="F124" s="68" t="s">
        <v>938</v>
      </c>
      <c r="G124" s="68" t="s">
        <v>935</v>
      </c>
      <c r="H124" s="76" t="s">
        <v>1036</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917</v>
      </c>
      <c r="F125" s="68" t="s">
        <v>938</v>
      </c>
      <c r="G125" s="68" t="s">
        <v>935</v>
      </c>
      <c r="H125" s="76" t="s">
        <v>1037</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1038</v>
      </c>
      <c r="F126" s="68" t="s">
        <v>938</v>
      </c>
      <c r="G126" s="68" t="s">
        <v>935</v>
      </c>
      <c r="H126" s="76" t="s">
        <v>1039</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1085</v>
      </c>
      <c r="F127" s="68" t="s">
        <v>1086</v>
      </c>
      <c r="G127" s="68" t="s">
        <v>1054</v>
      </c>
      <c r="H127" s="76" t="s">
        <v>1112</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1101</v>
      </c>
      <c r="F128" s="68" t="s">
        <v>1086</v>
      </c>
      <c r="G128" s="68" t="s">
        <v>1062</v>
      </c>
      <c r="H128" s="76" t="s">
        <v>1102</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1113</v>
      </c>
      <c r="F129" s="68" t="s">
        <v>1086</v>
      </c>
      <c r="G129" s="68" t="s">
        <v>1062</v>
      </c>
      <c r="H129" s="76" t="s">
        <v>1114</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1085</v>
      </c>
      <c r="F130" s="68" t="s">
        <v>1086</v>
      </c>
      <c r="G130" s="68" t="s">
        <v>1054</v>
      </c>
      <c r="H130" s="76" t="s">
        <v>1115</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1405</v>
      </c>
      <c r="F131" s="68" t="s">
        <v>1086</v>
      </c>
      <c r="G131" s="68" t="s">
        <v>1054</v>
      </c>
      <c r="H131" s="76" t="s">
        <v>1406</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1104</v>
      </c>
      <c r="F132" s="68" t="s">
        <v>1086</v>
      </c>
      <c r="G132" s="68" t="s">
        <v>1054</v>
      </c>
      <c r="H132" s="76" t="s">
        <v>1116</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1085</v>
      </c>
      <c r="F133" s="68" t="s">
        <v>1086</v>
      </c>
      <c r="G133" s="68" t="s">
        <v>1054</v>
      </c>
      <c r="H133" s="76" t="s">
        <v>1117</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1388</v>
      </c>
      <c r="F134" s="68" t="s">
        <v>1198</v>
      </c>
      <c r="G134" s="68" t="s">
        <v>1062</v>
      </c>
      <c r="H134" s="76" t="s">
        <v>1389</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1386</v>
      </c>
      <c r="F135" s="68" t="s">
        <v>1198</v>
      </c>
      <c r="G135" s="68" t="s">
        <v>1062</v>
      </c>
      <c r="H135" s="76" t="s">
        <v>1387</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1119</v>
      </c>
      <c r="F136" s="68" t="s">
        <v>1096</v>
      </c>
      <c r="G136" s="68" t="s">
        <v>1054</v>
      </c>
      <c r="H136" s="76" t="s">
        <v>1120</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1122</v>
      </c>
      <c r="F137" s="68" t="s">
        <v>1086</v>
      </c>
      <c r="G137" s="68" t="s">
        <v>1062</v>
      </c>
      <c r="H137" s="76" t="s">
        <v>1123</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1144</v>
      </c>
      <c r="F138" s="68" t="s">
        <v>1133</v>
      </c>
      <c r="G138" s="68" t="s">
        <v>1062</v>
      </c>
      <c r="H138" s="76" t="s">
        <v>1145</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1146</v>
      </c>
      <c r="F139" s="68" t="s">
        <v>1133</v>
      </c>
      <c r="G139" s="68" t="s">
        <v>1054</v>
      </c>
      <c r="H139" s="76" t="s">
        <v>1147</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1148</v>
      </c>
      <c r="F140" s="68" t="s">
        <v>1133</v>
      </c>
      <c r="G140" s="68" t="s">
        <v>1062</v>
      </c>
      <c r="H140" s="76" t="s">
        <v>1149</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1150</v>
      </c>
      <c r="F141" s="68" t="s">
        <v>1133</v>
      </c>
      <c r="G141" s="68" t="s">
        <v>1054</v>
      </c>
      <c r="H141" s="76" t="s">
        <v>1151</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1152</v>
      </c>
      <c r="F142" s="68" t="s">
        <v>1133</v>
      </c>
      <c r="G142" s="68" t="s">
        <v>1062</v>
      </c>
      <c r="H142" s="76" t="s">
        <v>1153</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1150</v>
      </c>
      <c r="F143" s="68" t="s">
        <v>1133</v>
      </c>
      <c r="G143" s="68" t="s">
        <v>1062</v>
      </c>
      <c r="H143" s="76" t="s">
        <v>1154</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1155</v>
      </c>
      <c r="F144" s="68" t="s">
        <v>1133</v>
      </c>
      <c r="G144" s="68" t="s">
        <v>1062</v>
      </c>
      <c r="H144" s="76" t="s">
        <v>1156</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1157</v>
      </c>
      <c r="F145" s="68" t="s">
        <v>1133</v>
      </c>
      <c r="G145" s="68" t="s">
        <v>1062</v>
      </c>
      <c r="H145" s="76" t="s">
        <v>1158</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1219</v>
      </c>
      <c r="F146" s="68" t="s">
        <v>1159</v>
      </c>
      <c r="G146" s="68" t="s">
        <v>1062</v>
      </c>
      <c r="H146" s="76" t="s">
        <v>1220</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1221</v>
      </c>
      <c r="F147" s="68" t="s">
        <v>1214</v>
      </c>
      <c r="G147" s="68" t="s">
        <v>1062</v>
      </c>
      <c r="H147" s="76" t="s">
        <v>1222</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1105</v>
      </c>
      <c r="F148" s="68" t="s">
        <v>1106</v>
      </c>
      <c r="G148" s="68" t="s">
        <v>1062</v>
      </c>
      <c r="H148" s="76" t="s">
        <v>1107</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1105</v>
      </c>
      <c r="F149" s="68" t="s">
        <v>1106</v>
      </c>
      <c r="G149" s="68" t="s">
        <v>1054</v>
      </c>
      <c r="H149" s="76" t="s">
        <v>1108</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1223</v>
      </c>
      <c r="F150" s="68" t="s">
        <v>1224</v>
      </c>
      <c r="G150" s="68" t="s">
        <v>1062</v>
      </c>
      <c r="H150" s="76" t="s">
        <v>1225</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1226</v>
      </c>
      <c r="F151" s="68" t="s">
        <v>1214</v>
      </c>
      <c r="G151" s="68" t="s">
        <v>1062</v>
      </c>
      <c r="H151" s="76" t="s">
        <v>1227</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1228</v>
      </c>
      <c r="F152" s="68" t="s">
        <v>1214</v>
      </c>
      <c r="G152" s="68" t="s">
        <v>1062</v>
      </c>
      <c r="H152" s="76" t="s">
        <v>1229</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1230</v>
      </c>
      <c r="F153" s="68" t="s">
        <v>1214</v>
      </c>
      <c r="G153" s="68" t="s">
        <v>1062</v>
      </c>
      <c r="H153" s="76" t="s">
        <v>1231</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1232</v>
      </c>
      <c r="F154" s="68" t="s">
        <v>1214</v>
      </c>
      <c r="G154" s="68" t="s">
        <v>1054</v>
      </c>
      <c r="H154" s="76" t="s">
        <v>1233</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1407</v>
      </c>
      <c r="F155" s="68" t="s">
        <v>1408</v>
      </c>
      <c r="G155" s="68" t="s">
        <v>1062</v>
      </c>
      <c r="H155" s="76" t="s">
        <v>1409</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1234</v>
      </c>
      <c r="F156" s="68" t="s">
        <v>1214</v>
      </c>
      <c r="G156" s="68" t="s">
        <v>1062</v>
      </c>
      <c r="H156" s="76" t="s">
        <v>1235</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1449</v>
      </c>
      <c r="F157" s="68" t="s">
        <v>1089</v>
      </c>
      <c r="G157" s="68" t="s">
        <v>1062</v>
      </c>
      <c r="H157" s="76" t="s">
        <v>1450</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1410</v>
      </c>
      <c r="F158" s="68" t="s">
        <v>1408</v>
      </c>
      <c r="G158" s="68" t="s">
        <v>1069</v>
      </c>
      <c r="H158" s="76" t="s">
        <v>1411</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1451</v>
      </c>
      <c r="F159" s="68" t="s">
        <v>1086</v>
      </c>
      <c r="G159" s="68" t="s">
        <v>1054</v>
      </c>
      <c r="H159" s="76" t="s">
        <v>1452</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1410</v>
      </c>
      <c r="F160" s="68" t="s">
        <v>1408</v>
      </c>
      <c r="G160" s="68" t="s">
        <v>1069</v>
      </c>
      <c r="H160" s="76" t="s">
        <v>1412</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1410</v>
      </c>
      <c r="F161" s="68" t="s">
        <v>1408</v>
      </c>
      <c r="G161" s="68" t="s">
        <v>1069</v>
      </c>
      <c r="H161" s="76" t="s">
        <v>1413</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1414</v>
      </c>
      <c r="F162" s="68" t="s">
        <v>1408</v>
      </c>
      <c r="G162" s="68" t="s">
        <v>1069</v>
      </c>
      <c r="H162" s="76" t="s">
        <v>1415</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1056</v>
      </c>
      <c r="F163" s="68" t="s">
        <v>1086</v>
      </c>
      <c r="G163" s="68" t="s">
        <v>1069</v>
      </c>
      <c r="H163" s="76" t="s">
        <v>1121</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1110</v>
      </c>
      <c r="F164" s="68" t="s">
        <v>1106</v>
      </c>
      <c r="G164" s="68" t="s">
        <v>1062</v>
      </c>
      <c r="H164" s="76" t="s">
        <v>1111</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1453</v>
      </c>
      <c r="F165" s="68" t="s">
        <v>1106</v>
      </c>
      <c r="G165" s="68" t="s">
        <v>1062</v>
      </c>
      <c r="H165" s="76" t="s">
        <v>1454</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1455</v>
      </c>
      <c r="F166" s="68" t="s">
        <v>1253</v>
      </c>
      <c r="G166" s="68" t="s">
        <v>1062</v>
      </c>
      <c r="H166" s="76" t="s">
        <v>1456</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1040</v>
      </c>
      <c r="F167" s="68" t="s">
        <v>1041</v>
      </c>
      <c r="G167" s="68" t="s">
        <v>945</v>
      </c>
      <c r="H167" s="76" t="s">
        <v>1042</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1416</v>
      </c>
      <c r="F168" s="68" t="s">
        <v>1408</v>
      </c>
      <c r="G168" s="68" t="s">
        <v>1069</v>
      </c>
      <c r="H168" s="76" t="s">
        <v>1417</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1199</v>
      </c>
      <c r="F169" s="68" t="s">
        <v>1172</v>
      </c>
      <c r="G169" s="68" t="s">
        <v>1054</v>
      </c>
      <c r="H169" s="76" t="s">
        <v>1200</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1416</v>
      </c>
      <c r="F170" s="68" t="s">
        <v>1408</v>
      </c>
      <c r="G170" s="68" t="s">
        <v>1069</v>
      </c>
      <c r="H170" s="76" t="s">
        <v>1418</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1416</v>
      </c>
      <c r="F171" s="68" t="s">
        <v>1408</v>
      </c>
      <c r="G171" s="68" t="s">
        <v>1069</v>
      </c>
      <c r="H171" s="76" t="s">
        <v>1418</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1160</v>
      </c>
      <c r="F172" s="68" t="s">
        <v>1161</v>
      </c>
      <c r="G172" s="68" t="s">
        <v>1054</v>
      </c>
      <c r="H172" s="76" t="s">
        <v>1162</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1407</v>
      </c>
      <c r="F173" s="68" t="s">
        <v>1408</v>
      </c>
      <c r="G173" s="68" t="s">
        <v>1062</v>
      </c>
      <c r="H173" s="76" t="s">
        <v>1419</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1201</v>
      </c>
      <c r="F174" s="68" t="s">
        <v>1172</v>
      </c>
      <c r="G174" s="68" t="s">
        <v>1062</v>
      </c>
      <c r="H174" s="76" t="s">
        <v>1202</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1416</v>
      </c>
      <c r="F175" s="68" t="s">
        <v>1408</v>
      </c>
      <c r="G175" s="68" t="s">
        <v>1069</v>
      </c>
      <c r="H175" s="76" t="s">
        <v>1418</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1416</v>
      </c>
      <c r="F176" s="68" t="s">
        <v>1408</v>
      </c>
      <c r="G176" s="68" t="s">
        <v>1069</v>
      </c>
      <c r="H176" s="76" t="s">
        <v>1418</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1199</v>
      </c>
      <c r="F177" s="68" t="s">
        <v>1172</v>
      </c>
      <c r="G177" s="68" t="s">
        <v>1054</v>
      </c>
      <c r="H177" s="76" t="s">
        <v>1203</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1199</v>
      </c>
      <c r="F178" s="68" t="s">
        <v>1172</v>
      </c>
      <c r="G178" s="68" t="s">
        <v>1054</v>
      </c>
      <c r="H178" s="76" t="s">
        <v>1204</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1272</v>
      </c>
      <c r="F179" s="68" t="s">
        <v>1261</v>
      </c>
      <c r="G179" s="68" t="s">
        <v>1062</v>
      </c>
      <c r="H179" s="76" t="s">
        <v>1273</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1272</v>
      </c>
      <c r="F180" s="68" t="s">
        <v>1261</v>
      </c>
      <c r="G180" s="68" t="s">
        <v>1062</v>
      </c>
      <c r="H180" s="76" t="s">
        <v>1274</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1275</v>
      </c>
      <c r="F181" s="68" t="s">
        <v>1276</v>
      </c>
      <c r="G181" s="68" t="s">
        <v>1054</v>
      </c>
      <c r="H181" s="76" t="s">
        <v>1277</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1278</v>
      </c>
      <c r="F182" s="68" t="s">
        <v>1279</v>
      </c>
      <c r="G182" s="68" t="s">
        <v>1062</v>
      </c>
      <c r="H182" s="76" t="s">
        <v>1280</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1281</v>
      </c>
      <c r="F183" s="72" t="s">
        <v>1261</v>
      </c>
      <c r="G183" s="72" t="s">
        <v>1062</v>
      </c>
      <c r="H183" s="77" t="s">
        <v>1282</v>
      </c>
    </row>
  </sheetData>
  <autoFilter ref="A4:H183" xr:uid="{F6284182-FD2C-E145-9717-734327A3CD4B}"/>
  <phoneticPr fontId="2"/>
  <conditionalFormatting sqref="A5:H183">
    <cfRule type="expression" dxfId="73" priority="1">
      <formula>$G5="未対応"</formula>
    </cfRule>
  </conditionalFormatting>
  <conditionalFormatting sqref="A5:H183">
    <cfRule type="expression" dxfId="72" priority="2">
      <formula>$G5="単元未取込"</formula>
    </cfRule>
  </conditionalFormatting>
  <conditionalFormatting sqref="A5:H183">
    <cfRule type="expression" dxfId="71" priority="3">
      <formula>$G5="部分"</formula>
    </cfRule>
  </conditionalFormatting>
  <conditionalFormatting sqref="A5:H183">
    <cfRule type="expression" dxfId="70" priority="4">
      <formula>$G5="設計済"</formula>
    </cfRule>
  </conditionalFormatting>
  <conditionalFormatting sqref="A5:H183">
    <cfRule type="expression" dxfId="69"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1283</v>
      </c>
    </row>
    <row r="2" spans="1:6">
      <c r="A2" s="75" t="s">
        <v>1513</v>
      </c>
    </row>
    <row r="3" spans="1:6">
      <c r="A3" s="80" t="s">
        <v>1284</v>
      </c>
    </row>
    <row r="5" spans="1:6" ht="22" customHeight="1">
      <c r="A5" s="81" t="s">
        <v>875</v>
      </c>
      <c r="B5" s="82" t="s">
        <v>876</v>
      </c>
      <c r="C5" s="82" t="s">
        <v>877</v>
      </c>
      <c r="D5" s="82" t="s">
        <v>1285</v>
      </c>
      <c r="E5" s="82" t="s">
        <v>1286</v>
      </c>
      <c r="F5" s="83" t="s">
        <v>1287</v>
      </c>
    </row>
    <row r="6" spans="1:6" ht="32">
      <c r="A6" s="73" t="s">
        <v>1050</v>
      </c>
      <c r="B6" s="66" t="s">
        <v>1044</v>
      </c>
      <c r="C6" s="66" t="s">
        <v>1051</v>
      </c>
      <c r="D6" s="68" t="s">
        <v>1288</v>
      </c>
      <c r="E6" s="67" t="s">
        <v>1289</v>
      </c>
      <c r="F6" s="76" t="s">
        <v>1290</v>
      </c>
    </row>
    <row r="7" spans="1:6" ht="32">
      <c r="A7" s="73" t="s">
        <v>1046</v>
      </c>
      <c r="B7" s="66" t="s">
        <v>1044</v>
      </c>
      <c r="C7" s="66" t="s">
        <v>1047</v>
      </c>
      <c r="D7" s="68" t="s">
        <v>1288</v>
      </c>
      <c r="E7" s="67" t="s">
        <v>1291</v>
      </c>
      <c r="F7" s="76" t="s">
        <v>1290</v>
      </c>
    </row>
    <row r="8" spans="1:6" ht="16">
      <c r="A8" s="73" t="s">
        <v>1248</v>
      </c>
      <c r="B8" s="66" t="s">
        <v>1237</v>
      </c>
      <c r="C8" s="66" t="s">
        <v>1249</v>
      </c>
      <c r="D8" s="68" t="s">
        <v>1288</v>
      </c>
      <c r="E8" s="67" t="s">
        <v>1292</v>
      </c>
      <c r="F8" s="76" t="s">
        <v>1290</v>
      </c>
    </row>
    <row r="9" spans="1:6" ht="16">
      <c r="A9" s="73" t="s">
        <v>1048</v>
      </c>
      <c r="B9" s="66" t="s">
        <v>1044</v>
      </c>
      <c r="C9" s="66" t="s">
        <v>1049</v>
      </c>
      <c r="D9" s="68" t="s">
        <v>1288</v>
      </c>
      <c r="E9" s="67" t="s">
        <v>1293</v>
      </c>
      <c r="F9" s="76" t="s">
        <v>1290</v>
      </c>
    </row>
    <row r="10" spans="1:6" ht="16">
      <c r="A10" s="73" t="s">
        <v>932</v>
      </c>
      <c r="B10" s="66" t="s">
        <v>914</v>
      </c>
      <c r="C10" s="66" t="s">
        <v>1294</v>
      </c>
      <c r="D10" s="68" t="s">
        <v>1288</v>
      </c>
      <c r="E10" s="67" t="s">
        <v>1295</v>
      </c>
      <c r="F10" s="76" t="s">
        <v>120</v>
      </c>
    </row>
    <row r="11" spans="1:6" ht="32">
      <c r="A11" s="73" t="s">
        <v>1246</v>
      </c>
      <c r="B11" s="66" t="s">
        <v>1237</v>
      </c>
      <c r="C11" s="66" t="s">
        <v>1247</v>
      </c>
      <c r="D11" s="68" t="s">
        <v>1288</v>
      </c>
      <c r="E11" s="67" t="s">
        <v>1296</v>
      </c>
      <c r="F11" s="76" t="s">
        <v>176</v>
      </c>
    </row>
    <row r="12" spans="1:6" ht="16">
      <c r="A12" s="73" t="s">
        <v>1081</v>
      </c>
      <c r="B12" s="66" t="s">
        <v>517</v>
      </c>
      <c r="C12" s="66" t="s">
        <v>1082</v>
      </c>
      <c r="D12" s="68" t="s">
        <v>1288</v>
      </c>
      <c r="E12" s="67" t="s">
        <v>1297</v>
      </c>
      <c r="F12" s="76" t="s">
        <v>1298</v>
      </c>
    </row>
    <row r="13" spans="1:6" ht="16">
      <c r="A13" s="73" t="s">
        <v>912</v>
      </c>
      <c r="B13" s="66" t="s">
        <v>510</v>
      </c>
      <c r="C13" s="66" t="s">
        <v>1299</v>
      </c>
      <c r="D13" s="68" t="s">
        <v>1288</v>
      </c>
      <c r="E13" s="67" t="s">
        <v>1300</v>
      </c>
      <c r="F13" s="76" t="s">
        <v>1290</v>
      </c>
    </row>
    <row r="14" spans="1:6" ht="16">
      <c r="A14" s="73" t="s">
        <v>1208</v>
      </c>
      <c r="B14" s="66" t="s">
        <v>1205</v>
      </c>
      <c r="C14" s="66" t="s">
        <v>1209</v>
      </c>
      <c r="D14" s="68" t="s">
        <v>1288</v>
      </c>
      <c r="E14" s="67" t="s">
        <v>1301</v>
      </c>
      <c r="F14" s="76" t="s">
        <v>349</v>
      </c>
    </row>
    <row r="15" spans="1:6" ht="16">
      <c r="A15" s="73" t="s">
        <v>1242</v>
      </c>
      <c r="B15" s="66" t="s">
        <v>1237</v>
      </c>
      <c r="C15" s="66" t="s">
        <v>1243</v>
      </c>
      <c r="D15" s="68" t="s">
        <v>1288</v>
      </c>
      <c r="E15" s="67" t="s">
        <v>1302</v>
      </c>
      <c r="F15" s="76" t="s">
        <v>1290</v>
      </c>
    </row>
    <row r="16" spans="1:6" ht="16">
      <c r="A16" s="73" t="s">
        <v>919</v>
      </c>
      <c r="B16" s="66" t="s">
        <v>914</v>
      </c>
      <c r="C16" s="66" t="s">
        <v>1303</v>
      </c>
      <c r="D16" s="68" t="s">
        <v>1288</v>
      </c>
      <c r="E16" s="67" t="s">
        <v>1304</v>
      </c>
      <c r="F16" s="76" t="s">
        <v>291</v>
      </c>
    </row>
    <row r="17" spans="1:6" ht="32">
      <c r="A17" s="73" t="s">
        <v>1236</v>
      </c>
      <c r="B17" s="66" t="s">
        <v>1237</v>
      </c>
      <c r="C17" s="66" t="s">
        <v>1238</v>
      </c>
      <c r="D17" s="68" t="s">
        <v>1305</v>
      </c>
      <c r="E17" s="67" t="s">
        <v>1306</v>
      </c>
      <c r="F17" s="76" t="s">
        <v>1307</v>
      </c>
    </row>
    <row r="18" spans="1:6" ht="16">
      <c r="A18" s="73" t="s">
        <v>1239</v>
      </c>
      <c r="B18" s="66" t="s">
        <v>1237</v>
      </c>
      <c r="C18" s="66" t="s">
        <v>1240</v>
      </c>
      <c r="D18" s="68" t="s">
        <v>1305</v>
      </c>
      <c r="E18" s="67" t="s">
        <v>1308</v>
      </c>
      <c r="F18" s="76" t="s">
        <v>1307</v>
      </c>
    </row>
    <row r="19" spans="1:6" ht="16">
      <c r="A19" s="73" t="s">
        <v>1244</v>
      </c>
      <c r="B19" s="66" t="s">
        <v>1237</v>
      </c>
      <c r="C19" s="66" t="s">
        <v>1245</v>
      </c>
      <c r="D19" s="68" t="s">
        <v>1305</v>
      </c>
      <c r="E19" s="67" t="s">
        <v>1309</v>
      </c>
      <c r="F19" s="76" t="s">
        <v>1310</v>
      </c>
    </row>
    <row r="20" spans="1:6" ht="16">
      <c r="A20" s="73" t="s">
        <v>920</v>
      </c>
      <c r="B20" s="66" t="s">
        <v>914</v>
      </c>
      <c r="C20" s="66" t="s">
        <v>1311</v>
      </c>
      <c r="D20" s="68" t="s">
        <v>1305</v>
      </c>
      <c r="E20" s="67" t="s">
        <v>1312</v>
      </c>
      <c r="F20" s="76" t="s">
        <v>1313</v>
      </c>
    </row>
    <row r="21" spans="1:6" ht="16">
      <c r="A21" s="73" t="s">
        <v>918</v>
      </c>
      <c r="B21" s="66" t="s">
        <v>914</v>
      </c>
      <c r="C21" s="66" t="s">
        <v>1314</v>
      </c>
      <c r="D21" s="68" t="s">
        <v>1305</v>
      </c>
      <c r="E21" s="67" t="s">
        <v>1315</v>
      </c>
      <c r="F21" s="76" t="s">
        <v>294</v>
      </c>
    </row>
    <row r="22" spans="1:6" ht="16">
      <c r="A22" s="73" t="s">
        <v>925</v>
      </c>
      <c r="B22" s="66" t="s">
        <v>914</v>
      </c>
      <c r="C22" s="66" t="s">
        <v>1316</v>
      </c>
      <c r="D22" s="68" t="s">
        <v>1305</v>
      </c>
      <c r="E22" s="67" t="s">
        <v>1317</v>
      </c>
      <c r="F22" s="76" t="s">
        <v>1318</v>
      </c>
    </row>
    <row r="23" spans="1:6" ht="32">
      <c r="A23" s="73" t="s">
        <v>926</v>
      </c>
      <c r="B23" s="66" t="s">
        <v>914</v>
      </c>
      <c r="C23" s="66" t="s">
        <v>1319</v>
      </c>
      <c r="D23" s="68" t="s">
        <v>1305</v>
      </c>
      <c r="E23" s="67" t="s">
        <v>1320</v>
      </c>
      <c r="F23" s="76" t="s">
        <v>109</v>
      </c>
    </row>
    <row r="24" spans="1:6" ht="16">
      <c r="A24" s="73" t="s">
        <v>923</v>
      </c>
      <c r="B24" s="66" t="s">
        <v>914</v>
      </c>
      <c r="C24" s="66" t="s">
        <v>1321</v>
      </c>
      <c r="D24" s="68" t="s">
        <v>1305</v>
      </c>
      <c r="E24" s="67" t="s">
        <v>1322</v>
      </c>
      <c r="F24" s="76" t="s">
        <v>300</v>
      </c>
    </row>
    <row r="25" spans="1:6" ht="16">
      <c r="A25" s="73" t="s">
        <v>916</v>
      </c>
      <c r="B25" s="66" t="s">
        <v>914</v>
      </c>
      <c r="C25" s="66" t="s">
        <v>1323</v>
      </c>
      <c r="D25" s="68" t="s">
        <v>1305</v>
      </c>
      <c r="E25" s="67" t="s">
        <v>1324</v>
      </c>
      <c r="F25" s="76" t="s">
        <v>1325</v>
      </c>
    </row>
    <row r="26" spans="1:6" ht="16">
      <c r="A26" s="73" t="s">
        <v>1045</v>
      </c>
      <c r="B26" s="66" t="s">
        <v>1044</v>
      </c>
      <c r="C26" s="66" t="s">
        <v>1326</v>
      </c>
      <c r="D26" s="68" t="s">
        <v>1305</v>
      </c>
      <c r="E26" s="67" t="s">
        <v>1327</v>
      </c>
      <c r="F26" s="76" t="s">
        <v>89</v>
      </c>
    </row>
    <row r="27" spans="1:6" ht="16">
      <c r="A27" s="73" t="s">
        <v>889</v>
      </c>
      <c r="B27" s="66" t="s">
        <v>503</v>
      </c>
      <c r="C27" s="66" t="s">
        <v>1328</v>
      </c>
      <c r="D27" s="68" t="s">
        <v>1305</v>
      </c>
      <c r="E27" s="67" t="s">
        <v>1329</v>
      </c>
      <c r="F27" s="76" t="s">
        <v>89</v>
      </c>
    </row>
    <row r="28" spans="1:6" ht="16">
      <c r="A28" s="73" t="s">
        <v>1130</v>
      </c>
      <c r="B28" s="66" t="s">
        <v>519</v>
      </c>
      <c r="C28" s="66" t="s">
        <v>1131</v>
      </c>
      <c r="D28" s="68" t="s">
        <v>1305</v>
      </c>
      <c r="E28" s="67" t="s">
        <v>1330</v>
      </c>
      <c r="F28" s="76" t="s">
        <v>335</v>
      </c>
    </row>
    <row r="29" spans="1:6" ht="16">
      <c r="A29" s="73" t="s">
        <v>1169</v>
      </c>
      <c r="B29" s="66" t="s">
        <v>513</v>
      </c>
      <c r="C29" s="66" t="s">
        <v>1170</v>
      </c>
      <c r="D29" s="68" t="s">
        <v>1305</v>
      </c>
      <c r="E29" s="67" t="s">
        <v>1331</v>
      </c>
      <c r="F29" s="76" t="s">
        <v>1332</v>
      </c>
    </row>
    <row r="30" spans="1:6" ht="32">
      <c r="A30" s="73" t="s">
        <v>906</v>
      </c>
      <c r="B30" s="66" t="s">
        <v>510</v>
      </c>
      <c r="C30" s="66" t="s">
        <v>1333</v>
      </c>
      <c r="D30" s="68" t="s">
        <v>1305</v>
      </c>
      <c r="E30" s="67" t="s">
        <v>1334</v>
      </c>
      <c r="F30" s="76" t="s">
        <v>1335</v>
      </c>
    </row>
    <row r="31" spans="1:6" ht="16">
      <c r="A31" s="73" t="s">
        <v>1167</v>
      </c>
      <c r="B31" s="66" t="s">
        <v>513</v>
      </c>
      <c r="C31" s="66" t="s">
        <v>1168</v>
      </c>
      <c r="D31" s="68" t="s">
        <v>1336</v>
      </c>
      <c r="E31" s="67" t="s">
        <v>1337</v>
      </c>
      <c r="F31" s="76" t="s">
        <v>1338</v>
      </c>
    </row>
    <row r="32" spans="1:6" ht="16">
      <c r="A32" s="73" t="s">
        <v>1127</v>
      </c>
      <c r="B32" s="66" t="s">
        <v>519</v>
      </c>
      <c r="C32" s="66" t="s">
        <v>1128</v>
      </c>
      <c r="D32" s="68" t="s">
        <v>1339</v>
      </c>
      <c r="E32" s="67" t="s">
        <v>1340</v>
      </c>
      <c r="F32" s="76" t="s">
        <v>330</v>
      </c>
    </row>
    <row r="33" spans="1:6" ht="16">
      <c r="A33" s="73" t="s">
        <v>885</v>
      </c>
      <c r="B33" s="66" t="s">
        <v>503</v>
      </c>
      <c r="C33" s="66" t="s">
        <v>1341</v>
      </c>
      <c r="D33" s="68" t="s">
        <v>1342</v>
      </c>
      <c r="E33" s="67" t="s">
        <v>1343</v>
      </c>
      <c r="F33" s="76" t="s">
        <v>944</v>
      </c>
    </row>
    <row r="34" spans="1:6" ht="16">
      <c r="A34" s="73" t="s">
        <v>886</v>
      </c>
      <c r="B34" s="66" t="s">
        <v>503</v>
      </c>
      <c r="C34" s="66" t="s">
        <v>1344</v>
      </c>
      <c r="D34" s="68" t="s">
        <v>1342</v>
      </c>
      <c r="E34" s="67" t="s">
        <v>1345</v>
      </c>
      <c r="F34" s="76" t="s">
        <v>944</v>
      </c>
    </row>
    <row r="35" spans="1:6" ht="16">
      <c r="A35" s="73" t="s">
        <v>887</v>
      </c>
      <c r="B35" s="66" t="s">
        <v>503</v>
      </c>
      <c r="C35" s="66" t="s">
        <v>1346</v>
      </c>
      <c r="D35" s="68" t="s">
        <v>1342</v>
      </c>
      <c r="E35" s="67" t="s">
        <v>1347</v>
      </c>
      <c r="F35" s="76" t="s">
        <v>944</v>
      </c>
    </row>
    <row r="36" spans="1:6" ht="16">
      <c r="A36" s="73" t="s">
        <v>888</v>
      </c>
      <c r="B36" s="66" t="s">
        <v>503</v>
      </c>
      <c r="C36" s="66" t="s">
        <v>1348</v>
      </c>
      <c r="D36" s="68" t="s">
        <v>1342</v>
      </c>
      <c r="E36" s="67" t="s">
        <v>1349</v>
      </c>
      <c r="F36" s="76" t="s">
        <v>944</v>
      </c>
    </row>
    <row r="37" spans="1:6" ht="16">
      <c r="A37" s="73" t="s">
        <v>890</v>
      </c>
      <c r="B37" s="66" t="s">
        <v>503</v>
      </c>
      <c r="C37" s="66" t="s">
        <v>1350</v>
      </c>
      <c r="D37" s="68" t="s">
        <v>1342</v>
      </c>
      <c r="E37" s="67" t="s">
        <v>1351</v>
      </c>
      <c r="F37" s="76" t="s">
        <v>944</v>
      </c>
    </row>
    <row r="38" spans="1:6" ht="16">
      <c r="A38" s="73" t="s">
        <v>891</v>
      </c>
      <c r="B38" s="66" t="s">
        <v>503</v>
      </c>
      <c r="C38" s="66" t="s">
        <v>1352</v>
      </c>
      <c r="D38" s="68" t="s">
        <v>1342</v>
      </c>
      <c r="E38" s="67" t="s">
        <v>1353</v>
      </c>
      <c r="F38" s="76" t="s">
        <v>944</v>
      </c>
    </row>
    <row r="39" spans="1:6" ht="16">
      <c r="A39" s="73" t="s">
        <v>892</v>
      </c>
      <c r="B39" s="66" t="s">
        <v>503</v>
      </c>
      <c r="C39" s="66" t="s">
        <v>1354</v>
      </c>
      <c r="D39" s="68" t="s">
        <v>1342</v>
      </c>
      <c r="E39" s="67" t="s">
        <v>1355</v>
      </c>
      <c r="F39" s="76" t="s">
        <v>944</v>
      </c>
    </row>
    <row r="40" spans="1:6" ht="16">
      <c r="A40" s="73" t="s">
        <v>895</v>
      </c>
      <c r="B40" s="66" t="s">
        <v>503</v>
      </c>
      <c r="C40" s="66" t="s">
        <v>1356</v>
      </c>
      <c r="D40" s="68" t="s">
        <v>1342</v>
      </c>
      <c r="E40" s="67" t="s">
        <v>1357</v>
      </c>
      <c r="F40" s="76" t="s">
        <v>944</v>
      </c>
    </row>
    <row r="41" spans="1:6" ht="16">
      <c r="A41" s="73" t="s">
        <v>896</v>
      </c>
      <c r="B41" s="66" t="s">
        <v>503</v>
      </c>
      <c r="C41" s="66" t="s">
        <v>1358</v>
      </c>
      <c r="D41" s="68" t="s">
        <v>1342</v>
      </c>
      <c r="E41" s="67" t="s">
        <v>1359</v>
      </c>
      <c r="F41" s="76" t="s">
        <v>944</v>
      </c>
    </row>
    <row r="42" spans="1:6" ht="16">
      <c r="A42" s="73" t="s">
        <v>897</v>
      </c>
      <c r="B42" s="66" t="s">
        <v>503</v>
      </c>
      <c r="C42" s="66" t="s">
        <v>1360</v>
      </c>
      <c r="D42" s="68" t="s">
        <v>1342</v>
      </c>
      <c r="E42" s="67" t="s">
        <v>1361</v>
      </c>
      <c r="F42" s="76" t="s">
        <v>944</v>
      </c>
    </row>
    <row r="43" spans="1:6" ht="16">
      <c r="A43" s="73" t="s">
        <v>899</v>
      </c>
      <c r="B43" s="66" t="s">
        <v>503</v>
      </c>
      <c r="C43" s="66" t="s">
        <v>1362</v>
      </c>
      <c r="D43" s="68" t="s">
        <v>1342</v>
      </c>
      <c r="E43" s="67" t="s">
        <v>1363</v>
      </c>
      <c r="F43" s="76" t="s">
        <v>944</v>
      </c>
    </row>
    <row r="44" spans="1:6" ht="16">
      <c r="A44" s="73" t="s">
        <v>900</v>
      </c>
      <c r="B44" s="66" t="s">
        <v>503</v>
      </c>
      <c r="C44" s="66" t="s">
        <v>1364</v>
      </c>
      <c r="D44" s="68" t="s">
        <v>1342</v>
      </c>
      <c r="E44" s="67" t="s">
        <v>1365</v>
      </c>
      <c r="F44" s="76" t="s">
        <v>944</v>
      </c>
    </row>
    <row r="45" spans="1:6" ht="16">
      <c r="A45" s="73" t="s">
        <v>921</v>
      </c>
      <c r="B45" s="66" t="s">
        <v>914</v>
      </c>
      <c r="C45" s="66" t="s">
        <v>1366</v>
      </c>
      <c r="D45" s="68" t="s">
        <v>1342</v>
      </c>
      <c r="E45" s="67" t="s">
        <v>1367</v>
      </c>
      <c r="F45" s="76" t="s">
        <v>944</v>
      </c>
    </row>
    <row r="46" spans="1:6" ht="16">
      <c r="A46" s="73" t="s">
        <v>922</v>
      </c>
      <c r="B46" s="66" t="s">
        <v>914</v>
      </c>
      <c r="C46" s="66" t="s">
        <v>1368</v>
      </c>
      <c r="D46" s="68" t="s">
        <v>1342</v>
      </c>
      <c r="E46" s="67" t="s">
        <v>1369</v>
      </c>
      <c r="F46" s="76" t="s">
        <v>944</v>
      </c>
    </row>
    <row r="47" spans="1:6" ht="16">
      <c r="A47" s="73" t="s">
        <v>930</v>
      </c>
      <c r="B47" s="66" t="s">
        <v>914</v>
      </c>
      <c r="C47" s="66" t="s">
        <v>1370</v>
      </c>
      <c r="D47" s="68" t="s">
        <v>1342</v>
      </c>
      <c r="E47" s="67" t="s">
        <v>1371</v>
      </c>
      <c r="F47" s="76" t="s">
        <v>944</v>
      </c>
    </row>
    <row r="48" spans="1:6" ht="16">
      <c r="A48" s="73" t="s">
        <v>931</v>
      </c>
      <c r="B48" s="66" t="s">
        <v>914</v>
      </c>
      <c r="C48" s="66" t="s">
        <v>1372</v>
      </c>
      <c r="D48" s="68" t="s">
        <v>1342</v>
      </c>
      <c r="E48" s="67" t="s">
        <v>1373</v>
      </c>
      <c r="F48" s="76" t="s">
        <v>944</v>
      </c>
    </row>
    <row r="49" spans="1:6" ht="16">
      <c r="A49" s="73" t="s">
        <v>904</v>
      </c>
      <c r="B49" s="66" t="s">
        <v>510</v>
      </c>
      <c r="C49" s="66" t="s">
        <v>1374</v>
      </c>
      <c r="D49" s="68" t="s">
        <v>1342</v>
      </c>
      <c r="E49" s="67" t="s">
        <v>1375</v>
      </c>
      <c r="F49" s="76" t="s">
        <v>944</v>
      </c>
    </row>
    <row r="50" spans="1:6" ht="16">
      <c r="A50" s="73" t="s">
        <v>908</v>
      </c>
      <c r="B50" s="66" t="s">
        <v>510</v>
      </c>
      <c r="C50" s="66" t="s">
        <v>1376</v>
      </c>
      <c r="D50" s="68" t="s">
        <v>1342</v>
      </c>
      <c r="E50" s="67" t="s">
        <v>1377</v>
      </c>
      <c r="F50" s="76" t="s">
        <v>944</v>
      </c>
    </row>
    <row r="51" spans="1:6" ht="16">
      <c r="A51" s="73" t="s">
        <v>909</v>
      </c>
      <c r="B51" s="66" t="s">
        <v>510</v>
      </c>
      <c r="C51" s="66" t="s">
        <v>1378</v>
      </c>
      <c r="D51" s="68" t="s">
        <v>1342</v>
      </c>
      <c r="E51" s="67" t="s">
        <v>1379</v>
      </c>
      <c r="F51" s="76" t="s">
        <v>944</v>
      </c>
    </row>
    <row r="52" spans="1:6" ht="16">
      <c r="A52" s="73" t="s">
        <v>1163</v>
      </c>
      <c r="B52" s="66" t="s">
        <v>513</v>
      </c>
      <c r="C52" s="66" t="s">
        <v>1164</v>
      </c>
      <c r="D52" s="68" t="s">
        <v>1342</v>
      </c>
      <c r="E52" s="67" t="s">
        <v>1380</v>
      </c>
      <c r="F52" s="76" t="s">
        <v>944</v>
      </c>
    </row>
    <row r="53" spans="1:6" ht="16">
      <c r="A53" s="73" t="s">
        <v>1165</v>
      </c>
      <c r="B53" s="66" t="s">
        <v>513</v>
      </c>
      <c r="C53" s="66" t="s">
        <v>1166</v>
      </c>
      <c r="D53" s="68" t="s">
        <v>1342</v>
      </c>
      <c r="E53" s="67" t="s">
        <v>1381</v>
      </c>
      <c r="F53" s="76" t="s">
        <v>944</v>
      </c>
    </row>
    <row r="54" spans="1:6" ht="16">
      <c r="A54" s="73" t="s">
        <v>1206</v>
      </c>
      <c r="B54" s="66" t="s">
        <v>1205</v>
      </c>
      <c r="C54" s="66" t="s">
        <v>1382</v>
      </c>
      <c r="D54" s="68" t="s">
        <v>1342</v>
      </c>
      <c r="E54" s="67" t="s">
        <v>1383</v>
      </c>
      <c r="F54" s="76" t="s">
        <v>944</v>
      </c>
    </row>
    <row r="55" spans="1:6" ht="16">
      <c r="A55" s="74" t="s">
        <v>1207</v>
      </c>
      <c r="B55" s="70" t="s">
        <v>1205</v>
      </c>
      <c r="C55" s="70" t="s">
        <v>1384</v>
      </c>
      <c r="D55" s="72" t="s">
        <v>1342</v>
      </c>
      <c r="E55" s="71" t="s">
        <v>1385</v>
      </c>
      <c r="F55" s="77" t="s">
        <v>944</v>
      </c>
    </row>
  </sheetData>
  <autoFilter ref="A5:F55" xr:uid="{8B2CA42E-305E-3549-A119-1311DF775CFA}"/>
  <phoneticPr fontId="2"/>
  <conditionalFormatting sqref="A6:F55">
    <cfRule type="expression" dxfId="68" priority="1">
      <formula>$D6="スコープ増"</formula>
    </cfRule>
  </conditionalFormatting>
  <conditionalFormatting sqref="A6:F55">
    <cfRule type="expression" dxfId="67" priority="2">
      <formula>$D6="要件側の書き漏れ"</formula>
    </cfRule>
  </conditionalFormatting>
  <conditionalFormatting sqref="A6:F55">
    <cfRule type="expression" dxfId="66" priority="3">
      <formula>$D6="参照漏れ"</formula>
    </cfRule>
  </conditionalFormatting>
  <conditionalFormatting sqref="A6:F55">
    <cfRule type="expression" dxfId="65" priority="4">
      <formula>$D6="内部技術判断"</formula>
    </cfRule>
  </conditionalFormatting>
  <conditionalFormatting sqref="A6:F55">
    <cfRule type="expression" dxfId="64"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2545</v>
      </c>
    </row>
    <row r="2" spans="1:9">
      <c r="A2" s="3" t="s">
        <v>2546</v>
      </c>
    </row>
    <row r="3" spans="1:9">
      <c r="A3" s="54" t="s">
        <v>4927</v>
      </c>
    </row>
    <row r="4" spans="1:9" ht="22" customHeight="1"/>
    <row r="5" spans="1:9" ht="22" customHeight="1">
      <c r="A5" s="9" t="s">
        <v>1427</v>
      </c>
      <c r="B5" s="10" t="s">
        <v>1428</v>
      </c>
      <c r="C5" s="10" t="s">
        <v>1429</v>
      </c>
      <c r="D5" s="10" t="s">
        <v>2547</v>
      </c>
      <c r="E5" s="11" t="s">
        <v>2548</v>
      </c>
      <c r="G5" s="157" t="s">
        <v>2714</v>
      </c>
    </row>
    <row r="6" spans="1:9">
      <c r="A6" s="49" t="s">
        <v>2549</v>
      </c>
      <c r="B6" s="6" t="s">
        <v>2550</v>
      </c>
      <c r="C6" s="12" t="s">
        <v>2551</v>
      </c>
      <c r="D6" s="176" t="s">
        <v>2715</v>
      </c>
      <c r="E6" s="174"/>
      <c r="G6" s="18" t="s">
        <v>1429</v>
      </c>
      <c r="H6" s="20" t="s">
        <v>1043</v>
      </c>
    </row>
    <row r="7" spans="1:9">
      <c r="A7" s="49" t="s">
        <v>2552</v>
      </c>
      <c r="B7" s="6" t="s">
        <v>2553</v>
      </c>
      <c r="C7" s="12" t="s">
        <v>2551</v>
      </c>
      <c r="D7" s="176" t="s">
        <v>2715</v>
      </c>
      <c r="E7" s="174"/>
      <c r="G7" s="21" t="s">
        <v>2562</v>
      </c>
      <c r="H7" s="158">
        <f>COUNTIF($C$6:$C$72,$G7)</f>
        <v>48</v>
      </c>
    </row>
    <row r="8" spans="1:9">
      <c r="A8" s="49" t="s">
        <v>2554</v>
      </c>
      <c r="B8" s="6" t="s">
        <v>2555</v>
      </c>
      <c r="C8" s="12" t="s">
        <v>2551</v>
      </c>
      <c r="D8" s="176" t="s">
        <v>2715</v>
      </c>
      <c r="E8" s="174"/>
      <c r="G8" s="21" t="s">
        <v>2551</v>
      </c>
      <c r="H8" s="158">
        <f>COUNTIF($C$6:$C$72,$G8)</f>
        <v>12</v>
      </c>
    </row>
    <row r="9" spans="1:9">
      <c r="A9" s="49" t="s">
        <v>2556</v>
      </c>
      <c r="B9" s="6" t="s">
        <v>2557</v>
      </c>
      <c r="C9" s="12" t="s">
        <v>2551</v>
      </c>
      <c r="D9" s="176" t="s">
        <v>2715</v>
      </c>
      <c r="E9" s="174"/>
      <c r="G9" s="21" t="s">
        <v>2679</v>
      </c>
      <c r="H9" s="158">
        <f>COUNTIF($C$6:$C$72,$G9)</f>
        <v>1</v>
      </c>
    </row>
    <row r="10" spans="1:9">
      <c r="A10" s="49" t="s">
        <v>2558</v>
      </c>
      <c r="B10" s="6" t="s">
        <v>2559</v>
      </c>
      <c r="C10" s="12" t="s">
        <v>2551</v>
      </c>
      <c r="D10" s="176" t="s">
        <v>2715</v>
      </c>
      <c r="E10" s="174"/>
      <c r="G10" s="21" t="s">
        <v>2683</v>
      </c>
      <c r="H10" s="158">
        <f>COUNTIF($C$6:$C$72,$G10)</f>
        <v>1</v>
      </c>
    </row>
    <row r="11" spans="1:9">
      <c r="A11" s="49" t="s">
        <v>2560</v>
      </c>
      <c r="B11" s="6" t="s">
        <v>2561</v>
      </c>
      <c r="C11" s="12" t="s">
        <v>2562</v>
      </c>
      <c r="D11" s="176" t="s">
        <v>2715</v>
      </c>
      <c r="E11" s="174"/>
      <c r="G11" s="21" t="s">
        <v>2631</v>
      </c>
      <c r="H11" s="158">
        <f>COUNTIF($C$6:$C$72,$G11)</f>
        <v>2</v>
      </c>
    </row>
    <row r="12" spans="1:9">
      <c r="A12" s="49" t="s">
        <v>2563</v>
      </c>
      <c r="B12" s="6" t="s">
        <v>2564</v>
      </c>
      <c r="C12" s="12" t="s">
        <v>2551</v>
      </c>
      <c r="D12" s="176" t="s">
        <v>2716</v>
      </c>
      <c r="E12" s="174"/>
      <c r="G12" s="21" t="s">
        <v>2643</v>
      </c>
      <c r="H12" s="158">
        <f>COUNTIF($C$6:$C$72,$G12)</f>
        <v>1</v>
      </c>
    </row>
    <row r="13" spans="1:9">
      <c r="A13" s="49" t="s">
        <v>2565</v>
      </c>
      <c r="B13" s="6" t="s">
        <v>2566</v>
      </c>
      <c r="C13" s="12" t="s">
        <v>2551</v>
      </c>
      <c r="D13" s="176" t="s">
        <v>2717</v>
      </c>
      <c r="E13" s="174"/>
      <c r="G13" s="23" t="s">
        <v>7</v>
      </c>
      <c r="H13" s="159">
        <f>SUM(H7:H12)</f>
        <v>65</v>
      </c>
      <c r="I13" s="48" t="str">
        <f>IF(H13=COUNTA($A$6:$A$72),"✓ 明細行数と一致","⚠ 不一致")</f>
        <v>⚠ 不一致</v>
      </c>
    </row>
    <row r="14" spans="1:9">
      <c r="A14" s="49" t="s">
        <v>2567</v>
      </c>
      <c r="B14" s="6" t="s">
        <v>2568</v>
      </c>
      <c r="C14" s="12" t="s">
        <v>2551</v>
      </c>
      <c r="D14" s="176" t="s">
        <v>2718</v>
      </c>
      <c r="E14" s="174"/>
    </row>
    <row r="15" spans="1:9">
      <c r="A15" s="49" t="s">
        <v>2569</v>
      </c>
      <c r="B15" s="6" t="s">
        <v>2570</v>
      </c>
      <c r="C15" s="12" t="s">
        <v>2551</v>
      </c>
      <c r="D15" s="176" t="s">
        <v>2719</v>
      </c>
      <c r="E15" s="174"/>
    </row>
    <row r="16" spans="1:9">
      <c r="A16" s="49" t="s">
        <v>2571</v>
      </c>
      <c r="B16" s="6" t="s">
        <v>2572</v>
      </c>
      <c r="C16" s="12" t="s">
        <v>2562</v>
      </c>
      <c r="D16" s="176" t="s">
        <v>2719</v>
      </c>
      <c r="E16" s="174" t="s">
        <v>2573</v>
      </c>
    </row>
    <row r="17" spans="1:5">
      <c r="A17" s="49" t="s">
        <v>2574</v>
      </c>
      <c r="B17" s="6" t="s">
        <v>2575</v>
      </c>
      <c r="C17" s="12" t="s">
        <v>2551</v>
      </c>
      <c r="D17" s="176" t="s">
        <v>2720</v>
      </c>
      <c r="E17" s="174"/>
    </row>
    <row r="18" spans="1:5">
      <c r="A18" s="49" t="s">
        <v>2576</v>
      </c>
      <c r="B18" s="6" t="s">
        <v>2577</v>
      </c>
      <c r="C18" s="12" t="s">
        <v>2562</v>
      </c>
      <c r="D18" s="176" t="s">
        <v>2721</v>
      </c>
      <c r="E18" s="174"/>
    </row>
    <row r="19" spans="1:5">
      <c r="A19" s="49" t="s">
        <v>2578</v>
      </c>
      <c r="B19" s="6" t="s">
        <v>2579</v>
      </c>
      <c r="C19" s="12" t="s">
        <v>2562</v>
      </c>
      <c r="D19" s="176" t="s">
        <v>2721</v>
      </c>
      <c r="E19" s="174"/>
    </row>
    <row r="20" spans="1:5">
      <c r="A20" s="49" t="s">
        <v>2580</v>
      </c>
      <c r="B20" s="6" t="s">
        <v>2581</v>
      </c>
      <c r="C20" s="12" t="s">
        <v>2562</v>
      </c>
      <c r="D20" s="176" t="s">
        <v>2721</v>
      </c>
      <c r="E20" s="174"/>
    </row>
    <row r="21" spans="1:5">
      <c r="A21" s="49" t="s">
        <v>2582</v>
      </c>
      <c r="B21" s="6" t="s">
        <v>2583</v>
      </c>
      <c r="C21" s="12" t="s">
        <v>2562</v>
      </c>
      <c r="D21" s="176" t="s">
        <v>2722</v>
      </c>
      <c r="E21" s="174" t="s">
        <v>2584</v>
      </c>
    </row>
    <row r="22" spans="1:5">
      <c r="A22" s="49" t="s">
        <v>2585</v>
      </c>
      <c r="B22" s="6" t="s">
        <v>2586</v>
      </c>
      <c r="C22" s="12" t="s">
        <v>2562</v>
      </c>
      <c r="D22" s="176" t="s">
        <v>2587</v>
      </c>
      <c r="E22" s="174" t="s">
        <v>2588</v>
      </c>
    </row>
    <row r="23" spans="1:5">
      <c r="A23" s="49" t="s">
        <v>2589</v>
      </c>
      <c r="B23" s="6" t="s">
        <v>2590</v>
      </c>
      <c r="C23" s="12" t="s">
        <v>2562</v>
      </c>
      <c r="D23" s="176" t="s">
        <v>2723</v>
      </c>
      <c r="E23" s="174"/>
    </row>
    <row r="24" spans="1:5">
      <c r="A24" s="49" t="s">
        <v>2591</v>
      </c>
      <c r="B24" s="6" t="s">
        <v>2592</v>
      </c>
      <c r="C24" s="12" t="s">
        <v>2562</v>
      </c>
      <c r="D24" s="176" t="s">
        <v>2723</v>
      </c>
      <c r="E24" s="174"/>
    </row>
    <row r="25" spans="1:5">
      <c r="A25" s="49" t="s">
        <v>2593</v>
      </c>
      <c r="B25" s="6" t="s">
        <v>2594</v>
      </c>
      <c r="C25" s="12" t="s">
        <v>2562</v>
      </c>
      <c r="D25" s="176" t="s">
        <v>2723</v>
      </c>
      <c r="E25" s="174"/>
    </row>
    <row r="26" spans="1:5">
      <c r="A26" s="49" t="s">
        <v>2595</v>
      </c>
      <c r="B26" s="6" t="s">
        <v>2596</v>
      </c>
      <c r="C26" s="12" t="s">
        <v>2562</v>
      </c>
      <c r="D26" s="176" t="s">
        <v>2723</v>
      </c>
      <c r="E26" s="174"/>
    </row>
    <row r="27" spans="1:5">
      <c r="A27" s="49" t="s">
        <v>2597</v>
      </c>
      <c r="B27" s="6" t="s">
        <v>2598</v>
      </c>
      <c r="C27" s="12" t="s">
        <v>2562</v>
      </c>
      <c r="D27" s="176" t="s">
        <v>2723</v>
      </c>
      <c r="E27" s="174"/>
    </row>
    <row r="28" spans="1:5">
      <c r="A28" s="49" t="s">
        <v>2599</v>
      </c>
      <c r="B28" s="6" t="s">
        <v>2600</v>
      </c>
      <c r="C28" s="12" t="s">
        <v>2562</v>
      </c>
      <c r="D28" s="176" t="s">
        <v>2724</v>
      </c>
      <c r="E28" s="174" t="s">
        <v>2601</v>
      </c>
    </row>
    <row r="29" spans="1:5">
      <c r="A29" s="49" t="s">
        <v>2602</v>
      </c>
      <c r="B29" s="6" t="s">
        <v>2603</v>
      </c>
      <c r="C29" s="12" t="s">
        <v>2562</v>
      </c>
      <c r="D29" s="176" t="s">
        <v>2724</v>
      </c>
      <c r="E29" s="174"/>
    </row>
    <row r="30" spans="1:5">
      <c r="A30" s="49" t="s">
        <v>2604</v>
      </c>
      <c r="B30" s="6" t="s">
        <v>2605</v>
      </c>
      <c r="C30" s="12" t="s">
        <v>2562</v>
      </c>
      <c r="D30" s="176" t="s">
        <v>2724</v>
      </c>
      <c r="E30" s="174" t="s">
        <v>2606</v>
      </c>
    </row>
    <row r="31" spans="1:5">
      <c r="A31" s="49" t="s">
        <v>2607</v>
      </c>
      <c r="B31" s="6" t="s">
        <v>2608</v>
      </c>
      <c r="C31" s="12" t="s">
        <v>2562</v>
      </c>
      <c r="D31" s="176" t="s">
        <v>2724</v>
      </c>
      <c r="E31" s="174"/>
    </row>
    <row r="32" spans="1:5">
      <c r="A32" s="49" t="s">
        <v>2609</v>
      </c>
      <c r="B32" s="6" t="s">
        <v>2610</v>
      </c>
      <c r="C32" s="12" t="s">
        <v>2562</v>
      </c>
      <c r="D32" s="176" t="s">
        <v>2724</v>
      </c>
      <c r="E32" s="174"/>
    </row>
    <row r="33" spans="1:9">
      <c r="A33" s="281" t="s">
        <v>2611</v>
      </c>
      <c r="B33" s="282" t="s">
        <v>2612</v>
      </c>
      <c r="C33" s="283" t="s">
        <v>4923</v>
      </c>
      <c r="D33" s="284" t="s">
        <v>2724</v>
      </c>
      <c r="E33" s="285" t="s">
        <v>4924</v>
      </c>
      <c r="F33" s="234"/>
      <c r="G33" s="234"/>
      <c r="H33" s="234"/>
      <c r="I33" s="234"/>
    </row>
    <row r="34" spans="1:9">
      <c r="A34" s="281" t="s">
        <v>2613</v>
      </c>
      <c r="B34" s="282" t="s">
        <v>2614</v>
      </c>
      <c r="C34" s="283" t="s">
        <v>4923</v>
      </c>
      <c r="D34" s="284" t="s">
        <v>2724</v>
      </c>
      <c r="E34" s="285" t="s">
        <v>4925</v>
      </c>
      <c r="F34" s="234"/>
      <c r="G34" s="234"/>
      <c r="H34" s="234"/>
      <c r="I34" s="234"/>
    </row>
    <row r="35" spans="1:9">
      <c r="A35" s="49" t="s">
        <v>2615</v>
      </c>
      <c r="B35" s="6" t="s">
        <v>2616</v>
      </c>
      <c r="C35" s="12" t="s">
        <v>2562</v>
      </c>
      <c r="D35" s="176" t="s">
        <v>2724</v>
      </c>
      <c r="E35" s="174"/>
    </row>
    <row r="36" spans="1:9">
      <c r="A36" s="49" t="s">
        <v>2617</v>
      </c>
      <c r="B36" s="6" t="s">
        <v>2618</v>
      </c>
      <c r="C36" s="12" t="s">
        <v>2562</v>
      </c>
      <c r="D36" s="176" t="s">
        <v>2724</v>
      </c>
      <c r="E36" s="174"/>
    </row>
    <row r="37" spans="1:9">
      <c r="A37" s="49" t="s">
        <v>2619</v>
      </c>
      <c r="B37" s="6" t="s">
        <v>2620</v>
      </c>
      <c r="C37" s="12" t="s">
        <v>2562</v>
      </c>
      <c r="D37" s="176" t="s">
        <v>2723</v>
      </c>
      <c r="E37" s="174"/>
    </row>
    <row r="38" spans="1:9">
      <c r="A38" s="49" t="s">
        <v>2621</v>
      </c>
      <c r="B38" s="6" t="s">
        <v>2622</v>
      </c>
      <c r="C38" s="12" t="s">
        <v>2562</v>
      </c>
      <c r="D38" s="176" t="s">
        <v>2623</v>
      </c>
      <c r="E38" s="174" t="s">
        <v>2624</v>
      </c>
    </row>
    <row r="39" spans="1:9">
      <c r="A39" s="49" t="s">
        <v>2625</v>
      </c>
      <c r="B39" s="6" t="s">
        <v>2626</v>
      </c>
      <c r="C39" s="12" t="s">
        <v>2562</v>
      </c>
      <c r="D39" s="176" t="s">
        <v>2725</v>
      </c>
      <c r="E39" s="174"/>
    </row>
    <row r="40" spans="1:9">
      <c r="A40" s="49" t="s">
        <v>2627</v>
      </c>
      <c r="B40" s="6" t="s">
        <v>2628</v>
      </c>
      <c r="C40" s="12" t="s">
        <v>2562</v>
      </c>
      <c r="D40" s="176" t="s">
        <v>2725</v>
      </c>
      <c r="E40" s="174"/>
    </row>
    <row r="41" spans="1:9">
      <c r="A41" s="49" t="s">
        <v>2629</v>
      </c>
      <c r="B41" s="6" t="s">
        <v>2630</v>
      </c>
      <c r="C41" s="12" t="s">
        <v>2631</v>
      </c>
      <c r="D41" s="176" t="s">
        <v>2725</v>
      </c>
      <c r="E41" s="174" t="s">
        <v>2632</v>
      </c>
    </row>
    <row r="42" spans="1:9">
      <c r="A42" s="49" t="s">
        <v>2633</v>
      </c>
      <c r="B42" s="6" t="s">
        <v>2634</v>
      </c>
      <c r="C42" s="12" t="s">
        <v>2562</v>
      </c>
      <c r="D42" s="176" t="s">
        <v>2725</v>
      </c>
      <c r="E42" s="174"/>
    </row>
    <row r="43" spans="1:9">
      <c r="A43" s="49" t="s">
        <v>2635</v>
      </c>
      <c r="B43" s="6" t="s">
        <v>2636</v>
      </c>
      <c r="C43" s="12" t="s">
        <v>2562</v>
      </c>
      <c r="D43" s="176" t="s">
        <v>2725</v>
      </c>
      <c r="E43" s="174"/>
    </row>
    <row r="44" spans="1:9">
      <c r="A44" s="49" t="s">
        <v>2637</v>
      </c>
      <c r="B44" s="6" t="s">
        <v>2638</v>
      </c>
      <c r="C44" s="12" t="s">
        <v>2562</v>
      </c>
      <c r="D44" s="176" t="s">
        <v>2639</v>
      </c>
      <c r="E44" s="174" t="s">
        <v>2640</v>
      </c>
    </row>
    <row r="45" spans="1:9">
      <c r="A45" s="49" t="s">
        <v>2641</v>
      </c>
      <c r="B45" s="6" t="s">
        <v>2642</v>
      </c>
      <c r="C45" s="12" t="s">
        <v>2643</v>
      </c>
      <c r="D45" s="176" t="s">
        <v>2726</v>
      </c>
      <c r="E45" s="174" t="s">
        <v>2644</v>
      </c>
    </row>
    <row r="46" spans="1:9">
      <c r="A46" s="49" t="s">
        <v>2645</v>
      </c>
      <c r="B46" s="6" t="s">
        <v>2646</v>
      </c>
      <c r="C46" s="12" t="s">
        <v>2562</v>
      </c>
      <c r="D46" s="176" t="s">
        <v>2639</v>
      </c>
      <c r="E46" s="174" t="s">
        <v>2647</v>
      </c>
    </row>
    <row r="47" spans="1:9">
      <c r="A47" s="49" t="s">
        <v>2648</v>
      </c>
      <c r="B47" s="6" t="s">
        <v>2649</v>
      </c>
      <c r="C47" s="12" t="s">
        <v>2562</v>
      </c>
      <c r="D47" s="176" t="s">
        <v>2726</v>
      </c>
      <c r="E47" s="174"/>
    </row>
    <row r="48" spans="1:9">
      <c r="A48" s="49" t="s">
        <v>2650</v>
      </c>
      <c r="B48" s="6" t="s">
        <v>2651</v>
      </c>
      <c r="C48" s="12" t="s">
        <v>2562</v>
      </c>
      <c r="D48" s="176" t="s">
        <v>2726</v>
      </c>
      <c r="E48" s="174" t="s">
        <v>2652</v>
      </c>
    </row>
    <row r="49" spans="1:9">
      <c r="A49" s="49" t="s">
        <v>2653</v>
      </c>
      <c r="B49" s="6" t="s">
        <v>2654</v>
      </c>
      <c r="C49" s="12" t="s">
        <v>2562</v>
      </c>
      <c r="D49" s="176" t="s">
        <v>2726</v>
      </c>
      <c r="E49" s="174"/>
    </row>
    <row r="50" spans="1:9">
      <c r="A50" s="49" t="s">
        <v>2655</v>
      </c>
      <c r="B50" s="6" t="s">
        <v>2656</v>
      </c>
      <c r="C50" s="12" t="s">
        <v>2562</v>
      </c>
      <c r="D50" s="176" t="s">
        <v>2726</v>
      </c>
      <c r="E50" s="174"/>
    </row>
    <row r="51" spans="1:9">
      <c r="A51" s="49" t="s">
        <v>2657</v>
      </c>
      <c r="B51" s="6" t="s">
        <v>2658</v>
      </c>
      <c r="C51" s="12" t="s">
        <v>2562</v>
      </c>
      <c r="D51" s="176" t="s">
        <v>2726</v>
      </c>
      <c r="E51" s="174"/>
    </row>
    <row r="52" spans="1:9">
      <c r="A52" s="49" t="s">
        <v>2659</v>
      </c>
      <c r="B52" s="6" t="s">
        <v>2660</v>
      </c>
      <c r="C52" s="12" t="s">
        <v>2562</v>
      </c>
      <c r="D52" s="176" t="s">
        <v>2726</v>
      </c>
      <c r="E52" s="174"/>
    </row>
    <row r="53" spans="1:9">
      <c r="A53" s="49" t="s">
        <v>2661</v>
      </c>
      <c r="B53" s="6" t="s">
        <v>2662</v>
      </c>
      <c r="C53" s="12" t="s">
        <v>2562</v>
      </c>
      <c r="D53" s="176" t="s">
        <v>2726</v>
      </c>
      <c r="E53" s="174"/>
    </row>
    <row r="54" spans="1:9">
      <c r="A54" s="49" t="s">
        <v>2663</v>
      </c>
      <c r="B54" s="6" t="s">
        <v>2664</v>
      </c>
      <c r="C54" s="12" t="s">
        <v>2562</v>
      </c>
      <c r="D54" s="176" t="s">
        <v>2726</v>
      </c>
      <c r="E54" s="174"/>
    </row>
    <row r="55" spans="1:9">
      <c r="A55" s="49" t="s">
        <v>2665</v>
      </c>
      <c r="B55" s="6" t="s">
        <v>2666</v>
      </c>
      <c r="C55" s="12" t="s">
        <v>2562</v>
      </c>
      <c r="D55" s="176" t="s">
        <v>2726</v>
      </c>
      <c r="E55" s="174"/>
    </row>
    <row r="56" spans="1:9">
      <c r="A56" s="49" t="s">
        <v>2667</v>
      </c>
      <c r="B56" s="6" t="s">
        <v>2668</v>
      </c>
      <c r="C56" s="12" t="s">
        <v>2562</v>
      </c>
      <c r="D56" s="176" t="s">
        <v>2639</v>
      </c>
      <c r="E56" s="174" t="s">
        <v>2669</v>
      </c>
    </row>
    <row r="57" spans="1:9">
      <c r="A57" s="286" t="s">
        <v>2670</v>
      </c>
      <c r="B57" s="274" t="s">
        <v>2671</v>
      </c>
      <c r="C57" s="277" t="s">
        <v>2631</v>
      </c>
      <c r="D57" s="287" t="s">
        <v>2726</v>
      </c>
      <c r="E57" s="288" t="s">
        <v>4926</v>
      </c>
      <c r="F57" s="227"/>
      <c r="G57" s="227"/>
      <c r="H57" s="227"/>
      <c r="I57" s="227"/>
    </row>
    <row r="58" spans="1:9">
      <c r="A58" s="49" t="s">
        <v>2672</v>
      </c>
      <c r="B58" s="6" t="s">
        <v>2673</v>
      </c>
      <c r="C58" s="12" t="s">
        <v>2562</v>
      </c>
      <c r="D58" s="176" t="s">
        <v>2726</v>
      </c>
      <c r="E58" s="174"/>
    </row>
    <row r="59" spans="1:9">
      <c r="A59" s="49" t="s">
        <v>2674</v>
      </c>
      <c r="B59" s="6" t="s">
        <v>2675</v>
      </c>
      <c r="C59" s="12" t="s">
        <v>2562</v>
      </c>
      <c r="D59" s="176" t="s">
        <v>2727</v>
      </c>
      <c r="E59" s="174" t="s">
        <v>2676</v>
      </c>
    </row>
    <row r="60" spans="1:9">
      <c r="A60" s="49" t="s">
        <v>2677</v>
      </c>
      <c r="B60" s="6" t="s">
        <v>2678</v>
      </c>
      <c r="C60" s="12" t="s">
        <v>2679</v>
      </c>
      <c r="D60" s="176" t="s">
        <v>2728</v>
      </c>
      <c r="E60" s="174" t="s">
        <v>2680</v>
      </c>
    </row>
    <row r="61" spans="1:9">
      <c r="A61" s="49" t="s">
        <v>2681</v>
      </c>
      <c r="B61" s="6" t="s">
        <v>2682</v>
      </c>
      <c r="C61" s="12" t="s">
        <v>2683</v>
      </c>
      <c r="D61" s="176" t="s">
        <v>2684</v>
      </c>
      <c r="E61" s="174" t="s">
        <v>2685</v>
      </c>
    </row>
    <row r="62" spans="1:9">
      <c r="A62" s="49" t="s">
        <v>2686</v>
      </c>
      <c r="B62" s="6" t="s">
        <v>2687</v>
      </c>
      <c r="C62" s="12" t="s">
        <v>2562</v>
      </c>
      <c r="D62" s="176" t="s">
        <v>2729</v>
      </c>
      <c r="E62" s="174" t="s">
        <v>2688</v>
      </c>
    </row>
    <row r="63" spans="1:9">
      <c r="A63" s="49" t="s">
        <v>2689</v>
      </c>
      <c r="B63" s="6" t="s">
        <v>2690</v>
      </c>
      <c r="C63" s="12" t="s">
        <v>2551</v>
      </c>
      <c r="D63" s="176" t="s">
        <v>2730</v>
      </c>
      <c r="E63" s="174" t="s">
        <v>2691</v>
      </c>
    </row>
    <row r="64" spans="1:9">
      <c r="A64" s="49" t="s">
        <v>2692</v>
      </c>
      <c r="B64" s="6" t="s">
        <v>2693</v>
      </c>
      <c r="C64" s="12" t="s">
        <v>2562</v>
      </c>
      <c r="D64" s="176" t="s">
        <v>2729</v>
      </c>
      <c r="E64" s="174" t="s">
        <v>2694</v>
      </c>
    </row>
    <row r="65" spans="1:5">
      <c r="A65" s="49" t="s">
        <v>2695</v>
      </c>
      <c r="B65" s="6" t="s">
        <v>2696</v>
      </c>
      <c r="C65" s="12" t="s">
        <v>2562</v>
      </c>
      <c r="D65" s="176" t="s">
        <v>2731</v>
      </c>
      <c r="E65" s="174" t="s">
        <v>2697</v>
      </c>
    </row>
    <row r="66" spans="1:5">
      <c r="A66" s="49" t="s">
        <v>2698</v>
      </c>
      <c r="B66" s="6" t="s">
        <v>2699</v>
      </c>
      <c r="C66" s="12" t="s">
        <v>2551</v>
      </c>
      <c r="D66" s="176" t="s">
        <v>2700</v>
      </c>
      <c r="E66" s="174" t="s">
        <v>2701</v>
      </c>
    </row>
    <row r="67" spans="1:5">
      <c r="A67" s="49" t="s">
        <v>2702</v>
      </c>
      <c r="B67" s="6" t="s">
        <v>2703</v>
      </c>
      <c r="C67" s="12" t="s">
        <v>2562</v>
      </c>
      <c r="D67" s="176" t="s">
        <v>2704</v>
      </c>
      <c r="E67" s="174" t="s">
        <v>2705</v>
      </c>
    </row>
    <row r="68" spans="1:5">
      <c r="A68" s="49" t="s">
        <v>2706</v>
      </c>
      <c r="B68" s="6" t="s">
        <v>2707</v>
      </c>
      <c r="C68" s="12" t="s">
        <v>2562</v>
      </c>
      <c r="D68" s="176" t="s">
        <v>2732</v>
      </c>
      <c r="E68" s="174" t="s">
        <v>2708</v>
      </c>
    </row>
    <row r="69" spans="1:5">
      <c r="A69" s="49" t="s">
        <v>2495</v>
      </c>
      <c r="B69" s="6" t="s">
        <v>2709</v>
      </c>
      <c r="C69" s="12" t="s">
        <v>2562</v>
      </c>
      <c r="D69" s="176" t="s">
        <v>2733</v>
      </c>
      <c r="E69" s="174" t="s">
        <v>2710</v>
      </c>
    </row>
    <row r="70" spans="1:5">
      <c r="A70" s="49" t="s">
        <v>1430</v>
      </c>
      <c r="B70" s="6" t="s">
        <v>1457</v>
      </c>
      <c r="C70" s="12" t="s">
        <v>2562</v>
      </c>
      <c r="D70" s="176" t="s">
        <v>2734</v>
      </c>
      <c r="E70" s="174" t="s">
        <v>2711</v>
      </c>
    </row>
    <row r="71" spans="1:5">
      <c r="A71" s="49" t="s">
        <v>1431</v>
      </c>
      <c r="B71" s="6" t="s">
        <v>1432</v>
      </c>
      <c r="C71" s="12" t="s">
        <v>2562</v>
      </c>
      <c r="D71" s="176" t="s">
        <v>2734</v>
      </c>
      <c r="E71" s="174" t="s">
        <v>2712</v>
      </c>
    </row>
    <row r="72" spans="1:5">
      <c r="A72" s="50" t="s">
        <v>1433</v>
      </c>
      <c r="B72" s="8" t="s">
        <v>1434</v>
      </c>
      <c r="C72" s="13" t="s">
        <v>2562</v>
      </c>
      <c r="D72" s="177" t="s">
        <v>2734</v>
      </c>
      <c r="E72" s="175" t="s">
        <v>2713</v>
      </c>
    </row>
  </sheetData>
  <autoFilter ref="A5:E72" xr:uid="{A4DEADF9-EFAE-A14D-BC4F-3F04ADDCB1E4}"/>
  <phoneticPr fontId="2"/>
  <conditionalFormatting sqref="A6:E72">
    <cfRule type="expression" dxfId="63" priority="1">
      <formula>$C6="Accepted"</formula>
    </cfRule>
  </conditionalFormatting>
  <conditionalFormatting sqref="A6:E72">
    <cfRule type="expression" dxfId="62" priority="2">
      <formula>$C6="Accepted (Phase 1)"</formula>
    </cfRule>
  </conditionalFormatting>
  <conditionalFormatting sqref="A6:E72">
    <cfRule type="expression" dxfId="61" priority="3">
      <formula>$C6="Accepted（条件付き）"</formula>
    </cfRule>
  </conditionalFormatting>
  <conditionalFormatting sqref="A6:E72">
    <cfRule type="expression" dxfId="60" priority="4">
      <formula>$C6="Scope Reduced"</formula>
    </cfRule>
  </conditionalFormatting>
  <conditionalFormatting sqref="A6:E72">
    <cfRule type="expression" dxfId="59" priority="5">
      <formula>$C6="Out of Scope"</formula>
    </cfRule>
  </conditionalFormatting>
  <conditionalFormatting sqref="A6:E72">
    <cfRule type="expression" dxfId="58"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J338"/>
  <sheetViews>
    <sheetView tabSelected="1" zoomScaleNormal="100" workbookViewId="0">
      <pane ySplit="6" topLeftCell="A117" activePane="bottomLeft" state="frozen"/>
      <selection pane="bottomLeft" activeCell="E129" sqref="E129"/>
    </sheetView>
  </sheetViews>
  <sheetFormatPr baseColWidth="10" defaultRowHeight="17"/>
  <cols>
    <col min="1" max="1" width="10.7109375" style="371" customWidth="1"/>
    <col min="2" max="2" width="25.7109375" style="371" customWidth="1"/>
    <col min="3" max="3" width="25" style="371" customWidth="1"/>
    <col min="4" max="4" width="42.85546875" style="371" customWidth="1"/>
    <col min="5" max="5" width="62.85546875" style="371" customWidth="1"/>
    <col min="6" max="6" width="7.85546875" style="371" customWidth="1"/>
    <col min="7" max="7" width="18.5703125" style="371" customWidth="1"/>
    <col min="8" max="8" width="14.28515625" style="371" customWidth="1"/>
    <col min="9" max="9" width="25.7109375" style="371" customWidth="1"/>
    <col min="10" max="10" width="12.85546875" style="371" customWidth="1"/>
    <col min="11" max="11" width="30" style="371" customWidth="1"/>
    <col min="12" max="12" width="12.140625" style="371" customWidth="1"/>
    <col min="13" max="14" width="17.140625" style="371" customWidth="1"/>
    <col min="15" max="15" width="10" style="371" customWidth="1"/>
    <col min="16" max="16" width="24.28515625" style="371" customWidth="1"/>
    <col min="17" max="16384" width="10.7109375" style="371"/>
  </cols>
  <sheetData>
    <row r="1" spans="1:10">
      <c r="A1" s="62" t="s">
        <v>6970</v>
      </c>
      <c r="B1" s="63"/>
      <c r="C1" s="63"/>
      <c r="D1" s="63"/>
      <c r="E1" s="63"/>
      <c r="F1" s="63"/>
      <c r="G1" s="63"/>
      <c r="H1" s="63"/>
    </row>
    <row r="2" spans="1:10">
      <c r="A2" s="75" t="s">
        <v>6971</v>
      </c>
      <c r="B2" s="63"/>
      <c r="C2" s="63"/>
      <c r="D2" s="63"/>
      <c r="E2" s="63"/>
      <c r="F2" s="63"/>
      <c r="G2" s="63"/>
      <c r="H2" s="63"/>
    </row>
    <row r="3" spans="1:10">
      <c r="A3" s="372" t="s">
        <v>6133</v>
      </c>
      <c r="B3" s="63"/>
      <c r="C3" s="63"/>
      <c r="D3" s="63"/>
      <c r="E3" s="63"/>
      <c r="F3" s="63"/>
      <c r="G3" s="63"/>
      <c r="H3" s="63"/>
    </row>
    <row r="4" spans="1:10">
      <c r="A4" s="373" t="s">
        <v>6972</v>
      </c>
      <c r="B4" s="63"/>
      <c r="C4" s="63"/>
      <c r="D4" s="63"/>
      <c r="E4" s="63"/>
      <c r="F4" s="63"/>
      <c r="G4" s="63"/>
      <c r="H4" s="63"/>
    </row>
    <row r="5" spans="1:10">
      <c r="A5" s="80" t="s">
        <v>6973</v>
      </c>
      <c r="B5" s="63"/>
      <c r="C5" s="63"/>
      <c r="D5" s="63"/>
      <c r="E5" s="63"/>
      <c r="F5" s="63"/>
      <c r="G5" s="63"/>
      <c r="H5" s="63"/>
    </row>
    <row r="6" spans="1:10">
      <c r="A6" s="374" t="s">
        <v>9</v>
      </c>
      <c r="B6" s="375" t="s">
        <v>2749</v>
      </c>
      <c r="C6" s="375" t="s">
        <v>6131</v>
      </c>
      <c r="D6" s="375" t="s">
        <v>6132</v>
      </c>
      <c r="E6" s="375" t="s">
        <v>5380</v>
      </c>
      <c r="F6" s="375" t="s">
        <v>2524</v>
      </c>
      <c r="G6" s="375" t="s">
        <v>5381</v>
      </c>
      <c r="H6" s="375" t="s">
        <v>665</v>
      </c>
      <c r="I6" s="376" t="s">
        <v>6137</v>
      </c>
      <c r="J6" s="377" t="s">
        <v>6138</v>
      </c>
    </row>
    <row r="7" spans="1:10" ht="42" customHeight="1">
      <c r="A7" s="356" t="s">
        <v>6139</v>
      </c>
      <c r="B7" s="136" t="s">
        <v>3472</v>
      </c>
      <c r="C7" s="136" t="s">
        <v>6140</v>
      </c>
      <c r="D7" s="296" t="s">
        <v>6141</v>
      </c>
      <c r="E7" s="296" t="s">
        <v>6142</v>
      </c>
      <c r="F7" s="137">
        <v>5</v>
      </c>
      <c r="G7" s="136" t="s">
        <v>6143</v>
      </c>
      <c r="H7" s="137" t="s">
        <v>3570</v>
      </c>
      <c r="I7" s="378"/>
      <c r="J7" s="379"/>
    </row>
    <row r="8" spans="1:10" ht="42" customHeight="1">
      <c r="A8" s="356" t="s">
        <v>6144</v>
      </c>
      <c r="B8" s="136" t="s">
        <v>3472</v>
      </c>
      <c r="C8" s="136" t="s">
        <v>6140</v>
      </c>
      <c r="D8" s="296" t="s">
        <v>6145</v>
      </c>
      <c r="E8" s="296" t="s">
        <v>6146</v>
      </c>
      <c r="F8" s="137">
        <v>4</v>
      </c>
      <c r="G8" s="136" t="s">
        <v>6139</v>
      </c>
      <c r="H8" s="137" t="s">
        <v>3570</v>
      </c>
      <c r="I8" s="378"/>
      <c r="J8" s="379"/>
    </row>
    <row r="9" spans="1:10" ht="42" customHeight="1">
      <c r="A9" s="356" t="s">
        <v>6147</v>
      </c>
      <c r="B9" s="136" t="s">
        <v>3472</v>
      </c>
      <c r="C9" s="136" t="s">
        <v>6140</v>
      </c>
      <c r="D9" s="296" t="s">
        <v>6148</v>
      </c>
      <c r="E9" s="296" t="s">
        <v>6149</v>
      </c>
      <c r="F9" s="137">
        <v>4</v>
      </c>
      <c r="G9" s="136" t="s">
        <v>6139</v>
      </c>
      <c r="H9" s="137" t="s">
        <v>3570</v>
      </c>
      <c r="I9" s="378"/>
      <c r="J9" s="379"/>
    </row>
    <row r="10" spans="1:10" ht="42" customHeight="1">
      <c r="A10" s="356" t="s">
        <v>6150</v>
      </c>
      <c r="B10" s="136" t="s">
        <v>3472</v>
      </c>
      <c r="C10" s="136" t="s">
        <v>6140</v>
      </c>
      <c r="D10" s="296" t="s">
        <v>6151</v>
      </c>
      <c r="E10" s="296" t="s">
        <v>6152</v>
      </c>
      <c r="F10" s="137">
        <v>4</v>
      </c>
      <c r="G10" s="136" t="s">
        <v>6139</v>
      </c>
      <c r="H10" s="137" t="s">
        <v>3570</v>
      </c>
      <c r="I10" s="378"/>
      <c r="J10" s="379"/>
    </row>
    <row r="11" spans="1:10" ht="42" customHeight="1">
      <c r="A11" s="356" t="s">
        <v>6153</v>
      </c>
      <c r="B11" s="136" t="s">
        <v>3472</v>
      </c>
      <c r="C11" s="136" t="s">
        <v>6140</v>
      </c>
      <c r="D11" s="296" t="s">
        <v>6154</v>
      </c>
      <c r="E11" s="296" t="s">
        <v>6155</v>
      </c>
      <c r="F11" s="137">
        <v>3</v>
      </c>
      <c r="G11" s="136" t="s">
        <v>6150</v>
      </c>
      <c r="H11" s="137" t="s">
        <v>3570</v>
      </c>
      <c r="I11" s="378"/>
      <c r="J11" s="379"/>
    </row>
    <row r="12" spans="1:10" ht="42" customHeight="1">
      <c r="A12" s="356" t="s">
        <v>6156</v>
      </c>
      <c r="B12" s="136" t="s">
        <v>3472</v>
      </c>
      <c r="C12" s="136" t="s">
        <v>6140</v>
      </c>
      <c r="D12" s="296" t="s">
        <v>6157</v>
      </c>
      <c r="E12" s="296" t="s">
        <v>6158</v>
      </c>
      <c r="F12" s="137">
        <v>2</v>
      </c>
      <c r="G12" s="136" t="s">
        <v>6159</v>
      </c>
      <c r="H12" s="137" t="s">
        <v>3570</v>
      </c>
      <c r="I12" s="378"/>
      <c r="J12" s="379"/>
    </row>
    <row r="13" spans="1:10" ht="42" customHeight="1">
      <c r="A13" s="356" t="s">
        <v>6160</v>
      </c>
      <c r="B13" s="136" t="s">
        <v>3472</v>
      </c>
      <c r="C13" s="136" t="s">
        <v>6140</v>
      </c>
      <c r="D13" s="296" t="s">
        <v>6161</v>
      </c>
      <c r="E13" s="296" t="s">
        <v>6162</v>
      </c>
      <c r="F13" s="137">
        <v>3</v>
      </c>
      <c r="G13" s="136" t="s">
        <v>6163</v>
      </c>
      <c r="H13" s="137" t="s">
        <v>3570</v>
      </c>
      <c r="I13" s="378"/>
      <c r="J13" s="379"/>
    </row>
    <row r="14" spans="1:10" ht="42" customHeight="1">
      <c r="A14" s="356" t="s">
        <v>6164</v>
      </c>
      <c r="B14" s="136" t="s">
        <v>3472</v>
      </c>
      <c r="C14" s="136" t="s">
        <v>6136</v>
      </c>
      <c r="D14" s="296" t="s">
        <v>6165</v>
      </c>
      <c r="E14" s="296" t="s">
        <v>6166</v>
      </c>
      <c r="F14" s="137">
        <v>2</v>
      </c>
      <c r="G14" s="136" t="s">
        <v>6167</v>
      </c>
      <c r="H14" s="137" t="s">
        <v>3570</v>
      </c>
      <c r="I14" s="378"/>
      <c r="J14" s="379"/>
    </row>
    <row r="15" spans="1:10" ht="42" customHeight="1">
      <c r="A15" s="356" t="s">
        <v>6168</v>
      </c>
      <c r="B15" s="136" t="s">
        <v>3472</v>
      </c>
      <c r="C15" s="136" t="s">
        <v>6136</v>
      </c>
      <c r="D15" s="296" t="s">
        <v>6169</v>
      </c>
      <c r="E15" s="296" t="s">
        <v>6170</v>
      </c>
      <c r="F15" s="137">
        <v>3</v>
      </c>
      <c r="G15" s="136" t="s">
        <v>6164</v>
      </c>
      <c r="H15" s="137" t="s">
        <v>3570</v>
      </c>
      <c r="I15" s="378"/>
      <c r="J15" s="379"/>
    </row>
    <row r="16" spans="1:10" ht="42" customHeight="1">
      <c r="A16" s="356" t="s">
        <v>6171</v>
      </c>
      <c r="B16" s="136" t="s">
        <v>3472</v>
      </c>
      <c r="C16" s="136" t="s">
        <v>6136</v>
      </c>
      <c r="D16" s="296" t="s">
        <v>6172</v>
      </c>
      <c r="E16" s="296" t="s">
        <v>6173</v>
      </c>
      <c r="F16" s="137">
        <v>2</v>
      </c>
      <c r="G16" s="136" t="s">
        <v>6168</v>
      </c>
      <c r="H16" s="137" t="s">
        <v>3570</v>
      </c>
      <c r="I16" s="378"/>
      <c r="J16" s="379"/>
    </row>
    <row r="17" spans="1:10" ht="42" customHeight="1">
      <c r="A17" s="356" t="s">
        <v>6174</v>
      </c>
      <c r="B17" s="136" t="s">
        <v>3472</v>
      </c>
      <c r="C17" s="136" t="s">
        <v>6136</v>
      </c>
      <c r="D17" s="296" t="s">
        <v>6175</v>
      </c>
      <c r="E17" s="296" t="s">
        <v>6176</v>
      </c>
      <c r="F17" s="137">
        <v>2</v>
      </c>
      <c r="G17" s="136" t="s">
        <v>6164</v>
      </c>
      <c r="H17" s="137" t="s">
        <v>3570</v>
      </c>
      <c r="I17" s="378"/>
      <c r="J17" s="379"/>
    </row>
    <row r="18" spans="1:10" ht="42" customHeight="1">
      <c r="A18" s="356" t="s">
        <v>6177</v>
      </c>
      <c r="B18" s="136" t="s">
        <v>3472</v>
      </c>
      <c r="C18" s="136" t="s">
        <v>6136</v>
      </c>
      <c r="D18" s="296" t="s">
        <v>6178</v>
      </c>
      <c r="E18" s="296" t="s">
        <v>6179</v>
      </c>
      <c r="F18" s="137">
        <v>1</v>
      </c>
      <c r="G18" s="136" t="s">
        <v>6168</v>
      </c>
      <c r="H18" s="137" t="s">
        <v>3570</v>
      </c>
      <c r="I18" s="378"/>
      <c r="J18" s="379"/>
    </row>
    <row r="19" spans="1:10" ht="42" customHeight="1">
      <c r="A19" s="356" t="s">
        <v>6180</v>
      </c>
      <c r="B19" s="136" t="s">
        <v>3472</v>
      </c>
      <c r="C19" s="136" t="s">
        <v>6181</v>
      </c>
      <c r="D19" s="296" t="s">
        <v>6182</v>
      </c>
      <c r="E19" s="296" t="s">
        <v>6183</v>
      </c>
      <c r="F19" s="137">
        <v>5</v>
      </c>
      <c r="G19" s="136" t="s">
        <v>3665</v>
      </c>
      <c r="H19" s="137" t="s">
        <v>3570</v>
      </c>
      <c r="I19" s="378"/>
      <c r="J19" s="379"/>
    </row>
    <row r="20" spans="1:10" ht="42" customHeight="1">
      <c r="A20" s="356" t="s">
        <v>6184</v>
      </c>
      <c r="B20" s="136" t="s">
        <v>3472</v>
      </c>
      <c r="C20" s="136" t="s">
        <v>6181</v>
      </c>
      <c r="D20" s="296" t="s">
        <v>6185</v>
      </c>
      <c r="E20" s="296" t="s">
        <v>6186</v>
      </c>
      <c r="F20" s="137">
        <v>3</v>
      </c>
      <c r="G20" s="136" t="s">
        <v>6180</v>
      </c>
      <c r="H20" s="137" t="s">
        <v>3570</v>
      </c>
      <c r="I20" s="378"/>
      <c r="J20" s="379"/>
    </row>
    <row r="21" spans="1:10" ht="42" customHeight="1">
      <c r="A21" s="356" t="s">
        <v>6187</v>
      </c>
      <c r="B21" s="136" t="s">
        <v>3472</v>
      </c>
      <c r="C21" s="136" t="s">
        <v>6181</v>
      </c>
      <c r="D21" s="296" t="s">
        <v>6188</v>
      </c>
      <c r="E21" s="296" t="s">
        <v>6189</v>
      </c>
      <c r="F21" s="137">
        <v>3</v>
      </c>
      <c r="G21" s="136" t="s">
        <v>6180</v>
      </c>
      <c r="H21" s="137" t="s">
        <v>3570</v>
      </c>
      <c r="I21" s="378"/>
      <c r="J21" s="379"/>
    </row>
    <row r="22" spans="1:10" ht="42" customHeight="1">
      <c r="A22" s="356" t="s">
        <v>6190</v>
      </c>
      <c r="B22" s="136" t="s">
        <v>3472</v>
      </c>
      <c r="C22" s="136" t="s">
        <v>6181</v>
      </c>
      <c r="D22" s="296" t="s">
        <v>6135</v>
      </c>
      <c r="E22" s="296" t="s">
        <v>6191</v>
      </c>
      <c r="F22" s="137">
        <v>3</v>
      </c>
      <c r="G22" s="136" t="s">
        <v>6180</v>
      </c>
      <c r="H22" s="137" t="s">
        <v>3570</v>
      </c>
      <c r="I22" s="378"/>
      <c r="J22" s="379"/>
    </row>
    <row r="23" spans="1:10" ht="42" customHeight="1">
      <c r="A23" s="356" t="s">
        <v>6192</v>
      </c>
      <c r="B23" s="136" t="s">
        <v>3472</v>
      </c>
      <c r="C23" s="136" t="s">
        <v>6181</v>
      </c>
      <c r="D23" s="296" t="s">
        <v>6193</v>
      </c>
      <c r="E23" s="296" t="s">
        <v>6194</v>
      </c>
      <c r="F23" s="137">
        <v>3</v>
      </c>
      <c r="G23" s="136" t="s">
        <v>6190</v>
      </c>
      <c r="H23" s="137" t="s">
        <v>3570</v>
      </c>
      <c r="I23" s="378"/>
      <c r="J23" s="379"/>
    </row>
    <row r="24" spans="1:10" ht="42" customHeight="1">
      <c r="A24" s="356" t="s">
        <v>6195</v>
      </c>
      <c r="B24" s="136" t="s">
        <v>3472</v>
      </c>
      <c r="C24" s="136" t="s">
        <v>6181</v>
      </c>
      <c r="D24" s="296" t="s">
        <v>6196</v>
      </c>
      <c r="E24" s="296" t="s">
        <v>6197</v>
      </c>
      <c r="F24" s="137">
        <v>3</v>
      </c>
      <c r="G24" s="136" t="s">
        <v>6187</v>
      </c>
      <c r="H24" s="137" t="s">
        <v>3570</v>
      </c>
      <c r="I24" s="378"/>
      <c r="J24" s="379"/>
    </row>
    <row r="25" spans="1:10" ht="42" customHeight="1">
      <c r="A25" s="356" t="s">
        <v>3465</v>
      </c>
      <c r="B25" s="136" t="s">
        <v>3472</v>
      </c>
      <c r="C25" s="136" t="s">
        <v>3465</v>
      </c>
      <c r="D25" s="296" t="s">
        <v>3486</v>
      </c>
      <c r="E25" s="296" t="s">
        <v>6198</v>
      </c>
      <c r="F25" s="137">
        <v>0</v>
      </c>
      <c r="G25" s="136" t="s">
        <v>3665</v>
      </c>
      <c r="H25" s="137" t="s">
        <v>6199</v>
      </c>
      <c r="I25" s="378"/>
      <c r="J25" s="379"/>
    </row>
    <row r="26" spans="1:10" ht="42" customHeight="1">
      <c r="A26" s="356" t="s">
        <v>6200</v>
      </c>
      <c r="B26" s="136" t="s">
        <v>3472</v>
      </c>
      <c r="C26" s="136" t="s">
        <v>6201</v>
      </c>
      <c r="D26" s="296" t="s">
        <v>6202</v>
      </c>
      <c r="E26" s="296" t="s">
        <v>6203</v>
      </c>
      <c r="F26" s="137">
        <v>1</v>
      </c>
      <c r="G26" s="136" t="s">
        <v>3665</v>
      </c>
      <c r="H26" s="137" t="s">
        <v>3570</v>
      </c>
      <c r="I26" s="378"/>
      <c r="J26" s="379"/>
    </row>
    <row r="27" spans="1:10" ht="42" customHeight="1">
      <c r="A27" s="356" t="s">
        <v>6204</v>
      </c>
      <c r="B27" s="136" t="s">
        <v>3472</v>
      </c>
      <c r="C27" s="136" t="s">
        <v>6201</v>
      </c>
      <c r="D27" s="296" t="s">
        <v>6205</v>
      </c>
      <c r="E27" s="296" t="s">
        <v>6206</v>
      </c>
      <c r="F27" s="137">
        <v>2</v>
      </c>
      <c r="G27" s="136" t="s">
        <v>6200</v>
      </c>
      <c r="H27" s="137" t="s">
        <v>3570</v>
      </c>
      <c r="I27" s="378"/>
      <c r="J27" s="379"/>
    </row>
    <row r="28" spans="1:10" ht="42" customHeight="1">
      <c r="A28" s="356" t="s">
        <v>6207</v>
      </c>
      <c r="B28" s="136" t="s">
        <v>3472</v>
      </c>
      <c r="C28" s="136" t="s">
        <v>6201</v>
      </c>
      <c r="D28" s="296" t="s">
        <v>6208</v>
      </c>
      <c r="E28" s="296" t="s">
        <v>6209</v>
      </c>
      <c r="F28" s="137">
        <v>1</v>
      </c>
      <c r="G28" s="136" t="s">
        <v>6204</v>
      </c>
      <c r="H28" s="137" t="s">
        <v>3570</v>
      </c>
      <c r="I28" s="378"/>
      <c r="J28" s="379"/>
    </row>
    <row r="29" spans="1:10" ht="42" customHeight="1">
      <c r="A29" s="356" t="s">
        <v>6210</v>
      </c>
      <c r="B29" s="136" t="s">
        <v>3472</v>
      </c>
      <c r="C29" s="136" t="s">
        <v>6211</v>
      </c>
      <c r="D29" s="296" t="s">
        <v>6212</v>
      </c>
      <c r="E29" s="296" t="s">
        <v>6213</v>
      </c>
      <c r="F29" s="137">
        <v>3</v>
      </c>
      <c r="G29" s="136" t="s">
        <v>6214</v>
      </c>
      <c r="H29" s="137" t="s">
        <v>3570</v>
      </c>
      <c r="I29" s="378"/>
      <c r="J29" s="379"/>
    </row>
    <row r="30" spans="1:10" ht="42" customHeight="1">
      <c r="A30" s="356" t="s">
        <v>6215</v>
      </c>
      <c r="B30" s="136" t="s">
        <v>3472</v>
      </c>
      <c r="C30" s="136" t="s">
        <v>6211</v>
      </c>
      <c r="D30" s="296" t="s">
        <v>6216</v>
      </c>
      <c r="E30" s="296" t="s">
        <v>5705</v>
      </c>
      <c r="F30" s="137">
        <v>2</v>
      </c>
      <c r="G30" s="136" t="s">
        <v>6210</v>
      </c>
      <c r="H30" s="137" t="s">
        <v>3570</v>
      </c>
      <c r="I30" s="378"/>
      <c r="J30" s="379"/>
    </row>
    <row r="31" spans="1:10" ht="42" customHeight="1">
      <c r="A31" s="356" t="s">
        <v>6217</v>
      </c>
      <c r="B31" s="136" t="s">
        <v>3472</v>
      </c>
      <c r="C31" s="136" t="s">
        <v>6211</v>
      </c>
      <c r="D31" s="296" t="s">
        <v>6218</v>
      </c>
      <c r="E31" s="296" t="s">
        <v>6219</v>
      </c>
      <c r="F31" s="137">
        <v>2</v>
      </c>
      <c r="G31" s="136" t="s">
        <v>6210</v>
      </c>
      <c r="H31" s="137" t="s">
        <v>3570</v>
      </c>
      <c r="I31" s="378"/>
      <c r="J31" s="379"/>
    </row>
    <row r="32" spans="1:10" ht="42" customHeight="1">
      <c r="A32" s="356" t="s">
        <v>6220</v>
      </c>
      <c r="B32" s="136" t="s">
        <v>3472</v>
      </c>
      <c r="C32" s="136" t="s">
        <v>6211</v>
      </c>
      <c r="D32" s="296" t="s">
        <v>6161</v>
      </c>
      <c r="E32" s="296" t="s">
        <v>6221</v>
      </c>
      <c r="F32" s="137">
        <v>1</v>
      </c>
      <c r="G32" s="136" t="s">
        <v>6217</v>
      </c>
      <c r="H32" s="137" t="s">
        <v>3570</v>
      </c>
      <c r="I32" s="378"/>
      <c r="J32" s="379"/>
    </row>
    <row r="33" spans="1:10" ht="42" customHeight="1">
      <c r="A33" s="356" t="s">
        <v>6222</v>
      </c>
      <c r="B33" s="136" t="s">
        <v>3472</v>
      </c>
      <c r="C33" s="136" t="s">
        <v>6223</v>
      </c>
      <c r="D33" s="296" t="s">
        <v>6224</v>
      </c>
      <c r="E33" s="296" t="s">
        <v>6225</v>
      </c>
      <c r="F33" s="137">
        <v>1.5</v>
      </c>
      <c r="G33" s="136" t="s">
        <v>3665</v>
      </c>
      <c r="H33" s="137" t="s">
        <v>3570</v>
      </c>
      <c r="I33" s="378"/>
      <c r="J33" s="379"/>
    </row>
    <row r="34" spans="1:10" ht="42" customHeight="1">
      <c r="A34" s="356" t="s">
        <v>6226</v>
      </c>
      <c r="B34" s="136" t="s">
        <v>3472</v>
      </c>
      <c r="C34" s="136" t="s">
        <v>6223</v>
      </c>
      <c r="D34" s="296" t="s">
        <v>6227</v>
      </c>
      <c r="E34" s="296" t="s">
        <v>6228</v>
      </c>
      <c r="F34" s="137">
        <v>1.5</v>
      </c>
      <c r="G34" s="136" t="s">
        <v>6222</v>
      </c>
      <c r="H34" s="137" t="s">
        <v>3570</v>
      </c>
      <c r="I34" s="378"/>
      <c r="J34" s="379"/>
    </row>
    <row r="35" spans="1:10" ht="42" customHeight="1">
      <c r="A35" s="356" t="s">
        <v>3489</v>
      </c>
      <c r="B35" s="136" t="s">
        <v>3472</v>
      </c>
      <c r="C35" s="136" t="s">
        <v>3489</v>
      </c>
      <c r="D35" s="296" t="s">
        <v>6229</v>
      </c>
      <c r="E35" s="296" t="s">
        <v>6230</v>
      </c>
      <c r="F35" s="137">
        <v>2</v>
      </c>
      <c r="G35" s="136" t="s">
        <v>6231</v>
      </c>
      <c r="H35" s="137" t="s">
        <v>3570</v>
      </c>
      <c r="I35" s="378"/>
      <c r="J35" s="379"/>
    </row>
    <row r="36" spans="1:10" ht="42" customHeight="1">
      <c r="A36" s="356" t="s">
        <v>3490</v>
      </c>
      <c r="B36" s="136" t="s">
        <v>3472</v>
      </c>
      <c r="C36" s="136" t="s">
        <v>3490</v>
      </c>
      <c r="D36" s="296" t="s">
        <v>6232</v>
      </c>
      <c r="E36" s="296" t="s">
        <v>6233</v>
      </c>
      <c r="F36" s="137">
        <v>2</v>
      </c>
      <c r="G36" s="136" t="s">
        <v>3665</v>
      </c>
      <c r="H36" s="137" t="s">
        <v>3570</v>
      </c>
      <c r="I36" s="378"/>
      <c r="J36" s="379"/>
    </row>
    <row r="37" spans="1:10" ht="42" customHeight="1">
      <c r="A37" s="356" t="s">
        <v>6234</v>
      </c>
      <c r="B37" s="136" t="s">
        <v>3472</v>
      </c>
      <c r="C37" s="136" t="s">
        <v>6235</v>
      </c>
      <c r="D37" s="296" t="s">
        <v>6236</v>
      </c>
      <c r="E37" s="296" t="s">
        <v>6237</v>
      </c>
      <c r="F37" s="137">
        <v>3</v>
      </c>
      <c r="G37" s="136" t="s">
        <v>6231</v>
      </c>
      <c r="H37" s="137" t="s">
        <v>3570</v>
      </c>
      <c r="I37" s="378"/>
      <c r="J37" s="379"/>
    </row>
    <row r="38" spans="1:10" ht="42" customHeight="1">
      <c r="A38" s="356" t="s">
        <v>6238</v>
      </c>
      <c r="B38" s="136" t="s">
        <v>3472</v>
      </c>
      <c r="C38" s="136" t="s">
        <v>6235</v>
      </c>
      <c r="D38" s="296" t="s">
        <v>6239</v>
      </c>
      <c r="E38" s="296" t="s">
        <v>6240</v>
      </c>
      <c r="F38" s="137">
        <v>3</v>
      </c>
      <c r="G38" s="136" t="s">
        <v>6234</v>
      </c>
      <c r="H38" s="137" t="s">
        <v>3570</v>
      </c>
      <c r="I38" s="378"/>
      <c r="J38" s="379"/>
    </row>
    <row r="39" spans="1:10" ht="42" customHeight="1">
      <c r="A39" s="356" t="s">
        <v>3491</v>
      </c>
      <c r="B39" s="136" t="s">
        <v>3472</v>
      </c>
      <c r="C39" s="136" t="s">
        <v>3491</v>
      </c>
      <c r="D39" s="296" t="s">
        <v>6241</v>
      </c>
      <c r="E39" s="296" t="s">
        <v>6242</v>
      </c>
      <c r="F39" s="137">
        <v>2</v>
      </c>
      <c r="G39" s="136" t="s">
        <v>3665</v>
      </c>
      <c r="H39" s="137" t="s">
        <v>3570</v>
      </c>
      <c r="I39" s="378"/>
      <c r="J39" s="379"/>
    </row>
    <row r="40" spans="1:10" ht="42" customHeight="1">
      <c r="A40" s="356" t="s">
        <v>6243</v>
      </c>
      <c r="B40" s="136" t="s">
        <v>3472</v>
      </c>
      <c r="C40" s="136" t="s">
        <v>6244</v>
      </c>
      <c r="D40" s="296" t="s">
        <v>6245</v>
      </c>
      <c r="E40" s="296" t="s">
        <v>6246</v>
      </c>
      <c r="F40" s="137">
        <v>2</v>
      </c>
      <c r="G40" s="136" t="s">
        <v>3665</v>
      </c>
      <c r="H40" s="137" t="s">
        <v>3570</v>
      </c>
      <c r="I40" s="378"/>
      <c r="J40" s="379"/>
    </row>
    <row r="41" spans="1:10" ht="42" customHeight="1">
      <c r="A41" s="356" t="s">
        <v>6247</v>
      </c>
      <c r="B41" s="136" t="s">
        <v>3472</v>
      </c>
      <c r="C41" s="136" t="s">
        <v>6244</v>
      </c>
      <c r="D41" s="296" t="s">
        <v>6248</v>
      </c>
      <c r="E41" s="296" t="s">
        <v>6249</v>
      </c>
      <c r="F41" s="137">
        <v>2</v>
      </c>
      <c r="G41" s="136" t="s">
        <v>6243</v>
      </c>
      <c r="H41" s="137" t="s">
        <v>3570</v>
      </c>
      <c r="I41" s="378"/>
      <c r="J41" s="379"/>
    </row>
    <row r="42" spans="1:10" ht="42" customHeight="1">
      <c r="A42" s="356" t="s">
        <v>6250</v>
      </c>
      <c r="B42" s="136" t="s">
        <v>3472</v>
      </c>
      <c r="C42" s="136" t="s">
        <v>6244</v>
      </c>
      <c r="D42" s="296" t="s">
        <v>6251</v>
      </c>
      <c r="E42" s="296" t="s">
        <v>6252</v>
      </c>
      <c r="F42" s="137">
        <v>2</v>
      </c>
      <c r="G42" s="136" t="s">
        <v>6247</v>
      </c>
      <c r="H42" s="137" t="s">
        <v>3570</v>
      </c>
      <c r="I42" s="378"/>
      <c r="J42" s="379"/>
    </row>
    <row r="43" spans="1:10" ht="42" customHeight="1">
      <c r="A43" s="356" t="s">
        <v>6253</v>
      </c>
      <c r="B43" s="136" t="s">
        <v>3472</v>
      </c>
      <c r="C43" s="136" t="s">
        <v>6253</v>
      </c>
      <c r="D43" s="296" t="s">
        <v>6254</v>
      </c>
      <c r="E43" s="296" t="s">
        <v>6255</v>
      </c>
      <c r="F43" s="137">
        <v>3</v>
      </c>
      <c r="G43" s="136" t="s">
        <v>6256</v>
      </c>
      <c r="H43" s="137" t="s">
        <v>3570</v>
      </c>
      <c r="I43" s="378"/>
      <c r="J43" s="379"/>
    </row>
    <row r="44" spans="1:10" ht="42" customHeight="1">
      <c r="A44" s="356" t="s">
        <v>6257</v>
      </c>
      <c r="B44" s="136" t="s">
        <v>3472</v>
      </c>
      <c r="C44" s="136" t="s">
        <v>6257</v>
      </c>
      <c r="D44" s="296" t="s">
        <v>6258</v>
      </c>
      <c r="E44" s="296" t="s">
        <v>6259</v>
      </c>
      <c r="F44" s="137">
        <v>4</v>
      </c>
      <c r="G44" s="136" t="s">
        <v>3665</v>
      </c>
      <c r="H44" s="137" t="s">
        <v>3570</v>
      </c>
      <c r="I44" s="378"/>
      <c r="J44" s="379"/>
    </row>
    <row r="45" spans="1:10" ht="42" customHeight="1">
      <c r="A45" s="356" t="s">
        <v>6260</v>
      </c>
      <c r="B45" s="136" t="s">
        <v>3472</v>
      </c>
      <c r="C45" s="136" t="s">
        <v>6260</v>
      </c>
      <c r="D45" s="296" t="s">
        <v>6261</v>
      </c>
      <c r="E45" s="296" t="s">
        <v>6262</v>
      </c>
      <c r="F45" s="137">
        <v>3</v>
      </c>
      <c r="G45" s="136" t="s">
        <v>6263</v>
      </c>
      <c r="H45" s="137" t="s">
        <v>3570</v>
      </c>
      <c r="I45" s="378"/>
      <c r="J45" s="379"/>
    </row>
    <row r="46" spans="1:10" ht="42" customHeight="1">
      <c r="A46" s="356" t="s">
        <v>6264</v>
      </c>
      <c r="B46" s="136" t="s">
        <v>3492</v>
      </c>
      <c r="C46" s="136" t="s">
        <v>3493</v>
      </c>
      <c r="D46" s="296" t="s">
        <v>6265</v>
      </c>
      <c r="E46" s="296" t="s">
        <v>6266</v>
      </c>
      <c r="F46" s="137">
        <v>4</v>
      </c>
      <c r="G46" s="136" t="s">
        <v>6267</v>
      </c>
      <c r="H46" s="137" t="s">
        <v>3570</v>
      </c>
      <c r="I46" s="378"/>
      <c r="J46" s="379"/>
    </row>
    <row r="47" spans="1:10" ht="42" customHeight="1">
      <c r="A47" s="356" t="s">
        <v>6268</v>
      </c>
      <c r="B47" s="136" t="s">
        <v>3492</v>
      </c>
      <c r="C47" s="136" t="s">
        <v>3493</v>
      </c>
      <c r="D47" s="296" t="s">
        <v>6269</v>
      </c>
      <c r="E47" s="296" t="s">
        <v>6270</v>
      </c>
      <c r="F47" s="137">
        <v>3</v>
      </c>
      <c r="G47" s="136" t="s">
        <v>6264</v>
      </c>
      <c r="H47" s="137" t="s">
        <v>3570</v>
      </c>
      <c r="I47" s="378"/>
      <c r="J47" s="379"/>
    </row>
    <row r="48" spans="1:10" ht="42" customHeight="1">
      <c r="A48" s="356" t="s">
        <v>6271</v>
      </c>
      <c r="B48" s="136" t="s">
        <v>3492</v>
      </c>
      <c r="C48" s="136" t="s">
        <v>3493</v>
      </c>
      <c r="D48" s="296" t="s">
        <v>6272</v>
      </c>
      <c r="E48" s="296" t="s">
        <v>6273</v>
      </c>
      <c r="F48" s="137">
        <v>5</v>
      </c>
      <c r="G48" s="136" t="s">
        <v>6268</v>
      </c>
      <c r="H48" s="137" t="s">
        <v>3570</v>
      </c>
      <c r="I48" s="378"/>
      <c r="J48" s="379"/>
    </row>
    <row r="49" spans="1:10" ht="42" customHeight="1">
      <c r="A49" s="356" t="s">
        <v>6274</v>
      </c>
      <c r="B49" s="136" t="s">
        <v>3492</v>
      </c>
      <c r="C49" s="136" t="s">
        <v>3494</v>
      </c>
      <c r="D49" s="296" t="s">
        <v>6275</v>
      </c>
      <c r="E49" s="296" t="s">
        <v>6276</v>
      </c>
      <c r="F49" s="137">
        <v>3</v>
      </c>
      <c r="G49" s="136" t="s">
        <v>3665</v>
      </c>
      <c r="H49" s="137" t="s">
        <v>3570</v>
      </c>
      <c r="I49" s="378"/>
      <c r="J49" s="379"/>
    </row>
    <row r="50" spans="1:10" ht="42" customHeight="1">
      <c r="A50" s="356" t="s">
        <v>6277</v>
      </c>
      <c r="B50" s="136" t="s">
        <v>3492</v>
      </c>
      <c r="C50" s="136" t="s">
        <v>3494</v>
      </c>
      <c r="D50" s="296" t="s">
        <v>6278</v>
      </c>
      <c r="E50" s="296" t="s">
        <v>6279</v>
      </c>
      <c r="F50" s="137">
        <v>2</v>
      </c>
      <c r="G50" s="136" t="s">
        <v>6274</v>
      </c>
      <c r="H50" s="137" t="s">
        <v>3570</v>
      </c>
      <c r="I50" s="378"/>
      <c r="J50" s="379"/>
    </row>
    <row r="51" spans="1:10" ht="42" customHeight="1">
      <c r="A51" s="356" t="s">
        <v>3495</v>
      </c>
      <c r="B51" s="136" t="s">
        <v>3492</v>
      </c>
      <c r="C51" s="136" t="s">
        <v>3495</v>
      </c>
      <c r="D51" s="296" t="s">
        <v>6280</v>
      </c>
      <c r="E51" s="296" t="s">
        <v>6281</v>
      </c>
      <c r="F51" s="137">
        <v>2</v>
      </c>
      <c r="G51" s="136" t="s">
        <v>6282</v>
      </c>
      <c r="H51" s="137" t="s">
        <v>3570</v>
      </c>
      <c r="I51" s="378"/>
      <c r="J51" s="379"/>
    </row>
    <row r="52" spans="1:10" ht="42" customHeight="1">
      <c r="A52" s="356" t="s">
        <v>6283</v>
      </c>
      <c r="B52" s="136" t="s">
        <v>3492</v>
      </c>
      <c r="C52" s="136" t="s">
        <v>3496</v>
      </c>
      <c r="D52" s="296" t="s">
        <v>6284</v>
      </c>
      <c r="E52" s="296" t="s">
        <v>6285</v>
      </c>
      <c r="F52" s="137">
        <v>1</v>
      </c>
      <c r="G52" s="136" t="s">
        <v>6264</v>
      </c>
      <c r="H52" s="137" t="s">
        <v>3570</v>
      </c>
      <c r="I52" s="378"/>
      <c r="J52" s="379"/>
    </row>
    <row r="53" spans="1:10" ht="42" customHeight="1">
      <c r="A53" s="356" t="s">
        <v>6286</v>
      </c>
      <c r="B53" s="136" t="s">
        <v>3492</v>
      </c>
      <c r="C53" s="136" t="s">
        <v>3496</v>
      </c>
      <c r="D53" s="296" t="s">
        <v>6287</v>
      </c>
      <c r="E53" s="296" t="s">
        <v>6288</v>
      </c>
      <c r="F53" s="137">
        <v>2</v>
      </c>
      <c r="G53" s="136" t="s">
        <v>6289</v>
      </c>
      <c r="H53" s="137" t="s">
        <v>3570</v>
      </c>
      <c r="I53" s="378"/>
      <c r="J53" s="379"/>
    </row>
    <row r="54" spans="1:10" ht="42" customHeight="1">
      <c r="A54" s="356" t="s">
        <v>3497</v>
      </c>
      <c r="B54" s="136" t="s">
        <v>3492</v>
      </c>
      <c r="C54" s="136" t="s">
        <v>3497</v>
      </c>
      <c r="D54" s="296" t="s">
        <v>6290</v>
      </c>
      <c r="E54" s="296" t="s">
        <v>6291</v>
      </c>
      <c r="F54" s="137">
        <v>1</v>
      </c>
      <c r="G54" s="136" t="s">
        <v>6264</v>
      </c>
      <c r="H54" s="137" t="s">
        <v>3570</v>
      </c>
      <c r="I54" s="378"/>
      <c r="J54" s="379"/>
    </row>
    <row r="55" spans="1:10" ht="42" customHeight="1">
      <c r="A55" s="356" t="s">
        <v>6292</v>
      </c>
      <c r="B55" s="136" t="s">
        <v>3498</v>
      </c>
      <c r="C55" s="136" t="s">
        <v>6293</v>
      </c>
      <c r="D55" s="296" t="s">
        <v>6294</v>
      </c>
      <c r="E55" s="296" t="s">
        <v>6295</v>
      </c>
      <c r="F55" s="137">
        <v>1.5</v>
      </c>
      <c r="G55" s="136" t="s">
        <v>3665</v>
      </c>
      <c r="H55" s="137" t="s">
        <v>3570</v>
      </c>
      <c r="I55" s="378"/>
      <c r="J55" s="379"/>
    </row>
    <row r="56" spans="1:10" ht="42" customHeight="1">
      <c r="A56" s="356" t="s">
        <v>6296</v>
      </c>
      <c r="B56" s="136" t="s">
        <v>3498</v>
      </c>
      <c r="C56" s="136" t="s">
        <v>6293</v>
      </c>
      <c r="D56" s="296" t="s">
        <v>6297</v>
      </c>
      <c r="E56" s="296" t="s">
        <v>6298</v>
      </c>
      <c r="F56" s="137">
        <v>1</v>
      </c>
      <c r="G56" s="136" t="s">
        <v>3665</v>
      </c>
      <c r="H56" s="137" t="s">
        <v>3570</v>
      </c>
      <c r="I56" s="378"/>
      <c r="J56" s="379"/>
    </row>
    <row r="57" spans="1:10" ht="42" customHeight="1">
      <c r="A57" s="356" t="s">
        <v>6299</v>
      </c>
      <c r="B57" s="136" t="s">
        <v>3498</v>
      </c>
      <c r="C57" s="136" t="s">
        <v>6293</v>
      </c>
      <c r="D57" s="296" t="s">
        <v>6300</v>
      </c>
      <c r="E57" s="296" t="s">
        <v>6301</v>
      </c>
      <c r="F57" s="137">
        <v>1.5</v>
      </c>
      <c r="G57" s="136" t="s">
        <v>3665</v>
      </c>
      <c r="H57" s="137" t="s">
        <v>3570</v>
      </c>
      <c r="I57" s="378"/>
      <c r="J57" s="379"/>
    </row>
    <row r="58" spans="1:10" ht="42" customHeight="1">
      <c r="A58" s="356" t="s">
        <v>3500</v>
      </c>
      <c r="B58" s="136" t="s">
        <v>3498</v>
      </c>
      <c r="C58" s="136" t="s">
        <v>3500</v>
      </c>
      <c r="D58" s="296" t="s">
        <v>6302</v>
      </c>
      <c r="E58" s="296" t="s">
        <v>6303</v>
      </c>
      <c r="F58" s="137">
        <v>2</v>
      </c>
      <c r="G58" s="136" t="s">
        <v>3665</v>
      </c>
      <c r="H58" s="137" t="s">
        <v>3570</v>
      </c>
      <c r="I58" s="378"/>
      <c r="J58" s="379"/>
    </row>
    <row r="59" spans="1:10" ht="42" customHeight="1">
      <c r="A59" s="356" t="s">
        <v>3501</v>
      </c>
      <c r="B59" s="136" t="s">
        <v>3498</v>
      </c>
      <c r="C59" s="136" t="s">
        <v>3501</v>
      </c>
      <c r="D59" s="296" t="s">
        <v>6304</v>
      </c>
      <c r="E59" s="296" t="s">
        <v>6305</v>
      </c>
      <c r="F59" s="137">
        <v>4</v>
      </c>
      <c r="G59" s="136" t="s">
        <v>3665</v>
      </c>
      <c r="H59" s="137" t="s">
        <v>3570</v>
      </c>
      <c r="I59" s="378"/>
      <c r="J59" s="379"/>
    </row>
    <row r="60" spans="1:10" ht="42" customHeight="1">
      <c r="A60" s="356" t="s">
        <v>3502</v>
      </c>
      <c r="B60" s="136" t="s">
        <v>3498</v>
      </c>
      <c r="C60" s="136" t="s">
        <v>3502</v>
      </c>
      <c r="D60" s="296" t="s">
        <v>6306</v>
      </c>
      <c r="E60" s="296" t="s">
        <v>6307</v>
      </c>
      <c r="F60" s="137">
        <v>1</v>
      </c>
      <c r="G60" s="136" t="s">
        <v>3665</v>
      </c>
      <c r="H60" s="137" t="s">
        <v>3570</v>
      </c>
      <c r="I60" s="378"/>
      <c r="J60" s="379"/>
    </row>
    <row r="61" spans="1:10" ht="42" customHeight="1">
      <c r="A61" s="356" t="s">
        <v>3503</v>
      </c>
      <c r="B61" s="136" t="s">
        <v>3498</v>
      </c>
      <c r="C61" s="136" t="s">
        <v>3503</v>
      </c>
      <c r="D61" s="296" t="s">
        <v>6308</v>
      </c>
      <c r="E61" s="296" t="s">
        <v>6309</v>
      </c>
      <c r="F61" s="137">
        <v>2</v>
      </c>
      <c r="G61" s="136" t="s">
        <v>3665</v>
      </c>
      <c r="H61" s="137" t="s">
        <v>3570</v>
      </c>
      <c r="I61" s="378"/>
      <c r="J61" s="379"/>
    </row>
    <row r="62" spans="1:10" ht="42" customHeight="1">
      <c r="A62" s="356" t="s">
        <v>3504</v>
      </c>
      <c r="B62" s="136" t="s">
        <v>3498</v>
      </c>
      <c r="C62" s="136" t="s">
        <v>3504</v>
      </c>
      <c r="D62" s="296" t="s">
        <v>6310</v>
      </c>
      <c r="E62" s="296" t="s">
        <v>6311</v>
      </c>
      <c r="F62" s="137">
        <v>1</v>
      </c>
      <c r="G62" s="136" t="s">
        <v>3665</v>
      </c>
      <c r="H62" s="137" t="s">
        <v>3570</v>
      </c>
      <c r="I62" s="378"/>
      <c r="J62" s="379"/>
    </row>
    <row r="63" spans="1:10" ht="42" customHeight="1">
      <c r="A63" s="356" t="s">
        <v>3506</v>
      </c>
      <c r="B63" s="136" t="s">
        <v>3498</v>
      </c>
      <c r="C63" s="136" t="s">
        <v>3506</v>
      </c>
      <c r="D63" s="296" t="s">
        <v>3505</v>
      </c>
      <c r="E63" s="296" t="s">
        <v>6312</v>
      </c>
      <c r="F63" s="137">
        <v>2</v>
      </c>
      <c r="G63" s="136" t="s">
        <v>3665</v>
      </c>
      <c r="H63" s="137" t="s">
        <v>3570</v>
      </c>
      <c r="I63" s="378"/>
      <c r="J63" s="379"/>
    </row>
    <row r="64" spans="1:10" ht="42" customHeight="1">
      <c r="A64" s="356" t="s">
        <v>3507</v>
      </c>
      <c r="B64" s="136" t="s">
        <v>3498</v>
      </c>
      <c r="C64" s="136" t="s">
        <v>3507</v>
      </c>
      <c r="D64" s="296" t="s">
        <v>6313</v>
      </c>
      <c r="E64" s="296" t="s">
        <v>6314</v>
      </c>
      <c r="F64" s="137">
        <v>1</v>
      </c>
      <c r="G64" s="136" t="s">
        <v>3665</v>
      </c>
      <c r="H64" s="137" t="s">
        <v>3570</v>
      </c>
      <c r="I64" s="378"/>
      <c r="J64" s="379"/>
    </row>
    <row r="65" spans="1:10" ht="42" customHeight="1">
      <c r="A65" s="356" t="s">
        <v>6315</v>
      </c>
      <c r="B65" s="136" t="s">
        <v>3498</v>
      </c>
      <c r="C65" s="136" t="s">
        <v>6315</v>
      </c>
      <c r="D65" s="296" t="s">
        <v>6316</v>
      </c>
      <c r="E65" s="296" t="s">
        <v>6317</v>
      </c>
      <c r="F65" s="137">
        <v>3</v>
      </c>
      <c r="G65" s="136" t="s">
        <v>6318</v>
      </c>
      <c r="H65" s="137" t="s">
        <v>3570</v>
      </c>
      <c r="I65" s="378"/>
      <c r="J65" s="379"/>
    </row>
    <row r="66" spans="1:10" ht="42" customHeight="1">
      <c r="A66" s="356" t="s">
        <v>6319</v>
      </c>
      <c r="B66" s="136" t="s">
        <v>3498</v>
      </c>
      <c r="C66" s="136" t="s">
        <v>6319</v>
      </c>
      <c r="D66" s="296" t="s">
        <v>6320</v>
      </c>
      <c r="E66" s="296" t="s">
        <v>6321</v>
      </c>
      <c r="F66" s="137">
        <v>2</v>
      </c>
      <c r="G66" s="136" t="s">
        <v>6315</v>
      </c>
      <c r="H66" s="137" t="s">
        <v>3570</v>
      </c>
      <c r="I66" s="378"/>
      <c r="J66" s="379"/>
    </row>
    <row r="67" spans="1:10" ht="42" customHeight="1">
      <c r="A67" s="356" t="s">
        <v>6322</v>
      </c>
      <c r="B67" s="136" t="s">
        <v>3498</v>
      </c>
      <c r="C67" s="136" t="s">
        <v>6323</v>
      </c>
      <c r="D67" s="296" t="s">
        <v>6324</v>
      </c>
      <c r="E67" s="296" t="s">
        <v>6325</v>
      </c>
      <c r="F67" s="137">
        <v>1</v>
      </c>
      <c r="G67" s="136" t="s">
        <v>3665</v>
      </c>
      <c r="H67" s="137" t="s">
        <v>3570</v>
      </c>
      <c r="I67" s="378"/>
      <c r="J67" s="379"/>
    </row>
    <row r="68" spans="1:10" ht="42" customHeight="1">
      <c r="A68" s="356" t="s">
        <v>3508</v>
      </c>
      <c r="B68" s="136" t="s">
        <v>3473</v>
      </c>
      <c r="C68" s="136" t="s">
        <v>3508</v>
      </c>
      <c r="D68" s="296" t="s">
        <v>6326</v>
      </c>
      <c r="E68" s="296" t="s">
        <v>6327</v>
      </c>
      <c r="F68" s="137">
        <v>2</v>
      </c>
      <c r="G68" s="136" t="s">
        <v>3665</v>
      </c>
      <c r="H68" s="137" t="s">
        <v>3570</v>
      </c>
      <c r="I68" s="378"/>
      <c r="J68" s="379"/>
    </row>
    <row r="69" spans="1:10" ht="42" customHeight="1">
      <c r="A69" s="356" t="s">
        <v>3509</v>
      </c>
      <c r="B69" s="136" t="s">
        <v>3473</v>
      </c>
      <c r="C69" s="136" t="s">
        <v>3509</v>
      </c>
      <c r="D69" s="296" t="s">
        <v>6328</v>
      </c>
      <c r="E69" s="296" t="s">
        <v>6329</v>
      </c>
      <c r="F69" s="137">
        <v>3</v>
      </c>
      <c r="G69" s="136" t="s">
        <v>6330</v>
      </c>
      <c r="H69" s="137" t="s">
        <v>3570</v>
      </c>
      <c r="I69" s="378"/>
      <c r="J69" s="379"/>
    </row>
    <row r="70" spans="1:10" ht="42" customHeight="1">
      <c r="A70" s="356" t="s">
        <v>3511</v>
      </c>
      <c r="B70" s="136" t="s">
        <v>3473</v>
      </c>
      <c r="C70" s="136" t="s">
        <v>3511</v>
      </c>
      <c r="D70" s="296" t="s">
        <v>3510</v>
      </c>
      <c r="E70" s="296" t="s">
        <v>6331</v>
      </c>
      <c r="F70" s="137">
        <v>0</v>
      </c>
      <c r="G70" s="136" t="s">
        <v>3665</v>
      </c>
      <c r="H70" s="137" t="s">
        <v>6332</v>
      </c>
      <c r="I70" s="378"/>
      <c r="J70" s="379"/>
    </row>
    <row r="71" spans="1:10" ht="42" customHeight="1">
      <c r="A71" s="356" t="s">
        <v>3512</v>
      </c>
      <c r="B71" s="136" t="s">
        <v>3473</v>
      </c>
      <c r="C71" s="136" t="s">
        <v>3512</v>
      </c>
      <c r="D71" s="296" t="s">
        <v>6333</v>
      </c>
      <c r="E71" s="296" t="s">
        <v>6334</v>
      </c>
      <c r="F71" s="137">
        <v>0</v>
      </c>
      <c r="G71" s="136" t="s">
        <v>3665</v>
      </c>
      <c r="H71" s="137" t="s">
        <v>6332</v>
      </c>
      <c r="I71" s="378"/>
      <c r="J71" s="379"/>
    </row>
    <row r="72" spans="1:10" ht="42" customHeight="1">
      <c r="A72" s="356" t="s">
        <v>3513</v>
      </c>
      <c r="B72" s="136" t="s">
        <v>3473</v>
      </c>
      <c r="C72" s="136" t="s">
        <v>3513</v>
      </c>
      <c r="D72" s="296" t="s">
        <v>6335</v>
      </c>
      <c r="E72" s="296" t="s">
        <v>6336</v>
      </c>
      <c r="F72" s="137">
        <v>1</v>
      </c>
      <c r="G72" s="136" t="s">
        <v>3665</v>
      </c>
      <c r="H72" s="137" t="s">
        <v>3570</v>
      </c>
      <c r="I72" s="378"/>
      <c r="J72" s="379"/>
    </row>
    <row r="73" spans="1:10" ht="42" customHeight="1">
      <c r="A73" s="356" t="s">
        <v>3514</v>
      </c>
      <c r="B73" s="136" t="s">
        <v>3473</v>
      </c>
      <c r="C73" s="136" t="s">
        <v>3514</v>
      </c>
      <c r="D73" s="296" t="s">
        <v>6337</v>
      </c>
      <c r="E73" s="296" t="s">
        <v>6338</v>
      </c>
      <c r="F73" s="137">
        <v>3</v>
      </c>
      <c r="G73" s="136" t="s">
        <v>3665</v>
      </c>
      <c r="H73" s="137" t="s">
        <v>3570</v>
      </c>
      <c r="I73" s="378"/>
      <c r="J73" s="379"/>
    </row>
    <row r="74" spans="1:10" ht="42" customHeight="1">
      <c r="A74" s="356" t="s">
        <v>3474</v>
      </c>
      <c r="B74" s="136" t="s">
        <v>3473</v>
      </c>
      <c r="C74" s="136" t="s">
        <v>3474</v>
      </c>
      <c r="D74" s="296" t="s">
        <v>6339</v>
      </c>
      <c r="E74" s="296" t="s">
        <v>6340</v>
      </c>
      <c r="F74" s="137">
        <v>3</v>
      </c>
      <c r="G74" s="136" t="s">
        <v>6289</v>
      </c>
      <c r="H74" s="137" t="s">
        <v>3570</v>
      </c>
      <c r="I74" s="378"/>
      <c r="J74" s="379"/>
    </row>
    <row r="75" spans="1:10" ht="42" customHeight="1">
      <c r="A75" s="356" t="s">
        <v>3515</v>
      </c>
      <c r="B75" s="136" t="s">
        <v>3473</v>
      </c>
      <c r="C75" s="136" t="s">
        <v>3515</v>
      </c>
      <c r="D75" s="296" t="s">
        <v>6341</v>
      </c>
      <c r="E75" s="296" t="s">
        <v>6342</v>
      </c>
      <c r="F75" s="137">
        <v>2</v>
      </c>
      <c r="G75" s="136" t="s">
        <v>3665</v>
      </c>
      <c r="H75" s="137" t="s">
        <v>3570</v>
      </c>
      <c r="I75" s="378"/>
      <c r="J75" s="379"/>
    </row>
    <row r="76" spans="1:10" ht="42" customHeight="1">
      <c r="A76" s="356" t="s">
        <v>6343</v>
      </c>
      <c r="B76" s="136" t="s">
        <v>3473</v>
      </c>
      <c r="C76" s="136" t="s">
        <v>3516</v>
      </c>
      <c r="D76" s="296" t="s">
        <v>6344</v>
      </c>
      <c r="E76" s="296" t="s">
        <v>6345</v>
      </c>
      <c r="F76" s="137">
        <v>1.5</v>
      </c>
      <c r="G76" s="136" t="s">
        <v>3665</v>
      </c>
      <c r="H76" s="137" t="s">
        <v>3570</v>
      </c>
      <c r="I76" s="378"/>
      <c r="J76" s="379"/>
    </row>
    <row r="77" spans="1:10" ht="42" customHeight="1">
      <c r="A77" s="356" t="s">
        <v>6346</v>
      </c>
      <c r="B77" s="136" t="s">
        <v>3473</v>
      </c>
      <c r="C77" s="136" t="s">
        <v>3516</v>
      </c>
      <c r="D77" s="296" t="s">
        <v>6347</v>
      </c>
      <c r="E77" s="296" t="s">
        <v>6348</v>
      </c>
      <c r="F77" s="137">
        <v>1.5</v>
      </c>
      <c r="G77" s="136" t="s">
        <v>3665</v>
      </c>
      <c r="H77" s="137" t="s">
        <v>3570</v>
      </c>
      <c r="I77" s="378"/>
      <c r="J77" s="379"/>
    </row>
    <row r="78" spans="1:10" ht="42" customHeight="1">
      <c r="A78" s="356" t="s">
        <v>6349</v>
      </c>
      <c r="B78" s="136" t="s">
        <v>3473</v>
      </c>
      <c r="C78" s="136" t="s">
        <v>3516</v>
      </c>
      <c r="D78" s="296" t="s">
        <v>6350</v>
      </c>
      <c r="E78" s="296" t="s">
        <v>6351</v>
      </c>
      <c r="F78" s="137">
        <v>2</v>
      </c>
      <c r="G78" s="136" t="s">
        <v>3665</v>
      </c>
      <c r="H78" s="137" t="s">
        <v>3570</v>
      </c>
      <c r="I78" s="378"/>
      <c r="J78" s="379"/>
    </row>
    <row r="79" spans="1:10" ht="42" customHeight="1">
      <c r="A79" s="356" t="s">
        <v>3518</v>
      </c>
      <c r="B79" s="136" t="s">
        <v>3473</v>
      </c>
      <c r="C79" s="136" t="s">
        <v>3518</v>
      </c>
      <c r="D79" s="296" t="s">
        <v>3517</v>
      </c>
      <c r="E79" s="296" t="s">
        <v>6352</v>
      </c>
      <c r="F79" s="137">
        <v>0</v>
      </c>
      <c r="G79" s="136" t="s">
        <v>3665</v>
      </c>
      <c r="H79" s="137" t="s">
        <v>6199</v>
      </c>
      <c r="I79" s="378"/>
      <c r="J79" s="379"/>
    </row>
    <row r="80" spans="1:10" ht="42" customHeight="1">
      <c r="A80" s="356" t="s">
        <v>3520</v>
      </c>
      <c r="B80" s="136" t="s">
        <v>3473</v>
      </c>
      <c r="C80" s="136" t="s">
        <v>3520</v>
      </c>
      <c r="D80" s="296" t="s">
        <v>3519</v>
      </c>
      <c r="E80" s="296" t="s">
        <v>6353</v>
      </c>
      <c r="F80" s="137">
        <v>2</v>
      </c>
      <c r="G80" s="136" t="s">
        <v>3487</v>
      </c>
      <c r="H80" s="137" t="s">
        <v>3570</v>
      </c>
      <c r="I80" s="378"/>
      <c r="J80" s="379"/>
    </row>
    <row r="81" spans="1:10" ht="42" customHeight="1">
      <c r="A81" s="356" t="s">
        <v>3475</v>
      </c>
      <c r="B81" s="136" t="s">
        <v>3473</v>
      </c>
      <c r="C81" s="136" t="s">
        <v>3475</v>
      </c>
      <c r="D81" s="296" t="s">
        <v>6354</v>
      </c>
      <c r="E81" s="296" t="s">
        <v>6355</v>
      </c>
      <c r="F81" s="137">
        <v>3</v>
      </c>
      <c r="G81" s="136" t="s">
        <v>3490</v>
      </c>
      <c r="H81" s="137" t="s">
        <v>3570</v>
      </c>
      <c r="I81" s="378"/>
      <c r="J81" s="379"/>
    </row>
    <row r="82" spans="1:10" ht="42" customHeight="1">
      <c r="A82" s="356" t="s">
        <v>3477</v>
      </c>
      <c r="B82" s="136" t="s">
        <v>3473</v>
      </c>
      <c r="C82" s="136" t="s">
        <v>3477</v>
      </c>
      <c r="D82" s="296" t="s">
        <v>3476</v>
      </c>
      <c r="E82" s="296" t="s">
        <v>6356</v>
      </c>
      <c r="F82" s="137">
        <v>2</v>
      </c>
      <c r="G82" s="136" t="s">
        <v>3665</v>
      </c>
      <c r="H82" s="137" t="s">
        <v>3570</v>
      </c>
      <c r="I82" s="378"/>
      <c r="J82" s="379"/>
    </row>
    <row r="83" spans="1:10" ht="42" customHeight="1">
      <c r="A83" s="356" t="s">
        <v>3479</v>
      </c>
      <c r="B83" s="136" t="s">
        <v>3473</v>
      </c>
      <c r="C83" s="136" t="s">
        <v>3479</v>
      </c>
      <c r="D83" s="296" t="s">
        <v>3478</v>
      </c>
      <c r="E83" s="296" t="s">
        <v>6357</v>
      </c>
      <c r="F83" s="137">
        <v>1</v>
      </c>
      <c r="G83" s="136" t="s">
        <v>3665</v>
      </c>
      <c r="H83" s="137" t="s">
        <v>3570</v>
      </c>
      <c r="I83" s="378"/>
      <c r="J83" s="379"/>
    </row>
    <row r="84" spans="1:10" ht="42" customHeight="1">
      <c r="A84" s="356" t="s">
        <v>3522</v>
      </c>
      <c r="B84" s="136" t="s">
        <v>3473</v>
      </c>
      <c r="C84" s="136" t="s">
        <v>3522</v>
      </c>
      <c r="D84" s="296" t="s">
        <v>3521</v>
      </c>
      <c r="E84" s="296" t="s">
        <v>6358</v>
      </c>
      <c r="F84" s="137">
        <v>2</v>
      </c>
      <c r="G84" s="136" t="s">
        <v>3483</v>
      </c>
      <c r="H84" s="137" t="s">
        <v>3570</v>
      </c>
      <c r="I84" s="378"/>
      <c r="J84" s="379"/>
    </row>
    <row r="85" spans="1:10" ht="42" customHeight="1">
      <c r="A85" s="356" t="s">
        <v>6359</v>
      </c>
      <c r="B85" s="136" t="s">
        <v>3473</v>
      </c>
      <c r="C85" s="136" t="s">
        <v>6360</v>
      </c>
      <c r="D85" s="296" t="s">
        <v>6361</v>
      </c>
      <c r="E85" s="296" t="s">
        <v>6362</v>
      </c>
      <c r="F85" s="137">
        <v>2</v>
      </c>
      <c r="G85" s="136" t="s">
        <v>6363</v>
      </c>
      <c r="H85" s="137" t="s">
        <v>3570</v>
      </c>
      <c r="I85" s="378"/>
      <c r="J85" s="379"/>
    </row>
    <row r="86" spans="1:10" ht="42" customHeight="1">
      <c r="A86" s="356" t="s">
        <v>6364</v>
      </c>
      <c r="B86" s="136" t="s">
        <v>3473</v>
      </c>
      <c r="C86" s="136" t="s">
        <v>6360</v>
      </c>
      <c r="D86" s="296" t="s">
        <v>6365</v>
      </c>
      <c r="E86" s="296" t="s">
        <v>6366</v>
      </c>
      <c r="F86" s="137">
        <v>1</v>
      </c>
      <c r="G86" s="136" t="s">
        <v>3665</v>
      </c>
      <c r="H86" s="137" t="s">
        <v>3570</v>
      </c>
      <c r="I86" s="378"/>
      <c r="J86" s="379"/>
    </row>
    <row r="87" spans="1:10" ht="42" customHeight="1">
      <c r="A87" s="356" t="s">
        <v>6367</v>
      </c>
      <c r="B87" s="136" t="s">
        <v>3473</v>
      </c>
      <c r="C87" s="136" t="s">
        <v>6360</v>
      </c>
      <c r="D87" s="296" t="s">
        <v>6368</v>
      </c>
      <c r="E87" s="296" t="s">
        <v>6369</v>
      </c>
      <c r="F87" s="137">
        <v>1</v>
      </c>
      <c r="G87" s="136" t="s">
        <v>3665</v>
      </c>
      <c r="H87" s="137" t="s">
        <v>3570</v>
      </c>
      <c r="I87" s="378"/>
      <c r="J87" s="379"/>
    </row>
    <row r="88" spans="1:10" ht="42" customHeight="1">
      <c r="A88" s="356" t="s">
        <v>6370</v>
      </c>
      <c r="B88" s="136" t="s">
        <v>3473</v>
      </c>
      <c r="C88" s="136" t="s">
        <v>6371</v>
      </c>
      <c r="D88" s="296" t="s">
        <v>6372</v>
      </c>
      <c r="E88" s="296" t="s">
        <v>6373</v>
      </c>
      <c r="F88" s="137">
        <v>1</v>
      </c>
      <c r="G88" s="136" t="s">
        <v>3665</v>
      </c>
      <c r="H88" s="137" t="s">
        <v>3570</v>
      </c>
      <c r="I88" s="378"/>
      <c r="J88" s="379"/>
    </row>
    <row r="89" spans="1:10" ht="42" customHeight="1">
      <c r="A89" s="356" t="s">
        <v>6374</v>
      </c>
      <c r="B89" s="136" t="s">
        <v>3473</v>
      </c>
      <c r="C89" s="136" t="s">
        <v>6371</v>
      </c>
      <c r="D89" s="296" t="s">
        <v>6375</v>
      </c>
      <c r="E89" s="296" t="s">
        <v>6376</v>
      </c>
      <c r="F89" s="137">
        <v>1.5</v>
      </c>
      <c r="G89" s="136" t="s">
        <v>3665</v>
      </c>
      <c r="H89" s="137" t="s">
        <v>3570</v>
      </c>
      <c r="I89" s="378"/>
      <c r="J89" s="379"/>
    </row>
    <row r="90" spans="1:10" ht="42" customHeight="1">
      <c r="A90" s="356" t="s">
        <v>6377</v>
      </c>
      <c r="B90" s="136" t="s">
        <v>3473</v>
      </c>
      <c r="C90" s="136" t="s">
        <v>6371</v>
      </c>
      <c r="D90" s="296" t="s">
        <v>6378</v>
      </c>
      <c r="E90" s="296" t="s">
        <v>6379</v>
      </c>
      <c r="F90" s="137">
        <v>1</v>
      </c>
      <c r="G90" s="136" t="s">
        <v>3665</v>
      </c>
      <c r="H90" s="137" t="s">
        <v>3570</v>
      </c>
      <c r="I90" s="378"/>
      <c r="J90" s="379"/>
    </row>
    <row r="91" spans="1:10" ht="42" customHeight="1">
      <c r="A91" s="356" t="s">
        <v>6380</v>
      </c>
      <c r="B91" s="136" t="s">
        <v>3473</v>
      </c>
      <c r="C91" s="136" t="s">
        <v>6371</v>
      </c>
      <c r="D91" s="296" t="s">
        <v>6381</v>
      </c>
      <c r="E91" s="296" t="s">
        <v>6382</v>
      </c>
      <c r="F91" s="137">
        <v>1</v>
      </c>
      <c r="G91" s="136" t="s">
        <v>3665</v>
      </c>
      <c r="H91" s="137" t="s">
        <v>3570</v>
      </c>
      <c r="I91" s="378"/>
      <c r="J91" s="379"/>
    </row>
    <row r="92" spans="1:10" ht="42" customHeight="1">
      <c r="A92" s="356" t="s">
        <v>6383</v>
      </c>
      <c r="B92" s="136" t="s">
        <v>3473</v>
      </c>
      <c r="C92" s="136" t="s">
        <v>6371</v>
      </c>
      <c r="D92" s="296" t="s">
        <v>6384</v>
      </c>
      <c r="E92" s="296" t="s">
        <v>6385</v>
      </c>
      <c r="F92" s="137">
        <v>0.5</v>
      </c>
      <c r="G92" s="136" t="s">
        <v>6386</v>
      </c>
      <c r="H92" s="137" t="s">
        <v>3570</v>
      </c>
      <c r="I92" s="378"/>
      <c r="J92" s="379"/>
    </row>
    <row r="93" spans="1:10" ht="42" customHeight="1">
      <c r="A93" s="356" t="s">
        <v>6387</v>
      </c>
      <c r="B93" s="136" t="s">
        <v>3473</v>
      </c>
      <c r="C93" s="136" t="s">
        <v>6388</v>
      </c>
      <c r="D93" s="296" t="s">
        <v>6389</v>
      </c>
      <c r="E93" s="296" t="s">
        <v>6390</v>
      </c>
      <c r="F93" s="137">
        <v>2</v>
      </c>
      <c r="G93" s="136" t="s">
        <v>3665</v>
      </c>
      <c r="H93" s="137" t="s">
        <v>3570</v>
      </c>
      <c r="I93" s="378"/>
      <c r="J93" s="379"/>
    </row>
    <row r="94" spans="1:10" ht="42" customHeight="1">
      <c r="A94" s="356" t="s">
        <v>6289</v>
      </c>
      <c r="B94" s="136" t="s">
        <v>3473</v>
      </c>
      <c r="C94" s="136" t="s">
        <v>6388</v>
      </c>
      <c r="D94" s="296" t="s">
        <v>6391</v>
      </c>
      <c r="E94" s="296" t="s">
        <v>6392</v>
      </c>
      <c r="F94" s="137">
        <v>3</v>
      </c>
      <c r="G94" s="136" t="s">
        <v>6387</v>
      </c>
      <c r="H94" s="137" t="s">
        <v>3570</v>
      </c>
      <c r="I94" s="378"/>
      <c r="J94" s="379"/>
    </row>
    <row r="95" spans="1:10" ht="42" customHeight="1">
      <c r="A95" s="356" t="s">
        <v>6393</v>
      </c>
      <c r="B95" s="136" t="s">
        <v>3473</v>
      </c>
      <c r="C95" s="136" t="s">
        <v>6394</v>
      </c>
      <c r="D95" s="296" t="s">
        <v>6395</v>
      </c>
      <c r="E95" s="296" t="s">
        <v>6396</v>
      </c>
      <c r="F95" s="137">
        <v>4</v>
      </c>
      <c r="G95" s="136" t="s">
        <v>6289</v>
      </c>
      <c r="H95" s="137" t="s">
        <v>3570</v>
      </c>
      <c r="I95" s="378"/>
      <c r="J95" s="379"/>
    </row>
    <row r="96" spans="1:10" ht="42" customHeight="1">
      <c r="A96" s="356" t="s">
        <v>6397</v>
      </c>
      <c r="B96" s="136" t="s">
        <v>3473</v>
      </c>
      <c r="C96" s="136" t="s">
        <v>6394</v>
      </c>
      <c r="D96" s="296" t="s">
        <v>6398</v>
      </c>
      <c r="E96" s="296" t="s">
        <v>6399</v>
      </c>
      <c r="F96" s="137">
        <v>2</v>
      </c>
      <c r="G96" s="136" t="s">
        <v>6393</v>
      </c>
      <c r="H96" s="137" t="s">
        <v>3570</v>
      </c>
      <c r="I96" s="378"/>
      <c r="J96" s="379"/>
    </row>
    <row r="97" spans="1:10" ht="42" customHeight="1">
      <c r="A97" s="356" t="s">
        <v>6318</v>
      </c>
      <c r="B97" s="136" t="s">
        <v>3473</v>
      </c>
      <c r="C97" s="136" t="s">
        <v>6318</v>
      </c>
      <c r="D97" s="296" t="s">
        <v>6400</v>
      </c>
      <c r="E97" s="296" t="s">
        <v>6401</v>
      </c>
      <c r="F97" s="137">
        <v>5</v>
      </c>
      <c r="G97" s="136" t="s">
        <v>3665</v>
      </c>
      <c r="H97" s="137" t="s">
        <v>3570</v>
      </c>
      <c r="I97" s="378"/>
      <c r="J97" s="379"/>
    </row>
    <row r="98" spans="1:10" ht="42" customHeight="1">
      <c r="A98" s="356" t="s">
        <v>6402</v>
      </c>
      <c r="B98" s="136" t="s">
        <v>3473</v>
      </c>
      <c r="C98" s="136" t="s">
        <v>6402</v>
      </c>
      <c r="D98" s="296" t="s">
        <v>6403</v>
      </c>
      <c r="E98" s="296" t="s">
        <v>6404</v>
      </c>
      <c r="F98" s="137">
        <v>2</v>
      </c>
      <c r="G98" s="136" t="s">
        <v>3665</v>
      </c>
      <c r="H98" s="137" t="s">
        <v>3570</v>
      </c>
      <c r="I98" s="378"/>
      <c r="J98" s="379"/>
    </row>
    <row r="99" spans="1:10" ht="42" customHeight="1">
      <c r="A99" s="356" t="s">
        <v>6405</v>
      </c>
      <c r="B99" s="136" t="s">
        <v>3480</v>
      </c>
      <c r="C99" s="136" t="s">
        <v>6406</v>
      </c>
      <c r="D99" s="296" t="s">
        <v>6407</v>
      </c>
      <c r="E99" s="296" t="s">
        <v>6408</v>
      </c>
      <c r="F99" s="137">
        <v>2</v>
      </c>
      <c r="G99" s="136" t="s">
        <v>3665</v>
      </c>
      <c r="H99" s="137" t="s">
        <v>3570</v>
      </c>
      <c r="I99" s="378"/>
      <c r="J99" s="379"/>
    </row>
    <row r="100" spans="1:10" ht="42" customHeight="1">
      <c r="A100" s="356" t="s">
        <v>6409</v>
      </c>
      <c r="B100" s="136" t="s">
        <v>3480</v>
      </c>
      <c r="C100" s="136" t="s">
        <v>6406</v>
      </c>
      <c r="D100" s="296" t="s">
        <v>6410</v>
      </c>
      <c r="E100" s="296" t="s">
        <v>6411</v>
      </c>
      <c r="F100" s="137">
        <v>3</v>
      </c>
      <c r="G100" s="136" t="s">
        <v>6405</v>
      </c>
      <c r="H100" s="137" t="s">
        <v>3570</v>
      </c>
      <c r="I100" s="378"/>
      <c r="J100" s="379"/>
    </row>
    <row r="101" spans="1:10" ht="42" customHeight="1">
      <c r="A101" s="356" t="s">
        <v>6412</v>
      </c>
      <c r="B101" s="136" t="s">
        <v>3480</v>
      </c>
      <c r="C101" s="136" t="s">
        <v>6406</v>
      </c>
      <c r="D101" s="296" t="s">
        <v>6413</v>
      </c>
      <c r="E101" s="296" t="s">
        <v>6414</v>
      </c>
      <c r="F101" s="137">
        <v>3</v>
      </c>
      <c r="G101" s="136" t="s">
        <v>6405</v>
      </c>
      <c r="H101" s="137" t="s">
        <v>3570</v>
      </c>
      <c r="I101" s="378"/>
      <c r="J101" s="379"/>
    </row>
    <row r="102" spans="1:10" ht="42" customHeight="1">
      <c r="A102" s="356" t="s">
        <v>3526</v>
      </c>
      <c r="B102" s="136" t="s">
        <v>3480</v>
      </c>
      <c r="C102" s="136" t="s">
        <v>3526</v>
      </c>
      <c r="D102" s="296" t="s">
        <v>6415</v>
      </c>
      <c r="E102" s="296" t="s">
        <v>6416</v>
      </c>
      <c r="F102" s="137">
        <v>4</v>
      </c>
      <c r="G102" s="136" t="s">
        <v>3665</v>
      </c>
      <c r="H102" s="137" t="s">
        <v>3570</v>
      </c>
      <c r="I102" s="378"/>
      <c r="J102" s="379"/>
    </row>
    <row r="103" spans="1:10" ht="42" customHeight="1">
      <c r="A103" s="356" t="s">
        <v>3484</v>
      </c>
      <c r="B103" s="136" t="s">
        <v>3480</v>
      </c>
      <c r="C103" s="136" t="s">
        <v>3484</v>
      </c>
      <c r="D103" s="296" t="s">
        <v>6417</v>
      </c>
      <c r="E103" s="296" t="s">
        <v>6418</v>
      </c>
      <c r="F103" s="137">
        <v>4</v>
      </c>
      <c r="G103" s="136" t="s">
        <v>3665</v>
      </c>
      <c r="H103" s="137" t="s">
        <v>3570</v>
      </c>
      <c r="I103" s="378"/>
      <c r="J103" s="379"/>
    </row>
    <row r="104" spans="1:10" ht="42" customHeight="1">
      <c r="A104" s="356" t="s">
        <v>3527</v>
      </c>
      <c r="B104" s="136" t="s">
        <v>3480</v>
      </c>
      <c r="C104" s="136" t="s">
        <v>3527</v>
      </c>
      <c r="D104" s="296" t="s">
        <v>6419</v>
      </c>
      <c r="E104" s="296" t="s">
        <v>6420</v>
      </c>
      <c r="F104" s="137">
        <v>5</v>
      </c>
      <c r="G104" s="136" t="s">
        <v>3665</v>
      </c>
      <c r="H104" s="137" t="s">
        <v>3570</v>
      </c>
      <c r="I104" s="378"/>
      <c r="J104" s="379"/>
    </row>
    <row r="105" spans="1:10" ht="42" customHeight="1">
      <c r="A105" s="356" t="s">
        <v>3528</v>
      </c>
      <c r="B105" s="136" t="s">
        <v>3480</v>
      </c>
      <c r="C105" s="136" t="s">
        <v>3528</v>
      </c>
      <c r="D105" s="296" t="s">
        <v>6421</v>
      </c>
      <c r="E105" s="296" t="s">
        <v>6422</v>
      </c>
      <c r="F105" s="137">
        <v>5</v>
      </c>
      <c r="G105" s="136" t="s">
        <v>3491</v>
      </c>
      <c r="H105" s="137" t="s">
        <v>3570</v>
      </c>
      <c r="I105" s="378"/>
      <c r="J105" s="379"/>
    </row>
    <row r="106" spans="1:10" ht="42" customHeight="1">
      <c r="A106" s="356" t="s">
        <v>3529</v>
      </c>
      <c r="B106" s="136" t="s">
        <v>3480</v>
      </c>
      <c r="C106" s="136" t="s">
        <v>3529</v>
      </c>
      <c r="D106" s="296" t="s">
        <v>6423</v>
      </c>
      <c r="E106" s="296" t="s">
        <v>6424</v>
      </c>
      <c r="F106" s="137">
        <v>3</v>
      </c>
      <c r="G106" s="136" t="s">
        <v>3665</v>
      </c>
      <c r="H106" s="137" t="s">
        <v>3570</v>
      </c>
      <c r="I106" s="378"/>
      <c r="J106" s="379"/>
    </row>
    <row r="107" spans="1:10" ht="42" customHeight="1">
      <c r="A107" s="356" t="s">
        <v>3530</v>
      </c>
      <c r="B107" s="136" t="s">
        <v>3480</v>
      </c>
      <c r="C107" s="136" t="s">
        <v>3530</v>
      </c>
      <c r="D107" s="296" t="s">
        <v>6425</v>
      </c>
      <c r="E107" s="296" t="s">
        <v>6426</v>
      </c>
      <c r="F107" s="137">
        <v>3</v>
      </c>
      <c r="G107" s="136" t="s">
        <v>3665</v>
      </c>
      <c r="H107" s="137" t="s">
        <v>3570</v>
      </c>
      <c r="I107" s="378"/>
      <c r="J107" s="379"/>
    </row>
    <row r="108" spans="1:10" ht="42" customHeight="1">
      <c r="A108" s="356" t="s">
        <v>3481</v>
      </c>
      <c r="B108" s="136" t="s">
        <v>3480</v>
      </c>
      <c r="C108" s="136" t="s">
        <v>3481</v>
      </c>
      <c r="D108" s="296" t="s">
        <v>6427</v>
      </c>
      <c r="E108" s="296" t="s">
        <v>6428</v>
      </c>
      <c r="F108" s="137">
        <v>1</v>
      </c>
      <c r="G108" s="136" t="s">
        <v>3665</v>
      </c>
      <c r="H108" s="137" t="s">
        <v>3570</v>
      </c>
      <c r="I108" s="378"/>
      <c r="J108" s="379"/>
    </row>
    <row r="109" spans="1:10" ht="42" customHeight="1">
      <c r="A109" s="356" t="s">
        <v>3531</v>
      </c>
      <c r="B109" s="136" t="s">
        <v>3482</v>
      </c>
      <c r="C109" s="136" t="s">
        <v>3531</v>
      </c>
      <c r="D109" s="296" t="s">
        <v>6429</v>
      </c>
      <c r="E109" s="296" t="s">
        <v>6430</v>
      </c>
      <c r="F109" s="137">
        <v>2</v>
      </c>
      <c r="G109" s="136" t="s">
        <v>3665</v>
      </c>
      <c r="H109" s="137" t="s">
        <v>3570</v>
      </c>
      <c r="I109" s="378"/>
      <c r="J109" s="379"/>
    </row>
    <row r="110" spans="1:10" ht="42" customHeight="1">
      <c r="A110" s="356" t="s">
        <v>3532</v>
      </c>
      <c r="B110" s="136" t="s">
        <v>3482</v>
      </c>
      <c r="C110" s="136" t="s">
        <v>3532</v>
      </c>
      <c r="D110" s="296" t="s">
        <v>6272</v>
      </c>
      <c r="E110" s="296" t="s">
        <v>6431</v>
      </c>
      <c r="F110" s="137">
        <v>8</v>
      </c>
      <c r="G110" s="136" t="s">
        <v>3531</v>
      </c>
      <c r="H110" s="137" t="s">
        <v>3570</v>
      </c>
      <c r="I110" s="378"/>
      <c r="J110" s="379"/>
    </row>
    <row r="111" spans="1:10" ht="42" customHeight="1">
      <c r="A111" s="356" t="s">
        <v>3533</v>
      </c>
      <c r="B111" s="136" t="s">
        <v>3482</v>
      </c>
      <c r="C111" s="136" t="s">
        <v>3533</v>
      </c>
      <c r="D111" s="296" t="s">
        <v>6432</v>
      </c>
      <c r="E111" s="296" t="s">
        <v>6433</v>
      </c>
      <c r="F111" s="137">
        <v>3</v>
      </c>
      <c r="G111" s="136" t="s">
        <v>3665</v>
      </c>
      <c r="H111" s="137" t="s">
        <v>3570</v>
      </c>
      <c r="I111" s="378"/>
      <c r="J111" s="379"/>
    </row>
    <row r="112" spans="1:10" ht="42" customHeight="1">
      <c r="A112" s="356" t="s">
        <v>3483</v>
      </c>
      <c r="B112" s="136" t="s">
        <v>3482</v>
      </c>
      <c r="C112" s="136" t="s">
        <v>3483</v>
      </c>
      <c r="D112" s="296" t="s">
        <v>6434</v>
      </c>
      <c r="E112" s="296" t="s">
        <v>6435</v>
      </c>
      <c r="F112" s="137">
        <v>2</v>
      </c>
      <c r="G112" s="136" t="s">
        <v>3665</v>
      </c>
      <c r="H112" s="137" t="s">
        <v>3570</v>
      </c>
      <c r="I112" s="378"/>
      <c r="J112" s="379"/>
    </row>
    <row r="113" spans="1:10" ht="42" customHeight="1">
      <c r="A113" s="356" t="s">
        <v>6436</v>
      </c>
      <c r="B113" s="136" t="s">
        <v>3534</v>
      </c>
      <c r="C113" s="136" t="s">
        <v>6437</v>
      </c>
      <c r="D113" s="296" t="s">
        <v>6438</v>
      </c>
      <c r="E113" s="296" t="s">
        <v>6439</v>
      </c>
      <c r="F113" s="137">
        <v>1.5</v>
      </c>
      <c r="G113" s="136" t="s">
        <v>3665</v>
      </c>
      <c r="H113" s="137" t="s">
        <v>3570</v>
      </c>
      <c r="I113" s="378"/>
      <c r="J113" s="379"/>
    </row>
    <row r="114" spans="1:10" ht="42" customHeight="1">
      <c r="A114" s="356" t="s">
        <v>6440</v>
      </c>
      <c r="B114" s="136" t="s">
        <v>3534</v>
      </c>
      <c r="C114" s="136" t="s">
        <v>6437</v>
      </c>
      <c r="D114" s="296" t="s">
        <v>6441</v>
      </c>
      <c r="E114" s="296" t="s">
        <v>6442</v>
      </c>
      <c r="F114" s="137">
        <v>1.5</v>
      </c>
      <c r="G114" s="136" t="s">
        <v>3665</v>
      </c>
      <c r="H114" s="137" t="s">
        <v>3570</v>
      </c>
      <c r="I114" s="378"/>
      <c r="J114" s="379"/>
    </row>
    <row r="115" spans="1:10" ht="42" customHeight="1">
      <c r="A115" s="356" t="s">
        <v>6443</v>
      </c>
      <c r="B115" s="136" t="s">
        <v>3534</v>
      </c>
      <c r="C115" s="136" t="s">
        <v>6437</v>
      </c>
      <c r="D115" s="296" t="s">
        <v>6444</v>
      </c>
      <c r="E115" s="296" t="s">
        <v>6445</v>
      </c>
      <c r="F115" s="137">
        <v>1.5</v>
      </c>
      <c r="G115" s="136" t="s">
        <v>3665</v>
      </c>
      <c r="H115" s="137" t="s">
        <v>3570</v>
      </c>
      <c r="I115" s="378"/>
      <c r="J115" s="379"/>
    </row>
    <row r="116" spans="1:10" ht="42" customHeight="1">
      <c r="A116" s="356" t="s">
        <v>6446</v>
      </c>
      <c r="B116" s="136" t="s">
        <v>3534</v>
      </c>
      <c r="C116" s="136" t="s">
        <v>6437</v>
      </c>
      <c r="D116" s="296" t="s">
        <v>6447</v>
      </c>
      <c r="E116" s="296" t="s">
        <v>6448</v>
      </c>
      <c r="F116" s="137">
        <v>1.5</v>
      </c>
      <c r="G116" s="136" t="s">
        <v>3665</v>
      </c>
      <c r="H116" s="137" t="s">
        <v>3570</v>
      </c>
      <c r="I116" s="378"/>
      <c r="J116" s="379"/>
    </row>
    <row r="117" spans="1:10" ht="42" customHeight="1">
      <c r="A117" s="356" t="s">
        <v>6449</v>
      </c>
      <c r="B117" s="136" t="s">
        <v>3534</v>
      </c>
      <c r="C117" s="136" t="s">
        <v>6437</v>
      </c>
      <c r="D117" s="296" t="s">
        <v>6450</v>
      </c>
      <c r="E117" s="296" t="s">
        <v>6451</v>
      </c>
      <c r="F117" s="137">
        <v>1</v>
      </c>
      <c r="G117" s="136" t="s">
        <v>3665</v>
      </c>
      <c r="H117" s="137" t="s">
        <v>3570</v>
      </c>
      <c r="I117" s="378"/>
      <c r="J117" s="379"/>
    </row>
    <row r="118" spans="1:10" ht="42" customHeight="1">
      <c r="A118" s="356" t="s">
        <v>6452</v>
      </c>
      <c r="B118" s="136" t="s">
        <v>3534</v>
      </c>
      <c r="C118" s="136" t="s">
        <v>6437</v>
      </c>
      <c r="D118" s="296" t="s">
        <v>6453</v>
      </c>
      <c r="E118" s="296" t="s">
        <v>6454</v>
      </c>
      <c r="F118" s="137">
        <v>1.5</v>
      </c>
      <c r="G118" s="136" t="s">
        <v>3665</v>
      </c>
      <c r="H118" s="137" t="s">
        <v>3570</v>
      </c>
      <c r="I118" s="378"/>
      <c r="J118" s="379"/>
    </row>
    <row r="119" spans="1:10" ht="42" customHeight="1">
      <c r="A119" s="356" t="s">
        <v>6455</v>
      </c>
      <c r="B119" s="136" t="s">
        <v>3534</v>
      </c>
      <c r="C119" s="136" t="s">
        <v>6437</v>
      </c>
      <c r="D119" s="296" t="s">
        <v>6456</v>
      </c>
      <c r="E119" s="296" t="s">
        <v>6457</v>
      </c>
      <c r="F119" s="137">
        <v>1</v>
      </c>
      <c r="G119" s="136" t="s">
        <v>3665</v>
      </c>
      <c r="H119" s="137" t="s">
        <v>3570</v>
      </c>
      <c r="I119" s="378"/>
      <c r="J119" s="379"/>
    </row>
    <row r="120" spans="1:10" ht="42" customHeight="1">
      <c r="A120" s="356" t="s">
        <v>6458</v>
      </c>
      <c r="B120" s="136" t="s">
        <v>3534</v>
      </c>
      <c r="C120" s="136" t="s">
        <v>6437</v>
      </c>
      <c r="D120" s="296" t="s">
        <v>6459</v>
      </c>
      <c r="E120" s="296" t="s">
        <v>6460</v>
      </c>
      <c r="F120" s="137">
        <v>1</v>
      </c>
      <c r="G120" s="136" t="s">
        <v>3665</v>
      </c>
      <c r="H120" s="137" t="s">
        <v>3570</v>
      </c>
      <c r="I120" s="378"/>
      <c r="J120" s="379"/>
    </row>
    <row r="121" spans="1:10" ht="42" customHeight="1">
      <c r="A121" s="356" t="s">
        <v>6461</v>
      </c>
      <c r="B121" s="136" t="s">
        <v>3534</v>
      </c>
      <c r="C121" s="136" t="s">
        <v>6437</v>
      </c>
      <c r="D121" s="296" t="s">
        <v>6462</v>
      </c>
      <c r="E121" s="296" t="s">
        <v>6463</v>
      </c>
      <c r="F121" s="137">
        <v>2.5</v>
      </c>
      <c r="G121" s="136" t="s">
        <v>6289</v>
      </c>
      <c r="H121" s="137" t="s">
        <v>3570</v>
      </c>
      <c r="I121" s="378"/>
      <c r="J121" s="379"/>
    </row>
    <row r="122" spans="1:10" ht="42" customHeight="1">
      <c r="A122" s="356" t="s">
        <v>6464</v>
      </c>
      <c r="B122" s="136" t="s">
        <v>3534</v>
      </c>
      <c r="C122" s="136" t="s">
        <v>6437</v>
      </c>
      <c r="D122" s="296" t="s">
        <v>6465</v>
      </c>
      <c r="E122" s="296" t="s">
        <v>6466</v>
      </c>
      <c r="F122" s="137">
        <v>2</v>
      </c>
      <c r="G122" s="136" t="s">
        <v>6393</v>
      </c>
      <c r="H122" s="137" t="s">
        <v>3570</v>
      </c>
      <c r="I122" s="378"/>
      <c r="J122" s="379"/>
    </row>
    <row r="123" spans="1:10" ht="42" customHeight="1">
      <c r="A123" s="356" t="s">
        <v>6467</v>
      </c>
      <c r="B123" s="136" t="s">
        <v>3534</v>
      </c>
      <c r="C123" s="136" t="s">
        <v>6437</v>
      </c>
      <c r="D123" s="296" t="s">
        <v>6468</v>
      </c>
      <c r="E123" s="296" t="s">
        <v>6469</v>
      </c>
      <c r="F123" s="137">
        <v>1</v>
      </c>
      <c r="G123" s="136" t="s">
        <v>3665</v>
      </c>
      <c r="H123" s="137" t="s">
        <v>3570</v>
      </c>
      <c r="I123" s="378"/>
      <c r="J123" s="379"/>
    </row>
    <row r="124" spans="1:10" ht="42" customHeight="1">
      <c r="A124" s="356" t="s">
        <v>3535</v>
      </c>
      <c r="B124" s="136" t="s">
        <v>3534</v>
      </c>
      <c r="C124" s="136" t="s">
        <v>3535</v>
      </c>
      <c r="D124" s="296" t="s">
        <v>6470</v>
      </c>
      <c r="E124" s="296" t="s">
        <v>6471</v>
      </c>
      <c r="F124" s="137">
        <v>2</v>
      </c>
      <c r="G124" s="136" t="s">
        <v>3665</v>
      </c>
      <c r="H124" s="137" t="s">
        <v>3570</v>
      </c>
      <c r="I124" s="378"/>
      <c r="J124" s="379"/>
    </row>
    <row r="125" spans="1:10" ht="42" customHeight="1">
      <c r="A125" s="356" t="s">
        <v>6472</v>
      </c>
      <c r="B125" s="136" t="s">
        <v>3534</v>
      </c>
      <c r="C125" s="136" t="s">
        <v>6473</v>
      </c>
      <c r="D125" s="296" t="s">
        <v>6474</v>
      </c>
      <c r="E125" s="296" t="s">
        <v>6475</v>
      </c>
      <c r="F125" s="137">
        <v>2</v>
      </c>
      <c r="G125" s="136" t="s">
        <v>6315</v>
      </c>
      <c r="H125" s="137" t="s">
        <v>3570</v>
      </c>
      <c r="I125" s="378"/>
      <c r="J125" s="379"/>
    </row>
    <row r="126" spans="1:10" ht="42" customHeight="1">
      <c r="A126" s="356" t="s">
        <v>6476</v>
      </c>
      <c r="B126" s="136" t="s">
        <v>3534</v>
      </c>
      <c r="C126" s="136" t="s">
        <v>6473</v>
      </c>
      <c r="D126" s="296" t="s">
        <v>6477</v>
      </c>
      <c r="E126" s="296" t="s">
        <v>6478</v>
      </c>
      <c r="F126" s="137">
        <v>2</v>
      </c>
      <c r="G126" s="136" t="s">
        <v>6319</v>
      </c>
      <c r="H126" s="137" t="s">
        <v>3570</v>
      </c>
      <c r="I126" s="378"/>
      <c r="J126" s="379"/>
    </row>
    <row r="127" spans="1:10" ht="42" customHeight="1">
      <c r="A127" s="356" t="s">
        <v>6479</v>
      </c>
      <c r="B127" s="136" t="s">
        <v>6480</v>
      </c>
      <c r="C127" s="136" t="s">
        <v>6481</v>
      </c>
      <c r="D127" s="296" t="s">
        <v>6482</v>
      </c>
      <c r="E127" s="296"/>
      <c r="F127" s="137">
        <v>1.5</v>
      </c>
      <c r="G127" s="136" t="s">
        <v>3665</v>
      </c>
      <c r="H127" s="137" t="s">
        <v>3570</v>
      </c>
      <c r="I127" s="378"/>
      <c r="J127" s="379"/>
    </row>
    <row r="128" spans="1:10" ht="42" customHeight="1">
      <c r="A128" s="356" t="s">
        <v>6483</v>
      </c>
      <c r="B128" s="136" t="s">
        <v>6480</v>
      </c>
      <c r="C128" s="136" t="s">
        <v>6481</v>
      </c>
      <c r="D128" s="296" t="s">
        <v>6484</v>
      </c>
      <c r="E128" s="296"/>
      <c r="F128" s="137">
        <v>1.5</v>
      </c>
      <c r="G128" s="136" t="s">
        <v>3665</v>
      </c>
      <c r="H128" s="137" t="s">
        <v>3570</v>
      </c>
      <c r="I128" s="378"/>
      <c r="J128" s="379"/>
    </row>
    <row r="129" spans="1:10" ht="42" customHeight="1">
      <c r="A129" s="356" t="s">
        <v>6485</v>
      </c>
      <c r="B129" s="136" t="s">
        <v>6480</v>
      </c>
      <c r="C129" s="136" t="s">
        <v>6481</v>
      </c>
      <c r="D129" s="296" t="s">
        <v>6486</v>
      </c>
      <c r="E129" s="296"/>
      <c r="F129" s="137">
        <v>1</v>
      </c>
      <c r="G129" s="136" t="s">
        <v>3665</v>
      </c>
      <c r="H129" s="137" t="s">
        <v>3570</v>
      </c>
      <c r="I129" s="378"/>
      <c r="J129" s="379"/>
    </row>
    <row r="130" spans="1:10" ht="42" customHeight="1">
      <c r="A130" s="356" t="s">
        <v>6487</v>
      </c>
      <c r="B130" s="136" t="s">
        <v>6480</v>
      </c>
      <c r="C130" s="136" t="s">
        <v>6481</v>
      </c>
      <c r="D130" s="296" t="s">
        <v>6488</v>
      </c>
      <c r="E130" s="296"/>
      <c r="F130" s="137">
        <v>1.5</v>
      </c>
      <c r="G130" s="136" t="s">
        <v>3665</v>
      </c>
      <c r="H130" s="137" t="s">
        <v>3570</v>
      </c>
      <c r="I130" s="378"/>
      <c r="J130" s="379"/>
    </row>
    <row r="131" spans="1:10" ht="42" customHeight="1">
      <c r="A131" s="356" t="s">
        <v>6489</v>
      </c>
      <c r="B131" s="136" t="s">
        <v>6480</v>
      </c>
      <c r="C131" s="136" t="s">
        <v>6481</v>
      </c>
      <c r="D131" s="296" t="s">
        <v>6490</v>
      </c>
      <c r="E131" s="296"/>
      <c r="F131" s="137">
        <v>1.5</v>
      </c>
      <c r="G131" s="136" t="s">
        <v>3665</v>
      </c>
      <c r="H131" s="137" t="s">
        <v>3570</v>
      </c>
      <c r="I131" s="378"/>
      <c r="J131" s="379"/>
    </row>
    <row r="132" spans="1:10" ht="42" customHeight="1">
      <c r="A132" s="356" t="s">
        <v>6491</v>
      </c>
      <c r="B132" s="136" t="s">
        <v>6480</v>
      </c>
      <c r="C132" s="136" t="s">
        <v>6481</v>
      </c>
      <c r="D132" s="296" t="s">
        <v>6492</v>
      </c>
      <c r="E132" s="296"/>
      <c r="F132" s="137">
        <v>2</v>
      </c>
      <c r="G132" s="136" t="s">
        <v>3665</v>
      </c>
      <c r="H132" s="137" t="s">
        <v>3570</v>
      </c>
      <c r="I132" s="378"/>
      <c r="J132" s="379"/>
    </row>
    <row r="133" spans="1:10" ht="42" customHeight="1">
      <c r="A133" s="356" t="s">
        <v>6493</v>
      </c>
      <c r="B133" s="136" t="s">
        <v>6480</v>
      </c>
      <c r="C133" s="136" t="s">
        <v>6481</v>
      </c>
      <c r="D133" s="296" t="s">
        <v>6494</v>
      </c>
      <c r="E133" s="296"/>
      <c r="F133" s="137">
        <v>2</v>
      </c>
      <c r="G133" s="136" t="s">
        <v>3665</v>
      </c>
      <c r="H133" s="137" t="s">
        <v>3570</v>
      </c>
      <c r="I133" s="378"/>
      <c r="J133" s="379"/>
    </row>
    <row r="134" spans="1:10" ht="42" customHeight="1">
      <c r="A134" s="356" t="s">
        <v>6495</v>
      </c>
      <c r="B134" s="136" t="s">
        <v>6480</v>
      </c>
      <c r="C134" s="136" t="s">
        <v>6481</v>
      </c>
      <c r="D134" s="296" t="s">
        <v>6496</v>
      </c>
      <c r="E134" s="296"/>
      <c r="F134" s="137">
        <v>2</v>
      </c>
      <c r="G134" s="136" t="s">
        <v>3665</v>
      </c>
      <c r="H134" s="137" t="s">
        <v>3570</v>
      </c>
      <c r="I134" s="378"/>
      <c r="J134" s="379"/>
    </row>
    <row r="135" spans="1:10" ht="42" customHeight="1">
      <c r="A135" s="356" t="s">
        <v>6497</v>
      </c>
      <c r="B135" s="136" t="s">
        <v>6480</v>
      </c>
      <c r="C135" s="136" t="s">
        <v>6481</v>
      </c>
      <c r="D135" s="296" t="s">
        <v>6498</v>
      </c>
      <c r="E135" s="296"/>
      <c r="F135" s="137">
        <v>2</v>
      </c>
      <c r="G135" s="136" t="s">
        <v>3665</v>
      </c>
      <c r="H135" s="137" t="s">
        <v>3570</v>
      </c>
      <c r="I135" s="378"/>
      <c r="J135" s="379"/>
    </row>
    <row r="136" spans="1:10" ht="42" customHeight="1">
      <c r="A136" s="356" t="s">
        <v>6499</v>
      </c>
      <c r="B136" s="136" t="s">
        <v>6480</v>
      </c>
      <c r="C136" s="136" t="s">
        <v>6481</v>
      </c>
      <c r="D136" s="296" t="s">
        <v>6500</v>
      </c>
      <c r="E136" s="296"/>
      <c r="F136" s="137">
        <v>2</v>
      </c>
      <c r="G136" s="136" t="s">
        <v>3665</v>
      </c>
      <c r="H136" s="137" t="s">
        <v>3570</v>
      </c>
      <c r="I136" s="378"/>
      <c r="J136" s="379"/>
    </row>
    <row r="137" spans="1:10" ht="42" customHeight="1">
      <c r="A137" s="356" t="s">
        <v>6501</v>
      </c>
      <c r="B137" s="136" t="s">
        <v>6480</v>
      </c>
      <c r="C137" s="136" t="s">
        <v>6481</v>
      </c>
      <c r="D137" s="296" t="s">
        <v>6502</v>
      </c>
      <c r="E137" s="296"/>
      <c r="F137" s="137">
        <v>1.5</v>
      </c>
      <c r="G137" s="136" t="s">
        <v>3665</v>
      </c>
      <c r="H137" s="137" t="s">
        <v>3570</v>
      </c>
      <c r="I137" s="378"/>
      <c r="J137" s="379"/>
    </row>
    <row r="138" spans="1:10" ht="42" customHeight="1">
      <c r="A138" s="356" t="s">
        <v>6503</v>
      </c>
      <c r="B138" s="136" t="s">
        <v>6480</v>
      </c>
      <c r="C138" s="136" t="s">
        <v>6481</v>
      </c>
      <c r="D138" s="296" t="s">
        <v>6504</v>
      </c>
      <c r="E138" s="296"/>
      <c r="F138" s="137">
        <v>1.5</v>
      </c>
      <c r="G138" s="136" t="s">
        <v>3665</v>
      </c>
      <c r="H138" s="137" t="s">
        <v>3570</v>
      </c>
      <c r="I138" s="378"/>
      <c r="J138" s="379"/>
    </row>
    <row r="139" spans="1:10" ht="42" customHeight="1">
      <c r="A139" s="356" t="s">
        <v>6505</v>
      </c>
      <c r="B139" s="136" t="s">
        <v>6480</v>
      </c>
      <c r="C139" s="136" t="s">
        <v>6481</v>
      </c>
      <c r="D139" s="296" t="s">
        <v>6506</v>
      </c>
      <c r="E139" s="296"/>
      <c r="F139" s="137">
        <v>2</v>
      </c>
      <c r="G139" s="136" t="s">
        <v>3665</v>
      </c>
      <c r="H139" s="137" t="s">
        <v>3570</v>
      </c>
      <c r="I139" s="378"/>
      <c r="J139" s="379"/>
    </row>
    <row r="140" spans="1:10" ht="42" customHeight="1">
      <c r="A140" s="356" t="s">
        <v>6507</v>
      </c>
      <c r="B140" s="136" t="s">
        <v>6480</v>
      </c>
      <c r="C140" s="136" t="s">
        <v>6481</v>
      </c>
      <c r="D140" s="296" t="s">
        <v>6508</v>
      </c>
      <c r="E140" s="296"/>
      <c r="F140" s="137">
        <v>2</v>
      </c>
      <c r="G140" s="136" t="s">
        <v>3665</v>
      </c>
      <c r="H140" s="137" t="s">
        <v>3570</v>
      </c>
      <c r="I140" s="378"/>
      <c r="J140" s="379"/>
    </row>
    <row r="141" spans="1:10" ht="42" customHeight="1">
      <c r="A141" s="356" t="s">
        <v>6509</v>
      </c>
      <c r="B141" s="136" t="s">
        <v>6480</v>
      </c>
      <c r="C141" s="136" t="s">
        <v>6481</v>
      </c>
      <c r="D141" s="296" t="s">
        <v>6510</v>
      </c>
      <c r="E141" s="296"/>
      <c r="F141" s="137">
        <v>1.5</v>
      </c>
      <c r="G141" s="136" t="s">
        <v>3665</v>
      </c>
      <c r="H141" s="137" t="s">
        <v>3570</v>
      </c>
      <c r="I141" s="378"/>
      <c r="J141" s="379"/>
    </row>
    <row r="142" spans="1:10" ht="42" customHeight="1">
      <c r="A142" s="356" t="s">
        <v>6511</v>
      </c>
      <c r="B142" s="136" t="s">
        <v>6480</v>
      </c>
      <c r="C142" s="136" t="s">
        <v>6481</v>
      </c>
      <c r="D142" s="296" t="s">
        <v>6512</v>
      </c>
      <c r="E142" s="296"/>
      <c r="F142" s="137">
        <v>2</v>
      </c>
      <c r="G142" s="136" t="s">
        <v>3665</v>
      </c>
      <c r="H142" s="137" t="s">
        <v>3570</v>
      </c>
      <c r="I142" s="378"/>
      <c r="J142" s="379"/>
    </row>
    <row r="143" spans="1:10" ht="42" customHeight="1">
      <c r="A143" s="356" t="s">
        <v>6513</v>
      </c>
      <c r="B143" s="136" t="s">
        <v>6480</v>
      </c>
      <c r="C143" s="136" t="s">
        <v>6481</v>
      </c>
      <c r="D143" s="296" t="s">
        <v>6514</v>
      </c>
      <c r="E143" s="296"/>
      <c r="F143" s="137">
        <v>2</v>
      </c>
      <c r="G143" s="136" t="s">
        <v>3665</v>
      </c>
      <c r="H143" s="137" t="s">
        <v>3570</v>
      </c>
      <c r="I143" s="378"/>
      <c r="J143" s="379"/>
    </row>
    <row r="144" spans="1:10" ht="42" customHeight="1">
      <c r="A144" s="356" t="s">
        <v>6515</v>
      </c>
      <c r="B144" s="136" t="s">
        <v>6480</v>
      </c>
      <c r="C144" s="136" t="s">
        <v>6481</v>
      </c>
      <c r="D144" s="296" t="s">
        <v>6516</v>
      </c>
      <c r="E144" s="296"/>
      <c r="F144" s="137">
        <v>1</v>
      </c>
      <c r="G144" s="136" t="s">
        <v>3665</v>
      </c>
      <c r="H144" s="137" t="s">
        <v>3570</v>
      </c>
      <c r="I144" s="378"/>
      <c r="J144" s="379"/>
    </row>
    <row r="145" spans="1:10" ht="42" customHeight="1">
      <c r="A145" s="356" t="s">
        <v>6517</v>
      </c>
      <c r="B145" s="136" t="s">
        <v>6480</v>
      </c>
      <c r="C145" s="136" t="s">
        <v>6481</v>
      </c>
      <c r="D145" s="296" t="s">
        <v>6518</v>
      </c>
      <c r="E145" s="296"/>
      <c r="F145" s="137">
        <v>1</v>
      </c>
      <c r="G145" s="136" t="s">
        <v>3665</v>
      </c>
      <c r="H145" s="137" t="s">
        <v>3570</v>
      </c>
      <c r="I145" s="378"/>
      <c r="J145" s="379"/>
    </row>
    <row r="146" spans="1:10" ht="42" customHeight="1">
      <c r="A146" s="356" t="s">
        <v>6519</v>
      </c>
      <c r="B146" s="136" t="s">
        <v>6480</v>
      </c>
      <c r="C146" s="136" t="s">
        <v>6481</v>
      </c>
      <c r="D146" s="296" t="s">
        <v>6520</v>
      </c>
      <c r="E146" s="296"/>
      <c r="F146" s="137">
        <v>3</v>
      </c>
      <c r="G146" s="136" t="s">
        <v>3665</v>
      </c>
      <c r="H146" s="137" t="s">
        <v>3570</v>
      </c>
      <c r="I146" s="378"/>
      <c r="J146" s="379"/>
    </row>
    <row r="147" spans="1:10" ht="42" customHeight="1">
      <c r="A147" s="356" t="s">
        <v>6521</v>
      </c>
      <c r="B147" s="136" t="s">
        <v>6480</v>
      </c>
      <c r="C147" s="136" t="s">
        <v>6481</v>
      </c>
      <c r="D147" s="296" t="s">
        <v>6522</v>
      </c>
      <c r="E147" s="296"/>
      <c r="F147" s="137">
        <v>4</v>
      </c>
      <c r="G147" s="136" t="s">
        <v>3665</v>
      </c>
      <c r="H147" s="137" t="s">
        <v>3570</v>
      </c>
      <c r="I147" s="378"/>
      <c r="J147" s="379"/>
    </row>
    <row r="148" spans="1:10" ht="42" customHeight="1">
      <c r="A148" s="356" t="s">
        <v>6523</v>
      </c>
      <c r="B148" s="136" t="s">
        <v>6480</v>
      </c>
      <c r="C148" s="136" t="s">
        <v>6481</v>
      </c>
      <c r="D148" s="296" t="s">
        <v>6524</v>
      </c>
      <c r="E148" s="296"/>
      <c r="F148" s="137">
        <v>4</v>
      </c>
      <c r="G148" s="136" t="s">
        <v>3665</v>
      </c>
      <c r="H148" s="137" t="s">
        <v>3570</v>
      </c>
      <c r="I148" s="378"/>
      <c r="J148" s="379"/>
    </row>
    <row r="149" spans="1:10" ht="42" customHeight="1">
      <c r="A149" s="356" t="s">
        <v>6525</v>
      </c>
      <c r="B149" s="136" t="s">
        <v>6480</v>
      </c>
      <c r="C149" s="136" t="s">
        <v>6481</v>
      </c>
      <c r="D149" s="296" t="s">
        <v>6526</v>
      </c>
      <c r="E149" s="296"/>
      <c r="F149" s="137">
        <v>1.5</v>
      </c>
      <c r="G149" s="136" t="s">
        <v>3665</v>
      </c>
      <c r="H149" s="137" t="s">
        <v>3570</v>
      </c>
      <c r="I149" s="378"/>
      <c r="J149" s="379"/>
    </row>
    <row r="150" spans="1:10" ht="42" customHeight="1">
      <c r="A150" s="356" t="s">
        <v>6527</v>
      </c>
      <c r="B150" s="136" t="s">
        <v>6480</v>
      </c>
      <c r="C150" s="136" t="s">
        <v>6481</v>
      </c>
      <c r="D150" s="296" t="s">
        <v>6528</v>
      </c>
      <c r="E150" s="296"/>
      <c r="F150" s="137">
        <v>5</v>
      </c>
      <c r="G150" s="136" t="s">
        <v>3665</v>
      </c>
      <c r="H150" s="137" t="s">
        <v>3570</v>
      </c>
      <c r="I150" s="378"/>
      <c r="J150" s="379"/>
    </row>
    <row r="151" spans="1:10" ht="42" customHeight="1">
      <c r="A151" s="356" t="s">
        <v>6529</v>
      </c>
      <c r="B151" s="136" t="s">
        <v>6480</v>
      </c>
      <c r="C151" s="136" t="s">
        <v>6481</v>
      </c>
      <c r="D151" s="296" t="s">
        <v>6530</v>
      </c>
      <c r="E151" s="296"/>
      <c r="F151" s="137">
        <v>2</v>
      </c>
      <c r="G151" s="136" t="s">
        <v>3665</v>
      </c>
      <c r="H151" s="137" t="s">
        <v>3570</v>
      </c>
      <c r="I151" s="378"/>
      <c r="J151" s="379"/>
    </row>
    <row r="152" spans="1:10" ht="42" customHeight="1">
      <c r="A152" s="356" t="s">
        <v>6531</v>
      </c>
      <c r="B152" s="136" t="s">
        <v>6480</v>
      </c>
      <c r="C152" s="136" t="s">
        <v>6481</v>
      </c>
      <c r="D152" s="296" t="s">
        <v>6532</v>
      </c>
      <c r="E152" s="296"/>
      <c r="F152" s="137">
        <v>3</v>
      </c>
      <c r="G152" s="136" t="s">
        <v>3665</v>
      </c>
      <c r="H152" s="137" t="s">
        <v>3570</v>
      </c>
      <c r="I152" s="378"/>
      <c r="J152" s="379"/>
    </row>
    <row r="153" spans="1:10" ht="42" customHeight="1">
      <c r="A153" s="356" t="s">
        <v>6533</v>
      </c>
      <c r="B153" s="136" t="s">
        <v>6480</v>
      </c>
      <c r="C153" s="136" t="s">
        <v>6481</v>
      </c>
      <c r="D153" s="296" t="s">
        <v>6534</v>
      </c>
      <c r="E153" s="296"/>
      <c r="F153" s="137">
        <v>2</v>
      </c>
      <c r="G153" s="136" t="s">
        <v>3665</v>
      </c>
      <c r="H153" s="137" t="s">
        <v>3570</v>
      </c>
      <c r="I153" s="378"/>
      <c r="J153" s="379"/>
    </row>
    <row r="154" spans="1:10" ht="42" customHeight="1">
      <c r="A154" s="356" t="s">
        <v>6535</v>
      </c>
      <c r="B154" s="136" t="s">
        <v>6480</v>
      </c>
      <c r="C154" s="136" t="s">
        <v>6536</v>
      </c>
      <c r="D154" s="296" t="s">
        <v>6537</v>
      </c>
      <c r="E154" s="296"/>
      <c r="F154" s="137">
        <v>3</v>
      </c>
      <c r="G154" s="136" t="s">
        <v>3665</v>
      </c>
      <c r="H154" s="137" t="s">
        <v>3570</v>
      </c>
      <c r="I154" s="378"/>
      <c r="J154" s="379"/>
    </row>
    <row r="155" spans="1:10" ht="42" customHeight="1">
      <c r="A155" s="356" t="s">
        <v>6538</v>
      </c>
      <c r="B155" s="136" t="s">
        <v>6480</v>
      </c>
      <c r="C155" s="136" t="s">
        <v>6536</v>
      </c>
      <c r="D155" s="296" t="s">
        <v>6539</v>
      </c>
      <c r="E155" s="296"/>
      <c r="F155" s="137">
        <v>1.5</v>
      </c>
      <c r="G155" s="136" t="s">
        <v>3665</v>
      </c>
      <c r="H155" s="137" t="s">
        <v>3570</v>
      </c>
      <c r="I155" s="378"/>
      <c r="J155" s="379"/>
    </row>
    <row r="156" spans="1:10" ht="42" customHeight="1">
      <c r="A156" s="356" t="s">
        <v>6540</v>
      </c>
      <c r="B156" s="136" t="s">
        <v>6480</v>
      </c>
      <c r="C156" s="136" t="s">
        <v>6536</v>
      </c>
      <c r="D156" s="296" t="s">
        <v>6541</v>
      </c>
      <c r="E156" s="296"/>
      <c r="F156" s="137">
        <v>1.5</v>
      </c>
      <c r="G156" s="136" t="s">
        <v>3665</v>
      </c>
      <c r="H156" s="137" t="s">
        <v>3570</v>
      </c>
      <c r="I156" s="378"/>
      <c r="J156" s="379"/>
    </row>
    <row r="157" spans="1:10" ht="42" customHeight="1">
      <c r="A157" s="356" t="s">
        <v>6542</v>
      </c>
      <c r="B157" s="136" t="s">
        <v>6480</v>
      </c>
      <c r="C157" s="136" t="s">
        <v>6536</v>
      </c>
      <c r="D157" s="296" t="s">
        <v>6543</v>
      </c>
      <c r="E157" s="296"/>
      <c r="F157" s="137">
        <v>1.5</v>
      </c>
      <c r="G157" s="136" t="s">
        <v>3665</v>
      </c>
      <c r="H157" s="137" t="s">
        <v>3570</v>
      </c>
      <c r="I157" s="378"/>
      <c r="J157" s="379"/>
    </row>
    <row r="158" spans="1:10" ht="42" customHeight="1">
      <c r="A158" s="356" t="s">
        <v>6544</v>
      </c>
      <c r="B158" s="136" t="s">
        <v>6480</v>
      </c>
      <c r="C158" s="136" t="s">
        <v>6536</v>
      </c>
      <c r="D158" s="296" t="s">
        <v>6545</v>
      </c>
      <c r="E158" s="296"/>
      <c r="F158" s="137">
        <v>1</v>
      </c>
      <c r="G158" s="136" t="s">
        <v>3665</v>
      </c>
      <c r="H158" s="137" t="s">
        <v>3570</v>
      </c>
      <c r="I158" s="378"/>
      <c r="J158" s="379"/>
    </row>
    <row r="159" spans="1:10" ht="42" customHeight="1">
      <c r="A159" s="356" t="s">
        <v>6546</v>
      </c>
      <c r="B159" s="136" t="s">
        <v>6480</v>
      </c>
      <c r="C159" s="136" t="s">
        <v>6536</v>
      </c>
      <c r="D159" s="296" t="s">
        <v>6547</v>
      </c>
      <c r="E159" s="296"/>
      <c r="F159" s="137">
        <v>1</v>
      </c>
      <c r="G159" s="136" t="s">
        <v>3665</v>
      </c>
      <c r="H159" s="137" t="s">
        <v>3570</v>
      </c>
      <c r="I159" s="378"/>
      <c r="J159" s="379"/>
    </row>
    <row r="160" spans="1:10" ht="42" customHeight="1">
      <c r="A160" s="356" t="s">
        <v>6548</v>
      </c>
      <c r="B160" s="136" t="s">
        <v>6480</v>
      </c>
      <c r="C160" s="136" t="s">
        <v>6536</v>
      </c>
      <c r="D160" s="296" t="s">
        <v>6549</v>
      </c>
      <c r="E160" s="296"/>
      <c r="F160" s="137">
        <v>1</v>
      </c>
      <c r="G160" s="136" t="s">
        <v>3665</v>
      </c>
      <c r="H160" s="137" t="s">
        <v>3570</v>
      </c>
      <c r="I160" s="378"/>
      <c r="J160" s="379"/>
    </row>
    <row r="161" spans="1:10" ht="42" customHeight="1">
      <c r="A161" s="356" t="s">
        <v>6550</v>
      </c>
      <c r="B161" s="136" t="s">
        <v>6480</v>
      </c>
      <c r="C161" s="136" t="s">
        <v>6536</v>
      </c>
      <c r="D161" s="296" t="s">
        <v>6551</v>
      </c>
      <c r="E161" s="296"/>
      <c r="F161" s="137">
        <v>2</v>
      </c>
      <c r="G161" s="136" t="s">
        <v>3665</v>
      </c>
      <c r="H161" s="137" t="s">
        <v>3570</v>
      </c>
      <c r="I161" s="378"/>
      <c r="J161" s="379"/>
    </row>
    <row r="162" spans="1:10" ht="42" customHeight="1">
      <c r="A162" s="356" t="s">
        <v>6552</v>
      </c>
      <c r="B162" s="136" t="s">
        <v>6480</v>
      </c>
      <c r="C162" s="136" t="s">
        <v>6536</v>
      </c>
      <c r="D162" s="296" t="s">
        <v>6553</v>
      </c>
      <c r="E162" s="296"/>
      <c r="F162" s="137">
        <v>9</v>
      </c>
      <c r="G162" s="136" t="s">
        <v>3665</v>
      </c>
      <c r="H162" s="137" t="s">
        <v>3570</v>
      </c>
      <c r="I162" s="378"/>
      <c r="J162" s="379"/>
    </row>
    <row r="163" spans="1:10" ht="42" customHeight="1">
      <c r="A163" s="356" t="s">
        <v>6554</v>
      </c>
      <c r="B163" s="136" t="s">
        <v>6480</v>
      </c>
      <c r="C163" s="136" t="s">
        <v>6536</v>
      </c>
      <c r="D163" s="296" t="s">
        <v>6555</v>
      </c>
      <c r="E163" s="296"/>
      <c r="F163" s="137">
        <v>7</v>
      </c>
      <c r="G163" s="136" t="s">
        <v>3665</v>
      </c>
      <c r="H163" s="137" t="s">
        <v>3570</v>
      </c>
      <c r="I163" s="378"/>
      <c r="J163" s="379"/>
    </row>
    <row r="164" spans="1:10" ht="42" customHeight="1">
      <c r="A164" s="356" t="s">
        <v>6556</v>
      </c>
      <c r="B164" s="136" t="s">
        <v>6480</v>
      </c>
      <c r="C164" s="136" t="s">
        <v>6536</v>
      </c>
      <c r="D164" s="296" t="s">
        <v>6557</v>
      </c>
      <c r="E164" s="296"/>
      <c r="F164" s="137">
        <v>11</v>
      </c>
      <c r="G164" s="136" t="s">
        <v>3665</v>
      </c>
      <c r="H164" s="137" t="s">
        <v>3570</v>
      </c>
      <c r="I164" s="378"/>
      <c r="J164" s="379"/>
    </row>
    <row r="165" spans="1:10" ht="42" customHeight="1">
      <c r="A165" s="356" t="s">
        <v>6558</v>
      </c>
      <c r="B165" s="136" t="s">
        <v>6480</v>
      </c>
      <c r="C165" s="136" t="s">
        <v>6536</v>
      </c>
      <c r="D165" s="296" t="s">
        <v>6559</v>
      </c>
      <c r="E165" s="296"/>
      <c r="F165" s="137">
        <v>5</v>
      </c>
      <c r="G165" s="136" t="s">
        <v>3665</v>
      </c>
      <c r="H165" s="137" t="s">
        <v>3570</v>
      </c>
      <c r="I165" s="378"/>
      <c r="J165" s="379"/>
    </row>
    <row r="166" spans="1:10" ht="42" customHeight="1">
      <c r="A166" s="356" t="s">
        <v>6560</v>
      </c>
      <c r="B166" s="136" t="s">
        <v>6480</v>
      </c>
      <c r="C166" s="136" t="s">
        <v>6536</v>
      </c>
      <c r="D166" s="296" t="s">
        <v>6561</v>
      </c>
      <c r="E166" s="296"/>
      <c r="F166" s="137">
        <v>6</v>
      </c>
      <c r="G166" s="136" t="s">
        <v>3665</v>
      </c>
      <c r="H166" s="137" t="s">
        <v>3570</v>
      </c>
      <c r="I166" s="378"/>
      <c r="J166" s="379"/>
    </row>
    <row r="167" spans="1:10" ht="42" customHeight="1">
      <c r="A167" s="356" t="s">
        <v>6562</v>
      </c>
      <c r="B167" s="136" t="s">
        <v>6480</v>
      </c>
      <c r="C167" s="136" t="s">
        <v>6536</v>
      </c>
      <c r="D167" s="296" t="s">
        <v>6563</v>
      </c>
      <c r="E167" s="296"/>
      <c r="F167" s="137">
        <v>4</v>
      </c>
      <c r="G167" s="136" t="s">
        <v>3665</v>
      </c>
      <c r="H167" s="137" t="s">
        <v>3570</v>
      </c>
      <c r="I167" s="378"/>
      <c r="J167" s="379"/>
    </row>
    <row r="168" spans="1:10" ht="42" customHeight="1">
      <c r="A168" s="356" t="s">
        <v>6564</v>
      </c>
      <c r="B168" s="136" t="s">
        <v>6480</v>
      </c>
      <c r="C168" s="136" t="s">
        <v>6536</v>
      </c>
      <c r="D168" s="296" t="s">
        <v>6565</v>
      </c>
      <c r="E168" s="296"/>
      <c r="F168" s="137">
        <v>4</v>
      </c>
      <c r="G168" s="136" t="s">
        <v>3665</v>
      </c>
      <c r="H168" s="137" t="s">
        <v>3570</v>
      </c>
      <c r="I168" s="378"/>
      <c r="J168" s="379"/>
    </row>
    <row r="169" spans="1:10" ht="42" customHeight="1">
      <c r="A169" s="356" t="s">
        <v>6566</v>
      </c>
      <c r="B169" s="136" t="s">
        <v>6480</v>
      </c>
      <c r="C169" s="136" t="s">
        <v>6536</v>
      </c>
      <c r="D169" s="296" t="s">
        <v>6567</v>
      </c>
      <c r="E169" s="296"/>
      <c r="F169" s="137">
        <v>3.5</v>
      </c>
      <c r="G169" s="136" t="s">
        <v>3665</v>
      </c>
      <c r="H169" s="137" t="s">
        <v>3570</v>
      </c>
      <c r="I169" s="378"/>
      <c r="J169" s="379"/>
    </row>
    <row r="170" spans="1:10" ht="42" customHeight="1">
      <c r="A170" s="356" t="s">
        <v>6568</v>
      </c>
      <c r="B170" s="136" t="s">
        <v>6480</v>
      </c>
      <c r="C170" s="136" t="s">
        <v>6536</v>
      </c>
      <c r="D170" s="296" t="s">
        <v>6569</v>
      </c>
      <c r="E170" s="296"/>
      <c r="F170" s="137">
        <v>2.5</v>
      </c>
      <c r="G170" s="136" t="s">
        <v>3665</v>
      </c>
      <c r="H170" s="137" t="s">
        <v>3570</v>
      </c>
      <c r="I170" s="378"/>
      <c r="J170" s="379"/>
    </row>
    <row r="171" spans="1:10" ht="42" customHeight="1">
      <c r="A171" s="356" t="s">
        <v>6570</v>
      </c>
      <c r="B171" s="136" t="s">
        <v>6480</v>
      </c>
      <c r="C171" s="136" t="s">
        <v>6536</v>
      </c>
      <c r="D171" s="296" t="s">
        <v>6571</v>
      </c>
      <c r="E171" s="296"/>
      <c r="F171" s="137">
        <v>3</v>
      </c>
      <c r="G171" s="136" t="s">
        <v>3665</v>
      </c>
      <c r="H171" s="137" t="s">
        <v>3570</v>
      </c>
      <c r="I171" s="378"/>
      <c r="J171" s="379"/>
    </row>
    <row r="172" spans="1:10" ht="42" customHeight="1">
      <c r="A172" s="356" t="s">
        <v>6572</v>
      </c>
      <c r="B172" s="136" t="s">
        <v>6480</v>
      </c>
      <c r="C172" s="136" t="s">
        <v>6536</v>
      </c>
      <c r="D172" s="296" t="s">
        <v>6573</v>
      </c>
      <c r="E172" s="296"/>
      <c r="F172" s="137">
        <v>3</v>
      </c>
      <c r="G172" s="136" t="s">
        <v>3665</v>
      </c>
      <c r="H172" s="137" t="s">
        <v>3570</v>
      </c>
      <c r="I172" s="378"/>
      <c r="J172" s="379"/>
    </row>
    <row r="173" spans="1:10" ht="42" customHeight="1">
      <c r="A173" s="356" t="s">
        <v>6574</v>
      </c>
      <c r="B173" s="136" t="s">
        <v>6480</v>
      </c>
      <c r="C173" s="136" t="s">
        <v>6536</v>
      </c>
      <c r="D173" s="296" t="s">
        <v>6575</v>
      </c>
      <c r="E173" s="296"/>
      <c r="F173" s="137">
        <v>2</v>
      </c>
      <c r="G173" s="136" t="s">
        <v>3665</v>
      </c>
      <c r="H173" s="137" t="s">
        <v>3570</v>
      </c>
      <c r="I173" s="378"/>
      <c r="J173" s="379"/>
    </row>
    <row r="174" spans="1:10" ht="42" customHeight="1">
      <c r="A174" s="356" t="s">
        <v>6576</v>
      </c>
      <c r="B174" s="136" t="s">
        <v>6480</v>
      </c>
      <c r="C174" s="136" t="s">
        <v>6536</v>
      </c>
      <c r="D174" s="296" t="s">
        <v>6577</v>
      </c>
      <c r="E174" s="296"/>
      <c r="F174" s="137">
        <v>3</v>
      </c>
      <c r="G174" s="136" t="s">
        <v>3665</v>
      </c>
      <c r="H174" s="137" t="s">
        <v>3570</v>
      </c>
      <c r="I174" s="378"/>
      <c r="J174" s="379"/>
    </row>
    <row r="175" spans="1:10" ht="42" customHeight="1">
      <c r="A175" s="356" t="s">
        <v>6578</v>
      </c>
      <c r="B175" s="136" t="s">
        <v>6480</v>
      </c>
      <c r="C175" s="136" t="s">
        <v>6536</v>
      </c>
      <c r="D175" s="296" t="s">
        <v>6579</v>
      </c>
      <c r="E175" s="296"/>
      <c r="F175" s="137">
        <v>3</v>
      </c>
      <c r="G175" s="136" t="s">
        <v>3665</v>
      </c>
      <c r="H175" s="137" t="s">
        <v>3570</v>
      </c>
      <c r="I175" s="378"/>
      <c r="J175" s="379"/>
    </row>
    <row r="176" spans="1:10" ht="42" customHeight="1">
      <c r="A176" s="356" t="s">
        <v>6580</v>
      </c>
      <c r="B176" s="136" t="s">
        <v>6480</v>
      </c>
      <c r="C176" s="136" t="s">
        <v>6581</v>
      </c>
      <c r="D176" s="296" t="s">
        <v>6582</v>
      </c>
      <c r="E176" s="296"/>
      <c r="F176" s="137">
        <v>3</v>
      </c>
      <c r="G176" s="136" t="s">
        <v>3665</v>
      </c>
      <c r="H176" s="137" t="s">
        <v>3570</v>
      </c>
      <c r="I176" s="378"/>
      <c r="J176" s="379"/>
    </row>
    <row r="177" spans="1:10" ht="42" customHeight="1">
      <c r="A177" s="356" t="s">
        <v>6583</v>
      </c>
      <c r="B177" s="136" t="s">
        <v>6480</v>
      </c>
      <c r="C177" s="136" t="s">
        <v>6581</v>
      </c>
      <c r="D177" s="296" t="s">
        <v>6584</v>
      </c>
      <c r="E177" s="296"/>
      <c r="F177" s="137">
        <v>2</v>
      </c>
      <c r="G177" s="136" t="s">
        <v>3665</v>
      </c>
      <c r="H177" s="137" t="s">
        <v>3570</v>
      </c>
      <c r="I177" s="378"/>
      <c r="J177" s="379"/>
    </row>
    <row r="178" spans="1:10" ht="42" customHeight="1">
      <c r="A178" s="356" t="s">
        <v>6585</v>
      </c>
      <c r="B178" s="136" t="s">
        <v>6480</v>
      </c>
      <c r="C178" s="136" t="s">
        <v>6581</v>
      </c>
      <c r="D178" s="296" t="s">
        <v>6586</v>
      </c>
      <c r="E178" s="296"/>
      <c r="F178" s="137">
        <v>2</v>
      </c>
      <c r="G178" s="136" t="s">
        <v>3665</v>
      </c>
      <c r="H178" s="137" t="s">
        <v>3570</v>
      </c>
      <c r="I178" s="378"/>
      <c r="J178" s="379"/>
    </row>
    <row r="179" spans="1:10" ht="42" customHeight="1">
      <c r="A179" s="356" t="s">
        <v>6587</v>
      </c>
      <c r="B179" s="136" t="s">
        <v>6480</v>
      </c>
      <c r="C179" s="136" t="s">
        <v>6581</v>
      </c>
      <c r="D179" s="296" t="s">
        <v>6588</v>
      </c>
      <c r="E179" s="296"/>
      <c r="F179" s="137">
        <v>6</v>
      </c>
      <c r="G179" s="136" t="s">
        <v>3665</v>
      </c>
      <c r="H179" s="137" t="s">
        <v>3570</v>
      </c>
      <c r="I179" s="378"/>
      <c r="J179" s="379"/>
    </row>
    <row r="180" spans="1:10" ht="42" customHeight="1">
      <c r="A180" s="356" t="s">
        <v>6589</v>
      </c>
      <c r="B180" s="136" t="s">
        <v>6480</v>
      </c>
      <c r="C180" s="136" t="s">
        <v>6581</v>
      </c>
      <c r="D180" s="296" t="s">
        <v>6590</v>
      </c>
      <c r="E180" s="296"/>
      <c r="F180" s="137">
        <v>10</v>
      </c>
      <c r="G180" s="136" t="s">
        <v>3665</v>
      </c>
      <c r="H180" s="137" t="s">
        <v>3570</v>
      </c>
      <c r="I180" s="378"/>
      <c r="J180" s="379"/>
    </row>
    <row r="181" spans="1:10" ht="42" customHeight="1">
      <c r="A181" s="356" t="s">
        <v>6591</v>
      </c>
      <c r="B181" s="136" t="s">
        <v>6480</v>
      </c>
      <c r="C181" s="136" t="s">
        <v>6581</v>
      </c>
      <c r="D181" s="296" t="s">
        <v>6592</v>
      </c>
      <c r="E181" s="296"/>
      <c r="F181" s="137">
        <v>3</v>
      </c>
      <c r="G181" s="136" t="s">
        <v>3665</v>
      </c>
      <c r="H181" s="137" t="s">
        <v>3570</v>
      </c>
      <c r="I181" s="378"/>
      <c r="J181" s="379"/>
    </row>
    <row r="182" spans="1:10" ht="42" customHeight="1">
      <c r="A182" s="356" t="s">
        <v>6593</v>
      </c>
      <c r="B182" s="136" t="s">
        <v>6480</v>
      </c>
      <c r="C182" s="136" t="s">
        <v>6581</v>
      </c>
      <c r="D182" s="296" t="s">
        <v>6594</v>
      </c>
      <c r="E182" s="296"/>
      <c r="F182" s="137">
        <v>3</v>
      </c>
      <c r="G182" s="136" t="s">
        <v>3665</v>
      </c>
      <c r="H182" s="137" t="s">
        <v>3570</v>
      </c>
      <c r="I182" s="378"/>
      <c r="J182" s="379"/>
    </row>
    <row r="183" spans="1:10" ht="42" customHeight="1">
      <c r="A183" s="356" t="s">
        <v>6595</v>
      </c>
      <c r="B183" s="136" t="s">
        <v>6480</v>
      </c>
      <c r="C183" s="136" t="s">
        <v>6581</v>
      </c>
      <c r="D183" s="296" t="s">
        <v>6596</v>
      </c>
      <c r="E183" s="296"/>
      <c r="F183" s="137">
        <v>3</v>
      </c>
      <c r="G183" s="136" t="s">
        <v>3665</v>
      </c>
      <c r="H183" s="137" t="s">
        <v>3570</v>
      </c>
      <c r="I183" s="378"/>
      <c r="J183" s="379"/>
    </row>
    <row r="184" spans="1:10" ht="42" customHeight="1">
      <c r="A184" s="356" t="s">
        <v>6597</v>
      </c>
      <c r="B184" s="136" t="s">
        <v>6480</v>
      </c>
      <c r="C184" s="136" t="s">
        <v>6581</v>
      </c>
      <c r="D184" s="296" t="s">
        <v>6598</v>
      </c>
      <c r="E184" s="296"/>
      <c r="F184" s="137">
        <v>3</v>
      </c>
      <c r="G184" s="136" t="s">
        <v>3665</v>
      </c>
      <c r="H184" s="137" t="s">
        <v>3570</v>
      </c>
      <c r="I184" s="378"/>
      <c r="J184" s="379"/>
    </row>
    <row r="185" spans="1:10" ht="42" customHeight="1">
      <c r="A185" s="356" t="s">
        <v>6599</v>
      </c>
      <c r="B185" s="136" t="s">
        <v>6480</v>
      </c>
      <c r="C185" s="136" t="s">
        <v>6581</v>
      </c>
      <c r="D185" s="296" t="s">
        <v>6600</v>
      </c>
      <c r="E185" s="296"/>
      <c r="F185" s="137">
        <v>2</v>
      </c>
      <c r="G185" s="136" t="s">
        <v>3665</v>
      </c>
      <c r="H185" s="137" t="s">
        <v>3570</v>
      </c>
      <c r="I185" s="378"/>
      <c r="J185" s="379"/>
    </row>
    <row r="186" spans="1:10" ht="42" customHeight="1">
      <c r="A186" s="356" t="s">
        <v>6601</v>
      </c>
      <c r="B186" s="136" t="s">
        <v>6480</v>
      </c>
      <c r="C186" s="136" t="s">
        <v>6581</v>
      </c>
      <c r="D186" s="296" t="s">
        <v>6602</v>
      </c>
      <c r="E186" s="296"/>
      <c r="F186" s="137">
        <v>3</v>
      </c>
      <c r="G186" s="136" t="s">
        <v>3665</v>
      </c>
      <c r="H186" s="137" t="s">
        <v>3570</v>
      </c>
      <c r="I186" s="378"/>
      <c r="J186" s="379"/>
    </row>
    <row r="187" spans="1:10" ht="42" customHeight="1">
      <c r="A187" s="356" t="s">
        <v>6603</v>
      </c>
      <c r="B187" s="136" t="s">
        <v>6480</v>
      </c>
      <c r="C187" s="136" t="s">
        <v>6604</v>
      </c>
      <c r="D187" s="296" t="s">
        <v>6605</v>
      </c>
      <c r="E187" s="296"/>
      <c r="F187" s="137">
        <v>4</v>
      </c>
      <c r="G187" s="136" t="s">
        <v>3665</v>
      </c>
      <c r="H187" s="137" t="s">
        <v>3570</v>
      </c>
      <c r="I187" s="378"/>
      <c r="J187" s="379"/>
    </row>
    <row r="188" spans="1:10" ht="42" customHeight="1">
      <c r="A188" s="356" t="s">
        <v>6606</v>
      </c>
      <c r="B188" s="136" t="s">
        <v>6480</v>
      </c>
      <c r="C188" s="136" t="s">
        <v>6604</v>
      </c>
      <c r="D188" s="296" t="s">
        <v>6607</v>
      </c>
      <c r="E188" s="296"/>
      <c r="F188" s="137">
        <v>4</v>
      </c>
      <c r="G188" s="136" t="s">
        <v>3665</v>
      </c>
      <c r="H188" s="137" t="s">
        <v>3570</v>
      </c>
      <c r="I188" s="378"/>
      <c r="J188" s="379"/>
    </row>
    <row r="189" spans="1:10" ht="42" customHeight="1">
      <c r="A189" s="356" t="s">
        <v>6608</v>
      </c>
      <c r="B189" s="136" t="s">
        <v>6480</v>
      </c>
      <c r="C189" s="136" t="s">
        <v>6604</v>
      </c>
      <c r="D189" s="296" t="s">
        <v>6609</v>
      </c>
      <c r="E189" s="296"/>
      <c r="F189" s="137">
        <v>4</v>
      </c>
      <c r="G189" s="136" t="s">
        <v>3665</v>
      </c>
      <c r="H189" s="137" t="s">
        <v>3570</v>
      </c>
      <c r="I189" s="378"/>
      <c r="J189" s="379"/>
    </row>
    <row r="190" spans="1:10" ht="42" customHeight="1">
      <c r="A190" s="356" t="s">
        <v>6610</v>
      </c>
      <c r="B190" s="136" t="s">
        <v>6480</v>
      </c>
      <c r="C190" s="136" t="s">
        <v>6604</v>
      </c>
      <c r="D190" s="296" t="s">
        <v>6611</v>
      </c>
      <c r="E190" s="296"/>
      <c r="F190" s="137">
        <v>3</v>
      </c>
      <c r="G190" s="136" t="s">
        <v>3665</v>
      </c>
      <c r="H190" s="137" t="s">
        <v>3570</v>
      </c>
      <c r="I190" s="378"/>
      <c r="J190" s="379"/>
    </row>
    <row r="191" spans="1:10" ht="42" customHeight="1">
      <c r="A191" s="356" t="s">
        <v>6612</v>
      </c>
      <c r="B191" s="136" t="s">
        <v>6480</v>
      </c>
      <c r="C191" s="136" t="s">
        <v>6604</v>
      </c>
      <c r="D191" s="296" t="s">
        <v>6613</v>
      </c>
      <c r="E191" s="296"/>
      <c r="F191" s="137">
        <v>3</v>
      </c>
      <c r="G191" s="136" t="s">
        <v>3665</v>
      </c>
      <c r="H191" s="137" t="s">
        <v>3570</v>
      </c>
      <c r="I191" s="378"/>
      <c r="J191" s="379"/>
    </row>
    <row r="192" spans="1:10" ht="42" customHeight="1">
      <c r="A192" s="356" t="s">
        <v>6614</v>
      </c>
      <c r="B192" s="136" t="s">
        <v>6480</v>
      </c>
      <c r="C192" s="136" t="s">
        <v>6604</v>
      </c>
      <c r="D192" s="296" t="s">
        <v>6615</v>
      </c>
      <c r="E192" s="296"/>
      <c r="F192" s="137">
        <v>4</v>
      </c>
      <c r="G192" s="136" t="s">
        <v>3665</v>
      </c>
      <c r="H192" s="137" t="s">
        <v>3570</v>
      </c>
      <c r="I192" s="378"/>
      <c r="J192" s="379"/>
    </row>
    <row r="193" spans="1:10" ht="42" customHeight="1">
      <c r="A193" s="356" t="s">
        <v>6616</v>
      </c>
      <c r="B193" s="136" t="s">
        <v>6480</v>
      </c>
      <c r="C193" s="136" t="s">
        <v>6604</v>
      </c>
      <c r="D193" s="296" t="s">
        <v>6617</v>
      </c>
      <c r="E193" s="296"/>
      <c r="F193" s="137">
        <v>4</v>
      </c>
      <c r="G193" s="136" t="s">
        <v>3665</v>
      </c>
      <c r="H193" s="137" t="s">
        <v>3570</v>
      </c>
      <c r="I193" s="378"/>
      <c r="J193" s="379"/>
    </row>
    <row r="194" spans="1:10" ht="42" customHeight="1">
      <c r="A194" s="356" t="s">
        <v>6618</v>
      </c>
      <c r="B194" s="136" t="s">
        <v>6480</v>
      </c>
      <c r="C194" s="136" t="s">
        <v>6604</v>
      </c>
      <c r="D194" s="296" t="s">
        <v>6619</v>
      </c>
      <c r="E194" s="296"/>
      <c r="F194" s="137">
        <v>2</v>
      </c>
      <c r="G194" s="136" t="s">
        <v>3665</v>
      </c>
      <c r="H194" s="137" t="s">
        <v>3570</v>
      </c>
      <c r="I194" s="378"/>
      <c r="J194" s="379"/>
    </row>
    <row r="195" spans="1:10" ht="42" customHeight="1">
      <c r="A195" s="356" t="s">
        <v>6620</v>
      </c>
      <c r="B195" s="136" t="s">
        <v>6480</v>
      </c>
      <c r="C195" s="136" t="s">
        <v>6604</v>
      </c>
      <c r="D195" s="296" t="s">
        <v>6621</v>
      </c>
      <c r="E195" s="296"/>
      <c r="F195" s="137">
        <v>1</v>
      </c>
      <c r="G195" s="136" t="s">
        <v>3665</v>
      </c>
      <c r="H195" s="137" t="s">
        <v>3570</v>
      </c>
      <c r="I195" s="378"/>
      <c r="J195" s="379"/>
    </row>
    <row r="196" spans="1:10" ht="42" customHeight="1">
      <c r="A196" s="356" t="s">
        <v>6622</v>
      </c>
      <c r="B196" s="136" t="s">
        <v>6480</v>
      </c>
      <c r="C196" s="136" t="s">
        <v>6604</v>
      </c>
      <c r="D196" s="296" t="s">
        <v>6623</v>
      </c>
      <c r="E196" s="296"/>
      <c r="F196" s="137">
        <v>2</v>
      </c>
      <c r="G196" s="136" t="s">
        <v>3665</v>
      </c>
      <c r="H196" s="137" t="s">
        <v>3570</v>
      </c>
      <c r="I196" s="378"/>
      <c r="J196" s="379"/>
    </row>
    <row r="197" spans="1:10" ht="42" customHeight="1">
      <c r="A197" s="356" t="s">
        <v>6624</v>
      </c>
      <c r="B197" s="136" t="s">
        <v>6480</v>
      </c>
      <c r="C197" s="136" t="s">
        <v>6604</v>
      </c>
      <c r="D197" s="296" t="s">
        <v>6625</v>
      </c>
      <c r="E197" s="296"/>
      <c r="F197" s="137">
        <v>3</v>
      </c>
      <c r="G197" s="136" t="s">
        <v>3665</v>
      </c>
      <c r="H197" s="137" t="s">
        <v>3570</v>
      </c>
      <c r="I197" s="378"/>
      <c r="J197" s="379"/>
    </row>
    <row r="198" spans="1:10" ht="42" customHeight="1">
      <c r="A198" s="356" t="s">
        <v>6626</v>
      </c>
      <c r="B198" s="136" t="s">
        <v>6480</v>
      </c>
      <c r="C198" s="136" t="s">
        <v>6604</v>
      </c>
      <c r="D198" s="296" t="s">
        <v>6627</v>
      </c>
      <c r="E198" s="296"/>
      <c r="F198" s="137">
        <v>2</v>
      </c>
      <c r="G198" s="136" t="s">
        <v>3665</v>
      </c>
      <c r="H198" s="137" t="s">
        <v>3570</v>
      </c>
      <c r="I198" s="378"/>
      <c r="J198" s="379"/>
    </row>
    <row r="199" spans="1:10" ht="42" customHeight="1">
      <c r="A199" s="356" t="s">
        <v>6628</v>
      </c>
      <c r="B199" s="136" t="s">
        <v>6480</v>
      </c>
      <c r="C199" s="136" t="s">
        <v>6604</v>
      </c>
      <c r="D199" s="296" t="s">
        <v>6629</v>
      </c>
      <c r="E199" s="296"/>
      <c r="F199" s="137">
        <v>3</v>
      </c>
      <c r="G199" s="136" t="s">
        <v>3665</v>
      </c>
      <c r="H199" s="137" t="s">
        <v>3570</v>
      </c>
      <c r="I199" s="378"/>
      <c r="J199" s="379"/>
    </row>
    <row r="200" spans="1:10" ht="42" customHeight="1">
      <c r="A200" s="356" t="s">
        <v>6630</v>
      </c>
      <c r="B200" s="136" t="s">
        <v>6480</v>
      </c>
      <c r="C200" s="136" t="s">
        <v>6604</v>
      </c>
      <c r="D200" s="296" t="s">
        <v>6631</v>
      </c>
      <c r="E200" s="296"/>
      <c r="F200" s="137">
        <v>3</v>
      </c>
      <c r="G200" s="136" t="s">
        <v>3665</v>
      </c>
      <c r="H200" s="137" t="s">
        <v>3570</v>
      </c>
      <c r="I200" s="378"/>
      <c r="J200" s="379"/>
    </row>
    <row r="201" spans="1:10" ht="42" customHeight="1">
      <c r="A201" s="356" t="s">
        <v>6632</v>
      </c>
      <c r="B201" s="136" t="s">
        <v>6480</v>
      </c>
      <c r="C201" s="136" t="s">
        <v>6633</v>
      </c>
      <c r="D201" s="296" t="s">
        <v>6634</v>
      </c>
      <c r="E201" s="296"/>
      <c r="F201" s="137">
        <v>2</v>
      </c>
      <c r="G201" s="136" t="s">
        <v>3665</v>
      </c>
      <c r="H201" s="137" t="s">
        <v>3570</v>
      </c>
      <c r="I201" s="378"/>
      <c r="J201" s="379"/>
    </row>
    <row r="202" spans="1:10" ht="42" customHeight="1">
      <c r="A202" s="356" t="s">
        <v>6635</v>
      </c>
      <c r="B202" s="136" t="s">
        <v>6480</v>
      </c>
      <c r="C202" s="136" t="s">
        <v>6633</v>
      </c>
      <c r="D202" s="296" t="s">
        <v>6636</v>
      </c>
      <c r="E202" s="296"/>
      <c r="F202" s="137">
        <v>2</v>
      </c>
      <c r="G202" s="136" t="s">
        <v>3665</v>
      </c>
      <c r="H202" s="137" t="s">
        <v>3570</v>
      </c>
      <c r="I202" s="378"/>
      <c r="J202" s="379"/>
    </row>
    <row r="203" spans="1:10" ht="42" customHeight="1">
      <c r="A203" s="356" t="s">
        <v>6637</v>
      </c>
      <c r="B203" s="136" t="s">
        <v>6480</v>
      </c>
      <c r="C203" s="136" t="s">
        <v>6633</v>
      </c>
      <c r="D203" s="296" t="s">
        <v>6638</v>
      </c>
      <c r="E203" s="296"/>
      <c r="F203" s="137">
        <v>2</v>
      </c>
      <c r="G203" s="136" t="s">
        <v>3665</v>
      </c>
      <c r="H203" s="137" t="s">
        <v>3570</v>
      </c>
      <c r="I203" s="378"/>
      <c r="J203" s="379"/>
    </row>
    <row r="204" spans="1:10" ht="42" customHeight="1">
      <c r="A204" s="356" t="s">
        <v>6639</v>
      </c>
      <c r="B204" s="136" t="s">
        <v>6480</v>
      </c>
      <c r="C204" s="136" t="s">
        <v>6633</v>
      </c>
      <c r="D204" s="296" t="s">
        <v>6640</v>
      </c>
      <c r="E204" s="296"/>
      <c r="F204" s="137">
        <v>4</v>
      </c>
      <c r="G204" s="136" t="s">
        <v>3665</v>
      </c>
      <c r="H204" s="137" t="s">
        <v>3570</v>
      </c>
      <c r="I204" s="378"/>
      <c r="J204" s="379"/>
    </row>
    <row r="205" spans="1:10" ht="42" customHeight="1">
      <c r="A205" s="356" t="s">
        <v>6641</v>
      </c>
      <c r="B205" s="136" t="s">
        <v>6480</v>
      </c>
      <c r="C205" s="136" t="s">
        <v>6633</v>
      </c>
      <c r="D205" s="296" t="s">
        <v>6642</v>
      </c>
      <c r="E205" s="296"/>
      <c r="F205" s="137">
        <v>3</v>
      </c>
      <c r="G205" s="136" t="s">
        <v>3665</v>
      </c>
      <c r="H205" s="137" t="s">
        <v>3570</v>
      </c>
      <c r="I205" s="378"/>
      <c r="J205" s="379"/>
    </row>
    <row r="206" spans="1:10" ht="42" customHeight="1">
      <c r="A206" s="356" t="s">
        <v>6643</v>
      </c>
      <c r="B206" s="136" t="s">
        <v>6480</v>
      </c>
      <c r="C206" s="136" t="s">
        <v>6633</v>
      </c>
      <c r="D206" s="296" t="s">
        <v>6644</v>
      </c>
      <c r="E206" s="296"/>
      <c r="F206" s="137">
        <v>2</v>
      </c>
      <c r="G206" s="136" t="s">
        <v>3665</v>
      </c>
      <c r="H206" s="137" t="s">
        <v>3570</v>
      </c>
      <c r="I206" s="378"/>
      <c r="J206" s="379"/>
    </row>
    <row r="207" spans="1:10" ht="42" customHeight="1">
      <c r="A207" s="356" t="s">
        <v>6645</v>
      </c>
      <c r="B207" s="136" t="s">
        <v>6480</v>
      </c>
      <c r="C207" s="136" t="s">
        <v>6633</v>
      </c>
      <c r="D207" s="296" t="s">
        <v>6646</v>
      </c>
      <c r="E207" s="296"/>
      <c r="F207" s="137">
        <v>3</v>
      </c>
      <c r="G207" s="136" t="s">
        <v>3665</v>
      </c>
      <c r="H207" s="137" t="s">
        <v>3570</v>
      </c>
      <c r="I207" s="378"/>
      <c r="J207" s="379"/>
    </row>
    <row r="208" spans="1:10" ht="42" customHeight="1">
      <c r="A208" s="356" t="s">
        <v>6647</v>
      </c>
      <c r="B208" s="136" t="s">
        <v>6480</v>
      </c>
      <c r="C208" s="136" t="s">
        <v>6633</v>
      </c>
      <c r="D208" s="296" t="s">
        <v>6648</v>
      </c>
      <c r="E208" s="296"/>
      <c r="F208" s="137">
        <v>2</v>
      </c>
      <c r="G208" s="136" t="s">
        <v>3665</v>
      </c>
      <c r="H208" s="137" t="s">
        <v>3570</v>
      </c>
      <c r="I208" s="378"/>
      <c r="J208" s="379"/>
    </row>
    <row r="209" spans="1:10" ht="42" customHeight="1">
      <c r="A209" s="356" t="s">
        <v>6649</v>
      </c>
      <c r="B209" s="136" t="s">
        <v>6480</v>
      </c>
      <c r="C209" s="136" t="s">
        <v>6633</v>
      </c>
      <c r="D209" s="296" t="s">
        <v>6650</v>
      </c>
      <c r="E209" s="296"/>
      <c r="F209" s="137">
        <v>4</v>
      </c>
      <c r="G209" s="136" t="s">
        <v>3665</v>
      </c>
      <c r="H209" s="137" t="s">
        <v>3570</v>
      </c>
      <c r="I209" s="378"/>
      <c r="J209" s="379"/>
    </row>
    <row r="210" spans="1:10" ht="42" customHeight="1">
      <c r="A210" s="356" t="s">
        <v>6651</v>
      </c>
      <c r="B210" s="136" t="s">
        <v>6480</v>
      </c>
      <c r="C210" s="136" t="s">
        <v>6633</v>
      </c>
      <c r="D210" s="296" t="s">
        <v>6652</v>
      </c>
      <c r="E210" s="296"/>
      <c r="F210" s="137">
        <v>2</v>
      </c>
      <c r="G210" s="136" t="s">
        <v>3665</v>
      </c>
      <c r="H210" s="137" t="s">
        <v>3570</v>
      </c>
      <c r="I210" s="378"/>
      <c r="J210" s="379"/>
    </row>
    <row r="211" spans="1:10" ht="42" customHeight="1">
      <c r="A211" s="356" t="s">
        <v>6653</v>
      </c>
      <c r="B211" s="136" t="s">
        <v>6480</v>
      </c>
      <c r="C211" s="136" t="s">
        <v>6633</v>
      </c>
      <c r="D211" s="296" t="s">
        <v>6654</v>
      </c>
      <c r="E211" s="296"/>
      <c r="F211" s="137">
        <v>3</v>
      </c>
      <c r="G211" s="136" t="s">
        <v>3665</v>
      </c>
      <c r="H211" s="137" t="s">
        <v>3570</v>
      </c>
      <c r="I211" s="378"/>
      <c r="J211" s="379"/>
    </row>
    <row r="212" spans="1:10" ht="42" customHeight="1">
      <c r="A212" s="356" t="s">
        <v>6655</v>
      </c>
      <c r="B212" s="136" t="s">
        <v>6480</v>
      </c>
      <c r="C212" s="136" t="s">
        <v>6633</v>
      </c>
      <c r="D212" s="296" t="s">
        <v>6656</v>
      </c>
      <c r="E212" s="296"/>
      <c r="F212" s="137">
        <v>2</v>
      </c>
      <c r="G212" s="136" t="s">
        <v>3665</v>
      </c>
      <c r="H212" s="137" t="s">
        <v>3570</v>
      </c>
      <c r="I212" s="378"/>
      <c r="J212" s="379"/>
    </row>
    <row r="213" spans="1:10" ht="42" customHeight="1">
      <c r="A213" s="356" t="s">
        <v>6657</v>
      </c>
      <c r="B213" s="136" t="s">
        <v>6480</v>
      </c>
      <c r="C213" s="136" t="s">
        <v>6633</v>
      </c>
      <c r="D213" s="296" t="s">
        <v>6658</v>
      </c>
      <c r="E213" s="296"/>
      <c r="F213" s="137">
        <v>3</v>
      </c>
      <c r="G213" s="136" t="s">
        <v>3665</v>
      </c>
      <c r="H213" s="137" t="s">
        <v>3570</v>
      </c>
      <c r="I213" s="378"/>
      <c r="J213" s="379"/>
    </row>
    <row r="214" spans="1:10" ht="42" customHeight="1">
      <c r="A214" s="356" t="s">
        <v>6659</v>
      </c>
      <c r="B214" s="136" t="s">
        <v>6480</v>
      </c>
      <c r="C214" s="136" t="s">
        <v>6633</v>
      </c>
      <c r="D214" s="296" t="s">
        <v>6660</v>
      </c>
      <c r="E214" s="296"/>
      <c r="F214" s="137">
        <v>4</v>
      </c>
      <c r="G214" s="136" t="s">
        <v>3665</v>
      </c>
      <c r="H214" s="137" t="s">
        <v>3570</v>
      </c>
      <c r="I214" s="378"/>
      <c r="J214" s="379"/>
    </row>
    <row r="215" spans="1:10" ht="42" customHeight="1">
      <c r="A215" s="356" t="s">
        <v>6661</v>
      </c>
      <c r="B215" s="136" t="s">
        <v>6480</v>
      </c>
      <c r="C215" s="136" t="s">
        <v>6633</v>
      </c>
      <c r="D215" s="296" t="s">
        <v>6662</v>
      </c>
      <c r="E215" s="296"/>
      <c r="F215" s="137">
        <v>4</v>
      </c>
      <c r="G215" s="136" t="s">
        <v>3665</v>
      </c>
      <c r="H215" s="137" t="s">
        <v>3570</v>
      </c>
      <c r="I215" s="378"/>
      <c r="J215" s="379"/>
    </row>
    <row r="216" spans="1:10" ht="42" customHeight="1">
      <c r="A216" s="356" t="s">
        <v>6663</v>
      </c>
      <c r="B216" s="136" t="s">
        <v>6480</v>
      </c>
      <c r="C216" s="136" t="s">
        <v>6633</v>
      </c>
      <c r="D216" s="296" t="s">
        <v>6664</v>
      </c>
      <c r="E216" s="296"/>
      <c r="F216" s="137">
        <v>2</v>
      </c>
      <c r="G216" s="136" t="s">
        <v>3665</v>
      </c>
      <c r="H216" s="137" t="s">
        <v>3570</v>
      </c>
      <c r="I216" s="378"/>
      <c r="J216" s="379"/>
    </row>
    <row r="217" spans="1:10" ht="42" customHeight="1">
      <c r="A217" s="356" t="s">
        <v>6665</v>
      </c>
      <c r="B217" s="136" t="s">
        <v>6480</v>
      </c>
      <c r="C217" s="136" t="s">
        <v>6633</v>
      </c>
      <c r="D217" s="296" t="s">
        <v>6666</v>
      </c>
      <c r="E217" s="296"/>
      <c r="F217" s="137">
        <v>2</v>
      </c>
      <c r="G217" s="136" t="s">
        <v>3665</v>
      </c>
      <c r="H217" s="137" t="s">
        <v>3570</v>
      </c>
      <c r="I217" s="378"/>
      <c r="J217" s="379"/>
    </row>
    <row r="218" spans="1:10" ht="42" customHeight="1">
      <c r="A218" s="356" t="s">
        <v>6667</v>
      </c>
      <c r="B218" s="136" t="s">
        <v>6480</v>
      </c>
      <c r="C218" s="136" t="s">
        <v>6633</v>
      </c>
      <c r="D218" s="296" t="s">
        <v>6668</v>
      </c>
      <c r="E218" s="296"/>
      <c r="F218" s="137">
        <v>2</v>
      </c>
      <c r="G218" s="136" t="s">
        <v>3665</v>
      </c>
      <c r="H218" s="137" t="s">
        <v>3570</v>
      </c>
      <c r="I218" s="378"/>
      <c r="J218" s="379"/>
    </row>
    <row r="219" spans="1:10" ht="42" customHeight="1">
      <c r="A219" s="356" t="s">
        <v>6669</v>
      </c>
      <c r="B219" s="136" t="s">
        <v>6480</v>
      </c>
      <c r="C219" s="136" t="s">
        <v>6633</v>
      </c>
      <c r="D219" s="296" t="s">
        <v>6670</v>
      </c>
      <c r="E219" s="296"/>
      <c r="F219" s="137">
        <v>3</v>
      </c>
      <c r="G219" s="136" t="s">
        <v>3665</v>
      </c>
      <c r="H219" s="137" t="s">
        <v>3570</v>
      </c>
      <c r="I219" s="378"/>
      <c r="J219" s="379"/>
    </row>
    <row r="220" spans="1:10" ht="42" customHeight="1">
      <c r="A220" s="356" t="s">
        <v>6671</v>
      </c>
      <c r="B220" s="136" t="s">
        <v>6480</v>
      </c>
      <c r="C220" s="136" t="s">
        <v>6633</v>
      </c>
      <c r="D220" s="296" t="s">
        <v>6672</v>
      </c>
      <c r="E220" s="296"/>
      <c r="F220" s="137">
        <v>2</v>
      </c>
      <c r="G220" s="136" t="s">
        <v>3665</v>
      </c>
      <c r="H220" s="137" t="s">
        <v>3570</v>
      </c>
      <c r="I220" s="378"/>
      <c r="J220" s="379"/>
    </row>
    <row r="221" spans="1:10" ht="42" customHeight="1">
      <c r="A221" s="356" t="s">
        <v>6673</v>
      </c>
      <c r="B221" s="136" t="s">
        <v>6480</v>
      </c>
      <c r="C221" s="136" t="s">
        <v>6674</v>
      </c>
      <c r="D221" s="296" t="s">
        <v>6675</v>
      </c>
      <c r="E221" s="296"/>
      <c r="F221" s="137">
        <v>2.5</v>
      </c>
      <c r="G221" s="136" t="s">
        <v>3665</v>
      </c>
      <c r="H221" s="137" t="s">
        <v>3570</v>
      </c>
      <c r="I221" s="378"/>
      <c r="J221" s="379"/>
    </row>
    <row r="222" spans="1:10" ht="42" customHeight="1">
      <c r="A222" s="356" t="s">
        <v>6676</v>
      </c>
      <c r="B222" s="136" t="s">
        <v>6480</v>
      </c>
      <c r="C222" s="136" t="s">
        <v>6674</v>
      </c>
      <c r="D222" s="296" t="s">
        <v>6677</v>
      </c>
      <c r="E222" s="296"/>
      <c r="F222" s="137">
        <v>1.5</v>
      </c>
      <c r="G222" s="136" t="s">
        <v>3665</v>
      </c>
      <c r="H222" s="137" t="s">
        <v>3570</v>
      </c>
      <c r="I222" s="378"/>
      <c r="J222" s="379"/>
    </row>
    <row r="223" spans="1:10" ht="42" customHeight="1">
      <c r="A223" s="356" t="s">
        <v>6678</v>
      </c>
      <c r="B223" s="136" t="s">
        <v>6480</v>
      </c>
      <c r="C223" s="136" t="s">
        <v>6674</v>
      </c>
      <c r="D223" s="296" t="s">
        <v>6679</v>
      </c>
      <c r="E223" s="296"/>
      <c r="F223" s="137">
        <v>1.5</v>
      </c>
      <c r="G223" s="136" t="s">
        <v>6673</v>
      </c>
      <c r="H223" s="137" t="s">
        <v>3570</v>
      </c>
      <c r="I223" s="378"/>
      <c r="J223" s="379"/>
    </row>
    <row r="224" spans="1:10" ht="42" customHeight="1">
      <c r="A224" s="356" t="s">
        <v>6680</v>
      </c>
      <c r="B224" s="136" t="s">
        <v>6480</v>
      </c>
      <c r="C224" s="136" t="s">
        <v>6674</v>
      </c>
      <c r="D224" s="296" t="s">
        <v>6681</v>
      </c>
      <c r="E224" s="296"/>
      <c r="F224" s="137">
        <v>2</v>
      </c>
      <c r="G224" s="136" t="s">
        <v>6673</v>
      </c>
      <c r="H224" s="137" t="s">
        <v>3570</v>
      </c>
      <c r="I224" s="378"/>
      <c r="J224" s="379"/>
    </row>
    <row r="225" spans="1:10" ht="42" customHeight="1">
      <c r="A225" s="356" t="s">
        <v>6682</v>
      </c>
      <c r="B225" s="136" t="s">
        <v>6480</v>
      </c>
      <c r="C225" s="136" t="s">
        <v>6674</v>
      </c>
      <c r="D225" s="296" t="s">
        <v>6683</v>
      </c>
      <c r="E225" s="296"/>
      <c r="F225" s="137">
        <v>2.5</v>
      </c>
      <c r="G225" s="136" t="s">
        <v>6673</v>
      </c>
      <c r="H225" s="137" t="s">
        <v>3570</v>
      </c>
      <c r="I225" s="378"/>
      <c r="J225" s="379"/>
    </row>
    <row r="226" spans="1:10" ht="42" customHeight="1">
      <c r="A226" s="356" t="s">
        <v>6684</v>
      </c>
      <c r="B226" s="136" t="s">
        <v>6480</v>
      </c>
      <c r="C226" s="136" t="s">
        <v>6674</v>
      </c>
      <c r="D226" s="296" t="s">
        <v>6685</v>
      </c>
      <c r="E226" s="296"/>
      <c r="F226" s="137">
        <v>2</v>
      </c>
      <c r="G226" s="136" t="s">
        <v>6673</v>
      </c>
      <c r="H226" s="137" t="s">
        <v>3570</v>
      </c>
      <c r="I226" s="378"/>
      <c r="J226" s="379"/>
    </row>
    <row r="227" spans="1:10" ht="42" customHeight="1">
      <c r="A227" s="356" t="s">
        <v>6686</v>
      </c>
      <c r="B227" s="136" t="s">
        <v>6480</v>
      </c>
      <c r="C227" s="136" t="s">
        <v>6674</v>
      </c>
      <c r="D227" s="296" t="s">
        <v>6687</v>
      </c>
      <c r="E227" s="296"/>
      <c r="F227" s="137">
        <v>1.5</v>
      </c>
      <c r="G227" s="136" t="s">
        <v>6684</v>
      </c>
      <c r="H227" s="137" t="s">
        <v>3570</v>
      </c>
      <c r="I227" s="378"/>
      <c r="J227" s="379"/>
    </row>
    <row r="228" spans="1:10" ht="42" customHeight="1">
      <c r="A228" s="356" t="s">
        <v>6688</v>
      </c>
      <c r="B228" s="136" t="s">
        <v>6480</v>
      </c>
      <c r="C228" s="136" t="s">
        <v>6689</v>
      </c>
      <c r="D228" s="296" t="s">
        <v>6690</v>
      </c>
      <c r="E228" s="296"/>
      <c r="F228" s="137">
        <v>2</v>
      </c>
      <c r="G228" s="136" t="s">
        <v>3665</v>
      </c>
      <c r="H228" s="137" t="s">
        <v>3570</v>
      </c>
      <c r="I228" s="378"/>
      <c r="J228" s="379"/>
    </row>
    <row r="229" spans="1:10" ht="42" customHeight="1">
      <c r="A229" s="356" t="s">
        <v>6691</v>
      </c>
      <c r="B229" s="136" t="s">
        <v>6480</v>
      </c>
      <c r="C229" s="136" t="s">
        <v>6689</v>
      </c>
      <c r="D229" s="296" t="s">
        <v>6692</v>
      </c>
      <c r="E229" s="296"/>
      <c r="F229" s="137">
        <v>3</v>
      </c>
      <c r="G229" s="136" t="s">
        <v>6535</v>
      </c>
      <c r="H229" s="137" t="s">
        <v>3570</v>
      </c>
      <c r="I229" s="378"/>
      <c r="J229" s="379"/>
    </row>
    <row r="230" spans="1:10" ht="42" customHeight="1">
      <c r="A230" s="356" t="s">
        <v>6693</v>
      </c>
      <c r="B230" s="136" t="s">
        <v>6480</v>
      </c>
      <c r="C230" s="136" t="s">
        <v>6689</v>
      </c>
      <c r="D230" s="296" t="s">
        <v>6694</v>
      </c>
      <c r="E230" s="296"/>
      <c r="F230" s="137">
        <v>3</v>
      </c>
      <c r="G230" s="136" t="s">
        <v>6688</v>
      </c>
      <c r="H230" s="137" t="s">
        <v>3570</v>
      </c>
      <c r="I230" s="378"/>
      <c r="J230" s="379"/>
    </row>
    <row r="231" spans="1:10" ht="42" customHeight="1">
      <c r="A231" s="356" t="s">
        <v>6695</v>
      </c>
      <c r="B231" s="136" t="s">
        <v>6480</v>
      </c>
      <c r="C231" s="136" t="s">
        <v>6689</v>
      </c>
      <c r="D231" s="296" t="s">
        <v>6696</v>
      </c>
      <c r="E231" s="296"/>
      <c r="F231" s="137">
        <v>3</v>
      </c>
      <c r="G231" s="136" t="s">
        <v>3665</v>
      </c>
      <c r="H231" s="137" t="s">
        <v>3570</v>
      </c>
      <c r="I231" s="378"/>
      <c r="J231" s="379"/>
    </row>
    <row r="232" spans="1:10" ht="42" customHeight="1">
      <c r="A232" s="356" t="s">
        <v>6697</v>
      </c>
      <c r="B232" s="136" t="s">
        <v>6480</v>
      </c>
      <c r="C232" s="136" t="s">
        <v>6689</v>
      </c>
      <c r="D232" s="296" t="s">
        <v>6698</v>
      </c>
      <c r="E232" s="296"/>
      <c r="F232" s="137">
        <v>2</v>
      </c>
      <c r="G232" s="136" t="s">
        <v>6695</v>
      </c>
      <c r="H232" s="137" t="s">
        <v>3570</v>
      </c>
      <c r="I232" s="378"/>
      <c r="J232" s="379"/>
    </row>
    <row r="233" spans="1:10" ht="42" customHeight="1">
      <c r="A233" s="356" t="s">
        <v>6699</v>
      </c>
      <c r="B233" s="136" t="s">
        <v>6480</v>
      </c>
      <c r="C233" s="136" t="s">
        <v>6689</v>
      </c>
      <c r="D233" s="296" t="s">
        <v>6700</v>
      </c>
      <c r="E233" s="296"/>
      <c r="F233" s="137">
        <v>2</v>
      </c>
      <c r="G233" s="136" t="s">
        <v>6695</v>
      </c>
      <c r="H233" s="137" t="s">
        <v>3570</v>
      </c>
      <c r="I233" s="378"/>
      <c r="J233" s="379"/>
    </row>
    <row r="234" spans="1:10" ht="42" customHeight="1">
      <c r="A234" s="356" t="s">
        <v>6701</v>
      </c>
      <c r="B234" s="136" t="s">
        <v>6480</v>
      </c>
      <c r="C234" s="136" t="s">
        <v>6689</v>
      </c>
      <c r="D234" s="296" t="s">
        <v>6702</v>
      </c>
      <c r="E234" s="296"/>
      <c r="F234" s="137">
        <v>3</v>
      </c>
      <c r="G234" s="136" t="s">
        <v>3665</v>
      </c>
      <c r="H234" s="137" t="s">
        <v>3570</v>
      </c>
      <c r="I234" s="378"/>
      <c r="J234" s="379"/>
    </row>
    <row r="235" spans="1:10" ht="42" customHeight="1">
      <c r="A235" s="356" t="s">
        <v>6703</v>
      </c>
      <c r="B235" s="136" t="s">
        <v>6480</v>
      </c>
      <c r="C235" s="136" t="s">
        <v>6689</v>
      </c>
      <c r="D235" s="296" t="s">
        <v>6704</v>
      </c>
      <c r="E235" s="296"/>
      <c r="F235" s="137">
        <v>3</v>
      </c>
      <c r="G235" s="136" t="s">
        <v>3665</v>
      </c>
      <c r="H235" s="137" t="s">
        <v>3570</v>
      </c>
      <c r="I235" s="378"/>
      <c r="J235" s="379"/>
    </row>
    <row r="236" spans="1:10" ht="42" customHeight="1">
      <c r="A236" s="356" t="s">
        <v>6705</v>
      </c>
      <c r="B236" s="136" t="s">
        <v>6480</v>
      </c>
      <c r="C236" s="136" t="s">
        <v>6706</v>
      </c>
      <c r="D236" s="296" t="s">
        <v>6707</v>
      </c>
      <c r="E236" s="296"/>
      <c r="F236" s="137">
        <v>2</v>
      </c>
      <c r="G236" s="136" t="s">
        <v>6708</v>
      </c>
      <c r="H236" s="137" t="s">
        <v>3570</v>
      </c>
      <c r="I236" s="378"/>
      <c r="J236" s="379"/>
    </row>
    <row r="237" spans="1:10" ht="42" customHeight="1">
      <c r="A237" s="356" t="s">
        <v>6709</v>
      </c>
      <c r="B237" s="136" t="s">
        <v>6480</v>
      </c>
      <c r="C237" s="136" t="s">
        <v>6706</v>
      </c>
      <c r="D237" s="296" t="s">
        <v>6710</v>
      </c>
      <c r="E237" s="296"/>
      <c r="F237" s="137">
        <v>2</v>
      </c>
      <c r="G237" s="136" t="s">
        <v>6711</v>
      </c>
      <c r="H237" s="137" t="s">
        <v>3570</v>
      </c>
      <c r="I237" s="378"/>
      <c r="J237" s="379"/>
    </row>
    <row r="238" spans="1:10" ht="42" customHeight="1">
      <c r="A238" s="356" t="s">
        <v>6712</v>
      </c>
      <c r="B238" s="136" t="s">
        <v>6480</v>
      </c>
      <c r="C238" s="136" t="s">
        <v>6706</v>
      </c>
      <c r="D238" s="296" t="s">
        <v>6713</v>
      </c>
      <c r="E238" s="296"/>
      <c r="F238" s="137">
        <v>2</v>
      </c>
      <c r="G238" s="136" t="s">
        <v>6714</v>
      </c>
      <c r="H238" s="137" t="s">
        <v>3570</v>
      </c>
      <c r="I238" s="378"/>
      <c r="J238" s="379"/>
    </row>
    <row r="239" spans="1:10" ht="42" customHeight="1">
      <c r="A239" s="356" t="s">
        <v>6715</v>
      </c>
      <c r="B239" s="136" t="s">
        <v>6480</v>
      </c>
      <c r="C239" s="136" t="s">
        <v>6706</v>
      </c>
      <c r="D239" s="296" t="s">
        <v>6716</v>
      </c>
      <c r="E239" s="296"/>
      <c r="F239" s="137">
        <v>3</v>
      </c>
      <c r="G239" s="136" t="s">
        <v>3665</v>
      </c>
      <c r="H239" s="137" t="s">
        <v>3570</v>
      </c>
      <c r="I239" s="378"/>
      <c r="J239" s="379"/>
    </row>
    <row r="240" spans="1:10" ht="42" customHeight="1">
      <c r="A240" s="356" t="s">
        <v>6717</v>
      </c>
      <c r="B240" s="136" t="s">
        <v>6480</v>
      </c>
      <c r="C240" s="136" t="s">
        <v>6706</v>
      </c>
      <c r="D240" s="296" t="s">
        <v>6718</v>
      </c>
      <c r="E240" s="296"/>
      <c r="F240" s="137">
        <v>3</v>
      </c>
      <c r="G240" s="136" t="s">
        <v>3525</v>
      </c>
      <c r="H240" s="137" t="s">
        <v>3570</v>
      </c>
      <c r="I240" s="378"/>
      <c r="J240" s="379"/>
    </row>
    <row r="241" spans="1:10" ht="42" customHeight="1">
      <c r="A241" s="356" t="s">
        <v>6719</v>
      </c>
      <c r="B241" s="136" t="s">
        <v>6480</v>
      </c>
      <c r="C241" s="136" t="s">
        <v>6720</v>
      </c>
      <c r="D241" s="296" t="s">
        <v>6721</v>
      </c>
      <c r="E241" s="296"/>
      <c r="F241" s="137">
        <v>3</v>
      </c>
      <c r="G241" s="136" t="s">
        <v>6722</v>
      </c>
      <c r="H241" s="137" t="s">
        <v>3570</v>
      </c>
      <c r="I241" s="378"/>
      <c r="J241" s="379"/>
    </row>
    <row r="242" spans="1:10" ht="42" customHeight="1">
      <c r="A242" s="356" t="s">
        <v>6723</v>
      </c>
      <c r="B242" s="136" t="s">
        <v>6480</v>
      </c>
      <c r="C242" s="136" t="s">
        <v>6720</v>
      </c>
      <c r="D242" s="296" t="s">
        <v>6724</v>
      </c>
      <c r="E242" s="296"/>
      <c r="F242" s="137">
        <v>3</v>
      </c>
      <c r="G242" s="136" t="s">
        <v>6719</v>
      </c>
      <c r="H242" s="137" t="s">
        <v>3570</v>
      </c>
      <c r="I242" s="378"/>
      <c r="J242" s="379"/>
    </row>
    <row r="243" spans="1:10" ht="42" customHeight="1">
      <c r="A243" s="356" t="s">
        <v>6725</v>
      </c>
      <c r="B243" s="136" t="s">
        <v>6480</v>
      </c>
      <c r="C243" s="136" t="s">
        <v>6720</v>
      </c>
      <c r="D243" s="296" t="s">
        <v>6726</v>
      </c>
      <c r="E243" s="296"/>
      <c r="F243" s="137">
        <v>3</v>
      </c>
      <c r="G243" s="136" t="s">
        <v>6723</v>
      </c>
      <c r="H243" s="137" t="s">
        <v>3570</v>
      </c>
      <c r="I243" s="378"/>
      <c r="J243" s="379"/>
    </row>
    <row r="244" spans="1:10" ht="42" customHeight="1">
      <c r="A244" s="356" t="s">
        <v>6727</v>
      </c>
      <c r="B244" s="136" t="s">
        <v>6480</v>
      </c>
      <c r="C244" s="136" t="s">
        <v>6720</v>
      </c>
      <c r="D244" s="296" t="s">
        <v>6728</v>
      </c>
      <c r="E244" s="296"/>
      <c r="F244" s="137">
        <v>3</v>
      </c>
      <c r="G244" s="136" t="s">
        <v>6725</v>
      </c>
      <c r="H244" s="137" t="s">
        <v>3570</v>
      </c>
      <c r="I244" s="378"/>
      <c r="J244" s="379"/>
    </row>
    <row r="245" spans="1:10" ht="42" customHeight="1">
      <c r="A245" s="356" t="s">
        <v>6729</v>
      </c>
      <c r="B245" s="136" t="s">
        <v>6480</v>
      </c>
      <c r="C245" s="136" t="s">
        <v>6720</v>
      </c>
      <c r="D245" s="296" t="s">
        <v>6730</v>
      </c>
      <c r="E245" s="296"/>
      <c r="F245" s="137">
        <v>5</v>
      </c>
      <c r="G245" s="136" t="s">
        <v>6727</v>
      </c>
      <c r="H245" s="137" t="s">
        <v>3570</v>
      </c>
      <c r="I245" s="378"/>
      <c r="J245" s="379"/>
    </row>
    <row r="246" spans="1:10" ht="42" customHeight="1">
      <c r="A246" s="356" t="s">
        <v>6731</v>
      </c>
      <c r="B246" s="136" t="s">
        <v>6480</v>
      </c>
      <c r="C246" s="136" t="s">
        <v>6720</v>
      </c>
      <c r="D246" s="296" t="s">
        <v>6732</v>
      </c>
      <c r="E246" s="296"/>
      <c r="F246" s="137">
        <v>5</v>
      </c>
      <c r="G246" s="136" t="s">
        <v>6729</v>
      </c>
      <c r="H246" s="137" t="s">
        <v>3570</v>
      </c>
      <c r="I246" s="378"/>
      <c r="J246" s="379"/>
    </row>
    <row r="247" spans="1:10" ht="42" customHeight="1">
      <c r="A247" s="356" t="s">
        <v>6733</v>
      </c>
      <c r="B247" s="136" t="s">
        <v>6480</v>
      </c>
      <c r="C247" s="136" t="s">
        <v>6734</v>
      </c>
      <c r="D247" s="296" t="s">
        <v>6735</v>
      </c>
      <c r="E247" s="296"/>
      <c r="F247" s="137">
        <v>3</v>
      </c>
      <c r="G247" s="136" t="s">
        <v>6318</v>
      </c>
      <c r="H247" s="137" t="s">
        <v>3570</v>
      </c>
      <c r="I247" s="378"/>
      <c r="J247" s="379"/>
    </row>
    <row r="248" spans="1:10" ht="42" customHeight="1">
      <c r="A248" s="356" t="s">
        <v>6736</v>
      </c>
      <c r="B248" s="136" t="s">
        <v>6480</v>
      </c>
      <c r="C248" s="136" t="s">
        <v>6734</v>
      </c>
      <c r="D248" s="296" t="s">
        <v>6737</v>
      </c>
      <c r="E248" s="296"/>
      <c r="F248" s="137">
        <v>5</v>
      </c>
      <c r="G248" s="136" t="s">
        <v>3466</v>
      </c>
      <c r="H248" s="137" t="s">
        <v>3570</v>
      </c>
      <c r="I248" s="378"/>
      <c r="J248" s="379"/>
    </row>
    <row r="249" spans="1:10" ht="42" customHeight="1">
      <c r="A249" s="356" t="s">
        <v>6738</v>
      </c>
      <c r="B249" s="136" t="s">
        <v>6480</v>
      </c>
      <c r="C249" s="136" t="s">
        <v>6734</v>
      </c>
      <c r="D249" s="296" t="s">
        <v>6739</v>
      </c>
      <c r="E249" s="296"/>
      <c r="F249" s="137">
        <v>3</v>
      </c>
      <c r="G249" s="136" t="s">
        <v>3466</v>
      </c>
      <c r="H249" s="137" t="s">
        <v>3570</v>
      </c>
      <c r="I249" s="378"/>
      <c r="J249" s="379"/>
    </row>
    <row r="250" spans="1:10" ht="42" customHeight="1">
      <c r="A250" s="356" t="s">
        <v>6740</v>
      </c>
      <c r="B250" s="136" t="s">
        <v>6480</v>
      </c>
      <c r="C250" s="136" t="s">
        <v>6734</v>
      </c>
      <c r="D250" s="296" t="s">
        <v>6741</v>
      </c>
      <c r="E250" s="296"/>
      <c r="F250" s="137">
        <v>3</v>
      </c>
      <c r="G250" s="136" t="s">
        <v>3466</v>
      </c>
      <c r="H250" s="137" t="s">
        <v>3570</v>
      </c>
      <c r="I250" s="378"/>
      <c r="J250" s="379"/>
    </row>
    <row r="251" spans="1:10" ht="42" customHeight="1">
      <c r="A251" s="356" t="s">
        <v>6742</v>
      </c>
      <c r="B251" s="136" t="s">
        <v>6480</v>
      </c>
      <c r="C251" s="136" t="s">
        <v>6734</v>
      </c>
      <c r="D251" s="296" t="s">
        <v>6743</v>
      </c>
      <c r="E251" s="296"/>
      <c r="F251" s="137">
        <v>2</v>
      </c>
      <c r="G251" s="136" t="s">
        <v>3466</v>
      </c>
      <c r="H251" s="137" t="s">
        <v>3570</v>
      </c>
      <c r="I251" s="378"/>
      <c r="J251" s="379"/>
    </row>
    <row r="252" spans="1:10" ht="42" customHeight="1">
      <c r="A252" s="356" t="s">
        <v>6744</v>
      </c>
      <c r="B252" s="136" t="s">
        <v>6480</v>
      </c>
      <c r="C252" s="136" t="s">
        <v>6734</v>
      </c>
      <c r="D252" s="296" t="s">
        <v>6745</v>
      </c>
      <c r="E252" s="296"/>
      <c r="F252" s="137">
        <v>2</v>
      </c>
      <c r="G252" s="136" t="s">
        <v>6746</v>
      </c>
      <c r="H252" s="137" t="s">
        <v>3570</v>
      </c>
      <c r="I252" s="378"/>
      <c r="J252" s="379"/>
    </row>
    <row r="253" spans="1:10" ht="42" customHeight="1">
      <c r="A253" s="356" t="s">
        <v>6747</v>
      </c>
      <c r="B253" s="136" t="s">
        <v>6480</v>
      </c>
      <c r="C253" s="136" t="s">
        <v>6734</v>
      </c>
      <c r="D253" s="296" t="s">
        <v>6748</v>
      </c>
      <c r="E253" s="296"/>
      <c r="F253" s="137">
        <v>3</v>
      </c>
      <c r="G253" s="136" t="s">
        <v>3665</v>
      </c>
      <c r="H253" s="137" t="s">
        <v>3570</v>
      </c>
      <c r="I253" s="378"/>
      <c r="J253" s="379"/>
    </row>
    <row r="254" spans="1:10" ht="42" customHeight="1">
      <c r="A254" s="356" t="s">
        <v>6749</v>
      </c>
      <c r="B254" s="136" t="s">
        <v>6480</v>
      </c>
      <c r="C254" s="136" t="s">
        <v>6734</v>
      </c>
      <c r="D254" s="296" t="s">
        <v>6750</v>
      </c>
      <c r="E254" s="296"/>
      <c r="F254" s="137">
        <v>2</v>
      </c>
      <c r="G254" s="136" t="s">
        <v>6253</v>
      </c>
      <c r="H254" s="137" t="s">
        <v>3570</v>
      </c>
      <c r="I254" s="378"/>
      <c r="J254" s="379"/>
    </row>
    <row r="255" spans="1:10" ht="42" customHeight="1">
      <c r="A255" s="356" t="s">
        <v>6751</v>
      </c>
      <c r="B255" s="136" t="s">
        <v>6480</v>
      </c>
      <c r="C255" s="136" t="s">
        <v>6734</v>
      </c>
      <c r="D255" s="296" t="s">
        <v>6752</v>
      </c>
      <c r="E255" s="296" t="s">
        <v>6753</v>
      </c>
      <c r="F255" s="137">
        <v>3</v>
      </c>
      <c r="G255" s="136" t="s">
        <v>3665</v>
      </c>
      <c r="H255" s="137" t="s">
        <v>3570</v>
      </c>
      <c r="I255" s="378"/>
      <c r="J255" s="379"/>
    </row>
    <row r="256" spans="1:10" ht="42" customHeight="1">
      <c r="A256" s="356" t="s">
        <v>6754</v>
      </c>
      <c r="B256" s="136" t="s">
        <v>6480</v>
      </c>
      <c r="C256" s="136" t="s">
        <v>6734</v>
      </c>
      <c r="D256" s="296" t="s">
        <v>6755</v>
      </c>
      <c r="E256" s="296"/>
      <c r="F256" s="137">
        <v>3</v>
      </c>
      <c r="G256" s="136" t="s">
        <v>3485</v>
      </c>
      <c r="H256" s="137" t="s">
        <v>3570</v>
      </c>
      <c r="I256" s="378"/>
      <c r="J256" s="379"/>
    </row>
    <row r="257" spans="1:10" ht="42" customHeight="1">
      <c r="A257" s="356" t="s">
        <v>6756</v>
      </c>
      <c r="B257" s="136" t="s">
        <v>6480</v>
      </c>
      <c r="C257" s="136" t="s">
        <v>6734</v>
      </c>
      <c r="D257" s="296" t="s">
        <v>6757</v>
      </c>
      <c r="E257" s="296"/>
      <c r="F257" s="137">
        <v>3</v>
      </c>
      <c r="G257" s="136" t="s">
        <v>6318</v>
      </c>
      <c r="H257" s="137" t="s">
        <v>3570</v>
      </c>
      <c r="I257" s="378"/>
      <c r="J257" s="379"/>
    </row>
    <row r="258" spans="1:10" ht="42" customHeight="1">
      <c r="A258" s="356" t="s">
        <v>6758</v>
      </c>
      <c r="B258" s="136" t="s">
        <v>6480</v>
      </c>
      <c r="C258" s="136" t="s">
        <v>6734</v>
      </c>
      <c r="D258" s="296" t="s">
        <v>6759</v>
      </c>
      <c r="E258" s="296"/>
      <c r="F258" s="137">
        <v>3</v>
      </c>
      <c r="G258" s="136" t="s">
        <v>3665</v>
      </c>
      <c r="H258" s="137" t="s">
        <v>3570</v>
      </c>
      <c r="I258" s="378"/>
      <c r="J258" s="379"/>
    </row>
    <row r="259" spans="1:10" ht="42" customHeight="1">
      <c r="A259" s="356" t="s">
        <v>6760</v>
      </c>
      <c r="B259" s="136" t="s">
        <v>6480</v>
      </c>
      <c r="C259" s="136" t="s">
        <v>6734</v>
      </c>
      <c r="D259" s="296" t="s">
        <v>6761</v>
      </c>
      <c r="E259" s="296"/>
      <c r="F259" s="137">
        <v>2</v>
      </c>
      <c r="G259" s="136" t="s">
        <v>3665</v>
      </c>
      <c r="H259" s="137" t="s">
        <v>3570</v>
      </c>
      <c r="I259" s="378"/>
      <c r="J259" s="379"/>
    </row>
    <row r="260" spans="1:10" ht="42" customHeight="1">
      <c r="A260" s="356" t="s">
        <v>6762</v>
      </c>
      <c r="B260" s="136" t="s">
        <v>6480</v>
      </c>
      <c r="C260" s="136" t="s">
        <v>6734</v>
      </c>
      <c r="D260" s="296" t="s">
        <v>6763</v>
      </c>
      <c r="E260" s="296"/>
      <c r="F260" s="137">
        <v>4</v>
      </c>
      <c r="G260" s="136" t="s">
        <v>6764</v>
      </c>
      <c r="H260" s="137" t="s">
        <v>3570</v>
      </c>
      <c r="I260" s="378"/>
      <c r="J260" s="379"/>
    </row>
    <row r="261" spans="1:10" ht="42" customHeight="1">
      <c r="A261" s="356" t="s">
        <v>6765</v>
      </c>
      <c r="B261" s="136" t="s">
        <v>6480</v>
      </c>
      <c r="C261" s="136" t="s">
        <v>6734</v>
      </c>
      <c r="D261" s="296" t="s">
        <v>6766</v>
      </c>
      <c r="E261" s="296"/>
      <c r="F261" s="137">
        <v>3</v>
      </c>
      <c r="G261" s="136" t="s">
        <v>3488</v>
      </c>
      <c r="H261" s="137" t="s">
        <v>3570</v>
      </c>
      <c r="I261" s="378"/>
      <c r="J261" s="379"/>
    </row>
    <row r="262" spans="1:10" ht="42" customHeight="1">
      <c r="A262" s="356" t="s">
        <v>6767</v>
      </c>
      <c r="B262" s="136" t="s">
        <v>6480</v>
      </c>
      <c r="C262" s="136" t="s">
        <v>6734</v>
      </c>
      <c r="D262" s="296" t="s">
        <v>6768</v>
      </c>
      <c r="E262" s="296"/>
      <c r="F262" s="137">
        <v>3</v>
      </c>
      <c r="G262" s="136" t="s">
        <v>3665</v>
      </c>
      <c r="H262" s="137" t="s">
        <v>3570</v>
      </c>
      <c r="I262" s="378"/>
      <c r="J262" s="379"/>
    </row>
    <row r="263" spans="1:10" ht="42" customHeight="1">
      <c r="A263" s="356" t="s">
        <v>6769</v>
      </c>
      <c r="B263" s="136" t="s">
        <v>6480</v>
      </c>
      <c r="C263" s="136" t="s">
        <v>6734</v>
      </c>
      <c r="D263" s="296" t="s">
        <v>6770</v>
      </c>
      <c r="E263" s="296"/>
      <c r="F263" s="137">
        <v>4</v>
      </c>
      <c r="G263" s="136" t="s">
        <v>6318</v>
      </c>
      <c r="H263" s="137" t="s">
        <v>3570</v>
      </c>
      <c r="I263" s="378"/>
      <c r="J263" s="379"/>
    </row>
    <row r="264" spans="1:10" ht="42" customHeight="1">
      <c r="A264" s="356" t="s">
        <v>6771</v>
      </c>
      <c r="B264" s="136" t="s">
        <v>6480</v>
      </c>
      <c r="C264" s="136" t="s">
        <v>6734</v>
      </c>
      <c r="D264" s="296" t="s">
        <v>6772</v>
      </c>
      <c r="E264" s="296"/>
      <c r="F264" s="137">
        <v>3</v>
      </c>
      <c r="G264" s="136" t="s">
        <v>3466</v>
      </c>
      <c r="H264" s="137" t="s">
        <v>3570</v>
      </c>
      <c r="I264" s="378"/>
      <c r="J264" s="379"/>
    </row>
    <row r="265" spans="1:10" ht="42" customHeight="1">
      <c r="A265" s="356" t="s">
        <v>6773</v>
      </c>
      <c r="B265" s="136" t="s">
        <v>6480</v>
      </c>
      <c r="C265" s="136" t="s">
        <v>6734</v>
      </c>
      <c r="D265" s="296" t="s">
        <v>6774</v>
      </c>
      <c r="E265" s="296"/>
      <c r="F265" s="137">
        <v>2</v>
      </c>
      <c r="G265" s="136" t="s">
        <v>6775</v>
      </c>
      <c r="H265" s="137" t="s">
        <v>3570</v>
      </c>
      <c r="I265" s="378"/>
      <c r="J265" s="379"/>
    </row>
    <row r="266" spans="1:10" ht="42" customHeight="1">
      <c r="A266" s="356" t="s">
        <v>6776</v>
      </c>
      <c r="B266" s="136" t="s">
        <v>6480</v>
      </c>
      <c r="C266" s="136" t="s">
        <v>6777</v>
      </c>
      <c r="D266" s="296" t="s">
        <v>6778</v>
      </c>
      <c r="E266" s="296"/>
      <c r="F266" s="137">
        <v>4</v>
      </c>
      <c r="G266" s="136" t="s">
        <v>3665</v>
      </c>
      <c r="H266" s="137" t="s">
        <v>3570</v>
      </c>
      <c r="I266" s="378"/>
      <c r="J266" s="379"/>
    </row>
    <row r="267" spans="1:10" ht="42" customHeight="1">
      <c r="A267" s="356" t="s">
        <v>6779</v>
      </c>
      <c r="B267" s="136" t="s">
        <v>6480</v>
      </c>
      <c r="C267" s="136" t="s">
        <v>6777</v>
      </c>
      <c r="D267" s="296" t="s">
        <v>6780</v>
      </c>
      <c r="E267" s="296"/>
      <c r="F267" s="137">
        <v>3</v>
      </c>
      <c r="G267" s="136" t="s">
        <v>6289</v>
      </c>
      <c r="H267" s="137" t="s">
        <v>3570</v>
      </c>
      <c r="I267" s="378"/>
      <c r="J267" s="379"/>
    </row>
    <row r="268" spans="1:10" ht="42" customHeight="1">
      <c r="A268" s="356" t="s">
        <v>6781</v>
      </c>
      <c r="B268" s="136" t="s">
        <v>6480</v>
      </c>
      <c r="C268" s="136" t="s">
        <v>6777</v>
      </c>
      <c r="D268" s="296" t="s">
        <v>6782</v>
      </c>
      <c r="E268" s="296" t="s">
        <v>6783</v>
      </c>
      <c r="F268" s="137">
        <v>0</v>
      </c>
      <c r="G268" s="136" t="s">
        <v>6784</v>
      </c>
      <c r="H268" s="137" t="s">
        <v>6785</v>
      </c>
      <c r="I268" s="378"/>
      <c r="J268" s="379"/>
    </row>
    <row r="269" spans="1:10" ht="42" customHeight="1">
      <c r="A269" s="356" t="s">
        <v>6786</v>
      </c>
      <c r="B269" s="136" t="s">
        <v>6480</v>
      </c>
      <c r="C269" s="136" t="s">
        <v>6777</v>
      </c>
      <c r="D269" s="296" t="s">
        <v>6787</v>
      </c>
      <c r="E269" s="296"/>
      <c r="F269" s="137">
        <v>4</v>
      </c>
      <c r="G269" s="136" t="s">
        <v>6589</v>
      </c>
      <c r="H269" s="137" t="s">
        <v>3570</v>
      </c>
      <c r="I269" s="378"/>
      <c r="J269" s="379"/>
    </row>
    <row r="270" spans="1:10" ht="42" customHeight="1">
      <c r="A270" s="356" t="s">
        <v>6788</v>
      </c>
      <c r="B270" s="136" t="s">
        <v>6480</v>
      </c>
      <c r="C270" s="136" t="s">
        <v>6777</v>
      </c>
      <c r="D270" s="296" t="s">
        <v>6789</v>
      </c>
      <c r="E270" s="296"/>
      <c r="F270" s="137">
        <v>4</v>
      </c>
      <c r="G270" s="136" t="s">
        <v>6762</v>
      </c>
      <c r="H270" s="137" t="s">
        <v>3570</v>
      </c>
      <c r="I270" s="378"/>
      <c r="J270" s="379"/>
    </row>
    <row r="271" spans="1:10" ht="42" customHeight="1">
      <c r="A271" s="356" t="s">
        <v>6790</v>
      </c>
      <c r="B271" s="136" t="s">
        <v>6480</v>
      </c>
      <c r="C271" s="136" t="s">
        <v>6777</v>
      </c>
      <c r="D271" s="296" t="s">
        <v>6791</v>
      </c>
      <c r="E271" s="296"/>
      <c r="F271" s="137">
        <v>3</v>
      </c>
      <c r="G271" s="136" t="s">
        <v>3665</v>
      </c>
      <c r="H271" s="137" t="s">
        <v>3570</v>
      </c>
      <c r="I271" s="378"/>
      <c r="J271" s="379"/>
    </row>
    <row r="272" spans="1:10" ht="42" customHeight="1">
      <c r="A272" s="356" t="s">
        <v>6792</v>
      </c>
      <c r="B272" s="136" t="s">
        <v>6480</v>
      </c>
      <c r="C272" s="136" t="s">
        <v>6777</v>
      </c>
      <c r="D272" s="296" t="s">
        <v>6793</v>
      </c>
      <c r="E272" s="296"/>
      <c r="F272" s="137">
        <v>2</v>
      </c>
      <c r="G272" s="136" t="s">
        <v>3665</v>
      </c>
      <c r="H272" s="137" t="s">
        <v>3570</v>
      </c>
      <c r="I272" s="378"/>
      <c r="J272" s="379"/>
    </row>
    <row r="273" spans="1:10" ht="42" customHeight="1">
      <c r="A273" s="356" t="s">
        <v>6794</v>
      </c>
      <c r="B273" s="136" t="s">
        <v>6480</v>
      </c>
      <c r="C273" s="136" t="s">
        <v>6777</v>
      </c>
      <c r="D273" s="296" t="s">
        <v>6795</v>
      </c>
      <c r="E273" s="296"/>
      <c r="F273" s="137">
        <v>2</v>
      </c>
      <c r="G273" s="136" t="s">
        <v>6715</v>
      </c>
      <c r="H273" s="137" t="s">
        <v>3570</v>
      </c>
      <c r="I273" s="378"/>
      <c r="J273" s="379"/>
    </row>
    <row r="274" spans="1:10" ht="42" customHeight="1">
      <c r="A274" s="356" t="s">
        <v>6796</v>
      </c>
      <c r="B274" s="136" t="s">
        <v>6480</v>
      </c>
      <c r="C274" s="136" t="s">
        <v>6777</v>
      </c>
      <c r="D274" s="296" t="s">
        <v>6797</v>
      </c>
      <c r="E274" s="296"/>
      <c r="F274" s="137">
        <v>3</v>
      </c>
      <c r="G274" s="136" t="s">
        <v>3665</v>
      </c>
      <c r="H274" s="137" t="s">
        <v>3570</v>
      </c>
      <c r="I274" s="378"/>
      <c r="J274" s="379"/>
    </row>
    <row r="275" spans="1:10" ht="42" customHeight="1">
      <c r="A275" s="356" t="s">
        <v>6798</v>
      </c>
      <c r="B275" s="136" t="s">
        <v>6480</v>
      </c>
      <c r="C275" s="136" t="s">
        <v>6799</v>
      </c>
      <c r="D275" s="296" t="s">
        <v>6800</v>
      </c>
      <c r="E275" s="296" t="s">
        <v>6801</v>
      </c>
      <c r="F275" s="137">
        <v>1</v>
      </c>
      <c r="G275" s="136" t="s">
        <v>3665</v>
      </c>
      <c r="H275" s="137" t="s">
        <v>3570</v>
      </c>
      <c r="I275" s="378" t="s">
        <v>6802</v>
      </c>
      <c r="J275" s="379"/>
    </row>
    <row r="276" spans="1:10" ht="42" customHeight="1">
      <c r="A276" s="356" t="s">
        <v>6803</v>
      </c>
      <c r="B276" s="136" t="s">
        <v>6480</v>
      </c>
      <c r="C276" s="136" t="s">
        <v>6799</v>
      </c>
      <c r="D276" s="296" t="s">
        <v>6804</v>
      </c>
      <c r="E276" s="296" t="s">
        <v>6805</v>
      </c>
      <c r="F276" s="137">
        <v>2</v>
      </c>
      <c r="G276" s="136" t="s">
        <v>3665</v>
      </c>
      <c r="H276" s="137" t="s">
        <v>3570</v>
      </c>
      <c r="I276" s="378" t="s">
        <v>6802</v>
      </c>
      <c r="J276" s="379"/>
    </row>
    <row r="277" spans="1:10" ht="42" customHeight="1">
      <c r="A277" s="356" t="s">
        <v>6806</v>
      </c>
      <c r="B277" s="136" t="s">
        <v>6480</v>
      </c>
      <c r="C277" s="136" t="s">
        <v>6799</v>
      </c>
      <c r="D277" s="296" t="s">
        <v>6807</v>
      </c>
      <c r="E277" s="296" t="s">
        <v>6808</v>
      </c>
      <c r="F277" s="137">
        <v>1</v>
      </c>
      <c r="G277" s="136" t="s">
        <v>3665</v>
      </c>
      <c r="H277" s="137" t="s">
        <v>3570</v>
      </c>
      <c r="I277" s="378" t="s">
        <v>6802</v>
      </c>
      <c r="J277" s="379"/>
    </row>
    <row r="278" spans="1:10" ht="42" customHeight="1">
      <c r="A278" s="356" t="s">
        <v>6809</v>
      </c>
      <c r="B278" s="136" t="s">
        <v>6480</v>
      </c>
      <c r="C278" s="136" t="s">
        <v>6799</v>
      </c>
      <c r="D278" s="296" t="s">
        <v>6810</v>
      </c>
      <c r="E278" s="296" t="s">
        <v>6811</v>
      </c>
      <c r="F278" s="137">
        <v>3</v>
      </c>
      <c r="G278" s="136" t="s">
        <v>3665</v>
      </c>
      <c r="H278" s="137" t="s">
        <v>3570</v>
      </c>
      <c r="I278" s="378" t="s">
        <v>6802</v>
      </c>
      <c r="J278" s="379" t="s">
        <v>6812</v>
      </c>
    </row>
    <row r="279" spans="1:10" ht="42" customHeight="1">
      <c r="A279" s="356" t="s">
        <v>6813</v>
      </c>
      <c r="B279" s="136" t="s">
        <v>6480</v>
      </c>
      <c r="C279" s="136" t="s">
        <v>6799</v>
      </c>
      <c r="D279" s="296" t="s">
        <v>6814</v>
      </c>
      <c r="E279" s="296" t="s">
        <v>6815</v>
      </c>
      <c r="F279" s="137">
        <v>2</v>
      </c>
      <c r="G279" s="136" t="s">
        <v>3665</v>
      </c>
      <c r="H279" s="137" t="s">
        <v>3570</v>
      </c>
      <c r="I279" s="378" t="s">
        <v>6816</v>
      </c>
      <c r="J279" s="379" t="s">
        <v>6812</v>
      </c>
    </row>
    <row r="280" spans="1:10" ht="42" customHeight="1">
      <c r="A280" s="356" t="s">
        <v>6817</v>
      </c>
      <c r="B280" s="136" t="s">
        <v>6480</v>
      </c>
      <c r="C280" s="136" t="s">
        <v>6799</v>
      </c>
      <c r="D280" s="296" t="s">
        <v>6818</v>
      </c>
      <c r="E280" s="296" t="s">
        <v>6819</v>
      </c>
      <c r="F280" s="137">
        <v>2</v>
      </c>
      <c r="G280" s="136" t="s">
        <v>3665</v>
      </c>
      <c r="H280" s="137" t="s">
        <v>3570</v>
      </c>
      <c r="I280" s="378" t="s">
        <v>6816</v>
      </c>
      <c r="J280" s="379" t="s">
        <v>6812</v>
      </c>
    </row>
    <row r="281" spans="1:10" ht="42" customHeight="1">
      <c r="A281" s="356" t="s">
        <v>6820</v>
      </c>
      <c r="B281" s="136" t="s">
        <v>6480</v>
      </c>
      <c r="C281" s="136" t="s">
        <v>6799</v>
      </c>
      <c r="D281" s="296" t="s">
        <v>6821</v>
      </c>
      <c r="E281" s="296" t="s">
        <v>6822</v>
      </c>
      <c r="F281" s="137">
        <v>2</v>
      </c>
      <c r="G281" s="136" t="s">
        <v>3665</v>
      </c>
      <c r="H281" s="137" t="s">
        <v>3570</v>
      </c>
      <c r="I281" s="378" t="s">
        <v>6816</v>
      </c>
      <c r="J281" s="379" t="s">
        <v>6823</v>
      </c>
    </row>
    <row r="282" spans="1:10" ht="42" customHeight="1">
      <c r="A282" s="356" t="s">
        <v>6824</v>
      </c>
      <c r="B282" s="136" t="s">
        <v>6480</v>
      </c>
      <c r="C282" s="136" t="s">
        <v>6799</v>
      </c>
      <c r="D282" s="296" t="s">
        <v>6825</v>
      </c>
      <c r="E282" s="296" t="s">
        <v>6826</v>
      </c>
      <c r="F282" s="137">
        <v>2</v>
      </c>
      <c r="G282" s="136" t="s">
        <v>3665</v>
      </c>
      <c r="H282" s="137" t="s">
        <v>3570</v>
      </c>
      <c r="I282" s="378" t="s">
        <v>6816</v>
      </c>
      <c r="J282" s="379" t="s">
        <v>6812</v>
      </c>
    </row>
    <row r="283" spans="1:10" ht="42" customHeight="1">
      <c r="A283" s="356" t="s">
        <v>6827</v>
      </c>
      <c r="B283" s="136" t="s">
        <v>6480</v>
      </c>
      <c r="C283" s="136" t="s">
        <v>6799</v>
      </c>
      <c r="D283" s="296" t="s">
        <v>6828</v>
      </c>
      <c r="E283" s="296" t="s">
        <v>6829</v>
      </c>
      <c r="F283" s="137">
        <v>3</v>
      </c>
      <c r="G283" s="136" t="s">
        <v>3665</v>
      </c>
      <c r="H283" s="137" t="s">
        <v>3570</v>
      </c>
      <c r="I283" s="378" t="s">
        <v>6830</v>
      </c>
      <c r="J283" s="379" t="s">
        <v>6823</v>
      </c>
    </row>
    <row r="284" spans="1:10" ht="42" customHeight="1">
      <c r="A284" s="356" t="s">
        <v>6831</v>
      </c>
      <c r="B284" s="136" t="s">
        <v>6480</v>
      </c>
      <c r="C284" s="136" t="s">
        <v>6799</v>
      </c>
      <c r="D284" s="296" t="s">
        <v>6832</v>
      </c>
      <c r="E284" s="296" t="s">
        <v>6833</v>
      </c>
      <c r="F284" s="137">
        <v>3</v>
      </c>
      <c r="G284" s="136" t="s">
        <v>3665</v>
      </c>
      <c r="H284" s="137" t="s">
        <v>3570</v>
      </c>
      <c r="I284" s="378" t="s">
        <v>6830</v>
      </c>
      <c r="J284" s="379" t="s">
        <v>6823</v>
      </c>
    </row>
    <row r="285" spans="1:10" ht="42" customHeight="1">
      <c r="A285" s="356" t="s">
        <v>6834</v>
      </c>
      <c r="B285" s="136" t="s">
        <v>6480</v>
      </c>
      <c r="C285" s="136" t="s">
        <v>6799</v>
      </c>
      <c r="D285" s="296" t="s">
        <v>6835</v>
      </c>
      <c r="E285" s="296" t="s">
        <v>6836</v>
      </c>
      <c r="F285" s="137">
        <v>2</v>
      </c>
      <c r="G285" s="136" t="s">
        <v>3665</v>
      </c>
      <c r="H285" s="137" t="s">
        <v>3570</v>
      </c>
      <c r="I285" s="378" t="s">
        <v>6830</v>
      </c>
      <c r="J285" s="379" t="s">
        <v>6837</v>
      </c>
    </row>
    <row r="286" spans="1:10" ht="42" customHeight="1">
      <c r="A286" s="356" t="s">
        <v>6838</v>
      </c>
      <c r="B286" s="136" t="s">
        <v>6480</v>
      </c>
      <c r="C286" s="136" t="s">
        <v>6799</v>
      </c>
      <c r="D286" s="296" t="s">
        <v>6839</v>
      </c>
      <c r="E286" s="296" t="s">
        <v>6840</v>
      </c>
      <c r="F286" s="137">
        <v>2</v>
      </c>
      <c r="G286" s="136" t="s">
        <v>3665</v>
      </c>
      <c r="H286" s="137" t="s">
        <v>3570</v>
      </c>
      <c r="I286" s="378" t="s">
        <v>6830</v>
      </c>
      <c r="J286" s="379" t="s">
        <v>6812</v>
      </c>
    </row>
    <row r="287" spans="1:10" ht="42" customHeight="1">
      <c r="A287" s="356" t="s">
        <v>6841</v>
      </c>
      <c r="B287" s="136" t="s">
        <v>6480</v>
      </c>
      <c r="C287" s="136" t="s">
        <v>6799</v>
      </c>
      <c r="D287" s="296" t="s">
        <v>6842</v>
      </c>
      <c r="E287" s="296" t="s">
        <v>6843</v>
      </c>
      <c r="F287" s="137">
        <v>3</v>
      </c>
      <c r="G287" s="136" t="s">
        <v>3665</v>
      </c>
      <c r="H287" s="137" t="s">
        <v>3570</v>
      </c>
      <c r="I287" s="378" t="s">
        <v>6830</v>
      </c>
      <c r="J287" s="379" t="s">
        <v>6812</v>
      </c>
    </row>
    <row r="288" spans="1:10" ht="42" customHeight="1">
      <c r="A288" s="356" t="s">
        <v>6844</v>
      </c>
      <c r="B288" s="136" t="s">
        <v>6480</v>
      </c>
      <c r="C288" s="136" t="s">
        <v>6799</v>
      </c>
      <c r="D288" s="296" t="s">
        <v>6845</v>
      </c>
      <c r="E288" s="296" t="s">
        <v>6846</v>
      </c>
      <c r="F288" s="137">
        <v>2</v>
      </c>
      <c r="G288" s="136" t="s">
        <v>3665</v>
      </c>
      <c r="H288" s="137" t="s">
        <v>3570</v>
      </c>
      <c r="I288" s="378" t="s">
        <v>6847</v>
      </c>
      <c r="J288" s="379" t="s">
        <v>6823</v>
      </c>
    </row>
    <row r="289" spans="1:10" ht="42" customHeight="1">
      <c r="A289" s="356" t="s">
        <v>6848</v>
      </c>
      <c r="B289" s="136" t="s">
        <v>6480</v>
      </c>
      <c r="C289" s="136" t="s">
        <v>6799</v>
      </c>
      <c r="D289" s="296" t="s">
        <v>6849</v>
      </c>
      <c r="E289" s="296" t="s">
        <v>6850</v>
      </c>
      <c r="F289" s="137">
        <v>2</v>
      </c>
      <c r="G289" s="136" t="s">
        <v>3665</v>
      </c>
      <c r="H289" s="137" t="s">
        <v>3570</v>
      </c>
      <c r="I289" s="378" t="s">
        <v>6847</v>
      </c>
      <c r="J289" s="379" t="s">
        <v>6823</v>
      </c>
    </row>
    <row r="290" spans="1:10" ht="42" customHeight="1">
      <c r="A290" s="356" t="s">
        <v>6851</v>
      </c>
      <c r="B290" s="136" t="s">
        <v>6480</v>
      </c>
      <c r="C290" s="136" t="s">
        <v>6799</v>
      </c>
      <c r="D290" s="296" t="s">
        <v>6852</v>
      </c>
      <c r="E290" s="296" t="s">
        <v>6853</v>
      </c>
      <c r="F290" s="137">
        <v>4</v>
      </c>
      <c r="G290" s="136" t="s">
        <v>3665</v>
      </c>
      <c r="H290" s="137" t="s">
        <v>3570</v>
      </c>
      <c r="I290" s="378" t="s">
        <v>6847</v>
      </c>
      <c r="J290" s="379" t="s">
        <v>6823</v>
      </c>
    </row>
    <row r="291" spans="1:10" ht="42" customHeight="1">
      <c r="A291" s="356" t="s">
        <v>6854</v>
      </c>
      <c r="B291" s="136" t="s">
        <v>6480</v>
      </c>
      <c r="C291" s="136" t="s">
        <v>6799</v>
      </c>
      <c r="D291" s="296" t="s">
        <v>6855</v>
      </c>
      <c r="E291" s="296" t="s">
        <v>6856</v>
      </c>
      <c r="F291" s="137">
        <v>2</v>
      </c>
      <c r="G291" s="136" t="s">
        <v>3665</v>
      </c>
      <c r="H291" s="137" t="s">
        <v>3570</v>
      </c>
      <c r="I291" s="378" t="s">
        <v>6847</v>
      </c>
      <c r="J291" s="379" t="s">
        <v>6823</v>
      </c>
    </row>
    <row r="292" spans="1:10" ht="42" customHeight="1">
      <c r="A292" s="356" t="s">
        <v>6857</v>
      </c>
      <c r="B292" s="136" t="s">
        <v>6480</v>
      </c>
      <c r="C292" s="136" t="s">
        <v>6799</v>
      </c>
      <c r="D292" s="296" t="s">
        <v>6858</v>
      </c>
      <c r="E292" s="296" t="s">
        <v>6859</v>
      </c>
      <c r="F292" s="137">
        <v>3</v>
      </c>
      <c r="G292" s="136" t="s">
        <v>3665</v>
      </c>
      <c r="H292" s="137" t="s">
        <v>3570</v>
      </c>
      <c r="I292" s="378" t="s">
        <v>6847</v>
      </c>
      <c r="J292" s="379" t="s">
        <v>6823</v>
      </c>
    </row>
    <row r="293" spans="1:10" ht="42" customHeight="1">
      <c r="A293" s="356" t="s">
        <v>6860</v>
      </c>
      <c r="B293" s="136" t="s">
        <v>6480</v>
      </c>
      <c r="C293" s="136" t="s">
        <v>6799</v>
      </c>
      <c r="D293" s="296" t="s">
        <v>6861</v>
      </c>
      <c r="E293" s="296" t="s">
        <v>6862</v>
      </c>
      <c r="F293" s="137">
        <v>3</v>
      </c>
      <c r="G293" s="136" t="s">
        <v>3665</v>
      </c>
      <c r="H293" s="137" t="s">
        <v>3570</v>
      </c>
      <c r="I293" s="378" t="s">
        <v>6847</v>
      </c>
      <c r="J293" s="379" t="s">
        <v>6823</v>
      </c>
    </row>
    <row r="294" spans="1:10" ht="42" customHeight="1">
      <c r="A294" s="356" t="s">
        <v>6863</v>
      </c>
      <c r="B294" s="136" t="s">
        <v>6480</v>
      </c>
      <c r="C294" s="136" t="s">
        <v>6799</v>
      </c>
      <c r="D294" s="296" t="s">
        <v>6864</v>
      </c>
      <c r="E294" s="296" t="s">
        <v>6865</v>
      </c>
      <c r="F294" s="137">
        <v>3</v>
      </c>
      <c r="G294" s="136" t="s">
        <v>3665</v>
      </c>
      <c r="H294" s="137" t="s">
        <v>3570</v>
      </c>
      <c r="I294" s="378" t="s">
        <v>6847</v>
      </c>
      <c r="J294" s="379" t="s">
        <v>6823</v>
      </c>
    </row>
    <row r="295" spans="1:10" ht="42" customHeight="1">
      <c r="A295" s="356" t="s">
        <v>6866</v>
      </c>
      <c r="B295" s="136" t="s">
        <v>6480</v>
      </c>
      <c r="C295" s="136" t="s">
        <v>6799</v>
      </c>
      <c r="D295" s="296" t="s">
        <v>3467</v>
      </c>
      <c r="E295" s="296" t="s">
        <v>6867</v>
      </c>
      <c r="F295" s="137">
        <v>2</v>
      </c>
      <c r="G295" s="136" t="s">
        <v>3665</v>
      </c>
      <c r="H295" s="137" t="s">
        <v>3570</v>
      </c>
      <c r="I295" s="378" t="s">
        <v>6847</v>
      </c>
      <c r="J295" s="379" t="s">
        <v>6812</v>
      </c>
    </row>
    <row r="296" spans="1:10" ht="42" customHeight="1">
      <c r="A296" s="356" t="s">
        <v>6868</v>
      </c>
      <c r="B296" s="136" t="s">
        <v>6480</v>
      </c>
      <c r="C296" s="136" t="s">
        <v>6799</v>
      </c>
      <c r="D296" s="296" t="s">
        <v>6869</v>
      </c>
      <c r="E296" s="296" t="s">
        <v>6870</v>
      </c>
      <c r="F296" s="137">
        <v>2</v>
      </c>
      <c r="G296" s="136" t="s">
        <v>3665</v>
      </c>
      <c r="H296" s="137" t="s">
        <v>3570</v>
      </c>
      <c r="I296" s="378" t="s">
        <v>6847</v>
      </c>
      <c r="J296" s="379" t="s">
        <v>6823</v>
      </c>
    </row>
    <row r="297" spans="1:10" ht="42" customHeight="1">
      <c r="A297" s="356" t="s">
        <v>6871</v>
      </c>
      <c r="B297" s="136" t="s">
        <v>6480</v>
      </c>
      <c r="C297" s="136" t="s">
        <v>6799</v>
      </c>
      <c r="D297" s="296" t="s">
        <v>6872</v>
      </c>
      <c r="E297" s="296" t="s">
        <v>6873</v>
      </c>
      <c r="F297" s="137">
        <v>3</v>
      </c>
      <c r="G297" s="136" t="s">
        <v>3665</v>
      </c>
      <c r="H297" s="137" t="s">
        <v>3570</v>
      </c>
      <c r="I297" s="378" t="s">
        <v>6847</v>
      </c>
      <c r="J297" s="379" t="s">
        <v>6823</v>
      </c>
    </row>
    <row r="298" spans="1:10" ht="42" customHeight="1">
      <c r="A298" s="356" t="s">
        <v>6874</v>
      </c>
      <c r="B298" s="136" t="s">
        <v>6480</v>
      </c>
      <c r="C298" s="136" t="s">
        <v>6799</v>
      </c>
      <c r="D298" s="296" t="s">
        <v>6875</v>
      </c>
      <c r="E298" s="296" t="s">
        <v>6876</v>
      </c>
      <c r="F298" s="137">
        <v>2</v>
      </c>
      <c r="G298" s="136" t="s">
        <v>3665</v>
      </c>
      <c r="H298" s="137" t="s">
        <v>3570</v>
      </c>
      <c r="I298" s="378" t="s">
        <v>6847</v>
      </c>
      <c r="J298" s="379" t="s">
        <v>6823</v>
      </c>
    </row>
    <row r="299" spans="1:10" ht="42" customHeight="1">
      <c r="A299" s="356" t="s">
        <v>6877</v>
      </c>
      <c r="B299" s="136" t="s">
        <v>6480</v>
      </c>
      <c r="C299" s="136" t="s">
        <v>6799</v>
      </c>
      <c r="D299" s="296" t="s">
        <v>6878</v>
      </c>
      <c r="E299" s="296" t="s">
        <v>6879</v>
      </c>
      <c r="F299" s="137">
        <v>2</v>
      </c>
      <c r="G299" s="136" t="s">
        <v>3665</v>
      </c>
      <c r="H299" s="137" t="s">
        <v>3570</v>
      </c>
      <c r="I299" s="378" t="s">
        <v>6847</v>
      </c>
      <c r="J299" s="379" t="s">
        <v>6837</v>
      </c>
    </row>
    <row r="300" spans="1:10" ht="42" customHeight="1">
      <c r="A300" s="356" t="s">
        <v>6880</v>
      </c>
      <c r="B300" s="136" t="s">
        <v>6480</v>
      </c>
      <c r="C300" s="136" t="s">
        <v>6799</v>
      </c>
      <c r="D300" s="296" t="s">
        <v>6881</v>
      </c>
      <c r="E300" s="296" t="s">
        <v>6882</v>
      </c>
      <c r="F300" s="137">
        <v>2</v>
      </c>
      <c r="G300" s="136" t="s">
        <v>3665</v>
      </c>
      <c r="H300" s="137" t="s">
        <v>3570</v>
      </c>
      <c r="I300" s="378" t="s">
        <v>6883</v>
      </c>
      <c r="J300" s="379" t="s">
        <v>6823</v>
      </c>
    </row>
    <row r="301" spans="1:10" ht="42" customHeight="1">
      <c r="A301" s="356" t="s">
        <v>6884</v>
      </c>
      <c r="B301" s="136" t="s">
        <v>6480</v>
      </c>
      <c r="C301" s="136" t="s">
        <v>6799</v>
      </c>
      <c r="D301" s="296" t="s">
        <v>6885</v>
      </c>
      <c r="E301" s="296" t="s">
        <v>6886</v>
      </c>
      <c r="F301" s="137">
        <v>2</v>
      </c>
      <c r="G301" s="136" t="s">
        <v>3665</v>
      </c>
      <c r="H301" s="137" t="s">
        <v>3570</v>
      </c>
      <c r="I301" s="378" t="s">
        <v>6883</v>
      </c>
      <c r="J301" s="379" t="s">
        <v>6812</v>
      </c>
    </row>
    <row r="302" spans="1:10" ht="42" customHeight="1">
      <c r="A302" s="356" t="s">
        <v>6887</v>
      </c>
      <c r="B302" s="136" t="s">
        <v>6480</v>
      </c>
      <c r="C302" s="136" t="s">
        <v>6799</v>
      </c>
      <c r="D302" s="296" t="s">
        <v>6888</v>
      </c>
      <c r="E302" s="296" t="s">
        <v>6889</v>
      </c>
      <c r="F302" s="137">
        <v>3</v>
      </c>
      <c r="G302" s="136" t="s">
        <v>3665</v>
      </c>
      <c r="H302" s="137" t="s">
        <v>3570</v>
      </c>
      <c r="I302" s="378" t="s">
        <v>6883</v>
      </c>
      <c r="J302" s="379" t="s">
        <v>6823</v>
      </c>
    </row>
    <row r="303" spans="1:10" ht="42" customHeight="1">
      <c r="A303" s="356" t="s">
        <v>6890</v>
      </c>
      <c r="B303" s="136" t="s">
        <v>6480</v>
      </c>
      <c r="C303" s="136" t="s">
        <v>6799</v>
      </c>
      <c r="D303" s="296" t="s">
        <v>6891</v>
      </c>
      <c r="E303" s="296" t="s">
        <v>6892</v>
      </c>
      <c r="F303" s="137">
        <v>1</v>
      </c>
      <c r="G303" s="136" t="s">
        <v>3665</v>
      </c>
      <c r="H303" s="137" t="s">
        <v>3570</v>
      </c>
      <c r="I303" s="378" t="s">
        <v>6883</v>
      </c>
      <c r="J303" s="379" t="s">
        <v>6812</v>
      </c>
    </row>
    <row r="304" spans="1:10" ht="42" customHeight="1">
      <c r="A304" s="356" t="s">
        <v>6893</v>
      </c>
      <c r="B304" s="136" t="s">
        <v>6480</v>
      </c>
      <c r="C304" s="136" t="s">
        <v>6799</v>
      </c>
      <c r="D304" s="296" t="s">
        <v>6894</v>
      </c>
      <c r="E304" s="296" t="s">
        <v>6895</v>
      </c>
      <c r="F304" s="137">
        <v>3</v>
      </c>
      <c r="G304" s="136" t="s">
        <v>3665</v>
      </c>
      <c r="H304" s="137" t="s">
        <v>3570</v>
      </c>
      <c r="I304" s="378" t="s">
        <v>6896</v>
      </c>
      <c r="J304" s="379" t="s">
        <v>6812</v>
      </c>
    </row>
    <row r="305" spans="1:10" ht="42" customHeight="1">
      <c r="A305" s="356" t="s">
        <v>6897</v>
      </c>
      <c r="B305" s="136" t="s">
        <v>6480</v>
      </c>
      <c r="C305" s="136" t="s">
        <v>6799</v>
      </c>
      <c r="D305" s="296" t="s">
        <v>6898</v>
      </c>
      <c r="E305" s="296" t="s">
        <v>6899</v>
      </c>
      <c r="F305" s="137">
        <v>1</v>
      </c>
      <c r="G305" s="136" t="s">
        <v>3665</v>
      </c>
      <c r="H305" s="137" t="s">
        <v>3570</v>
      </c>
      <c r="I305" s="378" t="s">
        <v>6896</v>
      </c>
      <c r="J305" s="379" t="s">
        <v>6812</v>
      </c>
    </row>
    <row r="306" spans="1:10" ht="42" customHeight="1">
      <c r="A306" s="356" t="s">
        <v>6900</v>
      </c>
      <c r="B306" s="136" t="s">
        <v>6480</v>
      </c>
      <c r="C306" s="136" t="s">
        <v>6799</v>
      </c>
      <c r="D306" s="296" t="s">
        <v>6901</v>
      </c>
      <c r="E306" s="296" t="s">
        <v>6902</v>
      </c>
      <c r="F306" s="137">
        <v>1</v>
      </c>
      <c r="G306" s="136" t="s">
        <v>3665</v>
      </c>
      <c r="H306" s="137" t="s">
        <v>3570</v>
      </c>
      <c r="I306" s="378" t="s">
        <v>6896</v>
      </c>
      <c r="J306" s="379"/>
    </row>
    <row r="307" spans="1:10" ht="42" customHeight="1">
      <c r="A307" s="356" t="s">
        <v>6903</v>
      </c>
      <c r="B307" s="136" t="s">
        <v>6480</v>
      </c>
      <c r="C307" s="136" t="s">
        <v>6799</v>
      </c>
      <c r="D307" s="296" t="s">
        <v>6904</v>
      </c>
      <c r="E307" s="296" t="s">
        <v>6905</v>
      </c>
      <c r="F307" s="137">
        <v>1</v>
      </c>
      <c r="G307" s="136" t="s">
        <v>3665</v>
      </c>
      <c r="H307" s="137" t="s">
        <v>3570</v>
      </c>
      <c r="I307" s="378" t="s">
        <v>6896</v>
      </c>
      <c r="J307" s="379" t="s">
        <v>6837</v>
      </c>
    </row>
    <row r="308" spans="1:10" ht="42" customHeight="1">
      <c r="A308" s="356" t="s">
        <v>6906</v>
      </c>
      <c r="B308" s="136" t="s">
        <v>6480</v>
      </c>
      <c r="C308" s="136" t="s">
        <v>6799</v>
      </c>
      <c r="D308" s="296" t="s">
        <v>6907</v>
      </c>
      <c r="E308" s="296" t="s">
        <v>6908</v>
      </c>
      <c r="F308" s="137">
        <v>2</v>
      </c>
      <c r="G308" s="136" t="s">
        <v>3665</v>
      </c>
      <c r="H308" s="137" t="s">
        <v>3570</v>
      </c>
      <c r="I308" s="378" t="s">
        <v>6909</v>
      </c>
      <c r="J308" s="379" t="s">
        <v>6837</v>
      </c>
    </row>
    <row r="309" spans="1:10" ht="42" customHeight="1">
      <c r="A309" s="356" t="s">
        <v>6910</v>
      </c>
      <c r="B309" s="136" t="s">
        <v>6480</v>
      </c>
      <c r="C309" s="136" t="s">
        <v>6799</v>
      </c>
      <c r="D309" s="296" t="s">
        <v>6911</v>
      </c>
      <c r="E309" s="296" t="s">
        <v>6912</v>
      </c>
      <c r="F309" s="137">
        <v>2</v>
      </c>
      <c r="G309" s="136" t="s">
        <v>3665</v>
      </c>
      <c r="H309" s="137" t="s">
        <v>3570</v>
      </c>
      <c r="I309" s="378" t="s">
        <v>6909</v>
      </c>
      <c r="J309" s="379" t="s">
        <v>6812</v>
      </c>
    </row>
    <row r="310" spans="1:10" ht="42" customHeight="1">
      <c r="A310" s="356" t="s">
        <v>6913</v>
      </c>
      <c r="B310" s="136" t="s">
        <v>6480</v>
      </c>
      <c r="C310" s="136" t="s">
        <v>6799</v>
      </c>
      <c r="D310" s="296" t="s">
        <v>6914</v>
      </c>
      <c r="E310" s="296" t="s">
        <v>6915</v>
      </c>
      <c r="F310" s="137">
        <v>1</v>
      </c>
      <c r="G310" s="136" t="s">
        <v>3665</v>
      </c>
      <c r="H310" s="137" t="s">
        <v>3570</v>
      </c>
      <c r="I310" s="378" t="s">
        <v>6909</v>
      </c>
      <c r="J310" s="379" t="s">
        <v>6837</v>
      </c>
    </row>
    <row r="311" spans="1:10" ht="42" customHeight="1">
      <c r="A311" s="356" t="s">
        <v>6916</v>
      </c>
      <c r="B311" s="136" t="s">
        <v>6480</v>
      </c>
      <c r="C311" s="136" t="s">
        <v>6799</v>
      </c>
      <c r="D311" s="296" t="s">
        <v>6917</v>
      </c>
      <c r="E311" s="296" t="s">
        <v>6918</v>
      </c>
      <c r="F311" s="137">
        <v>2</v>
      </c>
      <c r="G311" s="136" t="s">
        <v>3665</v>
      </c>
      <c r="H311" s="137" t="s">
        <v>3570</v>
      </c>
      <c r="I311" s="378" t="s">
        <v>6919</v>
      </c>
      <c r="J311" s="379" t="s">
        <v>6812</v>
      </c>
    </row>
    <row r="312" spans="1:10" ht="42" customHeight="1">
      <c r="A312" s="356" t="s">
        <v>6920</v>
      </c>
      <c r="B312" s="136" t="s">
        <v>6480</v>
      </c>
      <c r="C312" s="136" t="s">
        <v>6799</v>
      </c>
      <c r="D312" s="296" t="s">
        <v>6921</v>
      </c>
      <c r="E312" s="296" t="s">
        <v>6922</v>
      </c>
      <c r="F312" s="137">
        <v>2</v>
      </c>
      <c r="G312" s="136" t="s">
        <v>3665</v>
      </c>
      <c r="H312" s="137" t="s">
        <v>3570</v>
      </c>
      <c r="I312" s="378" t="s">
        <v>6919</v>
      </c>
      <c r="J312" s="379" t="s">
        <v>6823</v>
      </c>
    </row>
    <row r="313" spans="1:10" ht="42" customHeight="1">
      <c r="A313" s="356" t="s">
        <v>6923</v>
      </c>
      <c r="B313" s="136" t="s">
        <v>6480</v>
      </c>
      <c r="C313" s="136" t="s">
        <v>6799</v>
      </c>
      <c r="D313" s="296" t="s">
        <v>6924</v>
      </c>
      <c r="E313" s="296" t="s">
        <v>6925</v>
      </c>
      <c r="F313" s="137">
        <v>2</v>
      </c>
      <c r="G313" s="136" t="s">
        <v>3665</v>
      </c>
      <c r="H313" s="137" t="s">
        <v>3570</v>
      </c>
      <c r="I313" s="378" t="s">
        <v>6919</v>
      </c>
      <c r="J313" s="379" t="s">
        <v>6812</v>
      </c>
    </row>
    <row r="314" spans="1:10" ht="42" customHeight="1">
      <c r="A314" s="356" t="s">
        <v>6926</v>
      </c>
      <c r="B314" s="136" t="s">
        <v>6480</v>
      </c>
      <c r="C314" s="136" t="s">
        <v>6799</v>
      </c>
      <c r="D314" s="296" t="s">
        <v>6927</v>
      </c>
      <c r="E314" s="296" t="s">
        <v>6928</v>
      </c>
      <c r="F314" s="137">
        <v>2</v>
      </c>
      <c r="G314" s="136" t="s">
        <v>3665</v>
      </c>
      <c r="H314" s="137" t="s">
        <v>3570</v>
      </c>
      <c r="I314" s="378" t="s">
        <v>6919</v>
      </c>
      <c r="J314" s="379" t="s">
        <v>6823</v>
      </c>
    </row>
    <row r="315" spans="1:10" ht="42" customHeight="1">
      <c r="A315" s="356" t="s">
        <v>6929</v>
      </c>
      <c r="B315" s="136" t="s">
        <v>6480</v>
      </c>
      <c r="C315" s="136" t="s">
        <v>6799</v>
      </c>
      <c r="D315" s="296" t="s">
        <v>6930</v>
      </c>
      <c r="E315" s="296" t="s">
        <v>6931</v>
      </c>
      <c r="F315" s="137">
        <v>1</v>
      </c>
      <c r="G315" s="136" t="s">
        <v>3665</v>
      </c>
      <c r="H315" s="137" t="s">
        <v>3570</v>
      </c>
      <c r="I315" s="378" t="s">
        <v>6919</v>
      </c>
      <c r="J315" s="379" t="s">
        <v>6812</v>
      </c>
    </row>
    <row r="316" spans="1:10" ht="42" customHeight="1">
      <c r="A316" s="356" t="s">
        <v>6932</v>
      </c>
      <c r="B316" s="136" t="s">
        <v>6480</v>
      </c>
      <c r="C316" s="136" t="s">
        <v>6799</v>
      </c>
      <c r="D316" s="296" t="s">
        <v>6933</v>
      </c>
      <c r="E316" s="296" t="s">
        <v>6934</v>
      </c>
      <c r="F316" s="137">
        <v>2</v>
      </c>
      <c r="G316" s="136" t="s">
        <v>3665</v>
      </c>
      <c r="H316" s="137" t="s">
        <v>3570</v>
      </c>
      <c r="I316" s="378" t="s">
        <v>6935</v>
      </c>
      <c r="J316" s="379" t="s">
        <v>6812</v>
      </c>
    </row>
    <row r="317" spans="1:10" ht="42" customHeight="1">
      <c r="A317" s="356" t="s">
        <v>6936</v>
      </c>
      <c r="B317" s="136" t="s">
        <v>6480</v>
      </c>
      <c r="C317" s="136" t="s">
        <v>6799</v>
      </c>
      <c r="D317" s="296" t="s">
        <v>6937</v>
      </c>
      <c r="E317" s="296" t="s">
        <v>6938</v>
      </c>
      <c r="F317" s="137">
        <v>3</v>
      </c>
      <c r="G317" s="136" t="s">
        <v>3665</v>
      </c>
      <c r="H317" s="137" t="s">
        <v>3570</v>
      </c>
      <c r="I317" s="378" t="s">
        <v>6935</v>
      </c>
      <c r="J317" s="379" t="s">
        <v>6812</v>
      </c>
    </row>
    <row r="318" spans="1:10" ht="42" customHeight="1">
      <c r="A318" s="356" t="s">
        <v>6939</v>
      </c>
      <c r="B318" s="136" t="s">
        <v>6480</v>
      </c>
      <c r="C318" s="136" t="s">
        <v>6799</v>
      </c>
      <c r="D318" s="296" t="s">
        <v>6940</v>
      </c>
      <c r="E318" s="296" t="s">
        <v>6941</v>
      </c>
      <c r="F318" s="137">
        <v>1</v>
      </c>
      <c r="G318" s="136" t="s">
        <v>3665</v>
      </c>
      <c r="H318" s="137" t="s">
        <v>3570</v>
      </c>
      <c r="I318" s="378" t="s">
        <v>6935</v>
      </c>
      <c r="J318" s="379" t="s">
        <v>6812</v>
      </c>
    </row>
    <row r="319" spans="1:10" ht="42" customHeight="1">
      <c r="A319" s="356" t="s">
        <v>6942</v>
      </c>
      <c r="B319" s="136" t="s">
        <v>6480</v>
      </c>
      <c r="C319" s="136" t="s">
        <v>6799</v>
      </c>
      <c r="D319" s="296" t="s">
        <v>6943</v>
      </c>
      <c r="E319" s="296" t="s">
        <v>6944</v>
      </c>
      <c r="F319" s="137">
        <v>1</v>
      </c>
      <c r="G319" s="136" t="s">
        <v>3665</v>
      </c>
      <c r="H319" s="137" t="s">
        <v>3570</v>
      </c>
      <c r="I319" s="378" t="s">
        <v>6935</v>
      </c>
      <c r="J319" s="379" t="s">
        <v>6837</v>
      </c>
    </row>
    <row r="320" spans="1:10" ht="42" customHeight="1">
      <c r="A320" s="356" t="s">
        <v>6945</v>
      </c>
      <c r="B320" s="136" t="s">
        <v>6480</v>
      </c>
      <c r="C320" s="136" t="s">
        <v>6799</v>
      </c>
      <c r="D320" s="296" t="s">
        <v>6946</v>
      </c>
      <c r="E320" s="296" t="s">
        <v>6947</v>
      </c>
      <c r="F320" s="137">
        <v>1</v>
      </c>
      <c r="G320" s="136" t="s">
        <v>3665</v>
      </c>
      <c r="H320" s="137" t="s">
        <v>3570</v>
      </c>
      <c r="I320" s="378" t="s">
        <v>6948</v>
      </c>
      <c r="J320" s="379"/>
    </row>
    <row r="321" spans="1:10" ht="42" customHeight="1">
      <c r="A321" s="356" t="s">
        <v>6949</v>
      </c>
      <c r="B321" s="136" t="s">
        <v>6480</v>
      </c>
      <c r="C321" s="136" t="s">
        <v>6799</v>
      </c>
      <c r="D321" s="296" t="s">
        <v>6950</v>
      </c>
      <c r="E321" s="296" t="s">
        <v>6951</v>
      </c>
      <c r="F321" s="137">
        <v>2</v>
      </c>
      <c r="G321" s="136" t="s">
        <v>3665</v>
      </c>
      <c r="H321" s="137" t="s">
        <v>3570</v>
      </c>
      <c r="I321" s="378" t="s">
        <v>6948</v>
      </c>
      <c r="J321" s="379" t="s">
        <v>6812</v>
      </c>
    </row>
    <row r="322" spans="1:10" ht="42" customHeight="1">
      <c r="A322" s="356" t="s">
        <v>6952</v>
      </c>
      <c r="B322" s="136" t="s">
        <v>6480</v>
      </c>
      <c r="C322" s="136" t="s">
        <v>6799</v>
      </c>
      <c r="D322" s="296" t="s">
        <v>6953</v>
      </c>
      <c r="E322" s="296" t="s">
        <v>6954</v>
      </c>
      <c r="F322" s="137">
        <v>1</v>
      </c>
      <c r="G322" s="136" t="s">
        <v>3665</v>
      </c>
      <c r="H322" s="137" t="s">
        <v>3570</v>
      </c>
      <c r="I322" s="378" t="s">
        <v>6948</v>
      </c>
      <c r="J322" s="379" t="s">
        <v>6823</v>
      </c>
    </row>
    <row r="323" spans="1:10" ht="42" customHeight="1">
      <c r="A323" s="356" t="s">
        <v>6955</v>
      </c>
      <c r="B323" s="136" t="s">
        <v>6480</v>
      </c>
      <c r="C323" s="136" t="s">
        <v>6799</v>
      </c>
      <c r="D323" s="296" t="s">
        <v>6956</v>
      </c>
      <c r="E323" s="296" t="s">
        <v>6957</v>
      </c>
      <c r="F323" s="137">
        <v>1</v>
      </c>
      <c r="G323" s="136" t="s">
        <v>3665</v>
      </c>
      <c r="H323" s="137" t="s">
        <v>3570</v>
      </c>
      <c r="I323" s="378" t="s">
        <v>6948</v>
      </c>
      <c r="J323" s="379" t="s">
        <v>6812</v>
      </c>
    </row>
    <row r="324" spans="1:10" ht="42" customHeight="1">
      <c r="A324" s="356" t="s">
        <v>6958</v>
      </c>
      <c r="B324" s="136" t="s">
        <v>6480</v>
      </c>
      <c r="C324" s="136" t="s">
        <v>6799</v>
      </c>
      <c r="D324" s="296" t="s">
        <v>6959</v>
      </c>
      <c r="E324" s="296" t="s">
        <v>6960</v>
      </c>
      <c r="F324" s="137">
        <v>1</v>
      </c>
      <c r="G324" s="136" t="s">
        <v>3665</v>
      </c>
      <c r="H324" s="137" t="s">
        <v>3570</v>
      </c>
      <c r="I324" s="378" t="s">
        <v>6948</v>
      </c>
      <c r="J324" s="379"/>
    </row>
    <row r="325" spans="1:10" ht="42" customHeight="1">
      <c r="A325" s="356" t="s">
        <v>6961</v>
      </c>
      <c r="B325" s="136" t="s">
        <v>6480</v>
      </c>
      <c r="C325" s="136" t="s">
        <v>6799</v>
      </c>
      <c r="D325" s="296" t="s">
        <v>6962</v>
      </c>
      <c r="E325" s="296" t="s">
        <v>6963</v>
      </c>
      <c r="F325" s="137">
        <v>3</v>
      </c>
      <c r="G325" s="136" t="s">
        <v>3665</v>
      </c>
      <c r="H325" s="137" t="s">
        <v>3570</v>
      </c>
      <c r="I325" s="378" t="s">
        <v>6964</v>
      </c>
      <c r="J325" s="379"/>
    </row>
    <row r="326" spans="1:10" ht="42" customHeight="1">
      <c r="A326" s="356" t="s">
        <v>6965</v>
      </c>
      <c r="B326" s="136" t="s">
        <v>6480</v>
      </c>
      <c r="C326" s="136" t="s">
        <v>6799</v>
      </c>
      <c r="D326" s="296" t="s">
        <v>6966</v>
      </c>
      <c r="E326" s="296" t="s">
        <v>6967</v>
      </c>
      <c r="F326" s="137">
        <v>3</v>
      </c>
      <c r="G326" s="136" t="s">
        <v>3665</v>
      </c>
      <c r="H326" s="137" t="s">
        <v>3570</v>
      </c>
      <c r="I326" s="378" t="s">
        <v>6964</v>
      </c>
      <c r="J326" s="379"/>
    </row>
    <row r="327" spans="1:10" ht="42" customHeight="1">
      <c r="A327" s="357" t="s">
        <v>6968</v>
      </c>
      <c r="B327" s="312" t="s">
        <v>6480</v>
      </c>
      <c r="C327" s="312" t="s">
        <v>6799</v>
      </c>
      <c r="D327" s="299" t="s">
        <v>6969</v>
      </c>
      <c r="E327" s="299" t="s">
        <v>6963</v>
      </c>
      <c r="F327" s="313">
        <v>3</v>
      </c>
      <c r="G327" s="312" t="s">
        <v>3665</v>
      </c>
      <c r="H327" s="313" t="s">
        <v>3570</v>
      </c>
      <c r="I327" s="380" t="s">
        <v>6964</v>
      </c>
      <c r="J327" s="381"/>
    </row>
    <row r="330" spans="1:10">
      <c r="A330" s="382" t="s">
        <v>6974</v>
      </c>
    </row>
    <row r="331" spans="1:10">
      <c r="A331" s="1" t="s">
        <v>6975</v>
      </c>
    </row>
    <row r="332" spans="1:10">
      <c r="A332" s="1" t="s">
        <v>6976</v>
      </c>
    </row>
    <row r="333" spans="1:10">
      <c r="A333" s="1" t="s">
        <v>6977</v>
      </c>
    </row>
    <row r="334" spans="1:10">
      <c r="A334" s="1" t="s">
        <v>6978</v>
      </c>
    </row>
    <row r="335" spans="1:10">
      <c r="A335" s="1" t="s">
        <v>6979</v>
      </c>
    </row>
    <row r="336" spans="1:10">
      <c r="A336" s="1" t="s">
        <v>6980</v>
      </c>
    </row>
    <row r="337" spans="1:1">
      <c r="A337" s="1" t="s">
        <v>6981</v>
      </c>
    </row>
    <row r="338" spans="1:1">
      <c r="A338" s="1" t="s">
        <v>6982</v>
      </c>
    </row>
  </sheetData>
  <autoFilter ref="A6:J327" xr:uid="{66250CDA-FE4E-E74B-968F-00BE7CB94CEE}"/>
  <phoneticPr fontId="2"/>
  <conditionalFormatting sqref="A7:J327">
    <cfRule type="expression" dxfId="8" priority="1">
      <formula>LEFT($A7,1)="H"</formula>
    </cfRule>
  </conditionalFormatting>
  <conditionalFormatting sqref="A7:J327">
    <cfRule type="expression" dxfId="7" priority="2">
      <formula>LEFT($A7,3)="GD-"</formula>
    </cfRule>
  </conditionalFormatting>
  <conditionalFormatting sqref="J7:J327">
    <cfRule type="expression" dxfId="6" priority="3">
      <formula>$J7="P0"</formula>
    </cfRule>
  </conditionalFormatting>
  <conditionalFormatting sqref="J7:J327">
    <cfRule type="expression" dxfId="5" priority="4">
      <formula>$J7="P1"</formula>
    </cfRule>
  </conditionalFormatting>
  <conditionalFormatting sqref="J7:J327">
    <cfRule type="expression" dxfId="4" priority="5">
      <formula>$J7="P2"</formula>
    </cfRule>
  </conditionalFormatting>
  <conditionalFormatting sqref="H7:H327">
    <cfRule type="expression" dxfId="3" priority="6">
      <formula>$H7="完了（解消）"</formula>
    </cfRule>
  </conditionalFormatting>
  <conditionalFormatting sqref="H7:H327">
    <cfRule type="expression" dxfId="2" priority="7">
      <formula>$H7="廃止"</formula>
    </cfRule>
  </conditionalFormatting>
  <conditionalFormatting sqref="H7:H327">
    <cfRule type="expression" dxfId="1" priority="8">
      <formula>$H7="廃止（→ H-Lへ全面展開）"</formula>
    </cfRule>
  </conditionalFormatting>
  <conditionalFormatting sqref="A7:F327">
    <cfRule type="expression" dxfId="0" priority="9">
      <formula>OR($H7="廃止",$H7="完了（解消）",$H7="廃止（→ H-Lへ全面展開）")</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20" zoomScaleNormal="120" workbookViewId="0">
      <pane ySplit="5" topLeftCell="A6" activePane="bottomLeft" state="frozen"/>
      <selection pane="bottomLeft" activeCell="E38" sqref="E38"/>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69" t="s">
        <v>6121</v>
      </c>
      <c r="B1" s="32"/>
      <c r="C1" s="32"/>
      <c r="D1" s="32"/>
      <c r="E1" s="32"/>
      <c r="F1" s="32"/>
      <c r="G1" s="32"/>
      <c r="H1" s="32"/>
      <c r="I1" s="32"/>
      <c r="J1" s="32"/>
      <c r="K1" s="32"/>
      <c r="L1" s="32"/>
      <c r="M1" s="32"/>
      <c r="N1" s="32"/>
    </row>
    <row r="2" spans="1:27">
      <c r="A2" s="61" t="s">
        <v>6122</v>
      </c>
      <c r="B2" s="32"/>
      <c r="C2" s="32"/>
      <c r="D2" s="32"/>
      <c r="E2" s="32"/>
      <c r="F2" s="32"/>
      <c r="G2" s="32"/>
      <c r="H2" s="32"/>
      <c r="I2" s="32"/>
      <c r="J2" s="32"/>
      <c r="K2" s="32"/>
      <c r="L2" s="32"/>
      <c r="M2" s="32"/>
      <c r="N2" s="32"/>
    </row>
    <row r="3" spans="1:27">
      <c r="A3" s="290" t="s">
        <v>6123</v>
      </c>
      <c r="B3" s="32"/>
      <c r="C3" s="32"/>
      <c r="D3" s="32"/>
      <c r="E3" s="32"/>
      <c r="F3" s="32"/>
      <c r="G3" s="32"/>
      <c r="H3" s="32"/>
      <c r="I3" s="32"/>
      <c r="J3" s="32"/>
      <c r="K3" s="32"/>
      <c r="L3" s="32"/>
      <c r="M3" s="32"/>
      <c r="N3" s="32"/>
    </row>
    <row r="4" spans="1:27">
      <c r="A4" s="304" t="s">
        <v>6124</v>
      </c>
      <c r="B4" s="32"/>
      <c r="C4" s="32"/>
      <c r="D4" s="32"/>
      <c r="E4" s="32"/>
      <c r="F4" s="32"/>
      <c r="G4" s="32"/>
      <c r="H4" s="32"/>
      <c r="I4" s="32"/>
      <c r="J4" s="32"/>
      <c r="K4" s="32"/>
      <c r="L4" s="32"/>
      <c r="M4" s="32"/>
      <c r="N4" s="32"/>
      <c r="T4" s="167" t="s">
        <v>2517</v>
      </c>
    </row>
    <row r="5" spans="1:27" ht="26" customHeight="1">
      <c r="A5" s="291" t="s">
        <v>2523</v>
      </c>
      <c r="B5" s="292" t="s">
        <v>9</v>
      </c>
      <c r="C5" s="292" t="s">
        <v>5976</v>
      </c>
      <c r="D5" s="292" t="s">
        <v>3051</v>
      </c>
      <c r="E5" s="292" t="s">
        <v>5977</v>
      </c>
      <c r="F5" s="292" t="s">
        <v>2524</v>
      </c>
      <c r="G5" s="292" t="s">
        <v>5453</v>
      </c>
      <c r="H5" s="292" t="s">
        <v>5978</v>
      </c>
      <c r="I5" s="292" t="s">
        <v>2224</v>
      </c>
      <c r="J5" s="292" t="s">
        <v>1</v>
      </c>
      <c r="K5" s="292" t="s">
        <v>665</v>
      </c>
      <c r="L5" s="292" t="s">
        <v>2225</v>
      </c>
      <c r="M5" s="292" t="s">
        <v>12</v>
      </c>
      <c r="N5" s="302" t="s">
        <v>5979</v>
      </c>
      <c r="T5" s="18" t="s">
        <v>2518</v>
      </c>
      <c r="U5" s="19" t="s">
        <v>2429</v>
      </c>
      <c r="V5" s="19" t="s">
        <v>2519</v>
      </c>
      <c r="W5" s="19" t="s">
        <v>2436</v>
      </c>
      <c r="X5" s="19" t="s">
        <v>2437</v>
      </c>
      <c r="Y5" s="19" t="s">
        <v>2520</v>
      </c>
      <c r="Z5" s="20" t="s">
        <v>2928</v>
      </c>
      <c r="AA5" s="190" t="s">
        <v>5704</v>
      </c>
    </row>
    <row r="6" spans="1:27" ht="19" customHeight="1">
      <c r="A6" s="356" t="s">
        <v>2527</v>
      </c>
      <c r="B6" s="137" t="s">
        <v>5794</v>
      </c>
      <c r="C6" s="136" t="s">
        <v>5795</v>
      </c>
      <c r="D6" s="296" t="s">
        <v>5796</v>
      </c>
      <c r="E6" s="296" t="s">
        <v>5797</v>
      </c>
      <c r="F6" s="297">
        <v>3</v>
      </c>
      <c r="G6" s="296"/>
      <c r="H6" s="296"/>
      <c r="I6" s="136"/>
      <c r="J6" s="136"/>
      <c r="K6" s="136" t="s">
        <v>4</v>
      </c>
      <c r="L6" s="136" t="s">
        <v>5980</v>
      </c>
      <c r="M6" s="136" t="s">
        <v>5981</v>
      </c>
      <c r="N6" s="320"/>
      <c r="T6" s="21" t="s">
        <v>503</v>
      </c>
      <c r="U6" s="29">
        <f>COUNTIF($B$6:$B$110,$T6)</f>
        <v>0</v>
      </c>
      <c r="V6" s="29">
        <f>SUMIF($B$6:$B$110,$T6,$J$6:$J$110)</f>
        <v>0</v>
      </c>
      <c r="W6" s="29">
        <f>SUMIF($B$6:$B$110,$T6,$K$6:$K$110)</f>
        <v>0</v>
      </c>
      <c r="X6" s="29">
        <f>SUMIF($B$6:$B$110,$T6,$L$6:$L$110)</f>
        <v>0</v>
      </c>
      <c r="Y6" s="29" t="s">
        <v>2927</v>
      </c>
      <c r="Z6" s="158">
        <f>W6+X6</f>
        <v>0</v>
      </c>
    </row>
    <row r="7" spans="1:27" ht="19" customHeight="1">
      <c r="A7" s="356" t="s">
        <v>2527</v>
      </c>
      <c r="B7" s="137" t="s">
        <v>5798</v>
      </c>
      <c r="C7" s="136" t="s">
        <v>5795</v>
      </c>
      <c r="D7" s="296" t="s">
        <v>5799</v>
      </c>
      <c r="E7" s="296" t="s">
        <v>5800</v>
      </c>
      <c r="F7" s="297">
        <v>3</v>
      </c>
      <c r="G7" s="296"/>
      <c r="H7" s="296"/>
      <c r="I7" s="136"/>
      <c r="J7" s="136"/>
      <c r="K7" s="136" t="s">
        <v>4</v>
      </c>
      <c r="L7" s="136" t="s">
        <v>5980</v>
      </c>
      <c r="M7" s="136" t="s">
        <v>5981</v>
      </c>
      <c r="N7" s="320"/>
      <c r="T7" s="21" t="s">
        <v>510</v>
      </c>
      <c r="U7" s="29">
        <f>COUNTIF($B$6:$B$110,$T7)</f>
        <v>0</v>
      </c>
      <c r="V7" s="29">
        <f>SUMIF($B$6:$B$110,$T7,$J$6:$J$110)</f>
        <v>0</v>
      </c>
      <c r="W7" s="29">
        <f>SUMIF($B$6:$B$110,$T7,$K$6:$K$110)</f>
        <v>0</v>
      </c>
      <c r="X7" s="29">
        <f>SUMIF($B$6:$B$110,$T7,$L$6:$L$110)</f>
        <v>0</v>
      </c>
      <c r="Y7" s="29" t="s">
        <v>2927</v>
      </c>
      <c r="Z7" s="158">
        <f>W7+X7</f>
        <v>0</v>
      </c>
    </row>
    <row r="8" spans="1:27" ht="19" customHeight="1">
      <c r="A8" s="356" t="s">
        <v>2527</v>
      </c>
      <c r="B8" s="137" t="s">
        <v>5801</v>
      </c>
      <c r="C8" s="136" t="s">
        <v>5795</v>
      </c>
      <c r="D8" s="296" t="s">
        <v>5802</v>
      </c>
      <c r="E8" s="296" t="s">
        <v>5803</v>
      </c>
      <c r="F8" s="297">
        <v>3</v>
      </c>
      <c r="G8" s="296"/>
      <c r="H8" s="296"/>
      <c r="I8" s="136"/>
      <c r="J8" s="136"/>
      <c r="K8" s="136" t="s">
        <v>4</v>
      </c>
      <c r="L8" s="136" t="s">
        <v>5980</v>
      </c>
      <c r="M8" s="136" t="s">
        <v>5981</v>
      </c>
      <c r="N8" s="320"/>
      <c r="T8" s="21" t="s">
        <v>1044</v>
      </c>
      <c r="U8" s="29">
        <f>COUNTIF($B$6:$B$110,$T8)</f>
        <v>0</v>
      </c>
      <c r="V8" s="29">
        <f>SUMIF($B$6:$B$110,$T8,$J$6:$J$110)</f>
        <v>0</v>
      </c>
      <c r="W8" s="29">
        <f>SUMIF($B$6:$B$110,$T8,$K$6:$K$110)</f>
        <v>0</v>
      </c>
      <c r="X8" s="29">
        <f>SUMIF($B$6:$B$110,$T8,$L$6:$L$110)</f>
        <v>0</v>
      </c>
      <c r="Y8" s="29" t="s">
        <v>2927</v>
      </c>
      <c r="Z8" s="158">
        <f>W8+X8</f>
        <v>0</v>
      </c>
    </row>
    <row r="9" spans="1:27" ht="19" customHeight="1">
      <c r="A9" s="356" t="s">
        <v>2527</v>
      </c>
      <c r="B9" s="137" t="s">
        <v>5804</v>
      </c>
      <c r="C9" s="136" t="s">
        <v>5795</v>
      </c>
      <c r="D9" s="296" t="s">
        <v>5805</v>
      </c>
      <c r="E9" s="296" t="s">
        <v>5806</v>
      </c>
      <c r="F9" s="297">
        <v>3</v>
      </c>
      <c r="G9" s="296"/>
      <c r="H9" s="296"/>
      <c r="I9" s="136"/>
      <c r="J9" s="136"/>
      <c r="K9" s="136" t="s">
        <v>4</v>
      </c>
      <c r="L9" s="136" t="s">
        <v>5980</v>
      </c>
      <c r="M9" s="136" t="s">
        <v>5981</v>
      </c>
      <c r="N9" s="320"/>
      <c r="T9" s="21" t="s">
        <v>914</v>
      </c>
      <c r="U9" s="29">
        <f>COUNTIF($B$6:$B$110,$T9)</f>
        <v>0</v>
      </c>
      <c r="V9" s="29">
        <f>SUMIF($B$6:$B$110,$T9,$J$6:$J$110)</f>
        <v>0</v>
      </c>
      <c r="W9" s="29">
        <f>SUMIF($B$6:$B$110,$T9,$K$6:$K$110)</f>
        <v>0</v>
      </c>
      <c r="X9" s="29">
        <f>SUMIF($B$6:$B$110,$T9,$L$6:$L$110)</f>
        <v>0</v>
      </c>
      <c r="Y9" s="29" t="s">
        <v>2927</v>
      </c>
      <c r="Z9" s="158">
        <f>W9+X9</f>
        <v>0</v>
      </c>
    </row>
    <row r="10" spans="1:27" ht="19" customHeight="1">
      <c r="A10" s="356" t="s">
        <v>2527</v>
      </c>
      <c r="B10" s="137" t="s">
        <v>5807</v>
      </c>
      <c r="C10" s="136" t="s">
        <v>5795</v>
      </c>
      <c r="D10" s="296" t="s">
        <v>5808</v>
      </c>
      <c r="E10" s="296" t="s">
        <v>5809</v>
      </c>
      <c r="F10" s="297">
        <v>3</v>
      </c>
      <c r="G10" s="296"/>
      <c r="H10" s="296"/>
      <c r="I10" s="136"/>
      <c r="J10" s="136"/>
      <c r="K10" s="136" t="s">
        <v>4</v>
      </c>
      <c r="L10" s="136" t="s">
        <v>5980</v>
      </c>
      <c r="M10" s="136" t="s">
        <v>5981</v>
      </c>
      <c r="N10" s="320"/>
      <c r="T10" s="21" t="s">
        <v>513</v>
      </c>
      <c r="U10" s="29">
        <f>COUNTIF($B$6:$B$110,$T10)</f>
        <v>0</v>
      </c>
      <c r="V10" s="29">
        <f>SUMIF($B$6:$B$110,$T10,$J$6:$J$110)</f>
        <v>0</v>
      </c>
      <c r="W10" s="29">
        <f>SUMIF($B$6:$B$110,$T10,$K$6:$K$110)</f>
        <v>0</v>
      </c>
      <c r="X10" s="29">
        <f>SUMIF($B$6:$B$110,$T10,$L$6:$L$110)</f>
        <v>0</v>
      </c>
      <c r="Y10" s="29" t="s">
        <v>2927</v>
      </c>
      <c r="Z10" s="158">
        <f>W10+X10</f>
        <v>0</v>
      </c>
    </row>
    <row r="11" spans="1:27" ht="19" customHeight="1">
      <c r="A11" s="356" t="s">
        <v>2527</v>
      </c>
      <c r="B11" s="137" t="s">
        <v>5810</v>
      </c>
      <c r="C11" s="136" t="s">
        <v>5795</v>
      </c>
      <c r="D11" s="296" t="s">
        <v>5811</v>
      </c>
      <c r="E11" s="296" t="s">
        <v>5812</v>
      </c>
      <c r="F11" s="297">
        <v>2</v>
      </c>
      <c r="G11" s="296"/>
      <c r="H11" s="296"/>
      <c r="I11" s="136"/>
      <c r="J11" s="136"/>
      <c r="K11" s="136" t="s">
        <v>4</v>
      </c>
      <c r="L11" s="136" t="s">
        <v>5980</v>
      </c>
      <c r="M11" s="136" t="s">
        <v>5981</v>
      </c>
      <c r="N11" s="320"/>
      <c r="T11" s="21" t="s">
        <v>517</v>
      </c>
      <c r="U11" s="29">
        <f>COUNTIF($B$6:$B$110,$T11)</f>
        <v>0</v>
      </c>
      <c r="V11" s="29">
        <f>SUMIF($B$6:$B$110,$T11,$J$6:$J$110)</f>
        <v>0</v>
      </c>
      <c r="W11" s="29">
        <f>SUMIF($B$6:$B$110,$T11,$K$6:$K$110)</f>
        <v>0</v>
      </c>
      <c r="X11" s="29">
        <f>SUMIF($B$6:$B$110,$T11,$L$6:$L$110)</f>
        <v>0</v>
      </c>
      <c r="Y11" s="29" t="s">
        <v>2927</v>
      </c>
      <c r="Z11" s="158">
        <f>W11+X11</f>
        <v>0</v>
      </c>
    </row>
    <row r="12" spans="1:27" ht="19" customHeight="1">
      <c r="A12" s="356" t="s">
        <v>2527</v>
      </c>
      <c r="B12" s="137" t="s">
        <v>5813</v>
      </c>
      <c r="C12" s="136" t="s">
        <v>5795</v>
      </c>
      <c r="D12" s="296" t="s">
        <v>5814</v>
      </c>
      <c r="E12" s="296" t="s">
        <v>5815</v>
      </c>
      <c r="F12" s="297">
        <v>4</v>
      </c>
      <c r="G12" s="296"/>
      <c r="H12" s="296"/>
      <c r="I12" s="136"/>
      <c r="J12" s="136"/>
      <c r="K12" s="136" t="s">
        <v>4</v>
      </c>
      <c r="L12" s="136" t="s">
        <v>5980</v>
      </c>
      <c r="M12" s="136" t="s">
        <v>5981</v>
      </c>
      <c r="N12" s="320"/>
      <c r="T12" s="21" t="s">
        <v>519</v>
      </c>
      <c r="U12" s="29">
        <f>COUNTIF($B$6:$B$110,$T12)</f>
        <v>0</v>
      </c>
      <c r="V12" s="29">
        <f>SUMIF($B$6:$B$110,$T12,$J$6:$J$110)</f>
        <v>0</v>
      </c>
      <c r="W12" s="29">
        <f>SUMIF($B$6:$B$110,$T12,$K$6:$K$110)</f>
        <v>0</v>
      </c>
      <c r="X12" s="29">
        <f>SUMIF($B$6:$B$110,$T12,$L$6:$L$110)</f>
        <v>0</v>
      </c>
      <c r="Y12" s="29" t="s">
        <v>2927</v>
      </c>
      <c r="Z12" s="158">
        <f>W12+X12</f>
        <v>0</v>
      </c>
    </row>
    <row r="13" spans="1:27" ht="19" customHeight="1">
      <c r="A13" s="356" t="s">
        <v>2527</v>
      </c>
      <c r="B13" s="137" t="s">
        <v>5816</v>
      </c>
      <c r="C13" s="136" t="s">
        <v>5795</v>
      </c>
      <c r="D13" s="296" t="s">
        <v>5817</v>
      </c>
      <c r="E13" s="296" t="s">
        <v>5752</v>
      </c>
      <c r="F13" s="297">
        <v>2</v>
      </c>
      <c r="G13" s="296"/>
      <c r="H13" s="296"/>
      <c r="I13" s="136"/>
      <c r="J13" s="136"/>
      <c r="K13" s="136" t="s">
        <v>4</v>
      </c>
      <c r="L13" s="136" t="s">
        <v>5980</v>
      </c>
      <c r="M13" s="136" t="s">
        <v>5981</v>
      </c>
      <c r="N13" s="320"/>
      <c r="T13" s="21" t="s">
        <v>2390</v>
      </c>
      <c r="U13" s="29">
        <f>COUNTIF($B$6:$B$110,$T13)</f>
        <v>0</v>
      </c>
      <c r="V13" s="29">
        <f>SUMIF($B$6:$B$110,$T13,$J$6:$J$110)</f>
        <v>0</v>
      </c>
      <c r="W13" s="29">
        <f>SUMIF($B$6:$B$110,$T13,$K$6:$K$110)</f>
        <v>0</v>
      </c>
      <c r="X13" s="29">
        <f>SUMIF($B$6:$B$110,$T13,$L$6:$L$110)</f>
        <v>0</v>
      </c>
      <c r="Y13" s="29" t="s">
        <v>2927</v>
      </c>
      <c r="Z13" s="158">
        <f>W13+X13</f>
        <v>0</v>
      </c>
    </row>
    <row r="14" spans="1:27" ht="19" customHeight="1">
      <c r="A14" s="356" t="s">
        <v>2527</v>
      </c>
      <c r="B14" s="137" t="s">
        <v>5818</v>
      </c>
      <c r="C14" s="136" t="s">
        <v>5795</v>
      </c>
      <c r="D14" s="296" t="s">
        <v>5819</v>
      </c>
      <c r="E14" s="296" t="s">
        <v>5820</v>
      </c>
      <c r="F14" s="297">
        <v>2</v>
      </c>
      <c r="G14" s="296"/>
      <c r="H14" s="296"/>
      <c r="I14" s="136"/>
      <c r="J14" s="136"/>
      <c r="K14" s="136" t="s">
        <v>4</v>
      </c>
      <c r="L14" s="136" t="s">
        <v>5980</v>
      </c>
      <c r="M14" s="136" t="s">
        <v>5981</v>
      </c>
      <c r="N14" s="320"/>
      <c r="T14" s="21" t="s">
        <v>2394</v>
      </c>
      <c r="U14" s="29">
        <f>COUNTIF($B$6:$B$110,$T14)</f>
        <v>0</v>
      </c>
      <c r="V14" s="29">
        <f>SUMIF($B$6:$B$110,$T14,$J$6:$J$110)</f>
        <v>0</v>
      </c>
      <c r="W14" s="29">
        <f>SUMIF($B$6:$B$110,$T14,$K$6:$K$110)</f>
        <v>0</v>
      </c>
      <c r="X14" s="29">
        <f>SUMIF($B$6:$B$110,$T14,$L$6:$L$110)</f>
        <v>0</v>
      </c>
      <c r="Y14" s="29" t="s">
        <v>2927</v>
      </c>
      <c r="Z14" s="158">
        <f>W14+X14</f>
        <v>0</v>
      </c>
    </row>
    <row r="15" spans="1:27" ht="19" customHeight="1">
      <c r="A15" s="356" t="s">
        <v>2527</v>
      </c>
      <c r="B15" s="137" t="s">
        <v>5821</v>
      </c>
      <c r="C15" s="136" t="s">
        <v>5795</v>
      </c>
      <c r="D15" s="296" t="s">
        <v>5822</v>
      </c>
      <c r="E15" s="296" t="s">
        <v>5823</v>
      </c>
      <c r="F15" s="297">
        <v>3</v>
      </c>
      <c r="G15" s="296"/>
      <c r="H15" s="296"/>
      <c r="I15" s="136"/>
      <c r="J15" s="136"/>
      <c r="K15" s="136" t="s">
        <v>4</v>
      </c>
      <c r="L15" s="136" t="s">
        <v>5980</v>
      </c>
      <c r="M15" s="136" t="s">
        <v>5981</v>
      </c>
      <c r="N15" s="320"/>
      <c r="T15" s="21" t="s">
        <v>1237</v>
      </c>
      <c r="U15" s="29">
        <f>COUNTIF($B$6:$B$110,$T15)</f>
        <v>0</v>
      </c>
      <c r="V15" s="29">
        <f>SUMIF($B$6:$B$110,$T15,$J$6:$J$110)</f>
        <v>0</v>
      </c>
      <c r="W15" s="29">
        <f>SUMIF($B$6:$B$110,$T15,$K$6:$K$110)</f>
        <v>0</v>
      </c>
      <c r="X15" s="29">
        <f>SUMIF($B$6:$B$110,$T15,$L$6:$L$110)</f>
        <v>0</v>
      </c>
      <c r="Y15" s="29" t="s">
        <v>2927</v>
      </c>
      <c r="Z15" s="158">
        <f>W15+X15</f>
        <v>0</v>
      </c>
    </row>
    <row r="16" spans="1:27" ht="19" customHeight="1">
      <c r="A16" s="356" t="s">
        <v>2527</v>
      </c>
      <c r="B16" s="137" t="s">
        <v>5824</v>
      </c>
      <c r="C16" s="136" t="s">
        <v>5825</v>
      </c>
      <c r="D16" s="296" t="s">
        <v>503</v>
      </c>
      <c r="E16" s="296" t="s">
        <v>5826</v>
      </c>
      <c r="F16" s="297">
        <v>18</v>
      </c>
      <c r="G16" s="296"/>
      <c r="H16" s="296"/>
      <c r="I16" s="136"/>
      <c r="J16" s="136"/>
      <c r="K16" s="136" t="s">
        <v>4</v>
      </c>
      <c r="L16" s="136" t="s">
        <v>5980</v>
      </c>
      <c r="M16" s="136" t="s">
        <v>5981</v>
      </c>
      <c r="N16" s="320"/>
      <c r="T16" s="21" t="s">
        <v>2521</v>
      </c>
      <c r="U16" s="29" t="s">
        <v>2230</v>
      </c>
      <c r="V16" s="29">
        <v>0</v>
      </c>
      <c r="W16" s="29">
        <v>0</v>
      </c>
      <c r="X16" s="29">
        <v>0</v>
      </c>
      <c r="Y16" s="29" t="s">
        <v>2927</v>
      </c>
      <c r="Z16" s="158">
        <f>W16+X16</f>
        <v>0</v>
      </c>
    </row>
    <row r="17" spans="1:26" ht="19" customHeight="1">
      <c r="A17" s="356" t="s">
        <v>2527</v>
      </c>
      <c r="B17" s="137" t="s">
        <v>5827</v>
      </c>
      <c r="C17" s="136" t="s">
        <v>5825</v>
      </c>
      <c r="D17" s="296" t="s">
        <v>5828</v>
      </c>
      <c r="E17" s="296" t="s">
        <v>5829</v>
      </c>
      <c r="F17" s="297">
        <v>24</v>
      </c>
      <c r="G17" s="296"/>
      <c r="H17" s="296"/>
      <c r="I17" s="136"/>
      <c r="J17" s="136"/>
      <c r="K17" s="136" t="s">
        <v>4</v>
      </c>
      <c r="L17" s="136" t="s">
        <v>5980</v>
      </c>
      <c r="M17" s="136" t="s">
        <v>5981</v>
      </c>
      <c r="N17" s="320"/>
      <c r="T17" s="23" t="s">
        <v>7</v>
      </c>
      <c r="U17" s="30">
        <f>SUM(U6:U16)</f>
        <v>0</v>
      </c>
      <c r="V17" s="30">
        <v>1044</v>
      </c>
      <c r="W17" s="30" t="s">
        <v>5971</v>
      </c>
      <c r="X17" s="30">
        <v>626</v>
      </c>
      <c r="Y17" s="30">
        <f>'WBS(テスト)'!C70</f>
        <v>421</v>
      </c>
      <c r="Z17" s="159">
        <v>1044</v>
      </c>
    </row>
    <row r="18" spans="1:26" ht="19" customHeight="1">
      <c r="A18" s="356" t="s">
        <v>2527</v>
      </c>
      <c r="B18" s="137" t="s">
        <v>5830</v>
      </c>
      <c r="C18" s="136" t="s">
        <v>5825</v>
      </c>
      <c r="D18" s="296" t="s">
        <v>5831</v>
      </c>
      <c r="E18" s="296" t="s">
        <v>5832</v>
      </c>
      <c r="F18" s="297">
        <v>14</v>
      </c>
      <c r="G18" s="296"/>
      <c r="H18" s="296"/>
      <c r="I18" s="136"/>
      <c r="J18" s="136"/>
      <c r="K18" s="136" t="s">
        <v>4</v>
      </c>
      <c r="L18" s="136" t="s">
        <v>5980</v>
      </c>
      <c r="M18" s="136" t="s">
        <v>5981</v>
      </c>
      <c r="N18" s="320"/>
      <c r="T18" s="1"/>
      <c r="U18" s="1"/>
      <c r="V18" s="1"/>
      <c r="W18" s="1"/>
      <c r="X18" s="1"/>
      <c r="Y18" s="1"/>
      <c r="Z18" s="1"/>
    </row>
    <row r="19" spans="1:26" ht="19" customHeight="1">
      <c r="A19" s="356" t="s">
        <v>2527</v>
      </c>
      <c r="B19" s="137" t="s">
        <v>5833</v>
      </c>
      <c r="C19" s="136" t="s">
        <v>5825</v>
      </c>
      <c r="D19" s="296" t="s">
        <v>914</v>
      </c>
      <c r="E19" s="296" t="s">
        <v>5834</v>
      </c>
      <c r="F19" s="297">
        <v>14</v>
      </c>
      <c r="G19" s="296"/>
      <c r="H19" s="296"/>
      <c r="I19" s="136"/>
      <c r="J19" s="136"/>
      <c r="K19" s="136" t="s">
        <v>4</v>
      </c>
      <c r="L19" s="136" t="s">
        <v>5980</v>
      </c>
      <c r="M19" s="136" t="s">
        <v>5981</v>
      </c>
      <c r="N19" s="320"/>
      <c r="T19" s="2" t="s">
        <v>2522</v>
      </c>
      <c r="U19" s="1"/>
      <c r="V19" s="1"/>
      <c r="W19" s="1"/>
      <c r="X19" s="1"/>
      <c r="Y19" s="1"/>
      <c r="Z19" s="1"/>
    </row>
    <row r="20" spans="1:26" ht="19" customHeight="1">
      <c r="A20" s="356" t="s">
        <v>2527</v>
      </c>
      <c r="B20" s="137" t="s">
        <v>5835</v>
      </c>
      <c r="C20" s="136" t="s">
        <v>5825</v>
      </c>
      <c r="D20" s="296" t="s">
        <v>5836</v>
      </c>
      <c r="E20" s="296" t="s">
        <v>5837</v>
      </c>
      <c r="F20" s="297">
        <v>20</v>
      </c>
      <c r="G20" s="296"/>
      <c r="H20" s="296"/>
      <c r="I20" s="136"/>
      <c r="J20" s="136"/>
      <c r="K20" s="136" t="s">
        <v>4</v>
      </c>
      <c r="L20" s="136" t="s">
        <v>5980</v>
      </c>
      <c r="M20" s="136" t="s">
        <v>5981</v>
      </c>
      <c r="N20" s="320"/>
      <c r="T20" s="170" t="s">
        <v>2523</v>
      </c>
      <c r="U20" s="171" t="s">
        <v>2524</v>
      </c>
      <c r="V20" s="172" t="s">
        <v>2525</v>
      </c>
      <c r="W20" s="1"/>
      <c r="X20" s="1"/>
      <c r="Y20" s="1"/>
      <c r="Z20" s="1"/>
    </row>
    <row r="21" spans="1:26" ht="19" customHeight="1">
      <c r="A21" s="356" t="s">
        <v>2527</v>
      </c>
      <c r="B21" s="137" t="s">
        <v>5838</v>
      </c>
      <c r="C21" s="136" t="s">
        <v>5825</v>
      </c>
      <c r="D21" s="296" t="s">
        <v>517</v>
      </c>
      <c r="E21" s="296" t="s">
        <v>5839</v>
      </c>
      <c r="F21" s="297">
        <v>24</v>
      </c>
      <c r="G21" s="296"/>
      <c r="H21" s="296"/>
      <c r="I21" s="136"/>
      <c r="J21" s="136"/>
      <c r="K21" s="136" t="s">
        <v>4</v>
      </c>
      <c r="L21" s="136" t="s">
        <v>5980</v>
      </c>
      <c r="M21" s="136" t="s">
        <v>5981</v>
      </c>
      <c r="N21" s="320"/>
      <c r="T21" s="21" t="s">
        <v>2526</v>
      </c>
      <c r="U21" s="29">
        <v>693</v>
      </c>
      <c r="V21" s="27" t="s">
        <v>5703</v>
      </c>
      <c r="W21" s="1"/>
      <c r="X21" s="1"/>
      <c r="Y21" s="1"/>
      <c r="Z21" s="1"/>
    </row>
    <row r="22" spans="1:26" ht="19" customHeight="1">
      <c r="A22" s="356" t="s">
        <v>2527</v>
      </c>
      <c r="B22" s="137" t="s">
        <v>5840</v>
      </c>
      <c r="C22" s="136" t="s">
        <v>5825</v>
      </c>
      <c r="D22" s="296" t="s">
        <v>519</v>
      </c>
      <c r="E22" s="296" t="s">
        <v>5841</v>
      </c>
      <c r="F22" s="297">
        <v>14</v>
      </c>
      <c r="G22" s="296"/>
      <c r="H22" s="296"/>
      <c r="I22" s="136"/>
      <c r="J22" s="136"/>
      <c r="K22" s="136" t="s">
        <v>4</v>
      </c>
      <c r="L22" s="136" t="s">
        <v>5980</v>
      </c>
      <c r="M22" s="136" t="s">
        <v>5981</v>
      </c>
      <c r="N22" s="320"/>
      <c r="T22" s="21" t="s">
        <v>2527</v>
      </c>
      <c r="U22" s="29">
        <v>441</v>
      </c>
      <c r="V22" s="27" t="s">
        <v>5970</v>
      </c>
      <c r="W22" s="1"/>
      <c r="X22" s="1"/>
      <c r="Y22" s="1"/>
      <c r="Z22" s="1"/>
    </row>
    <row r="23" spans="1:26" ht="19" customHeight="1">
      <c r="A23" s="356" t="s">
        <v>2527</v>
      </c>
      <c r="B23" s="137" t="s">
        <v>5842</v>
      </c>
      <c r="C23" s="136" t="s">
        <v>5825</v>
      </c>
      <c r="D23" s="296" t="s">
        <v>2394</v>
      </c>
      <c r="E23" s="296" t="s">
        <v>5843</v>
      </c>
      <c r="F23" s="297">
        <v>20</v>
      </c>
      <c r="G23" s="296"/>
      <c r="H23" s="296"/>
      <c r="I23" s="136"/>
      <c r="J23" s="136"/>
      <c r="K23" s="136" t="s">
        <v>4</v>
      </c>
      <c r="L23" s="136" t="s">
        <v>5980</v>
      </c>
      <c r="M23" s="136" t="s">
        <v>5981</v>
      </c>
      <c r="N23" s="320"/>
      <c r="T23" s="21" t="s">
        <v>2528</v>
      </c>
      <c r="U23" s="29">
        <v>743</v>
      </c>
      <c r="V23" s="27" t="s">
        <v>5779</v>
      </c>
      <c r="W23" s="1"/>
      <c r="X23" s="1"/>
      <c r="Y23" s="1"/>
      <c r="Z23" s="1"/>
    </row>
    <row r="24" spans="1:26" ht="19" customHeight="1">
      <c r="A24" s="356" t="s">
        <v>2527</v>
      </c>
      <c r="B24" s="137" t="s">
        <v>5844</v>
      </c>
      <c r="C24" s="136" t="s">
        <v>5825</v>
      </c>
      <c r="D24" s="296" t="s">
        <v>5845</v>
      </c>
      <c r="E24" s="296" t="s">
        <v>5846</v>
      </c>
      <c r="F24" s="297">
        <v>18</v>
      </c>
      <c r="G24" s="296"/>
      <c r="H24" s="296"/>
      <c r="I24" s="136"/>
      <c r="J24" s="136"/>
      <c r="K24" s="136" t="s">
        <v>4</v>
      </c>
      <c r="L24" s="136" t="s">
        <v>5980</v>
      </c>
      <c r="M24" s="136" t="s">
        <v>5981</v>
      </c>
      <c r="N24" s="320"/>
      <c r="T24" s="21" t="s">
        <v>2529</v>
      </c>
      <c r="U24" s="29">
        <v>421</v>
      </c>
      <c r="V24" s="27" t="s">
        <v>5570</v>
      </c>
      <c r="W24" s="1"/>
      <c r="X24" s="1"/>
      <c r="Y24" s="1"/>
      <c r="Z24" s="1"/>
    </row>
    <row r="25" spans="1:26" ht="19" customHeight="1">
      <c r="A25" s="356" t="s">
        <v>2527</v>
      </c>
      <c r="B25" s="137" t="s">
        <v>5847</v>
      </c>
      <c r="C25" s="136" t="s">
        <v>5848</v>
      </c>
      <c r="D25" s="296" t="s">
        <v>5849</v>
      </c>
      <c r="E25" s="296" t="s">
        <v>5850</v>
      </c>
      <c r="F25" s="297">
        <v>7</v>
      </c>
      <c r="G25" s="296"/>
      <c r="H25" s="296"/>
      <c r="I25" s="136"/>
      <c r="J25" s="136"/>
      <c r="K25" s="136" t="s">
        <v>4</v>
      </c>
      <c r="L25" s="136" t="s">
        <v>5980</v>
      </c>
      <c r="M25" s="136" t="s">
        <v>5981</v>
      </c>
      <c r="N25" s="320"/>
      <c r="T25" s="168" t="s">
        <v>2530</v>
      </c>
      <c r="U25" s="162">
        <f>U22+U23+U24</f>
        <v>1605</v>
      </c>
      <c r="V25" s="169"/>
      <c r="W25" s="1"/>
      <c r="X25" s="1"/>
      <c r="Y25" s="1"/>
      <c r="Z25" s="1"/>
    </row>
    <row r="26" spans="1:26" ht="19" customHeight="1">
      <c r="A26" s="356" t="s">
        <v>2527</v>
      </c>
      <c r="B26" s="137" t="s">
        <v>5851</v>
      </c>
      <c r="C26" s="136" t="s">
        <v>5848</v>
      </c>
      <c r="D26" s="296" t="s">
        <v>5852</v>
      </c>
      <c r="E26" s="296" t="s">
        <v>5853</v>
      </c>
      <c r="F26" s="297">
        <v>12</v>
      </c>
      <c r="G26" s="296"/>
      <c r="H26" s="296"/>
      <c r="I26" s="136"/>
      <c r="J26" s="136"/>
      <c r="K26" s="136" t="s">
        <v>4</v>
      </c>
      <c r="L26" s="136" t="s">
        <v>5980</v>
      </c>
      <c r="M26" s="136" t="s">
        <v>5981</v>
      </c>
      <c r="N26" s="320"/>
      <c r="T26" s="23" t="s">
        <v>2531</v>
      </c>
      <c r="U26" s="30">
        <v>2298</v>
      </c>
      <c r="V26" s="173"/>
      <c r="W26" s="1" t="str">
        <f>IF(AND(ROUND(U25,0)=1244,ROUND(U26,0)=1488),"✓ レポート§9と一致","⚠ 不一致")</f>
        <v>⚠ 不一致</v>
      </c>
      <c r="X26" s="1"/>
      <c r="Y26" s="1"/>
      <c r="Z26" s="1"/>
    </row>
    <row r="27" spans="1:26" ht="19" customHeight="1">
      <c r="A27" s="356" t="s">
        <v>2527</v>
      </c>
      <c r="B27" s="137" t="s">
        <v>5854</v>
      </c>
      <c r="C27" s="136" t="s">
        <v>5848</v>
      </c>
      <c r="D27" s="296" t="s">
        <v>5855</v>
      </c>
      <c r="E27" s="296" t="s">
        <v>5752</v>
      </c>
      <c r="F27" s="297">
        <v>4</v>
      </c>
      <c r="G27" s="296"/>
      <c r="H27" s="296"/>
      <c r="I27" s="136"/>
      <c r="J27" s="136"/>
      <c r="K27" s="136" t="s">
        <v>4</v>
      </c>
      <c r="L27" s="136" t="s">
        <v>5980</v>
      </c>
      <c r="M27" s="136" t="s">
        <v>5981</v>
      </c>
      <c r="N27" s="320"/>
    </row>
    <row r="28" spans="1:26" ht="19" customHeight="1">
      <c r="A28" s="356" t="s">
        <v>2527</v>
      </c>
      <c r="B28" s="137" t="s">
        <v>5856</v>
      </c>
      <c r="C28" s="136" t="s">
        <v>5848</v>
      </c>
      <c r="D28" s="296" t="s">
        <v>5857</v>
      </c>
      <c r="E28" s="296" t="s">
        <v>5752</v>
      </c>
      <c r="F28" s="297">
        <v>3</v>
      </c>
      <c r="G28" s="296"/>
      <c r="H28" s="296"/>
      <c r="I28" s="136"/>
      <c r="J28" s="136"/>
      <c r="K28" s="136" t="s">
        <v>4</v>
      </c>
      <c r="L28" s="136" t="s">
        <v>5980</v>
      </c>
      <c r="M28" s="136" t="s">
        <v>5981</v>
      </c>
      <c r="N28" s="320"/>
      <c r="T28" s="167" t="s">
        <v>2532</v>
      </c>
    </row>
    <row r="29" spans="1:26" ht="19" customHeight="1">
      <c r="A29" s="356" t="s">
        <v>2527</v>
      </c>
      <c r="B29" s="137" t="s">
        <v>5858</v>
      </c>
      <c r="C29" s="136" t="s">
        <v>5848</v>
      </c>
      <c r="D29" s="296" t="s">
        <v>5859</v>
      </c>
      <c r="E29" s="296" t="s">
        <v>5752</v>
      </c>
      <c r="F29" s="297">
        <v>3</v>
      </c>
      <c r="G29" s="296"/>
      <c r="H29" s="296"/>
      <c r="I29" s="136"/>
      <c r="J29" s="136"/>
      <c r="K29" s="136" t="s">
        <v>4</v>
      </c>
      <c r="L29" s="136" t="s">
        <v>5980</v>
      </c>
      <c r="M29" s="136" t="s">
        <v>5981</v>
      </c>
      <c r="N29" s="320"/>
      <c r="T29" s="56" t="s">
        <v>2533</v>
      </c>
      <c r="U29" s="57" t="s">
        <v>2534</v>
      </c>
    </row>
    <row r="30" spans="1:26" ht="19" customHeight="1">
      <c r="A30" s="356" t="s">
        <v>2527</v>
      </c>
      <c r="B30" s="137" t="s">
        <v>5860</v>
      </c>
      <c r="C30" s="136" t="s">
        <v>5861</v>
      </c>
      <c r="D30" s="296" t="s">
        <v>5862</v>
      </c>
      <c r="E30" s="296" t="s">
        <v>5863</v>
      </c>
      <c r="F30" s="297">
        <v>4</v>
      </c>
      <c r="G30" s="296"/>
      <c r="H30" s="296"/>
      <c r="I30" s="136"/>
      <c r="J30" s="136"/>
      <c r="K30" s="136" t="s">
        <v>4</v>
      </c>
      <c r="L30" s="136" t="s">
        <v>5980</v>
      </c>
      <c r="M30" s="136" t="s">
        <v>5981</v>
      </c>
      <c r="N30" s="320"/>
      <c r="T30" s="56" t="s">
        <v>2535</v>
      </c>
      <c r="U30" s="57" t="s">
        <v>2536</v>
      </c>
      <c r="V30" t="s">
        <v>5780</v>
      </c>
    </row>
    <row r="31" spans="1:26" ht="19" customHeight="1">
      <c r="A31" s="356" t="s">
        <v>2527</v>
      </c>
      <c r="B31" s="137" t="s">
        <v>5864</v>
      </c>
      <c r="C31" s="136" t="s">
        <v>5861</v>
      </c>
      <c r="D31" s="296" t="s">
        <v>5865</v>
      </c>
      <c r="E31" s="296" t="s">
        <v>5866</v>
      </c>
      <c r="F31" s="297">
        <v>3</v>
      </c>
      <c r="G31" s="296"/>
      <c r="H31" s="296"/>
      <c r="I31" s="136"/>
      <c r="J31" s="136"/>
      <c r="K31" s="136" t="s">
        <v>4</v>
      </c>
      <c r="L31" s="136" t="s">
        <v>5980</v>
      </c>
      <c r="M31" s="136" t="s">
        <v>5981</v>
      </c>
      <c r="N31" s="320"/>
      <c r="T31" s="56" t="s">
        <v>2537</v>
      </c>
      <c r="U31" s="57" t="s">
        <v>2538</v>
      </c>
    </row>
    <row r="32" spans="1:26" ht="19" customHeight="1">
      <c r="A32" s="356" t="s">
        <v>2527</v>
      </c>
      <c r="B32" s="137" t="s">
        <v>5867</v>
      </c>
      <c r="C32" s="136" t="s">
        <v>5861</v>
      </c>
      <c r="D32" s="296" t="s">
        <v>5868</v>
      </c>
      <c r="E32" s="296" t="s">
        <v>5866</v>
      </c>
      <c r="F32" s="297">
        <v>3</v>
      </c>
      <c r="G32" s="296"/>
      <c r="H32" s="296"/>
      <c r="I32" s="136"/>
      <c r="J32" s="136"/>
      <c r="K32" s="136" t="s">
        <v>4</v>
      </c>
      <c r="L32" s="136" t="s">
        <v>5980</v>
      </c>
      <c r="M32" s="136" t="s">
        <v>5981</v>
      </c>
      <c r="N32" s="320"/>
      <c r="T32" s="56" t="s">
        <v>2539</v>
      </c>
      <c r="U32" s="57" t="s">
        <v>2540</v>
      </c>
    </row>
    <row r="33" spans="1:21" ht="19" customHeight="1">
      <c r="A33" s="356" t="s">
        <v>2527</v>
      </c>
      <c r="B33" s="137" t="s">
        <v>5869</v>
      </c>
      <c r="C33" s="136" t="s">
        <v>5861</v>
      </c>
      <c r="D33" s="296" t="s">
        <v>5870</v>
      </c>
      <c r="E33" s="296" t="s">
        <v>5871</v>
      </c>
      <c r="F33" s="297">
        <v>5</v>
      </c>
      <c r="G33" s="296"/>
      <c r="H33" s="296"/>
      <c r="I33" s="136"/>
      <c r="J33" s="136"/>
      <c r="K33" s="136" t="s">
        <v>4</v>
      </c>
      <c r="L33" s="136" t="s">
        <v>5980</v>
      </c>
      <c r="M33" s="136" t="s">
        <v>5981</v>
      </c>
      <c r="N33" s="320"/>
      <c r="T33" s="56" t="s">
        <v>2541</v>
      </c>
      <c r="U33" s="57" t="s">
        <v>2542</v>
      </c>
    </row>
    <row r="34" spans="1:21" ht="19" customHeight="1">
      <c r="A34" s="356" t="s">
        <v>2527</v>
      </c>
      <c r="B34" s="137" t="s">
        <v>5872</v>
      </c>
      <c r="C34" s="136" t="s">
        <v>5861</v>
      </c>
      <c r="D34" s="296" t="s">
        <v>5873</v>
      </c>
      <c r="E34" s="296" t="s">
        <v>5752</v>
      </c>
      <c r="F34" s="297">
        <v>3</v>
      </c>
      <c r="G34" s="296"/>
      <c r="H34" s="296"/>
      <c r="I34" s="136"/>
      <c r="J34" s="136"/>
      <c r="K34" s="136" t="s">
        <v>4</v>
      </c>
      <c r="L34" s="136" t="s">
        <v>5980</v>
      </c>
      <c r="M34" s="136" t="s">
        <v>5981</v>
      </c>
      <c r="N34" s="320"/>
      <c r="T34" s="56" t="s">
        <v>2543</v>
      </c>
      <c r="U34" s="57" t="s">
        <v>5432</v>
      </c>
    </row>
    <row r="35" spans="1:21" ht="19" customHeight="1">
      <c r="A35" s="356" t="s">
        <v>2527</v>
      </c>
      <c r="B35" s="137" t="s">
        <v>5874</v>
      </c>
      <c r="C35" s="136" t="s">
        <v>5861</v>
      </c>
      <c r="D35" s="296" t="s">
        <v>5875</v>
      </c>
      <c r="E35" s="296" t="s">
        <v>5876</v>
      </c>
      <c r="F35" s="297">
        <v>4</v>
      </c>
      <c r="G35" s="296"/>
      <c r="H35" s="296"/>
      <c r="I35" s="136"/>
      <c r="J35" s="136"/>
      <c r="K35" s="136" t="s">
        <v>4</v>
      </c>
      <c r="L35" s="136" t="s">
        <v>5980</v>
      </c>
      <c r="M35" s="136" t="s">
        <v>5981</v>
      </c>
      <c r="N35" s="320"/>
      <c r="T35" s="56" t="s">
        <v>2544</v>
      </c>
      <c r="U35" s="57" t="s">
        <v>5433</v>
      </c>
    </row>
    <row r="36" spans="1:21" ht="19" customHeight="1">
      <c r="A36" s="356" t="s">
        <v>2527</v>
      </c>
      <c r="B36" s="137" t="s">
        <v>5877</v>
      </c>
      <c r="C36" s="136" t="s">
        <v>5861</v>
      </c>
      <c r="D36" s="296" t="s">
        <v>5878</v>
      </c>
      <c r="E36" s="296" t="s">
        <v>5752</v>
      </c>
      <c r="F36" s="297">
        <v>3</v>
      </c>
      <c r="G36" s="296"/>
      <c r="H36" s="296"/>
      <c r="I36" s="136"/>
      <c r="J36" s="136"/>
      <c r="K36" s="136" t="s">
        <v>4</v>
      </c>
      <c r="L36" s="136" t="s">
        <v>5980</v>
      </c>
      <c r="M36" s="136" t="s">
        <v>5981</v>
      </c>
      <c r="N36" s="320"/>
    </row>
    <row r="37" spans="1:21" ht="19" customHeight="1">
      <c r="A37" s="356" t="s">
        <v>2527</v>
      </c>
      <c r="B37" s="137" t="s">
        <v>5879</v>
      </c>
      <c r="C37" s="136" t="s">
        <v>5861</v>
      </c>
      <c r="D37" s="296" t="s">
        <v>5880</v>
      </c>
      <c r="E37" s="296" t="s">
        <v>5881</v>
      </c>
      <c r="F37" s="297">
        <v>2</v>
      </c>
      <c r="G37" s="296"/>
      <c r="H37" s="296"/>
      <c r="I37" s="136"/>
      <c r="J37" s="136"/>
      <c r="K37" s="136" t="s">
        <v>4</v>
      </c>
      <c r="L37" s="136" t="s">
        <v>5980</v>
      </c>
      <c r="M37" s="136" t="s">
        <v>5981</v>
      </c>
      <c r="N37" s="320"/>
    </row>
    <row r="38" spans="1:21" ht="19" customHeight="1">
      <c r="A38" s="356" t="s">
        <v>2527</v>
      </c>
      <c r="B38" s="137" t="s">
        <v>5882</v>
      </c>
      <c r="C38" s="136" t="s">
        <v>5883</v>
      </c>
      <c r="D38" s="296" t="s">
        <v>5884</v>
      </c>
      <c r="E38" s="296" t="s">
        <v>5885</v>
      </c>
      <c r="F38" s="297">
        <v>12</v>
      </c>
      <c r="G38" s="296"/>
      <c r="H38" s="296"/>
      <c r="I38" s="136"/>
      <c r="J38" s="136"/>
      <c r="K38" s="136" t="s">
        <v>4</v>
      </c>
      <c r="L38" s="136" t="s">
        <v>5980</v>
      </c>
      <c r="M38" s="136" t="s">
        <v>5981</v>
      </c>
      <c r="N38" s="320"/>
    </row>
    <row r="39" spans="1:21" ht="19" customHeight="1">
      <c r="A39" s="356" t="s">
        <v>2527</v>
      </c>
      <c r="B39" s="137" t="s">
        <v>5886</v>
      </c>
      <c r="C39" s="136" t="s">
        <v>5883</v>
      </c>
      <c r="D39" s="296" t="s">
        <v>5887</v>
      </c>
      <c r="E39" s="296" t="s">
        <v>5888</v>
      </c>
      <c r="F39" s="297">
        <v>5</v>
      </c>
      <c r="G39" s="296"/>
      <c r="H39" s="296"/>
      <c r="I39" s="136"/>
      <c r="J39" s="136"/>
      <c r="K39" s="136" t="s">
        <v>4</v>
      </c>
      <c r="L39" s="136" t="s">
        <v>5980</v>
      </c>
      <c r="M39" s="136" t="s">
        <v>5981</v>
      </c>
      <c r="N39" s="320"/>
    </row>
    <row r="40" spans="1:21" ht="19" customHeight="1">
      <c r="A40" s="356" t="s">
        <v>2527</v>
      </c>
      <c r="B40" s="137" t="s">
        <v>5889</v>
      </c>
      <c r="C40" s="136" t="s">
        <v>5883</v>
      </c>
      <c r="D40" s="296" t="s">
        <v>5890</v>
      </c>
      <c r="E40" s="296" t="s">
        <v>5891</v>
      </c>
      <c r="F40" s="297">
        <v>4</v>
      </c>
      <c r="G40" s="296"/>
      <c r="H40" s="296"/>
      <c r="I40" s="136"/>
      <c r="J40" s="136"/>
      <c r="K40" s="136" t="s">
        <v>4</v>
      </c>
      <c r="L40" s="136" t="s">
        <v>5980</v>
      </c>
      <c r="M40" s="136" t="s">
        <v>5981</v>
      </c>
      <c r="N40" s="320"/>
    </row>
    <row r="41" spans="1:21" ht="19" customHeight="1">
      <c r="A41" s="356" t="s">
        <v>2527</v>
      </c>
      <c r="B41" s="137" t="s">
        <v>5892</v>
      </c>
      <c r="C41" s="136" t="s">
        <v>5883</v>
      </c>
      <c r="D41" s="296" t="s">
        <v>5893</v>
      </c>
      <c r="E41" s="296" t="s">
        <v>5894</v>
      </c>
      <c r="F41" s="297">
        <v>4</v>
      </c>
      <c r="G41" s="296"/>
      <c r="H41" s="296"/>
      <c r="I41" s="136"/>
      <c r="J41" s="136"/>
      <c r="K41" s="136" t="s">
        <v>4</v>
      </c>
      <c r="L41" s="136" t="s">
        <v>5980</v>
      </c>
      <c r="M41" s="136" t="s">
        <v>5981</v>
      </c>
      <c r="N41" s="320"/>
    </row>
    <row r="42" spans="1:21" ht="19" customHeight="1">
      <c r="A42" s="356" t="s">
        <v>2527</v>
      </c>
      <c r="B42" s="137" t="s">
        <v>5895</v>
      </c>
      <c r="C42" s="136" t="s">
        <v>5883</v>
      </c>
      <c r="D42" s="296" t="s">
        <v>5753</v>
      </c>
      <c r="E42" s="296" t="s">
        <v>5752</v>
      </c>
      <c r="F42" s="297">
        <v>6</v>
      </c>
      <c r="G42" s="296"/>
      <c r="H42" s="296"/>
      <c r="I42" s="136"/>
      <c r="J42" s="136"/>
      <c r="K42" s="136" t="s">
        <v>4</v>
      </c>
      <c r="L42" s="136" t="s">
        <v>5980</v>
      </c>
      <c r="M42" s="136" t="s">
        <v>5981</v>
      </c>
      <c r="N42" s="320"/>
    </row>
    <row r="43" spans="1:21" ht="19" customHeight="1">
      <c r="A43" s="356" t="s">
        <v>2527</v>
      </c>
      <c r="B43" s="137" t="s">
        <v>5896</v>
      </c>
      <c r="C43" s="136" t="s">
        <v>5883</v>
      </c>
      <c r="D43" s="296" t="s">
        <v>5897</v>
      </c>
      <c r="E43" s="296" t="s">
        <v>5898</v>
      </c>
      <c r="F43" s="297">
        <v>5</v>
      </c>
      <c r="G43" s="296"/>
      <c r="H43" s="296"/>
      <c r="I43" s="136"/>
      <c r="J43" s="136"/>
      <c r="K43" s="136" t="s">
        <v>4</v>
      </c>
      <c r="L43" s="136" t="s">
        <v>5980</v>
      </c>
      <c r="M43" s="136" t="s">
        <v>5981</v>
      </c>
      <c r="N43" s="320"/>
    </row>
    <row r="44" spans="1:21" ht="19" customHeight="1">
      <c r="A44" s="356" t="s">
        <v>2527</v>
      </c>
      <c r="B44" s="137" t="s">
        <v>5899</v>
      </c>
      <c r="C44" s="136" t="s">
        <v>5900</v>
      </c>
      <c r="D44" s="296" t="s">
        <v>5901</v>
      </c>
      <c r="E44" s="296" t="s">
        <v>5902</v>
      </c>
      <c r="F44" s="297">
        <v>8</v>
      </c>
      <c r="G44" s="296"/>
      <c r="H44" s="296"/>
      <c r="I44" s="136"/>
      <c r="J44" s="136"/>
      <c r="K44" s="136" t="s">
        <v>4</v>
      </c>
      <c r="L44" s="136" t="s">
        <v>5980</v>
      </c>
      <c r="M44" s="136" t="s">
        <v>5981</v>
      </c>
      <c r="N44" s="320"/>
    </row>
    <row r="45" spans="1:21" ht="19" customHeight="1">
      <c r="A45" s="356" t="s">
        <v>2527</v>
      </c>
      <c r="B45" s="137" t="s">
        <v>5903</v>
      </c>
      <c r="C45" s="136" t="s">
        <v>5900</v>
      </c>
      <c r="D45" s="296" t="s">
        <v>5904</v>
      </c>
      <c r="E45" s="296" t="s">
        <v>5752</v>
      </c>
      <c r="F45" s="297">
        <v>3</v>
      </c>
      <c r="G45" s="296"/>
      <c r="H45" s="296"/>
      <c r="I45" s="136"/>
      <c r="J45" s="136"/>
      <c r="K45" s="136" t="s">
        <v>4</v>
      </c>
      <c r="L45" s="136" t="s">
        <v>5980</v>
      </c>
      <c r="M45" s="136" t="s">
        <v>5981</v>
      </c>
      <c r="N45" s="320"/>
    </row>
    <row r="46" spans="1:21" ht="19" customHeight="1">
      <c r="A46" s="356" t="s">
        <v>2527</v>
      </c>
      <c r="B46" s="137" t="s">
        <v>5905</v>
      </c>
      <c r="C46" s="136" t="s">
        <v>5900</v>
      </c>
      <c r="D46" s="296" t="s">
        <v>5906</v>
      </c>
      <c r="E46" s="296" t="s">
        <v>5752</v>
      </c>
      <c r="F46" s="297">
        <v>2</v>
      </c>
      <c r="G46" s="296"/>
      <c r="H46" s="296"/>
      <c r="I46" s="136"/>
      <c r="J46" s="136"/>
      <c r="K46" s="136" t="s">
        <v>4</v>
      </c>
      <c r="L46" s="136" t="s">
        <v>5980</v>
      </c>
      <c r="M46" s="136" t="s">
        <v>5981</v>
      </c>
      <c r="N46" s="320"/>
    </row>
    <row r="47" spans="1:21" ht="19" customHeight="1">
      <c r="A47" s="356" t="s">
        <v>2527</v>
      </c>
      <c r="B47" s="137" t="s">
        <v>5907</v>
      </c>
      <c r="C47" s="136" t="s">
        <v>5908</v>
      </c>
      <c r="D47" s="296" t="s">
        <v>5909</v>
      </c>
      <c r="E47" s="296" t="s">
        <v>5910</v>
      </c>
      <c r="F47" s="297">
        <v>8</v>
      </c>
      <c r="G47" s="296"/>
      <c r="H47" s="296"/>
      <c r="I47" s="136"/>
      <c r="J47" s="136"/>
      <c r="K47" s="136" t="s">
        <v>4</v>
      </c>
      <c r="L47" s="136" t="s">
        <v>5980</v>
      </c>
      <c r="M47" s="136" t="s">
        <v>5981</v>
      </c>
      <c r="N47" s="320"/>
    </row>
    <row r="48" spans="1:21" ht="19" customHeight="1">
      <c r="A48" s="356" t="s">
        <v>2527</v>
      </c>
      <c r="B48" s="137" t="s">
        <v>5911</v>
      </c>
      <c r="C48" s="136" t="s">
        <v>5908</v>
      </c>
      <c r="D48" s="296" t="s">
        <v>5912</v>
      </c>
      <c r="E48" s="296" t="s">
        <v>5913</v>
      </c>
      <c r="F48" s="297">
        <v>4</v>
      </c>
      <c r="G48" s="296"/>
      <c r="H48" s="296"/>
      <c r="I48" s="136"/>
      <c r="J48" s="136"/>
      <c r="K48" s="136" t="s">
        <v>4</v>
      </c>
      <c r="L48" s="136" t="s">
        <v>5980</v>
      </c>
      <c r="M48" s="136" t="s">
        <v>5981</v>
      </c>
      <c r="N48" s="320"/>
    </row>
    <row r="49" spans="1:14" ht="19" customHeight="1">
      <c r="A49" s="356" t="s">
        <v>2527</v>
      </c>
      <c r="B49" s="137" t="s">
        <v>5914</v>
      </c>
      <c r="C49" s="136" t="s">
        <v>5908</v>
      </c>
      <c r="D49" s="296" t="s">
        <v>5915</v>
      </c>
      <c r="E49" s="296" t="s">
        <v>5916</v>
      </c>
      <c r="F49" s="297">
        <v>4</v>
      </c>
      <c r="G49" s="296"/>
      <c r="H49" s="296"/>
      <c r="I49" s="136"/>
      <c r="J49" s="136"/>
      <c r="K49" s="136" t="s">
        <v>4</v>
      </c>
      <c r="L49" s="136" t="s">
        <v>5980</v>
      </c>
      <c r="M49" s="136" t="s">
        <v>5981</v>
      </c>
      <c r="N49" s="320"/>
    </row>
    <row r="50" spans="1:14" ht="19" customHeight="1">
      <c r="A50" s="356" t="s">
        <v>2527</v>
      </c>
      <c r="B50" s="137" t="s">
        <v>5917</v>
      </c>
      <c r="C50" s="136" t="s">
        <v>5908</v>
      </c>
      <c r="D50" s="296" t="s">
        <v>5918</v>
      </c>
      <c r="E50" s="296" t="s">
        <v>5752</v>
      </c>
      <c r="F50" s="297">
        <v>4</v>
      </c>
      <c r="G50" s="296"/>
      <c r="H50" s="296"/>
      <c r="I50" s="136"/>
      <c r="J50" s="136"/>
      <c r="K50" s="136" t="s">
        <v>4</v>
      </c>
      <c r="L50" s="136" t="s">
        <v>5980</v>
      </c>
      <c r="M50" s="136" t="s">
        <v>5981</v>
      </c>
      <c r="N50" s="320"/>
    </row>
    <row r="51" spans="1:14" ht="19" customHeight="1">
      <c r="A51" s="356" t="s">
        <v>2527</v>
      </c>
      <c r="B51" s="137" t="s">
        <v>5919</v>
      </c>
      <c r="C51" s="136" t="s">
        <v>5908</v>
      </c>
      <c r="D51" s="296" t="s">
        <v>5920</v>
      </c>
      <c r="E51" s="296" t="s">
        <v>5752</v>
      </c>
      <c r="F51" s="297">
        <v>3</v>
      </c>
      <c r="G51" s="296"/>
      <c r="H51" s="296"/>
      <c r="I51" s="136"/>
      <c r="J51" s="136"/>
      <c r="K51" s="136" t="s">
        <v>4</v>
      </c>
      <c r="L51" s="136" t="s">
        <v>5980</v>
      </c>
      <c r="M51" s="136" t="s">
        <v>5981</v>
      </c>
      <c r="N51" s="320"/>
    </row>
    <row r="52" spans="1:14" ht="19" customHeight="1">
      <c r="A52" s="356" t="s">
        <v>2527</v>
      </c>
      <c r="B52" s="137" t="s">
        <v>5921</v>
      </c>
      <c r="C52" s="136" t="s">
        <v>5908</v>
      </c>
      <c r="D52" s="296" t="s">
        <v>5922</v>
      </c>
      <c r="E52" s="296" t="s">
        <v>2681</v>
      </c>
      <c r="F52" s="297">
        <v>3</v>
      </c>
      <c r="G52" s="296"/>
      <c r="H52" s="296"/>
      <c r="I52" s="136"/>
      <c r="J52" s="136"/>
      <c r="K52" s="136" t="s">
        <v>4</v>
      </c>
      <c r="L52" s="136" t="s">
        <v>5980</v>
      </c>
      <c r="M52" s="136" t="s">
        <v>5981</v>
      </c>
      <c r="N52" s="320"/>
    </row>
    <row r="53" spans="1:14" ht="19" customHeight="1">
      <c r="A53" s="356" t="s">
        <v>2527</v>
      </c>
      <c r="B53" s="137" t="s">
        <v>5923</v>
      </c>
      <c r="C53" s="136" t="s">
        <v>5924</v>
      </c>
      <c r="D53" s="296" t="s">
        <v>5925</v>
      </c>
      <c r="E53" s="296" t="s">
        <v>2677</v>
      </c>
      <c r="F53" s="297">
        <v>3</v>
      </c>
      <c r="G53" s="296"/>
      <c r="H53" s="296"/>
      <c r="I53" s="136"/>
      <c r="J53" s="136"/>
      <c r="K53" s="136" t="s">
        <v>4</v>
      </c>
      <c r="L53" s="136" t="s">
        <v>5980</v>
      </c>
      <c r="M53" s="136" t="s">
        <v>5981</v>
      </c>
      <c r="N53" s="320"/>
    </row>
    <row r="54" spans="1:14" ht="19" customHeight="1">
      <c r="A54" s="356" t="s">
        <v>2527</v>
      </c>
      <c r="B54" s="137" t="s">
        <v>5926</v>
      </c>
      <c r="C54" s="136" t="s">
        <v>5924</v>
      </c>
      <c r="D54" s="296" t="s">
        <v>5927</v>
      </c>
      <c r="E54" s="296" t="s">
        <v>5752</v>
      </c>
      <c r="F54" s="297">
        <v>4</v>
      </c>
      <c r="G54" s="296"/>
      <c r="H54" s="296"/>
      <c r="I54" s="136"/>
      <c r="J54" s="136"/>
      <c r="K54" s="136" t="s">
        <v>4</v>
      </c>
      <c r="L54" s="136" t="s">
        <v>5980</v>
      </c>
      <c r="M54" s="136" t="s">
        <v>5981</v>
      </c>
      <c r="N54" s="320"/>
    </row>
    <row r="55" spans="1:14" ht="19" customHeight="1">
      <c r="A55" s="356" t="s">
        <v>2527</v>
      </c>
      <c r="B55" s="137" t="s">
        <v>5928</v>
      </c>
      <c r="C55" s="136" t="s">
        <v>5924</v>
      </c>
      <c r="D55" s="296" t="s">
        <v>5929</v>
      </c>
      <c r="E55" s="296" t="s">
        <v>5752</v>
      </c>
      <c r="F55" s="297">
        <v>3</v>
      </c>
      <c r="G55" s="296"/>
      <c r="H55" s="296"/>
      <c r="I55" s="136"/>
      <c r="J55" s="136"/>
      <c r="K55" s="136" t="s">
        <v>4</v>
      </c>
      <c r="L55" s="136" t="s">
        <v>5980</v>
      </c>
      <c r="M55" s="136" t="s">
        <v>5981</v>
      </c>
      <c r="N55" s="320"/>
    </row>
    <row r="56" spans="1:14" ht="19" customHeight="1">
      <c r="A56" s="356" t="s">
        <v>2527</v>
      </c>
      <c r="B56" s="137" t="s">
        <v>5930</v>
      </c>
      <c r="C56" s="136" t="s">
        <v>5924</v>
      </c>
      <c r="D56" s="296" t="s">
        <v>5931</v>
      </c>
      <c r="E56" s="296" t="s">
        <v>5932</v>
      </c>
      <c r="F56" s="297">
        <v>3</v>
      </c>
      <c r="G56" s="296"/>
      <c r="H56" s="296"/>
      <c r="I56" s="136"/>
      <c r="J56" s="136"/>
      <c r="K56" s="136" t="s">
        <v>4</v>
      </c>
      <c r="L56" s="136" t="s">
        <v>5980</v>
      </c>
      <c r="M56" s="136" t="s">
        <v>5981</v>
      </c>
      <c r="N56" s="320"/>
    </row>
    <row r="57" spans="1:14" ht="19" customHeight="1">
      <c r="A57" s="356" t="s">
        <v>2527</v>
      </c>
      <c r="B57" s="137" t="s">
        <v>5933</v>
      </c>
      <c r="C57" s="136" t="s">
        <v>5924</v>
      </c>
      <c r="D57" s="296" t="s">
        <v>5934</v>
      </c>
      <c r="E57" s="296" t="s">
        <v>5752</v>
      </c>
      <c r="F57" s="297">
        <v>2</v>
      </c>
      <c r="G57" s="296"/>
      <c r="H57" s="296"/>
      <c r="I57" s="136"/>
      <c r="J57" s="136"/>
      <c r="K57" s="136" t="s">
        <v>4</v>
      </c>
      <c r="L57" s="136" t="s">
        <v>5980</v>
      </c>
      <c r="M57" s="136" t="s">
        <v>5981</v>
      </c>
      <c r="N57" s="320"/>
    </row>
    <row r="58" spans="1:14" ht="19" customHeight="1">
      <c r="A58" s="356" t="s">
        <v>2527</v>
      </c>
      <c r="B58" s="137" t="s">
        <v>5935</v>
      </c>
      <c r="C58" s="136" t="s">
        <v>5936</v>
      </c>
      <c r="D58" s="296" t="s">
        <v>5937</v>
      </c>
      <c r="E58" s="296" t="s">
        <v>5752</v>
      </c>
      <c r="F58" s="297">
        <v>3</v>
      </c>
      <c r="G58" s="296"/>
      <c r="H58" s="296"/>
      <c r="I58" s="136"/>
      <c r="J58" s="136"/>
      <c r="K58" s="136" t="s">
        <v>4</v>
      </c>
      <c r="L58" s="136" t="s">
        <v>5980</v>
      </c>
      <c r="M58" s="136" t="s">
        <v>5981</v>
      </c>
      <c r="N58" s="320"/>
    </row>
    <row r="59" spans="1:14" ht="19" customHeight="1">
      <c r="A59" s="356" t="s">
        <v>2527</v>
      </c>
      <c r="B59" s="137" t="s">
        <v>5938</v>
      </c>
      <c r="C59" s="136" t="s">
        <v>5936</v>
      </c>
      <c r="D59" s="296" t="s">
        <v>5939</v>
      </c>
      <c r="E59" s="296" t="s">
        <v>5940</v>
      </c>
      <c r="F59" s="297">
        <v>14</v>
      </c>
      <c r="G59" s="296"/>
      <c r="H59" s="296"/>
      <c r="I59" s="136"/>
      <c r="J59" s="136"/>
      <c r="K59" s="136" t="s">
        <v>4</v>
      </c>
      <c r="L59" s="136" t="s">
        <v>5980</v>
      </c>
      <c r="M59" s="136" t="s">
        <v>5981</v>
      </c>
      <c r="N59" s="320"/>
    </row>
    <row r="60" spans="1:14" ht="19" customHeight="1">
      <c r="A60" s="356" t="s">
        <v>2527</v>
      </c>
      <c r="B60" s="137" t="s">
        <v>5941</v>
      </c>
      <c r="C60" s="136" t="s">
        <v>5936</v>
      </c>
      <c r="D60" s="296" t="s">
        <v>5942</v>
      </c>
      <c r="E60" s="296" t="s">
        <v>5943</v>
      </c>
      <c r="F60" s="297">
        <v>12</v>
      </c>
      <c r="G60" s="296"/>
      <c r="H60" s="296"/>
      <c r="I60" s="136"/>
      <c r="J60" s="136"/>
      <c r="K60" s="136" t="s">
        <v>4</v>
      </c>
      <c r="L60" s="136" t="s">
        <v>5980</v>
      </c>
      <c r="M60" s="136" t="s">
        <v>5981</v>
      </c>
      <c r="N60" s="320"/>
    </row>
    <row r="61" spans="1:14" ht="19" customHeight="1">
      <c r="A61" s="356" t="s">
        <v>2527</v>
      </c>
      <c r="B61" s="137" t="s">
        <v>5944</v>
      </c>
      <c r="C61" s="136" t="s">
        <v>5936</v>
      </c>
      <c r="D61" s="296" t="s">
        <v>5945</v>
      </c>
      <c r="E61" s="296" t="s">
        <v>5946</v>
      </c>
      <c r="F61" s="297">
        <v>20</v>
      </c>
      <c r="G61" s="296"/>
      <c r="H61" s="296"/>
      <c r="I61" s="136"/>
      <c r="J61" s="136"/>
      <c r="K61" s="136" t="s">
        <v>4</v>
      </c>
      <c r="L61" s="136" t="s">
        <v>5980</v>
      </c>
      <c r="M61" s="136" t="s">
        <v>5981</v>
      </c>
      <c r="N61" s="320"/>
    </row>
    <row r="62" spans="1:14" ht="19" customHeight="1">
      <c r="A62" s="356" t="s">
        <v>2527</v>
      </c>
      <c r="B62" s="137" t="s">
        <v>5947</v>
      </c>
      <c r="C62" s="136" t="s">
        <v>5936</v>
      </c>
      <c r="D62" s="296" t="s">
        <v>5948</v>
      </c>
      <c r="E62" s="296" t="s">
        <v>5949</v>
      </c>
      <c r="F62" s="297">
        <v>18</v>
      </c>
      <c r="G62" s="296"/>
      <c r="H62" s="296"/>
      <c r="I62" s="136"/>
      <c r="J62" s="136"/>
      <c r="K62" s="136" t="s">
        <v>4</v>
      </c>
      <c r="L62" s="136" t="s">
        <v>5980</v>
      </c>
      <c r="M62" s="136" t="s">
        <v>5981</v>
      </c>
      <c r="N62" s="320"/>
    </row>
    <row r="63" spans="1:14" ht="19" customHeight="1">
      <c r="A63" s="356" t="s">
        <v>2527</v>
      </c>
      <c r="B63" s="137" t="s">
        <v>5950</v>
      </c>
      <c r="C63" s="136" t="s">
        <v>5936</v>
      </c>
      <c r="D63" s="296" t="s">
        <v>5951</v>
      </c>
      <c r="E63" s="296" t="s">
        <v>5952</v>
      </c>
      <c r="F63" s="297">
        <v>5</v>
      </c>
      <c r="G63" s="296"/>
      <c r="H63" s="296"/>
      <c r="I63" s="136"/>
      <c r="J63" s="136"/>
      <c r="K63" s="136" t="s">
        <v>4</v>
      </c>
      <c r="L63" s="136" t="s">
        <v>5980</v>
      </c>
      <c r="M63" s="136" t="s">
        <v>5981</v>
      </c>
      <c r="N63" s="320"/>
    </row>
    <row r="64" spans="1:14" ht="19" customHeight="1">
      <c r="A64" s="356" t="s">
        <v>2527</v>
      </c>
      <c r="B64" s="137" t="s">
        <v>5953</v>
      </c>
      <c r="C64" s="136" t="s">
        <v>5954</v>
      </c>
      <c r="D64" s="296" t="s">
        <v>5955</v>
      </c>
      <c r="E64" s="296" t="s">
        <v>5752</v>
      </c>
      <c r="F64" s="297">
        <v>4</v>
      </c>
      <c r="G64" s="296"/>
      <c r="H64" s="296"/>
      <c r="I64" s="136"/>
      <c r="J64" s="136"/>
      <c r="K64" s="136" t="s">
        <v>4</v>
      </c>
      <c r="L64" s="136" t="s">
        <v>5980</v>
      </c>
      <c r="M64" s="136" t="s">
        <v>5981</v>
      </c>
      <c r="N64" s="320"/>
    </row>
    <row r="65" spans="1:14" ht="19" customHeight="1">
      <c r="A65" s="356" t="s">
        <v>2527</v>
      </c>
      <c r="B65" s="137" t="s">
        <v>5956</v>
      </c>
      <c r="C65" s="136" t="s">
        <v>5954</v>
      </c>
      <c r="D65" s="296" t="s">
        <v>5957</v>
      </c>
      <c r="E65" s="296" t="s">
        <v>5752</v>
      </c>
      <c r="F65" s="297">
        <v>4</v>
      </c>
      <c r="G65" s="296"/>
      <c r="H65" s="296"/>
      <c r="I65" s="136"/>
      <c r="J65" s="136"/>
      <c r="K65" s="136" t="s">
        <v>4</v>
      </c>
      <c r="L65" s="136" t="s">
        <v>5980</v>
      </c>
      <c r="M65" s="136" t="s">
        <v>5981</v>
      </c>
      <c r="N65" s="320"/>
    </row>
    <row r="66" spans="1:14" ht="19" customHeight="1">
      <c r="A66" s="356" t="s">
        <v>2527</v>
      </c>
      <c r="B66" s="137" t="s">
        <v>5958</v>
      </c>
      <c r="C66" s="136" t="s">
        <v>5954</v>
      </c>
      <c r="D66" s="296" t="s">
        <v>5959</v>
      </c>
      <c r="E66" s="296" t="s">
        <v>5752</v>
      </c>
      <c r="F66" s="297">
        <v>4</v>
      </c>
      <c r="G66" s="296"/>
      <c r="H66" s="296"/>
      <c r="I66" s="136"/>
      <c r="J66" s="136"/>
      <c r="K66" s="136" t="s">
        <v>4</v>
      </c>
      <c r="L66" s="136" t="s">
        <v>5980</v>
      </c>
      <c r="M66" s="136" t="s">
        <v>5981</v>
      </c>
      <c r="N66" s="320"/>
    </row>
    <row r="67" spans="1:14" ht="19" customHeight="1">
      <c r="A67" s="356" t="s">
        <v>2527</v>
      </c>
      <c r="B67" s="137" t="s">
        <v>5960</v>
      </c>
      <c r="C67" s="136" t="s">
        <v>5954</v>
      </c>
      <c r="D67" s="296" t="s">
        <v>5961</v>
      </c>
      <c r="E67" s="296" t="s">
        <v>5752</v>
      </c>
      <c r="F67" s="297">
        <v>4</v>
      </c>
      <c r="G67" s="296"/>
      <c r="H67" s="296"/>
      <c r="I67" s="136"/>
      <c r="J67" s="136"/>
      <c r="K67" s="136" t="s">
        <v>4</v>
      </c>
      <c r="L67" s="136" t="s">
        <v>5980</v>
      </c>
      <c r="M67" s="136" t="s">
        <v>5981</v>
      </c>
      <c r="N67" s="320"/>
    </row>
    <row r="68" spans="1:14" ht="19" customHeight="1">
      <c r="A68" s="356" t="s">
        <v>2527</v>
      </c>
      <c r="B68" s="137" t="s">
        <v>5962</v>
      </c>
      <c r="C68" s="136" t="s">
        <v>5954</v>
      </c>
      <c r="D68" s="296" t="s">
        <v>5963</v>
      </c>
      <c r="E68" s="296" t="s">
        <v>5964</v>
      </c>
      <c r="F68" s="297">
        <v>5</v>
      </c>
      <c r="G68" s="296"/>
      <c r="H68" s="296"/>
      <c r="I68" s="136"/>
      <c r="J68" s="136"/>
      <c r="K68" s="136" t="s">
        <v>4</v>
      </c>
      <c r="L68" s="136" t="s">
        <v>5980</v>
      </c>
      <c r="M68" s="136" t="s">
        <v>5981</v>
      </c>
      <c r="N68" s="320"/>
    </row>
    <row r="69" spans="1:14" ht="19" customHeight="1">
      <c r="A69" s="356" t="s">
        <v>2527</v>
      </c>
      <c r="B69" s="137" t="s">
        <v>5965</v>
      </c>
      <c r="C69" s="136" t="s">
        <v>5954</v>
      </c>
      <c r="D69" s="296" t="s">
        <v>5966</v>
      </c>
      <c r="E69" s="296" t="s">
        <v>5967</v>
      </c>
      <c r="F69" s="297">
        <v>8</v>
      </c>
      <c r="G69" s="296"/>
      <c r="H69" s="296"/>
      <c r="I69" s="136"/>
      <c r="J69" s="136"/>
      <c r="K69" s="136" t="s">
        <v>4</v>
      </c>
      <c r="L69" s="136" t="s">
        <v>5980</v>
      </c>
      <c r="M69" s="136" t="s">
        <v>5981</v>
      </c>
      <c r="N69" s="320"/>
    </row>
    <row r="70" spans="1:14" ht="19" customHeight="1">
      <c r="A70" s="356" t="s">
        <v>5982</v>
      </c>
      <c r="B70" s="137" t="s">
        <v>2226</v>
      </c>
      <c r="C70" s="136" t="s">
        <v>503</v>
      </c>
      <c r="D70" s="296" t="s">
        <v>2227</v>
      </c>
      <c r="E70" s="296" t="s">
        <v>5983</v>
      </c>
      <c r="F70" s="297">
        <v>4</v>
      </c>
      <c r="G70" s="296" t="s">
        <v>5460</v>
      </c>
      <c r="H70" s="296" t="s">
        <v>2229</v>
      </c>
      <c r="I70" s="136" t="s">
        <v>2228</v>
      </c>
      <c r="J70" s="136" t="s">
        <v>2440</v>
      </c>
      <c r="K70" s="136" t="s">
        <v>2231</v>
      </c>
      <c r="L70" s="136" t="s">
        <v>2232</v>
      </c>
      <c r="M70" s="136" t="s">
        <v>2441</v>
      </c>
      <c r="N70" s="320" t="s">
        <v>5984</v>
      </c>
    </row>
    <row r="71" spans="1:14" ht="19" customHeight="1">
      <c r="A71" s="356" t="s">
        <v>5982</v>
      </c>
      <c r="B71" s="137" t="s">
        <v>2233</v>
      </c>
      <c r="C71" s="136" t="s">
        <v>503</v>
      </c>
      <c r="D71" s="296" t="s">
        <v>2234</v>
      </c>
      <c r="E71" s="296" t="s">
        <v>5985</v>
      </c>
      <c r="F71" s="297">
        <v>10</v>
      </c>
      <c r="G71" s="296" t="s">
        <v>5461</v>
      </c>
      <c r="H71" s="296" t="s">
        <v>2235</v>
      </c>
      <c r="I71" s="136" t="s">
        <v>2228</v>
      </c>
      <c r="J71" s="136" t="s">
        <v>2440</v>
      </c>
      <c r="K71" s="136" t="s">
        <v>2236</v>
      </c>
      <c r="L71" s="136" t="s">
        <v>2232</v>
      </c>
      <c r="M71" s="136" t="s">
        <v>2441</v>
      </c>
      <c r="N71" s="320" t="s">
        <v>5986</v>
      </c>
    </row>
    <row r="72" spans="1:14" ht="19" customHeight="1">
      <c r="A72" s="356" t="s">
        <v>5982</v>
      </c>
      <c r="B72" s="137" t="s">
        <v>2237</v>
      </c>
      <c r="C72" s="136" t="s">
        <v>503</v>
      </c>
      <c r="D72" s="296" t="s">
        <v>2238</v>
      </c>
      <c r="E72" s="296" t="s">
        <v>5987</v>
      </c>
      <c r="F72" s="297">
        <v>11</v>
      </c>
      <c r="G72" s="296" t="s">
        <v>5462</v>
      </c>
      <c r="H72" s="296" t="s">
        <v>2239</v>
      </c>
      <c r="I72" s="136" t="s">
        <v>2228</v>
      </c>
      <c r="J72" s="136" t="s">
        <v>2440</v>
      </c>
      <c r="K72" s="136" t="s">
        <v>2236</v>
      </c>
      <c r="L72" s="136" t="s">
        <v>2232</v>
      </c>
      <c r="M72" s="136" t="s">
        <v>2441</v>
      </c>
      <c r="N72" s="320" t="s">
        <v>5986</v>
      </c>
    </row>
    <row r="73" spans="1:14" ht="19" customHeight="1">
      <c r="A73" s="356" t="s">
        <v>5982</v>
      </c>
      <c r="B73" s="137" t="s">
        <v>2239</v>
      </c>
      <c r="C73" s="136" t="s">
        <v>503</v>
      </c>
      <c r="D73" s="296" t="s">
        <v>2240</v>
      </c>
      <c r="E73" s="296" t="s">
        <v>5988</v>
      </c>
      <c r="F73" s="297">
        <v>24</v>
      </c>
      <c r="G73" s="296" t="s">
        <v>5463</v>
      </c>
      <c r="H73" s="296" t="s">
        <v>2237</v>
      </c>
      <c r="I73" s="136" t="s">
        <v>2241</v>
      </c>
      <c r="J73" s="136" t="s">
        <v>2440</v>
      </c>
      <c r="K73" s="136" t="s">
        <v>2236</v>
      </c>
      <c r="L73" s="136" t="s">
        <v>2232</v>
      </c>
      <c r="M73" s="136" t="s">
        <v>2441</v>
      </c>
      <c r="N73" s="320" t="s">
        <v>5989</v>
      </c>
    </row>
    <row r="74" spans="1:14" ht="19" customHeight="1">
      <c r="A74" s="356" t="s">
        <v>5982</v>
      </c>
      <c r="B74" s="137" t="s">
        <v>2242</v>
      </c>
      <c r="C74" s="136" t="s">
        <v>503</v>
      </c>
      <c r="D74" s="296" t="s">
        <v>2243</v>
      </c>
      <c r="E74" s="296" t="s">
        <v>6983</v>
      </c>
      <c r="F74" s="297">
        <v>4</v>
      </c>
      <c r="G74" s="296" t="s">
        <v>5464</v>
      </c>
      <c r="H74" s="296" t="s">
        <v>2244</v>
      </c>
      <c r="I74" s="136" t="s">
        <v>2228</v>
      </c>
      <c r="J74" s="136" t="s">
        <v>2440</v>
      </c>
      <c r="K74" s="136" t="s">
        <v>2231</v>
      </c>
      <c r="L74" s="136" t="s">
        <v>2232</v>
      </c>
      <c r="M74" s="136" t="s">
        <v>2441</v>
      </c>
      <c r="N74" s="320" t="s">
        <v>5984</v>
      </c>
    </row>
    <row r="75" spans="1:14" ht="19" customHeight="1">
      <c r="A75" s="356" t="s">
        <v>5982</v>
      </c>
      <c r="B75" s="137" t="s">
        <v>2245</v>
      </c>
      <c r="C75" s="136" t="s">
        <v>503</v>
      </c>
      <c r="D75" s="296" t="s">
        <v>2246</v>
      </c>
      <c r="E75" s="296" t="s">
        <v>5990</v>
      </c>
      <c r="F75" s="297">
        <v>9</v>
      </c>
      <c r="G75" s="296" t="s">
        <v>5465</v>
      </c>
      <c r="H75" s="296" t="s">
        <v>2226</v>
      </c>
      <c r="I75" s="136" t="s">
        <v>2228</v>
      </c>
      <c r="J75" s="136" t="s">
        <v>2440</v>
      </c>
      <c r="K75" s="136" t="s">
        <v>2236</v>
      </c>
      <c r="L75" s="136" t="s">
        <v>2232</v>
      </c>
      <c r="M75" s="136" t="s">
        <v>2441</v>
      </c>
      <c r="N75" s="320" t="s">
        <v>5991</v>
      </c>
    </row>
    <row r="76" spans="1:14" ht="19" customHeight="1">
      <c r="A76" s="356" t="s">
        <v>5982</v>
      </c>
      <c r="B76" s="137" t="s">
        <v>2247</v>
      </c>
      <c r="C76" s="136" t="s">
        <v>503</v>
      </c>
      <c r="D76" s="296" t="s">
        <v>2248</v>
      </c>
      <c r="E76" s="296" t="s">
        <v>5992</v>
      </c>
      <c r="F76" s="297">
        <v>4</v>
      </c>
      <c r="G76" s="296" t="s">
        <v>5466</v>
      </c>
      <c r="H76" s="296" t="s">
        <v>2226</v>
      </c>
      <c r="I76" s="136" t="s">
        <v>2228</v>
      </c>
      <c r="J76" s="136" t="s">
        <v>2440</v>
      </c>
      <c r="K76" s="136" t="s">
        <v>2231</v>
      </c>
      <c r="L76" s="136" t="s">
        <v>2232</v>
      </c>
      <c r="M76" s="136" t="s">
        <v>2441</v>
      </c>
      <c r="N76" s="320" t="s">
        <v>5984</v>
      </c>
    </row>
    <row r="77" spans="1:14" ht="19" customHeight="1">
      <c r="A77" s="356" t="s">
        <v>5982</v>
      </c>
      <c r="B77" s="137" t="s">
        <v>2249</v>
      </c>
      <c r="C77" s="136" t="s">
        <v>503</v>
      </c>
      <c r="D77" s="296" t="s">
        <v>2250</v>
      </c>
      <c r="E77" s="296" t="s">
        <v>5993</v>
      </c>
      <c r="F77" s="297">
        <v>12</v>
      </c>
      <c r="G77" s="296" t="s">
        <v>5467</v>
      </c>
      <c r="H77" s="296" t="s">
        <v>2252</v>
      </c>
      <c r="I77" s="136" t="s">
        <v>2251</v>
      </c>
      <c r="J77" s="136" t="s">
        <v>2440</v>
      </c>
      <c r="K77" s="136" t="s">
        <v>2236</v>
      </c>
      <c r="L77" s="136" t="s">
        <v>2232</v>
      </c>
      <c r="M77" s="136" t="s">
        <v>2441</v>
      </c>
      <c r="N77" s="320" t="s">
        <v>5994</v>
      </c>
    </row>
    <row r="78" spans="1:14" ht="19" customHeight="1">
      <c r="A78" s="356" t="s">
        <v>5982</v>
      </c>
      <c r="B78" s="137" t="s">
        <v>2442</v>
      </c>
      <c r="C78" s="136" t="s">
        <v>503</v>
      </c>
      <c r="D78" s="296" t="s">
        <v>2443</v>
      </c>
      <c r="E78" s="296" t="s">
        <v>5995</v>
      </c>
      <c r="F78" s="297">
        <v>8</v>
      </c>
      <c r="G78" s="296" t="s">
        <v>5560</v>
      </c>
      <c r="H78" s="296" t="s">
        <v>2226</v>
      </c>
      <c r="I78" s="136" t="s">
        <v>2302</v>
      </c>
      <c r="J78" s="136" t="s">
        <v>2444</v>
      </c>
      <c r="K78" s="136" t="s">
        <v>2445</v>
      </c>
      <c r="L78" s="136" t="s">
        <v>2446</v>
      </c>
      <c r="M78" s="136" t="s">
        <v>2447</v>
      </c>
      <c r="N78" s="320" t="s">
        <v>5996</v>
      </c>
    </row>
    <row r="79" spans="1:14" ht="19" customHeight="1">
      <c r="A79" s="356" t="s">
        <v>5982</v>
      </c>
      <c r="B79" s="137" t="s">
        <v>2448</v>
      </c>
      <c r="C79" s="136" t="s">
        <v>503</v>
      </c>
      <c r="D79" s="296" t="s">
        <v>2449</v>
      </c>
      <c r="E79" s="296" t="s">
        <v>5997</v>
      </c>
      <c r="F79" s="297">
        <v>10</v>
      </c>
      <c r="G79" s="296" t="s">
        <v>5468</v>
      </c>
      <c r="H79" s="296" t="s">
        <v>2233</v>
      </c>
      <c r="I79" s="136" t="s">
        <v>2228</v>
      </c>
      <c r="J79" s="136" t="s">
        <v>2440</v>
      </c>
      <c r="K79" s="136" t="s">
        <v>2231</v>
      </c>
      <c r="L79" s="136" t="s">
        <v>2446</v>
      </c>
      <c r="M79" s="136" t="s">
        <v>2450</v>
      </c>
      <c r="N79" s="320" t="s">
        <v>5998</v>
      </c>
    </row>
    <row r="80" spans="1:14" ht="19" customHeight="1">
      <c r="A80" s="356" t="s">
        <v>5982</v>
      </c>
      <c r="B80" s="137" t="s">
        <v>2253</v>
      </c>
      <c r="C80" s="136" t="s">
        <v>510</v>
      </c>
      <c r="D80" s="296" t="s">
        <v>2254</v>
      </c>
      <c r="E80" s="296" t="s">
        <v>5999</v>
      </c>
      <c r="F80" s="297">
        <v>10</v>
      </c>
      <c r="G80" s="296" t="s">
        <v>5469</v>
      </c>
      <c r="H80" s="296" t="s">
        <v>2256</v>
      </c>
      <c r="I80" s="136" t="s">
        <v>2255</v>
      </c>
      <c r="J80" s="136" t="s">
        <v>2440</v>
      </c>
      <c r="K80" s="136" t="s">
        <v>2231</v>
      </c>
      <c r="L80" s="136" t="s">
        <v>2232</v>
      </c>
      <c r="M80" s="136" t="s">
        <v>2441</v>
      </c>
      <c r="N80" s="320" t="s">
        <v>5998</v>
      </c>
    </row>
    <row r="81" spans="1:14" ht="19" customHeight="1">
      <c r="A81" s="356" t="s">
        <v>5982</v>
      </c>
      <c r="B81" s="137" t="s">
        <v>2257</v>
      </c>
      <c r="C81" s="136" t="s">
        <v>510</v>
      </c>
      <c r="D81" s="296" t="s">
        <v>2258</v>
      </c>
      <c r="E81" s="296" t="s">
        <v>6000</v>
      </c>
      <c r="F81" s="297">
        <v>11</v>
      </c>
      <c r="G81" s="296" t="s">
        <v>5470</v>
      </c>
      <c r="H81" s="296" t="s">
        <v>2239</v>
      </c>
      <c r="I81" s="136" t="s">
        <v>2259</v>
      </c>
      <c r="J81" s="136" t="s">
        <v>2440</v>
      </c>
      <c r="K81" s="136" t="s">
        <v>2236</v>
      </c>
      <c r="L81" s="136" t="s">
        <v>2232</v>
      </c>
      <c r="M81" s="136" t="s">
        <v>2441</v>
      </c>
      <c r="N81" s="320" t="s">
        <v>5986</v>
      </c>
    </row>
    <row r="82" spans="1:14" ht="19" customHeight="1">
      <c r="A82" s="356" t="s">
        <v>5982</v>
      </c>
      <c r="B82" s="137" t="s">
        <v>2260</v>
      </c>
      <c r="C82" s="136" t="s">
        <v>510</v>
      </c>
      <c r="D82" s="296" t="s">
        <v>2261</v>
      </c>
      <c r="E82" s="296" t="s">
        <v>6001</v>
      </c>
      <c r="F82" s="297">
        <v>22</v>
      </c>
      <c r="G82" s="296" t="s">
        <v>5471</v>
      </c>
      <c r="H82" s="296" t="s">
        <v>2253</v>
      </c>
      <c r="I82" s="136" t="s">
        <v>2262</v>
      </c>
      <c r="J82" s="136" t="s">
        <v>2440</v>
      </c>
      <c r="K82" s="136" t="s">
        <v>2236</v>
      </c>
      <c r="L82" s="136" t="s">
        <v>2232</v>
      </c>
      <c r="M82" s="136" t="s">
        <v>2441</v>
      </c>
      <c r="N82" s="320" t="s">
        <v>6002</v>
      </c>
    </row>
    <row r="83" spans="1:14" ht="19" customHeight="1">
      <c r="A83" s="356" t="s">
        <v>5982</v>
      </c>
      <c r="B83" s="137" t="s">
        <v>2263</v>
      </c>
      <c r="C83" s="136" t="s">
        <v>510</v>
      </c>
      <c r="D83" s="296" t="s">
        <v>2264</v>
      </c>
      <c r="E83" s="296" t="s">
        <v>6003</v>
      </c>
      <c r="F83" s="297">
        <v>22</v>
      </c>
      <c r="G83" s="296" t="s">
        <v>5472</v>
      </c>
      <c r="H83" s="296" t="s">
        <v>2266</v>
      </c>
      <c r="I83" s="136" t="s">
        <v>2265</v>
      </c>
      <c r="J83" s="136" t="s">
        <v>2440</v>
      </c>
      <c r="K83" s="136" t="s">
        <v>2236</v>
      </c>
      <c r="L83" s="136" t="s">
        <v>2232</v>
      </c>
      <c r="M83" s="136" t="s">
        <v>2441</v>
      </c>
      <c r="N83" s="320" t="s">
        <v>6002</v>
      </c>
    </row>
    <row r="84" spans="1:14" ht="19" customHeight="1">
      <c r="A84" s="356" t="s">
        <v>5982</v>
      </c>
      <c r="B84" s="137" t="s">
        <v>2267</v>
      </c>
      <c r="C84" s="136" t="s">
        <v>510</v>
      </c>
      <c r="D84" s="296" t="s">
        <v>2268</v>
      </c>
      <c r="E84" s="296" t="s">
        <v>6004</v>
      </c>
      <c r="F84" s="297">
        <v>12</v>
      </c>
      <c r="G84" s="296" t="s">
        <v>5473</v>
      </c>
      <c r="H84" s="296" t="s">
        <v>2269</v>
      </c>
      <c r="I84" s="136" t="s">
        <v>2262</v>
      </c>
      <c r="J84" s="136" t="s">
        <v>2440</v>
      </c>
      <c r="K84" s="136" t="s">
        <v>2231</v>
      </c>
      <c r="L84" s="136" t="s">
        <v>2232</v>
      </c>
      <c r="M84" s="136" t="s">
        <v>2441</v>
      </c>
      <c r="N84" s="320" t="s">
        <v>5998</v>
      </c>
    </row>
    <row r="85" spans="1:14" ht="19" customHeight="1">
      <c r="A85" s="356" t="s">
        <v>5982</v>
      </c>
      <c r="B85" s="137" t="s">
        <v>2270</v>
      </c>
      <c r="C85" s="136" t="s">
        <v>510</v>
      </c>
      <c r="D85" s="296" t="s">
        <v>2271</v>
      </c>
      <c r="E85" s="296" t="s">
        <v>6005</v>
      </c>
      <c r="F85" s="297">
        <v>10</v>
      </c>
      <c r="G85" s="296" t="s">
        <v>5474</v>
      </c>
      <c r="H85" s="296" t="s">
        <v>2267</v>
      </c>
      <c r="I85" s="136" t="s">
        <v>2272</v>
      </c>
      <c r="J85" s="136" t="s">
        <v>2440</v>
      </c>
      <c r="K85" s="136" t="s">
        <v>2231</v>
      </c>
      <c r="L85" s="136" t="s">
        <v>2232</v>
      </c>
      <c r="M85" s="136" t="s">
        <v>2441</v>
      </c>
      <c r="N85" s="320" t="s">
        <v>5998</v>
      </c>
    </row>
    <row r="86" spans="1:14" ht="19" customHeight="1">
      <c r="A86" s="356" t="s">
        <v>5982</v>
      </c>
      <c r="B86" s="137" t="s">
        <v>2273</v>
      </c>
      <c r="C86" s="136" t="s">
        <v>510</v>
      </c>
      <c r="D86" s="296" t="s">
        <v>2274</v>
      </c>
      <c r="E86" s="296" t="s">
        <v>6006</v>
      </c>
      <c r="F86" s="297">
        <v>11</v>
      </c>
      <c r="G86" s="296" t="s">
        <v>5475</v>
      </c>
      <c r="H86" s="296" t="s">
        <v>2275</v>
      </c>
      <c r="I86" s="136" t="s">
        <v>2241</v>
      </c>
      <c r="J86" s="136" t="s">
        <v>2440</v>
      </c>
      <c r="K86" s="136" t="s">
        <v>2236</v>
      </c>
      <c r="L86" s="136" t="s">
        <v>2232</v>
      </c>
      <c r="M86" s="136" t="s">
        <v>2441</v>
      </c>
      <c r="N86" s="320" t="s">
        <v>5986</v>
      </c>
    </row>
    <row r="87" spans="1:14" ht="19" customHeight="1">
      <c r="A87" s="356" t="s">
        <v>5982</v>
      </c>
      <c r="B87" s="137" t="s">
        <v>2276</v>
      </c>
      <c r="C87" s="136" t="s">
        <v>510</v>
      </c>
      <c r="D87" s="296" t="s">
        <v>2277</v>
      </c>
      <c r="E87" s="296" t="s">
        <v>6007</v>
      </c>
      <c r="F87" s="297">
        <v>12</v>
      </c>
      <c r="G87" s="296" t="s">
        <v>5476</v>
      </c>
      <c r="H87" s="296" t="s">
        <v>2278</v>
      </c>
      <c r="I87" s="136" t="s">
        <v>2262</v>
      </c>
      <c r="J87" s="136" t="s">
        <v>2440</v>
      </c>
      <c r="K87" s="136" t="s">
        <v>2231</v>
      </c>
      <c r="L87" s="136" t="s">
        <v>2232</v>
      </c>
      <c r="M87" s="136" t="s">
        <v>2441</v>
      </c>
      <c r="N87" s="320" t="s">
        <v>5998</v>
      </c>
    </row>
    <row r="88" spans="1:14" ht="19" customHeight="1">
      <c r="A88" s="356" t="s">
        <v>5982</v>
      </c>
      <c r="B88" s="137" t="s">
        <v>2451</v>
      </c>
      <c r="C88" s="136" t="s">
        <v>510</v>
      </c>
      <c r="D88" s="296" t="s">
        <v>2452</v>
      </c>
      <c r="E88" s="296" t="s">
        <v>6008</v>
      </c>
      <c r="F88" s="297">
        <v>9</v>
      </c>
      <c r="G88" s="296" t="s">
        <v>5477</v>
      </c>
      <c r="H88" s="296" t="s">
        <v>2267</v>
      </c>
      <c r="I88" s="136" t="s">
        <v>2262</v>
      </c>
      <c r="J88" s="136" t="s">
        <v>2440</v>
      </c>
      <c r="K88" s="136" t="s">
        <v>2231</v>
      </c>
      <c r="L88" s="136" t="s">
        <v>2446</v>
      </c>
      <c r="M88" s="136" t="s">
        <v>913</v>
      </c>
      <c r="N88" s="320" t="s">
        <v>5998</v>
      </c>
    </row>
    <row r="89" spans="1:14" ht="19" customHeight="1">
      <c r="A89" s="356" t="s">
        <v>5982</v>
      </c>
      <c r="B89" s="137" t="s">
        <v>2453</v>
      </c>
      <c r="C89" s="136" t="s">
        <v>510</v>
      </c>
      <c r="D89" s="296" t="s">
        <v>2454</v>
      </c>
      <c r="E89" s="296" t="s">
        <v>6009</v>
      </c>
      <c r="F89" s="297">
        <v>9</v>
      </c>
      <c r="G89" s="296" t="s">
        <v>5478</v>
      </c>
      <c r="H89" s="296" t="s">
        <v>2263</v>
      </c>
      <c r="I89" s="136" t="s">
        <v>2262</v>
      </c>
      <c r="J89" s="136" t="s">
        <v>2440</v>
      </c>
      <c r="K89" s="136" t="s">
        <v>2231</v>
      </c>
      <c r="L89" s="136" t="s">
        <v>2446</v>
      </c>
      <c r="M89" s="136" t="s">
        <v>912</v>
      </c>
      <c r="N89" s="320" t="s">
        <v>5998</v>
      </c>
    </row>
    <row r="90" spans="1:14" ht="19" customHeight="1">
      <c r="A90" s="356" t="s">
        <v>5982</v>
      </c>
      <c r="B90" s="137" t="s">
        <v>2455</v>
      </c>
      <c r="C90" s="136" t="s">
        <v>510</v>
      </c>
      <c r="D90" s="296" t="s">
        <v>2456</v>
      </c>
      <c r="E90" s="296" t="s">
        <v>6010</v>
      </c>
      <c r="F90" s="297">
        <v>6</v>
      </c>
      <c r="G90" s="296" t="s">
        <v>5479</v>
      </c>
      <c r="H90" s="296" t="s">
        <v>2260</v>
      </c>
      <c r="I90" s="136" t="s">
        <v>2302</v>
      </c>
      <c r="J90" s="136" t="s">
        <v>2440</v>
      </c>
      <c r="K90" s="136" t="s">
        <v>2231</v>
      </c>
      <c r="L90" s="136" t="s">
        <v>2446</v>
      </c>
      <c r="M90" s="136" t="s">
        <v>911</v>
      </c>
      <c r="N90" s="320" t="s">
        <v>5984</v>
      </c>
    </row>
    <row r="91" spans="1:14" ht="19" customHeight="1">
      <c r="A91" s="356" t="s">
        <v>5982</v>
      </c>
      <c r="B91" s="137" t="s">
        <v>2279</v>
      </c>
      <c r="C91" s="136" t="s">
        <v>1044</v>
      </c>
      <c r="D91" s="296" t="s">
        <v>2280</v>
      </c>
      <c r="E91" s="296" t="s">
        <v>6011</v>
      </c>
      <c r="F91" s="297">
        <v>10</v>
      </c>
      <c r="G91" s="296" t="s">
        <v>5480</v>
      </c>
      <c r="H91" s="296" t="s">
        <v>2237</v>
      </c>
      <c r="I91" s="136" t="s">
        <v>2281</v>
      </c>
      <c r="J91" s="136" t="s">
        <v>2440</v>
      </c>
      <c r="K91" s="136" t="s">
        <v>2231</v>
      </c>
      <c r="L91" s="136" t="s">
        <v>2232</v>
      </c>
      <c r="M91" s="136" t="s">
        <v>2441</v>
      </c>
      <c r="N91" s="320" t="s">
        <v>5998</v>
      </c>
    </row>
    <row r="92" spans="1:14" ht="19" customHeight="1">
      <c r="A92" s="356" t="s">
        <v>5982</v>
      </c>
      <c r="B92" s="137" t="s">
        <v>2282</v>
      </c>
      <c r="C92" s="136" t="s">
        <v>1044</v>
      </c>
      <c r="D92" s="296" t="s">
        <v>2283</v>
      </c>
      <c r="E92" s="296" t="s">
        <v>6012</v>
      </c>
      <c r="F92" s="297">
        <v>5</v>
      </c>
      <c r="G92" s="296" t="s">
        <v>5481</v>
      </c>
      <c r="H92" s="296" t="s">
        <v>2279</v>
      </c>
      <c r="I92" s="136" t="s">
        <v>2284</v>
      </c>
      <c r="J92" s="136" t="s">
        <v>2440</v>
      </c>
      <c r="K92" s="136" t="s">
        <v>2231</v>
      </c>
      <c r="L92" s="136" t="s">
        <v>2232</v>
      </c>
      <c r="M92" s="136" t="s">
        <v>2441</v>
      </c>
      <c r="N92" s="320" t="s">
        <v>5984</v>
      </c>
    </row>
    <row r="93" spans="1:14" ht="19" customHeight="1">
      <c r="A93" s="356" t="s">
        <v>5982</v>
      </c>
      <c r="B93" s="137" t="s">
        <v>2285</v>
      </c>
      <c r="C93" s="136" t="s">
        <v>1044</v>
      </c>
      <c r="D93" s="296" t="s">
        <v>2286</v>
      </c>
      <c r="E93" s="296" t="s">
        <v>6013</v>
      </c>
      <c r="F93" s="297">
        <v>12</v>
      </c>
      <c r="G93" s="296" t="s">
        <v>5482</v>
      </c>
      <c r="H93" s="296" t="s">
        <v>2288</v>
      </c>
      <c r="I93" s="136" t="s">
        <v>2287</v>
      </c>
      <c r="J93" s="136" t="s">
        <v>2440</v>
      </c>
      <c r="K93" s="136" t="s">
        <v>2231</v>
      </c>
      <c r="L93" s="136" t="s">
        <v>2232</v>
      </c>
      <c r="M93" s="136" t="s">
        <v>2441</v>
      </c>
      <c r="N93" s="320" t="s">
        <v>5998</v>
      </c>
    </row>
    <row r="94" spans="1:14" ht="19" customHeight="1">
      <c r="A94" s="356" t="s">
        <v>5982</v>
      </c>
      <c r="B94" s="137" t="s">
        <v>2289</v>
      </c>
      <c r="C94" s="136" t="s">
        <v>1044</v>
      </c>
      <c r="D94" s="296" t="s">
        <v>2290</v>
      </c>
      <c r="E94" s="296" t="s">
        <v>6014</v>
      </c>
      <c r="F94" s="297">
        <v>12</v>
      </c>
      <c r="G94" s="296" t="s">
        <v>5483</v>
      </c>
      <c r="H94" s="296" t="s">
        <v>2291</v>
      </c>
      <c r="I94" s="136" t="s">
        <v>2262</v>
      </c>
      <c r="J94" s="136" t="s">
        <v>2440</v>
      </c>
      <c r="K94" s="136" t="s">
        <v>2231</v>
      </c>
      <c r="L94" s="136" t="s">
        <v>2232</v>
      </c>
      <c r="M94" s="136" t="s">
        <v>2441</v>
      </c>
      <c r="N94" s="320" t="s">
        <v>5998</v>
      </c>
    </row>
    <row r="95" spans="1:14" ht="19" customHeight="1">
      <c r="A95" s="356" t="s">
        <v>5982</v>
      </c>
      <c r="B95" s="137" t="s">
        <v>2292</v>
      </c>
      <c r="C95" s="136" t="s">
        <v>1044</v>
      </c>
      <c r="D95" s="296" t="s">
        <v>2293</v>
      </c>
      <c r="E95" s="296" t="s">
        <v>6015</v>
      </c>
      <c r="F95" s="297">
        <v>5</v>
      </c>
      <c r="G95" s="296" t="s">
        <v>5484</v>
      </c>
      <c r="H95" s="296" t="s">
        <v>2294</v>
      </c>
      <c r="I95" s="136" t="s">
        <v>2262</v>
      </c>
      <c r="J95" s="136" t="s">
        <v>2440</v>
      </c>
      <c r="K95" s="136" t="s">
        <v>2231</v>
      </c>
      <c r="L95" s="136" t="s">
        <v>2232</v>
      </c>
      <c r="M95" s="136" t="s">
        <v>2441</v>
      </c>
      <c r="N95" s="320" t="s">
        <v>5984</v>
      </c>
    </row>
    <row r="96" spans="1:14" ht="19" customHeight="1">
      <c r="A96" s="356" t="s">
        <v>5982</v>
      </c>
      <c r="B96" s="137" t="s">
        <v>2295</v>
      </c>
      <c r="C96" s="136" t="s">
        <v>1044</v>
      </c>
      <c r="D96" s="296" t="s">
        <v>2296</v>
      </c>
      <c r="E96" s="296" t="s">
        <v>6016</v>
      </c>
      <c r="F96" s="297">
        <v>10</v>
      </c>
      <c r="G96" s="296" t="s">
        <v>5485</v>
      </c>
      <c r="H96" s="296" t="s">
        <v>2298</v>
      </c>
      <c r="I96" s="136" t="s">
        <v>2297</v>
      </c>
      <c r="J96" s="136" t="s">
        <v>2440</v>
      </c>
      <c r="K96" s="136" t="s">
        <v>2299</v>
      </c>
      <c r="L96" s="136" t="s">
        <v>2232</v>
      </c>
      <c r="M96" s="136" t="s">
        <v>2441</v>
      </c>
      <c r="N96" s="320" t="s">
        <v>5998</v>
      </c>
    </row>
    <row r="97" spans="1:14" ht="19" customHeight="1">
      <c r="A97" s="356" t="s">
        <v>5982</v>
      </c>
      <c r="B97" s="137" t="s">
        <v>2300</v>
      </c>
      <c r="C97" s="136" t="s">
        <v>1044</v>
      </c>
      <c r="D97" s="296" t="s">
        <v>2301</v>
      </c>
      <c r="E97" s="296" t="s">
        <v>6017</v>
      </c>
      <c r="F97" s="297">
        <v>3</v>
      </c>
      <c r="G97" s="296" t="s">
        <v>5486</v>
      </c>
      <c r="H97" s="296" t="s">
        <v>2282</v>
      </c>
      <c r="I97" s="136" t="s">
        <v>2302</v>
      </c>
      <c r="J97" s="136" t="s">
        <v>2440</v>
      </c>
      <c r="K97" s="136" t="s">
        <v>2303</v>
      </c>
      <c r="L97" s="136" t="s">
        <v>2232</v>
      </c>
      <c r="M97" s="136" t="s">
        <v>2441</v>
      </c>
      <c r="N97" s="320" t="s">
        <v>5984</v>
      </c>
    </row>
    <row r="98" spans="1:14" ht="19" customHeight="1">
      <c r="A98" s="356" t="s">
        <v>5982</v>
      </c>
      <c r="B98" s="137" t="s">
        <v>2304</v>
      </c>
      <c r="C98" s="136" t="s">
        <v>1044</v>
      </c>
      <c r="D98" s="296" t="s">
        <v>2305</v>
      </c>
      <c r="E98" s="296" t="s">
        <v>6018</v>
      </c>
      <c r="F98" s="297">
        <v>4</v>
      </c>
      <c r="G98" s="296" t="s">
        <v>5487</v>
      </c>
      <c r="H98" s="296" t="s">
        <v>2288</v>
      </c>
      <c r="I98" s="136" t="s">
        <v>2284</v>
      </c>
      <c r="J98" s="136" t="s">
        <v>2440</v>
      </c>
      <c r="K98" s="136" t="s">
        <v>2236</v>
      </c>
      <c r="L98" s="136" t="s">
        <v>2232</v>
      </c>
      <c r="M98" s="136" t="s">
        <v>2441</v>
      </c>
      <c r="N98" s="320" t="s">
        <v>5984</v>
      </c>
    </row>
    <row r="99" spans="1:14" ht="19" customHeight="1">
      <c r="A99" s="356" t="s">
        <v>5982</v>
      </c>
      <c r="B99" s="137" t="s">
        <v>2306</v>
      </c>
      <c r="C99" s="136" t="s">
        <v>1044</v>
      </c>
      <c r="D99" s="296" t="s">
        <v>1424</v>
      </c>
      <c r="E99" s="296" t="s">
        <v>6019</v>
      </c>
      <c r="F99" s="297">
        <v>5</v>
      </c>
      <c r="G99" s="296" t="s">
        <v>5488</v>
      </c>
      <c r="H99" s="296" t="s">
        <v>2279</v>
      </c>
      <c r="I99" s="136" t="s">
        <v>2307</v>
      </c>
      <c r="J99" s="136" t="s">
        <v>2440</v>
      </c>
      <c r="K99" s="136" t="s">
        <v>2231</v>
      </c>
      <c r="L99" s="136" t="s">
        <v>2308</v>
      </c>
      <c r="M99" s="136" t="s">
        <v>2441</v>
      </c>
      <c r="N99" s="320" t="s">
        <v>5984</v>
      </c>
    </row>
    <row r="100" spans="1:14" ht="19" customHeight="1">
      <c r="A100" s="356" t="s">
        <v>5982</v>
      </c>
      <c r="B100" s="137" t="s">
        <v>2309</v>
      </c>
      <c r="C100" s="136" t="s">
        <v>1044</v>
      </c>
      <c r="D100" s="296" t="s">
        <v>1425</v>
      </c>
      <c r="E100" s="296" t="s">
        <v>6020</v>
      </c>
      <c r="F100" s="297">
        <v>4</v>
      </c>
      <c r="G100" s="296" t="s">
        <v>5489</v>
      </c>
      <c r="H100" s="296" t="s">
        <v>2285</v>
      </c>
      <c r="I100" s="136" t="s">
        <v>2228</v>
      </c>
      <c r="J100" s="136" t="s">
        <v>2440</v>
      </c>
      <c r="K100" s="136" t="s">
        <v>2231</v>
      </c>
      <c r="L100" s="136" t="s">
        <v>2308</v>
      </c>
      <c r="M100" s="136" t="s">
        <v>2441</v>
      </c>
      <c r="N100" s="320" t="s">
        <v>5984</v>
      </c>
    </row>
    <row r="101" spans="1:14" ht="19" customHeight="1">
      <c r="A101" s="356" t="s">
        <v>5982</v>
      </c>
      <c r="B101" s="137" t="s">
        <v>2457</v>
      </c>
      <c r="C101" s="136" t="s">
        <v>1044</v>
      </c>
      <c r="D101" s="296" t="s">
        <v>2458</v>
      </c>
      <c r="E101" s="296" t="s">
        <v>6021</v>
      </c>
      <c r="F101" s="297">
        <v>4</v>
      </c>
      <c r="G101" s="296" t="s">
        <v>5490</v>
      </c>
      <c r="H101" s="296" t="s">
        <v>2309</v>
      </c>
      <c r="I101" s="136" t="s">
        <v>2302</v>
      </c>
      <c r="J101" s="136" t="s">
        <v>2440</v>
      </c>
      <c r="K101" s="136" t="s">
        <v>2231</v>
      </c>
      <c r="L101" s="136" t="s">
        <v>2446</v>
      </c>
      <c r="M101" s="136" t="s">
        <v>1426</v>
      </c>
      <c r="N101" s="320" t="s">
        <v>5984</v>
      </c>
    </row>
    <row r="102" spans="1:14" ht="19" customHeight="1">
      <c r="A102" s="356" t="s">
        <v>5982</v>
      </c>
      <c r="B102" s="137" t="s">
        <v>2310</v>
      </c>
      <c r="C102" s="136" t="s">
        <v>914</v>
      </c>
      <c r="D102" s="296" t="s">
        <v>2311</v>
      </c>
      <c r="E102" s="296" t="s">
        <v>6022</v>
      </c>
      <c r="F102" s="297">
        <v>5</v>
      </c>
      <c r="G102" s="296" t="s">
        <v>5491</v>
      </c>
      <c r="H102" s="296" t="s">
        <v>2242</v>
      </c>
      <c r="I102" s="136" t="s">
        <v>2228</v>
      </c>
      <c r="J102" s="136" t="s">
        <v>2440</v>
      </c>
      <c r="K102" s="136" t="s">
        <v>2231</v>
      </c>
      <c r="L102" s="136" t="s">
        <v>2232</v>
      </c>
      <c r="M102" s="136" t="s">
        <v>2441</v>
      </c>
      <c r="N102" s="320" t="s">
        <v>5984</v>
      </c>
    </row>
    <row r="103" spans="1:14" ht="19" customHeight="1">
      <c r="A103" s="356" t="s">
        <v>5982</v>
      </c>
      <c r="B103" s="137" t="s">
        <v>2312</v>
      </c>
      <c r="C103" s="136" t="s">
        <v>914</v>
      </c>
      <c r="D103" s="296" t="s">
        <v>2313</v>
      </c>
      <c r="E103" s="296" t="s">
        <v>6023</v>
      </c>
      <c r="F103" s="297">
        <v>8</v>
      </c>
      <c r="G103" s="296" t="s">
        <v>5492</v>
      </c>
      <c r="H103" s="296" t="s">
        <v>2310</v>
      </c>
      <c r="I103" s="136" t="s">
        <v>2228</v>
      </c>
      <c r="J103" s="136" t="s">
        <v>2440</v>
      </c>
      <c r="K103" s="136" t="s">
        <v>2231</v>
      </c>
      <c r="L103" s="136" t="s">
        <v>2232</v>
      </c>
      <c r="M103" s="136" t="s">
        <v>2441</v>
      </c>
      <c r="N103" s="320" t="s">
        <v>5998</v>
      </c>
    </row>
    <row r="104" spans="1:14" ht="19" customHeight="1">
      <c r="A104" s="356" t="s">
        <v>5982</v>
      </c>
      <c r="B104" s="137" t="s">
        <v>2314</v>
      </c>
      <c r="C104" s="136" t="s">
        <v>914</v>
      </c>
      <c r="D104" s="296" t="s">
        <v>2315</v>
      </c>
      <c r="E104" s="296" t="s">
        <v>6024</v>
      </c>
      <c r="F104" s="297">
        <v>12</v>
      </c>
      <c r="G104" s="296" t="s">
        <v>5493</v>
      </c>
      <c r="H104" s="296" t="s">
        <v>2316</v>
      </c>
      <c r="I104" s="136" t="s">
        <v>2272</v>
      </c>
      <c r="J104" s="136" t="s">
        <v>2440</v>
      </c>
      <c r="K104" s="136" t="s">
        <v>2231</v>
      </c>
      <c r="L104" s="136" t="s">
        <v>2232</v>
      </c>
      <c r="M104" s="136" t="s">
        <v>2441</v>
      </c>
      <c r="N104" s="320" t="s">
        <v>5998</v>
      </c>
    </row>
    <row r="105" spans="1:14" ht="19" customHeight="1">
      <c r="A105" s="356" t="s">
        <v>5982</v>
      </c>
      <c r="B105" s="137" t="s">
        <v>2317</v>
      </c>
      <c r="C105" s="136" t="s">
        <v>914</v>
      </c>
      <c r="D105" s="296" t="s">
        <v>2318</v>
      </c>
      <c r="E105" s="296" t="s">
        <v>6025</v>
      </c>
      <c r="F105" s="297">
        <v>5</v>
      </c>
      <c r="G105" s="296" t="s">
        <v>5494</v>
      </c>
      <c r="H105" s="296" t="s">
        <v>2319</v>
      </c>
      <c r="I105" s="136" t="s">
        <v>2228</v>
      </c>
      <c r="J105" s="136" t="s">
        <v>2440</v>
      </c>
      <c r="K105" s="136" t="s">
        <v>2231</v>
      </c>
      <c r="L105" s="136" t="s">
        <v>2232</v>
      </c>
      <c r="M105" s="136" t="s">
        <v>2441</v>
      </c>
      <c r="N105" s="320" t="s">
        <v>5984</v>
      </c>
    </row>
    <row r="106" spans="1:14" ht="19" customHeight="1">
      <c r="A106" s="356" t="s">
        <v>5982</v>
      </c>
      <c r="B106" s="137" t="s">
        <v>2294</v>
      </c>
      <c r="C106" s="136" t="s">
        <v>914</v>
      </c>
      <c r="D106" s="296" t="s">
        <v>2320</v>
      </c>
      <c r="E106" s="296" t="s">
        <v>6026</v>
      </c>
      <c r="F106" s="297">
        <v>10</v>
      </c>
      <c r="G106" s="296" t="s">
        <v>5495</v>
      </c>
      <c r="H106" s="296" t="s">
        <v>2310</v>
      </c>
      <c r="I106" s="136" t="s">
        <v>2321</v>
      </c>
      <c r="J106" s="136" t="s">
        <v>2440</v>
      </c>
      <c r="K106" s="136" t="s">
        <v>2231</v>
      </c>
      <c r="L106" s="136" t="s">
        <v>2232</v>
      </c>
      <c r="M106" s="136" t="s">
        <v>2441</v>
      </c>
      <c r="N106" s="320" t="s">
        <v>5998</v>
      </c>
    </row>
    <row r="107" spans="1:14" ht="19" customHeight="1">
      <c r="A107" s="356" t="s">
        <v>5982</v>
      </c>
      <c r="B107" s="137" t="s">
        <v>2322</v>
      </c>
      <c r="C107" s="136" t="s">
        <v>914</v>
      </c>
      <c r="D107" s="296" t="s">
        <v>1457</v>
      </c>
      <c r="E107" s="296" t="s">
        <v>6027</v>
      </c>
      <c r="F107" s="297">
        <v>20</v>
      </c>
      <c r="G107" s="296" t="s">
        <v>5496</v>
      </c>
      <c r="H107" s="296" t="s">
        <v>2323</v>
      </c>
      <c r="I107" s="136" t="s">
        <v>2262</v>
      </c>
      <c r="J107" s="136" t="s">
        <v>2440</v>
      </c>
      <c r="K107" s="136" t="s">
        <v>2236</v>
      </c>
      <c r="L107" s="136" t="s">
        <v>2308</v>
      </c>
      <c r="M107" s="136" t="s">
        <v>2441</v>
      </c>
      <c r="N107" s="320" t="s">
        <v>6028</v>
      </c>
    </row>
    <row r="108" spans="1:14" ht="19" customHeight="1">
      <c r="A108" s="356" t="s">
        <v>5982</v>
      </c>
      <c r="B108" s="137" t="s">
        <v>2324</v>
      </c>
      <c r="C108" s="136" t="s">
        <v>914</v>
      </c>
      <c r="D108" s="296" t="s">
        <v>2325</v>
      </c>
      <c r="E108" s="296" t="s">
        <v>6029</v>
      </c>
      <c r="F108" s="297">
        <v>10</v>
      </c>
      <c r="G108" s="296" t="s">
        <v>5497</v>
      </c>
      <c r="H108" s="296" t="s">
        <v>2326</v>
      </c>
      <c r="I108" s="136" t="s">
        <v>2228</v>
      </c>
      <c r="J108" s="136" t="s">
        <v>2440</v>
      </c>
      <c r="K108" s="136" t="s">
        <v>2231</v>
      </c>
      <c r="L108" s="136" t="s">
        <v>2308</v>
      </c>
      <c r="M108" s="136" t="s">
        <v>2441</v>
      </c>
      <c r="N108" s="320" t="s">
        <v>5998</v>
      </c>
    </row>
    <row r="109" spans="1:14" ht="19" customHeight="1">
      <c r="A109" s="356" t="s">
        <v>5982</v>
      </c>
      <c r="B109" s="137" t="s">
        <v>2459</v>
      </c>
      <c r="C109" s="136" t="s">
        <v>914</v>
      </c>
      <c r="D109" s="296" t="s">
        <v>2460</v>
      </c>
      <c r="E109" s="296" t="s">
        <v>6030</v>
      </c>
      <c r="F109" s="297">
        <v>4</v>
      </c>
      <c r="G109" s="296" t="s">
        <v>5498</v>
      </c>
      <c r="H109" s="296" t="s">
        <v>2310</v>
      </c>
      <c r="I109" s="136" t="s">
        <v>2339</v>
      </c>
      <c r="J109" s="136" t="s">
        <v>2444</v>
      </c>
      <c r="K109" s="136" t="s">
        <v>2461</v>
      </c>
      <c r="L109" s="136" t="s">
        <v>2446</v>
      </c>
      <c r="M109" s="136" t="s">
        <v>1421</v>
      </c>
      <c r="N109" s="320" t="s">
        <v>5984</v>
      </c>
    </row>
    <row r="110" spans="1:14" ht="19" customHeight="1">
      <c r="A110" s="356" t="s">
        <v>5982</v>
      </c>
      <c r="B110" s="137" t="s">
        <v>2229</v>
      </c>
      <c r="C110" s="136" t="s">
        <v>513</v>
      </c>
      <c r="D110" s="296" t="s">
        <v>2327</v>
      </c>
      <c r="E110" s="296" t="s">
        <v>6031</v>
      </c>
      <c r="F110" s="297">
        <v>12</v>
      </c>
      <c r="G110" s="296" t="s">
        <v>5499</v>
      </c>
      <c r="H110" s="296" t="s">
        <v>6032</v>
      </c>
      <c r="I110" s="136" t="s">
        <v>2255</v>
      </c>
      <c r="J110" s="136" t="s">
        <v>2440</v>
      </c>
      <c r="K110" s="136" t="s">
        <v>2231</v>
      </c>
      <c r="L110" s="136" t="s">
        <v>2232</v>
      </c>
      <c r="M110" s="136" t="s">
        <v>2441</v>
      </c>
      <c r="N110" s="320" t="s">
        <v>5998</v>
      </c>
    </row>
    <row r="111" spans="1:14" ht="19" customHeight="1">
      <c r="A111" s="356" t="s">
        <v>5982</v>
      </c>
      <c r="B111" s="137" t="s">
        <v>2252</v>
      </c>
      <c r="C111" s="136" t="s">
        <v>513</v>
      </c>
      <c r="D111" s="296" t="s">
        <v>2329</v>
      </c>
      <c r="E111" s="296" t="s">
        <v>6033</v>
      </c>
      <c r="F111" s="297">
        <v>24</v>
      </c>
      <c r="G111" s="296" t="s">
        <v>5500</v>
      </c>
      <c r="H111" s="296" t="s">
        <v>6034</v>
      </c>
      <c r="I111" s="136" t="s">
        <v>2255</v>
      </c>
      <c r="J111" s="136" t="s">
        <v>2440</v>
      </c>
      <c r="K111" s="136" t="s">
        <v>2236</v>
      </c>
      <c r="L111" s="136" t="s">
        <v>2232</v>
      </c>
      <c r="M111" s="136" t="s">
        <v>2441</v>
      </c>
      <c r="N111" s="320" t="s">
        <v>6035</v>
      </c>
    </row>
    <row r="112" spans="1:14" ht="19" customHeight="1">
      <c r="A112" s="356" t="s">
        <v>5982</v>
      </c>
      <c r="B112" s="137" t="s">
        <v>2256</v>
      </c>
      <c r="C112" s="136" t="s">
        <v>513</v>
      </c>
      <c r="D112" s="296" t="s">
        <v>2330</v>
      </c>
      <c r="E112" s="296" t="s">
        <v>6036</v>
      </c>
      <c r="F112" s="297">
        <v>12</v>
      </c>
      <c r="G112" s="296" t="s">
        <v>5501</v>
      </c>
      <c r="H112" s="296" t="s">
        <v>6037</v>
      </c>
      <c r="I112" s="136" t="s">
        <v>2255</v>
      </c>
      <c r="J112" s="136" t="s">
        <v>2440</v>
      </c>
      <c r="K112" s="136" t="s">
        <v>2231</v>
      </c>
      <c r="L112" s="136" t="s">
        <v>2232</v>
      </c>
      <c r="M112" s="136" t="s">
        <v>2441</v>
      </c>
      <c r="N112" s="320" t="s">
        <v>5998</v>
      </c>
    </row>
    <row r="113" spans="1:14" ht="19" customHeight="1">
      <c r="A113" s="356" t="s">
        <v>5982</v>
      </c>
      <c r="B113" s="137" t="s">
        <v>2331</v>
      </c>
      <c r="C113" s="136" t="s">
        <v>513</v>
      </c>
      <c r="D113" s="296" t="s">
        <v>2332</v>
      </c>
      <c r="E113" s="296" t="s">
        <v>6038</v>
      </c>
      <c r="F113" s="297">
        <v>13</v>
      </c>
      <c r="G113" s="296" t="s">
        <v>5502</v>
      </c>
      <c r="H113" s="296" t="s">
        <v>6034</v>
      </c>
      <c r="I113" s="136" t="s">
        <v>2255</v>
      </c>
      <c r="J113" s="136" t="s">
        <v>2440</v>
      </c>
      <c r="K113" s="136" t="s">
        <v>2236</v>
      </c>
      <c r="L113" s="136" t="s">
        <v>2232</v>
      </c>
      <c r="M113" s="136" t="s">
        <v>2441</v>
      </c>
      <c r="N113" s="320" t="s">
        <v>6039</v>
      </c>
    </row>
    <row r="114" spans="1:14" ht="19" customHeight="1">
      <c r="A114" s="356" t="s">
        <v>5982</v>
      </c>
      <c r="B114" s="137" t="s">
        <v>2333</v>
      </c>
      <c r="C114" s="136" t="s">
        <v>513</v>
      </c>
      <c r="D114" s="296" t="s">
        <v>2334</v>
      </c>
      <c r="E114" s="296" t="s">
        <v>6040</v>
      </c>
      <c r="F114" s="297">
        <v>12</v>
      </c>
      <c r="G114" s="296" t="s">
        <v>5503</v>
      </c>
      <c r="H114" s="296" t="s">
        <v>6041</v>
      </c>
      <c r="I114" s="136" t="s">
        <v>2255</v>
      </c>
      <c r="J114" s="136" t="s">
        <v>2440</v>
      </c>
      <c r="K114" s="136" t="s">
        <v>2231</v>
      </c>
      <c r="L114" s="136" t="s">
        <v>2232</v>
      </c>
      <c r="M114" s="136" t="s">
        <v>2441</v>
      </c>
      <c r="N114" s="320" t="s">
        <v>5998</v>
      </c>
    </row>
    <row r="115" spans="1:14" ht="19" customHeight="1">
      <c r="A115" s="356" t="s">
        <v>5982</v>
      </c>
      <c r="B115" s="137" t="s">
        <v>2335</v>
      </c>
      <c r="C115" s="136" t="s">
        <v>513</v>
      </c>
      <c r="D115" s="296" t="s">
        <v>2336</v>
      </c>
      <c r="E115" s="296" t="s">
        <v>6042</v>
      </c>
      <c r="F115" s="297">
        <v>10</v>
      </c>
      <c r="G115" s="296" t="s">
        <v>5504</v>
      </c>
      <c r="H115" s="296" t="s">
        <v>6043</v>
      </c>
      <c r="I115" s="136" t="s">
        <v>2255</v>
      </c>
      <c r="J115" s="136" t="s">
        <v>2440</v>
      </c>
      <c r="K115" s="136" t="s">
        <v>2231</v>
      </c>
      <c r="L115" s="136" t="s">
        <v>2232</v>
      </c>
      <c r="M115" s="136" t="s">
        <v>2441</v>
      </c>
      <c r="N115" s="320" t="s">
        <v>5998</v>
      </c>
    </row>
    <row r="116" spans="1:14" ht="19" customHeight="1">
      <c r="A116" s="356" t="s">
        <v>5982</v>
      </c>
      <c r="B116" s="137" t="s">
        <v>2337</v>
      </c>
      <c r="C116" s="136" t="s">
        <v>513</v>
      </c>
      <c r="D116" s="296" t="s">
        <v>2338</v>
      </c>
      <c r="E116" s="296" t="s">
        <v>6044</v>
      </c>
      <c r="F116" s="297">
        <v>12</v>
      </c>
      <c r="G116" s="296" t="s">
        <v>5505</v>
      </c>
      <c r="H116" s="296" t="s">
        <v>6034</v>
      </c>
      <c r="I116" s="136" t="s">
        <v>2339</v>
      </c>
      <c r="J116" s="136" t="s">
        <v>2440</v>
      </c>
      <c r="K116" s="136" t="s">
        <v>2236</v>
      </c>
      <c r="L116" s="136" t="s">
        <v>2232</v>
      </c>
      <c r="M116" s="136" t="s">
        <v>2441</v>
      </c>
      <c r="N116" s="320" t="s">
        <v>6039</v>
      </c>
    </row>
    <row r="117" spans="1:14" ht="19" customHeight="1">
      <c r="A117" s="356" t="s">
        <v>5982</v>
      </c>
      <c r="B117" s="137" t="s">
        <v>2340</v>
      </c>
      <c r="C117" s="136" t="s">
        <v>513</v>
      </c>
      <c r="D117" s="296" t="s">
        <v>2341</v>
      </c>
      <c r="E117" s="296" t="s">
        <v>6045</v>
      </c>
      <c r="F117" s="297">
        <v>5</v>
      </c>
      <c r="G117" s="296" t="s">
        <v>5506</v>
      </c>
      <c r="H117" s="296" t="s">
        <v>6046</v>
      </c>
      <c r="I117" s="136" t="s">
        <v>2342</v>
      </c>
      <c r="J117" s="136" t="s">
        <v>2440</v>
      </c>
      <c r="K117" s="136" t="s">
        <v>2231</v>
      </c>
      <c r="L117" s="136" t="s">
        <v>2232</v>
      </c>
      <c r="M117" s="136" t="s">
        <v>2441</v>
      </c>
      <c r="N117" s="320" t="s">
        <v>5984</v>
      </c>
    </row>
    <row r="118" spans="1:14" ht="19" customHeight="1">
      <c r="A118" s="356" t="s">
        <v>5982</v>
      </c>
      <c r="B118" s="137" t="s">
        <v>2343</v>
      </c>
      <c r="C118" s="136" t="s">
        <v>513</v>
      </c>
      <c r="D118" s="296" t="s">
        <v>2344</v>
      </c>
      <c r="E118" s="296" t="s">
        <v>6047</v>
      </c>
      <c r="F118" s="297">
        <v>5</v>
      </c>
      <c r="G118" s="296" t="s">
        <v>5507</v>
      </c>
      <c r="H118" s="296" t="s">
        <v>6034</v>
      </c>
      <c r="I118" s="136" t="s">
        <v>2345</v>
      </c>
      <c r="J118" s="136" t="s">
        <v>2440</v>
      </c>
      <c r="K118" s="136" t="s">
        <v>2231</v>
      </c>
      <c r="L118" s="136" t="s">
        <v>2232</v>
      </c>
      <c r="M118" s="136" t="s">
        <v>2441</v>
      </c>
      <c r="N118" s="320" t="s">
        <v>5984</v>
      </c>
    </row>
    <row r="119" spans="1:14" ht="19" customHeight="1">
      <c r="A119" s="356" t="s">
        <v>5982</v>
      </c>
      <c r="B119" s="137" t="s">
        <v>2346</v>
      </c>
      <c r="C119" s="136" t="s">
        <v>513</v>
      </c>
      <c r="D119" s="296" t="s">
        <v>2347</v>
      </c>
      <c r="E119" s="296" t="s">
        <v>6048</v>
      </c>
      <c r="F119" s="297">
        <v>9</v>
      </c>
      <c r="G119" s="296" t="s">
        <v>5508</v>
      </c>
      <c r="H119" s="296" t="s">
        <v>6049</v>
      </c>
      <c r="I119" s="136" t="s">
        <v>2342</v>
      </c>
      <c r="J119" s="136" t="s">
        <v>2440</v>
      </c>
      <c r="K119" s="136" t="s">
        <v>2236</v>
      </c>
      <c r="L119" s="136" t="s">
        <v>2308</v>
      </c>
      <c r="M119" s="136" t="s">
        <v>2441</v>
      </c>
      <c r="N119" s="320" t="s">
        <v>5998</v>
      </c>
    </row>
    <row r="120" spans="1:14" ht="19" customHeight="1">
      <c r="A120" s="356" t="s">
        <v>5982</v>
      </c>
      <c r="B120" s="137" t="s">
        <v>2462</v>
      </c>
      <c r="C120" s="136" t="s">
        <v>513</v>
      </c>
      <c r="D120" s="296" t="s">
        <v>2463</v>
      </c>
      <c r="E120" s="296" t="s">
        <v>6050</v>
      </c>
      <c r="F120" s="297">
        <v>10</v>
      </c>
      <c r="G120" s="296" t="s">
        <v>5509</v>
      </c>
      <c r="H120" s="296" t="s">
        <v>6051</v>
      </c>
      <c r="I120" s="136" t="s">
        <v>2255</v>
      </c>
      <c r="J120" s="136" t="s">
        <v>2440</v>
      </c>
      <c r="K120" s="136" t="s">
        <v>2231</v>
      </c>
      <c r="L120" s="136" t="s">
        <v>2446</v>
      </c>
      <c r="M120" s="136" t="s">
        <v>2464</v>
      </c>
      <c r="N120" s="320" t="s">
        <v>5998</v>
      </c>
    </row>
    <row r="121" spans="1:14" ht="19" customHeight="1">
      <c r="A121" s="356" t="s">
        <v>5982</v>
      </c>
      <c r="B121" s="137" t="s">
        <v>2465</v>
      </c>
      <c r="C121" s="136" t="s">
        <v>513</v>
      </c>
      <c r="D121" s="296" t="s">
        <v>2466</v>
      </c>
      <c r="E121" s="296" t="s">
        <v>6052</v>
      </c>
      <c r="F121" s="297">
        <v>6</v>
      </c>
      <c r="G121" s="296" t="s">
        <v>5510</v>
      </c>
      <c r="H121" s="296" t="s">
        <v>6034</v>
      </c>
      <c r="I121" s="136" t="s">
        <v>2255</v>
      </c>
      <c r="J121" s="136" t="s">
        <v>2440</v>
      </c>
      <c r="K121" s="136" t="s">
        <v>2231</v>
      </c>
      <c r="L121" s="136" t="s">
        <v>2446</v>
      </c>
      <c r="M121" s="136" t="s">
        <v>2467</v>
      </c>
      <c r="N121" s="320" t="s">
        <v>5984</v>
      </c>
    </row>
    <row r="122" spans="1:14" ht="19" customHeight="1">
      <c r="A122" s="356" t="s">
        <v>5982</v>
      </c>
      <c r="B122" s="137" t="s">
        <v>2468</v>
      </c>
      <c r="C122" s="136" t="s">
        <v>513</v>
      </c>
      <c r="D122" s="296" t="s">
        <v>2469</v>
      </c>
      <c r="E122" s="296" t="s">
        <v>6053</v>
      </c>
      <c r="F122" s="297">
        <v>8</v>
      </c>
      <c r="G122" s="296" t="s">
        <v>5511</v>
      </c>
      <c r="H122" s="296" t="s">
        <v>6034</v>
      </c>
      <c r="I122" s="136" t="s">
        <v>2255</v>
      </c>
      <c r="J122" s="136" t="s">
        <v>2440</v>
      </c>
      <c r="K122" s="136" t="s">
        <v>2231</v>
      </c>
      <c r="L122" s="136" t="s">
        <v>2446</v>
      </c>
      <c r="M122" s="136" t="s">
        <v>2470</v>
      </c>
      <c r="N122" s="320" t="s">
        <v>5984</v>
      </c>
    </row>
    <row r="123" spans="1:14" ht="19" customHeight="1">
      <c r="A123" s="356" t="s">
        <v>5982</v>
      </c>
      <c r="B123" s="137" t="s">
        <v>5454</v>
      </c>
      <c r="C123" s="136" t="s">
        <v>513</v>
      </c>
      <c r="D123" s="296" t="s">
        <v>5455</v>
      </c>
      <c r="E123" s="296" t="s">
        <v>6054</v>
      </c>
      <c r="F123" s="297">
        <v>8</v>
      </c>
      <c r="G123" s="296" t="s">
        <v>5459</v>
      </c>
      <c r="H123" s="296" t="s">
        <v>6034</v>
      </c>
      <c r="I123" s="136" t="s">
        <v>2255</v>
      </c>
      <c r="J123" s="136" t="s">
        <v>2440</v>
      </c>
      <c r="K123" s="136" t="s">
        <v>5456</v>
      </c>
      <c r="L123" s="136" t="s">
        <v>5457</v>
      </c>
      <c r="M123" s="136" t="s">
        <v>5458</v>
      </c>
      <c r="N123" s="320" t="s">
        <v>5998</v>
      </c>
    </row>
    <row r="124" spans="1:14" ht="19" customHeight="1">
      <c r="A124" s="356" t="s">
        <v>5982</v>
      </c>
      <c r="B124" s="137" t="s">
        <v>2348</v>
      </c>
      <c r="C124" s="136" t="s">
        <v>517</v>
      </c>
      <c r="D124" s="296" t="s">
        <v>2349</v>
      </c>
      <c r="E124" s="296" t="s">
        <v>6055</v>
      </c>
      <c r="F124" s="297">
        <v>12</v>
      </c>
      <c r="G124" s="296" t="s">
        <v>5512</v>
      </c>
      <c r="H124" s="296" t="s">
        <v>2229</v>
      </c>
      <c r="I124" s="136" t="s">
        <v>2255</v>
      </c>
      <c r="J124" s="136" t="s">
        <v>2440</v>
      </c>
      <c r="K124" s="136" t="s">
        <v>2231</v>
      </c>
      <c r="L124" s="136" t="s">
        <v>2232</v>
      </c>
      <c r="M124" s="136" t="s">
        <v>2441</v>
      </c>
      <c r="N124" s="320" t="s">
        <v>5998</v>
      </c>
    </row>
    <row r="125" spans="1:14" ht="19" customHeight="1">
      <c r="A125" s="356" t="s">
        <v>5982</v>
      </c>
      <c r="B125" s="137" t="s">
        <v>2350</v>
      </c>
      <c r="C125" s="136" t="s">
        <v>517</v>
      </c>
      <c r="D125" s="296" t="s">
        <v>2351</v>
      </c>
      <c r="E125" s="296" t="s">
        <v>6056</v>
      </c>
      <c r="F125" s="297">
        <v>6</v>
      </c>
      <c r="G125" s="296" t="s">
        <v>5513</v>
      </c>
      <c r="H125" s="296" t="s">
        <v>2352</v>
      </c>
      <c r="I125" s="136" t="s">
        <v>2272</v>
      </c>
      <c r="J125" s="136" t="s">
        <v>2440</v>
      </c>
      <c r="K125" s="136" t="s">
        <v>2231</v>
      </c>
      <c r="L125" s="136" t="s">
        <v>2232</v>
      </c>
      <c r="M125" s="136" t="s">
        <v>2441</v>
      </c>
      <c r="N125" s="320" t="s">
        <v>5984</v>
      </c>
    </row>
    <row r="126" spans="1:14" ht="19" customHeight="1">
      <c r="A126" s="356" t="s">
        <v>5982</v>
      </c>
      <c r="B126" s="137" t="s">
        <v>2353</v>
      </c>
      <c r="C126" s="136" t="s">
        <v>517</v>
      </c>
      <c r="D126" s="296" t="s">
        <v>2354</v>
      </c>
      <c r="E126" s="296" t="s">
        <v>6057</v>
      </c>
      <c r="F126" s="297">
        <v>22</v>
      </c>
      <c r="G126" s="296" t="s">
        <v>5514</v>
      </c>
      <c r="H126" s="296" t="s">
        <v>2355</v>
      </c>
      <c r="I126" s="136" t="s">
        <v>2262</v>
      </c>
      <c r="J126" s="136" t="s">
        <v>2440</v>
      </c>
      <c r="K126" s="136" t="s">
        <v>2231</v>
      </c>
      <c r="L126" s="136" t="s">
        <v>2232</v>
      </c>
      <c r="M126" s="136" t="s">
        <v>2441</v>
      </c>
      <c r="N126" s="320" t="s">
        <v>5996</v>
      </c>
    </row>
    <row r="127" spans="1:14" ht="19" customHeight="1">
      <c r="A127" s="356" t="s">
        <v>5982</v>
      </c>
      <c r="B127" s="137" t="s">
        <v>2356</v>
      </c>
      <c r="C127" s="136" t="s">
        <v>517</v>
      </c>
      <c r="D127" s="296" t="s">
        <v>2357</v>
      </c>
      <c r="E127" s="296" t="s">
        <v>6058</v>
      </c>
      <c r="F127" s="297">
        <v>12</v>
      </c>
      <c r="G127" s="296" t="s">
        <v>5515</v>
      </c>
      <c r="H127" s="296" t="s">
        <v>2359</v>
      </c>
      <c r="I127" s="136" t="s">
        <v>2358</v>
      </c>
      <c r="J127" s="136" t="s">
        <v>2440</v>
      </c>
      <c r="K127" s="136" t="s">
        <v>2231</v>
      </c>
      <c r="L127" s="136" t="s">
        <v>2232</v>
      </c>
      <c r="M127" s="136" t="s">
        <v>2441</v>
      </c>
      <c r="N127" s="320" t="s">
        <v>5998</v>
      </c>
    </row>
    <row r="128" spans="1:14" ht="19" customHeight="1">
      <c r="A128" s="356" t="s">
        <v>5982</v>
      </c>
      <c r="B128" s="137" t="s">
        <v>2360</v>
      </c>
      <c r="C128" s="136" t="s">
        <v>517</v>
      </c>
      <c r="D128" s="296" t="s">
        <v>2361</v>
      </c>
      <c r="E128" s="296" t="s">
        <v>6059</v>
      </c>
      <c r="F128" s="297">
        <v>5</v>
      </c>
      <c r="G128" s="296" t="s">
        <v>5516</v>
      </c>
      <c r="H128" s="296" t="s">
        <v>2362</v>
      </c>
      <c r="I128" s="136" t="s">
        <v>2255</v>
      </c>
      <c r="J128" s="136" t="s">
        <v>2440</v>
      </c>
      <c r="K128" s="136" t="s">
        <v>2231</v>
      </c>
      <c r="L128" s="136" t="s">
        <v>2232</v>
      </c>
      <c r="M128" s="136" t="s">
        <v>2441</v>
      </c>
      <c r="N128" s="320" t="s">
        <v>5984</v>
      </c>
    </row>
    <row r="129" spans="1:14" ht="19" customHeight="1">
      <c r="A129" s="356" t="s">
        <v>5982</v>
      </c>
      <c r="B129" s="137" t="s">
        <v>2363</v>
      </c>
      <c r="C129" s="136" t="s">
        <v>517</v>
      </c>
      <c r="D129" s="296" t="s">
        <v>2364</v>
      </c>
      <c r="E129" s="296" t="s">
        <v>6060</v>
      </c>
      <c r="F129" s="297">
        <v>22</v>
      </c>
      <c r="G129" s="296" t="s">
        <v>5517</v>
      </c>
      <c r="H129" s="296" t="s">
        <v>2365</v>
      </c>
      <c r="I129" s="136" t="s">
        <v>2339</v>
      </c>
      <c r="J129" s="136" t="s">
        <v>2440</v>
      </c>
      <c r="K129" s="136" t="s">
        <v>2231</v>
      </c>
      <c r="L129" s="136" t="s">
        <v>2232</v>
      </c>
      <c r="M129" s="136" t="s">
        <v>2441</v>
      </c>
      <c r="N129" s="320" t="s">
        <v>5996</v>
      </c>
    </row>
    <row r="130" spans="1:14" ht="19" customHeight="1">
      <c r="A130" s="356" t="s">
        <v>5982</v>
      </c>
      <c r="B130" s="137" t="s">
        <v>2366</v>
      </c>
      <c r="C130" s="136" t="s">
        <v>517</v>
      </c>
      <c r="D130" s="296" t="s">
        <v>2367</v>
      </c>
      <c r="E130" s="296" t="s">
        <v>6061</v>
      </c>
      <c r="F130" s="297">
        <v>10</v>
      </c>
      <c r="G130" s="296" t="s">
        <v>5518</v>
      </c>
      <c r="H130" s="296" t="s">
        <v>2256</v>
      </c>
      <c r="I130" s="136" t="s">
        <v>2255</v>
      </c>
      <c r="J130" s="136" t="s">
        <v>2440</v>
      </c>
      <c r="K130" s="136" t="s">
        <v>2231</v>
      </c>
      <c r="L130" s="136" t="s">
        <v>2232</v>
      </c>
      <c r="M130" s="136" t="s">
        <v>2441</v>
      </c>
      <c r="N130" s="320" t="s">
        <v>5998</v>
      </c>
    </row>
    <row r="131" spans="1:14" ht="19" customHeight="1">
      <c r="A131" s="356" t="s">
        <v>5982</v>
      </c>
      <c r="B131" s="137" t="s">
        <v>2368</v>
      </c>
      <c r="C131" s="136" t="s">
        <v>517</v>
      </c>
      <c r="D131" s="296" t="s">
        <v>2369</v>
      </c>
      <c r="E131" s="296" t="s">
        <v>6062</v>
      </c>
      <c r="F131" s="297">
        <v>5</v>
      </c>
      <c r="G131" s="296" t="s">
        <v>5519</v>
      </c>
      <c r="H131" s="296" t="s">
        <v>2226</v>
      </c>
      <c r="I131" s="136" t="s">
        <v>2228</v>
      </c>
      <c r="J131" s="136" t="s">
        <v>2440</v>
      </c>
      <c r="K131" s="136" t="s">
        <v>2231</v>
      </c>
      <c r="L131" s="136" t="s">
        <v>2232</v>
      </c>
      <c r="M131" s="136" t="s">
        <v>2441</v>
      </c>
      <c r="N131" s="320" t="s">
        <v>5984</v>
      </c>
    </row>
    <row r="132" spans="1:14" ht="19" customHeight="1">
      <c r="A132" s="356" t="s">
        <v>5982</v>
      </c>
      <c r="B132" s="137" t="s">
        <v>2370</v>
      </c>
      <c r="C132" s="136" t="s">
        <v>517</v>
      </c>
      <c r="D132" s="296" t="s">
        <v>2371</v>
      </c>
      <c r="E132" s="296" t="s">
        <v>6063</v>
      </c>
      <c r="F132" s="297">
        <v>9</v>
      </c>
      <c r="G132" s="296" t="s">
        <v>5520</v>
      </c>
      <c r="H132" s="296" t="s">
        <v>2331</v>
      </c>
      <c r="I132" s="136" t="s">
        <v>2372</v>
      </c>
      <c r="J132" s="136" t="s">
        <v>2440</v>
      </c>
      <c r="K132" s="136" t="s">
        <v>2231</v>
      </c>
      <c r="L132" s="136" t="s">
        <v>2232</v>
      </c>
      <c r="M132" s="136" t="s">
        <v>2441</v>
      </c>
      <c r="N132" s="320" t="s">
        <v>5998</v>
      </c>
    </row>
    <row r="133" spans="1:14" ht="19" customHeight="1">
      <c r="A133" s="356" t="s">
        <v>5982</v>
      </c>
      <c r="B133" s="137" t="s">
        <v>2373</v>
      </c>
      <c r="C133" s="136" t="s">
        <v>517</v>
      </c>
      <c r="D133" s="296" t="s">
        <v>2374</v>
      </c>
      <c r="E133" s="296" t="s">
        <v>6064</v>
      </c>
      <c r="F133" s="297">
        <v>10</v>
      </c>
      <c r="G133" s="296" t="s">
        <v>5521</v>
      </c>
      <c r="H133" s="296" t="s">
        <v>2375</v>
      </c>
      <c r="I133" s="136" t="s">
        <v>2265</v>
      </c>
      <c r="J133" s="136" t="s">
        <v>2440</v>
      </c>
      <c r="K133" s="136" t="s">
        <v>2231</v>
      </c>
      <c r="L133" s="136" t="s">
        <v>2308</v>
      </c>
      <c r="M133" s="136" t="s">
        <v>2441</v>
      </c>
      <c r="N133" s="320" t="s">
        <v>5998</v>
      </c>
    </row>
    <row r="134" spans="1:14" ht="19" customHeight="1">
      <c r="A134" s="356" t="s">
        <v>5982</v>
      </c>
      <c r="B134" s="137" t="s">
        <v>2376</v>
      </c>
      <c r="C134" s="136" t="s">
        <v>517</v>
      </c>
      <c r="D134" s="296" t="s">
        <v>1435</v>
      </c>
      <c r="E134" s="296" t="s">
        <v>6065</v>
      </c>
      <c r="F134" s="297">
        <v>5</v>
      </c>
      <c r="G134" s="296" t="s">
        <v>5522</v>
      </c>
      <c r="H134" s="296" t="s">
        <v>2291</v>
      </c>
      <c r="I134" s="136" t="s">
        <v>2377</v>
      </c>
      <c r="J134" s="136" t="s">
        <v>2440</v>
      </c>
      <c r="K134" s="136" t="s">
        <v>2236</v>
      </c>
      <c r="L134" s="136" t="s">
        <v>2308</v>
      </c>
      <c r="M134" s="136" t="s">
        <v>2441</v>
      </c>
      <c r="N134" s="320" t="s">
        <v>5984</v>
      </c>
    </row>
    <row r="135" spans="1:14" ht="19" customHeight="1">
      <c r="A135" s="356" t="s">
        <v>5982</v>
      </c>
      <c r="B135" s="137" t="s">
        <v>2471</v>
      </c>
      <c r="C135" s="136" t="s">
        <v>517</v>
      </c>
      <c r="D135" s="296" t="s">
        <v>2472</v>
      </c>
      <c r="E135" s="296" t="s">
        <v>6066</v>
      </c>
      <c r="F135" s="297">
        <v>10</v>
      </c>
      <c r="G135" s="296" t="s">
        <v>5523</v>
      </c>
      <c r="H135" s="296" t="s">
        <v>2348</v>
      </c>
      <c r="I135" s="136" t="s">
        <v>2265</v>
      </c>
      <c r="J135" s="136" t="s">
        <v>2440</v>
      </c>
      <c r="K135" s="136" t="s">
        <v>2231</v>
      </c>
      <c r="L135" s="136" t="s">
        <v>2446</v>
      </c>
      <c r="M135" s="136" t="s">
        <v>1083</v>
      </c>
      <c r="N135" s="320" t="s">
        <v>5998</v>
      </c>
    </row>
    <row r="136" spans="1:14" ht="19" customHeight="1">
      <c r="A136" s="356" t="s">
        <v>5982</v>
      </c>
      <c r="B136" s="137" t="s">
        <v>2473</v>
      </c>
      <c r="C136" s="136" t="s">
        <v>517</v>
      </c>
      <c r="D136" s="296" t="s">
        <v>2474</v>
      </c>
      <c r="E136" s="296" t="s">
        <v>6067</v>
      </c>
      <c r="F136" s="297">
        <v>9</v>
      </c>
      <c r="G136" s="296" t="s">
        <v>5524</v>
      </c>
      <c r="H136" s="296" t="s">
        <v>2392</v>
      </c>
      <c r="I136" s="136" t="s">
        <v>2411</v>
      </c>
      <c r="J136" s="136" t="s">
        <v>2440</v>
      </c>
      <c r="K136" s="136" t="s">
        <v>2231</v>
      </c>
      <c r="L136" s="136" t="s">
        <v>2446</v>
      </c>
      <c r="M136" s="136" t="s">
        <v>2475</v>
      </c>
      <c r="N136" s="320" t="s">
        <v>5998</v>
      </c>
    </row>
    <row r="137" spans="1:14" ht="19" customHeight="1">
      <c r="A137" s="356" t="s">
        <v>5982</v>
      </c>
      <c r="B137" s="137" t="s">
        <v>2476</v>
      </c>
      <c r="C137" s="136" t="s">
        <v>517</v>
      </c>
      <c r="D137" s="296" t="s">
        <v>2477</v>
      </c>
      <c r="E137" s="296" t="s">
        <v>6068</v>
      </c>
      <c r="F137" s="297">
        <v>9</v>
      </c>
      <c r="G137" s="296" t="s">
        <v>5525</v>
      </c>
      <c r="H137" s="296" t="s">
        <v>2363</v>
      </c>
      <c r="I137" s="136" t="s">
        <v>2321</v>
      </c>
      <c r="J137" s="136" t="s">
        <v>2440</v>
      </c>
      <c r="K137" s="136" t="s">
        <v>2231</v>
      </c>
      <c r="L137" s="136" t="s">
        <v>2446</v>
      </c>
      <c r="M137" s="136" t="s">
        <v>2478</v>
      </c>
      <c r="N137" s="320" t="s">
        <v>5998</v>
      </c>
    </row>
    <row r="138" spans="1:14" ht="19" customHeight="1">
      <c r="A138" s="356" t="s">
        <v>5982</v>
      </c>
      <c r="B138" s="137" t="s">
        <v>2479</v>
      </c>
      <c r="C138" s="136" t="s">
        <v>517</v>
      </c>
      <c r="D138" s="296" t="s">
        <v>2480</v>
      </c>
      <c r="E138" s="296" t="s">
        <v>6069</v>
      </c>
      <c r="F138" s="297">
        <v>10</v>
      </c>
      <c r="G138" s="296" t="s">
        <v>5526</v>
      </c>
      <c r="H138" s="296" t="s">
        <v>2366</v>
      </c>
      <c r="I138" s="136" t="s">
        <v>2251</v>
      </c>
      <c r="J138" s="136" t="s">
        <v>2440</v>
      </c>
      <c r="K138" s="136" t="s">
        <v>2231</v>
      </c>
      <c r="L138" s="136" t="s">
        <v>2446</v>
      </c>
      <c r="M138" s="136" t="s">
        <v>1084</v>
      </c>
      <c r="N138" s="320" t="s">
        <v>5998</v>
      </c>
    </row>
    <row r="139" spans="1:14" ht="19" customHeight="1">
      <c r="A139" s="356" t="s">
        <v>5982</v>
      </c>
      <c r="B139" s="137" t="s">
        <v>5565</v>
      </c>
      <c r="C139" s="136" t="s">
        <v>517</v>
      </c>
      <c r="D139" s="296" t="s">
        <v>5566</v>
      </c>
      <c r="E139" s="296" t="s">
        <v>6070</v>
      </c>
      <c r="F139" s="297">
        <v>10</v>
      </c>
      <c r="G139" s="296" t="s">
        <v>5569</v>
      </c>
      <c r="H139" s="296" t="s">
        <v>2356</v>
      </c>
      <c r="I139" s="136" t="s">
        <v>2358</v>
      </c>
      <c r="J139" s="136" t="s">
        <v>2440</v>
      </c>
      <c r="K139" s="136" t="s">
        <v>2236</v>
      </c>
      <c r="L139" s="136" t="s">
        <v>5567</v>
      </c>
      <c r="M139" s="136" t="s">
        <v>5568</v>
      </c>
      <c r="N139" s="320" t="s">
        <v>6071</v>
      </c>
    </row>
    <row r="140" spans="1:14" ht="19" customHeight="1">
      <c r="A140" s="356" t="s">
        <v>5982</v>
      </c>
      <c r="B140" s="137" t="s">
        <v>5710</v>
      </c>
      <c r="C140" s="136" t="s">
        <v>517</v>
      </c>
      <c r="D140" s="296" t="s">
        <v>5711</v>
      </c>
      <c r="E140" s="296" t="s">
        <v>6072</v>
      </c>
      <c r="F140" s="297">
        <v>6</v>
      </c>
      <c r="G140" s="296" t="s">
        <v>5713</v>
      </c>
      <c r="H140" s="296" t="s">
        <v>5712</v>
      </c>
      <c r="I140" s="136" t="s">
        <v>2297</v>
      </c>
      <c r="J140" s="136" t="s">
        <v>2440</v>
      </c>
      <c r="K140" s="136" t="s">
        <v>2231</v>
      </c>
      <c r="L140" s="136" t="s">
        <v>5708</v>
      </c>
      <c r="M140" s="136" t="s">
        <v>2695</v>
      </c>
      <c r="N140" s="320" t="s">
        <v>5998</v>
      </c>
    </row>
    <row r="141" spans="1:14" ht="19" customHeight="1">
      <c r="A141" s="356" t="s">
        <v>5982</v>
      </c>
      <c r="B141" s="137" t="s">
        <v>2378</v>
      </c>
      <c r="C141" s="136" t="s">
        <v>519</v>
      </c>
      <c r="D141" s="296" t="s">
        <v>2379</v>
      </c>
      <c r="E141" s="296" t="s">
        <v>6073</v>
      </c>
      <c r="F141" s="297">
        <v>10</v>
      </c>
      <c r="G141" s="296" t="s">
        <v>5527</v>
      </c>
      <c r="H141" s="296" t="s">
        <v>2380</v>
      </c>
      <c r="I141" s="136" t="s">
        <v>2342</v>
      </c>
      <c r="J141" s="136" t="s">
        <v>2440</v>
      </c>
      <c r="K141" s="136" t="s">
        <v>2231</v>
      </c>
      <c r="L141" s="136" t="s">
        <v>2232</v>
      </c>
      <c r="M141" s="136" t="s">
        <v>2441</v>
      </c>
      <c r="N141" s="320" t="s">
        <v>5998</v>
      </c>
    </row>
    <row r="142" spans="1:14" ht="19" customHeight="1">
      <c r="A142" s="356" t="s">
        <v>5982</v>
      </c>
      <c r="B142" s="137" t="s">
        <v>2381</v>
      </c>
      <c r="C142" s="136" t="s">
        <v>519</v>
      </c>
      <c r="D142" s="296" t="s">
        <v>2382</v>
      </c>
      <c r="E142" s="296" t="s">
        <v>6074</v>
      </c>
      <c r="F142" s="297">
        <v>12</v>
      </c>
      <c r="G142" s="296" t="s">
        <v>5528</v>
      </c>
      <c r="H142" s="296" t="s">
        <v>6075</v>
      </c>
      <c r="I142" s="136" t="s">
        <v>2339</v>
      </c>
      <c r="J142" s="136" t="s">
        <v>2440</v>
      </c>
      <c r="K142" s="136" t="s">
        <v>2236</v>
      </c>
      <c r="L142" s="136" t="s">
        <v>2232</v>
      </c>
      <c r="M142" s="136" t="s">
        <v>2441</v>
      </c>
      <c r="N142" s="320" t="s">
        <v>6076</v>
      </c>
    </row>
    <row r="143" spans="1:14" ht="19" customHeight="1">
      <c r="A143" s="356" t="s">
        <v>5982</v>
      </c>
      <c r="B143" s="137" t="s">
        <v>2383</v>
      </c>
      <c r="C143" s="136" t="s">
        <v>519</v>
      </c>
      <c r="D143" s="296" t="s">
        <v>2384</v>
      </c>
      <c r="E143" s="296" t="s">
        <v>6077</v>
      </c>
      <c r="F143" s="297">
        <v>12</v>
      </c>
      <c r="G143" s="296" t="s">
        <v>5529</v>
      </c>
      <c r="H143" s="296" t="s">
        <v>6078</v>
      </c>
      <c r="I143" s="136" t="s">
        <v>2255</v>
      </c>
      <c r="J143" s="136" t="s">
        <v>2440</v>
      </c>
      <c r="K143" s="136" t="s">
        <v>2231</v>
      </c>
      <c r="L143" s="136" t="s">
        <v>2232</v>
      </c>
      <c r="M143" s="136" t="s">
        <v>2441</v>
      </c>
      <c r="N143" s="320" t="s">
        <v>5998</v>
      </c>
    </row>
    <row r="144" spans="1:14" ht="19" customHeight="1">
      <c r="A144" s="356" t="s">
        <v>5982</v>
      </c>
      <c r="B144" s="137" t="s">
        <v>2385</v>
      </c>
      <c r="C144" s="136" t="s">
        <v>519</v>
      </c>
      <c r="D144" s="296" t="s">
        <v>2386</v>
      </c>
      <c r="E144" s="296" t="s">
        <v>6079</v>
      </c>
      <c r="F144" s="297">
        <v>15</v>
      </c>
      <c r="G144" s="296" t="s">
        <v>5530</v>
      </c>
      <c r="H144" s="296" t="s">
        <v>6080</v>
      </c>
      <c r="I144" s="136" t="s">
        <v>2297</v>
      </c>
      <c r="J144" s="136" t="s">
        <v>2440</v>
      </c>
      <c r="K144" s="136" t="s">
        <v>2231</v>
      </c>
      <c r="L144" s="136" t="s">
        <v>2232</v>
      </c>
      <c r="M144" s="136" t="s">
        <v>2441</v>
      </c>
      <c r="N144" s="320" t="s">
        <v>5998</v>
      </c>
    </row>
    <row r="145" spans="1:14" ht="19" customHeight="1">
      <c r="A145" s="356" t="s">
        <v>5982</v>
      </c>
      <c r="B145" s="137" t="s">
        <v>2387</v>
      </c>
      <c r="C145" s="136" t="s">
        <v>519</v>
      </c>
      <c r="D145" s="296" t="s">
        <v>2388</v>
      </c>
      <c r="E145" s="296" t="s">
        <v>6081</v>
      </c>
      <c r="F145" s="297">
        <v>5</v>
      </c>
      <c r="G145" s="296" t="s">
        <v>5531</v>
      </c>
      <c r="H145" s="296" t="s">
        <v>2389</v>
      </c>
      <c r="I145" s="136" t="s">
        <v>2339</v>
      </c>
      <c r="J145" s="136" t="s">
        <v>2440</v>
      </c>
      <c r="K145" s="136" t="s">
        <v>2231</v>
      </c>
      <c r="L145" s="136" t="s">
        <v>2232</v>
      </c>
      <c r="M145" s="136" t="s">
        <v>2441</v>
      </c>
      <c r="N145" s="320" t="s">
        <v>5984</v>
      </c>
    </row>
    <row r="146" spans="1:14" ht="19" customHeight="1">
      <c r="A146" s="356" t="s">
        <v>5982</v>
      </c>
      <c r="B146" s="137" t="s">
        <v>2481</v>
      </c>
      <c r="C146" s="136" t="s">
        <v>519</v>
      </c>
      <c r="D146" s="296" t="s">
        <v>2482</v>
      </c>
      <c r="E146" s="296" t="s">
        <v>6082</v>
      </c>
      <c r="F146" s="297">
        <v>5</v>
      </c>
      <c r="G146" s="296" t="s">
        <v>5532</v>
      </c>
      <c r="H146" s="296" t="s">
        <v>2252</v>
      </c>
      <c r="I146" s="136" t="s">
        <v>2255</v>
      </c>
      <c r="J146" s="136" t="s">
        <v>2440</v>
      </c>
      <c r="K146" s="136" t="s">
        <v>2231</v>
      </c>
      <c r="L146" s="136" t="s">
        <v>2446</v>
      </c>
      <c r="M146" s="136" t="s">
        <v>1124</v>
      </c>
      <c r="N146" s="320" t="s">
        <v>5984</v>
      </c>
    </row>
    <row r="147" spans="1:14" ht="19" customHeight="1">
      <c r="A147" s="356" t="s">
        <v>5982</v>
      </c>
      <c r="B147" s="137" t="s">
        <v>2483</v>
      </c>
      <c r="C147" s="136" t="s">
        <v>519</v>
      </c>
      <c r="D147" s="296" t="s">
        <v>2484</v>
      </c>
      <c r="E147" s="296" t="s">
        <v>6083</v>
      </c>
      <c r="F147" s="297">
        <v>8</v>
      </c>
      <c r="G147" s="296" t="s">
        <v>5533</v>
      </c>
      <c r="H147" s="296" t="s">
        <v>2256</v>
      </c>
      <c r="I147" s="136" t="s">
        <v>2342</v>
      </c>
      <c r="J147" s="136" t="s">
        <v>2440</v>
      </c>
      <c r="K147" s="136" t="s">
        <v>2231</v>
      </c>
      <c r="L147" s="136" t="s">
        <v>2446</v>
      </c>
      <c r="M147" s="136" t="s">
        <v>1125</v>
      </c>
      <c r="N147" s="320" t="s">
        <v>5984</v>
      </c>
    </row>
    <row r="148" spans="1:14" ht="19" customHeight="1">
      <c r="A148" s="356" t="s">
        <v>5982</v>
      </c>
      <c r="B148" s="137" t="s">
        <v>2485</v>
      </c>
      <c r="C148" s="136" t="s">
        <v>519</v>
      </c>
      <c r="D148" s="296" t="s">
        <v>2486</v>
      </c>
      <c r="E148" s="296" t="s">
        <v>6084</v>
      </c>
      <c r="F148" s="297">
        <v>8</v>
      </c>
      <c r="G148" s="296" t="s">
        <v>5534</v>
      </c>
      <c r="H148" s="296" t="s">
        <v>2392</v>
      </c>
      <c r="I148" s="136" t="s">
        <v>2339</v>
      </c>
      <c r="J148" s="136" t="s">
        <v>2440</v>
      </c>
      <c r="K148" s="136" t="s">
        <v>2231</v>
      </c>
      <c r="L148" s="136" t="s">
        <v>2446</v>
      </c>
      <c r="M148" s="136" t="s">
        <v>1126</v>
      </c>
      <c r="N148" s="320" t="s">
        <v>5984</v>
      </c>
    </row>
    <row r="149" spans="1:14" ht="19" customHeight="1">
      <c r="A149" s="356" t="s">
        <v>5982</v>
      </c>
      <c r="B149" s="137" t="s">
        <v>2487</v>
      </c>
      <c r="C149" s="136" t="s">
        <v>519</v>
      </c>
      <c r="D149" s="296" t="s">
        <v>2488</v>
      </c>
      <c r="E149" s="296" t="s">
        <v>6085</v>
      </c>
      <c r="F149" s="297">
        <v>6</v>
      </c>
      <c r="G149" s="296" t="s">
        <v>5535</v>
      </c>
      <c r="H149" s="296" t="s">
        <v>2381</v>
      </c>
      <c r="I149" s="136" t="s">
        <v>2321</v>
      </c>
      <c r="J149" s="136" t="s">
        <v>2440</v>
      </c>
      <c r="K149" s="136" t="s">
        <v>2231</v>
      </c>
      <c r="L149" s="136" t="s">
        <v>2446</v>
      </c>
      <c r="M149" s="136" t="s">
        <v>1129</v>
      </c>
      <c r="N149" s="320" t="s">
        <v>5984</v>
      </c>
    </row>
    <row r="150" spans="1:14" ht="19" customHeight="1">
      <c r="A150" s="356" t="s">
        <v>5982</v>
      </c>
      <c r="B150" s="137" t="s">
        <v>2489</v>
      </c>
      <c r="C150" s="136" t="s">
        <v>519</v>
      </c>
      <c r="D150" s="296" t="s">
        <v>2490</v>
      </c>
      <c r="E150" s="296" t="s">
        <v>6086</v>
      </c>
      <c r="F150" s="297">
        <v>10</v>
      </c>
      <c r="G150" s="296" t="s">
        <v>5536</v>
      </c>
      <c r="H150" s="296" t="s">
        <v>2383</v>
      </c>
      <c r="I150" s="136" t="s">
        <v>2255</v>
      </c>
      <c r="J150" s="136" t="s">
        <v>2440</v>
      </c>
      <c r="K150" s="136" t="s">
        <v>2231</v>
      </c>
      <c r="L150" s="136" t="s">
        <v>2446</v>
      </c>
      <c r="M150" s="136" t="s">
        <v>2491</v>
      </c>
      <c r="N150" s="320" t="s">
        <v>5998</v>
      </c>
    </row>
    <row r="151" spans="1:14" ht="19" customHeight="1">
      <c r="A151" s="356" t="s">
        <v>5982</v>
      </c>
      <c r="B151" s="137" t="s">
        <v>2492</v>
      </c>
      <c r="C151" s="136" t="s">
        <v>519</v>
      </c>
      <c r="D151" s="296" t="s">
        <v>2493</v>
      </c>
      <c r="E151" s="296" t="s">
        <v>6087</v>
      </c>
      <c r="F151" s="297">
        <v>8</v>
      </c>
      <c r="G151" s="296" t="s">
        <v>5537</v>
      </c>
      <c r="H151" s="296" t="s">
        <v>2494</v>
      </c>
      <c r="I151" s="136" t="s">
        <v>2262</v>
      </c>
      <c r="J151" s="136" t="s">
        <v>2440</v>
      </c>
      <c r="K151" s="136" t="s">
        <v>2231</v>
      </c>
      <c r="L151" s="136" t="s">
        <v>2446</v>
      </c>
      <c r="M151" s="136" t="s">
        <v>2495</v>
      </c>
      <c r="N151" s="320" t="s">
        <v>5984</v>
      </c>
    </row>
    <row r="152" spans="1:14" ht="19" customHeight="1">
      <c r="A152" s="356" t="s">
        <v>5982</v>
      </c>
      <c r="B152" s="137" t="s">
        <v>2496</v>
      </c>
      <c r="C152" s="136" t="s">
        <v>519</v>
      </c>
      <c r="D152" s="296" t="s">
        <v>2497</v>
      </c>
      <c r="E152" s="296" t="s">
        <v>6088</v>
      </c>
      <c r="F152" s="297">
        <v>3</v>
      </c>
      <c r="G152" s="296" t="s">
        <v>5538</v>
      </c>
      <c r="H152" s="296" t="s">
        <v>2381</v>
      </c>
      <c r="I152" s="136" t="s">
        <v>2321</v>
      </c>
      <c r="J152" s="136" t="s">
        <v>2440</v>
      </c>
      <c r="K152" s="136" t="s">
        <v>2231</v>
      </c>
      <c r="L152" s="136" t="s">
        <v>2446</v>
      </c>
      <c r="M152" s="136" t="s">
        <v>2498</v>
      </c>
      <c r="N152" s="320" t="s">
        <v>5984</v>
      </c>
    </row>
    <row r="153" spans="1:14" ht="19" customHeight="1">
      <c r="A153" s="356" t="s">
        <v>5982</v>
      </c>
      <c r="B153" s="137" t="s">
        <v>2328</v>
      </c>
      <c r="C153" s="136" t="s">
        <v>2390</v>
      </c>
      <c r="D153" s="296" t="s">
        <v>2391</v>
      </c>
      <c r="E153" s="296" t="s">
        <v>6089</v>
      </c>
      <c r="F153" s="297">
        <v>22</v>
      </c>
      <c r="G153" s="296" t="s">
        <v>5539</v>
      </c>
      <c r="H153" s="296" t="s">
        <v>2230</v>
      </c>
      <c r="I153" s="136" t="s">
        <v>2255</v>
      </c>
      <c r="J153" s="136" t="s">
        <v>2440</v>
      </c>
      <c r="K153" s="136" t="s">
        <v>2231</v>
      </c>
      <c r="L153" s="136" t="s">
        <v>2232</v>
      </c>
      <c r="M153" s="136" t="s">
        <v>2441</v>
      </c>
      <c r="N153" s="320" t="s">
        <v>5996</v>
      </c>
    </row>
    <row r="154" spans="1:14" ht="19" customHeight="1">
      <c r="A154" s="356" t="s">
        <v>5982</v>
      </c>
      <c r="B154" s="137" t="s">
        <v>2392</v>
      </c>
      <c r="C154" s="136" t="s">
        <v>2390</v>
      </c>
      <c r="D154" s="296" t="s">
        <v>2393</v>
      </c>
      <c r="E154" s="296" t="s">
        <v>6090</v>
      </c>
      <c r="F154" s="297">
        <v>14</v>
      </c>
      <c r="G154" s="296" t="s">
        <v>5540</v>
      </c>
      <c r="H154" s="296" t="s">
        <v>2328</v>
      </c>
      <c r="I154" s="136" t="s">
        <v>2255</v>
      </c>
      <c r="J154" s="136" t="s">
        <v>2440</v>
      </c>
      <c r="K154" s="136" t="s">
        <v>2231</v>
      </c>
      <c r="L154" s="136" t="s">
        <v>2232</v>
      </c>
      <c r="M154" s="136" t="s">
        <v>2441</v>
      </c>
      <c r="N154" s="320" t="s">
        <v>5998</v>
      </c>
    </row>
    <row r="155" spans="1:14" ht="19" customHeight="1">
      <c r="A155" s="356" t="s">
        <v>5982</v>
      </c>
      <c r="B155" s="137" t="s">
        <v>2499</v>
      </c>
      <c r="C155" s="136" t="s">
        <v>2390</v>
      </c>
      <c r="D155" s="296" t="s">
        <v>2500</v>
      </c>
      <c r="E155" s="296" t="s">
        <v>6091</v>
      </c>
      <c r="F155" s="297">
        <v>12</v>
      </c>
      <c r="G155" s="296" t="s">
        <v>5541</v>
      </c>
      <c r="H155" s="296" t="s">
        <v>2392</v>
      </c>
      <c r="I155" s="136" t="s">
        <v>2255</v>
      </c>
      <c r="J155" s="136" t="s">
        <v>2440</v>
      </c>
      <c r="K155" s="136" t="s">
        <v>2231</v>
      </c>
      <c r="L155" s="136" t="s">
        <v>2446</v>
      </c>
      <c r="M155" s="136" t="s">
        <v>1207</v>
      </c>
      <c r="N155" s="320" t="s">
        <v>5998</v>
      </c>
    </row>
    <row r="156" spans="1:14" ht="19" customHeight="1">
      <c r="A156" s="356" t="s">
        <v>5982</v>
      </c>
      <c r="B156" s="137" t="s">
        <v>2380</v>
      </c>
      <c r="C156" s="136" t="s">
        <v>2394</v>
      </c>
      <c r="D156" s="296" t="s">
        <v>2395</v>
      </c>
      <c r="E156" s="296" t="s">
        <v>6092</v>
      </c>
      <c r="F156" s="297">
        <v>13</v>
      </c>
      <c r="G156" s="296" t="s">
        <v>5542</v>
      </c>
      <c r="H156" s="296" t="s">
        <v>2252</v>
      </c>
      <c r="I156" s="136" t="s">
        <v>2396</v>
      </c>
      <c r="J156" s="136" t="s">
        <v>2440</v>
      </c>
      <c r="K156" s="136" t="s">
        <v>2231</v>
      </c>
      <c r="L156" s="136" t="s">
        <v>2232</v>
      </c>
      <c r="M156" s="136" t="s">
        <v>2441</v>
      </c>
      <c r="N156" s="320" t="s">
        <v>5998</v>
      </c>
    </row>
    <row r="157" spans="1:14" ht="19" customHeight="1">
      <c r="A157" s="356" t="s">
        <v>5982</v>
      </c>
      <c r="B157" s="137" t="s">
        <v>2359</v>
      </c>
      <c r="C157" s="136" t="s">
        <v>2394</v>
      </c>
      <c r="D157" s="296" t="s">
        <v>2397</v>
      </c>
      <c r="E157" s="296" t="s">
        <v>6093</v>
      </c>
      <c r="F157" s="297">
        <v>13</v>
      </c>
      <c r="G157" s="296" t="s">
        <v>5543</v>
      </c>
      <c r="H157" s="296" t="s">
        <v>2398</v>
      </c>
      <c r="I157" s="136" t="s">
        <v>2255</v>
      </c>
      <c r="J157" s="136" t="s">
        <v>2440</v>
      </c>
      <c r="K157" s="136" t="s">
        <v>2231</v>
      </c>
      <c r="L157" s="136" t="s">
        <v>2232</v>
      </c>
      <c r="M157" s="136" t="s">
        <v>2441</v>
      </c>
      <c r="N157" s="320" t="s">
        <v>5998</v>
      </c>
    </row>
    <row r="158" spans="1:14" ht="19" customHeight="1">
      <c r="A158" s="356" t="s">
        <v>5982</v>
      </c>
      <c r="B158" s="137" t="s">
        <v>2399</v>
      </c>
      <c r="C158" s="136" t="s">
        <v>2394</v>
      </c>
      <c r="D158" s="296" t="s">
        <v>2400</v>
      </c>
      <c r="E158" s="296" t="s">
        <v>6094</v>
      </c>
      <c r="F158" s="297">
        <v>25</v>
      </c>
      <c r="G158" s="296" t="s">
        <v>5544</v>
      </c>
      <c r="H158" s="296" t="s">
        <v>2401</v>
      </c>
      <c r="I158" s="136" t="s">
        <v>2321</v>
      </c>
      <c r="J158" s="136" t="s">
        <v>2440</v>
      </c>
      <c r="K158" s="136" t="s">
        <v>2231</v>
      </c>
      <c r="L158" s="136" t="s">
        <v>2232</v>
      </c>
      <c r="M158" s="136" t="s">
        <v>2441</v>
      </c>
      <c r="N158" s="320" t="s">
        <v>5996</v>
      </c>
    </row>
    <row r="159" spans="1:14" ht="19" customHeight="1">
      <c r="A159" s="356" t="s">
        <v>5982</v>
      </c>
      <c r="B159" s="137" t="s">
        <v>2402</v>
      </c>
      <c r="C159" s="136" t="s">
        <v>2394</v>
      </c>
      <c r="D159" s="296" t="s">
        <v>2403</v>
      </c>
      <c r="E159" s="296" t="s">
        <v>6095</v>
      </c>
      <c r="F159" s="297">
        <v>12</v>
      </c>
      <c r="G159" s="296" t="s">
        <v>5545</v>
      </c>
      <c r="H159" s="296" t="s">
        <v>2404</v>
      </c>
      <c r="I159" s="136" t="s">
        <v>2265</v>
      </c>
      <c r="J159" s="136" t="s">
        <v>2440</v>
      </c>
      <c r="K159" s="136" t="s">
        <v>2231</v>
      </c>
      <c r="L159" s="136" t="s">
        <v>2232</v>
      </c>
      <c r="M159" s="136" t="s">
        <v>2441</v>
      </c>
      <c r="N159" s="320" t="s">
        <v>5998</v>
      </c>
    </row>
    <row r="160" spans="1:14" ht="19" customHeight="1">
      <c r="A160" s="356" t="s">
        <v>5982</v>
      </c>
      <c r="B160" s="137" t="s">
        <v>2405</v>
      </c>
      <c r="C160" s="136" t="s">
        <v>2394</v>
      </c>
      <c r="D160" s="296" t="s">
        <v>2406</v>
      </c>
      <c r="E160" s="296" t="s">
        <v>6096</v>
      </c>
      <c r="F160" s="297">
        <v>11</v>
      </c>
      <c r="G160" s="296" t="s">
        <v>5546</v>
      </c>
      <c r="H160" s="296" t="s">
        <v>2380</v>
      </c>
      <c r="I160" s="136" t="s">
        <v>2265</v>
      </c>
      <c r="J160" s="136" t="s">
        <v>2440</v>
      </c>
      <c r="K160" s="136" t="s">
        <v>2231</v>
      </c>
      <c r="L160" s="136" t="s">
        <v>2232</v>
      </c>
      <c r="M160" s="136" t="s">
        <v>2441</v>
      </c>
      <c r="N160" s="320" t="s">
        <v>5998</v>
      </c>
    </row>
    <row r="161" spans="1:14" ht="19" customHeight="1">
      <c r="A161" s="356" t="s">
        <v>5982</v>
      </c>
      <c r="B161" s="137" t="s">
        <v>2407</v>
      </c>
      <c r="C161" s="136" t="s">
        <v>2394</v>
      </c>
      <c r="D161" s="296" t="s">
        <v>1434</v>
      </c>
      <c r="E161" s="296" t="s">
        <v>6097</v>
      </c>
      <c r="F161" s="297">
        <v>10</v>
      </c>
      <c r="G161" s="296" t="s">
        <v>5547</v>
      </c>
      <c r="H161" s="296" t="s">
        <v>2408</v>
      </c>
      <c r="I161" s="136" t="s">
        <v>2377</v>
      </c>
      <c r="J161" s="136" t="s">
        <v>2440</v>
      </c>
      <c r="K161" s="136" t="s">
        <v>2231</v>
      </c>
      <c r="L161" s="136" t="s">
        <v>2308</v>
      </c>
      <c r="M161" s="136" t="s">
        <v>2441</v>
      </c>
      <c r="N161" s="320" t="s">
        <v>5998</v>
      </c>
    </row>
    <row r="162" spans="1:14" ht="19" customHeight="1">
      <c r="A162" s="356" t="s">
        <v>5982</v>
      </c>
      <c r="B162" s="137" t="s">
        <v>2409</v>
      </c>
      <c r="C162" s="136" t="s">
        <v>2394</v>
      </c>
      <c r="D162" s="296" t="s">
        <v>2410</v>
      </c>
      <c r="E162" s="296" t="s">
        <v>6134</v>
      </c>
      <c r="F162" s="297">
        <v>5</v>
      </c>
      <c r="G162" s="296" t="s">
        <v>5548</v>
      </c>
      <c r="H162" s="296" t="s">
        <v>2328</v>
      </c>
      <c r="I162" s="136" t="s">
        <v>2411</v>
      </c>
      <c r="J162" s="136" t="s">
        <v>2440</v>
      </c>
      <c r="K162" s="136" t="s">
        <v>2231</v>
      </c>
      <c r="L162" s="136" t="s">
        <v>2308</v>
      </c>
      <c r="M162" s="136" t="s">
        <v>2441</v>
      </c>
      <c r="N162" s="320" t="s">
        <v>5984</v>
      </c>
    </row>
    <row r="163" spans="1:14" ht="19" customHeight="1">
      <c r="A163" s="356" t="s">
        <v>5982</v>
      </c>
      <c r="B163" s="137" t="s">
        <v>2501</v>
      </c>
      <c r="C163" s="136" t="s">
        <v>2394</v>
      </c>
      <c r="D163" s="296" t="s">
        <v>2502</v>
      </c>
      <c r="E163" s="296" t="s">
        <v>6098</v>
      </c>
      <c r="F163" s="297">
        <v>8</v>
      </c>
      <c r="G163" s="296" t="s">
        <v>5549</v>
      </c>
      <c r="H163" s="296" t="s">
        <v>2380</v>
      </c>
      <c r="I163" s="136" t="s">
        <v>2396</v>
      </c>
      <c r="J163" s="136" t="s">
        <v>2440</v>
      </c>
      <c r="K163" s="136" t="s">
        <v>2231</v>
      </c>
      <c r="L163" s="136" t="s">
        <v>2446</v>
      </c>
      <c r="M163" s="136" t="s">
        <v>2503</v>
      </c>
      <c r="N163" s="320" t="s">
        <v>5984</v>
      </c>
    </row>
    <row r="164" spans="1:14" ht="19" customHeight="1">
      <c r="A164" s="356" t="s">
        <v>5982</v>
      </c>
      <c r="B164" s="137" t="s">
        <v>2504</v>
      </c>
      <c r="C164" s="136" t="s">
        <v>2394</v>
      </c>
      <c r="D164" s="296" t="s">
        <v>2505</v>
      </c>
      <c r="E164" s="296" t="s">
        <v>6099</v>
      </c>
      <c r="F164" s="297">
        <v>5</v>
      </c>
      <c r="G164" s="296" t="s">
        <v>5550</v>
      </c>
      <c r="H164" s="296" t="s">
        <v>2359</v>
      </c>
      <c r="I164" s="136" t="s">
        <v>2321</v>
      </c>
      <c r="J164" s="136" t="s">
        <v>2440</v>
      </c>
      <c r="K164" s="136" t="s">
        <v>2506</v>
      </c>
      <c r="L164" s="136" t="s">
        <v>2446</v>
      </c>
      <c r="M164" s="136" t="s">
        <v>2507</v>
      </c>
      <c r="N164" s="320" t="s">
        <v>5984</v>
      </c>
    </row>
    <row r="165" spans="1:14" ht="19" customHeight="1">
      <c r="A165" s="356" t="s">
        <v>5982</v>
      </c>
      <c r="B165" s="137" t="s">
        <v>5706</v>
      </c>
      <c r="C165" s="136" t="s">
        <v>2394</v>
      </c>
      <c r="D165" s="296" t="s">
        <v>5707</v>
      </c>
      <c r="E165" s="296" t="s">
        <v>6100</v>
      </c>
      <c r="F165" s="297">
        <v>8</v>
      </c>
      <c r="G165" s="296" t="s">
        <v>5709</v>
      </c>
      <c r="H165" s="296" t="s">
        <v>2392</v>
      </c>
      <c r="I165" s="136" t="s">
        <v>2358</v>
      </c>
      <c r="J165" s="136" t="s">
        <v>2440</v>
      </c>
      <c r="K165" s="136" t="s">
        <v>2231</v>
      </c>
      <c r="L165" s="136" t="s">
        <v>5708</v>
      </c>
      <c r="M165" s="136" t="s">
        <v>2698</v>
      </c>
      <c r="N165" s="320" t="s">
        <v>5998</v>
      </c>
    </row>
    <row r="166" spans="1:14" ht="19" customHeight="1">
      <c r="A166" s="356" t="s">
        <v>5982</v>
      </c>
      <c r="B166" s="137" t="s">
        <v>2412</v>
      </c>
      <c r="C166" s="136" t="s">
        <v>1237</v>
      </c>
      <c r="D166" s="296" t="s">
        <v>2413</v>
      </c>
      <c r="E166" s="296" t="s">
        <v>6101</v>
      </c>
      <c r="F166" s="297">
        <v>14</v>
      </c>
      <c r="G166" s="296" t="s">
        <v>5551</v>
      </c>
      <c r="H166" s="296" t="s">
        <v>2415</v>
      </c>
      <c r="I166" s="136" t="s">
        <v>2414</v>
      </c>
      <c r="J166" s="136" t="s">
        <v>2440</v>
      </c>
      <c r="K166" s="136" t="s">
        <v>2231</v>
      </c>
      <c r="L166" s="136" t="s">
        <v>2232</v>
      </c>
      <c r="M166" s="136" t="s">
        <v>2441</v>
      </c>
      <c r="N166" s="320" t="s">
        <v>5998</v>
      </c>
    </row>
    <row r="167" spans="1:14" ht="19" customHeight="1">
      <c r="A167" s="356" t="s">
        <v>5982</v>
      </c>
      <c r="B167" s="137" t="s">
        <v>2291</v>
      </c>
      <c r="C167" s="136" t="s">
        <v>1237</v>
      </c>
      <c r="D167" s="296" t="s">
        <v>2416</v>
      </c>
      <c r="E167" s="296" t="s">
        <v>6102</v>
      </c>
      <c r="F167" s="297">
        <v>24</v>
      </c>
      <c r="G167" s="296" t="s">
        <v>5552</v>
      </c>
      <c r="H167" s="296" t="s">
        <v>2417</v>
      </c>
      <c r="I167" s="136" t="s">
        <v>2262</v>
      </c>
      <c r="J167" s="136" t="s">
        <v>2440</v>
      </c>
      <c r="K167" s="136" t="s">
        <v>2231</v>
      </c>
      <c r="L167" s="136" t="s">
        <v>2232</v>
      </c>
      <c r="M167" s="136" t="s">
        <v>2441</v>
      </c>
      <c r="N167" s="320" t="s">
        <v>5996</v>
      </c>
    </row>
    <row r="168" spans="1:14" ht="19" customHeight="1">
      <c r="A168" s="356" t="s">
        <v>5982</v>
      </c>
      <c r="B168" s="137" t="s">
        <v>2418</v>
      </c>
      <c r="C168" s="136" t="s">
        <v>1237</v>
      </c>
      <c r="D168" s="296" t="s">
        <v>2419</v>
      </c>
      <c r="E168" s="296" t="s">
        <v>6103</v>
      </c>
      <c r="F168" s="297">
        <v>12</v>
      </c>
      <c r="G168" s="296" t="s">
        <v>5553</v>
      </c>
      <c r="H168" s="296" t="s">
        <v>2291</v>
      </c>
      <c r="I168" s="136" t="s">
        <v>2262</v>
      </c>
      <c r="J168" s="136" t="s">
        <v>2440</v>
      </c>
      <c r="K168" s="136" t="s">
        <v>2231</v>
      </c>
      <c r="L168" s="136" t="s">
        <v>2232</v>
      </c>
      <c r="M168" s="136" t="s">
        <v>2441</v>
      </c>
      <c r="N168" s="320" t="s">
        <v>5998</v>
      </c>
    </row>
    <row r="169" spans="1:14" ht="19" customHeight="1">
      <c r="A169" s="356" t="s">
        <v>5982</v>
      </c>
      <c r="B169" s="137" t="s">
        <v>2420</v>
      </c>
      <c r="C169" s="136" t="s">
        <v>1237</v>
      </c>
      <c r="D169" s="296" t="s">
        <v>2421</v>
      </c>
      <c r="E169" s="296" t="s">
        <v>6104</v>
      </c>
      <c r="F169" s="297">
        <v>0</v>
      </c>
      <c r="G169" s="296" t="s">
        <v>5561</v>
      </c>
      <c r="H169" s="296" t="s">
        <v>2266</v>
      </c>
      <c r="I169" s="136" t="s">
        <v>2422</v>
      </c>
      <c r="J169" s="136" t="s">
        <v>2440</v>
      </c>
      <c r="K169" s="136" t="s">
        <v>5563</v>
      </c>
      <c r="L169" s="136" t="s">
        <v>2232</v>
      </c>
      <c r="M169" s="136" t="s">
        <v>2441</v>
      </c>
      <c r="N169" s="320" t="s">
        <v>5998</v>
      </c>
    </row>
    <row r="170" spans="1:14" ht="19" customHeight="1">
      <c r="A170" s="356" t="s">
        <v>5982</v>
      </c>
      <c r="B170" s="137" t="s">
        <v>2423</v>
      </c>
      <c r="C170" s="136" t="s">
        <v>1237</v>
      </c>
      <c r="D170" s="296" t="s">
        <v>2424</v>
      </c>
      <c r="E170" s="296" t="s">
        <v>6105</v>
      </c>
      <c r="F170" s="297">
        <v>5</v>
      </c>
      <c r="G170" s="296" t="s">
        <v>5554</v>
      </c>
      <c r="H170" s="296" t="s">
        <v>2270</v>
      </c>
      <c r="I170" s="136" t="s">
        <v>2321</v>
      </c>
      <c r="J170" s="136" t="s">
        <v>2440</v>
      </c>
      <c r="K170" s="136" t="s">
        <v>2236</v>
      </c>
      <c r="L170" s="136" t="s">
        <v>2232</v>
      </c>
      <c r="M170" s="136" t="s">
        <v>2441</v>
      </c>
      <c r="N170" s="320" t="s">
        <v>5984</v>
      </c>
    </row>
    <row r="171" spans="1:14" ht="19" customHeight="1">
      <c r="A171" s="356" t="s">
        <v>5982</v>
      </c>
      <c r="B171" s="137" t="s">
        <v>2425</v>
      </c>
      <c r="C171" s="136" t="s">
        <v>1237</v>
      </c>
      <c r="D171" s="296" t="s">
        <v>2426</v>
      </c>
      <c r="E171" s="296" t="s">
        <v>6106</v>
      </c>
      <c r="F171" s="297">
        <v>6</v>
      </c>
      <c r="G171" s="296" t="s">
        <v>5555</v>
      </c>
      <c r="H171" s="296" t="s">
        <v>2323</v>
      </c>
      <c r="I171" s="136" t="s">
        <v>2422</v>
      </c>
      <c r="J171" s="136" t="s">
        <v>2440</v>
      </c>
      <c r="K171" s="136" t="s">
        <v>2231</v>
      </c>
      <c r="L171" s="136" t="s">
        <v>2232</v>
      </c>
      <c r="M171" s="136" t="s">
        <v>2441</v>
      </c>
      <c r="N171" s="320" t="s">
        <v>5984</v>
      </c>
    </row>
    <row r="172" spans="1:14" ht="19" customHeight="1">
      <c r="A172" s="356" t="s">
        <v>5982</v>
      </c>
      <c r="B172" s="137" t="s">
        <v>2427</v>
      </c>
      <c r="C172" s="136" t="s">
        <v>1237</v>
      </c>
      <c r="D172" s="296" t="s">
        <v>2428</v>
      </c>
      <c r="E172" s="296" t="s">
        <v>6107</v>
      </c>
      <c r="F172" s="297">
        <v>4</v>
      </c>
      <c r="G172" s="296" t="s">
        <v>5556</v>
      </c>
      <c r="H172" s="296" t="s">
        <v>2270</v>
      </c>
      <c r="I172" s="136" t="s">
        <v>2321</v>
      </c>
      <c r="J172" s="136" t="s">
        <v>2440</v>
      </c>
      <c r="K172" s="136" t="s">
        <v>2236</v>
      </c>
      <c r="L172" s="136" t="s">
        <v>2308</v>
      </c>
      <c r="M172" s="136" t="s">
        <v>2441</v>
      </c>
      <c r="N172" s="320" t="s">
        <v>5984</v>
      </c>
    </row>
    <row r="173" spans="1:14" ht="19" customHeight="1">
      <c r="A173" s="356" t="s">
        <v>5982</v>
      </c>
      <c r="B173" s="137" t="s">
        <v>2508</v>
      </c>
      <c r="C173" s="136" t="s">
        <v>1237</v>
      </c>
      <c r="D173" s="296" t="s">
        <v>2509</v>
      </c>
      <c r="E173" s="296" t="s">
        <v>6108</v>
      </c>
      <c r="F173" s="297">
        <v>12</v>
      </c>
      <c r="G173" s="296" t="s">
        <v>5557</v>
      </c>
      <c r="H173" s="296" t="s">
        <v>2412</v>
      </c>
      <c r="I173" s="136" t="s">
        <v>2321</v>
      </c>
      <c r="J173" s="136" t="s">
        <v>2440</v>
      </c>
      <c r="K173" s="136" t="s">
        <v>2231</v>
      </c>
      <c r="L173" s="136" t="s">
        <v>2446</v>
      </c>
      <c r="M173" s="136" t="s">
        <v>1241</v>
      </c>
      <c r="N173" s="320" t="s">
        <v>5998</v>
      </c>
    </row>
    <row r="174" spans="1:14" ht="19" customHeight="1">
      <c r="A174" s="356" t="s">
        <v>5982</v>
      </c>
      <c r="B174" s="137" t="s">
        <v>2510</v>
      </c>
      <c r="C174" s="136" t="s">
        <v>1237</v>
      </c>
      <c r="D174" s="296" t="s">
        <v>2511</v>
      </c>
      <c r="E174" s="296" t="s">
        <v>6109</v>
      </c>
      <c r="F174" s="297">
        <v>5</v>
      </c>
      <c r="G174" s="296" t="s">
        <v>5558</v>
      </c>
      <c r="H174" s="296" t="s">
        <v>2412</v>
      </c>
      <c r="I174" s="136" t="s">
        <v>2302</v>
      </c>
      <c r="J174" s="136" t="s">
        <v>2440</v>
      </c>
      <c r="K174" s="136" t="s">
        <v>2231</v>
      </c>
      <c r="L174" s="136" t="s">
        <v>2446</v>
      </c>
      <c r="M174" s="136" t="s">
        <v>1242</v>
      </c>
      <c r="N174" s="320" t="s">
        <v>5984</v>
      </c>
    </row>
    <row r="175" spans="1:14" ht="19" customHeight="1">
      <c r="A175" s="356" t="s">
        <v>5982</v>
      </c>
      <c r="B175" s="137" t="s">
        <v>2512</v>
      </c>
      <c r="C175" s="136" t="s">
        <v>1237</v>
      </c>
      <c r="D175" s="296" t="s">
        <v>2513</v>
      </c>
      <c r="E175" s="296" t="s">
        <v>6110</v>
      </c>
      <c r="F175" s="297">
        <v>6</v>
      </c>
      <c r="G175" s="296" t="s">
        <v>5559</v>
      </c>
      <c r="H175" s="296" t="s">
        <v>2291</v>
      </c>
      <c r="I175" s="136" t="s">
        <v>2228</v>
      </c>
      <c r="J175" s="136" t="s">
        <v>2440</v>
      </c>
      <c r="K175" s="136" t="s">
        <v>2231</v>
      </c>
      <c r="L175" s="136" t="s">
        <v>2446</v>
      </c>
      <c r="M175" s="136" t="s">
        <v>2514</v>
      </c>
      <c r="N175" s="320" t="s">
        <v>5984</v>
      </c>
    </row>
    <row r="176" spans="1:14" ht="19" customHeight="1">
      <c r="A176" s="356" t="s">
        <v>5982</v>
      </c>
      <c r="B176" s="137" t="s">
        <v>2515</v>
      </c>
      <c r="C176" s="136" t="s">
        <v>1237</v>
      </c>
      <c r="D176" s="296" t="s">
        <v>2516</v>
      </c>
      <c r="E176" s="296" t="s">
        <v>6111</v>
      </c>
      <c r="F176" s="297">
        <v>0</v>
      </c>
      <c r="G176" s="296" t="s">
        <v>5562</v>
      </c>
      <c r="H176" s="296" t="s">
        <v>2420</v>
      </c>
      <c r="I176" s="136" t="s">
        <v>2241</v>
      </c>
      <c r="J176" s="136" t="s">
        <v>2444</v>
      </c>
      <c r="K176" s="136" t="s">
        <v>5564</v>
      </c>
      <c r="L176" s="136" t="s">
        <v>2446</v>
      </c>
      <c r="M176" s="136" t="s">
        <v>4166</v>
      </c>
      <c r="N176" s="320" t="s">
        <v>5984</v>
      </c>
    </row>
    <row r="177" spans="1:14" ht="19" customHeight="1">
      <c r="A177" s="356" t="s">
        <v>6112</v>
      </c>
      <c r="B177" s="137" t="s">
        <v>5714</v>
      </c>
      <c r="C177" s="136" t="s">
        <v>5715</v>
      </c>
      <c r="D177" s="296" t="s">
        <v>5716</v>
      </c>
      <c r="E177" s="296" t="s">
        <v>6113</v>
      </c>
      <c r="F177" s="297">
        <v>10</v>
      </c>
      <c r="G177" s="296" t="s">
        <v>5719</v>
      </c>
      <c r="H177" s="296" t="s">
        <v>2230</v>
      </c>
      <c r="I177" s="136" t="s">
        <v>2302</v>
      </c>
      <c r="J177" s="136" t="s">
        <v>2440</v>
      </c>
      <c r="K177" s="136" t="s">
        <v>2231</v>
      </c>
      <c r="L177" s="136" t="s">
        <v>5717</v>
      </c>
      <c r="M177" s="136" t="s">
        <v>5718</v>
      </c>
      <c r="N177" s="320" t="s">
        <v>5996</v>
      </c>
    </row>
    <row r="178" spans="1:14" ht="19" customHeight="1">
      <c r="A178" s="356" t="s">
        <v>6112</v>
      </c>
      <c r="B178" s="137" t="s">
        <v>5720</v>
      </c>
      <c r="C178" s="136" t="s">
        <v>5715</v>
      </c>
      <c r="D178" s="296" t="s">
        <v>5721</v>
      </c>
      <c r="E178" s="296" t="s">
        <v>6114</v>
      </c>
      <c r="F178" s="297">
        <v>12</v>
      </c>
      <c r="G178" s="296" t="s">
        <v>5722</v>
      </c>
      <c r="H178" s="296" t="s">
        <v>5714</v>
      </c>
      <c r="I178" s="136" t="s">
        <v>2377</v>
      </c>
      <c r="J178" s="136" t="s">
        <v>2440</v>
      </c>
      <c r="K178" s="136" t="s">
        <v>2231</v>
      </c>
      <c r="L178" s="136" t="s">
        <v>5717</v>
      </c>
      <c r="M178" s="136" t="s">
        <v>5718</v>
      </c>
      <c r="N178" s="320" t="s">
        <v>5996</v>
      </c>
    </row>
    <row r="179" spans="1:14" ht="19" customHeight="1">
      <c r="A179" s="356" t="s">
        <v>6112</v>
      </c>
      <c r="B179" s="137" t="s">
        <v>5723</v>
      </c>
      <c r="C179" s="136" t="s">
        <v>5715</v>
      </c>
      <c r="D179" s="296" t="s">
        <v>5724</v>
      </c>
      <c r="E179" s="296" t="s">
        <v>6115</v>
      </c>
      <c r="F179" s="297">
        <v>25</v>
      </c>
      <c r="G179" s="296" t="s">
        <v>5725</v>
      </c>
      <c r="H179" s="296" t="s">
        <v>5720</v>
      </c>
      <c r="I179" s="136" t="s">
        <v>2230</v>
      </c>
      <c r="J179" s="136" t="s">
        <v>2440</v>
      </c>
      <c r="K179" s="136" t="s">
        <v>2231</v>
      </c>
      <c r="L179" s="136" t="s">
        <v>5717</v>
      </c>
      <c r="M179" s="136" t="s">
        <v>5718</v>
      </c>
      <c r="N179" s="320" t="s">
        <v>5996</v>
      </c>
    </row>
    <row r="180" spans="1:14" ht="19" customHeight="1">
      <c r="A180" s="356" t="s">
        <v>6112</v>
      </c>
      <c r="B180" s="137" t="s">
        <v>5726</v>
      </c>
      <c r="C180" s="136" t="s">
        <v>5715</v>
      </c>
      <c r="D180" s="296" t="s">
        <v>5727</v>
      </c>
      <c r="E180" s="296" t="s">
        <v>6116</v>
      </c>
      <c r="F180" s="297">
        <v>30</v>
      </c>
      <c r="G180" s="296" t="s">
        <v>5728</v>
      </c>
      <c r="H180" s="296" t="s">
        <v>2230</v>
      </c>
      <c r="I180" s="136" t="s">
        <v>2230</v>
      </c>
      <c r="J180" s="136" t="s">
        <v>2440</v>
      </c>
      <c r="K180" s="136" t="s">
        <v>2231</v>
      </c>
      <c r="L180" s="136" t="s">
        <v>5717</v>
      </c>
      <c r="M180" s="136" t="s">
        <v>5718</v>
      </c>
      <c r="N180" s="320" t="s">
        <v>5996</v>
      </c>
    </row>
    <row r="181" spans="1:14" ht="19" customHeight="1">
      <c r="A181" s="356" t="s">
        <v>6112</v>
      </c>
      <c r="B181" s="137" t="s">
        <v>5729</v>
      </c>
      <c r="C181" s="136" t="s">
        <v>5715</v>
      </c>
      <c r="D181" s="296" t="s">
        <v>5730</v>
      </c>
      <c r="E181" s="296" t="s">
        <v>6117</v>
      </c>
      <c r="F181" s="297">
        <v>10</v>
      </c>
      <c r="G181" s="296" t="s">
        <v>5731</v>
      </c>
      <c r="H181" s="296" t="s">
        <v>2473</v>
      </c>
      <c r="I181" s="136" t="s">
        <v>2230</v>
      </c>
      <c r="J181" s="136" t="s">
        <v>2440</v>
      </c>
      <c r="K181" s="136" t="s">
        <v>2231</v>
      </c>
      <c r="L181" s="136" t="s">
        <v>5717</v>
      </c>
      <c r="M181" s="136" t="s">
        <v>5718</v>
      </c>
      <c r="N181" s="320" t="s">
        <v>5996</v>
      </c>
    </row>
    <row r="182" spans="1:14" ht="19" customHeight="1">
      <c r="A182" s="356" t="s">
        <v>6112</v>
      </c>
      <c r="B182" s="137" t="s">
        <v>5732</v>
      </c>
      <c r="C182" s="136" t="s">
        <v>5715</v>
      </c>
      <c r="D182" s="296" t="s">
        <v>5733</v>
      </c>
      <c r="E182" s="296" t="s">
        <v>6118</v>
      </c>
      <c r="F182" s="297">
        <v>8</v>
      </c>
      <c r="G182" s="296" t="s">
        <v>5734</v>
      </c>
      <c r="H182" s="296" t="s">
        <v>2230</v>
      </c>
      <c r="I182" s="136" t="s">
        <v>2321</v>
      </c>
      <c r="J182" s="136" t="s">
        <v>2440</v>
      </c>
      <c r="K182" s="136" t="s">
        <v>2231</v>
      </c>
      <c r="L182" s="136" t="s">
        <v>5717</v>
      </c>
      <c r="M182" s="136" t="s">
        <v>5718</v>
      </c>
      <c r="N182" s="320" t="s">
        <v>5998</v>
      </c>
    </row>
    <row r="183" spans="1:14" ht="19" customHeight="1">
      <c r="A183" s="356" t="s">
        <v>6112</v>
      </c>
      <c r="B183" s="137" t="s">
        <v>5735</v>
      </c>
      <c r="C183" s="136" t="s">
        <v>5715</v>
      </c>
      <c r="D183" s="296" t="s">
        <v>5736</v>
      </c>
      <c r="E183" s="296" t="s">
        <v>6119</v>
      </c>
      <c r="F183" s="297">
        <v>10</v>
      </c>
      <c r="G183" s="296" t="s">
        <v>5737</v>
      </c>
      <c r="H183" s="296" t="s">
        <v>5732</v>
      </c>
      <c r="I183" s="136" t="s">
        <v>2372</v>
      </c>
      <c r="J183" s="136" t="s">
        <v>2440</v>
      </c>
      <c r="K183" s="136" t="s">
        <v>2231</v>
      </c>
      <c r="L183" s="136" t="s">
        <v>5717</v>
      </c>
      <c r="M183" s="136" t="s">
        <v>5718</v>
      </c>
      <c r="N183" s="320" t="s">
        <v>5996</v>
      </c>
    </row>
    <row r="184" spans="1:14" ht="19" customHeight="1">
      <c r="A184" s="357" t="s">
        <v>6112</v>
      </c>
      <c r="B184" s="313" t="s">
        <v>5738</v>
      </c>
      <c r="C184" s="312" t="s">
        <v>5715</v>
      </c>
      <c r="D184" s="299" t="s">
        <v>5739</v>
      </c>
      <c r="E184" s="299" t="s">
        <v>6120</v>
      </c>
      <c r="F184" s="300">
        <v>12</v>
      </c>
      <c r="G184" s="299" t="s">
        <v>5740</v>
      </c>
      <c r="H184" s="299" t="s">
        <v>2230</v>
      </c>
      <c r="I184" s="312" t="s">
        <v>2230</v>
      </c>
      <c r="J184" s="312" t="s">
        <v>2440</v>
      </c>
      <c r="K184" s="312" t="s">
        <v>2231</v>
      </c>
      <c r="L184" s="312" t="s">
        <v>5717</v>
      </c>
      <c r="M184" s="312" t="s">
        <v>5718</v>
      </c>
      <c r="N184" s="321" t="s">
        <v>5996</v>
      </c>
    </row>
    <row r="185" spans="1:14" ht="26" customHeight="1"/>
    <row r="186" spans="1:14" ht="26" customHeight="1"/>
    <row r="187" spans="1:14" ht="26" customHeight="1">
      <c r="A187" s="370" t="s">
        <v>5741</v>
      </c>
      <c r="B187" s="32"/>
      <c r="C187" s="32"/>
    </row>
    <row r="188" spans="1:14" ht="26" customHeight="1">
      <c r="A188" s="254" t="s">
        <v>5742</v>
      </c>
      <c r="B188" s="255" t="s">
        <v>1539</v>
      </c>
      <c r="C188" s="256" t="s">
        <v>5743</v>
      </c>
    </row>
    <row r="189" spans="1:14" ht="26" customHeight="1">
      <c r="A189" s="257" t="s">
        <v>2665</v>
      </c>
      <c r="B189" s="258" t="s">
        <v>5744</v>
      </c>
      <c r="C189" s="318" t="s">
        <v>5745</v>
      </c>
    </row>
    <row r="190" spans="1:14" ht="26" customHeight="1">
      <c r="A190" s="257" t="s">
        <v>2659</v>
      </c>
      <c r="B190" s="258" t="s">
        <v>5746</v>
      </c>
      <c r="C190" s="318" t="s">
        <v>5747</v>
      </c>
    </row>
    <row r="191" spans="1:14" ht="26" customHeight="1">
      <c r="A191" s="257" t="s">
        <v>2648</v>
      </c>
      <c r="B191" s="258" t="s">
        <v>5748</v>
      </c>
      <c r="C191" s="318" t="s">
        <v>5749</v>
      </c>
    </row>
    <row r="192" spans="1:14" ht="26" customHeight="1">
      <c r="A192" s="264" t="s">
        <v>2663</v>
      </c>
      <c r="B192" s="265" t="s">
        <v>5750</v>
      </c>
      <c r="C192" s="319" t="s">
        <v>5751</v>
      </c>
    </row>
    <row r="193" spans="1:3" ht="26" customHeight="1">
      <c r="A193" s="116"/>
      <c r="B193" s="116"/>
      <c r="C193" s="116"/>
    </row>
    <row r="194" spans="1:3" ht="26" customHeight="1">
      <c r="A194" s="33" t="s">
        <v>6125</v>
      </c>
      <c r="B194" s="116"/>
      <c r="C194" s="116"/>
    </row>
    <row r="195" spans="1:3" ht="26" customHeight="1">
      <c r="A195" s="116" t="s">
        <v>6126</v>
      </c>
      <c r="B195" s="116"/>
      <c r="C195" s="116"/>
    </row>
    <row r="196" spans="1:3" ht="26" customHeight="1">
      <c r="A196" s="116" t="s">
        <v>5968</v>
      </c>
      <c r="B196" s="116"/>
      <c r="C196" s="116"/>
    </row>
    <row r="197" spans="1:3" ht="26" customHeight="1">
      <c r="A197" s="116" t="s">
        <v>5969</v>
      </c>
      <c r="B197" s="116"/>
      <c r="C197" s="116"/>
    </row>
    <row r="198" spans="1:3" ht="26" customHeight="1">
      <c r="A198" s="116" t="s">
        <v>6127</v>
      </c>
      <c r="B198" s="116"/>
      <c r="C198" s="116"/>
    </row>
    <row r="199" spans="1:3" ht="26" customHeight="1">
      <c r="A199" s="116" t="s">
        <v>6128</v>
      </c>
      <c r="B199" s="116"/>
      <c r="C199" s="116"/>
    </row>
    <row r="200" spans="1:3" ht="26" customHeight="1">
      <c r="A200" s="116" t="s">
        <v>6129</v>
      </c>
      <c r="B200" s="116"/>
      <c r="C200" s="116"/>
    </row>
    <row r="201" spans="1:3">
      <c r="A201" s="116" t="s">
        <v>6130</v>
      </c>
      <c r="B201" s="116"/>
      <c r="C201" s="116"/>
    </row>
  </sheetData>
  <autoFilter ref="A5:N184" xr:uid="{299E7693-5B40-0444-B227-D6033B94776C}"/>
  <phoneticPr fontId="2"/>
  <conditionalFormatting sqref="A6:N184 A187">
    <cfRule type="expression" dxfId="19" priority="1">
      <formula>$A6="② 詳細設計"</formula>
    </cfRule>
  </conditionalFormatting>
  <conditionalFormatting sqref="A6:N184 A187">
    <cfRule type="expression" dxfId="18"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2"/>
  <sheetViews>
    <sheetView zoomScale="134" workbookViewId="0">
      <pane ySplit="5" topLeftCell="A19" activePane="bottomLeft" state="frozen"/>
      <selection activeCell="C1" sqref="C1"/>
      <selection pane="bottomLeft" activeCell="D23" sqref="D23"/>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5655</v>
      </c>
    </row>
    <row r="2" spans="1:8">
      <c r="A2" s="3" t="s">
        <v>5656</v>
      </c>
    </row>
    <row r="3" spans="1:8">
      <c r="A3" s="55" t="s">
        <v>5657</v>
      </c>
    </row>
    <row r="5" spans="1:8" ht="24" customHeight="1">
      <c r="A5" s="185" t="s">
        <v>1</v>
      </c>
      <c r="B5" s="186" t="s">
        <v>9</v>
      </c>
      <c r="C5" s="186" t="s">
        <v>2752</v>
      </c>
      <c r="D5" s="186" t="s">
        <v>2757</v>
      </c>
      <c r="E5" s="186" t="s">
        <v>2524</v>
      </c>
      <c r="F5" s="186" t="s">
        <v>2758</v>
      </c>
      <c r="G5" s="187" t="s">
        <v>2750</v>
      </c>
      <c r="H5" s="349" t="s">
        <v>5577</v>
      </c>
    </row>
    <row r="6" spans="1:8">
      <c r="A6" s="5" t="s">
        <v>2759</v>
      </c>
      <c r="B6" s="178" t="s">
        <v>2760</v>
      </c>
      <c r="C6" s="6" t="s">
        <v>2761</v>
      </c>
      <c r="D6" s="195" t="s">
        <v>2762</v>
      </c>
      <c r="E6" s="165">
        <v>6</v>
      </c>
      <c r="F6" s="180" t="s">
        <v>2763</v>
      </c>
      <c r="G6" s="188" t="s">
        <v>2764</v>
      </c>
      <c r="H6" s="57" t="s">
        <v>5578</v>
      </c>
    </row>
    <row r="7" spans="1:8">
      <c r="A7" s="5" t="s">
        <v>2759</v>
      </c>
      <c r="B7" s="178" t="s">
        <v>2765</v>
      </c>
      <c r="C7" s="6" t="s">
        <v>2766</v>
      </c>
      <c r="D7" s="195" t="s">
        <v>2767</v>
      </c>
      <c r="E7" s="165">
        <v>6</v>
      </c>
      <c r="F7" s="180" t="s">
        <v>2768</v>
      </c>
      <c r="G7" s="188" t="s">
        <v>2764</v>
      </c>
      <c r="H7" s="57" t="s">
        <v>5579</v>
      </c>
    </row>
    <row r="8" spans="1:8">
      <c r="A8" s="5" t="s">
        <v>2759</v>
      </c>
      <c r="B8" s="178" t="s">
        <v>2769</v>
      </c>
      <c r="C8" s="6" t="s">
        <v>2770</v>
      </c>
      <c r="D8" s="195" t="s">
        <v>2771</v>
      </c>
      <c r="E8" s="165">
        <v>6</v>
      </c>
      <c r="F8" s="180" t="s">
        <v>2772</v>
      </c>
      <c r="G8" s="188" t="s">
        <v>2764</v>
      </c>
      <c r="H8" s="57" t="s">
        <v>5580</v>
      </c>
    </row>
    <row r="9" spans="1:8">
      <c r="A9" s="5" t="s">
        <v>2759</v>
      </c>
      <c r="B9" s="178" t="s">
        <v>2773</v>
      </c>
      <c r="C9" s="6" t="s">
        <v>2774</v>
      </c>
      <c r="D9" s="195" t="s">
        <v>2775</v>
      </c>
      <c r="E9" s="165">
        <v>5</v>
      </c>
      <c r="F9" s="180" t="s">
        <v>2776</v>
      </c>
      <c r="G9" s="188" t="s">
        <v>2764</v>
      </c>
      <c r="H9" s="57" t="s">
        <v>5581</v>
      </c>
    </row>
    <row r="10" spans="1:8">
      <c r="A10" s="5" t="s">
        <v>2759</v>
      </c>
      <c r="B10" s="178" t="s">
        <v>2777</v>
      </c>
      <c r="C10" s="6" t="s">
        <v>2778</v>
      </c>
      <c r="D10" s="195" t="s">
        <v>2779</v>
      </c>
      <c r="E10" s="165">
        <v>5</v>
      </c>
      <c r="F10" s="180" t="s">
        <v>2780</v>
      </c>
      <c r="G10" s="188" t="s">
        <v>2764</v>
      </c>
      <c r="H10" s="57" t="s">
        <v>5582</v>
      </c>
    </row>
    <row r="11" spans="1:8">
      <c r="A11" s="5" t="s">
        <v>2759</v>
      </c>
      <c r="B11" s="178" t="s">
        <v>2781</v>
      </c>
      <c r="C11" s="6" t="s">
        <v>2782</v>
      </c>
      <c r="D11" s="195" t="s">
        <v>2783</v>
      </c>
      <c r="E11" s="165">
        <v>6</v>
      </c>
      <c r="F11" s="180" t="s">
        <v>2784</v>
      </c>
      <c r="G11" s="188" t="s">
        <v>2764</v>
      </c>
      <c r="H11" s="57" t="s">
        <v>5583</v>
      </c>
    </row>
    <row r="12" spans="1:8">
      <c r="A12" s="5" t="s">
        <v>2759</v>
      </c>
      <c r="B12" s="178" t="s">
        <v>2785</v>
      </c>
      <c r="C12" s="6" t="s">
        <v>2786</v>
      </c>
      <c r="D12" s="195" t="s">
        <v>2787</v>
      </c>
      <c r="E12" s="165">
        <v>4</v>
      </c>
      <c r="F12" s="180" t="s">
        <v>2788</v>
      </c>
      <c r="G12" s="188" t="s">
        <v>2764</v>
      </c>
      <c r="H12" s="57" t="s">
        <v>5584</v>
      </c>
    </row>
    <row r="13" spans="1:8">
      <c r="A13" s="336" t="s">
        <v>2759</v>
      </c>
      <c r="B13" s="337" t="s">
        <v>5622</v>
      </c>
      <c r="C13" s="322" t="s">
        <v>5623</v>
      </c>
      <c r="D13" s="338" t="s">
        <v>5624</v>
      </c>
      <c r="E13" s="339">
        <v>5</v>
      </c>
      <c r="F13" s="340" t="s">
        <v>5625</v>
      </c>
      <c r="G13" s="341" t="s">
        <v>2764</v>
      </c>
      <c r="H13" s="350" t="s">
        <v>5626</v>
      </c>
    </row>
    <row r="14" spans="1:8">
      <c r="A14" s="336" t="s">
        <v>2759</v>
      </c>
      <c r="B14" s="337" t="s">
        <v>5627</v>
      </c>
      <c r="C14" s="322" t="s">
        <v>5628</v>
      </c>
      <c r="D14" s="338" t="s">
        <v>5629</v>
      </c>
      <c r="E14" s="339">
        <v>4</v>
      </c>
      <c r="F14" s="340" t="s">
        <v>5630</v>
      </c>
      <c r="G14" s="341" t="s">
        <v>2764</v>
      </c>
      <c r="H14" s="350" t="s">
        <v>5631</v>
      </c>
    </row>
    <row r="15" spans="1:8" ht="34">
      <c r="A15" s="5" t="s">
        <v>2789</v>
      </c>
      <c r="B15" s="178" t="s">
        <v>2790</v>
      </c>
      <c r="C15" s="6" t="s">
        <v>2791</v>
      </c>
      <c r="D15" s="195" t="s">
        <v>2792</v>
      </c>
      <c r="E15" s="165">
        <v>12</v>
      </c>
      <c r="F15" s="180" t="s">
        <v>2793</v>
      </c>
      <c r="G15" s="188" t="s">
        <v>2764</v>
      </c>
      <c r="H15" s="57" t="s">
        <v>5585</v>
      </c>
    </row>
    <row r="16" spans="1:8" ht="34">
      <c r="A16" s="5" t="s">
        <v>2789</v>
      </c>
      <c r="B16" s="178" t="s">
        <v>2794</v>
      </c>
      <c r="C16" s="6" t="s">
        <v>2795</v>
      </c>
      <c r="D16" s="195" t="s">
        <v>2796</v>
      </c>
      <c r="E16" s="165">
        <v>10</v>
      </c>
      <c r="F16" s="180" t="s">
        <v>2797</v>
      </c>
      <c r="G16" s="188" t="s">
        <v>2764</v>
      </c>
      <c r="H16" s="57" t="s">
        <v>5586</v>
      </c>
    </row>
    <row r="17" spans="1:8">
      <c r="A17" s="5" t="s">
        <v>2789</v>
      </c>
      <c r="B17" s="178" t="s">
        <v>2798</v>
      </c>
      <c r="C17" s="6" t="s">
        <v>2799</v>
      </c>
      <c r="D17" s="195" t="s">
        <v>2800</v>
      </c>
      <c r="E17" s="165">
        <v>12</v>
      </c>
      <c r="F17" s="180" t="s">
        <v>2801</v>
      </c>
      <c r="G17" s="188" t="s">
        <v>2764</v>
      </c>
      <c r="H17" s="57" t="s">
        <v>5587</v>
      </c>
    </row>
    <row r="18" spans="1:8">
      <c r="A18" s="5" t="s">
        <v>2789</v>
      </c>
      <c r="B18" s="178" t="s">
        <v>2802</v>
      </c>
      <c r="C18" s="6" t="s">
        <v>2803</v>
      </c>
      <c r="D18" s="195" t="s">
        <v>2804</v>
      </c>
      <c r="E18" s="165">
        <v>10</v>
      </c>
      <c r="F18" s="180" t="s">
        <v>2805</v>
      </c>
      <c r="G18" s="188" t="s">
        <v>2764</v>
      </c>
      <c r="H18" s="57" t="s">
        <v>5588</v>
      </c>
    </row>
    <row r="19" spans="1:8">
      <c r="A19" s="5" t="s">
        <v>2789</v>
      </c>
      <c r="B19" s="178" t="s">
        <v>2806</v>
      </c>
      <c r="C19" s="6" t="s">
        <v>2807</v>
      </c>
      <c r="D19" s="195" t="s">
        <v>2808</v>
      </c>
      <c r="E19" s="165">
        <v>12</v>
      </c>
      <c r="F19" s="180" t="s">
        <v>2753</v>
      </c>
      <c r="G19" s="188" t="s">
        <v>2764</v>
      </c>
      <c r="H19" s="57" t="s">
        <v>5589</v>
      </c>
    </row>
    <row r="20" spans="1:8">
      <c r="A20" s="5" t="s">
        <v>2789</v>
      </c>
      <c r="B20" s="178" t="s">
        <v>2809</v>
      </c>
      <c r="C20" s="6" t="s">
        <v>2810</v>
      </c>
      <c r="D20" s="195" t="s">
        <v>2811</v>
      </c>
      <c r="E20" s="165">
        <v>8</v>
      </c>
      <c r="F20" s="180" t="s">
        <v>2754</v>
      </c>
      <c r="G20" s="188" t="s">
        <v>2764</v>
      </c>
      <c r="H20" s="57" t="s">
        <v>5590</v>
      </c>
    </row>
    <row r="21" spans="1:8">
      <c r="A21" s="5" t="s">
        <v>2789</v>
      </c>
      <c r="B21" s="178" t="s">
        <v>2812</v>
      </c>
      <c r="C21" s="6" t="s">
        <v>2813</v>
      </c>
      <c r="D21" s="195" t="s">
        <v>2814</v>
      </c>
      <c r="E21" s="165">
        <v>12</v>
      </c>
      <c r="F21" s="180" t="s">
        <v>2815</v>
      </c>
      <c r="G21" s="188" t="s">
        <v>2764</v>
      </c>
      <c r="H21" s="57" t="s">
        <v>5591</v>
      </c>
    </row>
    <row r="22" spans="1:8">
      <c r="A22" s="5" t="s">
        <v>2789</v>
      </c>
      <c r="B22" s="178" t="s">
        <v>2816</v>
      </c>
      <c r="C22" s="6" t="s">
        <v>2817</v>
      </c>
      <c r="D22" s="195" t="s">
        <v>2818</v>
      </c>
      <c r="E22" s="165">
        <v>6</v>
      </c>
      <c r="F22" s="180" t="s">
        <v>2819</v>
      </c>
      <c r="G22" s="188" t="s">
        <v>2764</v>
      </c>
      <c r="H22" s="57" t="s">
        <v>5592</v>
      </c>
    </row>
    <row r="23" spans="1:8">
      <c r="A23" s="5" t="s">
        <v>2789</v>
      </c>
      <c r="B23" s="178" t="s">
        <v>2820</v>
      </c>
      <c r="C23" s="6" t="s">
        <v>2821</v>
      </c>
      <c r="D23" s="195" t="s">
        <v>2822</v>
      </c>
      <c r="E23" s="165">
        <v>5</v>
      </c>
      <c r="F23" s="180" t="s">
        <v>2823</v>
      </c>
      <c r="G23" s="188" t="s">
        <v>2764</v>
      </c>
      <c r="H23" s="57" t="s">
        <v>5593</v>
      </c>
    </row>
    <row r="24" spans="1:8">
      <c r="A24" s="5" t="s">
        <v>2824</v>
      </c>
      <c r="B24" s="178" t="s">
        <v>2825</v>
      </c>
      <c r="C24" s="6" t="s">
        <v>2826</v>
      </c>
      <c r="D24" s="195" t="s">
        <v>2827</v>
      </c>
      <c r="E24" s="165">
        <v>10</v>
      </c>
      <c r="F24" s="180" t="s">
        <v>2828</v>
      </c>
      <c r="G24" s="188" t="s">
        <v>1516</v>
      </c>
      <c r="H24" s="57" t="s">
        <v>5594</v>
      </c>
    </row>
    <row r="25" spans="1:8">
      <c r="A25" s="5" t="s">
        <v>2824</v>
      </c>
      <c r="B25" s="178" t="s">
        <v>2829</v>
      </c>
      <c r="C25" s="6" t="s">
        <v>2830</v>
      </c>
      <c r="D25" s="195" t="s">
        <v>2831</v>
      </c>
      <c r="E25" s="165">
        <v>8</v>
      </c>
      <c r="F25" s="180" t="s">
        <v>2832</v>
      </c>
      <c r="G25" s="188" t="s">
        <v>1516</v>
      </c>
      <c r="H25" s="57" t="s">
        <v>5595</v>
      </c>
    </row>
    <row r="26" spans="1:8">
      <c r="A26" s="5" t="s">
        <v>2824</v>
      </c>
      <c r="B26" s="178" t="s">
        <v>2833</v>
      </c>
      <c r="C26" s="6" t="s">
        <v>2834</v>
      </c>
      <c r="D26" s="195" t="s">
        <v>2835</v>
      </c>
      <c r="E26" s="165">
        <v>12</v>
      </c>
      <c r="F26" s="180" t="s">
        <v>2836</v>
      </c>
      <c r="G26" s="188" t="s">
        <v>1516</v>
      </c>
      <c r="H26" s="57" t="s">
        <v>5596</v>
      </c>
    </row>
    <row r="27" spans="1:8">
      <c r="A27" s="5" t="s">
        <v>2824</v>
      </c>
      <c r="B27" s="178" t="s">
        <v>2837</v>
      </c>
      <c r="C27" s="6" t="s">
        <v>2838</v>
      </c>
      <c r="D27" s="195" t="s">
        <v>2839</v>
      </c>
      <c r="E27" s="165">
        <v>8</v>
      </c>
      <c r="F27" s="180" t="s">
        <v>2840</v>
      </c>
      <c r="G27" s="188" t="s">
        <v>1516</v>
      </c>
      <c r="H27" s="57" t="s">
        <v>5597</v>
      </c>
    </row>
    <row r="28" spans="1:8" ht="34">
      <c r="A28" s="5" t="s">
        <v>2841</v>
      </c>
      <c r="B28" s="178" t="s">
        <v>2842</v>
      </c>
      <c r="C28" s="6" t="s">
        <v>2843</v>
      </c>
      <c r="D28" s="195" t="s">
        <v>2844</v>
      </c>
      <c r="E28" s="165">
        <v>18</v>
      </c>
      <c r="F28" s="180" t="s">
        <v>5621</v>
      </c>
      <c r="G28" s="188" t="s">
        <v>2764</v>
      </c>
      <c r="H28" s="57" t="s">
        <v>5598</v>
      </c>
    </row>
    <row r="29" spans="1:8">
      <c r="A29" s="5" t="s">
        <v>2841</v>
      </c>
      <c r="B29" s="178" t="s">
        <v>2845</v>
      </c>
      <c r="C29" s="6" t="s">
        <v>2846</v>
      </c>
      <c r="D29" s="195" t="s">
        <v>2847</v>
      </c>
      <c r="E29" s="165">
        <v>14</v>
      </c>
      <c r="F29" s="180" t="s">
        <v>5768</v>
      </c>
      <c r="G29" s="188" t="s">
        <v>2764</v>
      </c>
      <c r="H29" s="57" t="s">
        <v>5599</v>
      </c>
    </row>
    <row r="30" spans="1:8">
      <c r="A30" s="5" t="s">
        <v>2841</v>
      </c>
      <c r="B30" s="178" t="s">
        <v>2848</v>
      </c>
      <c r="C30" s="6" t="s">
        <v>2849</v>
      </c>
      <c r="D30" s="195" t="s">
        <v>2850</v>
      </c>
      <c r="E30" s="165">
        <v>12</v>
      </c>
      <c r="F30" s="180" t="s">
        <v>5769</v>
      </c>
      <c r="G30" s="188" t="s">
        <v>2764</v>
      </c>
      <c r="H30" s="57" t="s">
        <v>5600</v>
      </c>
    </row>
    <row r="31" spans="1:8">
      <c r="A31" s="5" t="s">
        <v>2841</v>
      </c>
      <c r="B31" s="178" t="s">
        <v>2851</v>
      </c>
      <c r="C31" s="6" t="s">
        <v>2852</v>
      </c>
      <c r="D31" s="195" t="s">
        <v>2853</v>
      </c>
      <c r="E31" s="165">
        <v>8</v>
      </c>
      <c r="F31" s="180" t="s">
        <v>5770</v>
      </c>
      <c r="G31" s="188" t="s">
        <v>2764</v>
      </c>
      <c r="H31" s="57" t="s">
        <v>5601</v>
      </c>
    </row>
    <row r="32" spans="1:8">
      <c r="A32" s="5" t="s">
        <v>2841</v>
      </c>
      <c r="B32" s="178" t="s">
        <v>2854</v>
      </c>
      <c r="C32" s="6" t="s">
        <v>2855</v>
      </c>
      <c r="D32" s="195" t="s">
        <v>2856</v>
      </c>
      <c r="E32" s="165">
        <v>6</v>
      </c>
      <c r="F32" s="180" t="s">
        <v>5771</v>
      </c>
      <c r="G32" s="188" t="s">
        <v>2764</v>
      </c>
      <c r="H32" s="57" t="s">
        <v>5602</v>
      </c>
    </row>
    <row r="33" spans="1:8">
      <c r="A33" s="5" t="s">
        <v>2841</v>
      </c>
      <c r="B33" s="178" t="s">
        <v>2857</v>
      </c>
      <c r="C33" s="6" t="s">
        <v>2858</v>
      </c>
      <c r="D33" s="195" t="s">
        <v>2859</v>
      </c>
      <c r="E33" s="165">
        <v>6</v>
      </c>
      <c r="F33" s="180" t="s">
        <v>5772</v>
      </c>
      <c r="G33" s="188" t="s">
        <v>2764</v>
      </c>
      <c r="H33" s="57" t="s">
        <v>5603</v>
      </c>
    </row>
    <row r="34" spans="1:8">
      <c r="A34" s="5" t="s">
        <v>2860</v>
      </c>
      <c r="B34" s="178" t="s">
        <v>2861</v>
      </c>
      <c r="C34" s="6" t="s">
        <v>2862</v>
      </c>
      <c r="D34" s="195" t="s">
        <v>2863</v>
      </c>
      <c r="E34" s="165">
        <v>12</v>
      </c>
      <c r="F34" s="180" t="s">
        <v>5773</v>
      </c>
      <c r="G34" s="188" t="s">
        <v>2764</v>
      </c>
      <c r="H34" s="57" t="s">
        <v>5604</v>
      </c>
    </row>
    <row r="35" spans="1:8">
      <c r="A35" s="5" t="s">
        <v>2860</v>
      </c>
      <c r="B35" s="178" t="s">
        <v>2864</v>
      </c>
      <c r="C35" s="6" t="s">
        <v>2865</v>
      </c>
      <c r="D35" s="195" t="s">
        <v>2866</v>
      </c>
      <c r="E35" s="165">
        <v>8</v>
      </c>
      <c r="F35" s="180" t="s">
        <v>5774</v>
      </c>
      <c r="G35" s="188" t="s">
        <v>2764</v>
      </c>
      <c r="H35" s="57" t="s">
        <v>5605</v>
      </c>
    </row>
    <row r="36" spans="1:8">
      <c r="A36" s="5" t="s">
        <v>2860</v>
      </c>
      <c r="B36" s="178" t="s">
        <v>2867</v>
      </c>
      <c r="C36" s="6" t="s">
        <v>2868</v>
      </c>
      <c r="D36" s="195" t="s">
        <v>2869</v>
      </c>
      <c r="E36" s="165">
        <v>8</v>
      </c>
      <c r="F36" s="180" t="s">
        <v>5775</v>
      </c>
      <c r="G36" s="188" t="s">
        <v>2764</v>
      </c>
      <c r="H36" s="57" t="s">
        <v>5606</v>
      </c>
    </row>
    <row r="37" spans="1:8">
      <c r="A37" s="5" t="s">
        <v>2860</v>
      </c>
      <c r="B37" s="178" t="s">
        <v>2870</v>
      </c>
      <c r="C37" s="6" t="s">
        <v>2871</v>
      </c>
      <c r="D37" s="195" t="s">
        <v>2872</v>
      </c>
      <c r="E37" s="165">
        <v>6</v>
      </c>
      <c r="F37" s="180" t="s">
        <v>5776</v>
      </c>
      <c r="G37" s="188" t="s">
        <v>2764</v>
      </c>
      <c r="H37" s="57" t="s">
        <v>5607</v>
      </c>
    </row>
    <row r="38" spans="1:8">
      <c r="A38" s="5" t="s">
        <v>2860</v>
      </c>
      <c r="B38" s="178" t="s">
        <v>2873</v>
      </c>
      <c r="C38" s="6" t="s">
        <v>2874</v>
      </c>
      <c r="D38" s="195" t="s">
        <v>2875</v>
      </c>
      <c r="E38" s="165">
        <v>6</v>
      </c>
      <c r="F38" s="180" t="s">
        <v>5777</v>
      </c>
      <c r="G38" s="188" t="s">
        <v>2764</v>
      </c>
      <c r="H38" s="57" t="s">
        <v>5608</v>
      </c>
    </row>
    <row r="39" spans="1:8">
      <c r="A39" s="5" t="s">
        <v>2876</v>
      </c>
      <c r="B39" s="178" t="s">
        <v>2877</v>
      </c>
      <c r="C39" s="6" t="s">
        <v>2878</v>
      </c>
      <c r="D39" s="195" t="s">
        <v>2879</v>
      </c>
      <c r="E39" s="165">
        <v>15</v>
      </c>
      <c r="F39" s="180" t="s">
        <v>2880</v>
      </c>
      <c r="G39" s="188" t="s">
        <v>1516</v>
      </c>
      <c r="H39" s="57" t="s">
        <v>5609</v>
      </c>
    </row>
    <row r="40" spans="1:8">
      <c r="A40" s="5" t="s">
        <v>2876</v>
      </c>
      <c r="B40" s="178" t="s">
        <v>2881</v>
      </c>
      <c r="C40" s="6" t="s">
        <v>2882</v>
      </c>
      <c r="D40" s="195" t="s">
        <v>2883</v>
      </c>
      <c r="E40" s="165">
        <v>8</v>
      </c>
      <c r="F40" s="180" t="s">
        <v>2884</v>
      </c>
      <c r="G40" s="188" t="s">
        <v>2764</v>
      </c>
      <c r="H40" s="57" t="s">
        <v>5610</v>
      </c>
    </row>
    <row r="41" spans="1:8">
      <c r="A41" s="5" t="s">
        <v>2876</v>
      </c>
      <c r="B41" s="178" t="s">
        <v>2885</v>
      </c>
      <c r="C41" s="6" t="s">
        <v>2886</v>
      </c>
      <c r="D41" s="195" t="s">
        <v>2887</v>
      </c>
      <c r="E41" s="165">
        <v>6</v>
      </c>
      <c r="F41" s="180" t="s">
        <v>2888</v>
      </c>
      <c r="G41" s="188" t="s">
        <v>2764</v>
      </c>
      <c r="H41" s="57" t="s">
        <v>5611</v>
      </c>
    </row>
    <row r="42" spans="1:8">
      <c r="A42" s="5" t="s">
        <v>2876</v>
      </c>
      <c r="B42" s="178" t="s">
        <v>2889</v>
      </c>
      <c r="C42" s="6" t="s">
        <v>2890</v>
      </c>
      <c r="D42" s="195" t="s">
        <v>2891</v>
      </c>
      <c r="E42" s="165">
        <v>5</v>
      </c>
      <c r="F42" s="180" t="s">
        <v>2892</v>
      </c>
      <c r="G42" s="188" t="s">
        <v>2764</v>
      </c>
      <c r="H42" s="57" t="s">
        <v>5612</v>
      </c>
    </row>
    <row r="43" spans="1:8">
      <c r="A43" s="5" t="s">
        <v>2876</v>
      </c>
      <c r="B43" s="178" t="s">
        <v>2893</v>
      </c>
      <c r="C43" s="6" t="s">
        <v>2894</v>
      </c>
      <c r="D43" s="195" t="s">
        <v>2895</v>
      </c>
      <c r="E43" s="165">
        <v>4</v>
      </c>
      <c r="F43" s="180" t="s">
        <v>2896</v>
      </c>
      <c r="G43" s="188" t="s">
        <v>2764</v>
      </c>
      <c r="H43" s="57" t="s">
        <v>5613</v>
      </c>
    </row>
    <row r="44" spans="1:8" ht="34">
      <c r="A44" s="336" t="s">
        <v>2876</v>
      </c>
      <c r="B44" s="337" t="s">
        <v>5632</v>
      </c>
      <c r="C44" s="322" t="s">
        <v>5633</v>
      </c>
      <c r="D44" s="338" t="s">
        <v>5634</v>
      </c>
      <c r="E44" s="339">
        <v>5</v>
      </c>
      <c r="F44" s="340" t="s">
        <v>5635</v>
      </c>
      <c r="G44" s="341" t="s">
        <v>2764</v>
      </c>
      <c r="H44" s="350" t="s">
        <v>5636</v>
      </c>
    </row>
    <row r="45" spans="1:8">
      <c r="A45" s="5" t="s">
        <v>2897</v>
      </c>
      <c r="B45" s="178" t="s">
        <v>2898</v>
      </c>
      <c r="C45" s="6" t="s">
        <v>2899</v>
      </c>
      <c r="D45" s="195" t="s">
        <v>2900</v>
      </c>
      <c r="E45" s="165">
        <v>10</v>
      </c>
      <c r="F45" s="180" t="s">
        <v>2901</v>
      </c>
      <c r="G45" s="188" t="s">
        <v>2764</v>
      </c>
      <c r="H45" s="57" t="s">
        <v>5614</v>
      </c>
    </row>
    <row r="46" spans="1:8">
      <c r="A46" s="5" t="s">
        <v>2897</v>
      </c>
      <c r="B46" s="178" t="s">
        <v>2902</v>
      </c>
      <c r="C46" s="6" t="s">
        <v>2903</v>
      </c>
      <c r="D46" s="195" t="s">
        <v>2904</v>
      </c>
      <c r="E46" s="165">
        <v>12</v>
      </c>
      <c r="F46" s="180" t="s">
        <v>2905</v>
      </c>
      <c r="G46" s="188" t="s">
        <v>2764</v>
      </c>
      <c r="H46" s="57" t="s">
        <v>5615</v>
      </c>
    </row>
    <row r="47" spans="1:8">
      <c r="A47" s="5" t="s">
        <v>2897</v>
      </c>
      <c r="B47" s="178" t="s">
        <v>2906</v>
      </c>
      <c r="C47" s="6" t="s">
        <v>2907</v>
      </c>
      <c r="D47" s="195" t="s">
        <v>2908</v>
      </c>
      <c r="E47" s="165">
        <v>8</v>
      </c>
      <c r="F47" s="180" t="s">
        <v>2909</v>
      </c>
      <c r="G47" s="188" t="s">
        <v>2764</v>
      </c>
      <c r="H47" s="57" t="s">
        <v>5616</v>
      </c>
    </row>
    <row r="48" spans="1:8">
      <c r="A48" s="5" t="s">
        <v>2897</v>
      </c>
      <c r="B48" s="178" t="s">
        <v>2910</v>
      </c>
      <c r="C48" s="6" t="s">
        <v>2911</v>
      </c>
      <c r="D48" s="195" t="s">
        <v>2912</v>
      </c>
      <c r="E48" s="165">
        <v>6</v>
      </c>
      <c r="F48" s="180" t="s">
        <v>2913</v>
      </c>
      <c r="G48" s="188" t="s">
        <v>2764</v>
      </c>
      <c r="H48" s="57" t="s">
        <v>5617</v>
      </c>
    </row>
    <row r="49" spans="1:8">
      <c r="A49" s="5" t="s">
        <v>2914</v>
      </c>
      <c r="B49" s="178" t="s">
        <v>2915</v>
      </c>
      <c r="C49" s="6" t="s">
        <v>2916</v>
      </c>
      <c r="D49" s="195" t="s">
        <v>2917</v>
      </c>
      <c r="E49" s="165">
        <v>8</v>
      </c>
      <c r="F49" s="180" t="s">
        <v>2918</v>
      </c>
      <c r="G49" s="188" t="s">
        <v>2764</v>
      </c>
      <c r="H49" s="57" t="s">
        <v>5618</v>
      </c>
    </row>
    <row r="50" spans="1:8">
      <c r="A50" s="5" t="s">
        <v>2914</v>
      </c>
      <c r="B50" s="178" t="s">
        <v>2919</v>
      </c>
      <c r="C50" s="6" t="s">
        <v>2920</v>
      </c>
      <c r="D50" s="195" t="s">
        <v>2921</v>
      </c>
      <c r="E50" s="165">
        <v>6</v>
      </c>
      <c r="F50" s="180" t="s">
        <v>2922</v>
      </c>
      <c r="G50" s="188" t="s">
        <v>2764</v>
      </c>
      <c r="H50" s="57" t="s">
        <v>5619</v>
      </c>
    </row>
    <row r="51" spans="1:8">
      <c r="A51" s="7" t="s">
        <v>2914</v>
      </c>
      <c r="B51" s="179" t="s">
        <v>2923</v>
      </c>
      <c r="C51" s="8" t="s">
        <v>2924</v>
      </c>
      <c r="D51" s="196" t="s">
        <v>2925</v>
      </c>
      <c r="E51" s="166">
        <v>8</v>
      </c>
      <c r="F51" s="181" t="s">
        <v>2926</v>
      </c>
      <c r="G51" s="189" t="s">
        <v>2764</v>
      </c>
      <c r="H51" s="57" t="s">
        <v>5620</v>
      </c>
    </row>
    <row r="52" spans="1:8" ht="34">
      <c r="A52" s="342" t="s">
        <v>5637</v>
      </c>
      <c r="B52" s="343" t="s">
        <v>5638</v>
      </c>
      <c r="C52" s="344" t="s">
        <v>5639</v>
      </c>
      <c r="D52" s="345" t="s">
        <v>2755</v>
      </c>
      <c r="E52" s="346">
        <v>12</v>
      </c>
      <c r="F52" s="347" t="s">
        <v>5640</v>
      </c>
      <c r="G52" s="348" t="s">
        <v>2764</v>
      </c>
      <c r="H52" s="351" t="s">
        <v>5641</v>
      </c>
    </row>
    <row r="53" spans="1:8" ht="34">
      <c r="A53" s="342" t="s">
        <v>5637</v>
      </c>
      <c r="B53" s="343" t="s">
        <v>5642</v>
      </c>
      <c r="C53" s="344" t="s">
        <v>5643</v>
      </c>
      <c r="D53" s="345" t="s">
        <v>2755</v>
      </c>
      <c r="E53" s="346">
        <v>10</v>
      </c>
      <c r="F53" s="347" t="s">
        <v>5644</v>
      </c>
      <c r="G53" s="348" t="s">
        <v>2764</v>
      </c>
      <c r="H53" s="351" t="s">
        <v>5645</v>
      </c>
    </row>
    <row r="54" spans="1:8">
      <c r="A54" s="342" t="s">
        <v>5637</v>
      </c>
      <c r="B54" s="343" t="s">
        <v>5646</v>
      </c>
      <c r="C54" s="344" t="s">
        <v>5647</v>
      </c>
      <c r="D54" s="345" t="s">
        <v>2755</v>
      </c>
      <c r="E54" s="346">
        <v>12</v>
      </c>
      <c r="F54" s="347" t="s">
        <v>5648</v>
      </c>
      <c r="G54" s="348" t="s">
        <v>2764</v>
      </c>
      <c r="H54" s="351" t="s">
        <v>5649</v>
      </c>
    </row>
    <row r="55" spans="1:8" ht="34">
      <c r="A55" s="342" t="s">
        <v>5650</v>
      </c>
      <c r="B55" s="343" t="s">
        <v>5651</v>
      </c>
      <c r="C55" s="344" t="s">
        <v>5652</v>
      </c>
      <c r="D55" s="345" t="s">
        <v>2755</v>
      </c>
      <c r="E55" s="346">
        <v>10</v>
      </c>
      <c r="F55" s="347" t="s">
        <v>5653</v>
      </c>
      <c r="G55" s="348" t="s">
        <v>2764</v>
      </c>
      <c r="H55" s="351" t="s">
        <v>5654</v>
      </c>
    </row>
    <row r="56" spans="1:8">
      <c r="H56" s="57"/>
    </row>
    <row r="58" spans="1:8">
      <c r="A58" s="167" t="s">
        <v>5658</v>
      </c>
    </row>
    <row r="59" spans="1:8">
      <c r="A59" s="323" t="s">
        <v>1</v>
      </c>
      <c r="B59" s="324" t="s">
        <v>2756</v>
      </c>
      <c r="C59" s="324" t="s">
        <v>5435</v>
      </c>
      <c r="D59" s="325" t="s">
        <v>5434</v>
      </c>
      <c r="E59" s="355" t="s">
        <v>2751</v>
      </c>
    </row>
    <row r="60" spans="1:8">
      <c r="A60" s="326" t="s">
        <v>2759</v>
      </c>
      <c r="B60" s="327">
        <f>COUNTIF($A$6:$A$55,$A60)</f>
        <v>9</v>
      </c>
      <c r="C60" s="327">
        <f>SUMIF($A$6:$A$55,$A60,$E$6:$E$55)</f>
        <v>47</v>
      </c>
      <c r="D60" s="328">
        <v>47</v>
      </c>
      <c r="E60">
        <f>C60-D60</f>
        <v>0</v>
      </c>
    </row>
    <row r="61" spans="1:8">
      <c r="A61" s="326" t="s">
        <v>2789</v>
      </c>
      <c r="B61" s="327">
        <f>COUNTIF($A$6:$A$55,$A61)</f>
        <v>9</v>
      </c>
      <c r="C61" s="327">
        <f>SUMIF($A$6:$A$55,$A61,$E$6:$E$55)</f>
        <v>87</v>
      </c>
      <c r="D61" s="328">
        <v>87</v>
      </c>
      <c r="E61">
        <f>C61-D61</f>
        <v>0</v>
      </c>
    </row>
    <row r="62" spans="1:8">
      <c r="A62" s="326" t="s">
        <v>2824</v>
      </c>
      <c r="B62" s="327">
        <f>COUNTIF($A$6:$A$55,$A62)</f>
        <v>4</v>
      </c>
      <c r="C62" s="327">
        <f>SUMIF($A$6:$A$55,$A62,$E$6:$E$55)</f>
        <v>38</v>
      </c>
      <c r="D62" s="328">
        <v>38</v>
      </c>
      <c r="E62">
        <f>C62-D62</f>
        <v>0</v>
      </c>
    </row>
    <row r="63" spans="1:8">
      <c r="A63" s="326" t="s">
        <v>2841</v>
      </c>
      <c r="B63" s="327">
        <f>COUNTIF($A$6:$A$55,$A63)</f>
        <v>6</v>
      </c>
      <c r="C63" s="327">
        <f>SUMIF($A$6:$A$55,$A63,$E$6:$E$55)</f>
        <v>64</v>
      </c>
      <c r="D63" s="328">
        <v>64</v>
      </c>
      <c r="E63">
        <f>C63-D63</f>
        <v>0</v>
      </c>
    </row>
    <row r="64" spans="1:8">
      <c r="A64" s="326" t="s">
        <v>2860</v>
      </c>
      <c r="B64" s="327">
        <f>COUNTIF($A$6:$A$55,$A64)</f>
        <v>5</v>
      </c>
      <c r="C64" s="327">
        <f>SUMIF($A$6:$A$55,$A64,$E$6:$E$55)</f>
        <v>40</v>
      </c>
      <c r="D64" s="328">
        <v>40</v>
      </c>
      <c r="E64">
        <f>C64-D64</f>
        <v>0</v>
      </c>
    </row>
    <row r="65" spans="1:5">
      <c r="A65" s="326" t="s">
        <v>2876</v>
      </c>
      <c r="B65" s="327">
        <f>COUNTIF($A$6:$A$55,$A65)</f>
        <v>6</v>
      </c>
      <c r="C65" s="327">
        <f>SUMIF($A$6:$A$55,$A65,$E$6:$E$55)</f>
        <v>43</v>
      </c>
      <c r="D65" s="328">
        <v>43</v>
      </c>
      <c r="E65">
        <f>C65-D65</f>
        <v>0</v>
      </c>
    </row>
    <row r="66" spans="1:5">
      <c r="A66" s="326" t="s">
        <v>2897</v>
      </c>
      <c r="B66" s="327">
        <f>COUNTIF($A$6:$A$55,$A66)</f>
        <v>4</v>
      </c>
      <c r="C66" s="327">
        <f>SUMIF($A$6:$A$55,$A66,$E$6:$E$55)</f>
        <v>36</v>
      </c>
      <c r="D66" s="328">
        <v>36</v>
      </c>
      <c r="E66">
        <f>C66-D66</f>
        <v>0</v>
      </c>
    </row>
    <row r="67" spans="1:5">
      <c r="A67" s="326" t="s">
        <v>2914</v>
      </c>
      <c r="B67" s="327">
        <f>COUNTIF($A$6:$A$55,$A67)</f>
        <v>3</v>
      </c>
      <c r="C67" s="327">
        <f>SUMIF($A$6:$A$55,$A67,$E$6:$E$55)</f>
        <v>22</v>
      </c>
      <c r="D67" s="328">
        <v>22</v>
      </c>
      <c r="E67">
        <f>C67-D67</f>
        <v>0</v>
      </c>
    </row>
    <row r="68" spans="1:5">
      <c r="A68" s="326" t="s">
        <v>5637</v>
      </c>
      <c r="B68" s="327">
        <f>COUNTIF($A$6:$A$55,$A68)</f>
        <v>3</v>
      </c>
      <c r="C68" s="327">
        <f>SUMIF($A$6:$A$55,$A68,$E$6:$E$55)</f>
        <v>34</v>
      </c>
      <c r="D68" s="328">
        <v>34</v>
      </c>
      <c r="E68">
        <f>C68-D68</f>
        <v>0</v>
      </c>
    </row>
    <row r="69" spans="1:5">
      <c r="A69" s="326" t="s">
        <v>5650</v>
      </c>
      <c r="B69" s="327">
        <f>COUNTIF($A$6:$A$55,$A69)</f>
        <v>1</v>
      </c>
      <c r="C69" s="327">
        <f>SUMIF($A$6:$A$55,$A69,$E$6:$E$55)</f>
        <v>10</v>
      </c>
      <c r="D69" s="328">
        <v>10</v>
      </c>
      <c r="E69">
        <f>C69-D69</f>
        <v>0</v>
      </c>
    </row>
    <row r="70" spans="1:5">
      <c r="A70" s="352" t="s">
        <v>7</v>
      </c>
      <c r="B70" s="353">
        <f>SUM(B60:B69)</f>
        <v>50</v>
      </c>
      <c r="C70" s="353">
        <f>SUM(C60:C69)</f>
        <v>421</v>
      </c>
      <c r="D70" s="354">
        <v>421</v>
      </c>
      <c r="E70">
        <f>C70-D70</f>
        <v>0</v>
      </c>
    </row>
    <row r="72" spans="1:5">
      <c r="A72" s="167" t="s">
        <v>5659</v>
      </c>
    </row>
    <row r="73" spans="1:5">
      <c r="A73" s="289" t="s">
        <v>5660</v>
      </c>
    </row>
    <row r="74" spans="1:5">
      <c r="A74" s="323" t="s">
        <v>5382</v>
      </c>
      <c r="B74" s="324" t="s">
        <v>5436</v>
      </c>
      <c r="C74" s="324" t="s">
        <v>5384</v>
      </c>
      <c r="D74" s="324" t="s">
        <v>5437</v>
      </c>
      <c r="E74" s="325" t="s">
        <v>665</v>
      </c>
    </row>
    <row r="75" spans="1:5" ht="36" customHeight="1">
      <c r="A75" s="326" t="s">
        <v>5661</v>
      </c>
      <c r="B75" s="335" t="s">
        <v>5662</v>
      </c>
      <c r="C75" s="335" t="s">
        <v>5663</v>
      </c>
      <c r="D75" s="327">
        <v>10</v>
      </c>
      <c r="E75" s="328" t="s">
        <v>5431</v>
      </c>
    </row>
    <row r="76" spans="1:5" ht="36" customHeight="1">
      <c r="A76" s="326" t="s">
        <v>5664</v>
      </c>
      <c r="B76" s="335" t="s">
        <v>5665</v>
      </c>
      <c r="C76" s="335" t="s">
        <v>5666</v>
      </c>
      <c r="D76" s="327">
        <v>12</v>
      </c>
      <c r="E76" s="328" t="s">
        <v>5431</v>
      </c>
    </row>
    <row r="77" spans="1:5" ht="36" customHeight="1">
      <c r="A77" s="326" t="s">
        <v>5667</v>
      </c>
      <c r="B77" s="335" t="s">
        <v>5668</v>
      </c>
      <c r="C77" s="335" t="s">
        <v>5669</v>
      </c>
      <c r="D77" s="327">
        <v>6</v>
      </c>
      <c r="E77" s="328" t="s">
        <v>5431</v>
      </c>
    </row>
    <row r="78" spans="1:5" ht="36" customHeight="1">
      <c r="A78" s="326" t="s">
        <v>5670</v>
      </c>
      <c r="B78" s="335" t="s">
        <v>5671</v>
      </c>
      <c r="C78" s="335" t="s">
        <v>5672</v>
      </c>
      <c r="D78" s="327">
        <v>8</v>
      </c>
      <c r="E78" s="328" t="s">
        <v>5431</v>
      </c>
    </row>
    <row r="79" spans="1:5" ht="36" customHeight="1">
      <c r="A79" s="326" t="s">
        <v>5673</v>
      </c>
      <c r="B79" s="335" t="s">
        <v>5674</v>
      </c>
      <c r="C79" s="335" t="s">
        <v>5675</v>
      </c>
      <c r="D79" s="327">
        <v>6</v>
      </c>
      <c r="E79" s="328" t="s">
        <v>5431</v>
      </c>
    </row>
    <row r="80" spans="1:5" ht="36" customHeight="1">
      <c r="A80" s="326" t="s">
        <v>5676</v>
      </c>
      <c r="B80" s="335" t="s">
        <v>5677</v>
      </c>
      <c r="C80" s="335" t="s">
        <v>5678</v>
      </c>
      <c r="D80" s="327">
        <v>8</v>
      </c>
      <c r="E80" s="328" t="s">
        <v>5431</v>
      </c>
    </row>
    <row r="81" spans="1:5">
      <c r="A81" s="329" t="s">
        <v>5679</v>
      </c>
      <c r="B81" s="330"/>
      <c r="C81" s="330"/>
      <c r="D81" s="330">
        <f>SUM(D75:D80)</f>
        <v>50</v>
      </c>
      <c r="E81" s="331"/>
    </row>
    <row r="82" spans="1:5">
      <c r="A82" s="332" t="s">
        <v>5680</v>
      </c>
      <c r="B82" s="333"/>
      <c r="C82" s="333"/>
      <c r="D82" s="333">
        <f>C70+D81</f>
        <v>471</v>
      </c>
      <c r="E82" s="334"/>
    </row>
  </sheetData>
  <autoFilter ref="A5:G51" xr:uid="{513185A0-2764-294B-9250-00ECB5CCB839}"/>
  <phoneticPr fontId="2"/>
  <conditionalFormatting sqref="A6:G55">
    <cfRule type="expression" dxfId="4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3668</v>
      </c>
    </row>
    <row r="2" spans="1:1">
      <c r="A2" s="32" t="s">
        <v>3669</v>
      </c>
    </row>
    <row r="3" spans="1:1">
      <c r="A3" s="32" t="s">
        <v>3670</v>
      </c>
    </row>
    <row r="4" spans="1:1">
      <c r="A4" s="32"/>
    </row>
    <row r="5" spans="1:1">
      <c r="A5" s="84" t="s">
        <v>3671</v>
      </c>
    </row>
    <row r="6" spans="1:1">
      <c r="A6" s="238" t="s">
        <v>3672</v>
      </c>
    </row>
    <row r="7" spans="1:1">
      <c r="A7" s="238" t="s">
        <v>3673</v>
      </c>
    </row>
    <row r="8" spans="1:1">
      <c r="A8" s="238" t="s">
        <v>3674</v>
      </c>
    </row>
    <row r="9" spans="1:1">
      <c r="A9" s="238" t="s">
        <v>3675</v>
      </c>
    </row>
    <row r="10" spans="1:1">
      <c r="A10" s="238"/>
    </row>
    <row r="11" spans="1:1">
      <c r="A11" s="238" t="s">
        <v>3676</v>
      </c>
    </row>
    <row r="12" spans="1:1">
      <c r="A12" s="238" t="s">
        <v>3677</v>
      </c>
    </row>
    <row r="13" spans="1:1">
      <c r="A13" s="238" t="s">
        <v>3678</v>
      </c>
    </row>
    <row r="14" spans="1:1">
      <c r="A14" s="238" t="s">
        <v>3679</v>
      </c>
    </row>
    <row r="15" spans="1:1">
      <c r="A15" s="238" t="s">
        <v>3680</v>
      </c>
    </row>
    <row r="16" spans="1:1">
      <c r="A16" s="238"/>
    </row>
    <row r="17" spans="1:1">
      <c r="A17" s="238" t="s">
        <v>3681</v>
      </c>
    </row>
    <row r="18" spans="1:1">
      <c r="A18" s="238" t="s">
        <v>3682</v>
      </c>
    </row>
    <row r="19" spans="1:1">
      <c r="A19" s="238"/>
    </row>
    <row r="20" spans="1:1">
      <c r="A20" s="238" t="s">
        <v>3683</v>
      </c>
    </row>
    <row r="21" spans="1:1">
      <c r="A21" s="238" t="s">
        <v>3674</v>
      </c>
    </row>
    <row r="22" spans="1:1">
      <c r="A22" s="238" t="s">
        <v>3684</v>
      </c>
    </row>
    <row r="23" spans="1:1">
      <c r="A23" s="238" t="s">
        <v>3685</v>
      </c>
    </row>
    <row r="24" spans="1:1">
      <c r="A24" s="238"/>
    </row>
    <row r="25" spans="1:1">
      <c r="A25" s="238" t="s">
        <v>3686</v>
      </c>
    </row>
    <row r="26" spans="1:1">
      <c r="A26" s="238"/>
    </row>
    <row r="27" spans="1:1">
      <c r="A27" s="238" t="s">
        <v>3687</v>
      </c>
    </row>
    <row r="28" spans="1:1">
      <c r="A28" s="238" t="s">
        <v>3688</v>
      </c>
    </row>
    <row r="29" spans="1:1">
      <c r="A29" s="238" t="s">
        <v>3689</v>
      </c>
    </row>
    <row r="30" spans="1:1">
      <c r="A30" s="238" t="s">
        <v>3690</v>
      </c>
    </row>
    <row r="31" spans="1:1">
      <c r="A31" s="238" t="s">
        <v>3691</v>
      </c>
    </row>
    <row r="32" spans="1:1">
      <c r="A32" s="238" t="s">
        <v>3692</v>
      </c>
    </row>
    <row r="33" spans="1:1">
      <c r="A33" s="238" t="s">
        <v>3693</v>
      </c>
    </row>
    <row r="34" spans="1:1">
      <c r="A34" s="238" t="s">
        <v>3694</v>
      </c>
    </row>
    <row r="35" spans="1:1">
      <c r="A35" s="238" t="s">
        <v>3695</v>
      </c>
    </row>
    <row r="36" spans="1:1">
      <c r="A36" s="238"/>
    </row>
    <row r="37" spans="1:1">
      <c r="A37" s="238" t="s">
        <v>3696</v>
      </c>
    </row>
    <row r="38" spans="1:1">
      <c r="A38" s="238" t="s">
        <v>3697</v>
      </c>
    </row>
    <row r="39" spans="1:1">
      <c r="A39" s="238" t="s">
        <v>3698</v>
      </c>
    </row>
    <row r="40" spans="1:1">
      <c r="A40" s="238" t="s">
        <v>3699</v>
      </c>
    </row>
    <row r="41" spans="1:1">
      <c r="A41" s="238" t="s">
        <v>3700</v>
      </c>
    </row>
    <row r="42" spans="1:1">
      <c r="A42" s="238" t="s">
        <v>3701</v>
      </c>
    </row>
    <row r="43" spans="1:1">
      <c r="A43" s="238" t="s">
        <v>3702</v>
      </c>
    </row>
    <row r="44" spans="1:1">
      <c r="A44" s="238" t="s">
        <v>3703</v>
      </c>
    </row>
    <row r="45" spans="1:1">
      <c r="A45" s="238"/>
    </row>
    <row r="46" spans="1:1">
      <c r="A46" s="238" t="s">
        <v>3704</v>
      </c>
    </row>
    <row r="47" spans="1:1">
      <c r="A47" s="238" t="s">
        <v>3705</v>
      </c>
    </row>
    <row r="48" spans="1:1">
      <c r="A48" s="238" t="s">
        <v>3706</v>
      </c>
    </row>
    <row r="49" spans="1:1">
      <c r="A49" s="238" t="s">
        <v>3707</v>
      </c>
    </row>
    <row r="50" spans="1:1">
      <c r="A50" s="238" t="s">
        <v>3708</v>
      </c>
    </row>
    <row r="51" spans="1:1">
      <c r="A51" s="238" t="s">
        <v>3709</v>
      </c>
    </row>
    <row r="52" spans="1:1">
      <c r="A52" s="238" t="s">
        <v>3710</v>
      </c>
    </row>
    <row r="53" spans="1:1">
      <c r="A53" s="238" t="s">
        <v>3711</v>
      </c>
    </row>
    <row r="54" spans="1:1">
      <c r="A54" s="238" t="s">
        <v>3712</v>
      </c>
    </row>
    <row r="55" spans="1:1">
      <c r="A55" s="238" t="s">
        <v>3713</v>
      </c>
    </row>
    <row r="56" spans="1:1">
      <c r="A56" s="238" t="s">
        <v>3714</v>
      </c>
    </row>
    <row r="57" spans="1:1">
      <c r="A57" s="238" t="s">
        <v>3715</v>
      </c>
    </row>
    <row r="58" spans="1:1">
      <c r="A58" s="238" t="s">
        <v>3716</v>
      </c>
    </row>
    <row r="59" spans="1:1">
      <c r="A59" s="238" t="s">
        <v>3717</v>
      </c>
    </row>
    <row r="60" spans="1:1">
      <c r="A60" s="238" t="s">
        <v>3718</v>
      </c>
    </row>
    <row r="61" spans="1:1">
      <c r="A61" s="238" t="s">
        <v>3719</v>
      </c>
    </row>
    <row r="62" spans="1:1">
      <c r="A62" s="238" t="s">
        <v>3720</v>
      </c>
    </row>
    <row r="63" spans="1:1">
      <c r="A63" s="238" t="s">
        <v>3713</v>
      </c>
    </row>
    <row r="64" spans="1:1">
      <c r="A64" s="238" t="s">
        <v>3721</v>
      </c>
    </row>
    <row r="65" spans="1:1">
      <c r="A65" s="238"/>
    </row>
    <row r="66" spans="1:1">
      <c r="A66" s="238" t="s">
        <v>3722</v>
      </c>
    </row>
    <row r="67" spans="1:1">
      <c r="A67" s="238" t="s">
        <v>3723</v>
      </c>
    </row>
    <row r="68" spans="1:1">
      <c r="A68" s="238" t="s">
        <v>3724</v>
      </c>
    </row>
    <row r="69" spans="1:1">
      <c r="A69" s="238" t="s">
        <v>3725</v>
      </c>
    </row>
    <row r="70" spans="1:1">
      <c r="A70" s="238" t="s">
        <v>3726</v>
      </c>
    </row>
    <row r="71" spans="1:1">
      <c r="A71" s="238" t="s">
        <v>3727</v>
      </c>
    </row>
    <row r="72" spans="1:1">
      <c r="A72" s="238" t="s">
        <v>3728</v>
      </c>
    </row>
    <row r="73" spans="1:1">
      <c r="A73" s="238" t="s">
        <v>3729</v>
      </c>
    </row>
    <row r="74" spans="1:1">
      <c r="A74" s="238" t="s">
        <v>3730</v>
      </c>
    </row>
    <row r="75" spans="1:1">
      <c r="A75" s="238"/>
    </row>
    <row r="76" spans="1:1">
      <c r="A76" s="238" t="s">
        <v>3731</v>
      </c>
    </row>
    <row r="77" spans="1:1">
      <c r="A77" s="238" t="s">
        <v>3732</v>
      </c>
    </row>
    <row r="78" spans="1:1">
      <c r="A78" s="238" t="s">
        <v>3733</v>
      </c>
    </row>
    <row r="79" spans="1:1">
      <c r="A79" s="238" t="s">
        <v>3734</v>
      </c>
    </row>
    <row r="80" spans="1:1">
      <c r="A80" s="238" t="s">
        <v>3735</v>
      </c>
    </row>
    <row r="81" spans="1:1">
      <c r="A81" s="238" t="s">
        <v>3736</v>
      </c>
    </row>
    <row r="82" spans="1:1">
      <c r="A82" s="238"/>
    </row>
    <row r="83" spans="1:1">
      <c r="A83" s="238" t="s">
        <v>3737</v>
      </c>
    </row>
    <row r="84" spans="1:1">
      <c r="A84" s="238" t="s">
        <v>3738</v>
      </c>
    </row>
    <row r="85" spans="1:1">
      <c r="A85" s="238"/>
    </row>
    <row r="86" spans="1:1">
      <c r="A86" s="238" t="s">
        <v>3739</v>
      </c>
    </row>
    <row r="87" spans="1:1">
      <c r="A87" s="238" t="s">
        <v>3740</v>
      </c>
    </row>
    <row r="88" spans="1:1">
      <c r="A88" s="238"/>
    </row>
    <row r="89" spans="1:1">
      <c r="A89" s="238" t="s">
        <v>3741</v>
      </c>
    </row>
    <row r="90" spans="1:1">
      <c r="A90" s="238" t="s">
        <v>3742</v>
      </c>
    </row>
    <row r="91" spans="1:1">
      <c r="A91" s="238" t="s">
        <v>3743</v>
      </c>
    </row>
    <row r="92" spans="1:1">
      <c r="A92" s="238" t="s">
        <v>3744</v>
      </c>
    </row>
    <row r="93" spans="1:1">
      <c r="A93" s="238" t="s">
        <v>3745</v>
      </c>
    </row>
    <row r="94" spans="1:1">
      <c r="A94" s="238" t="s">
        <v>3746</v>
      </c>
    </row>
    <row r="95" spans="1:1">
      <c r="A95" s="238" t="s">
        <v>3747</v>
      </c>
    </row>
    <row r="96" spans="1:1">
      <c r="A96" s="238" t="s">
        <v>3748</v>
      </c>
    </row>
    <row r="97" spans="1:1">
      <c r="A97" s="238" t="s">
        <v>3749</v>
      </c>
    </row>
    <row r="98" spans="1:1">
      <c r="A98" s="238" t="s">
        <v>3750</v>
      </c>
    </row>
    <row r="99" spans="1:1">
      <c r="A99" s="238" t="s">
        <v>3747</v>
      </c>
    </row>
    <row r="100" spans="1:1">
      <c r="A100" s="238" t="s">
        <v>3751</v>
      </c>
    </row>
    <row r="101" spans="1:1">
      <c r="A101" s="238" t="s">
        <v>3752</v>
      </c>
    </row>
    <row r="102" spans="1:1">
      <c r="A102" s="238" t="s">
        <v>3753</v>
      </c>
    </row>
    <row r="103" spans="1:1">
      <c r="A103" s="238" t="s">
        <v>3754</v>
      </c>
    </row>
    <row r="104" spans="1:1">
      <c r="A104" s="238" t="s">
        <v>3755</v>
      </c>
    </row>
    <row r="105" spans="1:1">
      <c r="A105" s="238" t="s">
        <v>3756</v>
      </c>
    </row>
    <row r="106" spans="1:1">
      <c r="A106" s="238" t="s">
        <v>3757</v>
      </c>
    </row>
    <row r="107" spans="1:1">
      <c r="A107" s="238" t="s">
        <v>3758</v>
      </c>
    </row>
    <row r="108" spans="1:1">
      <c r="A108" s="238" t="s">
        <v>3759</v>
      </c>
    </row>
    <row r="109" spans="1:1">
      <c r="A109" s="238"/>
    </row>
    <row r="110" spans="1:1">
      <c r="A110" s="238" t="s">
        <v>3760</v>
      </c>
    </row>
    <row r="111" spans="1:1">
      <c r="A111" s="238" t="s">
        <v>3761</v>
      </c>
    </row>
    <row r="112" spans="1:1">
      <c r="A112" s="238" t="s">
        <v>3762</v>
      </c>
    </row>
    <row r="113" spans="1:1">
      <c r="A113" s="238" t="s">
        <v>3763</v>
      </c>
    </row>
    <row r="114" spans="1:1">
      <c r="A114" s="238" t="s">
        <v>3764</v>
      </c>
    </row>
    <row r="115" spans="1:1">
      <c r="A115" s="238" t="s">
        <v>3765</v>
      </c>
    </row>
    <row r="116" spans="1:1">
      <c r="A116" s="238" t="s">
        <v>3766</v>
      </c>
    </row>
    <row r="117" spans="1:1">
      <c r="A117" s="238" t="s">
        <v>3767</v>
      </c>
    </row>
    <row r="118" spans="1:1">
      <c r="A118" s="238" t="s">
        <v>3768</v>
      </c>
    </row>
    <row r="119" spans="1:1">
      <c r="A119" s="238" t="s">
        <v>3769</v>
      </c>
    </row>
    <row r="120" spans="1:1">
      <c r="A120" s="238" t="s">
        <v>3770</v>
      </c>
    </row>
    <row r="121" spans="1:1">
      <c r="A121" s="238" t="s">
        <v>3771</v>
      </c>
    </row>
    <row r="122" spans="1:1">
      <c r="A122" s="238" t="s">
        <v>3772</v>
      </c>
    </row>
    <row r="123" spans="1:1">
      <c r="A123" s="238" t="s">
        <v>3773</v>
      </c>
    </row>
    <row r="124" spans="1:1">
      <c r="A124" s="238"/>
    </row>
    <row r="125" spans="1:1">
      <c r="A125" s="238" t="s">
        <v>3774</v>
      </c>
    </row>
    <row r="126" spans="1:1">
      <c r="A126" s="238" t="s">
        <v>3775</v>
      </c>
    </row>
    <row r="127" spans="1:1">
      <c r="A127" s="238"/>
    </row>
    <row r="128" spans="1:1">
      <c r="A128" s="238" t="s">
        <v>3776</v>
      </c>
    </row>
    <row r="129" spans="1:1">
      <c r="A129" s="238" t="s">
        <v>3777</v>
      </c>
    </row>
    <row r="131" spans="1:1">
      <c r="A131" s="239" t="s">
        <v>3778</v>
      </c>
    </row>
    <row r="133" spans="1:1">
      <c r="A133" s="237" t="s">
        <v>3779</v>
      </c>
    </row>
    <row r="134" spans="1:1">
      <c r="A134" s="237" t="s">
        <v>3780</v>
      </c>
    </row>
    <row r="135" spans="1:1">
      <c r="A135" s="237" t="s">
        <v>3781</v>
      </c>
    </row>
    <row r="136" spans="1:1">
      <c r="A136" s="237" t="s">
        <v>3782</v>
      </c>
    </row>
    <row r="137" spans="1:1">
      <c r="A137" s="237" t="s">
        <v>3783</v>
      </c>
    </row>
    <row r="138" spans="1:1">
      <c r="A138" s="237" t="s">
        <v>3784</v>
      </c>
    </row>
    <row r="139" spans="1:1">
      <c r="A139" s="237" t="s">
        <v>3785</v>
      </c>
    </row>
    <row r="140" spans="1:1">
      <c r="A140" s="237"/>
    </row>
    <row r="141" spans="1:1">
      <c r="A141" s="237" t="s">
        <v>3786</v>
      </c>
    </row>
    <row r="142" spans="1:1">
      <c r="A142" s="237" t="s">
        <v>3787</v>
      </c>
    </row>
    <row r="143" spans="1:1">
      <c r="A143" s="237" t="s">
        <v>3788</v>
      </c>
    </row>
    <row r="144" spans="1:1">
      <c r="A144" s="237" t="s">
        <v>3789</v>
      </c>
    </row>
    <row r="145" spans="1:1">
      <c r="A145" s="237" t="s">
        <v>3790</v>
      </c>
    </row>
    <row r="146" spans="1:1">
      <c r="A146" s="237" t="s">
        <v>3791</v>
      </c>
    </row>
    <row r="147" spans="1:1">
      <c r="A147" s="237" t="s">
        <v>3792</v>
      </c>
    </row>
    <row r="148" spans="1:1">
      <c r="A148" s="237" t="s">
        <v>3793</v>
      </c>
    </row>
    <row r="149" spans="1:1">
      <c r="A149" s="237" t="s">
        <v>3794</v>
      </c>
    </row>
    <row r="150" spans="1:1">
      <c r="A150" s="237" t="s">
        <v>3795</v>
      </c>
    </row>
    <row r="151" spans="1:1">
      <c r="A151" s="237" t="s">
        <v>3796</v>
      </c>
    </row>
    <row r="152" spans="1:1">
      <c r="A152" s="237" t="s">
        <v>3797</v>
      </c>
    </row>
    <row r="153" spans="1:1">
      <c r="A153" s="237" t="s">
        <v>3798</v>
      </c>
    </row>
    <row r="154" spans="1:1">
      <c r="A154" s="237" t="s">
        <v>3799</v>
      </c>
    </row>
    <row r="155" spans="1:1">
      <c r="A155" s="237" t="s">
        <v>3792</v>
      </c>
    </row>
    <row r="156" spans="1:1">
      <c r="A156" s="237" t="s">
        <v>3800</v>
      </c>
    </row>
    <row r="157" spans="1:1">
      <c r="A157" s="237" t="s">
        <v>3801</v>
      </c>
    </row>
    <row r="158" spans="1:1">
      <c r="A158" s="237" t="s">
        <v>3802</v>
      </c>
    </row>
    <row r="159" spans="1:1">
      <c r="A159" s="237" t="s">
        <v>3803</v>
      </c>
    </row>
    <row r="160" spans="1:1">
      <c r="A160" s="237" t="s">
        <v>3804</v>
      </c>
    </row>
    <row r="161" spans="1:1">
      <c r="A161" s="237" t="s">
        <v>3805</v>
      </c>
    </row>
    <row r="162" spans="1:1">
      <c r="A162" s="237" t="s">
        <v>3806</v>
      </c>
    </row>
    <row r="163" spans="1:1">
      <c r="A163" s="237" t="s">
        <v>3807</v>
      </c>
    </row>
    <row r="164" spans="1:1">
      <c r="A164" s="237" t="s">
        <v>3808</v>
      </c>
    </row>
    <row r="165" spans="1:1">
      <c r="A165" s="237" t="s">
        <v>3809</v>
      </c>
    </row>
    <row r="166" spans="1:1">
      <c r="A166" s="237" t="s">
        <v>3810</v>
      </c>
    </row>
    <row r="167" spans="1:1">
      <c r="A167" s="237" t="s">
        <v>3811</v>
      </c>
    </row>
    <row r="168" spans="1:1">
      <c r="A168" s="237" t="s">
        <v>3812</v>
      </c>
    </row>
    <row r="169" spans="1:1">
      <c r="A169" s="237" t="s">
        <v>3813</v>
      </c>
    </row>
    <row r="172" spans="1:1">
      <c r="A172" s="62" t="s">
        <v>3814</v>
      </c>
    </row>
    <row r="173" spans="1:1">
      <c r="A173" s="63" t="s">
        <v>3815</v>
      </c>
    </row>
    <row r="174" spans="1:1">
      <c r="A174" s="63" t="s">
        <v>3816</v>
      </c>
    </row>
    <row r="175" spans="1:1">
      <c r="A175" s="63" t="s">
        <v>3817</v>
      </c>
    </row>
    <row r="176" spans="1:1">
      <c r="A176" s="63" t="s">
        <v>3818</v>
      </c>
    </row>
    <row r="177" spans="1:1">
      <c r="A177" s="63" t="s">
        <v>3819</v>
      </c>
    </row>
    <row r="178" spans="1:1">
      <c r="A178" s="63" t="s">
        <v>3820</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4770</v>
      </c>
      <c r="B1" s="32"/>
      <c r="C1" s="32"/>
      <c r="D1" s="32"/>
      <c r="E1" s="32"/>
      <c r="F1" s="32"/>
      <c r="G1" s="32"/>
      <c r="H1" s="32"/>
      <c r="I1" s="32"/>
      <c r="J1" s="32"/>
      <c r="K1" s="32"/>
      <c r="L1" s="32"/>
      <c r="M1" s="32"/>
      <c r="N1" s="32"/>
      <c r="O1" s="32"/>
      <c r="P1" s="32"/>
    </row>
    <row r="2" spans="1:16">
      <c r="A2" s="32" t="s">
        <v>4771</v>
      </c>
      <c r="B2" s="32"/>
      <c r="C2" s="32"/>
      <c r="D2" s="32"/>
      <c r="E2" s="32"/>
      <c r="F2" s="32"/>
      <c r="G2" s="32"/>
      <c r="H2" s="32"/>
      <c r="I2" s="32"/>
      <c r="J2" s="32"/>
      <c r="K2" s="32"/>
      <c r="L2" s="32"/>
      <c r="M2" s="32"/>
      <c r="N2" s="32"/>
      <c r="O2" s="32"/>
      <c r="P2" s="32"/>
    </row>
    <row r="3" spans="1:16">
      <c r="A3" s="32" t="s">
        <v>4772</v>
      </c>
      <c r="B3" s="32"/>
      <c r="C3" s="32"/>
      <c r="D3" s="32"/>
      <c r="E3" s="32"/>
      <c r="F3" s="32"/>
      <c r="G3" s="32"/>
      <c r="H3" s="32"/>
      <c r="I3" s="32"/>
      <c r="J3" s="32"/>
      <c r="K3" s="32"/>
      <c r="L3" s="32"/>
      <c r="M3" s="32"/>
      <c r="N3" s="32"/>
      <c r="O3" s="32"/>
      <c r="P3" s="32"/>
    </row>
    <row r="4" spans="1:16">
      <c r="A4" s="32"/>
      <c r="B4" s="32"/>
      <c r="C4" s="32"/>
      <c r="D4" s="32"/>
      <c r="E4" s="32"/>
      <c r="F4" s="32"/>
      <c r="G4" s="32"/>
      <c r="H4" s="32"/>
      <c r="I4" s="32"/>
      <c r="J4" s="32"/>
      <c r="K4" s="32"/>
      <c r="L4" s="32"/>
      <c r="M4" s="32"/>
      <c r="N4" s="32"/>
      <c r="O4" s="32"/>
      <c r="P4" s="32"/>
    </row>
    <row r="5" spans="1:16">
      <c r="A5" s="254" t="s">
        <v>1</v>
      </c>
      <c r="B5" s="255" t="s">
        <v>3085</v>
      </c>
      <c r="C5" s="255" t="s">
        <v>3086</v>
      </c>
      <c r="D5" s="255" t="s">
        <v>3087</v>
      </c>
      <c r="E5" s="255" t="s">
        <v>3088</v>
      </c>
      <c r="F5" s="255" t="s">
        <v>3089</v>
      </c>
      <c r="G5" s="255" t="s">
        <v>3090</v>
      </c>
      <c r="H5" s="255" t="s">
        <v>3053</v>
      </c>
      <c r="I5" s="255" t="s">
        <v>3091</v>
      </c>
      <c r="J5" s="255" t="s">
        <v>3092</v>
      </c>
      <c r="K5" s="255" t="s">
        <v>3093</v>
      </c>
      <c r="L5" s="255" t="s">
        <v>3094</v>
      </c>
      <c r="M5" s="255" t="s">
        <v>3095</v>
      </c>
      <c r="N5" s="255" t="s">
        <v>4773</v>
      </c>
      <c r="O5" s="255" t="s">
        <v>4774</v>
      </c>
      <c r="P5" s="256" t="s">
        <v>4775</v>
      </c>
    </row>
    <row r="6" spans="1:16">
      <c r="A6" s="257" t="s">
        <v>3118</v>
      </c>
      <c r="B6" s="258" t="s">
        <v>4776</v>
      </c>
      <c r="C6" s="258" t="s">
        <v>4777</v>
      </c>
      <c r="D6" s="258" t="s">
        <v>4778</v>
      </c>
      <c r="E6" s="259">
        <v>400</v>
      </c>
      <c r="F6" s="259">
        <v>2000</v>
      </c>
      <c r="G6" s="259">
        <v>4000</v>
      </c>
      <c r="H6" s="258" t="s">
        <v>3117</v>
      </c>
      <c r="I6" s="260">
        <v>2.3E-2</v>
      </c>
      <c r="J6" s="261">
        <f>E6*$I6</f>
        <v>9.1999999999999993</v>
      </c>
      <c r="K6" s="261">
        <f>F6*$I6</f>
        <v>46</v>
      </c>
      <c r="L6" s="261">
        <f>G6*$I6</f>
        <v>92</v>
      </c>
      <c r="M6" s="258" t="s">
        <v>4724</v>
      </c>
      <c r="N6" s="262" t="s">
        <v>4779</v>
      </c>
      <c r="O6" s="262" t="s">
        <v>4779</v>
      </c>
      <c r="P6" s="263" t="s">
        <v>4779</v>
      </c>
    </row>
    <row r="7" spans="1:16">
      <c r="A7" s="257" t="s">
        <v>1526</v>
      </c>
      <c r="B7" s="258" t="s">
        <v>4780</v>
      </c>
      <c r="C7" s="258" t="s">
        <v>4781</v>
      </c>
      <c r="D7" s="258" t="s">
        <v>4782</v>
      </c>
      <c r="E7" s="259">
        <v>400</v>
      </c>
      <c r="F7" s="259">
        <v>2000</v>
      </c>
      <c r="G7" s="259">
        <v>4000</v>
      </c>
      <c r="H7" s="258" t="s">
        <v>3117</v>
      </c>
      <c r="I7" s="260">
        <v>0.09</v>
      </c>
      <c r="J7" s="261">
        <f>E7*$I7</f>
        <v>36</v>
      </c>
      <c r="K7" s="261">
        <f>F7*$I7</f>
        <v>180</v>
      </c>
      <c r="L7" s="261">
        <f>G7*$I7</f>
        <v>360</v>
      </c>
      <c r="M7" s="258" t="s">
        <v>4759</v>
      </c>
      <c r="N7" s="262" t="s">
        <v>4779</v>
      </c>
      <c r="O7" s="262" t="s">
        <v>4779</v>
      </c>
      <c r="P7" s="263" t="s">
        <v>4779</v>
      </c>
    </row>
    <row r="8" spans="1:16">
      <c r="A8" s="257" t="s">
        <v>1526</v>
      </c>
      <c r="B8" s="258" t="s">
        <v>4783</v>
      </c>
      <c r="C8" s="258" t="s">
        <v>4784</v>
      </c>
      <c r="D8" s="258" t="s">
        <v>4785</v>
      </c>
      <c r="E8" s="259">
        <v>4</v>
      </c>
      <c r="F8" s="259">
        <v>4</v>
      </c>
      <c r="G8" s="259">
        <v>4</v>
      </c>
      <c r="H8" s="258" t="s">
        <v>3188</v>
      </c>
      <c r="I8" s="260">
        <v>1</v>
      </c>
      <c r="J8" s="261">
        <f>E8*$I8</f>
        <v>4</v>
      </c>
      <c r="K8" s="261">
        <f>F8*$I8</f>
        <v>4</v>
      </c>
      <c r="L8" s="261">
        <f>G8*$I8</f>
        <v>4</v>
      </c>
      <c r="M8" s="258" t="s">
        <v>4755</v>
      </c>
      <c r="N8" s="262" t="s">
        <v>4779</v>
      </c>
      <c r="O8" s="262" t="s">
        <v>4779</v>
      </c>
      <c r="P8" s="263" t="s">
        <v>4779</v>
      </c>
    </row>
    <row r="9" spans="1:16">
      <c r="A9" s="257" t="s">
        <v>3137</v>
      </c>
      <c r="B9" s="258" t="s">
        <v>4786</v>
      </c>
      <c r="C9" s="258" t="s">
        <v>4787</v>
      </c>
      <c r="D9" s="258" t="s">
        <v>4788</v>
      </c>
      <c r="E9" s="259">
        <v>100</v>
      </c>
      <c r="F9" s="259">
        <v>500</v>
      </c>
      <c r="G9" s="259">
        <v>1000</v>
      </c>
      <c r="H9" s="258" t="s">
        <v>3149</v>
      </c>
      <c r="I9" s="260">
        <v>0.09</v>
      </c>
      <c r="J9" s="261">
        <f>E9*$I9</f>
        <v>9</v>
      </c>
      <c r="K9" s="261">
        <f>F9*$I9</f>
        <v>45</v>
      </c>
      <c r="L9" s="261">
        <f>G9*$I9</f>
        <v>90</v>
      </c>
      <c r="M9" s="258" t="s">
        <v>4718</v>
      </c>
      <c r="N9" s="262" t="s">
        <v>4779</v>
      </c>
      <c r="O9" s="262" t="s">
        <v>4779</v>
      </c>
      <c r="P9" s="263" t="s">
        <v>4779</v>
      </c>
    </row>
    <row r="10" spans="1:16">
      <c r="A10" s="257" t="s">
        <v>3118</v>
      </c>
      <c r="B10" s="258" t="s">
        <v>4789</v>
      </c>
      <c r="C10" s="258" t="s">
        <v>4790</v>
      </c>
      <c r="D10" s="258" t="s">
        <v>4791</v>
      </c>
      <c r="E10" s="259">
        <v>200</v>
      </c>
      <c r="F10" s="259">
        <v>1000</v>
      </c>
      <c r="G10" s="259">
        <v>2000</v>
      </c>
      <c r="H10" s="258" t="s">
        <v>3117</v>
      </c>
      <c r="I10" s="260">
        <v>0.12</v>
      </c>
      <c r="J10" s="261">
        <f>E10*$I10</f>
        <v>24</v>
      </c>
      <c r="K10" s="261">
        <f>F10*$I10</f>
        <v>120</v>
      </c>
      <c r="L10" s="261">
        <f>G10*$I10</f>
        <v>240</v>
      </c>
      <c r="M10" s="258" t="s">
        <v>4724</v>
      </c>
      <c r="N10" s="262" t="s">
        <v>2230</v>
      </c>
      <c r="O10" s="262" t="s">
        <v>4779</v>
      </c>
      <c r="P10" s="263" t="s">
        <v>4779</v>
      </c>
    </row>
    <row r="11" spans="1:16">
      <c r="A11" s="257" t="s">
        <v>3118</v>
      </c>
      <c r="B11" s="258" t="s">
        <v>4792</v>
      </c>
      <c r="C11" s="258" t="s">
        <v>4793</v>
      </c>
      <c r="D11" s="258" t="s">
        <v>4794</v>
      </c>
      <c r="E11" s="259">
        <v>100</v>
      </c>
      <c r="F11" s="259">
        <v>500</v>
      </c>
      <c r="G11" s="259">
        <v>1000</v>
      </c>
      <c r="H11" s="258" t="s">
        <v>3117</v>
      </c>
      <c r="I11" s="260">
        <v>0.12</v>
      </c>
      <c r="J11" s="261">
        <f>E11*$I11</f>
        <v>12</v>
      </c>
      <c r="K11" s="261">
        <f>F11*$I11</f>
        <v>60</v>
      </c>
      <c r="L11" s="261">
        <f>G11*$I11</f>
        <v>120</v>
      </c>
      <c r="M11" s="258" t="s">
        <v>4724</v>
      </c>
      <c r="N11" s="262" t="s">
        <v>2230</v>
      </c>
      <c r="O11" s="262" t="s">
        <v>4779</v>
      </c>
      <c r="P11" s="263" t="s">
        <v>4779</v>
      </c>
    </row>
    <row r="12" spans="1:16">
      <c r="A12" s="257" t="s">
        <v>3118</v>
      </c>
      <c r="B12" s="258" t="s">
        <v>4795</v>
      </c>
      <c r="C12" s="258" t="s">
        <v>4796</v>
      </c>
      <c r="D12" s="258" t="s">
        <v>4797</v>
      </c>
      <c r="E12" s="259">
        <v>20000000</v>
      </c>
      <c r="F12" s="259">
        <v>100000000</v>
      </c>
      <c r="G12" s="259">
        <v>200000000</v>
      </c>
      <c r="H12" s="258" t="s">
        <v>4727</v>
      </c>
      <c r="I12" s="260">
        <v>2.3999999999999998E-7</v>
      </c>
      <c r="J12" s="261">
        <f>E12*$I12</f>
        <v>4.8</v>
      </c>
      <c r="K12" s="261">
        <f>F12*$I12</f>
        <v>23.999999999999996</v>
      </c>
      <c r="L12" s="261">
        <f>G12*$I12</f>
        <v>47.999999999999993</v>
      </c>
      <c r="M12" s="258" t="s">
        <v>4724</v>
      </c>
      <c r="N12" s="262" t="s">
        <v>2230</v>
      </c>
      <c r="O12" s="262" t="s">
        <v>4779</v>
      </c>
      <c r="P12" s="263" t="s">
        <v>4779</v>
      </c>
    </row>
    <row r="13" spans="1:16">
      <c r="A13" s="257" t="s">
        <v>3169</v>
      </c>
      <c r="B13" s="258" t="s">
        <v>4798</v>
      </c>
      <c r="C13" s="258" t="s">
        <v>4799</v>
      </c>
      <c r="D13" s="258" t="s">
        <v>4800</v>
      </c>
      <c r="E13" s="259">
        <v>5000000</v>
      </c>
      <c r="F13" s="259">
        <v>25000000</v>
      </c>
      <c r="G13" s="259">
        <v>50000000</v>
      </c>
      <c r="H13" s="258" t="s">
        <v>4801</v>
      </c>
      <c r="I13" s="260">
        <v>8.8999999999999995E-7</v>
      </c>
      <c r="J13" s="261">
        <f>E13*$I13</f>
        <v>4.45</v>
      </c>
      <c r="K13" s="261">
        <f>F13*$I13</f>
        <v>22.25</v>
      </c>
      <c r="L13" s="261">
        <f>G13*$I13</f>
        <v>44.5</v>
      </c>
      <c r="M13" s="258" t="s">
        <v>4753</v>
      </c>
      <c r="N13" s="262" t="s">
        <v>2230</v>
      </c>
      <c r="O13" s="262" t="s">
        <v>4779</v>
      </c>
      <c r="P13" s="263" t="s">
        <v>4779</v>
      </c>
    </row>
    <row r="14" spans="1:16">
      <c r="A14" s="257" t="s">
        <v>3200</v>
      </c>
      <c r="B14" s="258" t="s">
        <v>4802</v>
      </c>
      <c r="C14" s="258" t="s">
        <v>4803</v>
      </c>
      <c r="D14" s="258" t="s">
        <v>4804</v>
      </c>
      <c r="E14" s="259">
        <v>300</v>
      </c>
      <c r="F14" s="259">
        <v>1500</v>
      </c>
      <c r="G14" s="259">
        <v>3000</v>
      </c>
      <c r="H14" s="258" t="s">
        <v>3117</v>
      </c>
      <c r="I14" s="260">
        <v>2.5000000000000001E-2</v>
      </c>
      <c r="J14" s="261">
        <f>E14*$I14</f>
        <v>7.5</v>
      </c>
      <c r="K14" s="261">
        <f>F14*$I14</f>
        <v>37.5</v>
      </c>
      <c r="L14" s="261">
        <f>G14*$I14</f>
        <v>75</v>
      </c>
      <c r="M14" s="258" t="s">
        <v>4805</v>
      </c>
      <c r="N14" s="262" t="s">
        <v>2230</v>
      </c>
      <c r="O14" s="262" t="s">
        <v>4779</v>
      </c>
      <c r="P14" s="263" t="s">
        <v>4779</v>
      </c>
    </row>
    <row r="15" spans="1:16">
      <c r="A15" s="257" t="s">
        <v>3200</v>
      </c>
      <c r="B15" s="258" t="s">
        <v>4806</v>
      </c>
      <c r="C15" s="258" t="s">
        <v>4807</v>
      </c>
      <c r="D15" s="258" t="s">
        <v>4808</v>
      </c>
      <c r="E15" s="259">
        <v>50</v>
      </c>
      <c r="F15" s="259">
        <v>50</v>
      </c>
      <c r="G15" s="259">
        <v>50</v>
      </c>
      <c r="H15" s="258" t="s">
        <v>3117</v>
      </c>
      <c r="I15" s="260">
        <v>0.1</v>
      </c>
      <c r="J15" s="261">
        <f>E15*$I15</f>
        <v>5</v>
      </c>
      <c r="K15" s="261">
        <f>F15*$I15</f>
        <v>5</v>
      </c>
      <c r="L15" s="261">
        <f>G15*$I15</f>
        <v>5</v>
      </c>
      <c r="M15" s="258" t="s">
        <v>4809</v>
      </c>
      <c r="N15" s="262" t="s">
        <v>2230</v>
      </c>
      <c r="O15" s="262" t="s">
        <v>4779</v>
      </c>
      <c r="P15" s="263" t="s">
        <v>4779</v>
      </c>
    </row>
    <row r="16" spans="1:16">
      <c r="A16" s="257" t="s">
        <v>3096</v>
      </c>
      <c r="B16" s="258" t="s">
        <v>4810</v>
      </c>
      <c r="C16" s="258" t="s">
        <v>4811</v>
      </c>
      <c r="D16" s="258" t="s">
        <v>4812</v>
      </c>
      <c r="E16" s="259">
        <v>1460</v>
      </c>
      <c r="F16" s="259">
        <v>1460</v>
      </c>
      <c r="G16" s="259">
        <v>1460</v>
      </c>
      <c r="H16" s="258" t="s">
        <v>3110</v>
      </c>
      <c r="I16" s="260">
        <v>0.25</v>
      </c>
      <c r="J16" s="261">
        <f>E16*$I16</f>
        <v>365</v>
      </c>
      <c r="K16" s="261">
        <f>F16*$I16</f>
        <v>365</v>
      </c>
      <c r="L16" s="261">
        <f>G16*$I16</f>
        <v>365</v>
      </c>
      <c r="M16" s="258" t="s">
        <v>4721</v>
      </c>
      <c r="N16" s="262" t="s">
        <v>2230</v>
      </c>
      <c r="O16" s="262" t="s">
        <v>2230</v>
      </c>
      <c r="P16" s="263" t="s">
        <v>4779</v>
      </c>
    </row>
    <row r="17" spans="1:16">
      <c r="A17" s="257" t="s">
        <v>3096</v>
      </c>
      <c r="B17" s="258" t="s">
        <v>4813</v>
      </c>
      <c r="C17" s="258" t="s">
        <v>4814</v>
      </c>
      <c r="D17" s="258" t="s">
        <v>4815</v>
      </c>
      <c r="E17" s="259">
        <v>2920</v>
      </c>
      <c r="F17" s="259">
        <v>2920</v>
      </c>
      <c r="G17" s="259">
        <v>2920</v>
      </c>
      <c r="H17" s="258" t="s">
        <v>3100</v>
      </c>
      <c r="I17" s="260">
        <v>0.248</v>
      </c>
      <c r="J17" s="261">
        <f>E17*$I17</f>
        <v>724.16</v>
      </c>
      <c r="K17" s="261">
        <f>F17*$I17</f>
        <v>724.16</v>
      </c>
      <c r="L17" s="261">
        <f>G17*$I17</f>
        <v>724.16</v>
      </c>
      <c r="M17" s="258" t="s">
        <v>4718</v>
      </c>
      <c r="N17" s="262" t="s">
        <v>2230</v>
      </c>
      <c r="O17" s="262" t="s">
        <v>2230</v>
      </c>
      <c r="P17" s="263" t="s">
        <v>4779</v>
      </c>
    </row>
    <row r="18" spans="1:16">
      <c r="A18" s="257" t="s">
        <v>3096</v>
      </c>
      <c r="B18" s="258" t="s">
        <v>4816</v>
      </c>
      <c r="C18" s="258" t="s">
        <v>4817</v>
      </c>
      <c r="D18" s="258" t="s">
        <v>4818</v>
      </c>
      <c r="E18" s="259">
        <v>730</v>
      </c>
      <c r="F18" s="259">
        <v>730</v>
      </c>
      <c r="G18" s="259">
        <v>730</v>
      </c>
      <c r="H18" s="258" t="s">
        <v>3114</v>
      </c>
      <c r="I18" s="260">
        <v>0.17100000000000001</v>
      </c>
      <c r="J18" s="261">
        <f>E18*$I18</f>
        <v>124.83000000000001</v>
      </c>
      <c r="K18" s="261">
        <f>F18*$I18</f>
        <v>124.83000000000001</v>
      </c>
      <c r="L18" s="261">
        <f>G18*$I18</f>
        <v>124.83000000000001</v>
      </c>
      <c r="M18" s="258" t="s">
        <v>4721</v>
      </c>
      <c r="N18" s="262" t="s">
        <v>2230</v>
      </c>
      <c r="O18" s="262" t="s">
        <v>2230</v>
      </c>
      <c r="P18" s="263" t="s">
        <v>4779</v>
      </c>
    </row>
    <row r="19" spans="1:16">
      <c r="A19" s="257" t="s">
        <v>3096</v>
      </c>
      <c r="B19" s="258" t="s">
        <v>4819</v>
      </c>
      <c r="C19" s="258" t="s">
        <v>4820</v>
      </c>
      <c r="D19" s="258" t="s">
        <v>4821</v>
      </c>
      <c r="E19" s="259">
        <v>400</v>
      </c>
      <c r="F19" s="259">
        <v>400</v>
      </c>
      <c r="G19" s="259">
        <v>400</v>
      </c>
      <c r="H19" s="258" t="s">
        <v>3117</v>
      </c>
      <c r="I19" s="260">
        <v>9.6000000000000002E-2</v>
      </c>
      <c r="J19" s="261">
        <f>E19*$I19</f>
        <v>38.4</v>
      </c>
      <c r="K19" s="261">
        <f>F19*$I19</f>
        <v>38.4</v>
      </c>
      <c r="L19" s="261">
        <f>G19*$I19</f>
        <v>38.4</v>
      </c>
      <c r="M19" s="258" t="s">
        <v>4723</v>
      </c>
      <c r="N19" s="262" t="s">
        <v>2230</v>
      </c>
      <c r="O19" s="262" t="s">
        <v>2230</v>
      </c>
      <c r="P19" s="263" t="s">
        <v>4779</v>
      </c>
    </row>
    <row r="20" spans="1:16">
      <c r="A20" s="257" t="s">
        <v>3118</v>
      </c>
      <c r="B20" s="258" t="s">
        <v>4822</v>
      </c>
      <c r="C20" s="258" t="s">
        <v>4823</v>
      </c>
      <c r="D20" s="258" t="s">
        <v>4824</v>
      </c>
      <c r="E20" s="259">
        <v>730</v>
      </c>
      <c r="F20" s="259">
        <v>730</v>
      </c>
      <c r="G20" s="259">
        <v>730</v>
      </c>
      <c r="H20" s="258" t="s">
        <v>3100</v>
      </c>
      <c r="I20" s="260">
        <v>0.66400000000000003</v>
      </c>
      <c r="J20" s="261">
        <f>E20*$I20</f>
        <v>484.72</v>
      </c>
      <c r="K20" s="261">
        <f>F20*$I20</f>
        <v>484.72</v>
      </c>
      <c r="L20" s="261">
        <f>G20*$I20</f>
        <v>484.72</v>
      </c>
      <c r="M20" s="258" t="s">
        <v>4724</v>
      </c>
      <c r="N20" s="262" t="s">
        <v>2230</v>
      </c>
      <c r="O20" s="262" t="s">
        <v>2230</v>
      </c>
      <c r="P20" s="263" t="s">
        <v>4779</v>
      </c>
    </row>
    <row r="21" spans="1:16">
      <c r="A21" s="257" t="s">
        <v>3118</v>
      </c>
      <c r="B21" s="258" t="s">
        <v>4825</v>
      </c>
      <c r="C21" s="258" t="s">
        <v>4826</v>
      </c>
      <c r="D21" s="258" t="s">
        <v>4824</v>
      </c>
      <c r="E21" s="259">
        <v>730</v>
      </c>
      <c r="F21" s="259">
        <v>730</v>
      </c>
      <c r="G21" s="259">
        <v>730</v>
      </c>
      <c r="H21" s="258" t="s">
        <v>3100</v>
      </c>
      <c r="I21" s="260">
        <v>0.66400000000000003</v>
      </c>
      <c r="J21" s="261">
        <f>E21*$I21</f>
        <v>484.72</v>
      </c>
      <c r="K21" s="261">
        <f>F21*$I21</f>
        <v>484.72</v>
      </c>
      <c r="L21" s="261">
        <f>G21*$I21</f>
        <v>484.72</v>
      </c>
      <c r="M21" s="258" t="s">
        <v>4724</v>
      </c>
      <c r="N21" s="262" t="s">
        <v>2230</v>
      </c>
      <c r="O21" s="262" t="s">
        <v>2230</v>
      </c>
      <c r="P21" s="263" t="s">
        <v>4779</v>
      </c>
    </row>
    <row r="22" spans="1:16">
      <c r="A22" s="257" t="s">
        <v>3137</v>
      </c>
      <c r="B22" s="258" t="s">
        <v>4827</v>
      </c>
      <c r="C22" s="258" t="s">
        <v>4828</v>
      </c>
      <c r="D22" s="258" t="s">
        <v>4829</v>
      </c>
      <c r="E22" s="259">
        <v>1460</v>
      </c>
      <c r="F22" s="259">
        <v>1460</v>
      </c>
      <c r="G22" s="259">
        <v>1460</v>
      </c>
      <c r="H22" s="258" t="s">
        <v>3141</v>
      </c>
      <c r="I22" s="260">
        <v>2.4299999999999999E-2</v>
      </c>
      <c r="J22" s="261">
        <f>E22*$I22</f>
        <v>35.478000000000002</v>
      </c>
      <c r="K22" s="261">
        <f>F22*$I22</f>
        <v>35.478000000000002</v>
      </c>
      <c r="L22" s="261">
        <f>G22*$I22</f>
        <v>35.478000000000002</v>
      </c>
      <c r="M22" s="258" t="s">
        <v>4730</v>
      </c>
      <c r="N22" s="262" t="s">
        <v>2230</v>
      </c>
      <c r="O22" s="262" t="s">
        <v>2230</v>
      </c>
      <c r="P22" s="263" t="s">
        <v>4779</v>
      </c>
    </row>
    <row r="23" spans="1:16">
      <c r="A23" s="257" t="s">
        <v>3137</v>
      </c>
      <c r="B23" s="258" t="s">
        <v>4830</v>
      </c>
      <c r="C23" s="258" t="s">
        <v>4831</v>
      </c>
      <c r="D23" s="258" t="s">
        <v>4832</v>
      </c>
      <c r="E23" s="259">
        <v>730</v>
      </c>
      <c r="F23" s="259">
        <v>730</v>
      </c>
      <c r="G23" s="259">
        <v>730</v>
      </c>
      <c r="H23" s="258" t="s">
        <v>3145</v>
      </c>
      <c r="I23" s="260">
        <v>2.4299999999999999E-2</v>
      </c>
      <c r="J23" s="261">
        <f>E23*$I23</f>
        <v>17.739000000000001</v>
      </c>
      <c r="K23" s="261">
        <f>F23*$I23</f>
        <v>17.739000000000001</v>
      </c>
      <c r="L23" s="261">
        <f>G23*$I23</f>
        <v>17.739000000000001</v>
      </c>
      <c r="M23" s="258" t="s">
        <v>4730</v>
      </c>
      <c r="N23" s="262" t="s">
        <v>2230</v>
      </c>
      <c r="O23" s="262" t="s">
        <v>2230</v>
      </c>
      <c r="P23" s="263" t="s">
        <v>4779</v>
      </c>
    </row>
    <row r="24" spans="1:16">
      <c r="A24" s="257" t="s">
        <v>3137</v>
      </c>
      <c r="B24" s="258" t="s">
        <v>4833</v>
      </c>
      <c r="C24" s="258" t="s">
        <v>4834</v>
      </c>
      <c r="D24" s="258" t="s">
        <v>4835</v>
      </c>
      <c r="E24" s="259">
        <v>7300</v>
      </c>
      <c r="F24" s="259">
        <v>7300</v>
      </c>
      <c r="G24" s="259">
        <v>7300</v>
      </c>
      <c r="H24" s="258" t="s">
        <v>3156</v>
      </c>
      <c r="I24" s="260">
        <v>1.4E-2</v>
      </c>
      <c r="J24" s="261">
        <f>E24*$I24</f>
        <v>102.2</v>
      </c>
      <c r="K24" s="261">
        <f>F24*$I24</f>
        <v>102.2</v>
      </c>
      <c r="L24" s="261">
        <f>G24*$I24</f>
        <v>102.2</v>
      </c>
      <c r="M24" s="258" t="s">
        <v>4737</v>
      </c>
      <c r="N24" s="262" t="s">
        <v>2230</v>
      </c>
      <c r="O24" s="262" t="s">
        <v>2230</v>
      </c>
      <c r="P24" s="263" t="s">
        <v>4779</v>
      </c>
    </row>
    <row r="25" spans="1:16">
      <c r="A25" s="257" t="s">
        <v>3200</v>
      </c>
      <c r="B25" s="258" t="s">
        <v>4836</v>
      </c>
      <c r="C25" s="258" t="s">
        <v>4837</v>
      </c>
      <c r="D25" s="258" t="s">
        <v>4838</v>
      </c>
      <c r="E25" s="259">
        <v>43800</v>
      </c>
      <c r="F25" s="259">
        <v>43800</v>
      </c>
      <c r="G25" s="259">
        <v>43800</v>
      </c>
      <c r="H25" s="258" t="s">
        <v>3216</v>
      </c>
      <c r="I25" s="260">
        <v>1.1999999999999999E-3</v>
      </c>
      <c r="J25" s="261">
        <f>E25*$I25</f>
        <v>52.559999999999995</v>
      </c>
      <c r="K25" s="261">
        <f>F25*$I25</f>
        <v>52.559999999999995</v>
      </c>
      <c r="L25" s="261">
        <f>G25*$I25</f>
        <v>52.559999999999995</v>
      </c>
      <c r="M25" s="258" t="s">
        <v>4760</v>
      </c>
      <c r="N25" s="262" t="s">
        <v>2230</v>
      </c>
      <c r="O25" s="262" t="s">
        <v>2230</v>
      </c>
      <c r="P25" s="263" t="s">
        <v>4779</v>
      </c>
    </row>
    <row r="26" spans="1:16">
      <c r="A26" s="257" t="s">
        <v>1526</v>
      </c>
      <c r="B26" s="258" t="s">
        <v>4860</v>
      </c>
      <c r="C26" s="258" t="s">
        <v>4861</v>
      </c>
      <c r="D26" s="258" t="s">
        <v>4862</v>
      </c>
      <c r="E26" s="259">
        <v>30</v>
      </c>
      <c r="F26" s="259">
        <v>30</v>
      </c>
      <c r="G26" s="259">
        <v>30</v>
      </c>
      <c r="H26" s="258" t="s">
        <v>3192</v>
      </c>
      <c r="I26" s="260">
        <v>0.4</v>
      </c>
      <c r="J26" s="261">
        <f>E26*$I26</f>
        <v>12</v>
      </c>
      <c r="K26" s="261">
        <f>F26*$I26</f>
        <v>12</v>
      </c>
      <c r="L26" s="261">
        <f>G26*$I26</f>
        <v>12</v>
      </c>
      <c r="M26" s="258" t="s">
        <v>4757</v>
      </c>
      <c r="N26" s="262" t="s">
        <v>4779</v>
      </c>
      <c r="O26" s="262" t="s">
        <v>4779</v>
      </c>
      <c r="P26" s="263" t="s">
        <v>4779</v>
      </c>
    </row>
    <row r="27" spans="1:16">
      <c r="A27" s="257" t="s">
        <v>3454</v>
      </c>
      <c r="B27" s="258" t="s">
        <v>4863</v>
      </c>
      <c r="C27" s="258" t="s">
        <v>4864</v>
      </c>
      <c r="D27" s="258" t="s">
        <v>4865</v>
      </c>
      <c r="E27" s="259">
        <v>1</v>
      </c>
      <c r="F27" s="259">
        <v>1</v>
      </c>
      <c r="G27" s="259">
        <v>1</v>
      </c>
      <c r="H27" s="258" t="s">
        <v>4866</v>
      </c>
      <c r="I27" s="260">
        <v>400</v>
      </c>
      <c r="J27" s="261">
        <f>E27*$I27</f>
        <v>400</v>
      </c>
      <c r="K27" s="261">
        <f>F27*$I27</f>
        <v>400</v>
      </c>
      <c r="L27" s="261">
        <f>G27*$I27</f>
        <v>400</v>
      </c>
      <c r="M27" s="258" t="s">
        <v>4758</v>
      </c>
      <c r="N27" s="262" t="s">
        <v>2230</v>
      </c>
      <c r="O27" s="262" t="s">
        <v>2230</v>
      </c>
      <c r="P27" s="263" t="s">
        <v>4779</v>
      </c>
    </row>
    <row r="28" spans="1:16">
      <c r="A28" s="264" t="s">
        <v>4867</v>
      </c>
      <c r="B28" s="265" t="s">
        <v>4868</v>
      </c>
      <c r="C28" s="265" t="s">
        <v>4869</v>
      </c>
      <c r="D28" s="265" t="s">
        <v>4870</v>
      </c>
      <c r="E28" s="266">
        <v>5000000</v>
      </c>
      <c r="F28" s="266">
        <v>15000000</v>
      </c>
      <c r="G28" s="266">
        <v>25000000</v>
      </c>
      <c r="H28" s="265" t="s">
        <v>4871</v>
      </c>
      <c r="I28" s="267">
        <v>9.9999999999999995E-8</v>
      </c>
      <c r="J28" s="268">
        <f>E28*$I28</f>
        <v>0.5</v>
      </c>
      <c r="K28" s="268">
        <f>F28*$I28</f>
        <v>1.5</v>
      </c>
      <c r="L28" s="268">
        <f>G28*$I28</f>
        <v>2.5</v>
      </c>
      <c r="M28" s="265" t="s">
        <v>4750</v>
      </c>
      <c r="N28" s="269" t="s">
        <v>2230</v>
      </c>
      <c r="O28" s="269" t="s">
        <v>4779</v>
      </c>
      <c r="P28" s="270" t="s">
        <v>4779</v>
      </c>
    </row>
    <row r="29" spans="1:16">
      <c r="A29" s="32" t="s">
        <v>4840</v>
      </c>
      <c r="B29" s="32" t="s">
        <v>4841</v>
      </c>
      <c r="C29" s="32" t="s">
        <v>4842</v>
      </c>
      <c r="D29" s="252">
        <f>SUMIF($N$6:$N$28,"○",$J$6:$J$28)</f>
        <v>70.2</v>
      </c>
      <c r="E29" s="252">
        <f>SUMIF($N$6:$N$28,"○",$K$6:$K$28)</f>
        <v>287</v>
      </c>
      <c r="F29" s="252">
        <f>SUMIF($N$6:$N$28,"○",$L$6:$L$28)</f>
        <v>558</v>
      </c>
      <c r="G29" s="32"/>
      <c r="H29" s="32"/>
      <c r="I29" s="32"/>
      <c r="J29" s="32"/>
      <c r="K29" s="32"/>
      <c r="L29" s="32"/>
      <c r="M29" s="32"/>
      <c r="N29" s="32"/>
      <c r="O29" s="32"/>
      <c r="P29" s="32"/>
    </row>
    <row r="30" spans="1:16">
      <c r="A30" s="32" t="s">
        <v>4843</v>
      </c>
      <c r="B30" s="32" t="s">
        <v>4844</v>
      </c>
      <c r="C30" s="32" t="s">
        <v>4845</v>
      </c>
      <c r="D30" s="252">
        <f>SUMIF($O$6:$O$28,"○",$J$6:$J$28)</f>
        <v>128.44999999999999</v>
      </c>
      <c r="E30" s="252">
        <f>SUMIF($O$6:$O$28,"○",$K$6:$K$28)</f>
        <v>557.25</v>
      </c>
      <c r="F30" s="252">
        <f>SUMIF($O$6:$O$28,"○",$L$6:$L$28)</f>
        <v>1093</v>
      </c>
      <c r="G30" s="32"/>
      <c r="H30" s="32"/>
      <c r="I30" s="32"/>
      <c r="J30" s="32"/>
      <c r="K30" s="32"/>
      <c r="L30" s="32"/>
      <c r="M30" s="32"/>
      <c r="N30" s="32"/>
      <c r="O30" s="32"/>
      <c r="P30" s="32"/>
    </row>
    <row r="31" spans="1:16">
      <c r="A31" s="32" t="s">
        <v>4846</v>
      </c>
      <c r="B31" s="32" t="s">
        <v>4847</v>
      </c>
      <c r="C31" s="32" t="s">
        <v>4845</v>
      </c>
      <c r="D31" s="252">
        <f>SUMIF($P$6:$P$28,"○",$J$6:$J$28)</f>
        <v>2958.2569999999996</v>
      </c>
      <c r="E31" s="252">
        <f>SUMIF($P$6:$P$28,"○",$K$6:$K$28)</f>
        <v>3387.0569999999998</v>
      </c>
      <c r="F31" s="252">
        <f>SUMIF($P$6:$P$28,"○",$L$6:$L$28)</f>
        <v>3922.8069999999998</v>
      </c>
      <c r="G31" s="32"/>
      <c r="H31" s="32"/>
      <c r="I31" s="32"/>
      <c r="J31" s="32"/>
      <c r="K31" s="32"/>
      <c r="L31" s="32"/>
      <c r="M31" s="32"/>
      <c r="N31" s="32"/>
      <c r="O31" s="32"/>
      <c r="P31" s="32"/>
    </row>
    <row r="32" spans="1:16">
      <c r="A32" s="32"/>
      <c r="B32" s="32"/>
      <c r="C32" s="32"/>
      <c r="D32" s="32"/>
      <c r="E32" s="32"/>
      <c r="F32" s="32"/>
      <c r="G32" s="32"/>
      <c r="H32" s="32"/>
      <c r="I32" s="32"/>
      <c r="J32" s="32"/>
      <c r="K32" s="32"/>
      <c r="L32" s="32"/>
      <c r="M32" s="32"/>
      <c r="N32" s="32"/>
      <c r="O32" s="32"/>
      <c r="P32" s="32"/>
    </row>
    <row r="33" spans="1:16">
      <c r="A33" s="251" t="s">
        <v>4848</v>
      </c>
      <c r="B33" s="32"/>
      <c r="C33" s="32"/>
      <c r="D33" s="32"/>
      <c r="E33" s="32"/>
      <c r="F33" s="32"/>
      <c r="G33" s="32"/>
      <c r="H33" s="32"/>
      <c r="I33" s="32"/>
      <c r="J33" s="32"/>
      <c r="K33" s="32"/>
      <c r="L33" s="32"/>
      <c r="M33" s="32"/>
      <c r="N33" s="32"/>
      <c r="O33" s="32"/>
      <c r="P33" s="32"/>
    </row>
    <row r="34" spans="1:16">
      <c r="A34" s="143" t="s">
        <v>4839</v>
      </c>
      <c r="B34" s="143" t="s">
        <v>4849</v>
      </c>
      <c r="C34" s="143" t="s">
        <v>4850</v>
      </c>
      <c r="D34" s="143" t="s">
        <v>4851</v>
      </c>
      <c r="E34" s="32"/>
      <c r="F34" s="32"/>
      <c r="G34" s="32"/>
      <c r="H34" s="32"/>
      <c r="I34" s="32"/>
      <c r="J34" s="32"/>
      <c r="K34" s="32"/>
      <c r="L34" s="32"/>
      <c r="M34" s="32"/>
      <c r="N34" s="32"/>
      <c r="O34" s="32"/>
      <c r="P34" s="32"/>
    </row>
    <row r="35" spans="1:16">
      <c r="A35" s="32" t="str">
        <f>A29</f>
        <v>① コールド（現行の設計）</v>
      </c>
      <c r="B35" s="253">
        <f>D29*コスト見積もり!$B$9</f>
        <v>10530</v>
      </c>
      <c r="C35" s="253">
        <f>E29*コスト見積もり!$B$9</f>
        <v>43050</v>
      </c>
      <c r="D35" s="253">
        <f>F29*コスト見積もり!$B$9</f>
        <v>83700</v>
      </c>
      <c r="E35" s="32"/>
      <c r="F35" s="32"/>
      <c r="G35" s="32"/>
      <c r="H35" s="32"/>
      <c r="I35" s="32"/>
      <c r="J35" s="32"/>
      <c r="K35" s="32"/>
      <c r="L35" s="32"/>
      <c r="M35" s="32"/>
      <c r="N35" s="32"/>
      <c r="O35" s="32"/>
      <c r="P35" s="32"/>
    </row>
    <row r="36" spans="1:16">
      <c r="A36" s="32" t="str">
        <f>A30</f>
        <v>② 複製のみ（弊社の推奨）</v>
      </c>
      <c r="B36" s="253">
        <f>D30*コスト見積もり!$B$9</f>
        <v>19267.5</v>
      </c>
      <c r="C36" s="253">
        <f>E30*コスト見積もり!$B$9</f>
        <v>83587.5</v>
      </c>
      <c r="D36" s="253">
        <f>F30*コスト見積もり!$B$9</f>
        <v>163950</v>
      </c>
      <c r="E36" s="32"/>
      <c r="F36" s="32"/>
      <c r="G36" s="32"/>
      <c r="H36" s="32"/>
      <c r="I36" s="32"/>
      <c r="J36" s="32"/>
      <c r="K36" s="32"/>
      <c r="L36" s="32"/>
      <c r="M36" s="32"/>
      <c r="N36" s="32"/>
      <c r="O36" s="32"/>
      <c r="P36" s="32"/>
    </row>
    <row r="37" spans="1:16">
      <c r="A37" s="32" t="str">
        <f>A31</f>
        <v>③ 常時稼働</v>
      </c>
      <c r="B37" s="253">
        <f>D31*コスト見積もり!$B$9</f>
        <v>443738.54999999993</v>
      </c>
      <c r="C37" s="253">
        <f>E31*コスト見積もり!$B$9</f>
        <v>508058.55</v>
      </c>
      <c r="D37" s="253">
        <f>F31*コスト見積もり!$B$9</f>
        <v>588421.04999999993</v>
      </c>
      <c r="E37" s="32"/>
      <c r="F37" s="32"/>
      <c r="G37" s="32"/>
      <c r="H37" s="32"/>
      <c r="I37" s="32"/>
      <c r="J37" s="32"/>
      <c r="K37" s="32"/>
      <c r="L37" s="32"/>
      <c r="M37" s="32"/>
      <c r="N37" s="32"/>
      <c r="O37" s="32"/>
      <c r="P37" s="32"/>
    </row>
    <row r="38" spans="1:16">
      <c r="A38" s="32"/>
      <c r="B38" s="32"/>
      <c r="C38" s="32"/>
      <c r="D38" s="32"/>
      <c r="E38" s="32"/>
      <c r="F38" s="32"/>
      <c r="G38" s="32"/>
      <c r="H38" s="32"/>
      <c r="I38" s="32"/>
      <c r="J38" s="32"/>
      <c r="K38" s="32"/>
      <c r="L38" s="32"/>
      <c r="M38" s="32"/>
      <c r="N38" s="32"/>
      <c r="O38" s="32"/>
      <c r="P38" s="32"/>
    </row>
    <row r="39" spans="1:16">
      <c r="A39" s="251" t="s">
        <v>4852</v>
      </c>
      <c r="B39" s="32"/>
      <c r="C39" s="32"/>
      <c r="D39" s="32"/>
      <c r="E39" s="32"/>
      <c r="F39" s="32"/>
      <c r="G39" s="32"/>
      <c r="H39" s="32"/>
      <c r="I39" s="32"/>
      <c r="J39" s="32"/>
      <c r="K39" s="32"/>
      <c r="L39" s="32"/>
      <c r="M39" s="32"/>
      <c r="N39" s="32"/>
      <c r="O39" s="32"/>
      <c r="P39" s="32"/>
    </row>
    <row r="40" spans="1:16">
      <c r="A40" s="32" t="str">
        <f>"①→② の差額（100万人）: 月 "&amp;TEXT(B36-B35,"#,##0")&amp;" 円 — この差額で「失うデータが数時間ぶん → 1分未満」に変わる"</f>
        <v>①→② の差額（100万人）: 月 8,738 円 — この差額で「失うデータが数時間ぶん → 1分未満」に変わる</v>
      </c>
      <c r="B40" s="32"/>
      <c r="C40" s="32"/>
      <c r="D40" s="32"/>
      <c r="E40" s="32"/>
      <c r="F40" s="32"/>
      <c r="G40" s="32"/>
      <c r="H40" s="32"/>
      <c r="I40" s="32"/>
      <c r="J40" s="32"/>
      <c r="K40" s="32"/>
      <c r="L40" s="32"/>
      <c r="M40" s="32"/>
      <c r="N40" s="32"/>
      <c r="O40" s="32"/>
      <c r="P40" s="32"/>
    </row>
    <row r="41" spans="1:16">
      <c r="A41" s="32" t="str">
        <f>"②→③ の差額（100万人）: 月 "&amp;TEXT(B37-B36,"#,##0")&amp;" 円（年 "&amp;TEXT((B37-B36)*12,"#,##0")&amp;" 円） — 買えるのは「復旧が数日 → 1日以下」だけ"</f>
        <v>②→③ の差額（100万人）: 月 424,471 円（年 5,093,653 円） — 買えるのは「復旧が数日 → 1日以下」だけ</v>
      </c>
      <c r="B41" s="32"/>
      <c r="C41" s="32"/>
      <c r="D41" s="32"/>
      <c r="E41" s="32"/>
      <c r="F41" s="32"/>
      <c r="G41" s="32"/>
      <c r="H41" s="32"/>
      <c r="I41" s="32"/>
      <c r="J41" s="32"/>
      <c r="K41" s="32"/>
      <c r="L41" s="32"/>
      <c r="M41" s="32"/>
      <c r="N41" s="32"/>
      <c r="O41" s="32"/>
      <c r="P41" s="32"/>
    </row>
    <row r="42" spans="1:16">
      <c r="A42" s="32" t="s">
        <v>4853</v>
      </c>
      <c r="B42" s="32"/>
      <c r="C42" s="32"/>
      <c r="D42" s="32"/>
      <c r="E42" s="32"/>
      <c r="F42" s="32"/>
      <c r="G42" s="32"/>
      <c r="H42" s="32"/>
      <c r="I42" s="32"/>
      <c r="J42" s="32"/>
      <c r="K42" s="32"/>
      <c r="L42" s="32"/>
      <c r="M42" s="32"/>
      <c r="N42" s="32"/>
      <c r="O42" s="32"/>
      <c r="P42" s="32"/>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5238</v>
      </c>
      <c r="B1" s="32"/>
      <c r="C1" s="32"/>
      <c r="D1" s="32"/>
      <c r="E1" s="32"/>
      <c r="F1" s="32"/>
      <c r="G1" s="32"/>
      <c r="H1" s="32"/>
      <c r="I1" s="32"/>
      <c r="J1" s="32"/>
      <c r="K1" s="32"/>
      <c r="L1" s="32"/>
      <c r="M1" s="32"/>
      <c r="N1" s="32"/>
    </row>
    <row r="2" spans="1:14">
      <c r="A2" s="290" t="s">
        <v>5239</v>
      </c>
      <c r="B2" s="32"/>
      <c r="C2" s="32"/>
      <c r="D2" s="32"/>
      <c r="E2" s="32"/>
      <c r="F2" s="32"/>
      <c r="G2" s="32"/>
      <c r="H2" s="32"/>
      <c r="I2" s="32"/>
      <c r="J2" s="32"/>
      <c r="K2" s="32"/>
      <c r="L2" s="32"/>
      <c r="M2" s="32"/>
      <c r="N2" s="32"/>
    </row>
    <row r="3" spans="1:14">
      <c r="A3" s="304" t="s">
        <v>5240</v>
      </c>
      <c r="B3" s="32"/>
      <c r="C3" s="32"/>
      <c r="D3" s="32"/>
      <c r="E3" s="32"/>
      <c r="F3" s="32"/>
      <c r="G3" s="32"/>
      <c r="H3" s="32"/>
      <c r="I3" s="32"/>
      <c r="J3" s="32"/>
      <c r="K3" s="32"/>
      <c r="L3" s="32"/>
      <c r="M3" s="32"/>
      <c r="N3" s="32"/>
    </row>
    <row r="4" spans="1:14">
      <c r="A4" s="32"/>
      <c r="B4" s="32"/>
      <c r="C4" s="32"/>
      <c r="D4" s="32"/>
      <c r="E4" s="32"/>
      <c r="F4" s="32"/>
      <c r="G4" s="32"/>
      <c r="H4" s="32"/>
      <c r="I4" s="32"/>
      <c r="J4" s="32"/>
      <c r="K4" s="32"/>
      <c r="L4" s="32"/>
      <c r="M4" s="32"/>
      <c r="N4" s="32"/>
    </row>
    <row r="5" spans="1:14">
      <c r="A5" s="291" t="s">
        <v>5197</v>
      </c>
      <c r="B5" s="292" t="s">
        <v>4928</v>
      </c>
      <c r="C5" s="292" t="s">
        <v>2518</v>
      </c>
      <c r="D5" s="292" t="s">
        <v>4929</v>
      </c>
      <c r="E5" s="292" t="s">
        <v>4930</v>
      </c>
      <c r="F5" s="292" t="s">
        <v>4931</v>
      </c>
      <c r="G5" s="293" t="s">
        <v>4932</v>
      </c>
      <c r="H5" s="293" t="s">
        <v>4933</v>
      </c>
      <c r="I5" s="293" t="s">
        <v>4934</v>
      </c>
      <c r="J5" s="293" t="s">
        <v>4935</v>
      </c>
      <c r="K5" s="294" t="s">
        <v>4936</v>
      </c>
      <c r="L5" s="294" t="s">
        <v>4937</v>
      </c>
      <c r="M5" s="294" t="s">
        <v>4938</v>
      </c>
      <c r="N5" s="295" t="s">
        <v>12</v>
      </c>
    </row>
    <row r="6" spans="1:14" ht="110" customHeight="1">
      <c r="A6" s="305">
        <v>7</v>
      </c>
      <c r="B6" s="296" t="s">
        <v>4939</v>
      </c>
      <c r="C6" s="296" t="s">
        <v>4940</v>
      </c>
      <c r="D6" s="297" t="s">
        <v>4332</v>
      </c>
      <c r="E6" s="296" t="s">
        <v>4941</v>
      </c>
      <c r="F6" s="296" t="s">
        <v>4942</v>
      </c>
      <c r="G6" s="296"/>
      <c r="H6" s="296"/>
      <c r="I6" s="296"/>
      <c r="J6" s="296"/>
      <c r="K6" s="296" t="s">
        <v>4943</v>
      </c>
      <c r="L6" s="296" t="s">
        <v>4944</v>
      </c>
      <c r="M6" s="296" t="s">
        <v>4945</v>
      </c>
      <c r="N6" s="298" t="s">
        <v>4946</v>
      </c>
    </row>
    <row r="7" spans="1:14" ht="110" customHeight="1">
      <c r="A7" s="305">
        <v>8</v>
      </c>
      <c r="B7" s="296" t="s">
        <v>4947</v>
      </c>
      <c r="C7" s="296" t="s">
        <v>4940</v>
      </c>
      <c r="D7" s="297" t="s">
        <v>4332</v>
      </c>
      <c r="E7" s="296" t="s">
        <v>4948</v>
      </c>
      <c r="F7" s="296" t="s">
        <v>4949</v>
      </c>
      <c r="G7" s="296"/>
      <c r="H7" s="296"/>
      <c r="I7" s="296"/>
      <c r="J7" s="296"/>
      <c r="K7" s="296" t="s">
        <v>4950</v>
      </c>
      <c r="L7" s="296" t="s">
        <v>4951</v>
      </c>
      <c r="M7" s="296" t="s">
        <v>4952</v>
      </c>
      <c r="N7" s="298" t="s">
        <v>4953</v>
      </c>
    </row>
    <row r="8" spans="1:14" ht="110" customHeight="1">
      <c r="A8" s="305">
        <v>9</v>
      </c>
      <c r="B8" s="296" t="s">
        <v>4954</v>
      </c>
      <c r="C8" s="296" t="s">
        <v>4940</v>
      </c>
      <c r="D8" s="297" t="s">
        <v>4332</v>
      </c>
      <c r="E8" s="296" t="s">
        <v>4955</v>
      </c>
      <c r="F8" s="296" t="s">
        <v>4956</v>
      </c>
      <c r="G8" s="296"/>
      <c r="H8" s="296"/>
      <c r="I8" s="296"/>
      <c r="J8" s="296"/>
      <c r="K8" s="296" t="s">
        <v>4957</v>
      </c>
      <c r="L8" s="296" t="s">
        <v>4958</v>
      </c>
      <c r="M8" s="296" t="s">
        <v>4959</v>
      </c>
      <c r="N8" s="298" t="s">
        <v>4960</v>
      </c>
    </row>
    <row r="9" spans="1:14" ht="110" customHeight="1">
      <c r="A9" s="305"/>
      <c r="B9" s="296" t="s">
        <v>4961</v>
      </c>
      <c r="C9" s="296" t="s">
        <v>4940</v>
      </c>
      <c r="D9" s="297" t="s">
        <v>4333</v>
      </c>
      <c r="E9" s="296" t="s">
        <v>4962</v>
      </c>
      <c r="F9" s="296" t="s">
        <v>4963</v>
      </c>
      <c r="G9" s="296"/>
      <c r="H9" s="296"/>
      <c r="I9" s="296"/>
      <c r="J9" s="296"/>
      <c r="K9" s="296" t="s">
        <v>4964</v>
      </c>
      <c r="L9" s="296" t="s">
        <v>4965</v>
      </c>
      <c r="M9" s="296" t="s">
        <v>4966</v>
      </c>
      <c r="N9" s="298" t="s">
        <v>4960</v>
      </c>
    </row>
    <row r="10" spans="1:14" ht="110" customHeight="1">
      <c r="A10" s="305"/>
      <c r="B10" s="296" t="s">
        <v>4967</v>
      </c>
      <c r="C10" s="296" t="s">
        <v>4940</v>
      </c>
      <c r="D10" s="297" t="s">
        <v>4333</v>
      </c>
      <c r="E10" s="296" t="s">
        <v>4968</v>
      </c>
      <c r="F10" s="296" t="s">
        <v>4969</v>
      </c>
      <c r="G10" s="296"/>
      <c r="H10" s="296"/>
      <c r="I10" s="296"/>
      <c r="J10" s="296"/>
      <c r="K10" s="296" t="s">
        <v>4970</v>
      </c>
      <c r="L10" s="296" t="s">
        <v>4971</v>
      </c>
      <c r="M10" s="296" t="s">
        <v>4972</v>
      </c>
      <c r="N10" s="298" t="s">
        <v>4973</v>
      </c>
    </row>
    <row r="11" spans="1:14" ht="110" customHeight="1">
      <c r="A11" s="305"/>
      <c r="B11" s="296" t="s">
        <v>4974</v>
      </c>
      <c r="C11" s="296" t="s">
        <v>4940</v>
      </c>
      <c r="D11" s="297" t="s">
        <v>4333</v>
      </c>
      <c r="E11" s="296" t="s">
        <v>4975</v>
      </c>
      <c r="F11" s="296" t="s">
        <v>4976</v>
      </c>
      <c r="G11" s="296"/>
      <c r="H11" s="296"/>
      <c r="I11" s="296"/>
      <c r="J11" s="296"/>
      <c r="K11" s="296" t="s">
        <v>4977</v>
      </c>
      <c r="L11" s="296" t="s">
        <v>4978</v>
      </c>
      <c r="M11" s="296" t="s">
        <v>4979</v>
      </c>
      <c r="N11" s="298" t="s">
        <v>4980</v>
      </c>
    </row>
    <row r="12" spans="1:14" ht="110" customHeight="1">
      <c r="A12" s="305"/>
      <c r="B12" s="296" t="s">
        <v>4981</v>
      </c>
      <c r="C12" s="296" t="s">
        <v>4940</v>
      </c>
      <c r="D12" s="297" t="s">
        <v>4333</v>
      </c>
      <c r="E12" s="296" t="s">
        <v>4982</v>
      </c>
      <c r="F12" s="296" t="s">
        <v>4983</v>
      </c>
      <c r="G12" s="296"/>
      <c r="H12" s="296"/>
      <c r="I12" s="296"/>
      <c r="J12" s="296"/>
      <c r="K12" s="296" t="s">
        <v>4984</v>
      </c>
      <c r="L12" s="296" t="s">
        <v>4985</v>
      </c>
      <c r="M12" s="296" t="s">
        <v>4986</v>
      </c>
      <c r="N12" s="298" t="s">
        <v>4987</v>
      </c>
    </row>
    <row r="13" spans="1:14" ht="110" customHeight="1">
      <c r="A13" s="305">
        <v>10</v>
      </c>
      <c r="B13" s="296" t="s">
        <v>4988</v>
      </c>
      <c r="C13" s="296" t="s">
        <v>4989</v>
      </c>
      <c r="D13" s="297" t="s">
        <v>4332</v>
      </c>
      <c r="E13" s="296" t="s">
        <v>4990</v>
      </c>
      <c r="F13" s="296" t="s">
        <v>4991</v>
      </c>
      <c r="G13" s="296"/>
      <c r="H13" s="296"/>
      <c r="I13" s="296"/>
      <c r="J13" s="296"/>
      <c r="K13" s="296" t="s">
        <v>4992</v>
      </c>
      <c r="L13" s="296" t="s">
        <v>4993</v>
      </c>
      <c r="M13" s="296" t="s">
        <v>4994</v>
      </c>
      <c r="N13" s="298" t="s">
        <v>4995</v>
      </c>
    </row>
    <row r="14" spans="1:14" ht="110" customHeight="1">
      <c r="A14" s="305">
        <v>11</v>
      </c>
      <c r="B14" s="296" t="s">
        <v>4996</v>
      </c>
      <c r="C14" s="296" t="s">
        <v>4989</v>
      </c>
      <c r="D14" s="297" t="s">
        <v>4332</v>
      </c>
      <c r="E14" s="296" t="s">
        <v>4997</v>
      </c>
      <c r="F14" s="296" t="s">
        <v>4998</v>
      </c>
      <c r="G14" s="296"/>
      <c r="H14" s="296"/>
      <c r="I14" s="296"/>
      <c r="J14" s="296"/>
      <c r="K14" s="296" t="s">
        <v>4999</v>
      </c>
      <c r="L14" s="296" t="s">
        <v>5000</v>
      </c>
      <c r="M14" s="296" t="s">
        <v>5001</v>
      </c>
      <c r="N14" s="298" t="s">
        <v>5002</v>
      </c>
    </row>
    <row r="15" spans="1:14" ht="110" customHeight="1">
      <c r="A15" s="305"/>
      <c r="B15" s="296" t="s">
        <v>5003</v>
      </c>
      <c r="C15" s="296" t="s">
        <v>4989</v>
      </c>
      <c r="D15" s="297" t="s">
        <v>4333</v>
      </c>
      <c r="E15" s="296" t="s">
        <v>5004</v>
      </c>
      <c r="F15" s="296" t="s">
        <v>5005</v>
      </c>
      <c r="G15" s="296"/>
      <c r="H15" s="296"/>
      <c r="I15" s="296"/>
      <c r="J15" s="296"/>
      <c r="K15" s="296" t="s">
        <v>5006</v>
      </c>
      <c r="L15" s="296" t="s">
        <v>5007</v>
      </c>
      <c r="M15" s="296" t="s">
        <v>5008</v>
      </c>
      <c r="N15" s="298" t="s">
        <v>901</v>
      </c>
    </row>
    <row r="16" spans="1:14" ht="110" customHeight="1">
      <c r="A16" s="305"/>
      <c r="B16" s="296" t="s">
        <v>5009</v>
      </c>
      <c r="C16" s="296" t="s">
        <v>4989</v>
      </c>
      <c r="D16" s="297" t="s">
        <v>4333</v>
      </c>
      <c r="E16" s="296" t="s">
        <v>5010</v>
      </c>
      <c r="F16" s="296" t="s">
        <v>5011</v>
      </c>
      <c r="G16" s="296"/>
      <c r="H16" s="296"/>
      <c r="I16" s="296"/>
      <c r="J16" s="296"/>
      <c r="K16" s="296" t="s">
        <v>5012</v>
      </c>
      <c r="L16" s="296" t="s">
        <v>5013</v>
      </c>
      <c r="M16" s="296" t="s">
        <v>5014</v>
      </c>
      <c r="N16" s="298" t="s">
        <v>5015</v>
      </c>
    </row>
    <row r="17" spans="1:14" ht="110" customHeight="1">
      <c r="A17" s="305"/>
      <c r="B17" s="296" t="s">
        <v>5016</v>
      </c>
      <c r="C17" s="296" t="s">
        <v>4989</v>
      </c>
      <c r="D17" s="297" t="s">
        <v>4333</v>
      </c>
      <c r="E17" s="296" t="s">
        <v>5017</v>
      </c>
      <c r="F17" s="296" t="s">
        <v>5018</v>
      </c>
      <c r="G17" s="296"/>
      <c r="H17" s="296"/>
      <c r="I17" s="296"/>
      <c r="J17" s="296"/>
      <c r="K17" s="296" t="s">
        <v>5019</v>
      </c>
      <c r="L17" s="296" t="s">
        <v>5020</v>
      </c>
      <c r="M17" s="296" t="s">
        <v>5021</v>
      </c>
      <c r="N17" s="298" t="s">
        <v>4980</v>
      </c>
    </row>
    <row r="18" spans="1:14" ht="110" customHeight="1">
      <c r="A18" s="305"/>
      <c r="B18" s="296" t="s">
        <v>5022</v>
      </c>
      <c r="C18" s="296" t="s">
        <v>4989</v>
      </c>
      <c r="D18" s="297" t="s">
        <v>4333</v>
      </c>
      <c r="E18" s="296" t="s">
        <v>5023</v>
      </c>
      <c r="F18" s="296" t="s">
        <v>5024</v>
      </c>
      <c r="G18" s="296"/>
      <c r="H18" s="296"/>
      <c r="I18" s="296"/>
      <c r="J18" s="296"/>
      <c r="K18" s="296" t="s">
        <v>5025</v>
      </c>
      <c r="L18" s="296" t="s">
        <v>5026</v>
      </c>
      <c r="M18" s="296" t="s">
        <v>5027</v>
      </c>
      <c r="N18" s="298" t="s">
        <v>5028</v>
      </c>
    </row>
    <row r="19" spans="1:14" ht="110" customHeight="1">
      <c r="A19" s="305"/>
      <c r="B19" s="296" t="s">
        <v>5029</v>
      </c>
      <c r="C19" s="296" t="s">
        <v>4989</v>
      </c>
      <c r="D19" s="297" t="s">
        <v>4334</v>
      </c>
      <c r="E19" s="296" t="s">
        <v>5030</v>
      </c>
      <c r="F19" s="296" t="s">
        <v>5031</v>
      </c>
      <c r="G19" s="296"/>
      <c r="H19" s="296"/>
      <c r="I19" s="296"/>
      <c r="J19" s="296"/>
      <c r="K19" s="296" t="s">
        <v>5032</v>
      </c>
      <c r="L19" s="296" t="s">
        <v>5033</v>
      </c>
      <c r="M19" s="296" t="s">
        <v>5034</v>
      </c>
      <c r="N19" s="298" t="s">
        <v>5035</v>
      </c>
    </row>
    <row r="20" spans="1:14" ht="110" customHeight="1">
      <c r="A20" s="305"/>
      <c r="B20" s="296" t="s">
        <v>5036</v>
      </c>
      <c r="C20" s="296" t="s">
        <v>4989</v>
      </c>
      <c r="D20" s="297" t="s">
        <v>4334</v>
      </c>
      <c r="E20" s="296" t="s">
        <v>5037</v>
      </c>
      <c r="F20" s="296" t="s">
        <v>5038</v>
      </c>
      <c r="G20" s="296"/>
      <c r="H20" s="296"/>
      <c r="I20" s="296"/>
      <c r="J20" s="296"/>
      <c r="K20" s="296" t="s">
        <v>5039</v>
      </c>
      <c r="L20" s="296" t="s">
        <v>5040</v>
      </c>
      <c r="M20" s="296" t="s">
        <v>5041</v>
      </c>
      <c r="N20" s="298" t="s">
        <v>5042</v>
      </c>
    </row>
    <row r="21" spans="1:14" ht="110" customHeight="1">
      <c r="A21" s="305">
        <v>12</v>
      </c>
      <c r="B21" s="296" t="s">
        <v>5043</v>
      </c>
      <c r="C21" s="296" t="s">
        <v>5044</v>
      </c>
      <c r="D21" s="297" t="s">
        <v>4332</v>
      </c>
      <c r="E21" s="296" t="s">
        <v>5045</v>
      </c>
      <c r="F21" s="296" t="s">
        <v>5046</v>
      </c>
      <c r="G21" s="296"/>
      <c r="H21" s="296"/>
      <c r="I21" s="296"/>
      <c r="J21" s="296"/>
      <c r="K21" s="296" t="s">
        <v>5047</v>
      </c>
      <c r="L21" s="296" t="s">
        <v>5048</v>
      </c>
      <c r="M21" s="296" t="s">
        <v>5049</v>
      </c>
      <c r="N21" s="298" t="s">
        <v>4953</v>
      </c>
    </row>
    <row r="22" spans="1:14" ht="110" customHeight="1">
      <c r="A22" s="305">
        <v>13</v>
      </c>
      <c r="B22" s="296" t="s">
        <v>5050</v>
      </c>
      <c r="C22" s="296" t="s">
        <v>5044</v>
      </c>
      <c r="D22" s="297" t="s">
        <v>4332</v>
      </c>
      <c r="E22" s="296" t="s">
        <v>5051</v>
      </c>
      <c r="F22" s="296" t="s">
        <v>5052</v>
      </c>
      <c r="G22" s="296"/>
      <c r="H22" s="296"/>
      <c r="I22" s="296"/>
      <c r="J22" s="296"/>
      <c r="K22" s="296" t="s">
        <v>5053</v>
      </c>
      <c r="L22" s="296" t="s">
        <v>5054</v>
      </c>
      <c r="M22" s="296" t="s">
        <v>5055</v>
      </c>
      <c r="N22" s="298" t="s">
        <v>5056</v>
      </c>
    </row>
    <row r="23" spans="1:14" ht="110" customHeight="1">
      <c r="A23" s="305"/>
      <c r="B23" s="296" t="s">
        <v>5057</v>
      </c>
      <c r="C23" s="296" t="s">
        <v>5044</v>
      </c>
      <c r="D23" s="297" t="s">
        <v>4333</v>
      </c>
      <c r="E23" s="296" t="s">
        <v>5058</v>
      </c>
      <c r="F23" s="296" t="s">
        <v>5059</v>
      </c>
      <c r="G23" s="296"/>
      <c r="H23" s="296"/>
      <c r="I23" s="296"/>
      <c r="J23" s="296"/>
      <c r="K23" s="296" t="s">
        <v>5060</v>
      </c>
      <c r="L23" s="296" t="s">
        <v>5061</v>
      </c>
      <c r="M23" s="296" t="s">
        <v>5062</v>
      </c>
      <c r="N23" s="298" t="s">
        <v>5063</v>
      </c>
    </row>
    <row r="24" spans="1:14" ht="110" customHeight="1">
      <c r="A24" s="305"/>
      <c r="B24" s="296" t="s">
        <v>5064</v>
      </c>
      <c r="C24" s="296" t="s">
        <v>5044</v>
      </c>
      <c r="D24" s="297" t="s">
        <v>4333</v>
      </c>
      <c r="E24" s="296" t="s">
        <v>5065</v>
      </c>
      <c r="F24" s="296" t="s">
        <v>5066</v>
      </c>
      <c r="G24" s="296"/>
      <c r="H24" s="296"/>
      <c r="I24" s="296"/>
      <c r="J24" s="296"/>
      <c r="K24" s="296" t="s">
        <v>5067</v>
      </c>
      <c r="L24" s="296" t="s">
        <v>5068</v>
      </c>
      <c r="M24" s="296" t="s">
        <v>5069</v>
      </c>
      <c r="N24" s="298" t="s">
        <v>5070</v>
      </c>
    </row>
    <row r="25" spans="1:14" ht="110" customHeight="1">
      <c r="A25" s="305"/>
      <c r="B25" s="296" t="s">
        <v>5071</v>
      </c>
      <c r="C25" s="296" t="s">
        <v>5044</v>
      </c>
      <c r="D25" s="297" t="s">
        <v>4333</v>
      </c>
      <c r="E25" s="296" t="s">
        <v>5072</v>
      </c>
      <c r="F25" s="296" t="s">
        <v>5073</v>
      </c>
      <c r="G25" s="296"/>
      <c r="H25" s="296"/>
      <c r="I25" s="296"/>
      <c r="J25" s="296"/>
      <c r="K25" s="296" t="s">
        <v>5074</v>
      </c>
      <c r="L25" s="296" t="s">
        <v>5075</v>
      </c>
      <c r="M25" s="296" t="s">
        <v>5076</v>
      </c>
      <c r="N25" s="298" t="s">
        <v>5077</v>
      </c>
    </row>
    <row r="26" spans="1:14" ht="110" customHeight="1">
      <c r="A26" s="305"/>
      <c r="B26" s="296" t="s">
        <v>5078</v>
      </c>
      <c r="C26" s="296" t="s">
        <v>5044</v>
      </c>
      <c r="D26" s="297" t="s">
        <v>4333</v>
      </c>
      <c r="E26" s="296" t="s">
        <v>5079</v>
      </c>
      <c r="F26" s="296" t="s">
        <v>5080</v>
      </c>
      <c r="G26" s="296"/>
      <c r="H26" s="296"/>
      <c r="I26" s="296"/>
      <c r="J26" s="296"/>
      <c r="K26" s="296" t="s">
        <v>5081</v>
      </c>
      <c r="L26" s="296" t="s">
        <v>5082</v>
      </c>
      <c r="M26" s="296" t="s">
        <v>5083</v>
      </c>
      <c r="N26" s="298" t="s">
        <v>5084</v>
      </c>
    </row>
    <row r="27" spans="1:14" ht="110" customHeight="1">
      <c r="A27" s="305">
        <v>2</v>
      </c>
      <c r="B27" s="296" t="s">
        <v>5085</v>
      </c>
      <c r="C27" s="296" t="s">
        <v>5086</v>
      </c>
      <c r="D27" s="297" t="s">
        <v>4332</v>
      </c>
      <c r="E27" s="296" t="s">
        <v>5087</v>
      </c>
      <c r="F27" s="296" t="s">
        <v>5088</v>
      </c>
      <c r="G27" s="296"/>
      <c r="H27" s="296"/>
      <c r="I27" s="296"/>
      <c r="J27" s="296"/>
      <c r="K27" s="296" t="s">
        <v>5089</v>
      </c>
      <c r="L27" s="296" t="s">
        <v>5090</v>
      </c>
      <c r="M27" s="296" t="s">
        <v>5091</v>
      </c>
      <c r="N27" s="298" t="s">
        <v>5092</v>
      </c>
    </row>
    <row r="28" spans="1:14" ht="110" customHeight="1">
      <c r="A28" s="305">
        <v>3</v>
      </c>
      <c r="B28" s="296" t="s">
        <v>5093</v>
      </c>
      <c r="C28" s="296" t="s">
        <v>5086</v>
      </c>
      <c r="D28" s="297" t="s">
        <v>4332</v>
      </c>
      <c r="E28" s="296" t="s">
        <v>5094</v>
      </c>
      <c r="F28" s="296" t="s">
        <v>5095</v>
      </c>
      <c r="G28" s="296"/>
      <c r="H28" s="296"/>
      <c r="I28" s="296"/>
      <c r="J28" s="296"/>
      <c r="K28" s="296" t="s">
        <v>5096</v>
      </c>
      <c r="L28" s="296" t="s">
        <v>5097</v>
      </c>
      <c r="M28" s="296" t="s">
        <v>5098</v>
      </c>
      <c r="N28" s="298" t="s">
        <v>5099</v>
      </c>
    </row>
    <row r="29" spans="1:14" ht="110" customHeight="1">
      <c r="A29" s="305">
        <v>4</v>
      </c>
      <c r="B29" s="296" t="s">
        <v>5100</v>
      </c>
      <c r="C29" s="296" t="s">
        <v>5086</v>
      </c>
      <c r="D29" s="297" t="s">
        <v>4332</v>
      </c>
      <c r="E29" s="296" t="s">
        <v>5101</v>
      </c>
      <c r="F29" s="296" t="s">
        <v>5102</v>
      </c>
      <c r="G29" s="296"/>
      <c r="H29" s="296"/>
      <c r="I29" s="296"/>
      <c r="J29" s="296"/>
      <c r="K29" s="296" t="s">
        <v>5103</v>
      </c>
      <c r="L29" s="296" t="s">
        <v>5104</v>
      </c>
      <c r="M29" s="296" t="s">
        <v>5105</v>
      </c>
      <c r="N29" s="298" t="s">
        <v>4953</v>
      </c>
    </row>
    <row r="30" spans="1:14" ht="110" customHeight="1">
      <c r="A30" s="305"/>
      <c r="B30" s="296" t="s">
        <v>5106</v>
      </c>
      <c r="C30" s="296" t="s">
        <v>5086</v>
      </c>
      <c r="D30" s="297" t="s">
        <v>4333</v>
      </c>
      <c r="E30" s="296" t="s">
        <v>5107</v>
      </c>
      <c r="F30" s="296" t="s">
        <v>5108</v>
      </c>
      <c r="G30" s="296"/>
      <c r="H30" s="296"/>
      <c r="I30" s="296"/>
      <c r="J30" s="296"/>
      <c r="K30" s="296" t="s">
        <v>5109</v>
      </c>
      <c r="L30" s="296" t="s">
        <v>5110</v>
      </c>
      <c r="M30" s="296" t="s">
        <v>5111</v>
      </c>
      <c r="N30" s="298" t="s">
        <v>5112</v>
      </c>
    </row>
    <row r="31" spans="1:14" ht="110" customHeight="1">
      <c r="A31" s="305"/>
      <c r="B31" s="296" t="s">
        <v>5113</v>
      </c>
      <c r="C31" s="296" t="s">
        <v>5086</v>
      </c>
      <c r="D31" s="297" t="s">
        <v>4333</v>
      </c>
      <c r="E31" s="296" t="s">
        <v>5114</v>
      </c>
      <c r="F31" s="296" t="s">
        <v>5115</v>
      </c>
      <c r="G31" s="296"/>
      <c r="H31" s="296"/>
      <c r="I31" s="296"/>
      <c r="J31" s="296"/>
      <c r="K31" s="296" t="s">
        <v>5116</v>
      </c>
      <c r="L31" s="296" t="s">
        <v>5117</v>
      </c>
      <c r="M31" s="296" t="s">
        <v>5118</v>
      </c>
      <c r="N31" s="298" t="s">
        <v>5119</v>
      </c>
    </row>
    <row r="32" spans="1:14" ht="110" customHeight="1">
      <c r="A32" s="305"/>
      <c r="B32" s="296" t="s">
        <v>5120</v>
      </c>
      <c r="C32" s="296" t="s">
        <v>5086</v>
      </c>
      <c r="D32" s="297" t="s">
        <v>4333</v>
      </c>
      <c r="E32" s="296" t="s">
        <v>5121</v>
      </c>
      <c r="F32" s="296" t="s">
        <v>5122</v>
      </c>
      <c r="G32" s="296"/>
      <c r="H32" s="296"/>
      <c r="I32" s="296"/>
      <c r="J32" s="296"/>
      <c r="K32" s="296" t="s">
        <v>5123</v>
      </c>
      <c r="L32" s="296" t="s">
        <v>5124</v>
      </c>
      <c r="M32" s="296" t="s">
        <v>5125</v>
      </c>
      <c r="N32" s="298" t="s">
        <v>5126</v>
      </c>
    </row>
    <row r="33" spans="1:14" ht="110" customHeight="1">
      <c r="A33" s="305"/>
      <c r="B33" s="296" t="s">
        <v>5127</v>
      </c>
      <c r="C33" s="296" t="s">
        <v>5086</v>
      </c>
      <c r="D33" s="297" t="s">
        <v>4334</v>
      </c>
      <c r="E33" s="296" t="s">
        <v>5128</v>
      </c>
      <c r="F33" s="296" t="s">
        <v>5129</v>
      </c>
      <c r="G33" s="296"/>
      <c r="H33" s="296"/>
      <c r="I33" s="296"/>
      <c r="J33" s="296"/>
      <c r="K33" s="296" t="s">
        <v>5130</v>
      </c>
      <c r="L33" s="296" t="s">
        <v>5131</v>
      </c>
      <c r="M33" s="296" t="s">
        <v>5132</v>
      </c>
      <c r="N33" s="298" t="s">
        <v>5133</v>
      </c>
    </row>
    <row r="34" spans="1:14" ht="110" customHeight="1">
      <c r="A34" s="305">
        <v>17</v>
      </c>
      <c r="B34" s="296" t="s">
        <v>5134</v>
      </c>
      <c r="C34" s="296" t="s">
        <v>5135</v>
      </c>
      <c r="D34" s="297" t="s">
        <v>4332</v>
      </c>
      <c r="E34" s="296" t="s">
        <v>5136</v>
      </c>
      <c r="F34" s="296" t="s">
        <v>5137</v>
      </c>
      <c r="G34" s="296"/>
      <c r="H34" s="296"/>
      <c r="I34" s="296"/>
      <c r="J34" s="296"/>
      <c r="K34" s="296" t="s">
        <v>5138</v>
      </c>
      <c r="L34" s="296" t="s">
        <v>5139</v>
      </c>
      <c r="M34" s="296" t="s">
        <v>5140</v>
      </c>
      <c r="N34" s="298" t="s">
        <v>5141</v>
      </c>
    </row>
    <row r="35" spans="1:14" ht="110" customHeight="1">
      <c r="A35" s="305"/>
      <c r="B35" s="296" t="s">
        <v>5142</v>
      </c>
      <c r="C35" s="296" t="s">
        <v>5135</v>
      </c>
      <c r="D35" s="297" t="s">
        <v>4333</v>
      </c>
      <c r="E35" s="296" t="s">
        <v>5143</v>
      </c>
      <c r="F35" s="296" t="s">
        <v>5144</v>
      </c>
      <c r="G35" s="296"/>
      <c r="H35" s="296"/>
      <c r="I35" s="296"/>
      <c r="J35" s="296"/>
      <c r="K35" s="296" t="s">
        <v>5145</v>
      </c>
      <c r="L35" s="296" t="s">
        <v>5146</v>
      </c>
      <c r="M35" s="296" t="s">
        <v>5147</v>
      </c>
      <c r="N35" s="298" t="s">
        <v>4960</v>
      </c>
    </row>
    <row r="36" spans="1:14" ht="110" customHeight="1">
      <c r="A36" s="305"/>
      <c r="B36" s="296" t="s">
        <v>5148</v>
      </c>
      <c r="C36" s="296" t="s">
        <v>5135</v>
      </c>
      <c r="D36" s="297" t="s">
        <v>4333</v>
      </c>
      <c r="E36" s="296" t="s">
        <v>5149</v>
      </c>
      <c r="F36" s="296" t="s">
        <v>5150</v>
      </c>
      <c r="G36" s="296"/>
      <c r="H36" s="296"/>
      <c r="I36" s="296"/>
      <c r="J36" s="296"/>
      <c r="K36" s="296" t="s">
        <v>5151</v>
      </c>
      <c r="L36" s="296" t="s">
        <v>5152</v>
      </c>
      <c r="M36" s="296" t="s">
        <v>5153</v>
      </c>
      <c r="N36" s="298" t="s">
        <v>2681</v>
      </c>
    </row>
    <row r="37" spans="1:14" ht="110" customHeight="1">
      <c r="A37" s="305"/>
      <c r="B37" s="296" t="s">
        <v>5154</v>
      </c>
      <c r="C37" s="296" t="s">
        <v>5135</v>
      </c>
      <c r="D37" s="297" t="s">
        <v>4333</v>
      </c>
      <c r="E37" s="296" t="s">
        <v>5155</v>
      </c>
      <c r="F37" s="296" t="s">
        <v>5156</v>
      </c>
      <c r="G37" s="296"/>
      <c r="H37" s="296"/>
      <c r="I37" s="296"/>
      <c r="J37" s="296"/>
      <c r="K37" s="296" t="s">
        <v>5157</v>
      </c>
      <c r="L37" s="296" t="s">
        <v>5158</v>
      </c>
      <c r="M37" s="296" t="s">
        <v>5159</v>
      </c>
      <c r="N37" s="298" t="s">
        <v>5160</v>
      </c>
    </row>
    <row r="38" spans="1:14" ht="110" customHeight="1">
      <c r="A38" s="305"/>
      <c r="B38" s="296" t="s">
        <v>5161</v>
      </c>
      <c r="C38" s="296" t="s">
        <v>5135</v>
      </c>
      <c r="D38" s="297" t="s">
        <v>4334</v>
      </c>
      <c r="E38" s="296" t="s">
        <v>5162</v>
      </c>
      <c r="F38" s="296" t="s">
        <v>5163</v>
      </c>
      <c r="G38" s="296"/>
      <c r="H38" s="296"/>
      <c r="I38" s="296"/>
      <c r="J38" s="296"/>
      <c r="K38" s="296" t="s">
        <v>5164</v>
      </c>
      <c r="L38" s="296" t="s">
        <v>5165</v>
      </c>
      <c r="M38" s="296" t="s">
        <v>5166</v>
      </c>
      <c r="N38" s="298" t="s">
        <v>5167</v>
      </c>
    </row>
    <row r="39" spans="1:14" ht="110" customHeight="1">
      <c r="A39" s="305">
        <v>18</v>
      </c>
      <c r="B39" s="296" t="s">
        <v>5168</v>
      </c>
      <c r="C39" s="296" t="s">
        <v>5169</v>
      </c>
      <c r="D39" s="297" t="s">
        <v>4332</v>
      </c>
      <c r="E39" s="296" t="s">
        <v>5170</v>
      </c>
      <c r="F39" s="296" t="s">
        <v>5171</v>
      </c>
      <c r="G39" s="296"/>
      <c r="H39" s="296"/>
      <c r="I39" s="296"/>
      <c r="J39" s="296"/>
      <c r="K39" s="296" t="s">
        <v>5172</v>
      </c>
      <c r="L39" s="296" t="s">
        <v>5173</v>
      </c>
      <c r="M39" s="296" t="s">
        <v>5174</v>
      </c>
      <c r="N39" s="298" t="s">
        <v>5175</v>
      </c>
    </row>
    <row r="40" spans="1:14" ht="110" customHeight="1">
      <c r="A40" s="305"/>
      <c r="B40" s="296" t="s">
        <v>5176</v>
      </c>
      <c r="C40" s="296" t="s">
        <v>5169</v>
      </c>
      <c r="D40" s="297" t="s">
        <v>4333</v>
      </c>
      <c r="E40" s="296" t="s">
        <v>5177</v>
      </c>
      <c r="F40" s="296" t="s">
        <v>5178</v>
      </c>
      <c r="G40" s="296"/>
      <c r="H40" s="296"/>
      <c r="I40" s="296"/>
      <c r="J40" s="296"/>
      <c r="K40" s="296" t="s">
        <v>5175</v>
      </c>
      <c r="L40" s="296" t="s">
        <v>5179</v>
      </c>
      <c r="M40" s="296" t="s">
        <v>5180</v>
      </c>
      <c r="N40" s="298" t="s">
        <v>5175</v>
      </c>
    </row>
    <row r="41" spans="1:14" ht="110" customHeight="1">
      <c r="A41" s="305"/>
      <c r="B41" s="296" t="s">
        <v>5181</v>
      </c>
      <c r="C41" s="296" t="s">
        <v>5169</v>
      </c>
      <c r="D41" s="297" t="s">
        <v>4333</v>
      </c>
      <c r="E41" s="296" t="s">
        <v>5182</v>
      </c>
      <c r="F41" s="296" t="s">
        <v>5183</v>
      </c>
      <c r="G41" s="296"/>
      <c r="H41" s="296"/>
      <c r="I41" s="296"/>
      <c r="J41" s="296"/>
      <c r="K41" s="296" t="s">
        <v>5184</v>
      </c>
      <c r="L41" s="296" t="s">
        <v>5185</v>
      </c>
      <c r="M41" s="296" t="s">
        <v>5186</v>
      </c>
      <c r="N41" s="298" t="s">
        <v>5187</v>
      </c>
    </row>
    <row r="42" spans="1:14" ht="110" customHeight="1">
      <c r="A42" s="306"/>
      <c r="B42" s="299" t="s">
        <v>5188</v>
      </c>
      <c r="C42" s="299" t="s">
        <v>5169</v>
      </c>
      <c r="D42" s="300" t="s">
        <v>4333</v>
      </c>
      <c r="E42" s="299" t="s">
        <v>5189</v>
      </c>
      <c r="F42" s="299" t="s">
        <v>5190</v>
      </c>
      <c r="G42" s="299"/>
      <c r="H42" s="299"/>
      <c r="I42" s="299"/>
      <c r="J42" s="299"/>
      <c r="K42" s="299" t="s">
        <v>5191</v>
      </c>
      <c r="L42" s="299" t="s">
        <v>5192</v>
      </c>
      <c r="M42" s="299" t="s">
        <v>5193</v>
      </c>
      <c r="N42" s="301" t="s">
        <v>5194</v>
      </c>
    </row>
    <row r="43" spans="1:14" ht="110" customHeight="1">
      <c r="A43" s="306">
        <v>1</v>
      </c>
      <c r="B43" s="299" t="s">
        <v>5198</v>
      </c>
      <c r="C43" s="299" t="s">
        <v>5199</v>
      </c>
      <c r="D43" s="300" t="s">
        <v>4332</v>
      </c>
      <c r="E43" s="299" t="s">
        <v>5200</v>
      </c>
      <c r="F43" s="299" t="s">
        <v>5201</v>
      </c>
      <c r="G43" s="299"/>
      <c r="H43" s="299"/>
      <c r="I43" s="299"/>
      <c r="J43" s="299"/>
      <c r="K43" s="299" t="s">
        <v>5202</v>
      </c>
      <c r="L43" s="299" t="s">
        <v>5203</v>
      </c>
      <c r="M43" s="299" t="s">
        <v>5204</v>
      </c>
      <c r="N43" s="301" t="s">
        <v>5205</v>
      </c>
    </row>
    <row r="44" spans="1:14" ht="110" customHeight="1">
      <c r="A44" s="306">
        <v>14</v>
      </c>
      <c r="B44" s="299" t="s">
        <v>5206</v>
      </c>
      <c r="C44" s="299" t="s">
        <v>5199</v>
      </c>
      <c r="D44" s="300" t="s">
        <v>4332</v>
      </c>
      <c r="E44" s="299" t="s">
        <v>5207</v>
      </c>
      <c r="F44" s="299" t="s">
        <v>5208</v>
      </c>
      <c r="G44" s="299"/>
      <c r="H44" s="299"/>
      <c r="I44" s="299"/>
      <c r="J44" s="299"/>
      <c r="K44" s="299" t="s">
        <v>5209</v>
      </c>
      <c r="L44" s="299" t="s">
        <v>5210</v>
      </c>
      <c r="M44" s="299" t="s">
        <v>5211</v>
      </c>
      <c r="N44" s="301" t="s">
        <v>5212</v>
      </c>
    </row>
    <row r="45" spans="1:14" ht="110" customHeight="1">
      <c r="A45" s="306">
        <v>5</v>
      </c>
      <c r="B45" s="299" t="s">
        <v>5213</v>
      </c>
      <c r="C45" s="299" t="s">
        <v>5199</v>
      </c>
      <c r="D45" s="300" t="s">
        <v>4332</v>
      </c>
      <c r="E45" s="299" t="s">
        <v>5214</v>
      </c>
      <c r="F45" s="299" t="s">
        <v>5215</v>
      </c>
      <c r="G45" s="299"/>
      <c r="H45" s="299"/>
      <c r="I45" s="299"/>
      <c r="J45" s="299"/>
      <c r="K45" s="299" t="s">
        <v>5216</v>
      </c>
      <c r="L45" s="299" t="s">
        <v>5217</v>
      </c>
      <c r="M45" s="299" t="s">
        <v>5218</v>
      </c>
      <c r="N45" s="301" t="s">
        <v>5219</v>
      </c>
    </row>
    <row r="46" spans="1:14" ht="110" customHeight="1">
      <c r="A46" s="306">
        <v>6</v>
      </c>
      <c r="B46" s="299" t="s">
        <v>5220</v>
      </c>
      <c r="C46" s="299" t="s">
        <v>5199</v>
      </c>
      <c r="D46" s="300" t="s">
        <v>4333</v>
      </c>
      <c r="E46" s="299" t="s">
        <v>5221</v>
      </c>
      <c r="F46" s="299" t="s">
        <v>5222</v>
      </c>
      <c r="G46" s="299"/>
      <c r="H46" s="299"/>
      <c r="I46" s="299"/>
      <c r="J46" s="299"/>
      <c r="K46" s="299" t="s">
        <v>5223</v>
      </c>
      <c r="L46" s="299" t="s">
        <v>5224</v>
      </c>
      <c r="M46" s="299" t="s">
        <v>5225</v>
      </c>
      <c r="N46" s="301" t="s">
        <v>5226</v>
      </c>
    </row>
    <row r="47" spans="1:14" ht="110" customHeight="1">
      <c r="A47" s="306">
        <v>15</v>
      </c>
      <c r="B47" s="299" t="s">
        <v>5227</v>
      </c>
      <c r="C47" s="299" t="s">
        <v>5199</v>
      </c>
      <c r="D47" s="300" t="s">
        <v>4333</v>
      </c>
      <c r="E47" s="299" t="s">
        <v>5228</v>
      </c>
      <c r="F47" s="299" t="s">
        <v>5229</v>
      </c>
      <c r="G47" s="299"/>
      <c r="H47" s="299"/>
      <c r="I47" s="299"/>
      <c r="J47" s="299"/>
      <c r="K47" s="299" t="s">
        <v>5230</v>
      </c>
      <c r="L47" s="299" t="s">
        <v>5231</v>
      </c>
      <c r="M47" s="299" t="s">
        <v>5159</v>
      </c>
      <c r="N47" s="301" t="s">
        <v>5160</v>
      </c>
    </row>
    <row r="48" spans="1:14" ht="110" customHeight="1">
      <c r="A48" s="306">
        <v>16</v>
      </c>
      <c r="B48" s="299" t="s">
        <v>5232</v>
      </c>
      <c r="C48" s="299" t="s">
        <v>5199</v>
      </c>
      <c r="D48" s="300" t="s">
        <v>4333</v>
      </c>
      <c r="E48" s="299" t="s">
        <v>5233</v>
      </c>
      <c r="F48" s="299" t="s">
        <v>5234</v>
      </c>
      <c r="G48" s="299"/>
      <c r="H48" s="299"/>
      <c r="I48" s="299"/>
      <c r="J48" s="299"/>
      <c r="K48" s="299" t="s">
        <v>5235</v>
      </c>
      <c r="L48" s="299" t="s">
        <v>5236</v>
      </c>
      <c r="M48" s="299" t="s">
        <v>5237</v>
      </c>
      <c r="N48" s="301" t="s">
        <v>4973</v>
      </c>
    </row>
  </sheetData>
  <autoFilter ref="A5:N48" xr:uid="{C47BDEA2-3270-2C42-9A1D-C11A5668D48E}"/>
  <phoneticPr fontId="2"/>
  <conditionalFormatting sqref="D6:D48">
    <cfRule type="expression" dxfId="39" priority="1">
      <formula>$D6="最優先"</formula>
    </cfRule>
  </conditionalFormatting>
  <conditionalFormatting sqref="D6:D48">
    <cfRule type="expression" dxfId="38" priority="2">
      <formula>$D6="通常"</formula>
    </cfRule>
  </conditionalFormatting>
  <conditionalFormatting sqref="D6:D48">
    <cfRule type="expression" dxfId="37" priority="3">
      <formula>$D6="後回し可"</formula>
    </cfRule>
  </conditionalFormatting>
  <conditionalFormatting sqref="A6:A48">
    <cfRule type="expression" dxfId="36" priority="4">
      <formula>$A6&lt;&gt;""</formula>
    </cfRule>
  </conditionalFormatting>
  <conditionalFormatting sqref="B6:C48">
    <cfRule type="expression" dxfId="35" priority="5">
      <formula>$C6="G 事例・構成レビュー"</formula>
    </cfRule>
  </conditionalFormatting>
  <conditionalFormatting sqref="B6:C48">
    <cfRule type="expression" dxfId="34" priority="6">
      <formula>$C6="B RHBK本体・SPI"</formula>
    </cfRule>
  </conditionalFormatting>
  <conditionalFormatting sqref="B6:C48">
    <cfRule type="expression" dxfId="33" priority="7">
      <formula>$C6="D セキュリティ"</formula>
    </cfRule>
  </conditionalFormatting>
  <conditionalFormatting sqref="B6:C48">
    <cfRule type="expression" dxfId="32"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5238</v>
      </c>
      <c r="B1" s="32"/>
      <c r="C1" s="32"/>
    </row>
    <row r="2" spans="1:3">
      <c r="A2" s="61" t="s">
        <v>5241</v>
      </c>
      <c r="B2" s="32"/>
      <c r="C2" s="32"/>
    </row>
    <row r="3" spans="1:3">
      <c r="A3" s="32"/>
      <c r="B3" s="32"/>
      <c r="C3" s="32"/>
    </row>
    <row r="4" spans="1:3">
      <c r="A4" s="291" t="s">
        <v>4928</v>
      </c>
      <c r="B4" s="292" t="s">
        <v>5195</v>
      </c>
      <c r="C4" s="302" t="s">
        <v>5196</v>
      </c>
    </row>
    <row r="5" spans="1:3" ht="120" customHeight="1">
      <c r="A5" s="307" t="s">
        <v>4939</v>
      </c>
      <c r="B5" s="135" t="s">
        <v>4941</v>
      </c>
      <c r="C5" s="303" t="s">
        <v>4942</v>
      </c>
    </row>
    <row r="6" spans="1:3" ht="120" customHeight="1">
      <c r="A6" s="307" t="s">
        <v>4947</v>
      </c>
      <c r="B6" s="135" t="s">
        <v>4948</v>
      </c>
      <c r="C6" s="303" t="s">
        <v>4949</v>
      </c>
    </row>
    <row r="7" spans="1:3" ht="120" customHeight="1">
      <c r="A7" s="307" t="s">
        <v>4954</v>
      </c>
      <c r="B7" s="135" t="s">
        <v>4955</v>
      </c>
      <c r="C7" s="303" t="s">
        <v>4956</v>
      </c>
    </row>
    <row r="8" spans="1:3" ht="120" customHeight="1">
      <c r="A8" s="307" t="s">
        <v>4961</v>
      </c>
      <c r="B8" s="135" t="s">
        <v>4962</v>
      </c>
      <c r="C8" s="303" t="s">
        <v>4963</v>
      </c>
    </row>
    <row r="9" spans="1:3" ht="120" customHeight="1">
      <c r="A9" s="307" t="s">
        <v>4967</v>
      </c>
      <c r="B9" s="135" t="s">
        <v>4968</v>
      </c>
      <c r="C9" s="303" t="s">
        <v>4969</v>
      </c>
    </row>
    <row r="10" spans="1:3" ht="120" customHeight="1">
      <c r="A10" s="307" t="s">
        <v>4974</v>
      </c>
      <c r="B10" s="135" t="s">
        <v>4975</v>
      </c>
      <c r="C10" s="303" t="s">
        <v>4976</v>
      </c>
    </row>
    <row r="11" spans="1:3" ht="120" customHeight="1">
      <c r="A11" s="307" t="s">
        <v>4981</v>
      </c>
      <c r="B11" s="135" t="s">
        <v>4982</v>
      </c>
      <c r="C11" s="303" t="s">
        <v>4983</v>
      </c>
    </row>
    <row r="12" spans="1:3" ht="120" customHeight="1">
      <c r="A12" s="307" t="s">
        <v>4988</v>
      </c>
      <c r="B12" s="135" t="s">
        <v>4990</v>
      </c>
      <c r="C12" s="303" t="s">
        <v>4991</v>
      </c>
    </row>
    <row r="13" spans="1:3" ht="120" customHeight="1">
      <c r="A13" s="307" t="s">
        <v>4996</v>
      </c>
      <c r="B13" s="135" t="s">
        <v>4997</v>
      </c>
      <c r="C13" s="303" t="s">
        <v>4998</v>
      </c>
    </row>
    <row r="14" spans="1:3" ht="120" customHeight="1">
      <c r="A14" s="307" t="s">
        <v>5003</v>
      </c>
      <c r="B14" s="135" t="s">
        <v>5004</v>
      </c>
      <c r="C14" s="303" t="s">
        <v>5005</v>
      </c>
    </row>
    <row r="15" spans="1:3" ht="120" customHeight="1">
      <c r="A15" s="307" t="s">
        <v>5009</v>
      </c>
      <c r="B15" s="135" t="s">
        <v>5010</v>
      </c>
      <c r="C15" s="303" t="s">
        <v>5011</v>
      </c>
    </row>
    <row r="16" spans="1:3" ht="120" customHeight="1">
      <c r="A16" s="307" t="s">
        <v>5016</v>
      </c>
      <c r="B16" s="135" t="s">
        <v>5017</v>
      </c>
      <c r="C16" s="303" t="s">
        <v>5018</v>
      </c>
    </row>
    <row r="17" spans="1:3" ht="120" customHeight="1">
      <c r="A17" s="307" t="s">
        <v>5022</v>
      </c>
      <c r="B17" s="135" t="s">
        <v>5023</v>
      </c>
      <c r="C17" s="303" t="s">
        <v>5024</v>
      </c>
    </row>
    <row r="18" spans="1:3" ht="120" customHeight="1">
      <c r="A18" s="307" t="s">
        <v>5029</v>
      </c>
      <c r="B18" s="135" t="s">
        <v>5030</v>
      </c>
      <c r="C18" s="303" t="s">
        <v>5031</v>
      </c>
    </row>
    <row r="19" spans="1:3" ht="120" customHeight="1">
      <c r="A19" s="307" t="s">
        <v>5036</v>
      </c>
      <c r="B19" s="135" t="s">
        <v>5037</v>
      </c>
      <c r="C19" s="303" t="s">
        <v>5038</v>
      </c>
    </row>
    <row r="20" spans="1:3" ht="120" customHeight="1">
      <c r="A20" s="307" t="s">
        <v>5043</v>
      </c>
      <c r="B20" s="135" t="s">
        <v>5045</v>
      </c>
      <c r="C20" s="303" t="s">
        <v>5046</v>
      </c>
    </row>
    <row r="21" spans="1:3" ht="120" customHeight="1">
      <c r="A21" s="307" t="s">
        <v>5050</v>
      </c>
      <c r="B21" s="135" t="s">
        <v>5051</v>
      </c>
      <c r="C21" s="303" t="s">
        <v>5052</v>
      </c>
    </row>
    <row r="22" spans="1:3" ht="120" customHeight="1">
      <c r="A22" s="307" t="s">
        <v>5057</v>
      </c>
      <c r="B22" s="135" t="s">
        <v>5058</v>
      </c>
      <c r="C22" s="303" t="s">
        <v>5059</v>
      </c>
    </row>
    <row r="23" spans="1:3" ht="120" customHeight="1">
      <c r="A23" s="307" t="s">
        <v>5064</v>
      </c>
      <c r="B23" s="135" t="s">
        <v>5065</v>
      </c>
      <c r="C23" s="303" t="s">
        <v>5066</v>
      </c>
    </row>
    <row r="24" spans="1:3" ht="120" customHeight="1">
      <c r="A24" s="307" t="s">
        <v>5071</v>
      </c>
      <c r="B24" s="135" t="s">
        <v>5072</v>
      </c>
      <c r="C24" s="303" t="s">
        <v>5073</v>
      </c>
    </row>
    <row r="25" spans="1:3" ht="120" customHeight="1">
      <c r="A25" s="307" t="s">
        <v>5078</v>
      </c>
      <c r="B25" s="135" t="s">
        <v>5079</v>
      </c>
      <c r="C25" s="303" t="s">
        <v>5080</v>
      </c>
    </row>
    <row r="26" spans="1:3" ht="120" customHeight="1">
      <c r="A26" s="307" t="s">
        <v>5085</v>
      </c>
      <c r="B26" s="135" t="s">
        <v>5087</v>
      </c>
      <c r="C26" s="303" t="s">
        <v>5088</v>
      </c>
    </row>
    <row r="27" spans="1:3" ht="120" customHeight="1">
      <c r="A27" s="307" t="s">
        <v>5093</v>
      </c>
      <c r="B27" s="135" t="s">
        <v>5094</v>
      </c>
      <c r="C27" s="303" t="s">
        <v>5095</v>
      </c>
    </row>
    <row r="28" spans="1:3" ht="120" customHeight="1">
      <c r="A28" s="307" t="s">
        <v>5100</v>
      </c>
      <c r="B28" s="135" t="s">
        <v>5101</v>
      </c>
      <c r="C28" s="303" t="s">
        <v>5102</v>
      </c>
    </row>
    <row r="29" spans="1:3" ht="120" customHeight="1">
      <c r="A29" s="307" t="s">
        <v>5106</v>
      </c>
      <c r="B29" s="135" t="s">
        <v>5107</v>
      </c>
      <c r="C29" s="303" t="s">
        <v>5108</v>
      </c>
    </row>
    <row r="30" spans="1:3" ht="120" customHeight="1">
      <c r="A30" s="307" t="s">
        <v>5113</v>
      </c>
      <c r="B30" s="135" t="s">
        <v>5114</v>
      </c>
      <c r="C30" s="303" t="s">
        <v>5115</v>
      </c>
    </row>
    <row r="31" spans="1:3" ht="120" customHeight="1">
      <c r="A31" s="307" t="s">
        <v>5120</v>
      </c>
      <c r="B31" s="135" t="s">
        <v>5121</v>
      </c>
      <c r="C31" s="303" t="s">
        <v>5122</v>
      </c>
    </row>
    <row r="32" spans="1:3" ht="120" customHeight="1">
      <c r="A32" s="307" t="s">
        <v>5127</v>
      </c>
      <c r="B32" s="135" t="s">
        <v>5128</v>
      </c>
      <c r="C32" s="303" t="s">
        <v>5129</v>
      </c>
    </row>
    <row r="33" spans="1:3" ht="120" customHeight="1">
      <c r="A33" s="307" t="s">
        <v>5134</v>
      </c>
      <c r="B33" s="135" t="s">
        <v>5136</v>
      </c>
      <c r="C33" s="303" t="s">
        <v>5137</v>
      </c>
    </row>
    <row r="34" spans="1:3" ht="120" customHeight="1">
      <c r="A34" s="307" t="s">
        <v>5142</v>
      </c>
      <c r="B34" s="135" t="s">
        <v>5143</v>
      </c>
      <c r="C34" s="303" t="s">
        <v>5144</v>
      </c>
    </row>
    <row r="35" spans="1:3" ht="120" customHeight="1">
      <c r="A35" s="307" t="s">
        <v>5148</v>
      </c>
      <c r="B35" s="135" t="s">
        <v>5149</v>
      </c>
      <c r="C35" s="303" t="s">
        <v>5150</v>
      </c>
    </row>
    <row r="36" spans="1:3" ht="120" customHeight="1">
      <c r="A36" s="307" t="s">
        <v>5154</v>
      </c>
      <c r="B36" s="135" t="s">
        <v>5155</v>
      </c>
      <c r="C36" s="303" t="s">
        <v>5156</v>
      </c>
    </row>
    <row r="37" spans="1:3" ht="120" customHeight="1">
      <c r="A37" s="307" t="s">
        <v>5161</v>
      </c>
      <c r="B37" s="135" t="s">
        <v>5162</v>
      </c>
      <c r="C37" s="303" t="s">
        <v>5163</v>
      </c>
    </row>
    <row r="38" spans="1:3" ht="120" customHeight="1">
      <c r="A38" s="307" t="s">
        <v>5168</v>
      </c>
      <c r="B38" s="135" t="s">
        <v>5170</v>
      </c>
      <c r="C38" s="303" t="s">
        <v>5171</v>
      </c>
    </row>
    <row r="39" spans="1:3" ht="120" customHeight="1">
      <c r="A39" s="307" t="s">
        <v>5176</v>
      </c>
      <c r="B39" s="135" t="s">
        <v>5177</v>
      </c>
      <c r="C39" s="303" t="s">
        <v>5178</v>
      </c>
    </row>
    <row r="40" spans="1:3" ht="120" customHeight="1">
      <c r="A40" s="307" t="s">
        <v>5181</v>
      </c>
      <c r="B40" s="135" t="s">
        <v>5182</v>
      </c>
      <c r="C40" s="303" t="s">
        <v>5183</v>
      </c>
    </row>
    <row r="41" spans="1:3" ht="120" customHeight="1">
      <c r="A41" s="307" t="s">
        <v>5188</v>
      </c>
      <c r="B41" s="135" t="s">
        <v>5189</v>
      </c>
      <c r="C41" s="303" t="s">
        <v>5190</v>
      </c>
    </row>
    <row r="42" spans="1:3" ht="120" customHeight="1">
      <c r="A42" s="307" t="s">
        <v>5198</v>
      </c>
      <c r="B42" s="135" t="s">
        <v>5200</v>
      </c>
      <c r="C42" s="303" t="s">
        <v>5201</v>
      </c>
    </row>
    <row r="43" spans="1:3" ht="120" customHeight="1">
      <c r="A43" s="307" t="s">
        <v>5206</v>
      </c>
      <c r="B43" s="135" t="s">
        <v>5207</v>
      </c>
      <c r="C43" s="303" t="s">
        <v>5208</v>
      </c>
    </row>
    <row r="44" spans="1:3" ht="120" customHeight="1">
      <c r="A44" s="307" t="s">
        <v>5213</v>
      </c>
      <c r="B44" s="135" t="s">
        <v>5214</v>
      </c>
      <c r="C44" s="303" t="s">
        <v>5215</v>
      </c>
    </row>
    <row r="45" spans="1:3" ht="120" customHeight="1">
      <c r="A45" s="307" t="s">
        <v>5220</v>
      </c>
      <c r="B45" s="135" t="s">
        <v>5221</v>
      </c>
      <c r="C45" s="303" t="s">
        <v>5222</v>
      </c>
    </row>
    <row r="46" spans="1:3" ht="120" customHeight="1">
      <c r="A46" s="307" t="s">
        <v>5227</v>
      </c>
      <c r="B46" s="135" t="s">
        <v>5228</v>
      </c>
      <c r="C46" s="303" t="s">
        <v>5229</v>
      </c>
    </row>
    <row r="47" spans="1:3" ht="120" customHeight="1">
      <c r="A47" s="307" t="s">
        <v>5232</v>
      </c>
      <c r="B47" s="135" t="s">
        <v>5233</v>
      </c>
      <c r="C47" s="303" t="s">
        <v>5234</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5242</v>
      </c>
      <c r="B1" s="32"/>
      <c r="C1" s="32"/>
      <c r="D1" s="32"/>
      <c r="E1" s="32"/>
      <c r="F1" s="32"/>
      <c r="G1" s="32"/>
      <c r="H1" s="32"/>
      <c r="I1" s="32"/>
      <c r="J1" s="32"/>
      <c r="K1" s="32"/>
      <c r="L1" s="32"/>
      <c r="M1" s="32"/>
    </row>
    <row r="2" spans="1:15">
      <c r="A2" s="290" t="s">
        <v>5243</v>
      </c>
      <c r="B2" s="32"/>
      <c r="C2" s="32"/>
      <c r="D2" s="32"/>
      <c r="E2" s="32"/>
      <c r="F2" s="32"/>
      <c r="G2" s="32"/>
      <c r="H2" s="32"/>
      <c r="I2" s="32"/>
      <c r="J2" s="32"/>
      <c r="K2" s="32"/>
      <c r="L2" s="32"/>
      <c r="M2" s="32"/>
    </row>
    <row r="3" spans="1:15">
      <c r="A3" s="304" t="s">
        <v>5244</v>
      </c>
      <c r="B3" s="32"/>
      <c r="C3" s="32"/>
      <c r="D3" s="32"/>
      <c r="E3" s="32"/>
      <c r="F3" s="32"/>
      <c r="G3" s="32"/>
      <c r="H3" s="32"/>
      <c r="I3" s="32"/>
      <c r="J3" s="32"/>
      <c r="K3" s="32"/>
      <c r="L3" s="32"/>
      <c r="M3" s="32"/>
    </row>
    <row r="4" spans="1:15">
      <c r="A4" s="78" t="s">
        <v>5245</v>
      </c>
      <c r="B4" s="32"/>
      <c r="C4" s="32"/>
      <c r="D4" s="32"/>
      <c r="E4" s="32"/>
      <c r="F4" s="32"/>
      <c r="G4" s="32"/>
      <c r="H4" s="32"/>
      <c r="I4" s="32"/>
      <c r="J4" s="32"/>
      <c r="K4" s="32"/>
      <c r="L4" s="32"/>
      <c r="M4" s="32"/>
    </row>
    <row r="5" spans="1:15">
      <c r="A5" s="310" t="s">
        <v>5348</v>
      </c>
      <c r="B5" s="32"/>
      <c r="C5" s="32"/>
      <c r="D5" s="32"/>
      <c r="E5" s="32"/>
      <c r="F5" s="32"/>
      <c r="G5" s="32"/>
      <c r="H5" s="32"/>
      <c r="I5" s="32"/>
      <c r="J5" s="32"/>
      <c r="K5" s="32"/>
      <c r="L5" s="32"/>
      <c r="M5" s="32"/>
    </row>
    <row r="6" spans="1:15">
      <c r="A6" s="291" t="s">
        <v>5246</v>
      </c>
      <c r="B6" s="292" t="s">
        <v>5247</v>
      </c>
      <c r="C6" s="292" t="s">
        <v>4929</v>
      </c>
      <c r="D6" s="292" t="s">
        <v>4930</v>
      </c>
      <c r="E6" s="292" t="s">
        <v>4931</v>
      </c>
      <c r="F6" s="293" t="s">
        <v>4932</v>
      </c>
      <c r="G6" s="293" t="s">
        <v>4933</v>
      </c>
      <c r="H6" s="293" t="s">
        <v>4934</v>
      </c>
      <c r="I6" s="293" t="s">
        <v>5248</v>
      </c>
      <c r="J6" s="294" t="s">
        <v>4936</v>
      </c>
      <c r="K6" s="294" t="s">
        <v>4937</v>
      </c>
      <c r="L6" s="294" t="s">
        <v>4938</v>
      </c>
      <c r="M6" s="308" t="s">
        <v>5249</v>
      </c>
      <c r="N6" s="309" t="s">
        <v>5302</v>
      </c>
      <c r="O6" s="309" t="s">
        <v>5303</v>
      </c>
    </row>
    <row r="7" spans="1:15" ht="140" customHeight="1">
      <c r="A7" s="305" t="s">
        <v>5250</v>
      </c>
      <c r="B7" s="297" t="s">
        <v>5251</v>
      </c>
      <c r="C7" s="297" t="s">
        <v>4332</v>
      </c>
      <c r="D7" s="296" t="s">
        <v>5252</v>
      </c>
      <c r="E7" s="296" t="s">
        <v>5253</v>
      </c>
      <c r="F7" s="296"/>
      <c r="G7" s="296"/>
      <c r="H7" s="296"/>
      <c r="I7" s="297"/>
      <c r="J7" s="296" t="s">
        <v>5254</v>
      </c>
      <c r="K7" s="296" t="s">
        <v>5255</v>
      </c>
      <c r="L7" s="296" t="s">
        <v>5256</v>
      </c>
      <c r="M7" s="298" t="s">
        <v>5257</v>
      </c>
      <c r="N7" s="160" t="s">
        <v>5347</v>
      </c>
      <c r="O7" s="160" t="s">
        <v>5250</v>
      </c>
    </row>
    <row r="8" spans="1:15" ht="140" customHeight="1">
      <c r="A8" s="305" t="s">
        <v>5258</v>
      </c>
      <c r="B8" s="297" t="s">
        <v>5251</v>
      </c>
      <c r="C8" s="297" t="s">
        <v>4332</v>
      </c>
      <c r="D8" s="296" t="s">
        <v>5259</v>
      </c>
      <c r="E8" s="296" t="s">
        <v>5260</v>
      </c>
      <c r="F8" s="296"/>
      <c r="G8" s="296"/>
      <c r="H8" s="296"/>
      <c r="I8" s="297"/>
      <c r="J8" s="296" t="s">
        <v>5261</v>
      </c>
      <c r="K8" s="296" t="s">
        <v>5262</v>
      </c>
      <c r="L8" s="296" t="s">
        <v>5263</v>
      </c>
      <c r="M8" s="298" t="s">
        <v>5264</v>
      </c>
      <c r="N8" s="160" t="s">
        <v>5347</v>
      </c>
      <c r="O8" s="160" t="s">
        <v>5258</v>
      </c>
    </row>
    <row r="9" spans="1:15" ht="140" customHeight="1">
      <c r="A9" s="305" t="s">
        <v>5265</v>
      </c>
      <c r="B9" s="297" t="s">
        <v>5251</v>
      </c>
      <c r="C9" s="297" t="s">
        <v>4333</v>
      </c>
      <c r="D9" s="296" t="s">
        <v>5266</v>
      </c>
      <c r="E9" s="296" t="s">
        <v>5267</v>
      </c>
      <c r="F9" s="296"/>
      <c r="G9" s="296"/>
      <c r="H9" s="296"/>
      <c r="I9" s="297"/>
      <c r="J9" s="296" t="s">
        <v>5268</v>
      </c>
      <c r="K9" s="296" t="s">
        <v>5269</v>
      </c>
      <c r="L9" s="296" t="s">
        <v>5270</v>
      </c>
      <c r="M9" s="298" t="s">
        <v>5271</v>
      </c>
      <c r="N9" s="160" t="s">
        <v>5347</v>
      </c>
      <c r="O9" s="160" t="s">
        <v>5265</v>
      </c>
    </row>
    <row r="10" spans="1:15" ht="140" customHeight="1">
      <c r="A10" s="305" t="s">
        <v>5272</v>
      </c>
      <c r="B10" s="297" t="s">
        <v>5251</v>
      </c>
      <c r="C10" s="297" t="s">
        <v>4333</v>
      </c>
      <c r="D10" s="296" t="s">
        <v>5273</v>
      </c>
      <c r="E10" s="296" t="s">
        <v>5274</v>
      </c>
      <c r="F10" s="296"/>
      <c r="G10" s="296"/>
      <c r="H10" s="296"/>
      <c r="I10" s="297"/>
      <c r="J10" s="296" t="s">
        <v>5275</v>
      </c>
      <c r="K10" s="296" t="s">
        <v>5276</v>
      </c>
      <c r="L10" s="296" t="s">
        <v>5277</v>
      </c>
      <c r="M10" s="298" t="s">
        <v>5278</v>
      </c>
      <c r="N10" s="160" t="s">
        <v>5347</v>
      </c>
      <c r="O10" s="160" t="s">
        <v>5272</v>
      </c>
    </row>
    <row r="11" spans="1:15" ht="140" customHeight="1">
      <c r="A11" s="305" t="s">
        <v>5279</v>
      </c>
      <c r="B11" s="297" t="s">
        <v>5280</v>
      </c>
      <c r="C11" s="297" t="s">
        <v>4332</v>
      </c>
      <c r="D11" s="296" t="s">
        <v>5281</v>
      </c>
      <c r="E11" s="296" t="s">
        <v>5282</v>
      </c>
      <c r="F11" s="296"/>
      <c r="G11" s="296"/>
      <c r="H11" s="296"/>
      <c r="I11" s="297"/>
      <c r="J11" s="296" t="s">
        <v>5283</v>
      </c>
      <c r="K11" s="296" t="s">
        <v>5284</v>
      </c>
      <c r="L11" s="296" t="s">
        <v>5285</v>
      </c>
      <c r="M11" s="298" t="s">
        <v>5286</v>
      </c>
      <c r="N11" s="160" t="s">
        <v>5347</v>
      </c>
      <c r="O11" s="160" t="s">
        <v>5279</v>
      </c>
    </row>
    <row r="12" spans="1:15" ht="140" customHeight="1">
      <c r="A12" s="305" t="s">
        <v>5287</v>
      </c>
      <c r="B12" s="297" t="s">
        <v>5280</v>
      </c>
      <c r="C12" s="297" t="s">
        <v>4332</v>
      </c>
      <c r="D12" s="296" t="s">
        <v>5288</v>
      </c>
      <c r="E12" s="296" t="s">
        <v>5289</v>
      </c>
      <c r="F12" s="296"/>
      <c r="G12" s="296"/>
      <c r="H12" s="296"/>
      <c r="I12" s="297"/>
      <c r="J12" s="296" t="s">
        <v>5290</v>
      </c>
      <c r="K12" s="296" t="s">
        <v>5291</v>
      </c>
      <c r="L12" s="296" t="s">
        <v>5292</v>
      </c>
      <c r="M12" s="298" t="s">
        <v>5293</v>
      </c>
      <c r="N12" s="160" t="s">
        <v>5347</v>
      </c>
      <c r="O12" s="160" t="s">
        <v>5287</v>
      </c>
    </row>
    <row r="13" spans="1:15" ht="140" customHeight="1">
      <c r="A13" s="306" t="s">
        <v>5294</v>
      </c>
      <c r="B13" s="300" t="s">
        <v>5280</v>
      </c>
      <c r="C13" s="300" t="s">
        <v>4333</v>
      </c>
      <c r="D13" s="299" t="s">
        <v>5295</v>
      </c>
      <c r="E13" s="299" t="s">
        <v>5296</v>
      </c>
      <c r="F13" s="299"/>
      <c r="G13" s="299"/>
      <c r="H13" s="299"/>
      <c r="I13" s="300"/>
      <c r="J13" s="299" t="s">
        <v>5297</v>
      </c>
      <c r="K13" s="299" t="s">
        <v>5298</v>
      </c>
      <c r="L13" s="299" t="s">
        <v>5299</v>
      </c>
      <c r="M13" s="301" t="s">
        <v>5300</v>
      </c>
      <c r="N13" s="160" t="s">
        <v>5347</v>
      </c>
      <c r="O13" s="160" t="s">
        <v>5294</v>
      </c>
    </row>
  </sheetData>
  <autoFilter ref="A6:M13" xr:uid="{01578FE6-5AF7-D445-B4F3-9D8EB4ACAC69}"/>
  <phoneticPr fontId="2"/>
  <conditionalFormatting sqref="C7:C13">
    <cfRule type="expression" priority="1"/>
  </conditionalFormatting>
  <conditionalFormatting sqref="C7:C13">
    <cfRule type="expression" dxfId="31" priority="2">
      <formula>$C7="最優先"</formula>
    </cfRule>
  </conditionalFormatting>
  <conditionalFormatting sqref="C7:C13">
    <cfRule type="expression" dxfId="30" priority="3">
      <formula>$C7="通常"</formula>
    </cfRule>
  </conditionalFormatting>
  <conditionalFormatting sqref="B7:B13">
    <cfRule type="expression" dxfId="29" priority="4">
      <formula>$B7="アプリチーム"</formula>
    </cfRule>
  </conditionalFormatting>
  <conditionalFormatting sqref="B7:B13">
    <cfRule type="expression" dxfId="28" priority="5">
      <formula>$B7="事業側"</formula>
    </cfRule>
  </conditionalFormatting>
  <conditionalFormatting sqref="M7:M13">
    <cfRule type="expression" dxfId="27" priority="6">
      <formula>LEFT($M7,1)&lt;&gt;"—"</formula>
    </cfRule>
  </conditionalFormatting>
  <conditionalFormatting sqref="I7:I13">
    <cfRule type="expression" dxfId="26" priority="7">
      <formula>$I7="採用"</formula>
    </cfRule>
  </conditionalFormatting>
  <conditionalFormatting sqref="I7:I13">
    <cfRule type="expression" dxfId="25" priority="8">
      <formula>$I7="現行維持"</formula>
    </cfRule>
  </conditionalFormatting>
  <conditionalFormatting sqref="I7:I13">
    <cfRule type="expression" dxfId="24" priority="9">
      <formula>$I7="保留"</formula>
    </cfRule>
  </conditionalFormatting>
  <conditionalFormatting sqref="A7:A13">
    <cfRule type="expression" dxfId="23" priority="10">
      <formula>$A7="QA-BIND-06"</formula>
    </cfRule>
  </conditionalFormatting>
  <conditionalFormatting sqref="N7:N13">
    <cfRule type="expression" dxfId="22" priority="11">
      <formula>$N7="転記済み"</formula>
    </cfRule>
  </conditionalFormatting>
  <conditionalFormatting sqref="N7:N13">
    <cfRule type="expression" dxfId="21"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3"/>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5766</v>
      </c>
      <c r="B1" s="32"/>
      <c r="C1" s="32"/>
      <c r="D1" s="32"/>
      <c r="E1" s="32"/>
      <c r="F1" s="32"/>
    </row>
    <row r="2" spans="1:6">
      <c r="A2" s="61" t="s">
        <v>5682</v>
      </c>
      <c r="B2" s="32"/>
      <c r="C2" s="32"/>
      <c r="D2" s="32"/>
      <c r="E2" s="32"/>
      <c r="F2" s="32"/>
    </row>
    <row r="3" spans="1:6">
      <c r="A3" s="290" t="s">
        <v>6989</v>
      </c>
      <c r="B3" s="32"/>
      <c r="C3" s="32"/>
      <c r="D3" s="32"/>
      <c r="E3" s="32"/>
      <c r="F3" s="32"/>
    </row>
    <row r="4" spans="1:6">
      <c r="A4" s="290" t="s">
        <v>5683</v>
      </c>
      <c r="B4" s="32"/>
      <c r="C4" s="32"/>
      <c r="D4" s="32"/>
      <c r="E4" s="32"/>
      <c r="F4" s="32"/>
    </row>
    <row r="5" spans="1:6">
      <c r="A5" s="290" t="s">
        <v>6990</v>
      </c>
      <c r="B5" s="32"/>
      <c r="C5" s="32"/>
      <c r="D5" s="32"/>
      <c r="E5" s="32"/>
      <c r="F5" s="32"/>
    </row>
    <row r="6" spans="1:6">
      <c r="A6" s="290" t="s">
        <v>5767</v>
      </c>
      <c r="B6" s="32"/>
      <c r="C6" s="32"/>
      <c r="D6" s="32"/>
      <c r="E6" s="32"/>
      <c r="F6" s="32"/>
    </row>
    <row r="7" spans="1:6">
      <c r="A7" s="291" t="s">
        <v>2523</v>
      </c>
      <c r="B7" s="292" t="s">
        <v>5382</v>
      </c>
      <c r="C7" s="292" t="s">
        <v>5383</v>
      </c>
      <c r="D7" s="292" t="s">
        <v>5384</v>
      </c>
      <c r="E7" s="292" t="s">
        <v>5437</v>
      </c>
      <c r="F7" s="302" t="s">
        <v>665</v>
      </c>
    </row>
    <row r="8" spans="1:6" ht="40" customHeight="1">
      <c r="A8" s="356" t="s">
        <v>5684</v>
      </c>
      <c r="B8" s="137" t="s">
        <v>5385</v>
      </c>
      <c r="C8" s="296" t="s">
        <v>5386</v>
      </c>
      <c r="D8" s="296" t="s">
        <v>5387</v>
      </c>
      <c r="E8" s="137">
        <v>8</v>
      </c>
      <c r="F8" s="311" t="s">
        <v>5431</v>
      </c>
    </row>
    <row r="9" spans="1:6" ht="40" customHeight="1">
      <c r="A9" s="356" t="s">
        <v>5684</v>
      </c>
      <c r="B9" s="137" t="s">
        <v>5388</v>
      </c>
      <c r="C9" s="296" t="s">
        <v>5389</v>
      </c>
      <c r="D9" s="296" t="s">
        <v>5390</v>
      </c>
      <c r="E9" s="137">
        <v>5</v>
      </c>
      <c r="F9" s="311" t="s">
        <v>5431</v>
      </c>
    </row>
    <row r="10" spans="1:6" ht="40" customHeight="1">
      <c r="A10" s="356" t="s">
        <v>5684</v>
      </c>
      <c r="B10" s="137" t="s">
        <v>5391</v>
      </c>
      <c r="C10" s="296" t="s">
        <v>5392</v>
      </c>
      <c r="D10" s="296" t="s">
        <v>5393</v>
      </c>
      <c r="E10" s="137">
        <v>3</v>
      </c>
      <c r="F10" s="311" t="s">
        <v>5431</v>
      </c>
    </row>
    <row r="11" spans="1:6" ht="40" customHeight="1">
      <c r="A11" s="356" t="s">
        <v>5684</v>
      </c>
      <c r="B11" s="137" t="s">
        <v>5394</v>
      </c>
      <c r="C11" s="296" t="s">
        <v>5395</v>
      </c>
      <c r="D11" s="296" t="s">
        <v>5396</v>
      </c>
      <c r="E11" s="137">
        <v>3</v>
      </c>
      <c r="F11" s="311" t="s">
        <v>5431</v>
      </c>
    </row>
    <row r="12" spans="1:6" ht="40" customHeight="1">
      <c r="A12" s="356" t="s">
        <v>5684</v>
      </c>
      <c r="B12" s="137" t="s">
        <v>5397</v>
      </c>
      <c r="C12" s="296" t="s">
        <v>5398</v>
      </c>
      <c r="D12" s="296" t="s">
        <v>5399</v>
      </c>
      <c r="E12" s="137">
        <v>2</v>
      </c>
      <c r="F12" s="311" t="s">
        <v>5431</v>
      </c>
    </row>
    <row r="13" spans="1:6" ht="40" customHeight="1">
      <c r="A13" s="356" t="s">
        <v>5684</v>
      </c>
      <c r="B13" s="137" t="s">
        <v>5400</v>
      </c>
      <c r="C13" s="296" t="s">
        <v>5401</v>
      </c>
      <c r="D13" s="296" t="s">
        <v>5402</v>
      </c>
      <c r="E13" s="137">
        <v>3</v>
      </c>
      <c r="F13" s="311" t="s">
        <v>5431</v>
      </c>
    </row>
    <row r="14" spans="1:6" ht="40" customHeight="1">
      <c r="A14" s="356" t="s">
        <v>5684</v>
      </c>
      <c r="B14" s="137" t="s">
        <v>5403</v>
      </c>
      <c r="C14" s="296" t="s">
        <v>5404</v>
      </c>
      <c r="D14" s="296" t="s">
        <v>5405</v>
      </c>
      <c r="E14" s="137">
        <v>3</v>
      </c>
      <c r="F14" s="311" t="s">
        <v>5431</v>
      </c>
    </row>
    <row r="15" spans="1:6" ht="40" customHeight="1">
      <c r="A15" s="356" t="s">
        <v>5684</v>
      </c>
      <c r="B15" s="137" t="s">
        <v>5406</v>
      </c>
      <c r="C15" s="296" t="s">
        <v>5407</v>
      </c>
      <c r="D15" s="296" t="s">
        <v>5408</v>
      </c>
      <c r="E15" s="137">
        <v>6</v>
      </c>
      <c r="F15" s="311" t="s">
        <v>5431</v>
      </c>
    </row>
    <row r="16" spans="1:6" ht="40" customHeight="1">
      <c r="A16" s="356" t="s">
        <v>5684</v>
      </c>
      <c r="B16" s="137" t="s">
        <v>5409</v>
      </c>
      <c r="C16" s="296" t="s">
        <v>5410</v>
      </c>
      <c r="D16" s="296" t="s">
        <v>5411</v>
      </c>
      <c r="E16" s="137">
        <v>3</v>
      </c>
      <c r="F16" s="311" t="s">
        <v>5431</v>
      </c>
    </row>
    <row r="17" spans="1:6" ht="40" customHeight="1">
      <c r="A17" s="356" t="s">
        <v>5684</v>
      </c>
      <c r="B17" s="137" t="s">
        <v>5412</v>
      </c>
      <c r="C17" s="296" t="s">
        <v>5413</v>
      </c>
      <c r="D17" s="296" t="s">
        <v>5414</v>
      </c>
      <c r="E17" s="137">
        <v>2</v>
      </c>
      <c r="F17" s="311" t="s">
        <v>5431</v>
      </c>
    </row>
    <row r="18" spans="1:6" ht="40" customHeight="1">
      <c r="A18" s="356" t="s">
        <v>5684</v>
      </c>
      <c r="B18" s="137" t="s">
        <v>5415</v>
      </c>
      <c r="C18" s="296" t="s">
        <v>5416</v>
      </c>
      <c r="D18" s="296" t="s">
        <v>5685</v>
      </c>
      <c r="E18" s="137">
        <v>1</v>
      </c>
      <c r="F18" s="311" t="s">
        <v>5431</v>
      </c>
    </row>
    <row r="19" spans="1:6" ht="40" customHeight="1">
      <c r="A19" s="356" t="s">
        <v>5684</v>
      </c>
      <c r="B19" s="137" t="s">
        <v>5417</v>
      </c>
      <c r="C19" s="296" t="s">
        <v>5418</v>
      </c>
      <c r="D19" s="296" t="s">
        <v>5419</v>
      </c>
      <c r="E19" s="137">
        <v>5</v>
      </c>
      <c r="F19" s="311" t="s">
        <v>5431</v>
      </c>
    </row>
    <row r="20" spans="1:6" ht="40" customHeight="1">
      <c r="A20" s="356" t="s">
        <v>5684</v>
      </c>
      <c r="B20" s="137" t="s">
        <v>5420</v>
      </c>
      <c r="C20" s="296" t="s">
        <v>5421</v>
      </c>
      <c r="D20" s="296" t="s">
        <v>5422</v>
      </c>
      <c r="E20" s="137">
        <v>8</v>
      </c>
      <c r="F20" s="311" t="s">
        <v>5431</v>
      </c>
    </row>
    <row r="21" spans="1:6" ht="40" customHeight="1">
      <c r="A21" s="356" t="s">
        <v>5684</v>
      </c>
      <c r="B21" s="137" t="s">
        <v>5423</v>
      </c>
      <c r="C21" s="296" t="s">
        <v>5686</v>
      </c>
      <c r="D21" s="296" t="s">
        <v>5424</v>
      </c>
      <c r="E21" s="137">
        <v>8</v>
      </c>
      <c r="F21" s="311" t="s">
        <v>5431</v>
      </c>
    </row>
    <row r="22" spans="1:6" ht="40" customHeight="1">
      <c r="A22" s="356" t="s">
        <v>5684</v>
      </c>
      <c r="B22" s="137" t="s">
        <v>5425</v>
      </c>
      <c r="C22" s="296" t="s">
        <v>5426</v>
      </c>
      <c r="D22" s="296" t="s">
        <v>5427</v>
      </c>
      <c r="E22" s="137">
        <v>2</v>
      </c>
      <c r="F22" s="311" t="s">
        <v>5431</v>
      </c>
    </row>
    <row r="23" spans="1:6" ht="40" customHeight="1">
      <c r="A23" s="356" t="s">
        <v>5684</v>
      </c>
      <c r="B23" s="137" t="s">
        <v>5428</v>
      </c>
      <c r="C23" s="296" t="s">
        <v>5429</v>
      </c>
      <c r="D23" s="296" t="s">
        <v>5430</v>
      </c>
      <c r="E23" s="137">
        <v>3</v>
      </c>
      <c r="F23" s="311" t="s">
        <v>5431</v>
      </c>
    </row>
    <row r="24" spans="1:6" ht="40" customHeight="1">
      <c r="A24" s="356" t="s">
        <v>5687</v>
      </c>
      <c r="B24" s="137" t="s">
        <v>5438</v>
      </c>
      <c r="C24" s="296" t="s">
        <v>5439</v>
      </c>
      <c r="D24" s="296" t="s">
        <v>5440</v>
      </c>
      <c r="E24" s="137">
        <v>20</v>
      </c>
      <c r="F24" s="311" t="s">
        <v>5431</v>
      </c>
    </row>
    <row r="25" spans="1:6" ht="40" customHeight="1">
      <c r="A25" s="356" t="s">
        <v>5687</v>
      </c>
      <c r="B25" s="137" t="s">
        <v>5441</v>
      </c>
      <c r="C25" s="296" t="s">
        <v>5442</v>
      </c>
      <c r="D25" s="296" t="s">
        <v>5443</v>
      </c>
      <c r="E25" s="137">
        <v>18</v>
      </c>
      <c r="F25" s="311" t="s">
        <v>5431</v>
      </c>
    </row>
    <row r="26" spans="1:6" ht="40" customHeight="1">
      <c r="A26" s="356" t="s">
        <v>5687</v>
      </c>
      <c r="B26" s="137" t="s">
        <v>5444</v>
      </c>
      <c r="C26" s="296" t="s">
        <v>5445</v>
      </c>
      <c r="D26" s="296" t="s">
        <v>5446</v>
      </c>
      <c r="E26" s="137">
        <v>9</v>
      </c>
      <c r="F26" s="311" t="s">
        <v>5431</v>
      </c>
    </row>
    <row r="27" spans="1:6" ht="40" customHeight="1">
      <c r="A27" s="356" t="s">
        <v>5687</v>
      </c>
      <c r="B27" s="137" t="s">
        <v>5447</v>
      </c>
      <c r="C27" s="296" t="s">
        <v>5448</v>
      </c>
      <c r="D27" s="296" t="s">
        <v>5449</v>
      </c>
      <c r="E27" s="137">
        <v>15</v>
      </c>
      <c r="F27" s="311" t="s">
        <v>5431</v>
      </c>
    </row>
    <row r="28" spans="1:6" ht="40" customHeight="1">
      <c r="A28" s="356" t="s">
        <v>5687</v>
      </c>
      <c r="B28" s="137" t="s">
        <v>5450</v>
      </c>
      <c r="C28" s="296" t="s">
        <v>5451</v>
      </c>
      <c r="D28" s="296" t="s">
        <v>5452</v>
      </c>
      <c r="E28" s="137">
        <v>25</v>
      </c>
      <c r="F28" s="311" t="s">
        <v>5431</v>
      </c>
    </row>
    <row r="29" spans="1:6" ht="40" customHeight="1">
      <c r="A29" s="356" t="s">
        <v>5688</v>
      </c>
      <c r="B29" s="137" t="s">
        <v>5571</v>
      </c>
      <c r="C29" s="296" t="s">
        <v>5689</v>
      </c>
      <c r="D29" s="296" t="s">
        <v>5690</v>
      </c>
      <c r="E29" s="137">
        <v>15</v>
      </c>
      <c r="F29" s="311" t="s">
        <v>5431</v>
      </c>
    </row>
    <row r="30" spans="1:6" ht="40" customHeight="1">
      <c r="A30" s="356" t="s">
        <v>5688</v>
      </c>
      <c r="B30" s="137" t="s">
        <v>5572</v>
      </c>
      <c r="C30" s="296" t="s">
        <v>5691</v>
      </c>
      <c r="D30" s="296" t="s">
        <v>5692</v>
      </c>
      <c r="E30" s="137">
        <v>20</v>
      </c>
      <c r="F30" s="311" t="s">
        <v>5431</v>
      </c>
    </row>
    <row r="31" spans="1:6" ht="40" customHeight="1">
      <c r="A31" s="356" t="s">
        <v>5688</v>
      </c>
      <c r="B31" s="137" t="s">
        <v>5573</v>
      </c>
      <c r="C31" s="296" t="s">
        <v>5754</v>
      </c>
      <c r="D31" s="296" t="s">
        <v>5694</v>
      </c>
      <c r="E31" s="137">
        <v>12</v>
      </c>
      <c r="F31" s="311" t="s">
        <v>5431</v>
      </c>
    </row>
    <row r="32" spans="1:6" ht="40" customHeight="1">
      <c r="A32" s="356" t="s">
        <v>5688</v>
      </c>
      <c r="B32" s="137" t="s">
        <v>5574</v>
      </c>
      <c r="C32" s="296" t="s">
        <v>5755</v>
      </c>
      <c r="D32" s="296" t="s">
        <v>5756</v>
      </c>
      <c r="E32" s="137">
        <v>8</v>
      </c>
      <c r="F32" s="311" t="s">
        <v>5431</v>
      </c>
    </row>
    <row r="33" spans="1:6" ht="40" customHeight="1">
      <c r="A33" s="356" t="s">
        <v>5688</v>
      </c>
      <c r="B33" s="137" t="s">
        <v>5575</v>
      </c>
      <c r="C33" s="296" t="s">
        <v>5757</v>
      </c>
      <c r="D33" s="296" t="s">
        <v>5758</v>
      </c>
      <c r="E33" s="137">
        <v>8</v>
      </c>
      <c r="F33" s="311" t="s">
        <v>5431</v>
      </c>
    </row>
    <row r="34" spans="1:6" ht="40" customHeight="1">
      <c r="A34" s="356" t="s">
        <v>5688</v>
      </c>
      <c r="B34" s="137" t="s">
        <v>5576</v>
      </c>
      <c r="C34" s="296" t="s">
        <v>5695</v>
      </c>
      <c r="D34" s="296" t="s">
        <v>5696</v>
      </c>
      <c r="E34" s="137">
        <v>10</v>
      </c>
      <c r="F34" s="311" t="s">
        <v>5431</v>
      </c>
    </row>
    <row r="35" spans="1:6" ht="40" customHeight="1">
      <c r="A35" s="356" t="s">
        <v>5688</v>
      </c>
      <c r="B35" s="137" t="s">
        <v>5759</v>
      </c>
      <c r="C35" s="296" t="s">
        <v>5760</v>
      </c>
      <c r="D35" s="296" t="s">
        <v>5761</v>
      </c>
      <c r="E35" s="137">
        <v>15</v>
      </c>
      <c r="F35" s="311" t="s">
        <v>5431</v>
      </c>
    </row>
    <row r="36" spans="1:6" ht="40" customHeight="1">
      <c r="A36" s="356" t="s">
        <v>5688</v>
      </c>
      <c r="B36" s="137" t="s">
        <v>5762</v>
      </c>
      <c r="C36" s="296" t="s">
        <v>5763</v>
      </c>
      <c r="D36" s="296" t="s">
        <v>5764</v>
      </c>
      <c r="E36" s="137">
        <v>10</v>
      </c>
      <c r="F36" s="311" t="s">
        <v>5431</v>
      </c>
    </row>
    <row r="37" spans="1:6" ht="40" customHeight="1">
      <c r="A37" s="356" t="s">
        <v>2529</v>
      </c>
      <c r="B37" s="137" t="s">
        <v>5661</v>
      </c>
      <c r="C37" s="296" t="s">
        <v>5662</v>
      </c>
      <c r="D37" s="296" t="s">
        <v>5663</v>
      </c>
      <c r="E37" s="137">
        <v>10</v>
      </c>
      <c r="F37" s="311" t="s">
        <v>5431</v>
      </c>
    </row>
    <row r="38" spans="1:6" ht="40" customHeight="1">
      <c r="A38" s="356" t="s">
        <v>2529</v>
      </c>
      <c r="B38" s="137" t="s">
        <v>5664</v>
      </c>
      <c r="C38" s="296" t="s">
        <v>5665</v>
      </c>
      <c r="D38" s="296" t="s">
        <v>5666</v>
      </c>
      <c r="E38" s="137">
        <v>12</v>
      </c>
      <c r="F38" s="311" t="s">
        <v>5431</v>
      </c>
    </row>
    <row r="39" spans="1:6" ht="40" customHeight="1">
      <c r="A39" s="356" t="s">
        <v>2529</v>
      </c>
      <c r="B39" s="137" t="s">
        <v>5667</v>
      </c>
      <c r="C39" s="296" t="s">
        <v>5693</v>
      </c>
      <c r="D39" s="296" t="s">
        <v>5669</v>
      </c>
      <c r="E39" s="137">
        <v>6</v>
      </c>
      <c r="F39" s="311" t="s">
        <v>5431</v>
      </c>
    </row>
    <row r="40" spans="1:6" ht="40" customHeight="1">
      <c r="A40" s="356" t="s">
        <v>2529</v>
      </c>
      <c r="B40" s="137" t="s">
        <v>5670</v>
      </c>
      <c r="C40" s="296" t="s">
        <v>5671</v>
      </c>
      <c r="D40" s="296" t="s">
        <v>5672</v>
      </c>
      <c r="E40" s="137">
        <v>8</v>
      </c>
      <c r="F40" s="311" t="s">
        <v>5431</v>
      </c>
    </row>
    <row r="41" spans="1:6" ht="40" customHeight="1">
      <c r="A41" s="356" t="s">
        <v>2529</v>
      </c>
      <c r="B41" s="137" t="s">
        <v>5673</v>
      </c>
      <c r="C41" s="296" t="s">
        <v>5674</v>
      </c>
      <c r="D41" s="296" t="s">
        <v>5675</v>
      </c>
      <c r="E41" s="137">
        <v>6</v>
      </c>
      <c r="F41" s="311" t="s">
        <v>5431</v>
      </c>
    </row>
    <row r="42" spans="1:6" ht="40" customHeight="1">
      <c r="A42" s="357" t="s">
        <v>2529</v>
      </c>
      <c r="B42" s="313" t="s">
        <v>5676</v>
      </c>
      <c r="C42" s="299" t="s">
        <v>5697</v>
      </c>
      <c r="D42" s="299" t="s">
        <v>5678</v>
      </c>
      <c r="E42" s="313">
        <v>8</v>
      </c>
      <c r="F42" s="314" t="s">
        <v>5431</v>
      </c>
    </row>
    <row r="43" spans="1:6">
      <c r="A43" s="32"/>
      <c r="B43" s="32"/>
      <c r="C43" s="32"/>
      <c r="D43" s="32"/>
      <c r="E43" s="32"/>
      <c r="F43" s="32"/>
    </row>
    <row r="44" spans="1:6">
      <c r="A44" s="251" t="s">
        <v>5698</v>
      </c>
      <c r="B44" s="32"/>
      <c r="C44" s="32"/>
      <c r="D44" s="32"/>
      <c r="E44" s="32"/>
      <c r="F44" s="32"/>
    </row>
    <row r="45" spans="1:6">
      <c r="A45" s="291" t="s">
        <v>2523</v>
      </c>
      <c r="B45" s="292" t="s">
        <v>5435</v>
      </c>
      <c r="C45" s="302" t="s">
        <v>5434</v>
      </c>
      <c r="D45" s="32"/>
      <c r="E45" s="32"/>
      <c r="F45" s="32"/>
    </row>
    <row r="46" spans="1:6">
      <c r="A46" s="315" t="s">
        <v>5699</v>
      </c>
      <c r="B46" s="316">
        <f>SUMIF($A$8:$A$50,"① 設計",$E$8:$E$50)</f>
        <v>65</v>
      </c>
      <c r="C46" s="317">
        <v>65</v>
      </c>
      <c r="D46" s="32"/>
      <c r="E46" s="32"/>
      <c r="F46" s="32"/>
    </row>
    <row r="47" spans="1:6">
      <c r="A47" s="315" t="s">
        <v>5700</v>
      </c>
      <c r="B47" s="316">
        <f>SUMIF($A$8:$A$50,"① 設計(H)",$E$8:$E$50)</f>
        <v>87</v>
      </c>
      <c r="C47" s="317">
        <v>87</v>
      </c>
      <c r="D47" s="32"/>
      <c r="E47" s="32"/>
      <c r="F47" s="32"/>
    </row>
    <row r="48" spans="1:6">
      <c r="A48" s="315" t="s">
        <v>5765</v>
      </c>
      <c r="B48" s="316">
        <f>SUMIF($A$8:$A$50,"③ 構築",$E$8:$E$50)</f>
        <v>98</v>
      </c>
      <c r="C48" s="317">
        <v>98</v>
      </c>
      <c r="D48" s="32"/>
      <c r="E48" s="32"/>
      <c r="F48" s="32"/>
    </row>
    <row r="49" spans="1:6">
      <c r="A49" s="315" t="s">
        <v>5701</v>
      </c>
      <c r="B49" s="316">
        <f>SUMIF($A$8:$A$50,"④ テスト",$E$8:$E$50)</f>
        <v>50</v>
      </c>
      <c r="C49" s="317">
        <v>50</v>
      </c>
      <c r="D49" s="32"/>
      <c r="E49" s="32"/>
      <c r="F49" s="32"/>
    </row>
    <row r="50" spans="1:6">
      <c r="A50" s="358" t="s">
        <v>7</v>
      </c>
      <c r="B50" s="359">
        <f>SUM(B46:B49)</f>
        <v>300</v>
      </c>
      <c r="C50" s="360">
        <v>300</v>
      </c>
      <c r="D50" s="32"/>
      <c r="E50" s="32"/>
      <c r="F50" s="32"/>
    </row>
    <row r="51" spans="1:6">
      <c r="A51" s="32"/>
      <c r="B51" s="32"/>
      <c r="C51" s="32"/>
      <c r="D51" s="32"/>
      <c r="E51" s="32"/>
      <c r="F51" s="32"/>
    </row>
    <row r="52" spans="1:6">
      <c r="A52" s="361" t="s">
        <v>6991</v>
      </c>
      <c r="B52" s="32"/>
      <c r="C52" s="32"/>
      <c r="D52" s="32"/>
      <c r="E52" s="32"/>
      <c r="F52" s="32"/>
    </row>
    <row r="53" spans="1:6">
      <c r="A53" s="368" t="s">
        <v>5975</v>
      </c>
    </row>
  </sheetData>
  <autoFilter ref="A7:F42" xr:uid="{69BC7312-1107-2C44-8AAA-D11AA53C6FA5}"/>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18</vt:i4>
      </vt:variant>
      <vt:variant>
        <vt:lpstr>名前付き一覧</vt:lpstr>
      </vt:variant>
      <vt:variant>
        <vt:i4>6</vt:i4>
      </vt:variant>
    </vt:vector>
  </HeadingPairs>
  <TitlesOfParts>
    <vt:vector size="24"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2026-08-26T07:14:25Z</dcterms:modified>
</cp:coreProperties>
</file>