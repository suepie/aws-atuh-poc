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C875C630-4DF9-9243-8EB5-D264C94DF40D}" xr6:coauthVersionLast="47" xr6:coauthVersionMax="47" xr10:uidLastSave="{00000000-0000-0000-0000-000000000000}"/>
  <bookViews>
    <workbookView xWindow="0" yWindow="780" windowWidth="34200" windowHeight="21460" activeTab="3" xr2:uid="{B021B529-7D79-6D49-8055-5FE1DF3A55F9}"/>
  </bookViews>
  <sheets>
    <sheet name="サマリー" sheetId="2" r:id="rId1"/>
    <sheet name="Sheet1" sheetId="1" r:id="rId2"/>
    <sheet name="設計決定一覧" sheetId="3" r:id="rId3"/>
    <sheet name="マッピング" sheetId="4" r:id="rId4"/>
  </sheets>
  <definedNames>
    <definedName name="_xlnm._FilterDatabase" localSheetId="1" hidden="1">Sheet1!$A$6:$H$272</definedName>
    <definedName name="_xlnm._FilterDatabase" localSheetId="3" hidden="1">マッピング!$A$4:$H$183</definedName>
    <definedName name="_xlnm._FilterDatabase" localSheetId="2" hidden="1">設計決定一覧!$A$4:$E$84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6" i="2" l="1"/>
  <c r="B57" i="2"/>
  <c r="B58" i="2"/>
  <c r="B59" i="2"/>
  <c r="B60" i="2"/>
  <c r="A5" i="4"/>
  <c r="B5" i="4"/>
  <c r="C5" i="4"/>
  <c r="D5" i="4"/>
  <c r="A6" i="4"/>
  <c r="B6" i="4"/>
  <c r="C6" i="4"/>
  <c r="D6" i="4"/>
  <c r="A7" i="4"/>
  <c r="B7" i="4"/>
  <c r="C7" i="4"/>
  <c r="D7" i="4"/>
  <c r="A8" i="4"/>
  <c r="B8" i="4"/>
  <c r="C8" i="4"/>
  <c r="D8" i="4"/>
  <c r="A9" i="4"/>
  <c r="B9" i="4"/>
  <c r="C9" i="4"/>
  <c r="D9" i="4"/>
  <c r="A10" i="4"/>
  <c r="B10" i="4"/>
  <c r="C10" i="4"/>
  <c r="D10" i="4"/>
  <c r="A11" i="4"/>
  <c r="B11" i="4"/>
  <c r="C11" i="4"/>
  <c r="D11" i="4"/>
  <c r="A12" i="4"/>
  <c r="B12" i="4"/>
  <c r="C12" i="4"/>
  <c r="D12" i="4"/>
  <c r="A13" i="4"/>
  <c r="B13" i="4"/>
  <c r="C13" i="4"/>
  <c r="D13" i="4"/>
  <c r="A14" i="4"/>
  <c r="B14" i="4"/>
  <c r="C14" i="4"/>
  <c r="D14" i="4"/>
  <c r="A15" i="4"/>
  <c r="B15" i="4"/>
  <c r="C15" i="4"/>
  <c r="D15" i="4"/>
  <c r="A16" i="4"/>
  <c r="B16" i="4"/>
  <c r="C16" i="4"/>
  <c r="D16" i="4"/>
  <c r="A17" i="4"/>
  <c r="B17" i="4"/>
  <c r="C17" i="4"/>
  <c r="D17" i="4"/>
  <c r="A18" i="4"/>
  <c r="B18" i="4"/>
  <c r="C18" i="4"/>
  <c r="D18" i="4"/>
  <c r="A19" i="4"/>
  <c r="B19" i="4"/>
  <c r="C19" i="4"/>
  <c r="D19" i="4"/>
  <c r="A20" i="4"/>
  <c r="B20" i="4"/>
  <c r="C20" i="4"/>
  <c r="D20" i="4"/>
  <c r="A21" i="4"/>
  <c r="B21" i="4"/>
  <c r="C21" i="4"/>
  <c r="D21" i="4"/>
  <c r="A22" i="4"/>
  <c r="B22" i="4"/>
  <c r="C22" i="4"/>
  <c r="D22" i="4"/>
  <c r="A23" i="4"/>
  <c r="B23" i="4"/>
  <c r="C23" i="4"/>
  <c r="D23" i="4"/>
  <c r="A24" i="4"/>
  <c r="B24" i="4"/>
  <c r="C24" i="4"/>
  <c r="D24" i="4"/>
  <c r="A25" i="4"/>
  <c r="B25" i="4"/>
  <c r="C25" i="4"/>
  <c r="D25" i="4"/>
  <c r="A26" i="4"/>
  <c r="B26" i="4"/>
  <c r="C26" i="4"/>
  <c r="D26" i="4"/>
  <c r="A27" i="4"/>
  <c r="B27" i="4"/>
  <c r="C27" i="4"/>
  <c r="D27" i="4"/>
  <c r="A28" i="4"/>
  <c r="B28" i="4"/>
  <c r="C28" i="4"/>
  <c r="D28" i="4"/>
  <c r="A29" i="4"/>
  <c r="B29" i="4"/>
  <c r="C29" i="4"/>
  <c r="D29" i="4"/>
  <c r="A30" i="4"/>
  <c r="B30" i="4"/>
  <c r="C30" i="4"/>
  <c r="D30" i="4"/>
  <c r="A31" i="4"/>
  <c r="B31" i="4"/>
  <c r="C31" i="4"/>
  <c r="D31" i="4"/>
  <c r="A32" i="4"/>
  <c r="B32" i="4"/>
  <c r="C32" i="4"/>
  <c r="D32" i="4"/>
  <c r="A33" i="4"/>
  <c r="B33" i="4"/>
  <c r="C33" i="4"/>
  <c r="D33" i="4"/>
  <c r="A34" i="4"/>
  <c r="B34" i="4"/>
  <c r="C34" i="4"/>
  <c r="D34" i="4"/>
  <c r="A35" i="4"/>
  <c r="B35" i="4"/>
  <c r="C35" i="4"/>
  <c r="D35" i="4"/>
  <c r="A36" i="4"/>
  <c r="B36" i="4"/>
  <c r="C36" i="4"/>
  <c r="D36" i="4"/>
  <c r="A37" i="4"/>
  <c r="B37" i="4"/>
  <c r="C37" i="4"/>
  <c r="D37" i="4"/>
  <c r="A38" i="4"/>
  <c r="B38" i="4"/>
  <c r="C38" i="4"/>
  <c r="D38" i="4"/>
  <c r="A39" i="4"/>
  <c r="B39" i="4"/>
  <c r="C39" i="4"/>
  <c r="D39" i="4"/>
  <c r="A40" i="4"/>
  <c r="B40" i="4"/>
  <c r="C40" i="4"/>
  <c r="D40" i="4"/>
  <c r="A41" i="4"/>
  <c r="B41" i="4"/>
  <c r="C41" i="4"/>
  <c r="D41" i="4"/>
  <c r="A42" i="4"/>
  <c r="B42" i="4"/>
  <c r="C42" i="4"/>
  <c r="D42" i="4"/>
  <c r="A43" i="4"/>
  <c r="B43" i="4"/>
  <c r="C43" i="4"/>
  <c r="D43" i="4"/>
  <c r="A44" i="4"/>
  <c r="B44" i="4"/>
  <c r="C44" i="4"/>
  <c r="D44" i="4"/>
  <c r="A45" i="4"/>
  <c r="B45" i="4"/>
  <c r="C45" i="4"/>
  <c r="D45" i="4"/>
  <c r="A46" i="4"/>
  <c r="B46" i="4"/>
  <c r="C46" i="4"/>
  <c r="D46" i="4"/>
  <c r="A47" i="4"/>
  <c r="B47" i="4"/>
  <c r="C47" i="4"/>
  <c r="D47" i="4"/>
  <c r="A48" i="4"/>
  <c r="B48" i="4"/>
  <c r="C48" i="4"/>
  <c r="D48" i="4"/>
  <c r="A49" i="4"/>
  <c r="B49" i="4"/>
  <c r="C49" i="4"/>
  <c r="D49" i="4"/>
  <c r="A50" i="4"/>
  <c r="B50" i="4"/>
  <c r="C50" i="4"/>
  <c r="D50" i="4"/>
  <c r="A51" i="4"/>
  <c r="B51" i="4"/>
  <c r="C51" i="4"/>
  <c r="D51" i="4"/>
  <c r="A52" i="4"/>
  <c r="B52" i="4"/>
  <c r="C52" i="4"/>
  <c r="D52" i="4"/>
  <c r="A53" i="4"/>
  <c r="B53" i="4"/>
  <c r="C53" i="4"/>
  <c r="D53" i="4"/>
  <c r="A54" i="4"/>
  <c r="B54" i="4"/>
  <c r="C54" i="4"/>
  <c r="D54" i="4"/>
  <c r="A55" i="4"/>
  <c r="B55" i="4"/>
  <c r="C55" i="4"/>
  <c r="D55" i="4"/>
  <c r="A56" i="4"/>
  <c r="B56" i="4"/>
  <c r="C56" i="4"/>
  <c r="D56" i="4"/>
  <c r="A57" i="4"/>
  <c r="B57" i="4"/>
  <c r="C57" i="4"/>
  <c r="D57" i="4"/>
  <c r="A58" i="4"/>
  <c r="B58" i="4"/>
  <c r="C58" i="4"/>
  <c r="D58" i="4"/>
  <c r="A59" i="4"/>
  <c r="B59" i="4"/>
  <c r="C59" i="4"/>
  <c r="D59" i="4"/>
  <c r="A60" i="4"/>
  <c r="B60" i="4"/>
  <c r="C60" i="4"/>
  <c r="D60" i="4"/>
  <c r="A61" i="4"/>
  <c r="B61" i="4"/>
  <c r="C61" i="4"/>
  <c r="D61" i="4"/>
  <c r="A62" i="4"/>
  <c r="B62" i="4"/>
  <c r="C62" i="4"/>
  <c r="D62" i="4"/>
  <c r="A63" i="4"/>
  <c r="B63" i="4"/>
  <c r="C63" i="4"/>
  <c r="D63" i="4"/>
  <c r="A64" i="4"/>
  <c r="B64" i="4"/>
  <c r="C64" i="4"/>
  <c r="D64" i="4"/>
  <c r="A65" i="4"/>
  <c r="B65" i="4"/>
  <c r="C65" i="4"/>
  <c r="D65" i="4"/>
  <c r="A66" i="4"/>
  <c r="B66" i="4"/>
  <c r="C66" i="4"/>
  <c r="D66" i="4"/>
  <c r="A67" i="4"/>
  <c r="B67" i="4"/>
  <c r="C67" i="4"/>
  <c r="D67" i="4"/>
  <c r="A68" i="4"/>
  <c r="B68" i="4"/>
  <c r="C68" i="4"/>
  <c r="D68" i="4"/>
  <c r="A69" i="4"/>
  <c r="B69" i="4"/>
  <c r="C69" i="4"/>
  <c r="D69" i="4"/>
  <c r="A70" i="4"/>
  <c r="B70" i="4"/>
  <c r="C70" i="4"/>
  <c r="D70" i="4"/>
  <c r="A71" i="4"/>
  <c r="B71" i="4"/>
  <c r="C71" i="4"/>
  <c r="D71" i="4"/>
  <c r="A72" i="4"/>
  <c r="B72" i="4"/>
  <c r="C72" i="4"/>
  <c r="D72" i="4"/>
  <c r="A73" i="4"/>
  <c r="B73" i="4"/>
  <c r="C73" i="4"/>
  <c r="D73" i="4"/>
  <c r="A74" i="4"/>
  <c r="B74" i="4"/>
  <c r="C74" i="4"/>
  <c r="D74" i="4"/>
  <c r="A75" i="4"/>
  <c r="B75" i="4"/>
  <c r="C75" i="4"/>
  <c r="D75" i="4"/>
  <c r="A76" i="4"/>
  <c r="B76" i="4"/>
  <c r="C76" i="4"/>
  <c r="D76" i="4"/>
  <c r="A77" i="4"/>
  <c r="B77" i="4"/>
  <c r="C77" i="4"/>
  <c r="D77" i="4"/>
  <c r="A78" i="4"/>
  <c r="B78" i="4"/>
  <c r="C78" i="4"/>
  <c r="D78" i="4"/>
  <c r="A79" i="4"/>
  <c r="B79" i="4"/>
  <c r="C79" i="4"/>
  <c r="D79" i="4"/>
  <c r="A80" i="4"/>
  <c r="B80" i="4"/>
  <c r="C80" i="4"/>
  <c r="D80" i="4"/>
  <c r="A81" i="4"/>
  <c r="B81" i="4"/>
  <c r="C81" i="4"/>
  <c r="D81" i="4"/>
  <c r="A82" i="4"/>
  <c r="B82" i="4"/>
  <c r="C82" i="4"/>
  <c r="D82" i="4"/>
  <c r="A83" i="4"/>
  <c r="B83" i="4"/>
  <c r="C83" i="4"/>
  <c r="D83" i="4"/>
  <c r="A84" i="4"/>
  <c r="B84" i="4"/>
  <c r="C84" i="4"/>
  <c r="D84" i="4"/>
  <c r="A85" i="4"/>
  <c r="B85" i="4"/>
  <c r="C85" i="4"/>
  <c r="D85" i="4"/>
  <c r="A86" i="4"/>
  <c r="B86" i="4"/>
  <c r="C86" i="4"/>
  <c r="D86" i="4"/>
  <c r="A87" i="4"/>
  <c r="B87" i="4"/>
  <c r="C87" i="4"/>
  <c r="D87" i="4"/>
  <c r="A88" i="4"/>
  <c r="B88" i="4"/>
  <c r="C88" i="4"/>
  <c r="D88" i="4"/>
  <c r="A89" i="4"/>
  <c r="B89" i="4"/>
  <c r="C89" i="4"/>
  <c r="D89" i="4"/>
  <c r="A90" i="4"/>
  <c r="B90" i="4"/>
  <c r="C90" i="4"/>
  <c r="D90" i="4"/>
  <c r="A91" i="4"/>
  <c r="B91" i="4"/>
  <c r="C91" i="4"/>
  <c r="D91" i="4"/>
  <c r="A92" i="4"/>
  <c r="B92" i="4"/>
  <c r="C92" i="4"/>
  <c r="D92" i="4"/>
  <c r="A93" i="4"/>
  <c r="B93" i="4"/>
  <c r="C93" i="4"/>
  <c r="D93" i="4"/>
  <c r="A94" i="4"/>
  <c r="B94" i="4"/>
  <c r="C94" i="4"/>
  <c r="D94" i="4"/>
  <c r="A95" i="4"/>
  <c r="B95" i="4"/>
  <c r="C95" i="4"/>
  <c r="D95" i="4"/>
  <c r="A96" i="4"/>
  <c r="B96" i="4"/>
  <c r="C96" i="4"/>
  <c r="D96" i="4"/>
  <c r="A97" i="4"/>
  <c r="B97" i="4"/>
  <c r="C97" i="4"/>
  <c r="D97" i="4"/>
  <c r="A98" i="4"/>
  <c r="B98" i="4"/>
  <c r="C98" i="4"/>
  <c r="D98" i="4"/>
  <c r="A99" i="4"/>
  <c r="B99" i="4"/>
  <c r="C99" i="4"/>
  <c r="D99" i="4"/>
  <c r="A100" i="4"/>
  <c r="B100" i="4"/>
  <c r="C100" i="4"/>
  <c r="D100" i="4"/>
  <c r="A101" i="4"/>
  <c r="B101" i="4"/>
  <c r="C101" i="4"/>
  <c r="D101" i="4"/>
  <c r="A102" i="4"/>
  <c r="B102" i="4"/>
  <c r="C102" i="4"/>
  <c r="D102" i="4"/>
  <c r="A103" i="4"/>
  <c r="B103" i="4"/>
  <c r="C103" i="4"/>
  <c r="D103" i="4"/>
  <c r="A104" i="4"/>
  <c r="B104" i="4"/>
  <c r="C104" i="4"/>
  <c r="D104" i="4"/>
  <c r="A105" i="4"/>
  <c r="B105" i="4"/>
  <c r="C105" i="4"/>
  <c r="D105" i="4"/>
  <c r="A106" i="4"/>
  <c r="B106" i="4"/>
  <c r="C106" i="4"/>
  <c r="D106" i="4"/>
  <c r="A107" i="4"/>
  <c r="B107" i="4"/>
  <c r="C107" i="4"/>
  <c r="D107" i="4"/>
  <c r="A108" i="4"/>
  <c r="B108" i="4"/>
  <c r="C108" i="4"/>
  <c r="D108" i="4"/>
  <c r="A109" i="4"/>
  <c r="B109" i="4"/>
  <c r="C109" i="4"/>
  <c r="D109" i="4"/>
  <c r="A110" i="4"/>
  <c r="B110" i="4"/>
  <c r="C110" i="4"/>
  <c r="D110" i="4"/>
  <c r="A111" i="4"/>
  <c r="B111" i="4"/>
  <c r="C111" i="4"/>
  <c r="D111" i="4"/>
  <c r="A112" i="4"/>
  <c r="B112" i="4"/>
  <c r="C112" i="4"/>
  <c r="D112" i="4"/>
  <c r="A113" i="4"/>
  <c r="B113" i="4"/>
  <c r="C113" i="4"/>
  <c r="D113" i="4"/>
  <c r="A114" i="4"/>
  <c r="B114" i="4"/>
  <c r="C114" i="4"/>
  <c r="D114" i="4"/>
  <c r="A115" i="4"/>
  <c r="B115" i="4"/>
  <c r="C115" i="4"/>
  <c r="D115" i="4"/>
  <c r="A116" i="4"/>
  <c r="B116" i="4"/>
  <c r="C116" i="4"/>
  <c r="D116" i="4"/>
  <c r="A117" i="4"/>
  <c r="B117" i="4"/>
  <c r="C117" i="4"/>
  <c r="D117" i="4"/>
  <c r="A118" i="4"/>
  <c r="B118" i="4"/>
  <c r="C118" i="4"/>
  <c r="D118" i="4"/>
  <c r="A119" i="4"/>
  <c r="B119" i="4"/>
  <c r="C119" i="4"/>
  <c r="D119" i="4"/>
  <c r="A120" i="4"/>
  <c r="B120" i="4"/>
  <c r="C120" i="4"/>
  <c r="D120" i="4"/>
  <c r="A121" i="4"/>
  <c r="B121" i="4"/>
  <c r="C121" i="4"/>
  <c r="D121" i="4"/>
  <c r="A122" i="4"/>
  <c r="B122" i="4"/>
  <c r="C122" i="4"/>
  <c r="D122" i="4"/>
  <c r="A123" i="4"/>
  <c r="B123" i="4"/>
  <c r="C123" i="4"/>
  <c r="D123" i="4"/>
  <c r="A124" i="4"/>
  <c r="B124" i="4"/>
  <c r="C124" i="4"/>
  <c r="D124" i="4"/>
  <c r="A125" i="4"/>
  <c r="B125" i="4"/>
  <c r="C125" i="4"/>
  <c r="D125" i="4"/>
  <c r="A126" i="4"/>
  <c r="B126" i="4"/>
  <c r="C126" i="4"/>
  <c r="D126" i="4"/>
  <c r="A127" i="4"/>
  <c r="B127" i="4"/>
  <c r="C127" i="4"/>
  <c r="D127" i="4"/>
  <c r="A128" i="4"/>
  <c r="B128" i="4"/>
  <c r="C128" i="4"/>
  <c r="D128" i="4"/>
  <c r="A129" i="4"/>
  <c r="B129" i="4"/>
  <c r="C129" i="4"/>
  <c r="D129" i="4"/>
  <c r="A130" i="4"/>
  <c r="B130" i="4"/>
  <c r="C130" i="4"/>
  <c r="D130" i="4"/>
  <c r="A131" i="4"/>
  <c r="B131" i="4"/>
  <c r="C131" i="4"/>
  <c r="D131" i="4"/>
  <c r="A132" i="4"/>
  <c r="B132" i="4"/>
  <c r="C132" i="4"/>
  <c r="D132" i="4"/>
  <c r="A133" i="4"/>
  <c r="B133" i="4"/>
  <c r="C133" i="4"/>
  <c r="D133" i="4"/>
  <c r="A134" i="4"/>
  <c r="B134" i="4"/>
  <c r="C134" i="4"/>
  <c r="D134" i="4"/>
  <c r="A135" i="4"/>
  <c r="B135" i="4"/>
  <c r="C135" i="4"/>
  <c r="D135" i="4"/>
  <c r="A136" i="4"/>
  <c r="B136" i="4"/>
  <c r="C136" i="4"/>
  <c r="D136" i="4"/>
  <c r="A137" i="4"/>
  <c r="B137" i="4"/>
  <c r="C137" i="4"/>
  <c r="D137" i="4"/>
  <c r="A138" i="4"/>
  <c r="B138" i="4"/>
  <c r="C138" i="4"/>
  <c r="D138" i="4"/>
  <c r="A139" i="4"/>
  <c r="B139" i="4"/>
  <c r="C139" i="4"/>
  <c r="D139" i="4"/>
  <c r="A140" i="4"/>
  <c r="B140" i="4"/>
  <c r="C140" i="4"/>
  <c r="D140" i="4"/>
  <c r="A141" i="4"/>
  <c r="B141" i="4"/>
  <c r="C141" i="4"/>
  <c r="D141" i="4"/>
  <c r="A142" i="4"/>
  <c r="B142" i="4"/>
  <c r="C142" i="4"/>
  <c r="D142" i="4"/>
  <c r="A143" i="4"/>
  <c r="B143" i="4"/>
  <c r="C143" i="4"/>
  <c r="D143" i="4"/>
  <c r="A144" i="4"/>
  <c r="B144" i="4"/>
  <c r="C144" i="4"/>
  <c r="D144" i="4"/>
  <c r="A145" i="4"/>
  <c r="B145" i="4"/>
  <c r="C145" i="4"/>
  <c r="D145" i="4"/>
  <c r="A146" i="4"/>
  <c r="B146" i="4"/>
  <c r="C146" i="4"/>
  <c r="D146" i="4"/>
  <c r="A147" i="4"/>
  <c r="B147" i="4"/>
  <c r="C147" i="4"/>
  <c r="D147" i="4"/>
  <c r="A148" i="4"/>
  <c r="B148" i="4"/>
  <c r="C148" i="4"/>
  <c r="D148" i="4"/>
  <c r="A149" i="4"/>
  <c r="B149" i="4"/>
  <c r="C149" i="4"/>
  <c r="D149" i="4"/>
  <c r="A150" i="4"/>
  <c r="B150" i="4"/>
  <c r="C150" i="4"/>
  <c r="D150" i="4"/>
  <c r="A151" i="4"/>
  <c r="B151" i="4"/>
  <c r="C151" i="4"/>
  <c r="D151" i="4"/>
  <c r="A152" i="4"/>
  <c r="B152" i="4"/>
  <c r="C152" i="4"/>
  <c r="D152" i="4"/>
  <c r="A153" i="4"/>
  <c r="B153" i="4"/>
  <c r="C153" i="4"/>
  <c r="D153" i="4"/>
  <c r="A154" i="4"/>
  <c r="B154" i="4"/>
  <c r="C154" i="4"/>
  <c r="D154" i="4"/>
  <c r="A155" i="4"/>
  <c r="B155" i="4"/>
  <c r="C155" i="4"/>
  <c r="D155" i="4"/>
  <c r="A156" i="4"/>
  <c r="B156" i="4"/>
  <c r="C156" i="4"/>
  <c r="D156" i="4"/>
  <c r="A157" i="4"/>
  <c r="B157" i="4"/>
  <c r="C157" i="4"/>
  <c r="D157" i="4"/>
  <c r="A158" i="4"/>
  <c r="B158" i="4"/>
  <c r="C158" i="4"/>
  <c r="D158" i="4"/>
  <c r="A159" i="4"/>
  <c r="B159" i="4"/>
  <c r="C159" i="4"/>
  <c r="D159" i="4"/>
  <c r="A160" i="4"/>
  <c r="B160" i="4"/>
  <c r="C160" i="4"/>
  <c r="D160" i="4"/>
  <c r="A161" i="4"/>
  <c r="B161" i="4"/>
  <c r="C161" i="4"/>
  <c r="D161" i="4"/>
  <c r="A162" i="4"/>
  <c r="B162" i="4"/>
  <c r="C162" i="4"/>
  <c r="D162" i="4"/>
  <c r="A163" i="4"/>
  <c r="B163" i="4"/>
  <c r="C163" i="4"/>
  <c r="D163" i="4"/>
  <c r="A164" i="4"/>
  <c r="B164" i="4"/>
  <c r="C164" i="4"/>
  <c r="D164" i="4"/>
  <c r="A165" i="4"/>
  <c r="B165" i="4"/>
  <c r="C165" i="4"/>
  <c r="D165" i="4"/>
  <c r="A166" i="4"/>
  <c r="B166" i="4"/>
  <c r="C166" i="4"/>
  <c r="D166" i="4"/>
  <c r="A167" i="4"/>
  <c r="B167" i="4"/>
  <c r="C167" i="4"/>
  <c r="D167" i="4"/>
  <c r="A168" i="4"/>
  <c r="B168" i="4"/>
  <c r="C168" i="4"/>
  <c r="D168" i="4"/>
  <c r="A169" i="4"/>
  <c r="B169" i="4"/>
  <c r="C169" i="4"/>
  <c r="D169" i="4"/>
  <c r="A170" i="4"/>
  <c r="B170" i="4"/>
  <c r="C170" i="4"/>
  <c r="D170" i="4"/>
  <c r="A171" i="4"/>
  <c r="B171" i="4"/>
  <c r="C171" i="4"/>
  <c r="D171" i="4"/>
  <c r="A172" i="4"/>
  <c r="B172" i="4"/>
  <c r="C172" i="4"/>
  <c r="D172" i="4"/>
  <c r="A173" i="4"/>
  <c r="B173" i="4"/>
  <c r="C173" i="4"/>
  <c r="D173" i="4"/>
  <c r="A174" i="4"/>
  <c r="B174" i="4"/>
  <c r="C174" i="4"/>
  <c r="D174" i="4"/>
  <c r="A175" i="4"/>
  <c r="B175" i="4"/>
  <c r="C175" i="4"/>
  <c r="D175" i="4"/>
  <c r="A176" i="4"/>
  <c r="B176" i="4"/>
  <c r="C176" i="4"/>
  <c r="D176" i="4"/>
  <c r="A177" i="4"/>
  <c r="B177" i="4"/>
  <c r="C177" i="4"/>
  <c r="D177" i="4"/>
  <c r="A178" i="4"/>
  <c r="B178" i="4"/>
  <c r="C178" i="4"/>
  <c r="D178" i="4"/>
  <c r="A179" i="4"/>
  <c r="B179" i="4"/>
  <c r="C179" i="4"/>
  <c r="D179" i="4"/>
  <c r="A180" i="4"/>
  <c r="B180" i="4"/>
  <c r="C180" i="4"/>
  <c r="D180" i="4"/>
  <c r="A181" i="4"/>
  <c r="B181" i="4"/>
  <c r="C181" i="4"/>
  <c r="D181" i="4"/>
  <c r="A182" i="4"/>
  <c r="B182" i="4"/>
  <c r="C182" i="4"/>
  <c r="D182" i="4"/>
  <c r="A183" i="4"/>
  <c r="B183" i="4"/>
  <c r="C183" i="4"/>
  <c r="D183" i="4"/>
  <c r="D16" i="2"/>
  <c r="E16" i="2"/>
  <c r="F16" i="2"/>
  <c r="G16" i="2"/>
  <c r="D17" i="2"/>
  <c r="E17" i="2"/>
  <c r="H17" i="2" s="1"/>
  <c r="F17" i="2"/>
  <c r="G17" i="2"/>
  <c r="D18" i="2"/>
  <c r="E18" i="2"/>
  <c r="H18" i="2" s="1"/>
  <c r="F18" i="2"/>
  <c r="G18" i="2"/>
  <c r="D19" i="2"/>
  <c r="E19" i="2"/>
  <c r="F19" i="2"/>
  <c r="G19" i="2"/>
  <c r="D20" i="2"/>
  <c r="E20" i="2"/>
  <c r="H20" i="2" s="1"/>
  <c r="F20" i="2"/>
  <c r="G20" i="2"/>
  <c r="D21" i="2"/>
  <c r="E21" i="2"/>
  <c r="H21" i="2" s="1"/>
  <c r="F21" i="2"/>
  <c r="G21" i="2"/>
  <c r="D22" i="2"/>
  <c r="E22" i="2"/>
  <c r="H22" i="2" s="1"/>
  <c r="F22" i="2"/>
  <c r="G22" i="2"/>
  <c r="D23" i="2"/>
  <c r="E23" i="2"/>
  <c r="F23" i="2"/>
  <c r="G23" i="2"/>
  <c r="D24" i="2"/>
  <c r="E24" i="2"/>
  <c r="H24" i="2" s="1"/>
  <c r="F24" i="2"/>
  <c r="G24" i="2"/>
  <c r="D25" i="2"/>
  <c r="E25" i="2"/>
  <c r="F25" i="2"/>
  <c r="G25" i="2"/>
  <c r="H25" i="2"/>
  <c r="D26" i="2"/>
  <c r="E26" i="2"/>
  <c r="F26" i="2"/>
  <c r="G26" i="2"/>
  <c r="D27" i="2"/>
  <c r="E27" i="2"/>
  <c r="H27" i="2" s="1"/>
  <c r="F27" i="2"/>
  <c r="G27" i="2"/>
  <c r="D28" i="2"/>
  <c r="E28" i="2"/>
  <c r="H28" i="2" s="1"/>
  <c r="F28" i="2"/>
  <c r="G28" i="2"/>
  <c r="D29" i="2"/>
  <c r="E29" i="2"/>
  <c r="F29" i="2"/>
  <c r="G29" i="2"/>
  <c r="D30" i="2"/>
  <c r="E30" i="2"/>
  <c r="F30" i="2"/>
  <c r="G30" i="2"/>
  <c r="H30" i="2"/>
  <c r="D31" i="2"/>
  <c r="H31" i="2" s="1"/>
  <c r="E31" i="2"/>
  <c r="F31" i="2"/>
  <c r="G31" i="2"/>
  <c r="D32" i="2"/>
  <c r="E32" i="2"/>
  <c r="H32" i="2" s="1"/>
  <c r="F32" i="2"/>
  <c r="G32" i="2"/>
  <c r="D33" i="2"/>
  <c r="H33" i="2" s="1"/>
  <c r="E33" i="2"/>
  <c r="F33" i="2"/>
  <c r="G33" i="2"/>
  <c r="D34" i="2"/>
  <c r="E34" i="2"/>
  <c r="F34" i="2"/>
  <c r="G34" i="2"/>
  <c r="D35" i="2"/>
  <c r="E35" i="2"/>
  <c r="F35" i="2"/>
  <c r="G35" i="2"/>
  <c r="H35" i="2"/>
  <c r="D36" i="2"/>
  <c r="E36" i="2"/>
  <c r="F36" i="2"/>
  <c r="G36" i="2"/>
  <c r="D37" i="2"/>
  <c r="E37" i="2"/>
  <c r="H37" i="2" s="1"/>
  <c r="F37" i="2"/>
  <c r="G37" i="2"/>
  <c r="D38" i="2"/>
  <c r="H38" i="2" s="1"/>
  <c r="E38" i="2"/>
  <c r="F38" i="2"/>
  <c r="G38" i="2"/>
  <c r="D39" i="2"/>
  <c r="E39" i="2"/>
  <c r="F39" i="2"/>
  <c r="G39" i="2"/>
  <c r="E11" i="2"/>
  <c r="D11" i="2"/>
  <c r="C11" i="2"/>
  <c r="B11" i="2"/>
  <c r="E10" i="2"/>
  <c r="D10" i="2"/>
  <c r="C10" i="2"/>
  <c r="B10" i="2"/>
  <c r="E9" i="2"/>
  <c r="D9" i="2"/>
  <c r="C9" i="2"/>
  <c r="B9" i="2"/>
  <c r="E8" i="2"/>
  <c r="D8" i="2"/>
  <c r="C8" i="2"/>
  <c r="B8" i="2"/>
  <c r="E7" i="2"/>
  <c r="E12" i="2" s="1"/>
  <c r="D7" i="2"/>
  <c r="D12" i="2" s="1"/>
  <c r="C7" i="2"/>
  <c r="C12" i="2" s="1"/>
  <c r="B7" i="2"/>
  <c r="B12" i="2" s="1"/>
  <c r="G12" i="2" s="1"/>
  <c r="B61" i="2" l="1"/>
  <c r="E61" i="2" s="1"/>
  <c r="F12" i="2"/>
  <c r="F9" i="2"/>
  <c r="F11" i="2"/>
  <c r="H36" i="2"/>
  <c r="H34" i="2"/>
  <c r="H23" i="2"/>
  <c r="H19" i="2"/>
  <c r="F7" i="2"/>
  <c r="H26" i="2"/>
  <c r="F8" i="2"/>
  <c r="F10" i="2"/>
  <c r="H39" i="2"/>
  <c r="H29" i="2"/>
  <c r="H16" i="2"/>
  <c r="C56" i="2" l="1"/>
  <c r="C57" i="2"/>
  <c r="C59" i="2"/>
  <c r="C58" i="2"/>
  <c r="C60" i="2"/>
  <c r="C61" i="2"/>
</calcChain>
</file>

<file path=xl/sharedStrings.xml><?xml version="1.0" encoding="utf-8"?>
<sst xmlns="http://schemas.openxmlformats.org/spreadsheetml/2006/main" count="3884" uniqueCount="2261">
  <si>
    <t>認証基盤 要件定義・基本設計 進捗一覧</t>
  </si>
  <si>
    <t>出典リポジトリ</t>
  </si>
  <si>
    <t>github.com/suepie/aws-atuh-poc  doc/requirements + doc/basic-design</t>
  </si>
  <si>
    <t>コミットSHA</t>
  </si>
  <si>
    <t>52d174063825585f53142e7e121461bdb45d4d83</t>
  </si>
  <si>
    <t>位置づけ</t>
  </si>
  <si>
    <t>本表はGitドキュメントからの派生ビュー（読み取り専用スナップショット）。SSOTはGit側。判断・更新はGitで行い、本表は俯瞰用。</t>
  </si>
  <si>
    <t>区分</t>
  </si>
  <si>
    <t>総数</t>
  </si>
  <si>
    <t>確定</t>
  </si>
  <si>
    <t>検討中</t>
  </si>
  <si>
    <t>未着手</t>
  </si>
  <si>
    <t>確定率</t>
  </si>
  <si>
    <t>機能要件</t>
  </si>
  <si>
    <t>非機能要件</t>
  </si>
  <si>
    <t>前提（Baseline）</t>
  </si>
  <si>
    <t>契約前ゲート</t>
  </si>
  <si>
    <t>未決事項</t>
  </si>
  <si>
    <t>合計</t>
  </si>
  <si>
    <t>大項目</t>
  </si>
  <si>
    <t>小項目</t>
  </si>
  <si>
    <t>ID</t>
  </si>
  <si>
    <t>概要</t>
  </si>
  <si>
    <t>決定状況</t>
  </si>
  <si>
    <t>決定内容・残論点</t>
  </si>
  <si>
    <t>出典</t>
  </si>
  <si>
    <t>FR-AUTH 認証フロー/Grant Type</t>
  </si>
  <si>
    <t>FR-AUTH-001</t>
  </si>
  <si>
    <t>ID/PW認証（ローカルユーザー）</t>
  </si>
  <si>
    <t>Must｜Cognito=Hosted UI / Keycloak=Realm Login Page。PoC検証済</t>
  </si>
  <si>
    <t>requirements/functional-requirements.md §1.1</t>
  </si>
  <si>
    <t>FR-AUTH-002</t>
  </si>
  <si>
    <t>Authorization Code + PKCE（SPA/モバイル）</t>
  </si>
  <si>
    <t>Must｜両者Public Client対応。PoC Phase 1,4,5,6,7で検証済</t>
  </si>
  <si>
    <t>FR-AUTH-003</t>
  </si>
  <si>
    <t>Authorization Code + client_secret（SSR）</t>
  </si>
  <si>
    <t>Must｜両者Confidential Client対応。PoC未検証のため承認要</t>
  </si>
  <si>
    <t>FR-AUTH-004</t>
  </si>
  <si>
    <t>Client Credentials（M2M）</t>
  </si>
  <si>
    <t>Must｜Cognito=Resource Server+custom scope必要 / Keycloak=Service Account。PoC未検証</t>
  </si>
  <si>
    <t>FR-AUTH-005</t>
  </si>
  <si>
    <t>Token Exchange（RFC 8693）</t>
  </si>
  <si>
    <t>TBD｜Cognito非対応 / Keycloakネイティブ。★Keycloak必須要因。ヒアリング優先度2</t>
  </si>
  <si>
    <t>FR-AUTH-006</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</si>
  <si>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</si>
  <si>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</si>
  <si>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</si>
  <si>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</si>
  <si>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</si>
  <si>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</si>
  <si>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</si>
  <si>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</si>
  <si>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</si>
  <si>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</si>
  <si>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</si>
  <si>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</si>
  <si>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</si>
  <si>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</si>
  <si>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</si>
  <si>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</si>
  <si>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</si>
  <si>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</si>
  <si>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</si>
  <si>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</si>
  <si>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</si>
  <si>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</si>
  <si>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</si>
  <si>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</si>
  <si>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</si>
  <si>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</si>
  <si>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</si>
  <si>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</si>
  <si>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</si>
  <si>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</si>
  <si>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</si>
  <si>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</si>
  <si>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</si>
  <si>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</si>
  <si>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</si>
  <si>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</si>
  <si>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</si>
  <si>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</si>
  <si>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</si>
  <si>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</si>
  <si>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</si>
  <si>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</si>
  <si>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</si>
  <si>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</si>
  <si>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</si>
  <si>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</si>
  <si>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</si>
  <si>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</si>
  <si>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</si>
  <si>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</si>
  <si>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</si>
  <si>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</si>
  <si>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</si>
  <si>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</si>
  <si>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</si>
  <si>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</si>
  <si>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</si>
  <si>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</si>
  <si>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</si>
  <si>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</si>
  <si>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</si>
  <si>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Must｜Cognito=個別実装 / Keycloak=Conditional OTP。PoC Phase 7（Keycloakのみ）。MFA責務は外部IdP側に寄せる方針(ADR-009)</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</si>
  <si>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</si>
  <si>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</si>
  <si>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</si>
  <si>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</si>
  <si>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</si>
  <si>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</si>
  <si>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</si>
  <si>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</si>
  <si>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</si>
  <si>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</si>
  <si>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</si>
  <si>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</si>
  <si>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</si>
  <si>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</si>
  <si>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</si>
  <si>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</si>
  <si>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</si>
  <si>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</si>
  <si>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</si>
  <si>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</si>
  <si>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</si>
  <si>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</si>
  <si>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</si>
  <si>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</si>
  <si>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</si>
  <si>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</si>
  <si>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</si>
  <si>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</si>
  <si>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</si>
  <si>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</si>
  <si>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</si>
  <si>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</si>
  <si>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</si>
  <si>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</si>
  <si>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</si>
  <si>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</si>
  <si>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</si>
  <si>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</si>
  <si>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</si>
  <si>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</si>
  <si>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</si>
  <si>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</si>
  <si>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</si>
  <si>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</si>
  <si>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</si>
  <si>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</si>
  <si>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</si>
  <si>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</si>
  <si>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</si>
  <si>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</si>
  <si>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</si>
  <si>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</si>
  <si>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</si>
  <si>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</si>
  <si>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</si>
  <si>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</si>
  <si>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</si>
  <si>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</si>
  <si>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</si>
  <si>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</si>
  <si>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</si>
  <si>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</si>
  <si>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</si>
  <si>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</si>
  <si>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</si>
  <si>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</si>
  <si>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</si>
  <si>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</si>
  <si>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</si>
  <si>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</si>
  <si>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</si>
  <si>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</si>
  <si>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</si>
  <si>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</si>
  <si>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</si>
  <si>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</si>
  <si>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</si>
  <si>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</si>
  <si>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</si>
  <si>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</si>
  <si>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</si>
  <si>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</si>
  <si>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</si>
  <si>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</si>
  <si>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</si>
  <si>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</si>
  <si>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</si>
  <si>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</si>
  <si>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</si>
  <si>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</si>
  <si>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</si>
  <si>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</si>
  <si>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</si>
  <si>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</si>
  <si>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</si>
  <si>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</si>
  <si>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</si>
  <si>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</si>
  <si>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</si>
  <si>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</si>
  <si>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</si>
  <si>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</si>
  <si>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</si>
  <si>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</si>
  <si>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</si>
  <si>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</si>
  <si>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</si>
  <si>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</si>
  <si>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</si>
  <si>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</si>
  <si>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</si>
  <si>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</si>
  <si>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</si>
  <si>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</si>
  <si>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</si>
  <si>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</si>
  <si>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</si>
  <si>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</si>
  <si>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</si>
  <si>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</si>
  <si>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</si>
  <si>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</si>
  <si>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</si>
  <si>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</si>
  <si>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Should｜Cognito=AdminDeleteUser / Keycloak=Cascade Delete。PoC未検証</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</si>
  <si>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</si>
  <si>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</si>
  <si>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</si>
  <si>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</si>
  <si>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</si>
  <si>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</si>
  <si>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</si>
  <si>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</si>
  <si>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</si>
  <si>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</si>
  <si>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</si>
  <si>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</si>
  <si>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</si>
  <si>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</si>
  <si>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</si>
  <si>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</si>
  <si>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</si>
  <si>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</si>
  <si>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</si>
  <si>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</si>
  <si>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</si>
  <si>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</si>
  <si>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</si>
  <si>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</si>
  <si>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</si>
  <si>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</si>
  <si>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</si>
  <si>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</si>
  <si>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</si>
  <si>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</si>
  <si>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</si>
  <si>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</si>
  <si>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</si>
  <si>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Must｜Cognito=AWS Console / Keycloak=Admin Console。PoC Phase 6検証済</t>
  </si>
  <si>
    <t>requirements/functional-requirements.md §7.1</t>
  </si>
  <si>
    <t>FR-ADMIN-002</t>
  </si>
  <si>
    <t>テナント追加・削除</t>
  </si>
  <si>
    <t>Must｜Cognito=User Pool単位/Group / Keycloak=Realm単位/IdP単位。PoCは設計のみ</t>
  </si>
  <si>
    <t>FR-ADMIN-003</t>
  </si>
  <si>
    <t>IdP追加・削除・更新</t>
  </si>
  <si>
    <t>Must｜両者Console/Terraform対応。PoC Phase 2,5,7検証済</t>
  </si>
  <si>
    <t>FR-ADMIN-004</t>
  </si>
  <si>
    <t>クライアント（App）管理</t>
  </si>
  <si>
    <t>Must｜Cognito=App Client / Keycloak=Client。PoC検証済</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</si>
  <si>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</si>
  <si>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</si>
  <si>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</si>
  <si>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</si>
  <si>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</si>
  <si>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</si>
  <si>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</si>
  <si>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</si>
  <si>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</si>
  <si>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</si>
  <si>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</si>
  <si>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</si>
  <si>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</si>
  <si>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</si>
  <si>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</si>
  <si>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</si>
  <si>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</si>
  <si>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</si>
  <si>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</si>
  <si>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</si>
  <si>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</si>
  <si>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Must｜Cognito=IAM / Keycloak=Realm Admin Roles。PoCはデフォルト</t>
  </si>
  <si>
    <t>FR-ADMIN-011</t>
  </si>
  <si>
    <t>テナント管理者の委譲（顧客の自社運用）</t>
  </si>
  <si>
    <t>Should｜Cognito=AWS IAM必要 / Keycloak=Realm-level Admin。未検証</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</si>
  <si>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</si>
  <si>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</si>
  <si>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</si>
  <si>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</si>
  <si>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</si>
  <si>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</si>
  <si>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</si>
  <si>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</si>
  <si>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</si>
  <si>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</si>
  <si>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</si>
  <si>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</si>
  <si>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</si>
  <si>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</si>
  <si>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</si>
  <si>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</si>
  <si>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</si>
  <si>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</si>
  <si>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</si>
  <si>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</si>
  <si>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Must｜Cognito=CloudTrail/CloudWatch / Keycloak=Event Listener自前実装。PoCはデフォルト</t>
  </si>
  <si>
    <t>requirements/functional-requirements.md §8.2</t>
  </si>
  <si>
    <t>FR-INT-009</t>
  </si>
  <si>
    <t>監査ログSIEM連携（Splunk / Datadog）</t>
  </si>
  <si>
    <t>Could｜Cognito=対応 / Keycloak=ログ転送設計要。未検証</t>
  </si>
  <si>
    <t>FR-INT API・IaC・Webhook</t>
  </si>
  <si>
    <t>FR-INT-005</t>
  </si>
  <si>
    <t>Webhookイベント通知（user.created等）</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</si>
  <si>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</si>
  <si>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</si>
  <si>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</si>
  <si>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</si>
  <si>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</si>
  <si>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</si>
  <si>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</si>
  <si>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Must｜Cognito=対応 / Keycloak=Realm部分は別管理。PoC検証済（基本設計でkeycloak-config-cli不採用）</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</si>
  <si>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</si>
  <si>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</si>
  <si>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</si>
  <si>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</si>
  <si>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</si>
  <si>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</si>
  <si>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</si>
  <si>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</si>
  <si>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</si>
  <si>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</si>
  <si>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</si>
  <si>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</si>
  <si>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</si>
  <si>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</si>
  <si>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</si>
  <si>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</si>
  <si>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</si>
  <si>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</si>
  <si>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</si>
  <si>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</si>
  <si>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</si>
  <si>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</si>
  <si>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</si>
  <si>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</si>
  <si>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</si>
  <si>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</si>
  <si>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</si>
  <si>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</si>
  <si>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</si>
  <si>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</si>
  <si>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</si>
  <si>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</si>
  <si>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</si>
  <si>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</si>
  <si>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</si>
  <si>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</si>
  <si>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</si>
  <si>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</si>
  <si>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</si>
  <si>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</si>
  <si>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</si>
  <si>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</si>
  <si>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</si>
  <si>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</si>
  <si>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(TBD) 顧客別/全体｜Cognito API Rate Limit別途</t>
  </si>
  <si>
    <t>NFR-PERF-007</t>
  </si>
  <si>
    <t>認証ピーク時間帯への耐性</t>
  </si>
  <si>
    <t>(D)始業時N倍想定｜Cognito=AWS自動スケール / Keycloak=ECS事前スケールアウト設計</t>
  </si>
  <si>
    <t>NFR-SCL 拡張性</t>
  </si>
  <si>
    <t>NFR-SCL-001</t>
  </si>
  <si>
    <t>MAUスケール上限</t>
  </si>
  <si>
    <t>(TBD) 1年後/3年後｜★最重要：コスト損益分岐175,000 MAU(ADR-006)の判断材料。Cognito=数千万MAU実績 / Keycloak=HA設計次第</t>
  </si>
  <si>
    <t>requirements/non-functional-requirements.md §3</t>
  </si>
  <si>
    <t>NFR-SCL-002</t>
  </si>
  <si>
    <t>ピーク時同時セッション数</t>
  </si>
  <si>
    <t>(TBD)｜Cognito=AWS透過 / Keycloak=Sticky Session不要だがECS Task数に依存</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</si>
  <si>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</si>
  <si>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</si>
  <si>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</si>
  <si>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</si>
  <si>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</si>
  <si>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</si>
  <si>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</si>
  <si>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</si>
  <si>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</si>
  <si>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</si>
  <si>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</si>
  <si>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</si>
  <si>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</si>
  <si>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</si>
  <si>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</si>
  <si>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</si>
  <si>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</si>
  <si>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</si>
  <si>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(D)TLS 1.2+｜Cognito=AWS強制 / Keycloak=ACM+ALB設定要（PoCはHTTP）</t>
  </si>
  <si>
    <t>requirements/non-functional-requirements.md §4.1</t>
  </si>
  <si>
    <t>NFR-SEC-002</t>
  </si>
  <si>
    <t>データ暗号化（at-rest）</t>
  </si>
  <si>
    <t>(D)AES-256（KMS）｜Cognito=自動 / Keycloak=RDS storage_encrypted=true。基本設計はKMS 3階層6Acct写像</t>
  </si>
  <si>
    <t>NFR-SEC-003</t>
  </si>
  <si>
    <t>トークン署名アルゴリズム</t>
  </si>
  <si>
    <t>(D)RS256｜両者対応（KeycloakはES256も可）。基本設計でJWT署名=Realm Key 90日に確定</t>
  </si>
  <si>
    <t>NFR-SEC-009</t>
  </si>
  <si>
    <t>パスワード保管アルゴリズム</t>
  </si>
  <si>
    <t>(D)PBKDF2/bcrypt/Argon2｜Cognito=AWS内部 / Keycloak=PBKDF2-SHA512（デフォルト）</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</si>
  <si>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</si>
  <si>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</si>
  <si>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</si>
  <si>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</si>
  <si>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</si>
  <si>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</si>
  <si>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</si>
  <si>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</si>
  <si>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</si>
  <si>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</si>
  <si>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</si>
  <si>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</si>
  <si>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</si>
  <si>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</si>
  <si>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</si>
  <si>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</si>
  <si>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</si>
  <si>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</si>
  <si>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</si>
  <si>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</si>
  <si>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</si>
  <si>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</si>
  <si>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</si>
  <si>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</si>
  <si>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</si>
  <si>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</si>
  <si>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(D)連続失敗で一時ロック｜Cognito=全ティア標準BF保護（調整不可）、詳細設定はPlusティア(+$0.02/MAU) / Keycloak=Realm Settings</t>
  </si>
  <si>
    <t>requirements/non-functional-requirements.md §4.3</t>
  </si>
  <si>
    <t>NFR-SEC-010-2</t>
  </si>
  <si>
    <t>侵害クレデンシャル検出（HIBP相当）</t>
  </si>
  <si>
    <t>(TBD)｜Cognito=Plusティア(+$0.02/MAU)必要 / Keycloak=プラグイン・カスタム要件。Cognitoティア選定に影響</t>
  </si>
  <si>
    <t>NFR-SEC-012</t>
  </si>
  <si>
    <t>DDoS対策</t>
  </si>
  <si>
    <t>(D)Shield Standard｜両者AWS標準で対応</t>
  </si>
  <si>
    <t>NFR-SEC-013</t>
  </si>
  <si>
    <t>ペネトレーションテスト</t>
  </si>
  <si>
    <t>(TBD) 年N回｜製品非依存。実施体制・頻度を要ヒアリング</t>
  </si>
  <si>
    <t>NFR-SEC-014</t>
  </si>
  <si>
    <t>脆弱性スキャン</t>
  </si>
  <si>
    <t>(D)ECR Image Scan + Inspector｜Keycloak=ECR Scan対応</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</si>
  <si>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</si>
  <si>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</si>
  <si>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</si>
  <si>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</si>
  <si>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</si>
  <si>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</si>
  <si>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</si>
  <si>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</si>
  <si>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</si>
  <si>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</si>
  <si>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</si>
  <si>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</si>
  <si>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</si>
  <si>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</si>
  <si>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</si>
  <si>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</si>
  <si>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</si>
  <si>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</si>
  <si>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</si>
  <si>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</si>
  <si>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</si>
  <si>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</si>
  <si>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</si>
  <si>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</si>
  <si>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</si>
  <si>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</si>
  <si>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</si>
  <si>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</si>
  <si>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</si>
  <si>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</si>
  <si>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</si>
  <si>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</si>
  <si>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</si>
  <si>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</si>
  <si>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</si>
  <si>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</si>
  <si>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(D)必須｜Cognito=User Pool別リージョン / Keycloak=Aurora Cross-Region Replica。基本設計でRealm Export全廃→復元2経路に変更</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</si>
  <si>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</si>
  <si>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</si>
  <si>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</si>
  <si>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</si>
  <si>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</si>
  <si>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</si>
  <si>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</si>
  <si>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</si>
  <si>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</si>
  <si>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</si>
  <si>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</si>
  <si>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</si>
  <si>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</si>
  <si>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</si>
  <si>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</si>
  <si>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</si>
  <si>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</si>
  <si>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</si>
  <si>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</si>
  <si>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</si>
  <si>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</si>
  <si>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</si>
  <si>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</si>
  <si>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</si>
  <si>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</si>
  <si>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</si>
  <si>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</si>
  <si>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</si>
  <si>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</si>
  <si>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</si>
  <si>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</si>
  <si>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</si>
  <si>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</si>
  <si>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</si>
  <si>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</si>
  <si>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</si>
  <si>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</si>
  <si>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</si>
  <si>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</si>
  <si>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</si>
  <si>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</si>
  <si>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</si>
  <si>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</si>
  <si>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</si>
  <si>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</si>
  <si>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</si>
  <si>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</si>
  <si>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</si>
  <si>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</si>
  <si>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</si>
  <si>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GDPR / CCPA（海外展開時）</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</si>
  <si>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</si>
  <si>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</si>
  <si>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</si>
  <si>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</si>
  <si>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</si>
  <si>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</si>
  <si>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</si>
  <si>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</si>
  <si>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</si>
  <si>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</si>
  <si>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</si>
  <si>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</si>
  <si>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</si>
  <si>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</si>
  <si>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</si>
  <si>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FIPS 140-2 認定</t>
  </si>
  <si>
    <t>(TBD)｜★最重要：RHBK必須要因。Cognito=FIPS Endpoint利用 / Keycloak=RHBK必須。NFR-COST-006とセット</t>
  </si>
  <si>
    <t>NFR-COMP-007</t>
  </si>
  <si>
    <t>監査ログ保存期間（法令要件）</t>
  </si>
  <si>
    <t>(TBD) 業種次第（〜10年）｜両者S3ライフサイクルで対応。NFR-OPS-003と連動</t>
  </si>
  <si>
    <t>NFR-COMP-010</t>
  </si>
  <si>
    <t>アクセス監査の追跡可能性</t>
  </si>
  <si>
    <t>(D)全認証イベント記録｜Cognito=CloudTrail / Keycloak=Event Listener</t>
  </si>
  <si>
    <t>NFR-COMP データガバナンス</t>
  </si>
  <si>
    <t>NFR-COMP-009</t>
  </si>
  <si>
    <t>個人データ削除権（GDPR Right to Erasure）</t>
  </si>
  <si>
    <t>(TBD)｜Cognito=AdminDeleteUser / Keycloak=Cascade Delete。基本設計は3段階削除</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</si>
  <si>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</si>
  <si>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</si>
  <si>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</si>
  <si>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</si>
  <si>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</si>
  <si>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</si>
  <si>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</si>
  <si>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</si>
  <si>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</si>
  <si>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</si>
  <si>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</si>
  <si>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</si>
  <si>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</si>
  <si>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</si>
  <si>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</si>
  <si>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</si>
  <si>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</si>
  <si>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</si>
  <si>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</si>
  <si>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</si>
  <si>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</si>
  <si>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</si>
  <si>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</si>
  <si>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</si>
  <si>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</si>
  <si>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</si>
  <si>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(TBD) $5,000〜30,000/年/ノード｜★重要：NFR-COMP-006（FIPS要否）とセットで判断。要ベンダー見積（rhbk-vendor-inquiry.md Q1〜Q10）</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</si>
  <si>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</si>
  <si>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</si>
  <si>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</si>
  <si>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</si>
  <si>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</si>
  <si>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</si>
  <si>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</si>
  <si>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</si>
  <si>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</si>
  <si>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</si>
  <si>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</si>
  <si>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</si>
  <si>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</si>
  <si>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</si>
  <si>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</si>
  <si>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</si>
  <si>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</si>
  <si>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</si>
  <si>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</si>
  <si>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</si>
  <si>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</si>
  <si>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</si>
  <si>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</si>
  <si>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</si>
  <si>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</si>
  <si>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</si>
  <si>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</si>
  <si>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</si>
  <si>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</si>
  <si>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</si>
  <si>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</si>
  <si>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</si>
  <si>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</si>
  <si>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</si>
  <si>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</si>
  <si>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</si>
  <si>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</si>
  <si>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</si>
  <si>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</si>
  <si>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</si>
  <si>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</si>
  <si>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2026-07-30確定。hearing C-201回答=必須ではない。影響=U7（見直し不要）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</si>
  <si>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</si>
  <si>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</si>
  <si>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</si>
  <si>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</si>
  <si>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</si>
  <si>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</si>
  <si>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</si>
  <si>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</si>
  <si>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</si>
  <si>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</si>
  <si>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</si>
  <si>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</si>
  <si>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</si>
  <si>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</si>
  <si>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</si>
  <si>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</si>
  <si>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</si>
  <si>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</si>
  <si>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</si>
  <si>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</si>
  <si>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</si>
  <si>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</si>
  <si>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</si>
  <si>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</si>
  <si>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</si>
  <si>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</si>
  <si>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</si>
  <si>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</si>
  <si>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</si>
  <si>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</si>
  <si>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</si>
  <si>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</si>
  <si>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</si>
  <si>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</si>
  <si>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</si>
  <si>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</si>
  <si>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</si>
  <si>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</si>
  <si>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</si>
  <si>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</si>
  <si>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</si>
  <si>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</si>
  <si>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</si>
  <si>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</si>
  <si>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</si>
  <si>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</si>
  <si>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</si>
  <si>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</si>
  <si>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</si>
  <si>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</si>
  <si>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</si>
  <si>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</si>
  <si>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</si>
  <si>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</si>
  <si>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</si>
  <si>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</si>
  <si>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</si>
  <si>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</si>
  <si>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</si>
  <si>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</si>
  <si>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</si>
  <si>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</si>
  <si>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</si>
  <si>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</si>
  <si>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</si>
  <si>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</si>
  <si>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</si>
  <si>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</si>
  <si>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</si>
  <si>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2026-07-30: 「検証する」と判断（実施確定）。A-2継続。未実施</t>
  </si>
  <si>
    <t>basic-design/01-architecture-baseline.md §1.5/§1.4a</t>
  </si>
  <si>
    <t>G-UProfile-Email</t>
  </si>
  <si>
    <t>User Profileでemailを任意化した際のKeycloak既知不具合を回避し、email非保有ユーザーが登録/ログイン/更新を完走できるか実機検証</t>
  </si>
  <si>
    <t>2026-08-03追加（FC-5）。既知不具合=依存属性firstName/lastNameの検証失敗[kc#21265]、UPDATE_EMAIL/Verify Profileのoptional無視[kc#33497]。email非保有顧客（工場系）収容の前提条件（U2 §2.6設計制約4 / §2.8.1）</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</si>
  <si>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</si>
  <si>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</si>
  <si>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</si>
  <si>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</si>
  <si>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</si>
  <si>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</si>
  <si>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</si>
  <si>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P-05/P-15の手動DR（大阪オンデマンド再構築）の成立条件。未実施</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</si>
  <si>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</si>
  <si>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</si>
  <si>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</si>
  <si>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</si>
  <si>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</si>
  <si>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</si>
  <si>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</si>
  <si>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</si>
  <si>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</si>
  <si>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</si>
  <si>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</si>
  <si>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</si>
  <si>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</si>
  <si>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</si>
  <si>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</si>
  <si>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2026-07-30廃止（LDAP顧客なし）。B-SCIM-13も不要。D3-04 ldap経路 / ADR-025 §Hを対象外化。U2/U3のLDAP記述は「Phase 1対象外」注記</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</si>
  <si>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</si>
  <si>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</si>
  <si>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</si>
  <si>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</si>
  <si>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</si>
  <si>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</si>
  <si>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</si>
  <si>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</si>
  <si>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</si>
  <si>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</si>
  <si>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</si>
  <si>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</si>
  <si>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</si>
  <si>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</si>
  <si>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</si>
  <si>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</si>
  <si>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</si>
  <si>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</si>
  <si>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</si>
  <si>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</si>
  <si>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</si>
  <si>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</si>
  <si>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</si>
  <si>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</si>
  <si>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</si>
  <si>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</si>
  <si>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</si>
  <si>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</si>
  <si>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</si>
  <si>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</si>
  <si>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</si>
  <si>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</si>
  <si>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</si>
  <si>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</si>
  <si>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</si>
  <si>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</si>
  <si>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</si>
  <si>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</si>
  <si>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</si>
  <si>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</si>
  <si>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</si>
  <si>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</si>
  <si>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</si>
  <si>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</si>
  <si>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</si>
  <si>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</si>
  <si>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</si>
  <si>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</si>
  <si>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</si>
  <si>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</si>
  <si>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</si>
  <si>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</si>
  <si>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</si>
  <si>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</si>
  <si>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</si>
  <si>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</si>
  <si>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</si>
  <si>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</si>
  <si>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</si>
  <si>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</si>
  <si>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</si>
  <si>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</si>
  <si>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</si>
  <si>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</si>
  <si>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</si>
  <si>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</si>
  <si>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</si>
  <si>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</si>
  <si>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</si>
  <si>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</si>
  <si>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</si>
  <si>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</si>
  <si>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</si>
  <si>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</si>
  <si>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</si>
  <si>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</si>
  <si>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</si>
  <si>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</si>
  <si>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</si>
  <si>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</si>
  <si>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</si>
  <si>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</si>
  <si>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</si>
  <si>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</si>
  <si>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</si>
  <si>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</si>
  <si>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</si>
  <si>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</si>
  <si>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</si>
  <si>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</si>
  <si>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</si>
  <si>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</si>
  <si>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</si>
  <si>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</si>
  <si>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</si>
  <si>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</si>
  <si>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</si>
  <si>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</si>
  <si>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</si>
  <si>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</si>
  <si>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</si>
  <si>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</si>
  <si>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検討3人日。包含=O-12（U6 §6.3.2）, U5 §5.8</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</si>
  <si>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</si>
  <si>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</si>
  <si>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</si>
  <si>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</si>
  <si>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</si>
  <si>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</si>
  <si>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</si>
  <si>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</si>
  <si>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</si>
  <si>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</si>
  <si>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</si>
  <si>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</si>
  <si>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</si>
  <si>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</si>
  <si>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</si>
  <si>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</si>
  <si>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</si>
  <si>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</si>
  <si>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</si>
  <si>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</si>
  <si>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</si>
  <si>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</si>
  <si>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</si>
  <si>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</si>
  <si>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</si>
  <si>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</si>
  <si>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</si>
  <si>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</si>
  <si>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</si>
  <si>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</si>
  <si>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</si>
  <si>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</si>
  <si>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検討4人日。削除連鎖=L1 Soft Delete→SAML拒否でL2遮断・sys_user残置。依存=B-SN群（暫定で骨子可）。包含=U10 §10.4, D-U10-06, B-SN-9/10/18/19</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</si>
  <si>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</si>
  <si>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</si>
  <si>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</si>
  <si>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</si>
  <si>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</si>
  <si>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</si>
  <si>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</si>
  <si>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</si>
  <si>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</si>
  <si>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</si>
  <si>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</si>
  <si>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</si>
  <si>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</si>
  <si>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</si>
  <si>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</si>
  <si>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</si>
  <si>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</si>
  <si>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</si>
  <si>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</si>
  <si>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</si>
  <si>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</si>
  <si>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</si>
  <si>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</si>
  <si>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</si>
  <si>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</si>
  <si>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</si>
  <si>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</si>
  <si>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</si>
  <si>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</si>
  <si>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</si>
  <si>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</si>
  <si>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</si>
  <si>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</si>
  <si>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</si>
  <si>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</si>
  <si>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</si>
  <si>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</si>
  <si>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</si>
  <si>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</si>
  <si>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</si>
  <si>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</si>
  <si>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</si>
  <si>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</si>
  <si>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</si>
  <si>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</si>
  <si>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</si>
  <si>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</si>
  <si>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</si>
  <si>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</si>
  <si>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</si>
  <si>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</si>
  <si>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</si>
  <si>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</si>
  <si>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</si>
  <si>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</si>
  <si>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</si>
  <si>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</si>
  <si>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</si>
  <si>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</si>
  <si>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</si>
  <si>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</si>
  <si>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</si>
  <si>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</si>
  <si>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</si>
  <si>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</si>
  <si>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出典: github.com/suepie/aws-atuh-poc（doc/requirements + doc/basic-design）/ commit 52d1740 / 明細は「Sheet1」参照</t>
  </si>
  <si>
    <t>本表はGitからの派生ビュー（読み取り専用）。SSOTはGit側。</t>
  </si>
  <si>
    <t>① 大項目別</t>
  </si>
  <si>
    <t>② 系統別 内訳</t>
  </si>
  <si>
    <t>系統</t>
  </si>
  <si>
    <t>IDパターン</t>
  </si>
  <si>
    <t>FR-AUTH 認証フロー/Grant Type・PW管理</t>
  </si>
  <si>
    <t>FR-AUTH-*</t>
  </si>
  <si>
    <t>FR-FED フェデレーション</t>
  </si>
  <si>
    <t>FR-FED-*</t>
  </si>
  <si>
    <t>FR-MFA 多要素認証</t>
  </si>
  <si>
    <t>FR-MFA-*</t>
  </si>
  <si>
    <t>FR-SSO SSO・ログアウト・セッション</t>
  </si>
  <si>
    <t>FR-SSO-*</t>
  </si>
  <si>
    <t>FR-AUTHZ 認可</t>
  </si>
  <si>
    <t>FR-AUTHZ-*</t>
  </si>
  <si>
    <t>FR-USER ユーザー管理</t>
  </si>
  <si>
    <t>FR-USER-*</t>
  </si>
  <si>
    <t>FR-ADMIN 管理機能</t>
  </si>
  <si>
    <t>FR-ADMIN-*</t>
  </si>
  <si>
    <t>FR-INT 連携・標準準拠</t>
  </si>
  <si>
    <t>FR-INT-*</t>
  </si>
  <si>
    <t>NFR-AVL-*</t>
  </si>
  <si>
    <t>NFR-PERF 性能</t>
  </si>
  <si>
    <t>NFR-PERF-*</t>
  </si>
  <si>
    <t>NFR-SCL スケーラビリティ</t>
  </si>
  <si>
    <t>NFR-SCL-*</t>
  </si>
  <si>
    <t>NFR-SEC セキュリティ</t>
  </si>
  <si>
    <t>NFR-SEC-*</t>
  </si>
  <si>
    <t>NFR-DR-*</t>
  </si>
  <si>
    <t>NFR-OPS 運用・監視</t>
  </si>
  <si>
    <t>NFR-OPS-*</t>
  </si>
  <si>
    <t>NFR-COMP コンプライアンス</t>
  </si>
  <si>
    <t>NFR-COMP-*</t>
  </si>
  <si>
    <t>NFR-COST-*</t>
  </si>
  <si>
    <t>NFR-MIG 移行</t>
  </si>
  <si>
    <t>NFR-MIG-*</t>
  </si>
  <si>
    <t>A. PoC・技術ゲート実測（調査87人日）</t>
  </si>
  <si>
    <t>A-*</t>
  </si>
  <si>
    <t>B. 他組織・エッジ連携確定（検討22人日）</t>
  </si>
  <si>
    <t>B-*</t>
  </si>
  <si>
    <t>C. 設計是正・文書整合（検討17人日）</t>
  </si>
  <si>
    <t>C-*</t>
  </si>
  <si>
    <t>D. 未確定設計の合同確定（検討50人日）</t>
  </si>
  <si>
    <t>D-*</t>
  </si>
  <si>
    <t>E. 新規検討領域（調査10+検討23人日）</t>
  </si>
  <si>
    <t>E-*</t>
  </si>
  <si>
    <t>F. ヒアリング・契約・法務（検討13人日）</t>
  </si>
  <si>
    <t>F-*</t>
  </si>
  <si>
    <t>G. 運用実体化（検討22人日）</t>
  </si>
  <si>
    <t>G-*</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</si>
  <si>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</si>
  <si>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</si>
  <si>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</si>
  <si>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</si>
  <si>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</si>
  <si>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</si>
  <si>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</si>
  <si>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</si>
  <si>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</si>
  <si>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</si>
  <si>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</si>
  <si>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</si>
  <si>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</si>
  <si>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</si>
  <si>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</si>
  <si>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</si>
  <si>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</si>
  <si>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</si>
  <si>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</si>
  <si>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</si>
  <si>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</si>
  <si>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</si>
  <si>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</si>
  <si>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</si>
  <si>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</si>
  <si>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</si>
  <si>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</si>
  <si>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Device Code Flow</t>
    <phoneticPr fontId="2"/>
  </si>
  <si>
    <t>決めること（平易な説明）</t>
  </si>
  <si>
    <t>自社で直接持つ利用者に、IDとパスワードでのログインを認めるか。認める対象を誰までに限るか</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</si>
  <si>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</si>
  <si>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</si>
  <si>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</si>
  <si>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</si>
  <si>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</si>
  <si>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</si>
  <si>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</si>
  <si>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</si>
  <si>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</si>
  <si>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</si>
  <si>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</si>
  <si>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</si>
  <si>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</si>
  <si>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</si>
  <si>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</si>
  <si>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</si>
  <si>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</si>
  <si>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</si>
  <si>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</si>
  <si>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</si>
  <si>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</si>
  <si>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</si>
  <si>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</si>
  <si>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</si>
  <si>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</si>
  <si>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</si>
  <si>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</si>
  <si>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</si>
  <si>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</si>
  <si>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</si>
  <si>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</si>
  <si>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</si>
  <si>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</si>
  <si>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</si>
  <si>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</si>
  <si>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</si>
  <si>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</si>
  <si>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</si>
  <si>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</si>
  <si>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</si>
  <si>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</si>
  <si>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</si>
  <si>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</si>
  <si>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</si>
  <si>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</si>
  <si>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</si>
  <si>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</si>
  <si>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</si>
  <si>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</si>
  <si>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</si>
  <si>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</si>
  <si>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</si>
  <si>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</si>
  <si>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</si>
  <si>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</si>
  <si>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</si>
  <si>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</si>
  <si>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</si>
  <si>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</si>
  <si>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</si>
  <si>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</si>
  <si>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</si>
  <si>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</si>
  <si>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</si>
  <si>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</si>
  <si>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</si>
  <si>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</si>
  <si>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</si>
  <si>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</si>
  <si>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</si>
  <si>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</si>
  <si>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</si>
  <si>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</si>
  <si>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</si>
  <si>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</si>
  <si>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</si>
  <si>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管理画面の操作権限を細かく分ける必要があるか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</si>
  <si>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</si>
  <si>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</si>
  <si>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</si>
  <si>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</si>
  <si>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</si>
  <si>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</si>
  <si>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</si>
  <si>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</si>
  <si>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</si>
  <si>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</si>
  <si>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</si>
  <si>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</si>
  <si>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</si>
  <si>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</si>
  <si>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</si>
  <si>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</si>
  <si>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</si>
  <si>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</si>
  <si>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</si>
  <si>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</si>
  <si>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</si>
  <si>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</si>
  <si>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</si>
  <si>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</si>
  <si>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</si>
  <si>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</si>
  <si>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</si>
  <si>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</si>
  <si>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</si>
  <si>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</si>
  <si>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</si>
  <si>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</si>
  <si>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</si>
  <si>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</si>
  <si>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</si>
  <si>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</si>
  <si>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</si>
  <si>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</si>
  <si>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</si>
  <si>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</si>
  <si>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</si>
  <si>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</si>
  <si>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</si>
  <si>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</si>
  <si>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</si>
  <si>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</si>
  <si>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</si>
  <si>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</si>
  <si>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</si>
  <si>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</si>
  <si>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</si>
  <si>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</si>
  <si>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</si>
  <si>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</si>
  <si>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</si>
  <si>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</si>
  <si>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</si>
  <si>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</si>
  <si>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</si>
  <si>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</si>
  <si>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</si>
  <si>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</si>
  <si>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</si>
  <si>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</si>
  <si>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</si>
  <si>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</si>
  <si>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</si>
  <si>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</si>
  <si>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</si>
  <si>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</si>
  <si>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</si>
  <si>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</si>
  <si>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</si>
  <si>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顧客追加の作業を何営業日で完了させると約束するか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</si>
  <si>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</si>
  <si>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</si>
  <si>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</si>
  <si>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</si>
  <si>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</si>
  <si>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</si>
  <si>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</si>
  <si>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</si>
  <si>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</si>
  <si>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</si>
  <si>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</si>
  <si>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</si>
  <si>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</si>
  <si>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</si>
  <si>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</si>
  <si>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</si>
  <si>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</si>
  <si>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</si>
  <si>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</si>
  <si>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</si>
  <si>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</si>
  <si>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</si>
  <si>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</si>
  <si>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</si>
  <si>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</si>
  <si>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</si>
  <si>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</si>
  <si>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</si>
  <si>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</si>
  <si>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</si>
  <si>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</si>
  <si>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</si>
  <si>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</si>
  <si>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</si>
  <si>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</si>
  <si>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</si>
  <si>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</si>
  <si>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</si>
  <si>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</si>
  <si>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</si>
  <si>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</si>
  <si>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</si>
  <si>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</si>
  <si>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</si>
  <si>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</si>
  <si>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</si>
  <si>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</si>
  <si>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</si>
  <si>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</si>
  <si>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</si>
  <si>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</si>
  <si>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</si>
  <si>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</si>
  <si>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</si>
  <si>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</si>
  <si>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</si>
  <si>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</si>
  <si>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</si>
  <si>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</si>
  <si>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</si>
  <si>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</si>
  <si>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</si>
  <si>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</si>
  <si>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</si>
  <si>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</si>
  <si>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</si>
  <si>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</si>
  <si>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</si>
  <si>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</si>
  <si>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</si>
  <si>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</si>
  <si>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</si>
  <si>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</si>
  <si>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</si>
  <si>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</si>
  <si>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</si>
  <si>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</si>
  <si>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</si>
  <si>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</si>
  <si>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</si>
  <si>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</si>
  <si>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</si>
  <si>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</si>
  <si>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</si>
  <si>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</si>
  <si>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</si>
  <si>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</si>
  <si>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</si>
  <si>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</si>
  <si>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</si>
  <si>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</si>
  <si>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</si>
  <si>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</si>
  <si>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</si>
  <si>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</si>
  <si>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</si>
  <si>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</si>
  <si>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</si>
  <si>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</si>
  <si>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</si>
  <si>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</si>
  <si>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</si>
  <si>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</si>
  <si>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</si>
  <si>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</si>
  <si>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</si>
  <si>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</si>
  <si>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</si>
  <si>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</si>
  <si>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</si>
  <si>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</si>
  <si>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</si>
  <si>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</si>
  <si>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</si>
  <si>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</si>
  <si>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出典: github.com/suepie/aws-atuh-poc  doc/basic-design/  commit 52d1740 ／ Gitからの派生ビュー（読み取り専用）</t>
  </si>
  <si>
    <t>決定ID</t>
  </si>
  <si>
    <t>設計単元</t>
  </si>
  <si>
    <t>決定テーマ</t>
  </si>
  <si>
    <t>決定内容</t>
  </si>
  <si>
    <t>出典ファイル</t>
  </si>
  <si>
    <t>要件 → 設計決定 マッピング（漏れ探し用）</t>
  </si>
  <si>
    <t>要件側を主軸に並べ、対応する設計決定がない行を洗い出すための表。要件の文言は Sheet1 と数式で連動。</t>
  </si>
  <si>
    <t>要件ID</t>
  </si>
  <si>
    <t>要件の分類</t>
  </si>
  <si>
    <t>要件の決定状況</t>
  </si>
  <si>
    <t>対応する設計決定ID</t>
  </si>
  <si>
    <t>対応状況</t>
  </si>
  <si>
    <t>備考・残論点</t>
  </si>
  <si>
    <t>U2 §2.1.1</t>
  </si>
  <si>
    <t>Realm構成</t>
  </si>
  <si>
    <t>Broker KC=単一Realm『broker』+Organizations、IdP-KC=単一Realm『idp』+Organizations。masterはKeycloak自体の管理専用で業務ユーザ・Clientを置かない。Realm名はissuer URLに埋まり変更不可のため普遍的短名</t>
  </si>
  <si>
    <t>basic-design/02-keycloak-logical-design.md</t>
  </si>
  <si>
    <t>U2 §2.1.2</t>
  </si>
  <si>
    <t>Organizationsの使い方</t>
  </si>
  <si>
    <t>Brokerは全顧客（IdPあり・なし問わず）を1顧客=1Orgで登録。顧客IdPは必ず当該顧客Orgに紐付け（グローバルIdP禁止）。IdP-KCはIdPなし顧客のみ登録。Org attributeは表示名とhrd_modeのみ、課金・契約メタは持たない</t>
  </si>
  <si>
    <t>U2 §2.1.3</t>
  </si>
  <si>
    <t>Org命名規則・alias規則</t>
  </si>
  <si>
    <t>Org alias=小文字英数字2〜20文字・先頭英字・ハイフン禁止・作成後変更不可。tenant_idクレーム値とログインIDのtenantプレフィックスと完全一致。master/admin/broker/idp/api/scim/test等は予約語で使用禁止</t>
  </si>
  <si>
    <t>U2 §2.1.4</t>
  </si>
  <si>
    <t>IdP alias規則</t>
  </si>
  <si>
    <t>顧客IdP alias=&lt;orgAlias&gt;-&lt;proto&gt;&lt;NN&gt;（例 acme-oidc01）。IdP製品名はdisplayNameのみに記載しaliasには含めない（製品乗換時にalias変更＝顧客側再設定を避ける）</t>
  </si>
  <si>
    <t>U2 §2.2.1</t>
  </si>
  <si>
    <t>2-tier間フェデの位置付け</t>
  </si>
  <si>
    <t>Brokerから見たIdP-KCは「OIDC IdPの1つ」として登録。IdP-KC側ではBrokerをOIDC confidential clientとして登録</t>
  </si>
  <si>
    <t>U2 §2.2.2</t>
  </si>
  <si>
    <t>Broker側IdP登録（IdP-KC向け）</t>
  </si>
  <si>
    <t>IdPなし顧客共通の単一OIDC IdPエントリ『idpkc-oidc01』を作り、IdPなし顧客の全Orgに紐付け。loginHint=true / hideOnLoginPage=true / trustEmail=false / syncMode=IMPORT / storeToken=false</t>
  </si>
  <si>
    <t>U2 §2.2.3</t>
  </si>
  <si>
    <t>IdP-KC側Client登録（Broker向け）</t>
  </si>
  <si>
    <t>client_id=broker-rp。Confidential・Standard Flowのみ（Implicit/Direct Access/Service Account無効）。redirect URIは完全一致1本のみ（ワイルドカード禁止）。Phase 1=client_secret_post、Phase 2でprivate_key_jwtへ昇格。Web Origins/CORSなし</t>
  </si>
  <si>
    <t>U2 §2.2.4</t>
  </si>
  <si>
    <t>2-tier間のクレーム受け渡し</t>
  </si>
  <si>
    <t>IdP-KC側に専用Client Scope『broker-federation』を作りMapperを集約（tenant_id / preferred_username / amr / email の4種）。JIT突合キーはtenant_id+persistent sub、emailは補助。Phase 1ではIdP-KCのrolesをBrokerへ伝播しない</t>
  </si>
  <si>
    <t>U2 §2.2.5 #1</t>
  </si>
  <si>
    <t>ログアウト連鎖</t>
  </si>
  <si>
    <t>idpkc-oidc01にbackchannelSupported=trueを設定し、Brokerのログアウト時にIdP-KCセッションも常時破棄（自社基盤のため越境問題なし）。storeToken=false下でのid_token_hint取り回しは実機確認が必要</t>
  </si>
  <si>
    <t>U2 §2.2.5 #2</t>
  </si>
  <si>
    <t>IdP-KC側Realmセッション TTL</t>
  </si>
  <si>
    <t>Realm『idp』のSSO Session Idle/MaxをBroker Realmと同値（Idle 1h / Max 24h）に固定。IaCで両Realm共通変数化し独立変更を構造的に防ぐ</t>
  </si>
  <si>
    <t>U2 §2.2.5 #3</t>
  </si>
  <si>
    <t>ステップアップ（AAL3）の転送</t>
  </si>
  <si>
    <t>認証元がidpkc-oidc01の場合、IdP-KCへacr_values="3"+prompt=loginを付けて再リダイレクト。IdP-KC側にもACR-to-LoAマッピング（1/2/3）を定義し、amrで返してmfa_indicator Mapper（FORCE）がBroker側acr判定に反映</t>
  </si>
  <si>
    <t>U2 §2.2.5 #4</t>
  </si>
  <si>
    <t>prompt=login / max_ageの転送方針</t>
  </si>
  <si>
    <t>idpkc-oidc01経由のユーザにはprompt=login / max_age / acr_valuesをIdP-KCへ転送する。外部顧客IdPへは転送しない（挙動がIdP依存で保証できないため、Broker側max_age評価で代替）</t>
  </si>
  <si>
    <t>U2 §2.2.5 #5</t>
  </si>
  <si>
    <t>login_hintの書式契約</t>
  </si>
  <si>
    <t>Broker→IdP-KCへ渡す値は&lt;userid&gt;（tenantプレフィックス除去後）のみ。IdP-KC側は完全形&lt;tenant&gt;-&lt;userid&gt;も受理して除去する寛容受理とし、誤設定でもループしない</t>
  </si>
  <si>
    <t>U2 §2.3 共通制約</t>
  </si>
  <si>
    <t>Flow配置の全系統共通制約</t>
  </si>
  <si>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</si>
  <si>
    <t>U2 §2.3.1</t>
  </si>
  <si>
    <t>系統① ローカル認証（Browser Flow）</t>
  </si>
  <si>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</si>
  <si>
    <t>U2 §2.3.2</t>
  </si>
  <si>
    <t>系統② フェデレーション（First/Post Broker Login）</t>
  </si>
  <si>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</si>
  <si>
    <t>U2 §2.3.3</t>
  </si>
  <si>
    <t>系統③ HRD（Home Realm Discovery）</t>
  </si>
  <si>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</si>
  <si>
    <t>U2 §2.3.4</t>
  </si>
  <si>
    <t>系統④ ステップアップ認証（acr/LoA）</t>
  </si>
  <si>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</si>
  <si>
    <t>U2 §2.3.5</t>
  </si>
  <si>
    <t>系統⑤ Adaptive認証</t>
  </si>
  <si>
    <t>Phase 1はBrute Force Detection（Keycloak標準）と侵害クレデンシャル検出（ローカルPW=管理者のみ対象、PW変更時とログイン成功時にHIBP照合）のみ。IPレピュテーション・Impossible Travel・デバイス指紋等のフルRisk ScoringはPhase 2</t>
  </si>
  <si>
    <t>U2 §2.4</t>
  </si>
  <si>
    <t>Custom SPIの総量</t>
  </si>
  <si>
    <t>Phase 1のCustom SPIは3JAR・4機能に限定（JIT制御Authenticator / HRD Authenticator / Event Listener / mfa_indicator正規化）。RHBKバージョン追従コストを面積で抑えるため。CI/CDは全SPIでU9の仕組みを共用</t>
  </si>
  <si>
    <t>U2 §2.4.1</t>
  </si>
  <si>
    <t>SPI① JIT制御Authenticator</t>
  </si>
  <si>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</si>
  <si>
    <t>U2 §2.4.2</t>
  </si>
  <si>
    <t>SPI② HRD Authenticator</t>
  </si>
  <si>
    <t>常にfail-openで後続Authenticatorに降格（HRDは経路解決であって認証判定ではない）。requiresUser()=false、実装50〜100行。複数IdPリンク時は先頭1件を選ばずattempted()降格してOrgセレクターに委ねる</t>
  </si>
  <si>
    <t>U2 §2.4.3</t>
  </si>
  <si>
    <t>Re-Activationの実装制約</t>
  </si>
  <si>
    <t>Re-ActivationロジックはSPI①に統合し単独SPIとして分離しない（同一トランザクションで判定）。SCIM除外条件と想定外値の安全側拒否は削除不可の必須分岐とし単体テストで固定</t>
  </si>
  <si>
    <t>U2 §2.4.4</t>
  </si>
  <si>
    <t>mfa_indicator正規化Mapper</t>
  </si>
  <si>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</si>
  <si>
    <t>U2 §2.5.1</t>
  </si>
  <si>
    <t>Stage 1クレーム（既定発行）</t>
  </si>
  <si>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</si>
  <si>
    <t>U2 §2.5.2</t>
  </si>
  <si>
    <t>audience Mapper</t>
  </si>
  <si>
    <t>アプリAPIごとに専用Client Scope『aud-&lt;api名&gt;』を作りoidc-audience-mapperを1つ載せる。フロントClientにはアクセス先APIのaud-*のみDefault付与。多重audはscopeの複数付与で表現</t>
  </si>
  <si>
    <t>U2 §2.5.3</t>
  </si>
  <si>
    <t>tenant_id / usernameの供給経路</t>
  </si>
  <si>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</si>
  <si>
    <t>U2 §2.5.4</t>
  </si>
  <si>
    <t>roles方式とsyncMode既定</t>
  </si>
  <si>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</si>
  <si>
    <t>U2 §2.6</t>
  </si>
  <si>
    <t>User Profileスキーマ</t>
  </si>
  <si>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</si>
  <si>
    <t>U2 §2.7.1</t>
  </si>
  <si>
    <t>1000+IdP制約1: バージョン固定</t>
  </si>
  <si>
    <t>RHBK 26.x系に固定しupstream混在禁止。RHBK OperatorのOLMは手動承認とし自動更新を禁止。パッチ含む全昇格はStagingで1000 IdP合成データセットに対する回帰測定（ログインp99/Admin API p99）を通過してから本番適用</t>
  </si>
  <si>
    <t>U2 §2.7.2</t>
  </si>
  <si>
    <t>1000+IdP制約2: IdP一覧を出さない</t>
  </si>
  <si>
    <t>全IdP・全期間でhideOnLoginPage=trueを必須とし（IaC既定+CI lint）、ログインテーマはIdPリストを描画しない。Account ConsoleのIdPリンク一覧は無効化または対象限定。HRD SPIはこの制約の実現手段であり性能成立の必須条件</t>
  </si>
  <si>
    <t>U2 §2.7.3</t>
  </si>
  <si>
    <t>1000+IdP制約3: Org紐付け必須</t>
  </si>
  <si>
    <t>Org非紐付けのグローバルIdPの新規作成を禁止。例外はidpkc-oidc01のみ（これも各Orgに紐付けて登録）。オンボーディングパイプラインはOrg紐付けのないIdP作成要求をrejectする</t>
  </si>
  <si>
    <t>U2 §2.7.4</t>
  </si>
  <si>
    <t>1000+IdP制約4: realm全体export禁止</t>
  </si>
  <si>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</si>
  <si>
    <t>U2 §2.7.5</t>
  </si>
  <si>
    <t>1000+IdP制約5: IaC 2層分離</t>
  </si>
  <si>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</si>
  <si>
    <t>U2 §2.7.6</t>
  </si>
  <si>
    <t>1000+IdP制約6: キャッシュサイジング明示</t>
  </si>
  <si>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</si>
  <si>
    <t>U2 §2.7.7</t>
  </si>
  <si>
    <t>1000+IdP制約7: IdP数の関数としての継続監視</t>
  </si>
  <si>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</si>
  <si>
    <t>U2 §2.7.8</t>
  </si>
  <si>
    <t>1000社超過時の拡張パス</t>
  </si>
  <si>
    <t>第一拡張パスはIdP-KC側のシャーディング（例 500 IdP/クラスタ）でBroker KCのIdP数を圧縮（Broker多段）。Realm分割は運用コストが復活するため次善。Custom IdP Storage SPIはPhase 2の研究テーマ</t>
  </si>
  <si>
    <t>D3-01</t>
  </si>
  <si>
    <t>3階層識別子の格納先</t>
  </si>
  <si>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</si>
  <si>
    <t>basic-design/03-identity-provisioning-design.md §3.1</t>
  </si>
  <si>
    <t>D3-02</t>
  </si>
  <si>
    <t>emailは補助属性</t>
  </si>
  <si>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</si>
  <si>
    <t>D3-03</t>
  </si>
  <si>
    <t>マッピングDBのスキーマ</t>
  </si>
  <si>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</si>
  <si>
    <t>D3-04</t>
  </si>
  <si>
    <t>プロビジョニング経路とprovisioned_by値体系</t>
  </si>
  <si>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</si>
  <si>
    <t>basic-design/03-identity-provisioning-design.md §3.2</t>
  </si>
  <si>
    <t>D3-05</t>
  </si>
  <si>
    <t>アプリ発CRUDは専用API層経由</t>
  </si>
  <si>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</si>
  <si>
    <t>D3-06</t>
  </si>
  <si>
    <t>appユーザのライフサイクル扱い</t>
  </si>
  <si>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</si>
  <si>
    <t>D3-07</t>
  </si>
  <si>
    <t>JIT/SCIM判別ロジックとCase 1-6</t>
  </si>
  <si>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</si>
  <si>
    <t>basic-design/03-identity-provisioning-design.md §3.3</t>
  </si>
  <si>
    <t>D3-08</t>
  </si>
  <si>
    <t>SoTルールと混在時ポリシー</t>
  </si>
  <si>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</si>
  <si>
    <t>D3-09</t>
  </si>
  <si>
    <t>S1-S10状態遷移と3段階削除モデル</t>
  </si>
  <si>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</si>
  <si>
    <t>basic-design/03-identity-provisioning-design.md §3.4</t>
  </si>
  <si>
    <t>D3-10</t>
  </si>
  <si>
    <t>責任分界 L1-L3</t>
  </si>
  <si>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</si>
  <si>
    <t>D3-11</t>
  </si>
  <si>
    <t>SCIM受信は自作Facade</t>
  </si>
  <si>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</si>
  <si>
    <t>basic-design/03-identity-provisioning-design.md §3.5</t>
  </si>
  <si>
    <t>D3-12</t>
  </si>
  <si>
    <t>Re-Activationの条件仕様</t>
  </si>
  <si>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</si>
  <si>
    <t>D3-13</t>
  </si>
  <si>
    <t>ゲート追跡表の一元管理</t>
  </si>
  <si>
    <t>Phase 1契約前ゲート8項目（B-JIT-LC-1 / B-JIT-RA-1 / B-SCIM-JIT-1 / B-SCIM-JIT-3 / B-JIT-DEL-1 / B-JIT-DEL-2 / B-SCIM-HC-1 / B-TENANT-SWITCH-1・B-TENANT-EXIT-1）を本書§3.7で一元管理し、Waveごとに更新。全項目が未通過で暫定値（デフォルト）で設計継続中</t>
  </si>
  <si>
    <t>basic-design/03-identity-provisioning-design.md §3.7</t>
  </si>
  <si>
    <t>D3-14</t>
  </si>
  <si>
    <t>認可境界は「粗粒度」まで</t>
  </si>
  <si>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</si>
  <si>
    <t>basic-design/03-identity-provisioning-design.md §3.8</t>
  </si>
  <si>
    <t>D3-15</t>
  </si>
  <si>
    <t>組織属性の格納と属性正準化の原則</t>
  </si>
  <si>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</si>
  <si>
    <t>D3-16</t>
  </si>
  <si>
    <t>統合コンテキスト射影（/api/me/context）</t>
  </si>
  <si>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</si>
  <si>
    <t>D3-17</t>
  </si>
  <si>
    <t>非IdPテナントのユーザCRUD/削除モデル</t>
  </si>
  <si>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</si>
  <si>
    <t>U5 §5.1.1</t>
  </si>
  <si>
    <t>U5 トークン・認可</t>
  </si>
  <si>
    <t>既定発行クレームの確定（Stage 1 + sid）</t>
  </si>
  <si>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</si>
  <si>
    <t>basic-design/05-token-session-authz-design.md</t>
  </si>
  <si>
    <t>U5 §5.1.2</t>
  </si>
  <si>
    <t>Stage 2 / Stage 3への昇格規約</t>
  </si>
  <si>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</si>
  <si>
    <t>U5 §5.1.3</t>
  </si>
  <si>
    <t>顧客拡張クレームの規約（ext_）</t>
  </si>
  <si>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</si>
  <si>
    <t>U5 §5.1.4</t>
  </si>
  <si>
    <t>PII非搭載原則の検証チェックリスト（C-1〜C-7）</t>
  </si>
  <si>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</si>
  <si>
    <t>U5 §5.2.1</t>
  </si>
  <si>
    <t>TTL体系の最終値とKeycloak設定マッピング</t>
  </si>
  <si>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</si>
  <si>
    <t>U5 §5.2.2</t>
  </si>
  <si>
    <t>「RT 30日」の解釈確定</t>
  </si>
  <si>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</si>
  <si>
    <t>U5 §5.2.3</t>
  </si>
  <si>
    <t>テナント別TTL短縮オプション（5-15分）</t>
  </si>
  <si>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</si>
  <si>
    <t>U5 §5.2.4</t>
  </si>
  <si>
    <t>ゾンビウィンドウの侵害シナリオ（Z-1〜Z-5）</t>
  </si>
  <si>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</si>
  <si>
    <t>U5 §5.3.1</t>
  </si>
  <si>
    <t>Token Exchange 適用パターンの限定</t>
  </si>
  <si>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</si>
  <si>
    <t>U5 §5.3.2</t>
  </si>
  <si>
    <t>audience設計と命名規約</t>
  </si>
  <si>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</si>
  <si>
    <t>U5 §5.3.3</t>
  </si>
  <si>
    <t>Token Exchange の Client設定方針</t>
  </si>
  <si>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</si>
  <si>
    <t>U5 §5.4.1</t>
  </si>
  <si>
    <t>RT Revocation（アプリ・ユーザ起点）</t>
  </si>
  <si>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</si>
  <si>
    <t>U5 §5.4.2</t>
  </si>
  <si>
    <t>管理者強制ログアウトの3粒度</t>
  </si>
  <si>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</si>
  <si>
    <t>U5 §5.4.3</t>
  </si>
  <si>
    <t>ITDR L4連動（全Token Revoke）</t>
  </si>
  <si>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</si>
  <si>
    <t>U5 §5.5.1</t>
  </si>
  <si>
    <t>ログアウト4レイヤーの採用範囲</t>
  </si>
  <si>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</si>
  <si>
    <t>U5 §5.5.2</t>
  </si>
  <si>
    <t>SAML SP（ServiceNow）へのSLO</t>
  </si>
  <si>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</si>
  <si>
    <t>U5 §5.5.3</t>
  </si>
  <si>
    <t>SPA直構成の限界の明示</t>
  </si>
  <si>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</si>
  <si>
    <t>U5 §5.5.4</t>
  </si>
  <si>
    <t>Back-Channel Logoutの実装確定</t>
  </si>
  <si>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</si>
  <si>
    <t>U5 §5.6.1</t>
  </si>
  <si>
    <t>RP実装ガイド: 認可リクエスト（全アプリ必須）</t>
  </si>
  <si>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</si>
  <si>
    <t>U5 §5.6.2</t>
  </si>
  <si>
    <t>RP実装ガイド: BFF vs SPA直の使い分け</t>
  </si>
  <si>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</si>
  <si>
    <t>U5 §5.6.3</t>
  </si>
  <si>
    <t>RP実装ガイド: Bearer検証（Resource Server必須6点）</t>
  </si>
  <si>
    <t>①署名=ES256、JWKSをキャッシュしkidローテーションに追従 ②iss完全一致 ③exp/iat（clock skew ≤60秒）④aud=自API識別子を含むこと、不一致は401 ⑤azp=許可フロントClientのホワイトリスト検証 ⑥tenant_id=リクエストが触れる全リソースのテナントスコープと一致強制（IDOR防御。パス・ボディ中のtenant指定よりJWT値を常に優先）。リソース単位の認可判定はアプリ責務</t>
  </si>
  <si>
    <t>U5 §5.6.4</t>
  </si>
  <si>
    <t>RP実装ガイド: CORS / SameSite</t>
  </si>
  <si>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</si>
  <si>
    <t>U5 §5.6.5</t>
  </si>
  <si>
    <t>RP実装ガイド: ログアウト・トークンライフサイクル</t>
  </si>
  <si>
    <t>ログアウト時はRT revoke → ローカル破棄 → L2 RP-Initiated（id_token_hint付き）の順。L4受信エンドポイント実装はBFF/SSR必須。Refresh失敗（invalid_grant）はセッション終了として再ログイン誘導（Reuse Detection発火時も同じ経路に収束）</t>
  </si>
  <si>
    <t>U5 §5.6.6</t>
  </si>
  <si>
    <t>RP実装ガイド: 認可失敗（403）→ Sorry誘導</t>
  </si>
  <si>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</si>
  <si>
    <t>U5 §5.8.1</t>
  </si>
  <si>
    <t>専用API層のスコープ命名規約とPhase 1セット</t>
  </si>
  <si>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</si>
  <si>
    <t>U5 §5.8.2</t>
  </si>
  <si>
    <t>専用API層のClient発行・テナント制約・トークン設定</t>
  </si>
  <si>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</si>
  <si>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</si>
  <si>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</si>
  <si>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</si>
  <si>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</si>
  <si>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</si>
  <si>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</si>
  <si>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</si>
  <si>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</si>
  <si>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</si>
  <si>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</si>
  <si>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（なし）</t>
  </si>
  <si>
    <t>－</t>
  </si>
  <si>
    <t>未対応</t>
  </si>
  <si>
    <t>要件が未確定のまま、設計側に対応する決定が見当たらない</t>
  </si>
  <si>
    <t>要件の優先度は低いが、設計側に決定がない</t>
  </si>
  <si>
    <t>部分</t>
  </si>
  <si>
    <t>Implicit/Hybrid禁止は明記。この方式の明示的な禁止条項は確認できず</t>
  </si>
  <si>
    <t>U7（未取込）</t>
  </si>
  <si>
    <t>U7</t>
  </si>
  <si>
    <t>単元未取込</t>
  </si>
  <si>
    <t>セキュリティ設計側の確認が必要</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</si>
  <si>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</si>
  <si>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</si>
  <si>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</si>
  <si>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</si>
  <si>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</si>
  <si>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</si>
  <si>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</si>
  <si>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要件が未確定のまま、設計側に決定がない</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</si>
  <si>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</si>
  <si>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</si>
  <si>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</si>
  <si>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</si>
  <si>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</si>
  <si>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</si>
  <si>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</si>
  <si>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</si>
  <si>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</si>
  <si>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</si>
  <si>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</si>
  <si>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</si>
  <si>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</si>
  <si>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</si>
  <si>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</si>
  <si>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</si>
  <si>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</si>
  <si>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</si>
  <si>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</si>
  <si>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</si>
  <si>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</si>
  <si>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</si>
  <si>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</si>
  <si>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</si>
  <si>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</si>
  <si>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§5.2.1 / §5.2.3 ・ U2 §2.2.5 #2</t>
  </si>
  <si>
    <t>顧客別の短縮は専用の登録枠で、規制対応はさらに分離した領域で実現</t>
  </si>
  <si>
    <t>U5 §5.4.1 / §5.4.3 / §5.2.4</t>
  </si>
  <si>
    <t>取消の仕組みは用意。最大30分の取り消し漏れ時間が残ることを明示</t>
  </si>
  <si>
    <t>個別・顧客単位・全体の3粒度</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</si>
  <si>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</si>
  <si>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</si>
  <si>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</si>
  <si>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</si>
  <si>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</si>
  <si>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</si>
  <si>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</si>
  <si>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</si>
  <si>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</si>
  <si>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</si>
  <si>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</si>
  <si>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</si>
  <si>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</si>
  <si>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</si>
  <si>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</si>
  <si>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</si>
  <si>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</si>
  <si>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</si>
  <si>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</si>
  <si>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</si>
  <si>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</si>
  <si>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</si>
  <si>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</si>
  <si>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</si>
  <si>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</si>
  <si>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</si>
  <si>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</si>
  <si>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</si>
  <si>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</si>
  <si>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</si>
  <si>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</si>
  <si>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</si>
  <si>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</si>
  <si>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</si>
  <si>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</si>
  <si>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</si>
  <si>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</si>
  <si>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</si>
  <si>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</si>
  <si>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</si>
  <si>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</si>
  <si>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</si>
  <si>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</si>
  <si>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</si>
  <si>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</si>
  <si>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</si>
  <si>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製品の標準機能として暗黙の前提。明示的な決定が見当たらない</t>
  </si>
  <si>
    <t>鍵情報の取得とキャッシュ更新を受け取り側の必須項目に</t>
  </si>
  <si>
    <t>U5 §5.8.1 / §5.8.2 ・ D3-05</t>
  </si>
  <si>
    <t>管理用APIと操作範囲10種を定義</t>
  </si>
  <si>
    <t>2層に分けてコード管理。既存の設定投入ツールは不採用と決定</t>
  </si>
  <si>
    <t>U6</t>
  </si>
  <si>
    <t>インフラ設計側の確認が必要</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</si>
  <si>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</si>
  <si>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</si>
  <si>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</si>
  <si>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</si>
  <si>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</si>
  <si>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</si>
  <si>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</si>
  <si>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</si>
  <si>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</si>
  <si>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</si>
  <si>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</si>
  <si>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セキュリティ設計側の確認が必要（前提側では対象外に降格）</t>
  </si>
  <si>
    <t>U5 §5.2.1 ・ U2 §2.7.1</t>
  </si>
  <si>
    <t>U5+U7</t>
  </si>
  <si>
    <t>署名方式は確定。鍵の入れ替え頻度はセキュリティ設計側</t>
  </si>
  <si>
    <t>前提側で自前構築を採用済のため比較対象。設計文書側の扱いは未確認</t>
  </si>
  <si>
    <t>④ 要件→設計 対応状況（漏れ探し）</t>
  </si>
  <si>
    <t>件数</t>
  </si>
  <si>
    <t>割合</t>
  </si>
  <si>
    <t>意味</t>
  </si>
  <si>
    <t>対応する設計決定が特定できた</t>
  </si>
  <si>
    <t>一部は決まっているが残りは未確定・他単元待ち</t>
  </si>
  <si>
    <t>取込済の設計書に対応する決定が見当たらない（★要確認）</t>
  </si>
  <si>
    <t>意図的にスコープ外と決着済</t>
  </si>
  <si>
    <t>該当設計書（U4/U6〜U10）未読込のため判定不能</t>
  </si>
  <si>
    <t>D-U4-01</t>
  </si>
  <si>
    <t>U4 認証体験・UX</t>
  </si>
  <si>
    <t>ログインUX = Identifier-First 2段階</t>
  </si>
  <si>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</si>
  <si>
    <t>basic-design/04-auth-ux-design.md §4.1</t>
  </si>
  <si>
    <t>D-U4-02</t>
  </si>
  <si>
    <t>HRD失敗時のフォールバックUX</t>
  </si>
  <si>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</si>
  <si>
    <t>basic-design/04-auth-ux-design.md §4.1.3</t>
  </si>
  <si>
    <t>D-U4-03</t>
  </si>
  <si>
    <t>ブランディング = パターンA（統一テーマ1本）</t>
  </si>
  <si>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</si>
  <si>
    <t>basic-design/04-auth-ux-design.md §4.2</t>
  </si>
  <si>
    <t>D-U4-04</t>
  </si>
  <si>
    <t>MFA UX 4ケース（2026-07-30 D-17反映）</t>
  </si>
  <si>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</si>
  <si>
    <t>basic-design/04-auth-ux-design.md §4.3.1</t>
  </si>
  <si>
    <t>U4 §4.3.2</t>
  </si>
  <si>
    <t>MFAエンロールフロー（初回登録UX）</t>
  </si>
  <si>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</si>
  <si>
    <t>basic-design/04-auth-ux-design.md §4.3.2</t>
  </si>
  <si>
    <t>U4 §4.3.3</t>
  </si>
  <si>
    <t>Recovery Codes（予備コード）</t>
  </si>
  <si>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</si>
  <si>
    <t>basic-design/04-auth-ux-design.md §4.3.3</t>
  </si>
  <si>
    <t>D-U4-05</t>
  </si>
  <si>
    <t>ステップアップ再認証UX</t>
  </si>
  <si>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</si>
  <si>
    <t>basic-design/04-auth-ux-design.md §4.3.4</t>
  </si>
  <si>
    <t>D-U4-06</t>
  </si>
  <si>
    <t>Landing = Pattern 1（許可サービスのみ表示）</t>
  </si>
  <si>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</si>
  <si>
    <t>basic-design/04-auth-ux-design.md §4.4</t>
  </si>
  <si>
    <t>D-U4-07</t>
  </si>
  <si>
    <t>Sorry = 基盤側SPA主実装</t>
  </si>
  <si>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</si>
  <si>
    <t>basic-design/04-auth-ux-design.md §4.5</t>
  </si>
  <si>
    <t>D-U4-08</t>
  </si>
  <si>
    <t>アクセシビリティ = WCAG 2.2 AA + JIS AA</t>
  </si>
  <si>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</si>
  <si>
    <t>basic-design/04-auth-ux-design.md §4.6</t>
  </si>
  <si>
    <t>U4 §4.1.4</t>
  </si>
  <si>
    <t>ディープリンク・着地の原則</t>
  </si>
  <si>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</si>
  <si>
    <t>basic-design/04-auth-ux-design.md §4.1.4</t>
  </si>
  <si>
    <t>U4 §4.2.3</t>
  </si>
  <si>
    <t>テーマの構成と保守範囲</t>
  </si>
  <si>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</si>
  <si>
    <t>basic-design/04-auth-ux-design.md §4.2.3</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</si>
  <si>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</si>
  <si>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</si>
  <si>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</si>
  <si>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</si>
  <si>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</si>
  <si>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</si>
  <si>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カスタマイズ対象画面一覧に該当画面がなく、初回強制変更の決定が見当たらない</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</si>
  <si>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</si>
  <si>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</si>
  <si>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</si>
  <si>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</si>
  <si>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</si>
  <si>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</si>
  <si>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</si>
  <si>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</si>
  <si>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</si>
  <si>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</si>
  <si>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</si>
  <si>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</si>
  <si>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</si>
  <si>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4ケースの整理に含まれず、採否の記述が見当たらない。メールを持たない利用者を受け入れる前提との整合も要確認</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</si>
  <si>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</si>
  <si>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</si>
  <si>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</si>
  <si>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</si>
  <si>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</si>
  <si>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</si>
  <si>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</si>
  <si>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D-U4-03 ・ U4 §4.2.3</t>
    <phoneticPr fontId="2"/>
  </si>
  <si>
    <t>統一テーマ1本を採用し顧客別の差し替えはPhase 1不採用。カスタマイズ対象は10ファイルに限定</t>
    <phoneticPr fontId="2"/>
  </si>
  <si>
    <t>D-U7-01</t>
  </si>
  <si>
    <t>暗号鍵の命名規則と配置（6アカウント体系への写像）</t>
  </si>
  <si>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</si>
  <si>
    <t>basic-design/07-security-compliance-design.md §7.1.1</t>
  </si>
  <si>
    <t>D-U7-02</t>
  </si>
  <si>
    <t>鍵ポリシー — 管理者/利用者/監査者の職務分離</t>
  </si>
  <si>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</si>
  <si>
    <t>basic-design/07-security-compliance-design.md §7.1.2</t>
  </si>
  <si>
    <t>D-U7-03</t>
  </si>
  <si>
    <t>JWT署名鍵はKeycloak標準管理 + 90日更新周期</t>
  </si>
  <si>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</si>
  <si>
    <t>basic-design/07-security-compliance-design.md §7.1.3</t>
  </si>
  <si>
    <t>D-U7-04</t>
  </si>
  <si>
    <t>不正検知のパイプライン構成と配置</t>
  </si>
  <si>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</si>
  <si>
    <t>basic-design/07-security-compliance-design.md §7.2.1</t>
  </si>
  <si>
    <t>D-U7-05</t>
  </si>
  <si>
    <t>Phase 1の検知範囲と閾値初期値</t>
  </si>
  <si>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</si>
  <si>
    <t>basic-design/07-security-compliance-design.md §7.2.2</t>
  </si>
  <si>
    <t>D-U7-06</t>
  </si>
  <si>
    <t>誤検知の段階活性化運用</t>
  </si>
  <si>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</si>
  <si>
    <t>basic-design/07-security-compliance-design.md §7.2.3</t>
  </si>
  <si>
    <t>D-U7-07</t>
  </si>
  <si>
    <t>ログの秘匿情報マスキング（収集段＋保存後スキャンの2段構え）</t>
  </si>
  <si>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</si>
  <si>
    <t>basic-design/07-security-compliance-design.md §7.3.1</t>
  </si>
  <si>
    <t>D-U7-08</t>
  </si>
  <si>
    <t>署名鍵悪用検知はPhase 1でルールベース4シグナル</t>
  </si>
  <si>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</si>
  <si>
    <t>basic-design/07-security-compliance-design.md §7.4.1</t>
  </si>
  <si>
    <t>D-U7-09</t>
  </si>
  <si>
    <t>実行主体の権限設計（IRSA）</t>
  </si>
  <si>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</si>
  <si>
    <t>basic-design/07-security-compliance-design.md §7.5.1</t>
  </si>
  <si>
    <t>D-U7-10a</t>
  </si>
  <si>
    <t>Keycloakへの機械アクセスは内部から順に無秘密方式へ</t>
  </si>
  <si>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</si>
  <si>
    <t>basic-design/07-security-compliance-design.md §7.5.2</t>
  </si>
  <si>
    <t>D-U7-10b</t>
  </si>
  <si>
    <t>クライアント認証の昇格時期を確定</t>
  </si>
  <si>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</si>
  <si>
    <t>basic-design/07-security-compliance-design.md §7.5.3</t>
  </si>
  <si>
    <t>D-U7-19</t>
  </si>
  <si>
    <t>ブランド単位アカウント内での認証系と権限系の強分離</t>
  </si>
  <si>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</si>
  <si>
    <t>basic-design/07-security-compliance-design.md §7.5.4</t>
  </si>
  <si>
    <t>D-U7-11</t>
  </si>
  <si>
    <t>特権管理4層モデルの構成への写像</t>
  </si>
  <si>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</si>
  <si>
    <t>basic-design/07-security-compliance-design.md §7.6.1</t>
  </si>
  <si>
    <t>D-U7-12</t>
  </si>
  <si>
    <t>管理経路と監査ログ集約の整合</t>
  </si>
  <si>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</si>
  <si>
    <t>basic-design/07-security-compliance-design.md §7.6.2</t>
  </si>
  <si>
    <t>D-U7-13</t>
  </si>
  <si>
    <t>監査ログ保持 — 即時分析90日 + 改ざん不能7年</t>
  </si>
  <si>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</si>
  <si>
    <t>basic-design/07-security-compliance-design.md §7.7.1</t>
  </si>
  <si>
    <t>D-U7-14</t>
  </si>
  <si>
    <t>フィッシング耐性のある追加確認を管理系に必須化</t>
  </si>
  <si>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</si>
  <si>
    <t>basic-design/07-security-compliance-design.md §7.7.2</t>
  </si>
  <si>
    <t>D-U7-15</t>
  </si>
  <si>
    <t>漏えい等報告の標準手順（個人情報保護法）</t>
  </si>
  <si>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</si>
  <si>
    <t>basic-design/07-security-compliance-design.md §7.7.3</t>
  </si>
  <si>
    <t>D-U7-15b</t>
  </si>
  <si>
    <t>委託先監督（個人情報保護法25条・28条）</t>
  </si>
  <si>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</si>
  <si>
    <t>basic-design/07-security-compliance-design.md §7.7.4</t>
  </si>
  <si>
    <t>D-U7-16</t>
  </si>
  <si>
    <t>外部通信を持たない構成のセキュリティ評価 — 採用推奨</t>
  </si>
  <si>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</si>
  <si>
    <t>basic-design/07-security-compliance-design.md §7.7.5</t>
  </si>
  <si>
    <t>D-U7-17</t>
  </si>
  <si>
    <t>自動化された攻撃・大量アクセスの自管理/他組織分離</t>
  </si>
  <si>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</si>
  <si>
    <t>basic-design/07-security-compliance-design.md §7.8.1</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</si>
  <si>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</si>
  <si>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</si>
  <si>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</si>
  <si>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</si>
  <si>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</si>
  <si>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</si>
  <si>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</si>
  <si>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</si>
  <si>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</si>
  <si>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</si>
  <si>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</si>
  <si>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</si>
  <si>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</si>
  <si>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</si>
  <si>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</si>
  <si>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</si>
  <si>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</si>
  <si>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</si>
  <si>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D-U7-16</t>
    <phoneticPr fontId="2"/>
  </si>
  <si>
    <t>D-U7-12 / D-U7-11</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</si>
  <si>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</si>
  <si>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</si>
  <si>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</si>
  <si>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</si>
  <si>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 / D-U7-15b ・ U2 §2.6</t>
    <phoneticPr fontId="2"/>
  </si>
  <si>
    <t>漏えい報告の7ステップと期限、委託先監督の方針まで確定</t>
    <phoneticPr fontId="2"/>
  </si>
  <si>
    <t>D-U7-15b</t>
    <phoneticPr fontId="2"/>
  </si>
  <si>
    <t>国内2拠点に限定し越境は最小化。保守要員の越境閲覧の扱いが確認中の唯一の論点</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</si>
  <si>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</si>
  <si>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</si>
  <si>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</si>
  <si>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</si>
  <si>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</si>
  <si>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</si>
  <si>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第三者監査の同期時期の記述はあるが、疑似攻撃検査の頻度・実施者の決定が見当たらない（末尾40,000文字超過部に存在する可能性あり）</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</si>
  <si>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</si>
  <si>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</si>
  <si>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</si>
  <si>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</si>
  <si>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</si>
  <si>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3層防御＋内部ホスト名分離、セッション管理サービス経由の特権昇格チェーンに限定</t>
    <phoneticPr fontId="2"/>
  </si>
  <si>
    <t>D-U7-09 / D-U7-10a / D-U7-19</t>
    <phoneticPr fontId="2"/>
  </si>
  <si>
    <t>実行主体ごとに1ロール・完全一致の信頼設定。内部は無秘密方式へ移行し、両系統に届く単一権限を作らない</t>
    <phoneticPr fontId="2"/>
  </si>
  <si>
    <t>D-U8-01</t>
  </si>
  <si>
    <t>稼働率の目標値と、直列で積み上げた成立性</t>
  </si>
  <si>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</si>
  <si>
    <t>basic-design/08-availability-dr-design.md §8.1.1</t>
  </si>
  <si>
    <t>D-U8-02</t>
  </si>
  <si>
    <t>3拠点分散・停止許容数・自動増減の方針</t>
  </si>
  <si>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</si>
  <si>
    <t>basic-design/08-availability-dr-design.md §8.1.2</t>
  </si>
  <si>
    <t>D-U8-03</t>
  </si>
  <si>
    <t>データベースの拠点内切替</t>
  </si>
  <si>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</si>
  <si>
    <t>basic-design/08-availability-dr-design.md §8.1.3</t>
  </si>
  <si>
    <t>D-U8-04</t>
  </si>
  <si>
    <t>無停止での更新方式</t>
  </si>
  <si>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</si>
  <si>
    <t>basic-design/08-availability-dr-design.md §8.1.4</t>
  </si>
  <si>
    <t>D-U8-05</t>
  </si>
  <si>
    <t>復旧目標と待機形態（2026-07-30 全面転換）</t>
  </si>
  <si>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</si>
  <si>
    <t>basic-design/08-availability-dr-design.md §8.2.1</t>
  </si>
  <si>
    <t>D-U8-06</t>
  </si>
  <si>
    <t>一括書き出しを全廃し、復元経路を2系統に再定義</t>
  </si>
  <si>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</si>
  <si>
    <t>basic-design/08-availability-dr-design.md §8.3.1</t>
  </si>
  <si>
    <t>D-U8-14</t>
  </si>
  <si>
    <t>データ保全の3層構造と予備地域のオンデマンド再構築</t>
  </si>
  <si>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</si>
  <si>
    <t>basic-design/08-availability-dr-design.md §8.3.1a</t>
  </si>
  <si>
    <t>D-U8-07</t>
  </si>
  <si>
    <t>（廃止）予備地域を温めて待機する方式</t>
  </si>
  <si>
    <t>2026-07-30の方針転換で廃止。予備側のデータベースは読取専用で認証製品が起動できないため「設備は温め、製品は0台で待機」としていたが、コールド化に伴いD-U8-14へ統合</t>
  </si>
  <si>
    <t>D-U8-08</t>
  </si>
  <si>
    <t>切替の判断基準と承認フロー</t>
  </si>
  <si>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</si>
  <si>
    <t>basic-design/08-availability-dr-design.md §8.4.1</t>
  </si>
  <si>
    <t>D-U8-09</t>
  </si>
  <si>
    <t>（廃止）1時間復旧の積み上げ検証</t>
  </si>
  <si>
    <t>2026-07-30の方針転換で廃止。旧方式（予備地域を温めて待機）を前提とした50分の積み上げと成立5条件は、コールド化に伴い無効。将来より短い復旧時間を再検討する際の出発点として本文に旧参考として保存</t>
  </si>
  <si>
    <t>basic-design/08-availability-dr-design.md §8.4.3</t>
  </si>
  <si>
    <t>D-U8-10</t>
  </si>
  <si>
    <t>切替時は全利用者が再認証（セッション連続性は対象外）</t>
  </si>
  <si>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</si>
  <si>
    <t>basic-design/08-availability-dr-design.md §8.5.1</t>
  </si>
  <si>
    <t>D-U8-12</t>
  </si>
  <si>
    <t>切り戻しは計画切替（データ喪失ゼロ）</t>
  </si>
  <si>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</si>
  <si>
    <t>basic-design/08-availability-dr-design.md §8.7.1</t>
  </si>
  <si>
    <t>D-U8-13</t>
  </si>
  <si>
    <t>復旧訓練は年2回</t>
  </si>
  <si>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</si>
  <si>
    <t>basic-design/08-availability-dr-design.md §8.7.2</t>
  </si>
  <si>
    <t>D-U8-11</t>
  </si>
  <si>
    <t>（廃止）予備地域の最小構成と平時同期対象</t>
  </si>
  <si>
    <t>2026-07-30の方針転換で廃止。予備地域は平時に設備を持たない方式へ変更されD-U8-14に統合。ただし「腐らない備え」のためデータ層・イメージ・構成コード・IPレンジ予約は平時から維持する</t>
  </si>
  <si>
    <t>basic-design/08-availability-dr-design.md §8.6.1</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</si>
  <si>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</si>
  <si>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</si>
  <si>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</si>
  <si>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</si>
  <si>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</si>
  <si>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</si>
  <si>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</si>
  <si>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</si>
  <si>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</si>
  <si>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</si>
  <si>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</si>
  <si>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</si>
  <si>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</si>
  <si>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</si>
  <si>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</si>
  <si>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</si>
  <si>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</si>
  <si>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</si>
  <si>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</si>
  <si>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</si>
  <si>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</si>
  <si>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</si>
  <si>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</si>
  <si>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</si>
  <si>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</si>
  <si>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</si>
  <si>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</si>
  <si>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</si>
  <si>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</si>
  <si>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</si>
  <si>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</si>
  <si>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</si>
  <si>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</si>
  <si>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</si>
  <si>
    <t>basic-design/06-infra-network-design.md §6.1.1</t>
  </si>
  <si>
    <t>D-U6-02</t>
  </si>
  <si>
    <t>アカウント間の権限原則と許可経路8本</t>
  </si>
  <si>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</si>
  <si>
    <t>basic-design/06-infra-network-design.md §6.1.2</t>
  </si>
  <si>
    <t>D-U6-03</t>
  </si>
  <si>
    <t>クラスタ構成（2クラスタ）</t>
  </si>
  <si>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</si>
  <si>
    <t>basic-design/06-infra-network-design.md §6.2.1</t>
  </si>
  <si>
    <t>D-U6-04</t>
  </si>
  <si>
    <t>ノード群を役割で2系統に分離</t>
  </si>
  <si>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</si>
  <si>
    <t>basic-design/06-infra-network-design.md §6.2.2</t>
  </si>
  <si>
    <t>D-U6-05</t>
  </si>
  <si>
    <t>基盤コストの概算（予備地域は平時ゼロ）</t>
  </si>
  <si>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</si>
  <si>
    <t>basic-design/06-infra-network-design.md §6.2.3</t>
  </si>
  <si>
    <t>D-U6-06</t>
  </si>
  <si>
    <t>2つの受け皿の間の裏側通信は単方向の私設経路</t>
  </si>
  <si>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</si>
  <si>
    <t>basic-design/06-infra-network-design.md §6.3.2</t>
  </si>
  <si>
    <t>D-U6-07</t>
  </si>
  <si>
    <t>データベースの基本構成</t>
  </si>
  <si>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</si>
  <si>
    <t>basic-design/06-infra-network-design.md §6.4.1</t>
  </si>
  <si>
    <t>D-U6-08</t>
  </si>
  <si>
    <t>接続プールの設計</t>
  </si>
  <si>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</si>
  <si>
    <t>basic-design/06-infra-network-design.md §6.4.2</t>
  </si>
  <si>
    <t>D-U6-09</t>
  </si>
  <si>
    <t>接続の中継サービスは当面不採用</t>
  </si>
  <si>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</si>
  <si>
    <t>basic-design/06-infra-network-design.md §6.4.3</t>
  </si>
  <si>
    <t>D-U6-10</t>
  </si>
  <si>
    <t>接続先1000件超に備えたキャッシュ初期値</t>
  </si>
  <si>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</si>
  <si>
    <t>basic-design/06-infra-network-design.md §6.5.5</t>
  </si>
  <si>
    <t>D-U6-11</t>
  </si>
  <si>
    <t>管理画面保護は3層防御＋管理用ホスト名の分離</t>
  </si>
  <si>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</si>
  <si>
    <t>basic-design/06-infra-network-design.md §6.6.1</t>
  </si>
  <si>
    <t>D-U6-12</t>
  </si>
  <si>
    <t>運用者の内部アクセス経路</t>
  </si>
  <si>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</si>
  <si>
    <t>basic-design/06-infra-network-design.md §6.6.2</t>
  </si>
  <si>
    <t>D-U6-13</t>
  </si>
  <si>
    <t>外部通信の許可運用は「枠は他組織・中身は自社」の委任方式（要求案）</t>
  </si>
  <si>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</si>
  <si>
    <t>basic-design/06-infra-network-design.md §6.7.3</t>
  </si>
  <si>
    <t>D-U6-04 / D-U6-10</t>
    <phoneticPr fontId="2"/>
  </si>
  <si>
    <t>U6</t>
    <phoneticPr fontId="2"/>
  </si>
  <si>
    <t>ピーク時1,000〜3,000件/秒を試算前提として設定。応答時間の合格値自体は負荷試験計画で確定予定</t>
    <phoneticPr fontId="2"/>
  </si>
  <si>
    <t>権限チェック部分の応答時間目標に関する決定が見当たらない</t>
    <phoneticPr fontId="2"/>
  </si>
  <si>
    <t>U5+U6</t>
    <phoneticPr fontId="2"/>
  </si>
  <si>
    <t>検証の手順は決定済だが、1秒あたりの処理能力目標が見当たらない</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</si>
  <si>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</si>
  <si>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</si>
  <si>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</si>
  <si>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</si>
  <si>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</si>
  <si>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</si>
  <si>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</si>
  <si>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</si>
  <si>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</si>
  <si>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</si>
  <si>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</si>
  <si>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</si>
  <si>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</si>
  <si>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</si>
  <si>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</si>
  <si>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</si>
  <si>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</si>
  <si>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</si>
  <si>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</si>
  <si>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</si>
  <si>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</si>
  <si>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</si>
  <si>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</si>
  <si>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D-U6-03 / D-U6-06 ・ D-U7-12</t>
    <phoneticPr fontId="2"/>
  </si>
  <si>
    <t>U6+U7</t>
    <phoneticPr fontId="2"/>
  </si>
  <si>
    <t>各アカウント専用の仮想ネットワークで内部限定配置。外部からの管理画面到達経路は構造的に存在しない</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</si>
  <si>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</si>
  <si>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</si>
  <si>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</si>
  <si>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</si>
  <si>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</si>
  <si>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</si>
  <si>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D-U9-01</t>
  </si>
  <si>
    <t>U9 運用・監視・IaC</t>
  </si>
  <si>
    <t>監視の仕組みと収集役の配置</t>
  </si>
  <si>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</si>
  <si>
    <t>basic-design/09-operations-observability-design.md §9.1.1</t>
  </si>
  <si>
    <t>D-U9-02</t>
  </si>
  <si>
    <t>計装ポイント14点と「接続先件数の関数」としての監視</t>
  </si>
  <si>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</si>
  <si>
    <t>basic-design/09-operations-observability-design.md §9.1.2</t>
  </si>
  <si>
    <t>D-U9-03</t>
  </si>
  <si>
    <t>指標の系列数の規約と追跡の抽出率</t>
  </si>
  <si>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</si>
  <si>
    <t>basic-design/09-operations-observability-design.md §9.1.3</t>
  </si>
  <si>
    <t>D-U9-04</t>
  </si>
  <si>
    <t>サービス別の内部目標値と、消費速度による警報</t>
  </si>
  <si>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</si>
  <si>
    <t>basic-design/09-operations-observability-design.md §9.2.1</t>
  </si>
  <si>
    <t>D-U9-05</t>
  </si>
  <si>
    <t>ログ3層保管の最終形</t>
  </si>
  <si>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</si>
  <si>
    <t>basic-design/09-operations-observability-design.md §9.3.1</t>
  </si>
  <si>
    <t>D-U9-06</t>
  </si>
  <si>
    <t>監視・相関に取り込むイベントセット</t>
  </si>
  <si>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</si>
  <si>
    <t>basic-design/09-operations-observability-design.md §9.3.2</t>
  </si>
  <si>
    <t>D-U9-07</t>
  </si>
  <si>
    <t>運用手順書 全36冊の体系と、先行必須13冊の指定</t>
  </si>
  <si>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</si>
  <si>
    <t>basic-design/09-operations-observability-design.md §9.4.1</t>
  </si>
  <si>
    <t>D-U9-08</t>
  </si>
  <si>
    <t>運用禁則集 11項目と機械強制</t>
  </si>
  <si>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</si>
  <si>
    <t>basic-design/09-operations-observability-design.md §9.4.2</t>
  </si>
  <si>
    <t>D-U9-09</t>
  </si>
  <si>
    <t>構成管理の単位分割</t>
  </si>
  <si>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</si>
  <si>
    <t>basic-design/09-operations-observability-design.md §9.5.1</t>
  </si>
  <si>
    <t>D-U9-10</t>
  </si>
  <si>
    <t>顧客層の適用エンジンは自作（既存の設定投入ツールは不採用）</t>
  </si>
  <si>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</si>
  <si>
    <t>basic-design/09-operations-observability-design.md §9.5.2</t>
  </si>
  <si>
    <t>D-U9-11</t>
  </si>
  <si>
    <t>構成のずれの検知（日次）</t>
  </si>
  <si>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</si>
  <si>
    <t>basic-design/09-operations-observability-design.md §9.5.3</t>
  </si>
  <si>
    <t>D-U9-17</t>
  </si>
  <si>
    <t>退職者遮断バッチの実行基盤はクラスタ内の定期ジョブ（関数実行は不採用）</t>
  </si>
  <si>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</si>
  <si>
    <t>basic-design/09-operations-observability-design.md §9.5.4</t>
  </si>
  <si>
    <t>D-U9-12</t>
  </si>
  <si>
    <t>継続的な組み立てと配信の構成</t>
  </si>
  <si>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</si>
  <si>
    <t>basic-design/09-operations-observability-design.md §9.6.1</t>
  </si>
  <si>
    <t>D-U9-13</t>
  </si>
  <si>
    <t>独自機能の組み立て・検証・段階的投入</t>
  </si>
  <si>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</si>
  <si>
    <t>basic-design/09-operations-observability-design.md §9.6.2</t>
  </si>
  <si>
    <t>D-U9-14</t>
  </si>
  <si>
    <t>製品版数の固定と昇格前検証</t>
  </si>
  <si>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</si>
  <si>
    <t>basic-design/09-operations-observability-design.md §9.6.3</t>
  </si>
  <si>
    <t>D-U9-18</t>
  </si>
  <si>
    <t>管理API群と非同期処理は認証製品とは別系統のパイプライン</t>
  </si>
  <si>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</si>
  <si>
    <t>basic-design/09-operations-observability-design.md §9.6.4</t>
  </si>
  <si>
    <t>D-U9-15</t>
  </si>
  <si>
    <t>顧客追加パイプライン6ステップとリードタイム内訳</t>
  </si>
  <si>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</si>
  <si>
    <t>basic-design/09-operations-observability-design.md §9.7.1</t>
  </si>
  <si>
    <t>D-U9-16</t>
  </si>
  <si>
    <t>常時監視用の自動アクセスの配置変更と検知範囲</t>
  </si>
  <si>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</si>
  <si>
    <t>basic-design/09-operations-observability-design.md §9.8.1</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</si>
  <si>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</si>
  <si>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</si>
  <si>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</si>
  <si>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</si>
  <si>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</si>
  <si>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</si>
  <si>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</si>
  <si>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</si>
  <si>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</si>
  <si>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</si>
  <si>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</si>
  <si>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</si>
  <si>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</si>
  <si>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</si>
  <si>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</si>
  <si>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</si>
  <si>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</si>
  <si>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</si>
  <si>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</si>
  <si>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</si>
  <si>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</si>
  <si>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</si>
  <si>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</si>
  <si>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運用に必要な人月の見積りに関する決定が見当たらない</t>
    <phoneticPr fontId="2"/>
  </si>
  <si>
    <t>D-U9-15</t>
    <phoneticPr fontId="2"/>
  </si>
  <si>
    <t>6ステップの内訳と所要時間まで確定。基盤側の純作業2〜3時間で翌営業日以内は成立</t>
    <phoneticPr fontId="2"/>
  </si>
  <si>
    <t>D-U9-06 / D-U9-05 ・ D-U7-12</t>
    <phoneticPr fontId="2"/>
  </si>
  <si>
    <t>取込イベントセットを確定し、監査アカウントを唯一の集約先に。追跡はログ側で行う規約も明示</t>
    <phoneticPr fontId="2"/>
  </si>
  <si>
    <t>運用担当の人件費に関する決定が見当たらない</t>
    <phoneticPr fontId="2"/>
  </si>
  <si>
    <t>D-U10-01</t>
  </si>
  <si>
    <t>U10 連携・移行</t>
  </si>
  <si>
    <t>既存業務システム連携の全体構成</t>
  </si>
  <si>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</si>
  <si>
    <t>basic-design/10-integration-migration-design.md §10.1.1</t>
  </si>
  <si>
    <t>D-U10-02</t>
  </si>
  <si>
    <t>業務システム向けの接続定義（テンプレート化）</t>
  </si>
  <si>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</si>
  <si>
    <t>basic-design/10-integration-migration-design.md §10.1.2</t>
  </si>
  <si>
    <t>D-U10-03</t>
  </si>
  <si>
    <t>既存利用者の引き当てと内部IDの保全</t>
  </si>
  <si>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</si>
  <si>
    <t>basic-design/10-integration-migration-design.md §10.1.3</t>
  </si>
  <si>
    <t>D-U10-04</t>
  </si>
  <si>
    <t>移行の並走4段階</t>
  </si>
  <si>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</si>
  <si>
    <t>basic-design/10-integration-migration-design.md §10.1.4</t>
  </si>
  <si>
    <t>D-U10-05</t>
  </si>
  <si>
    <t>業務システム側の緊急用アカウント</t>
  </si>
  <si>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</si>
  <si>
    <t>basic-design/10-integration-migration-design.md §10.1.5</t>
  </si>
  <si>
    <t>D-U10-06</t>
  </si>
  <si>
    <t>退職時の遮断連鎖と一括ログアウト</t>
  </si>
  <si>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</si>
  <si>
    <t>basic-design/10-integration-migration-design.md §10.1.6</t>
  </si>
  <si>
    <t>D-U10-07</t>
  </si>
  <si>
    <t>管理API の構成</t>
  </si>
  <si>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</si>
  <si>
    <t>basic-design/10-integration-migration-design.md §10.2.1</t>
  </si>
  <si>
    <t>D-U10-08</t>
  </si>
  <si>
    <t>提供する操作の一覧と共通規約</t>
  </si>
  <si>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</si>
  <si>
    <t>basic-design/10-integration-migration-design.md §10.2.2</t>
  </si>
  <si>
    <t>D-U10-09</t>
  </si>
  <si>
    <t>権限モデルの実装</t>
  </si>
  <si>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</si>
  <si>
    <t>basic-design/10-integration-migration-design.md §10.2.3</t>
  </si>
  <si>
    <t>D-U10-10</t>
  </si>
  <si>
    <t>利用可能アプリ一覧APIの仕様</t>
  </si>
  <si>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</si>
  <si>
    <t>basic-design/10-integration-migration-design.md §10.2.4</t>
  </si>
  <si>
    <t>D-U10-11</t>
  </si>
  <si>
    <t>出来事通知の配信機構</t>
  </si>
  <si>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</si>
  <si>
    <t>basic-design/10-integration-migration-design.md §10.3</t>
  </si>
  <si>
    <t>D-U10-12</t>
  </si>
  <si>
    <t>既存システムからの移行方式</t>
  </si>
  <si>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</si>
  <si>
    <t>basic-design/10-integration-migration-design.md §10.4</t>
  </si>
  <si>
    <t>D-U10-13</t>
  </si>
  <si>
    <t>データ主体の権利対応の今回範囲</t>
  </si>
  <si>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</si>
  <si>
    <t>basic-design/10-integration-migration-design.md §10.5</t>
  </si>
  <si>
    <t>D-U10-08 ・ U5 §5.8.1</t>
    <phoneticPr fontId="2"/>
  </si>
  <si>
    <t>U5+U10</t>
    <phoneticPr fontId="2"/>
  </si>
  <si>
    <t>検索条件（文字列・社員番号・有効状態）とカーソル方式のページング（1回200件上限）まで確定</t>
    <phoneticPr fontId="2"/>
  </si>
  <si>
    <t>U3+U10</t>
    <phoneticPr fontId="2"/>
  </si>
  <si>
    <t>顧客側からのグループ同期は次段階。管理API の提供操作一覧にもグループ管理が含まれず決定が見当たらない</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</si>
  <si>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</si>
  <si>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</si>
  <si>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</si>
  <si>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</si>
  <si>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</si>
  <si>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</si>
  <si>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</si>
  <si>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</si>
  <si>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</si>
  <si>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</si>
  <si>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</si>
  <si>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</si>
  <si>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</si>
  <si>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</si>
  <si>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</si>
  <si>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</si>
  <si>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</si>
  <si>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</si>
  <si>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D-U10-13 ・ D3-09 / D3-17</t>
    <phoneticPr fontId="2"/>
  </si>
  <si>
    <t>停止処理＋監査ログの仮名化で応答し物理削除は行わない方針を確定。全対応を7年保管。ただし応答期限日数は未確定</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</si>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</sst>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3">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b/>
      <sz val="16"/>
      <color theme="1"/>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i/>
      <sz val="9"/>
      <color rgb="FFFF0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b/>
      <sz val="15"/>
      <color theme="1"/>
      <name val="游ゴシック"/>
      <family val="2"/>
      <charset val="128"/>
      <scheme val="minor"/>
    </font>
    <font>
      <sz val="9"/>
      <color rgb="FF9C0006"/>
      <name val="游ゴシック"/>
      <family val="2"/>
      <charset val="128"/>
      <scheme val="minor"/>
    </font>
  </fonts>
  <fills count="3">
    <fill>
      <patternFill patternType="none"/>
    </fill>
    <fill>
      <patternFill patternType="gray125"/>
    </fill>
    <fill>
      <patternFill patternType="solid">
        <fgColor rgb="FF1F3864"/>
        <bgColor indexed="64"/>
      </patternFill>
    </fill>
  </fills>
  <borders count="10">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s>
  <cellStyleXfs count="1">
    <xf numFmtId="0" fontId="0" fillId="0" borderId="0">
      <alignment vertical="center"/>
    </xf>
  </cellStyleXfs>
  <cellXfs count="64">
    <xf numFmtId="0" fontId="0" fillId="0" borderId="0" xfId="0">
      <alignment vertical="center"/>
    </xf>
    <xf numFmtId="0" fontId="3" fillId="0" borderId="0" xfId="0" applyFont="1">
      <alignment vertical="center"/>
    </xf>
    <xf numFmtId="0" fontId="6" fillId="0" borderId="0" xfId="0" applyFont="1">
      <alignment vertical="center"/>
    </xf>
    <xf numFmtId="0" fontId="7" fillId="0" borderId="0" xfId="0" applyFont="1">
      <alignment vertical="center"/>
    </xf>
    <xf numFmtId="0" fontId="1" fillId="0" borderId="0" xfId="0" applyFont="1">
      <alignment vertical="center"/>
    </xf>
    <xf numFmtId="0" fontId="4" fillId="0" borderId="1" xfId="0" applyFont="1" applyBorder="1" applyAlignment="1">
      <alignment vertical="top"/>
    </xf>
    <xf numFmtId="0" fontId="4" fillId="0" borderId="2" xfId="0" applyFont="1" applyBorder="1" applyAlignment="1">
      <alignment vertical="top"/>
    </xf>
    <xf numFmtId="0" fontId="4" fillId="0" borderId="3" xfId="0" applyFont="1" applyBorder="1" applyAlignment="1">
      <alignment vertical="top"/>
    </xf>
    <xf numFmtId="0" fontId="4" fillId="0" borderId="4" xfId="0" applyFont="1" applyBorder="1" applyAlignment="1">
      <alignment vertical="top"/>
    </xf>
    <xf numFmtId="0" fontId="4" fillId="0" borderId="5" xfId="0" applyFont="1" applyBorder="1" applyAlignment="1">
      <alignment vertical="top"/>
    </xf>
    <xf numFmtId="0" fontId="4" fillId="0" borderId="6" xfId="0" applyFont="1" applyBorder="1" applyAlignment="1">
      <alignment vertical="top"/>
    </xf>
    <xf numFmtId="0" fontId="4" fillId="0" borderId="2" xfId="0" applyFont="1" applyBorder="1" applyAlignment="1">
      <alignment horizontal="center" vertical="top"/>
    </xf>
    <xf numFmtId="0" fontId="4" fillId="0" borderId="5" xfId="0" applyFont="1" applyBorder="1" applyAlignment="1">
      <alignment horizontal="center" vertical="top"/>
    </xf>
    <xf numFmtId="0" fontId="9" fillId="0" borderId="3" xfId="0" applyFont="1" applyBorder="1" applyAlignment="1">
      <alignment vertical="top"/>
    </xf>
    <xf numFmtId="0" fontId="9" fillId="0" borderId="6" xfId="0" applyFont="1" applyBorder="1" applyAlignment="1">
      <alignment vertical="top"/>
    </xf>
    <xf numFmtId="0" fontId="12" fillId="0" borderId="0" xfId="0" applyFont="1">
      <alignment vertical="center"/>
    </xf>
    <xf numFmtId="0" fontId="8" fillId="2" borderId="7" xfId="0" applyFont="1" applyFill="1" applyBorder="1" applyAlignment="1">
      <alignment horizontal="center" vertical="center"/>
    </xf>
    <xf numFmtId="0" fontId="8" fillId="2" borderId="8" xfId="0" applyFont="1" applyFill="1" applyBorder="1" applyAlignment="1">
      <alignment horizontal="center" vertical="center"/>
    </xf>
    <xf numFmtId="0" fontId="8" fillId="2" borderId="9" xfId="0" applyFont="1" applyFill="1" applyBorder="1" applyAlignment="1">
      <alignment horizontal="center" vertical="center"/>
    </xf>
    <xf numFmtId="0" fontId="4" fillId="0" borderId="1" xfId="0" applyFont="1" applyBorder="1">
      <alignment vertical="center"/>
    </xf>
    <xf numFmtId="0" fontId="4" fillId="0" borderId="2" xfId="0" applyFont="1" applyBorder="1">
      <alignment vertical="center"/>
    </xf>
    <xf numFmtId="176" fontId="4" fillId="0" borderId="3" xfId="0" applyNumberFormat="1" applyFont="1" applyBorder="1">
      <alignment vertical="center"/>
    </xf>
    <xf numFmtId="0" fontId="5" fillId="0" borderId="4" xfId="0" applyFont="1" applyBorder="1">
      <alignment vertical="center"/>
    </xf>
    <xf numFmtId="176" fontId="5" fillId="0" borderId="6" xfId="0" applyNumberFormat="1" applyFont="1" applyBorder="1">
      <alignment vertical="center"/>
    </xf>
    <xf numFmtId="0" fontId="4" fillId="0" borderId="4" xfId="0" applyFont="1" applyBorder="1">
      <alignment vertical="center"/>
    </xf>
    <xf numFmtId="0" fontId="4" fillId="0" borderId="5" xfId="0" applyFont="1" applyBorder="1">
      <alignment vertical="center"/>
    </xf>
    <xf numFmtId="176" fontId="4" fillId="0" borderId="6" xfId="0" applyNumberFormat="1" applyFont="1" applyBorder="1">
      <alignment vertical="center"/>
    </xf>
    <xf numFmtId="0" fontId="4" fillId="0" borderId="3" xfId="0" applyFont="1" applyBorder="1">
      <alignment vertical="center"/>
    </xf>
    <xf numFmtId="0" fontId="4" fillId="0" borderId="6" xfId="0" applyFont="1" applyBorder="1">
      <alignment vertical="center"/>
    </xf>
    <xf numFmtId="0" fontId="4" fillId="0" borderId="2" xfId="0" applyFont="1" applyBorder="1" applyAlignment="1">
      <alignment horizontal="center" vertical="center"/>
    </xf>
    <xf numFmtId="0" fontId="5" fillId="0" borderId="5" xfId="0" applyFont="1" applyBorder="1" applyAlignment="1">
      <alignment horizontal="center" vertical="center"/>
    </xf>
    <xf numFmtId="1" fontId="4" fillId="0" borderId="2" xfId="0" applyNumberFormat="1" applyFont="1" applyBorder="1" applyAlignment="1">
      <alignment horizontal="center" vertical="center"/>
    </xf>
    <xf numFmtId="1" fontId="4" fillId="0" borderId="5" xfId="0" applyNumberFormat="1" applyFont="1" applyBorder="1" applyAlignment="1">
      <alignment horizontal="center" vertical="center"/>
    </xf>
    <xf numFmtId="0" fontId="13" fillId="0" borderId="0" xfId="0" applyFont="1">
      <alignment vertical="center"/>
    </xf>
    <xf numFmtId="0" fontId="14" fillId="0" borderId="0" xfId="0" applyFont="1">
      <alignment vertical="center"/>
    </xf>
    <xf numFmtId="0" fontId="15" fillId="0" borderId="0" xfId="0" applyFont="1">
      <alignment vertical="center"/>
    </xf>
    <xf numFmtId="0" fontId="16" fillId="0" borderId="0" xfId="0" applyFont="1">
      <alignment vertical="center"/>
    </xf>
    <xf numFmtId="0" fontId="17" fillId="0" borderId="0" xfId="0" applyFont="1">
      <alignment vertical="center"/>
    </xf>
    <xf numFmtId="0" fontId="18" fillId="2" borderId="7" xfId="0" applyFont="1" applyFill="1" applyBorder="1" applyAlignment="1">
      <alignment horizontal="center" vertical="center"/>
    </xf>
    <xf numFmtId="0" fontId="18" fillId="2" borderId="8" xfId="0" applyFont="1" applyFill="1" applyBorder="1" applyAlignment="1">
      <alignment horizontal="center" vertical="center"/>
    </xf>
    <xf numFmtId="0" fontId="18" fillId="2" borderId="9" xfId="0" applyFont="1" applyFill="1" applyBorder="1" applyAlignment="1">
      <alignment horizontal="center" vertical="center"/>
    </xf>
    <xf numFmtId="0" fontId="19" fillId="0" borderId="1" xfId="0" applyFont="1" applyBorder="1" applyAlignment="1">
      <alignment vertical="top"/>
    </xf>
    <xf numFmtId="0" fontId="19" fillId="0" borderId="2" xfId="0" applyFont="1" applyBorder="1" applyAlignment="1">
      <alignment vertical="top"/>
    </xf>
    <xf numFmtId="0" fontId="19" fillId="0" borderId="2" xfId="0" applyFont="1" applyBorder="1" applyAlignment="1">
      <alignment horizontal="left" vertical="top"/>
    </xf>
    <xf numFmtId="0" fontId="19" fillId="0" borderId="2" xfId="0" applyFont="1" applyBorder="1" applyAlignment="1">
      <alignment horizontal="center" vertical="top"/>
    </xf>
    <xf numFmtId="0" fontId="20" fillId="0" borderId="3" xfId="0" applyFont="1" applyBorder="1" applyAlignment="1">
      <alignment vertical="top"/>
    </xf>
    <xf numFmtId="0" fontId="19" fillId="0" borderId="4" xfId="0" applyFont="1" applyBorder="1" applyAlignment="1">
      <alignment vertical="top"/>
    </xf>
    <xf numFmtId="0" fontId="19" fillId="0" borderId="5" xfId="0" applyFont="1" applyBorder="1" applyAlignment="1">
      <alignment vertical="top"/>
    </xf>
    <xf numFmtId="0" fontId="19" fillId="0" borderId="5" xfId="0" applyFont="1" applyBorder="1" applyAlignment="1">
      <alignment horizontal="left" vertical="top"/>
    </xf>
    <xf numFmtId="0" fontId="19" fillId="0" borderId="5" xfId="0" applyFont="1" applyBorder="1" applyAlignment="1">
      <alignment horizontal="center" vertical="top"/>
    </xf>
    <xf numFmtId="0" fontId="20" fillId="0" borderId="6" xfId="0" applyFont="1" applyBorder="1" applyAlignment="1">
      <alignment vertical="top"/>
    </xf>
    <xf numFmtId="0" fontId="19" fillId="0" borderId="2" xfId="0" applyFont="1" applyBorder="1" applyAlignment="1">
      <alignment vertical="top" wrapText="1"/>
    </xf>
    <xf numFmtId="0" fontId="19" fillId="0" borderId="5" xfId="0" applyFont="1" applyBorder="1" applyAlignment="1">
      <alignment vertical="top" wrapText="1"/>
    </xf>
    <xf numFmtId="0" fontId="21" fillId="0" borderId="0" xfId="0" applyFont="1">
      <alignment vertical="center"/>
    </xf>
    <xf numFmtId="0" fontId="11" fillId="0" borderId="0" xfId="0" applyFont="1">
      <alignment vertical="center"/>
    </xf>
    <xf numFmtId="0" fontId="5" fillId="0" borderId="1" xfId="0" applyFont="1" applyBorder="1" applyAlignment="1">
      <alignment vertical="top"/>
    </xf>
    <xf numFmtId="0" fontId="5" fillId="0" borderId="4" xfId="0" applyFont="1" applyBorder="1" applyAlignment="1">
      <alignment vertical="top"/>
    </xf>
    <xf numFmtId="0" fontId="4" fillId="0" borderId="2" xfId="0" applyFont="1" applyBorder="1" applyAlignment="1">
      <alignment vertical="top" wrapText="1"/>
    </xf>
    <xf numFmtId="0" fontId="4" fillId="0" borderId="5" xfId="0" applyFont="1" applyBorder="1" applyAlignment="1">
      <alignment vertical="top" wrapText="1"/>
    </xf>
    <xf numFmtId="0" fontId="1" fillId="0" borderId="0" xfId="0" applyFont="1" applyFill="1" applyBorder="1">
      <alignment vertical="center"/>
    </xf>
    <xf numFmtId="0" fontId="22" fillId="0" borderId="3" xfId="0" applyFont="1" applyBorder="1">
      <alignment vertical="center"/>
    </xf>
    <xf numFmtId="0" fontId="10" fillId="0" borderId="3" xfId="0" applyFont="1" applyBorder="1">
      <alignment vertical="center"/>
    </xf>
    <xf numFmtId="176" fontId="4" fillId="0" borderId="2" xfId="0" applyNumberFormat="1" applyFont="1" applyBorder="1" applyAlignment="1">
      <alignment horizontal="center" vertical="center"/>
    </xf>
    <xf numFmtId="176" fontId="5" fillId="0" borderId="5" xfId="0" applyNumberFormat="1" applyFont="1" applyBorder="1" applyAlignment="1">
      <alignment horizontal="center" vertical="center"/>
    </xf>
  </cellXfs>
  <cellStyles count="1">
    <cellStyle name="標準" xfId="0" builtinId="0"/>
  </cellStyles>
  <dxfs count="17">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61"/>
  <sheetViews>
    <sheetView workbookViewId="0"/>
  </sheetViews>
  <sheetFormatPr baseColWidth="10" defaultRowHeight="20"/>
  <cols>
    <col min="1" max="1" width="38.5703125" customWidth="1"/>
    <col min="2" max="2" width="24.28515625" customWidth="1"/>
    <col min="3" max="3" width="74.28515625" customWidth="1"/>
    <col min="4" max="4" width="24.28515625" customWidth="1"/>
    <col min="6" max="7" width="11.42578125" customWidth="1"/>
  </cols>
  <sheetData>
    <row r="1" spans="1:8" ht="27">
      <c r="A1" s="1" t="s">
        <v>943</v>
      </c>
    </row>
    <row r="2" spans="1:8">
      <c r="A2" s="2" t="s">
        <v>944</v>
      </c>
    </row>
    <row r="3" spans="1:8">
      <c r="A3" s="3" t="s">
        <v>945</v>
      </c>
    </row>
    <row r="5" spans="1:8">
      <c r="A5" s="4" t="s">
        <v>946</v>
      </c>
    </row>
    <row r="6" spans="1:8">
      <c r="A6" s="16" t="s">
        <v>19</v>
      </c>
      <c r="B6" s="17" t="s">
        <v>8</v>
      </c>
      <c r="C6" s="17" t="s">
        <v>9</v>
      </c>
      <c r="D6" s="17" t="s">
        <v>10</v>
      </c>
      <c r="E6" s="17" t="s">
        <v>11</v>
      </c>
      <c r="F6" s="18" t="s">
        <v>12</v>
      </c>
    </row>
    <row r="7" spans="1:8">
      <c r="A7" s="19" t="s">
        <v>13</v>
      </c>
      <c r="B7" s="29">
        <f>COUNTIF(Sheet1!$A$7:$A$272,$A7)</f>
        <v>91</v>
      </c>
      <c r="C7" s="29">
        <f>COUNTIFS(Sheet1!$A$7:$A$272,$A7,Sheet1!$F$7:$F$272,"確定")</f>
        <v>33</v>
      </c>
      <c r="D7" s="29">
        <f>COUNTIFS(Sheet1!$A$7:$A$272,$A7,Sheet1!$F$7:$F$272,"検討中")</f>
        <v>37</v>
      </c>
      <c r="E7" s="29">
        <f>COUNTIFS(Sheet1!$A$7:$A$272,$A7,Sheet1!$F$7:$F$272,"未着手")</f>
        <v>21</v>
      </c>
      <c r="F7" s="21">
        <f>IFERROR(C7/B7,"-")</f>
        <v>0.36263736263736263</v>
      </c>
    </row>
    <row r="8" spans="1:8">
      <c r="A8" s="19" t="s">
        <v>14</v>
      </c>
      <c r="B8" s="29">
        <f>COUNTIF(Sheet1!$A$7:$A$272,$A8)</f>
        <v>88</v>
      </c>
      <c r="C8" s="29">
        <f>COUNTIFS(Sheet1!$A$7:$A$272,$A8,Sheet1!$F$7:$F$272,"確定")</f>
        <v>22</v>
      </c>
      <c r="D8" s="29">
        <f>COUNTIFS(Sheet1!$A$7:$A$272,$A8,Sheet1!$F$7:$F$272,"検討中")</f>
        <v>39</v>
      </c>
      <c r="E8" s="29">
        <f>COUNTIFS(Sheet1!$A$7:$A$272,$A8,Sheet1!$F$7:$F$272,"未着手")</f>
        <v>27</v>
      </c>
      <c r="F8" s="21">
        <f t="shared" ref="F8:F11" si="0">IFERROR(C8/B8,"-")</f>
        <v>0.25</v>
      </c>
    </row>
    <row r="9" spans="1:8">
      <c r="A9" s="19" t="s">
        <v>15</v>
      </c>
      <c r="B9" s="29">
        <f>COUNTIF(Sheet1!$A$7:$A$272,$A9)</f>
        <v>18</v>
      </c>
      <c r="C9" s="29">
        <f>COUNTIFS(Sheet1!$A$7:$A$272,$A9,Sheet1!$F$7:$F$272,"確定")</f>
        <v>15</v>
      </c>
      <c r="D9" s="29">
        <f>COUNTIFS(Sheet1!$A$7:$A$272,$A9,Sheet1!$F$7:$F$272,"検討中")</f>
        <v>3</v>
      </c>
      <c r="E9" s="29">
        <f>COUNTIFS(Sheet1!$A$7:$A$272,$A9,Sheet1!$F$7:$F$272,"未着手")</f>
        <v>0</v>
      </c>
      <c r="F9" s="21">
        <f t="shared" si="0"/>
        <v>0.83333333333333337</v>
      </c>
    </row>
    <row r="10" spans="1:8">
      <c r="A10" s="19" t="s">
        <v>16</v>
      </c>
      <c r="B10" s="29">
        <f>COUNTIF(Sheet1!$A$7:$A$272,$A10)</f>
        <v>10</v>
      </c>
      <c r="C10" s="29">
        <f>COUNTIFS(Sheet1!$A$7:$A$272,$A10,Sheet1!$F$7:$F$272,"確定")</f>
        <v>4</v>
      </c>
      <c r="D10" s="29">
        <f>COUNTIFS(Sheet1!$A$7:$A$272,$A10,Sheet1!$F$7:$F$272,"検討中")</f>
        <v>4</v>
      </c>
      <c r="E10" s="29">
        <f>COUNTIFS(Sheet1!$A$7:$A$272,$A10,Sheet1!$F$7:$F$272,"未着手")</f>
        <v>2</v>
      </c>
      <c r="F10" s="21">
        <f t="shared" si="0"/>
        <v>0.4</v>
      </c>
    </row>
    <row r="11" spans="1:8">
      <c r="A11" s="19" t="s">
        <v>17</v>
      </c>
      <c r="B11" s="29">
        <f>COUNTIF(Sheet1!$A$7:$A$272,$A11)</f>
        <v>59</v>
      </c>
      <c r="C11" s="29">
        <f>COUNTIFS(Sheet1!$A$7:$A$272,$A11,Sheet1!$F$7:$F$272,"確定")</f>
        <v>2</v>
      </c>
      <c r="D11" s="29">
        <f>COUNTIFS(Sheet1!$A$7:$A$272,$A11,Sheet1!$F$7:$F$272,"検討中")</f>
        <v>2</v>
      </c>
      <c r="E11" s="29">
        <f>COUNTIFS(Sheet1!$A$7:$A$272,$A11,Sheet1!$F$7:$F$272,"未着手")</f>
        <v>55</v>
      </c>
      <c r="F11" s="21">
        <f t="shared" si="0"/>
        <v>3.3898305084745763E-2</v>
      </c>
    </row>
    <row r="12" spans="1:8">
      <c r="A12" s="22" t="s">
        <v>18</v>
      </c>
      <c r="B12" s="30">
        <f>SUM(B7:B11)</f>
        <v>266</v>
      </c>
      <c r="C12" s="30">
        <f>SUM(C7:C11)</f>
        <v>76</v>
      </c>
      <c r="D12" s="30">
        <f>SUM(D7:D11)</f>
        <v>85</v>
      </c>
      <c r="E12" s="30">
        <f>SUM(E7:E11)</f>
        <v>105</v>
      </c>
      <c r="F12" s="23">
        <f>IFERROR(C12/B12,"-")</f>
        <v>0.2857142857142857</v>
      </c>
      <c r="G12" s="15" t="str">
        <f>IF(B12=COUNTA(Sheet1!$C$7:$C$272),"✓ 明細行数と一致","⚠ 明細と不一致")</f>
        <v>✓ 明細行数と一致</v>
      </c>
    </row>
    <row r="14" spans="1:8">
      <c r="A14" s="4" t="s">
        <v>947</v>
      </c>
    </row>
    <row r="15" spans="1:8">
      <c r="A15" s="16" t="s">
        <v>948</v>
      </c>
      <c r="B15" s="17" t="s">
        <v>19</v>
      </c>
      <c r="C15" s="17" t="s">
        <v>949</v>
      </c>
      <c r="D15" s="17" t="s">
        <v>8</v>
      </c>
      <c r="E15" s="17" t="s">
        <v>9</v>
      </c>
      <c r="F15" s="17" t="s">
        <v>10</v>
      </c>
      <c r="G15" s="17" t="s">
        <v>11</v>
      </c>
      <c r="H15" s="18" t="s">
        <v>12</v>
      </c>
    </row>
    <row r="16" spans="1:8">
      <c r="A16" s="19" t="s">
        <v>950</v>
      </c>
      <c r="B16" s="20" t="s">
        <v>13</v>
      </c>
      <c r="C16" s="20" t="s">
        <v>951</v>
      </c>
      <c r="D16" s="31">
        <f>COUNTIFS(Sheet1!$A$7:$A$272,$B16,Sheet1!$C$7:$C$272,$C16)</f>
        <v>14</v>
      </c>
      <c r="E16" s="31">
        <f>COUNTIFS(Sheet1!$A$7:$A$272,$B16,Sheet1!$C$7:$C$272,$C16,Sheet1!$F$7:$F$272,"確定")</f>
        <v>4</v>
      </c>
      <c r="F16" s="31">
        <f>COUNTIFS(Sheet1!$A$7:$A$272,$B16,Sheet1!$C$7:$C$272,$C16,Sheet1!$F$7:$F$272,"検討中")</f>
        <v>6</v>
      </c>
      <c r="G16" s="31">
        <f>COUNTIFS(Sheet1!$A$7:$A$272,$B16,Sheet1!$C$7:$C$272,$C16,Sheet1!$F$7:$F$272,"未着手")</f>
        <v>4</v>
      </c>
      <c r="H16" s="21">
        <f>IFERROR(E16/D16,"-")</f>
        <v>0.2857142857142857</v>
      </c>
    </row>
    <row r="17" spans="1:8">
      <c r="A17" s="19" t="s">
        <v>952</v>
      </c>
      <c r="B17" s="20" t="s">
        <v>13</v>
      </c>
      <c r="C17" s="20" t="s">
        <v>953</v>
      </c>
      <c r="D17" s="31">
        <f>COUNTIFS(Sheet1!$A$7:$A$272,$B17,Sheet1!$C$7:$C$272,$C17)</f>
        <v>14</v>
      </c>
      <c r="E17" s="31">
        <f>COUNTIFS(Sheet1!$A$7:$A$272,$B17,Sheet1!$C$7:$C$272,$C17,Sheet1!$F$7:$F$272,"確定")</f>
        <v>4</v>
      </c>
      <c r="F17" s="31">
        <f>COUNTIFS(Sheet1!$A$7:$A$272,$B17,Sheet1!$C$7:$C$272,$C17,Sheet1!$F$7:$F$272,"検討中")</f>
        <v>4</v>
      </c>
      <c r="G17" s="31">
        <f>COUNTIFS(Sheet1!$A$7:$A$272,$B17,Sheet1!$C$7:$C$272,$C17,Sheet1!$F$7:$F$272,"未着手")</f>
        <v>6</v>
      </c>
      <c r="H17" s="21">
        <f>IFERROR(E17/D17,"-")</f>
        <v>0.2857142857142857</v>
      </c>
    </row>
    <row r="18" spans="1:8">
      <c r="A18" s="19" t="s">
        <v>954</v>
      </c>
      <c r="B18" s="20" t="s">
        <v>13</v>
      </c>
      <c r="C18" s="20" t="s">
        <v>955</v>
      </c>
      <c r="D18" s="31">
        <f>COUNTIFS(Sheet1!$A$7:$A$272,$B18,Sheet1!$C$7:$C$272,$C18)</f>
        <v>9</v>
      </c>
      <c r="E18" s="31">
        <f>COUNTIFS(Sheet1!$A$7:$A$272,$B18,Sheet1!$C$7:$C$272,$C18,Sheet1!$F$7:$F$272,"確定")</f>
        <v>1</v>
      </c>
      <c r="F18" s="31">
        <f>COUNTIFS(Sheet1!$A$7:$A$272,$B18,Sheet1!$C$7:$C$272,$C18,Sheet1!$F$7:$F$272,"検討中")</f>
        <v>5</v>
      </c>
      <c r="G18" s="31">
        <f>COUNTIFS(Sheet1!$A$7:$A$272,$B18,Sheet1!$C$7:$C$272,$C18,Sheet1!$F$7:$F$272,"未着手")</f>
        <v>3</v>
      </c>
      <c r="H18" s="21">
        <f>IFERROR(E18/D18,"-")</f>
        <v>0.1111111111111111</v>
      </c>
    </row>
    <row r="19" spans="1:8">
      <c r="A19" s="19" t="s">
        <v>956</v>
      </c>
      <c r="B19" s="20" t="s">
        <v>13</v>
      </c>
      <c r="C19" s="20" t="s">
        <v>957</v>
      </c>
      <c r="D19" s="31">
        <f>COUNTIFS(Sheet1!$A$7:$A$272,$B19,Sheet1!$C$7:$C$272,$C19)</f>
        <v>10</v>
      </c>
      <c r="E19" s="31">
        <f>COUNTIFS(Sheet1!$A$7:$A$272,$B19,Sheet1!$C$7:$C$272,$C19,Sheet1!$F$7:$F$272,"確定")</f>
        <v>4</v>
      </c>
      <c r="F19" s="31">
        <f>COUNTIFS(Sheet1!$A$7:$A$272,$B19,Sheet1!$C$7:$C$272,$C19,Sheet1!$F$7:$F$272,"検討中")</f>
        <v>5</v>
      </c>
      <c r="G19" s="31">
        <f>COUNTIFS(Sheet1!$A$7:$A$272,$B19,Sheet1!$C$7:$C$272,$C19,Sheet1!$F$7:$F$272,"未着手")</f>
        <v>1</v>
      </c>
      <c r="H19" s="21">
        <f>IFERROR(E19/D19,"-")</f>
        <v>0.4</v>
      </c>
    </row>
    <row r="20" spans="1:8">
      <c r="A20" s="19" t="s">
        <v>958</v>
      </c>
      <c r="B20" s="20" t="s">
        <v>13</v>
      </c>
      <c r="C20" s="20" t="s">
        <v>959</v>
      </c>
      <c r="D20" s="31">
        <f>COUNTIFS(Sheet1!$A$7:$A$272,$B20,Sheet1!$C$7:$C$272,$C20)</f>
        <v>10</v>
      </c>
      <c r="E20" s="31">
        <f>COUNTIFS(Sheet1!$A$7:$A$272,$B20,Sheet1!$C$7:$C$272,$C20,Sheet1!$F$7:$F$272,"確定")</f>
        <v>6</v>
      </c>
      <c r="F20" s="31">
        <f>COUNTIFS(Sheet1!$A$7:$A$272,$B20,Sheet1!$C$7:$C$272,$C20,Sheet1!$F$7:$F$272,"検討中")</f>
        <v>2</v>
      </c>
      <c r="G20" s="31">
        <f>COUNTIFS(Sheet1!$A$7:$A$272,$B20,Sheet1!$C$7:$C$272,$C20,Sheet1!$F$7:$F$272,"未着手")</f>
        <v>2</v>
      </c>
      <c r="H20" s="21">
        <f>IFERROR(E20/D20,"-")</f>
        <v>0.6</v>
      </c>
    </row>
    <row r="21" spans="1:8">
      <c r="A21" s="19" t="s">
        <v>960</v>
      </c>
      <c r="B21" s="20" t="s">
        <v>13</v>
      </c>
      <c r="C21" s="20" t="s">
        <v>961</v>
      </c>
      <c r="D21" s="31">
        <f>COUNTIFS(Sheet1!$A$7:$A$272,$B21,Sheet1!$C$7:$C$272,$C21)</f>
        <v>12</v>
      </c>
      <c r="E21" s="31">
        <f>COUNTIFS(Sheet1!$A$7:$A$272,$B21,Sheet1!$C$7:$C$272,$C21,Sheet1!$F$7:$F$272,"確定")</f>
        <v>5</v>
      </c>
      <c r="F21" s="31">
        <f>COUNTIFS(Sheet1!$A$7:$A$272,$B21,Sheet1!$C$7:$C$272,$C21,Sheet1!$F$7:$F$272,"検討中")</f>
        <v>6</v>
      </c>
      <c r="G21" s="31">
        <f>COUNTIFS(Sheet1!$A$7:$A$272,$B21,Sheet1!$C$7:$C$272,$C21,Sheet1!$F$7:$F$272,"未着手")</f>
        <v>1</v>
      </c>
      <c r="H21" s="21">
        <f>IFERROR(E21/D21,"-")</f>
        <v>0.41666666666666669</v>
      </c>
    </row>
    <row r="22" spans="1:8">
      <c r="A22" s="19" t="s">
        <v>962</v>
      </c>
      <c r="B22" s="20" t="s">
        <v>13</v>
      </c>
      <c r="C22" s="20" t="s">
        <v>963</v>
      </c>
      <c r="D22" s="31">
        <f>COUNTIFS(Sheet1!$A$7:$A$272,$B22,Sheet1!$C$7:$C$272,$C22)</f>
        <v>12</v>
      </c>
      <c r="E22" s="31">
        <f>COUNTIFS(Sheet1!$A$7:$A$272,$B22,Sheet1!$C$7:$C$272,$C22,Sheet1!$F$7:$F$272,"確定")</f>
        <v>4</v>
      </c>
      <c r="F22" s="31">
        <f>COUNTIFS(Sheet1!$A$7:$A$272,$B22,Sheet1!$C$7:$C$272,$C22,Sheet1!$F$7:$F$272,"検討中")</f>
        <v>6</v>
      </c>
      <c r="G22" s="31">
        <f>COUNTIFS(Sheet1!$A$7:$A$272,$B22,Sheet1!$C$7:$C$272,$C22,Sheet1!$F$7:$F$272,"未着手")</f>
        <v>2</v>
      </c>
      <c r="H22" s="21">
        <f>IFERROR(E22/D22,"-")</f>
        <v>0.33333333333333331</v>
      </c>
    </row>
    <row r="23" spans="1:8">
      <c r="A23" s="19" t="s">
        <v>964</v>
      </c>
      <c r="B23" s="20" t="s">
        <v>13</v>
      </c>
      <c r="C23" s="20" t="s">
        <v>965</v>
      </c>
      <c r="D23" s="31">
        <f>COUNTIFS(Sheet1!$A$7:$A$272,$B23,Sheet1!$C$7:$C$272,$C23)</f>
        <v>10</v>
      </c>
      <c r="E23" s="31">
        <f>COUNTIFS(Sheet1!$A$7:$A$272,$B23,Sheet1!$C$7:$C$272,$C23,Sheet1!$F$7:$F$272,"確定")</f>
        <v>5</v>
      </c>
      <c r="F23" s="31">
        <f>COUNTIFS(Sheet1!$A$7:$A$272,$B23,Sheet1!$C$7:$C$272,$C23,Sheet1!$F$7:$F$272,"検討中")</f>
        <v>3</v>
      </c>
      <c r="G23" s="31">
        <f>COUNTIFS(Sheet1!$A$7:$A$272,$B23,Sheet1!$C$7:$C$272,$C23,Sheet1!$F$7:$F$272,"未着手")</f>
        <v>2</v>
      </c>
      <c r="H23" s="21">
        <f>IFERROR(E23/D23,"-")</f>
        <v>0.5</v>
      </c>
    </row>
    <row r="24" spans="1:8">
      <c r="A24" s="19" t="s">
        <v>336</v>
      </c>
      <c r="B24" s="20" t="s">
        <v>14</v>
      </c>
      <c r="C24" s="20" t="s">
        <v>966</v>
      </c>
      <c r="D24" s="31">
        <f>COUNTIFS(Sheet1!$A$7:$A$272,$B24,Sheet1!$C$7:$C$272,$C24)</f>
        <v>6</v>
      </c>
      <c r="E24" s="31">
        <f>COUNTIFS(Sheet1!$A$7:$A$272,$B24,Sheet1!$C$7:$C$272,$C24,Sheet1!$F$7:$F$272,"確定")</f>
        <v>1</v>
      </c>
      <c r="F24" s="31">
        <f>COUNTIFS(Sheet1!$A$7:$A$272,$B24,Sheet1!$C$7:$C$272,$C24,Sheet1!$F$7:$F$272,"検討中")</f>
        <v>3</v>
      </c>
      <c r="G24" s="31">
        <f>COUNTIFS(Sheet1!$A$7:$A$272,$B24,Sheet1!$C$7:$C$272,$C24,Sheet1!$F$7:$F$272,"未着手")</f>
        <v>2</v>
      </c>
      <c r="H24" s="21">
        <f>IFERROR(E24/D24,"-")</f>
        <v>0.16666666666666666</v>
      </c>
    </row>
    <row r="25" spans="1:8">
      <c r="A25" s="19" t="s">
        <v>967</v>
      </c>
      <c r="B25" s="20" t="s">
        <v>14</v>
      </c>
      <c r="C25" s="20" t="s">
        <v>968</v>
      </c>
      <c r="D25" s="31">
        <f>COUNTIFS(Sheet1!$A$7:$A$272,$B25,Sheet1!$C$7:$C$272,$C25)</f>
        <v>8</v>
      </c>
      <c r="E25" s="31">
        <f>COUNTIFS(Sheet1!$A$7:$A$272,$B25,Sheet1!$C$7:$C$272,$C25,Sheet1!$F$7:$F$272,"確定")</f>
        <v>3</v>
      </c>
      <c r="F25" s="31">
        <f>COUNTIFS(Sheet1!$A$7:$A$272,$B25,Sheet1!$C$7:$C$272,$C25,Sheet1!$F$7:$F$272,"検討中")</f>
        <v>3</v>
      </c>
      <c r="G25" s="31">
        <f>COUNTIFS(Sheet1!$A$7:$A$272,$B25,Sheet1!$C$7:$C$272,$C25,Sheet1!$F$7:$F$272,"未着手")</f>
        <v>2</v>
      </c>
      <c r="H25" s="21">
        <f>IFERROR(E25/D25,"-")</f>
        <v>0.375</v>
      </c>
    </row>
    <row r="26" spans="1:8">
      <c r="A26" s="19" t="s">
        <v>969</v>
      </c>
      <c r="B26" s="20" t="s">
        <v>14</v>
      </c>
      <c r="C26" s="20" t="s">
        <v>970</v>
      </c>
      <c r="D26" s="31">
        <f>COUNTIFS(Sheet1!$A$7:$A$272,$B26,Sheet1!$C$7:$C$272,$C26)</f>
        <v>7</v>
      </c>
      <c r="E26" s="31">
        <f>COUNTIFS(Sheet1!$A$7:$A$272,$B26,Sheet1!$C$7:$C$272,$C26,Sheet1!$F$7:$F$272,"確定")</f>
        <v>0</v>
      </c>
      <c r="F26" s="31">
        <f>COUNTIFS(Sheet1!$A$7:$A$272,$B26,Sheet1!$C$7:$C$272,$C26,Sheet1!$F$7:$F$272,"検討中")</f>
        <v>4</v>
      </c>
      <c r="G26" s="31">
        <f>COUNTIFS(Sheet1!$A$7:$A$272,$B26,Sheet1!$C$7:$C$272,$C26,Sheet1!$F$7:$F$272,"未着手")</f>
        <v>3</v>
      </c>
      <c r="H26" s="21">
        <f>IFERROR(E26/D26,"-")</f>
        <v>0</v>
      </c>
    </row>
    <row r="27" spans="1:8">
      <c r="A27" s="19" t="s">
        <v>971</v>
      </c>
      <c r="B27" s="20" t="s">
        <v>14</v>
      </c>
      <c r="C27" s="20" t="s">
        <v>972</v>
      </c>
      <c r="D27" s="31">
        <f>COUNTIFS(Sheet1!$A$7:$A$272,$B27,Sheet1!$C$7:$C$272,$C27)</f>
        <v>21</v>
      </c>
      <c r="E27" s="31">
        <f>COUNTIFS(Sheet1!$A$7:$A$272,$B27,Sheet1!$C$7:$C$272,$C27,Sheet1!$F$7:$F$272,"確定")</f>
        <v>9</v>
      </c>
      <c r="F27" s="31">
        <f>COUNTIFS(Sheet1!$A$7:$A$272,$B27,Sheet1!$C$7:$C$272,$C27,Sheet1!$F$7:$F$272,"検討中")</f>
        <v>10</v>
      </c>
      <c r="G27" s="31">
        <f>COUNTIFS(Sheet1!$A$7:$A$272,$B27,Sheet1!$C$7:$C$272,$C27,Sheet1!$F$7:$F$272,"未着手")</f>
        <v>2</v>
      </c>
      <c r="H27" s="21">
        <f>IFERROR(E27/D27,"-")</f>
        <v>0.42857142857142855</v>
      </c>
    </row>
    <row r="28" spans="1:8">
      <c r="A28" s="19" t="s">
        <v>478</v>
      </c>
      <c r="B28" s="20" t="s">
        <v>14</v>
      </c>
      <c r="C28" s="20" t="s">
        <v>973</v>
      </c>
      <c r="D28" s="31">
        <f>COUNTIFS(Sheet1!$A$7:$A$272,$B28,Sheet1!$C$7:$C$272,$C28)</f>
        <v>8</v>
      </c>
      <c r="E28" s="31">
        <f>COUNTIFS(Sheet1!$A$7:$A$272,$B28,Sheet1!$C$7:$C$272,$C28,Sheet1!$F$7:$F$272,"確定")</f>
        <v>0</v>
      </c>
      <c r="F28" s="31">
        <f>COUNTIFS(Sheet1!$A$7:$A$272,$B28,Sheet1!$C$7:$C$272,$C28,Sheet1!$F$7:$F$272,"検討中")</f>
        <v>4</v>
      </c>
      <c r="G28" s="31">
        <f>COUNTIFS(Sheet1!$A$7:$A$272,$B28,Sheet1!$C$7:$C$272,$C28,Sheet1!$F$7:$F$272,"未着手")</f>
        <v>4</v>
      </c>
      <c r="H28" s="21">
        <f>IFERROR(E28/D28,"-")</f>
        <v>0</v>
      </c>
    </row>
    <row r="29" spans="1:8">
      <c r="A29" s="19" t="s">
        <v>974</v>
      </c>
      <c r="B29" s="20" t="s">
        <v>14</v>
      </c>
      <c r="C29" s="20" t="s">
        <v>975</v>
      </c>
      <c r="D29" s="31">
        <f>COUNTIFS(Sheet1!$A$7:$A$272,$B29,Sheet1!$C$7:$C$272,$C29)</f>
        <v>11</v>
      </c>
      <c r="E29" s="31">
        <f>COUNTIFS(Sheet1!$A$7:$A$272,$B29,Sheet1!$C$7:$C$272,$C29,Sheet1!$F$7:$F$272,"確定")</f>
        <v>0</v>
      </c>
      <c r="F29" s="31">
        <f>COUNTIFS(Sheet1!$A$7:$A$272,$B29,Sheet1!$C$7:$C$272,$C29,Sheet1!$F$7:$F$272,"検討中")</f>
        <v>7</v>
      </c>
      <c r="G29" s="31">
        <f>COUNTIFS(Sheet1!$A$7:$A$272,$B29,Sheet1!$C$7:$C$272,$C29,Sheet1!$F$7:$F$272,"未着手")</f>
        <v>4</v>
      </c>
      <c r="H29" s="21">
        <f>IFERROR(E29/D29,"-")</f>
        <v>0</v>
      </c>
    </row>
    <row r="30" spans="1:8">
      <c r="A30" s="19" t="s">
        <v>976</v>
      </c>
      <c r="B30" s="20" t="s">
        <v>14</v>
      </c>
      <c r="C30" s="20" t="s">
        <v>977</v>
      </c>
      <c r="D30" s="31">
        <f>COUNTIFS(Sheet1!$A$7:$A$272,$B30,Sheet1!$C$7:$C$272,$C30)</f>
        <v>11</v>
      </c>
      <c r="E30" s="31">
        <f>COUNTIFS(Sheet1!$A$7:$A$272,$B30,Sheet1!$C$7:$C$272,$C30,Sheet1!$F$7:$F$272,"確定")</f>
        <v>0</v>
      </c>
      <c r="F30" s="31">
        <f>COUNTIFS(Sheet1!$A$7:$A$272,$B30,Sheet1!$C$7:$C$272,$C30,Sheet1!$F$7:$F$272,"検討中")</f>
        <v>4</v>
      </c>
      <c r="G30" s="31">
        <f>COUNTIFS(Sheet1!$A$7:$A$272,$B30,Sheet1!$C$7:$C$272,$C30,Sheet1!$F$7:$F$272,"未着手")</f>
        <v>7</v>
      </c>
      <c r="H30" s="21">
        <f>IFERROR(E30/D30,"-")</f>
        <v>0</v>
      </c>
    </row>
    <row r="31" spans="1:8">
      <c r="A31" s="19" t="s">
        <v>580</v>
      </c>
      <c r="B31" s="20" t="s">
        <v>14</v>
      </c>
      <c r="C31" s="20" t="s">
        <v>978</v>
      </c>
      <c r="D31" s="31">
        <f>COUNTIFS(Sheet1!$A$7:$A$272,$B31,Sheet1!$C$7:$C$272,$C31)</f>
        <v>11</v>
      </c>
      <c r="E31" s="31">
        <f>COUNTIFS(Sheet1!$A$7:$A$272,$B31,Sheet1!$C$7:$C$272,$C31,Sheet1!$F$7:$F$272,"確定")</f>
        <v>8</v>
      </c>
      <c r="F31" s="31">
        <f>COUNTIFS(Sheet1!$A$7:$A$272,$B31,Sheet1!$C$7:$C$272,$C31,Sheet1!$F$7:$F$272,"検討中")</f>
        <v>2</v>
      </c>
      <c r="G31" s="31">
        <f>COUNTIFS(Sheet1!$A$7:$A$272,$B31,Sheet1!$C$7:$C$272,$C31,Sheet1!$F$7:$F$272,"未着手")</f>
        <v>1</v>
      </c>
      <c r="H31" s="21">
        <f>IFERROR(E31/D31,"-")</f>
        <v>0.72727272727272729</v>
      </c>
    </row>
    <row r="32" spans="1:8">
      <c r="A32" s="19" t="s">
        <v>979</v>
      </c>
      <c r="B32" s="20" t="s">
        <v>14</v>
      </c>
      <c r="C32" s="20" t="s">
        <v>980</v>
      </c>
      <c r="D32" s="31">
        <f>COUNTIFS(Sheet1!$A$7:$A$272,$B32,Sheet1!$C$7:$C$272,$C32)</f>
        <v>5</v>
      </c>
      <c r="E32" s="31">
        <f>COUNTIFS(Sheet1!$A$7:$A$272,$B32,Sheet1!$C$7:$C$272,$C32,Sheet1!$F$7:$F$272,"確定")</f>
        <v>1</v>
      </c>
      <c r="F32" s="31">
        <f>COUNTIFS(Sheet1!$A$7:$A$272,$B32,Sheet1!$C$7:$C$272,$C32,Sheet1!$F$7:$F$272,"検討中")</f>
        <v>2</v>
      </c>
      <c r="G32" s="31">
        <f>COUNTIFS(Sheet1!$A$7:$A$272,$B32,Sheet1!$C$7:$C$272,$C32,Sheet1!$F$7:$F$272,"未着手")</f>
        <v>2</v>
      </c>
      <c r="H32" s="21">
        <f>IFERROR(E32/D32,"-")</f>
        <v>0.2</v>
      </c>
    </row>
    <row r="33" spans="1:8">
      <c r="A33" s="19" t="s">
        <v>981</v>
      </c>
      <c r="B33" s="20" t="s">
        <v>17</v>
      </c>
      <c r="C33" s="20" t="s">
        <v>982</v>
      </c>
      <c r="D33" s="31">
        <f>COUNTIFS(Sheet1!$A$7:$A$272,$B33,Sheet1!$C$7:$C$272,$C33)</f>
        <v>12</v>
      </c>
      <c r="E33" s="31">
        <f>COUNTIFS(Sheet1!$A$7:$A$272,$B33,Sheet1!$C$7:$C$272,$C33,Sheet1!$F$7:$F$272,"確定")</f>
        <v>1</v>
      </c>
      <c r="F33" s="31">
        <f>COUNTIFS(Sheet1!$A$7:$A$272,$B33,Sheet1!$C$7:$C$272,$C33,Sheet1!$F$7:$F$272,"検討中")</f>
        <v>1</v>
      </c>
      <c r="G33" s="31">
        <f>COUNTIFS(Sheet1!$A$7:$A$272,$B33,Sheet1!$C$7:$C$272,$C33,Sheet1!$F$7:$F$272,"未着手")</f>
        <v>10</v>
      </c>
      <c r="H33" s="21">
        <f>IFERROR(E33/D33,"-")</f>
        <v>8.3333333333333329E-2</v>
      </c>
    </row>
    <row r="34" spans="1:8">
      <c r="A34" s="19" t="s">
        <v>983</v>
      </c>
      <c r="B34" s="20" t="s">
        <v>17</v>
      </c>
      <c r="C34" s="20" t="s">
        <v>984</v>
      </c>
      <c r="D34" s="31">
        <f>COUNTIFS(Sheet1!$A$7:$A$272,$B34,Sheet1!$C$7:$C$272,$C34)</f>
        <v>5</v>
      </c>
      <c r="E34" s="31">
        <f>COUNTIFS(Sheet1!$A$7:$A$272,$B34,Sheet1!$C$7:$C$272,$C34,Sheet1!$F$7:$F$272,"確定")</f>
        <v>0</v>
      </c>
      <c r="F34" s="31">
        <f>COUNTIFS(Sheet1!$A$7:$A$272,$B34,Sheet1!$C$7:$C$272,$C34,Sheet1!$F$7:$F$272,"検討中")</f>
        <v>0</v>
      </c>
      <c r="G34" s="31">
        <f>COUNTIFS(Sheet1!$A$7:$A$272,$B34,Sheet1!$C$7:$C$272,$C34,Sheet1!$F$7:$F$272,"未着手")</f>
        <v>5</v>
      </c>
      <c r="H34" s="21">
        <f>IFERROR(E34/D34,"-")</f>
        <v>0</v>
      </c>
    </row>
    <row r="35" spans="1:8">
      <c r="A35" s="19" t="s">
        <v>985</v>
      </c>
      <c r="B35" s="20" t="s">
        <v>17</v>
      </c>
      <c r="C35" s="20" t="s">
        <v>986</v>
      </c>
      <c r="D35" s="31">
        <f>COUNTIFS(Sheet1!$A$7:$A$272,$B35,Sheet1!$C$7:$C$272,$C35)</f>
        <v>8</v>
      </c>
      <c r="E35" s="31">
        <f>COUNTIFS(Sheet1!$A$7:$A$272,$B35,Sheet1!$C$7:$C$272,$C35,Sheet1!$F$7:$F$272,"確定")</f>
        <v>0</v>
      </c>
      <c r="F35" s="31">
        <f>COUNTIFS(Sheet1!$A$7:$A$272,$B35,Sheet1!$C$7:$C$272,$C35,Sheet1!$F$7:$F$272,"検討中")</f>
        <v>0</v>
      </c>
      <c r="G35" s="31">
        <f>COUNTIFS(Sheet1!$A$7:$A$272,$B35,Sheet1!$C$7:$C$272,$C35,Sheet1!$F$7:$F$272,"未着手")</f>
        <v>8</v>
      </c>
      <c r="H35" s="21">
        <f>IFERROR(E35/D35,"-")</f>
        <v>0</v>
      </c>
    </row>
    <row r="36" spans="1:8">
      <c r="A36" s="19" t="s">
        <v>987</v>
      </c>
      <c r="B36" s="20" t="s">
        <v>17</v>
      </c>
      <c r="C36" s="20" t="s">
        <v>988</v>
      </c>
      <c r="D36" s="31">
        <f>COUNTIFS(Sheet1!$A$7:$A$272,$B36,Sheet1!$C$7:$C$272,$C36)</f>
        <v>18</v>
      </c>
      <c r="E36" s="31">
        <f>COUNTIFS(Sheet1!$A$7:$A$272,$B36,Sheet1!$C$7:$C$272,$C36,Sheet1!$F$7:$F$272,"確定")</f>
        <v>1</v>
      </c>
      <c r="F36" s="31">
        <f>COUNTIFS(Sheet1!$A$7:$A$272,$B36,Sheet1!$C$7:$C$272,$C36,Sheet1!$F$7:$F$272,"検討中")</f>
        <v>0</v>
      </c>
      <c r="G36" s="31">
        <f>COUNTIFS(Sheet1!$A$7:$A$272,$B36,Sheet1!$C$7:$C$272,$C36,Sheet1!$F$7:$F$272,"未着手")</f>
        <v>17</v>
      </c>
      <c r="H36" s="21">
        <f>IFERROR(E36/D36,"-")</f>
        <v>5.5555555555555552E-2</v>
      </c>
    </row>
    <row r="37" spans="1:8">
      <c r="A37" s="19" t="s">
        <v>989</v>
      </c>
      <c r="B37" s="20" t="s">
        <v>17</v>
      </c>
      <c r="C37" s="20" t="s">
        <v>990</v>
      </c>
      <c r="D37" s="31">
        <f>COUNTIFS(Sheet1!$A$7:$A$272,$B37,Sheet1!$C$7:$C$272,$C37)</f>
        <v>8</v>
      </c>
      <c r="E37" s="31">
        <f>COUNTIFS(Sheet1!$A$7:$A$272,$B37,Sheet1!$C$7:$C$272,$C37,Sheet1!$F$7:$F$272,"確定")</f>
        <v>0</v>
      </c>
      <c r="F37" s="31">
        <f>COUNTIFS(Sheet1!$A$7:$A$272,$B37,Sheet1!$C$7:$C$272,$C37,Sheet1!$F$7:$F$272,"検討中")</f>
        <v>0</v>
      </c>
      <c r="G37" s="31">
        <f>COUNTIFS(Sheet1!$A$7:$A$272,$B37,Sheet1!$C$7:$C$272,$C37,Sheet1!$F$7:$F$272,"未着手")</f>
        <v>8</v>
      </c>
      <c r="H37" s="21">
        <f>IFERROR(E37/D37,"-")</f>
        <v>0</v>
      </c>
    </row>
    <row r="38" spans="1:8">
      <c r="A38" s="19" t="s">
        <v>991</v>
      </c>
      <c r="B38" s="20" t="s">
        <v>17</v>
      </c>
      <c r="C38" s="20" t="s">
        <v>992</v>
      </c>
      <c r="D38" s="31">
        <f>COUNTIFS(Sheet1!$A$7:$A$272,$B38,Sheet1!$C$7:$C$272,$C38)</f>
        <v>4</v>
      </c>
      <c r="E38" s="31">
        <f>COUNTIFS(Sheet1!$A$7:$A$272,$B38,Sheet1!$C$7:$C$272,$C38,Sheet1!$F$7:$F$272,"確定")</f>
        <v>0</v>
      </c>
      <c r="F38" s="31">
        <f>COUNTIFS(Sheet1!$A$7:$A$272,$B38,Sheet1!$C$7:$C$272,$C38,Sheet1!$F$7:$F$272,"検討中")</f>
        <v>1</v>
      </c>
      <c r="G38" s="31">
        <f>COUNTIFS(Sheet1!$A$7:$A$272,$B38,Sheet1!$C$7:$C$272,$C38,Sheet1!$F$7:$F$272,"未着手")</f>
        <v>3</v>
      </c>
      <c r="H38" s="21">
        <f>IFERROR(E38/D38,"-")</f>
        <v>0</v>
      </c>
    </row>
    <row r="39" spans="1:8">
      <c r="A39" s="24" t="s">
        <v>993</v>
      </c>
      <c r="B39" s="25" t="s">
        <v>17</v>
      </c>
      <c r="C39" s="25" t="s">
        <v>994</v>
      </c>
      <c r="D39" s="32">
        <f>COUNTIFS(Sheet1!$A$7:$A$272,$B39,Sheet1!$C$7:$C$272,$C39)</f>
        <v>4</v>
      </c>
      <c r="E39" s="32">
        <f>COUNTIFS(Sheet1!$A$7:$A$272,$B39,Sheet1!$C$7:$C$272,$C39,Sheet1!$F$7:$F$272,"確定")</f>
        <v>0</v>
      </c>
      <c r="F39" s="32">
        <f>COUNTIFS(Sheet1!$A$7:$A$272,$B39,Sheet1!$C$7:$C$272,$C39,Sheet1!$F$7:$F$272,"検討中")</f>
        <v>0</v>
      </c>
      <c r="G39" s="32">
        <f>COUNTIFS(Sheet1!$A$7:$A$272,$B39,Sheet1!$C$7:$C$272,$C39,Sheet1!$F$7:$F$272,"未着手")</f>
        <v>4</v>
      </c>
      <c r="H39" s="26">
        <f>IFERROR(E39/D39,"-")</f>
        <v>0</v>
      </c>
    </row>
    <row r="41" spans="1:8">
      <c r="A41" s="4" t="s">
        <v>995</v>
      </c>
    </row>
    <row r="42" spans="1:8">
      <c r="A42" s="16" t="s">
        <v>7</v>
      </c>
      <c r="B42" s="17" t="s">
        <v>21</v>
      </c>
      <c r="C42" s="17" t="s">
        <v>996</v>
      </c>
      <c r="D42" s="18" t="s">
        <v>997</v>
      </c>
    </row>
    <row r="43" spans="1:8">
      <c r="A43" s="19" t="s">
        <v>998</v>
      </c>
      <c r="B43" s="20" t="s">
        <v>999</v>
      </c>
      <c r="C43" s="20" t="s">
        <v>1000</v>
      </c>
      <c r="D43" s="27" t="s">
        <v>1001</v>
      </c>
    </row>
    <row r="44" spans="1:8">
      <c r="A44" s="19" t="s">
        <v>1002</v>
      </c>
      <c r="B44" s="20" t="s">
        <v>1003</v>
      </c>
      <c r="C44" s="20" t="s">
        <v>1004</v>
      </c>
      <c r="D44" s="27" t="s">
        <v>1005</v>
      </c>
    </row>
    <row r="45" spans="1:8">
      <c r="A45" s="19" t="s">
        <v>1006</v>
      </c>
      <c r="B45" s="20" t="s">
        <v>914</v>
      </c>
      <c r="C45" s="20" t="s">
        <v>1007</v>
      </c>
      <c r="D45" s="27" t="s">
        <v>11</v>
      </c>
    </row>
    <row r="46" spans="1:8">
      <c r="A46" s="19" t="s">
        <v>1006</v>
      </c>
      <c r="B46" s="20" t="s">
        <v>787</v>
      </c>
      <c r="C46" s="20" t="s">
        <v>1008</v>
      </c>
      <c r="D46" s="27" t="s">
        <v>11</v>
      </c>
    </row>
    <row r="47" spans="1:8">
      <c r="A47" s="19" t="s">
        <v>1006</v>
      </c>
      <c r="B47" s="20" t="s">
        <v>922</v>
      </c>
      <c r="C47" s="20" t="s">
        <v>1009</v>
      </c>
      <c r="D47" s="27" t="s">
        <v>1005</v>
      </c>
    </row>
    <row r="48" spans="1:8">
      <c r="A48" s="19" t="s">
        <v>1010</v>
      </c>
      <c r="B48" s="20" t="s">
        <v>1011</v>
      </c>
      <c r="C48" s="20" t="s">
        <v>1012</v>
      </c>
      <c r="D48" s="27" t="s">
        <v>11</v>
      </c>
    </row>
    <row r="49" spans="1:5">
      <c r="A49" s="19" t="s">
        <v>1013</v>
      </c>
      <c r="B49" s="20" t="s">
        <v>880</v>
      </c>
      <c r="C49" s="20" t="s">
        <v>1014</v>
      </c>
      <c r="D49" s="27" t="s">
        <v>11</v>
      </c>
    </row>
    <row r="50" spans="1:5">
      <c r="A50" s="19" t="s">
        <v>1013</v>
      </c>
      <c r="B50" s="20" t="s">
        <v>883</v>
      </c>
      <c r="C50" s="20" t="s">
        <v>1015</v>
      </c>
      <c r="D50" s="27" t="s">
        <v>11</v>
      </c>
    </row>
    <row r="51" spans="1:5">
      <c r="A51" s="19" t="s">
        <v>1016</v>
      </c>
      <c r="B51" s="20" t="s">
        <v>1017</v>
      </c>
      <c r="C51" s="20" t="s">
        <v>1018</v>
      </c>
      <c r="D51" s="27" t="s">
        <v>1019</v>
      </c>
    </row>
    <row r="52" spans="1:5">
      <c r="A52" s="24" t="s">
        <v>1016</v>
      </c>
      <c r="B52" s="25" t="s">
        <v>1020</v>
      </c>
      <c r="C52" s="25" t="s">
        <v>1021</v>
      </c>
      <c r="D52" s="28" t="s">
        <v>1019</v>
      </c>
    </row>
    <row r="54" spans="1:5">
      <c r="A54" s="59" t="s">
        <v>1683</v>
      </c>
    </row>
    <row r="55" spans="1:5">
      <c r="A55" s="16" t="s">
        <v>1303</v>
      </c>
      <c r="B55" s="17" t="s">
        <v>1684</v>
      </c>
      <c r="C55" s="17" t="s">
        <v>1685</v>
      </c>
      <c r="D55" s="18" t="s">
        <v>1686</v>
      </c>
    </row>
    <row r="56" spans="1:5">
      <c r="A56" s="19" t="s">
        <v>1556</v>
      </c>
      <c r="B56" s="29">
        <f>COUNTIF(マッピング!$G$5:$G$183,$A56)</f>
        <v>108</v>
      </c>
      <c r="C56" s="62">
        <f>IFERROR(B56/$B$61,"-")</f>
        <v>0.6033519553072626</v>
      </c>
      <c r="D56" s="27" t="s">
        <v>1687</v>
      </c>
    </row>
    <row r="57" spans="1:5">
      <c r="A57" s="19" t="s">
        <v>1570</v>
      </c>
      <c r="B57" s="29">
        <f>COUNTIF(マッピング!$G$5:$G$183,$A57)</f>
        <v>43</v>
      </c>
      <c r="C57" s="62">
        <f>IFERROR(B57/$B$61,"-")</f>
        <v>0.24022346368715083</v>
      </c>
      <c r="D57" s="27" t="s">
        <v>1688</v>
      </c>
    </row>
    <row r="58" spans="1:5">
      <c r="A58" s="19" t="s">
        <v>1567</v>
      </c>
      <c r="B58" s="29">
        <f>COUNTIF(マッピング!$G$5:$G$183,$A58)</f>
        <v>12</v>
      </c>
      <c r="C58" s="62">
        <f>IFERROR(B58/$B$61,"-")</f>
        <v>6.7039106145251395E-2</v>
      </c>
      <c r="D58" s="60" t="s">
        <v>1689</v>
      </c>
    </row>
    <row r="59" spans="1:5">
      <c r="A59" s="19" t="s">
        <v>1585</v>
      </c>
      <c r="B59" s="29">
        <f>COUNTIF(マッピング!$G$5:$G$183,$A59)</f>
        <v>6</v>
      </c>
      <c r="C59" s="62">
        <f>IFERROR(B59/$B$61,"-")</f>
        <v>3.3519553072625698E-2</v>
      </c>
      <c r="D59" s="27" t="s">
        <v>1690</v>
      </c>
    </row>
    <row r="60" spans="1:5">
      <c r="A60" s="19" t="s">
        <v>1574</v>
      </c>
      <c r="B60" s="29">
        <f>COUNTIF(マッピング!$G$5:$G$183,$A60)</f>
        <v>10</v>
      </c>
      <c r="C60" s="62">
        <f>IFERROR(B60/$B$61,"-")</f>
        <v>5.5865921787709494E-2</v>
      </c>
      <c r="D60" s="61" t="s">
        <v>1691</v>
      </c>
    </row>
    <row r="61" spans="1:5">
      <c r="A61" s="22" t="s">
        <v>18</v>
      </c>
      <c r="B61" s="30">
        <f>SUM(B56:B60)</f>
        <v>179</v>
      </c>
      <c r="C61" s="63">
        <f>IFERROR(B61/B61,"-")</f>
        <v>1</v>
      </c>
      <c r="D61" s="28"/>
      <c r="E61" s="54" t="str">
        <f>IF(B61=COUNTA(マッピング!$A$5:$A$183),"✓ マッピング行数と一致","⚠ 不一致")</f>
        <v>✓ マッピング行数と一致</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H272"/>
  <sheetViews>
    <sheetView zoomScale="115" workbookViewId="0">
      <pane ySplit="6" topLeftCell="A7" activePane="bottomLeft" state="frozen"/>
      <selection pane="bottomLeft" activeCell="E30" sqref="E30"/>
    </sheetView>
  </sheetViews>
  <sheetFormatPr baseColWidth="10" defaultRowHeight="18"/>
  <cols>
    <col min="1" max="1" width="15.7109375" style="34" customWidth="1"/>
    <col min="2" max="2" width="28.5703125" style="34" customWidth="1"/>
    <col min="3" max="3" width="15" style="34" customWidth="1"/>
    <col min="4" max="4" width="57.140625" style="34" customWidth="1"/>
    <col min="5" max="5" width="61.42578125" style="34" customWidth="1"/>
    <col min="6" max="6" width="10.7109375" style="34"/>
    <col min="7" max="7" width="80" style="34" customWidth="1"/>
    <col min="8" max="8" width="38.5703125" style="34" customWidth="1"/>
    <col min="9" max="16384" width="10.7109375" style="34"/>
  </cols>
  <sheetData>
    <row r="1" spans="1:8" ht="22">
      <c r="A1" s="33" t="s">
        <v>0</v>
      </c>
    </row>
    <row r="2" spans="1:8">
      <c r="A2" s="35" t="s">
        <v>1</v>
      </c>
      <c r="B2" s="36" t="s">
        <v>2</v>
      </c>
    </row>
    <row r="3" spans="1:8">
      <c r="A3" s="35" t="s">
        <v>3</v>
      </c>
      <c r="B3" s="36" t="s">
        <v>4</v>
      </c>
    </row>
    <row r="4" spans="1:8">
      <c r="A4" s="35" t="s">
        <v>5</v>
      </c>
      <c r="B4" s="37" t="s">
        <v>6</v>
      </c>
    </row>
    <row r="6" spans="1:8" ht="22" customHeight="1">
      <c r="A6" s="38" t="s">
        <v>19</v>
      </c>
      <c r="B6" s="39" t="s">
        <v>20</v>
      </c>
      <c r="C6" s="39" t="s">
        <v>21</v>
      </c>
      <c r="D6" s="39" t="s">
        <v>22</v>
      </c>
      <c r="E6" s="39" t="s">
        <v>1023</v>
      </c>
      <c r="F6" s="39" t="s">
        <v>23</v>
      </c>
      <c r="G6" s="39" t="s">
        <v>24</v>
      </c>
      <c r="H6" s="40" t="s">
        <v>25</v>
      </c>
    </row>
    <row r="7" spans="1:8">
      <c r="A7" s="41" t="s">
        <v>13</v>
      </c>
      <c r="B7" s="42" t="s">
        <v>26</v>
      </c>
      <c r="C7" s="43" t="s">
        <v>27</v>
      </c>
      <c r="D7" s="42" t="s">
        <v>28</v>
      </c>
      <c r="E7" s="51" t="s">
        <v>1024</v>
      </c>
      <c r="F7" s="44" t="s">
        <v>9</v>
      </c>
      <c r="G7" s="42" t="s">
        <v>29</v>
      </c>
      <c r="H7" s="45" t="s">
        <v>30</v>
      </c>
    </row>
    <row r="8" spans="1:8">
      <c r="A8" s="41" t="s">
        <v>13</v>
      </c>
      <c r="B8" s="42" t="s">
        <v>26</v>
      </c>
      <c r="C8" s="43" t="s">
        <v>31</v>
      </c>
      <c r="D8" s="42" t="s">
        <v>32</v>
      </c>
      <c r="E8" s="51" t="s">
        <v>1025</v>
      </c>
      <c r="F8" s="44" t="s">
        <v>9</v>
      </c>
      <c r="G8" s="42" t="s">
        <v>33</v>
      </c>
      <c r="H8" s="45" t="s">
        <v>30</v>
      </c>
    </row>
    <row r="9" spans="1:8">
      <c r="A9" s="41" t="s">
        <v>13</v>
      </c>
      <c r="B9" s="42" t="s">
        <v>26</v>
      </c>
      <c r="C9" s="43" t="s">
        <v>34</v>
      </c>
      <c r="D9" s="42" t="s">
        <v>35</v>
      </c>
      <c r="E9" s="51" t="s">
        <v>1026</v>
      </c>
      <c r="F9" s="44" t="s">
        <v>10</v>
      </c>
      <c r="G9" s="42" t="s">
        <v>36</v>
      </c>
      <c r="H9" s="45" t="s">
        <v>30</v>
      </c>
    </row>
    <row r="10" spans="1:8">
      <c r="A10" s="41" t="s">
        <v>13</v>
      </c>
      <c r="B10" s="42" t="s">
        <v>26</v>
      </c>
      <c r="C10" s="43" t="s">
        <v>37</v>
      </c>
      <c r="D10" s="42" t="s">
        <v>38</v>
      </c>
      <c r="E10" s="51" t="s">
        <v>1027</v>
      </c>
      <c r="F10" s="44" t="s">
        <v>10</v>
      </c>
      <c r="G10" s="42" t="s">
        <v>39</v>
      </c>
      <c r="H10" s="45" t="s">
        <v>30</v>
      </c>
    </row>
    <row r="11" spans="1:8">
      <c r="A11" s="41" t="s">
        <v>13</v>
      </c>
      <c r="B11" s="42" t="s">
        <v>26</v>
      </c>
      <c r="C11" s="43" t="s">
        <v>40</v>
      </c>
      <c r="D11" s="42" t="s">
        <v>41</v>
      </c>
      <c r="E11" s="51" t="s">
        <v>1028</v>
      </c>
      <c r="F11" s="44" t="s">
        <v>11</v>
      </c>
      <c r="G11" s="42" t="s">
        <v>42</v>
      </c>
      <c r="H11" s="45" t="s">
        <v>30</v>
      </c>
    </row>
    <row r="12" spans="1:8">
      <c r="A12" s="41" t="s">
        <v>13</v>
      </c>
      <c r="B12" s="42" t="s">
        <v>26</v>
      </c>
      <c r="C12" s="43" t="s">
        <v>43</v>
      </c>
      <c r="D12" s="42" t="s">
        <v>1022</v>
      </c>
      <c r="E12" s="51" t="s">
        <v>1029</v>
      </c>
      <c r="F12" s="44" t="s">
        <v>11</v>
      </c>
      <c r="G12" s="42" t="s">
        <v>42</v>
      </c>
      <c r="H12" s="45" t="s">
        <v>30</v>
      </c>
    </row>
    <row r="13" spans="1:8">
      <c r="A13" s="41" t="s">
        <v>13</v>
      </c>
      <c r="B13" s="42" t="s">
        <v>26</v>
      </c>
      <c r="C13" s="43" t="s">
        <v>44</v>
      </c>
      <c r="D13" s="42" t="s">
        <v>45</v>
      </c>
      <c r="E13" s="51" t="s">
        <v>1030</v>
      </c>
      <c r="F13" s="44" t="s">
        <v>11</v>
      </c>
      <c r="G13" s="42" t="s">
        <v>46</v>
      </c>
      <c r="H13" s="45" t="s">
        <v>30</v>
      </c>
    </row>
    <row r="14" spans="1:8">
      <c r="A14" s="41" t="s">
        <v>13</v>
      </c>
      <c r="B14" s="42" t="s">
        <v>26</v>
      </c>
      <c r="C14" s="43" t="s">
        <v>47</v>
      </c>
      <c r="D14" s="42" t="s">
        <v>48</v>
      </c>
      <c r="E14" s="51" t="s">
        <v>1031</v>
      </c>
      <c r="F14" s="44" t="s">
        <v>9</v>
      </c>
      <c r="G14" s="42" t="s">
        <v>49</v>
      </c>
      <c r="H14" s="45" t="s">
        <v>30</v>
      </c>
    </row>
    <row r="15" spans="1:8">
      <c r="A15" s="41" t="s">
        <v>13</v>
      </c>
      <c r="B15" s="42" t="s">
        <v>50</v>
      </c>
      <c r="C15" s="43" t="s">
        <v>51</v>
      </c>
      <c r="D15" s="42" t="s">
        <v>52</v>
      </c>
      <c r="E15" s="51" t="s">
        <v>1032</v>
      </c>
      <c r="F15" s="44" t="s">
        <v>9</v>
      </c>
      <c r="G15" s="42" t="s">
        <v>53</v>
      </c>
      <c r="H15" s="45" t="s">
        <v>54</v>
      </c>
    </row>
    <row r="16" spans="1:8">
      <c r="A16" s="41" t="s">
        <v>13</v>
      </c>
      <c r="B16" s="42" t="s">
        <v>50</v>
      </c>
      <c r="C16" s="43" t="s">
        <v>55</v>
      </c>
      <c r="D16" s="42" t="s">
        <v>56</v>
      </c>
      <c r="E16" s="51" t="s">
        <v>1033</v>
      </c>
      <c r="F16" s="44" t="s">
        <v>11</v>
      </c>
      <c r="G16" s="42" t="s">
        <v>57</v>
      </c>
      <c r="H16" s="45" t="s">
        <v>54</v>
      </c>
    </row>
    <row r="17" spans="1:8">
      <c r="A17" s="41" t="s">
        <v>13</v>
      </c>
      <c r="B17" s="42" t="s">
        <v>50</v>
      </c>
      <c r="C17" s="43" t="s">
        <v>58</v>
      </c>
      <c r="D17" s="42" t="s">
        <v>59</v>
      </c>
      <c r="E17" s="51" t="s">
        <v>1034</v>
      </c>
      <c r="F17" s="44" t="s">
        <v>10</v>
      </c>
      <c r="G17" s="42" t="s">
        <v>60</v>
      </c>
      <c r="H17" s="45" t="s">
        <v>54</v>
      </c>
    </row>
    <row r="18" spans="1:8">
      <c r="A18" s="41" t="s">
        <v>13</v>
      </c>
      <c r="B18" s="42" t="s">
        <v>50</v>
      </c>
      <c r="C18" s="43" t="s">
        <v>61</v>
      </c>
      <c r="D18" s="42" t="s">
        <v>62</v>
      </c>
      <c r="E18" s="51" t="s">
        <v>1035</v>
      </c>
      <c r="F18" s="44" t="s">
        <v>10</v>
      </c>
      <c r="G18" s="42" t="s">
        <v>63</v>
      </c>
      <c r="H18" s="45" t="s">
        <v>54</v>
      </c>
    </row>
    <row r="19" spans="1:8">
      <c r="A19" s="41" t="s">
        <v>13</v>
      </c>
      <c r="B19" s="42" t="s">
        <v>50</v>
      </c>
      <c r="C19" s="43" t="s">
        <v>64</v>
      </c>
      <c r="D19" s="42" t="s">
        <v>65</v>
      </c>
      <c r="E19" s="51" t="s">
        <v>1036</v>
      </c>
      <c r="F19" s="44" t="s">
        <v>10</v>
      </c>
      <c r="G19" s="42" t="s">
        <v>66</v>
      </c>
      <c r="H19" s="45" t="s">
        <v>54</v>
      </c>
    </row>
    <row r="20" spans="1:8">
      <c r="A20" s="41" t="s">
        <v>13</v>
      </c>
      <c r="B20" s="42" t="s">
        <v>50</v>
      </c>
      <c r="C20" s="43" t="s">
        <v>67</v>
      </c>
      <c r="D20" s="42" t="s">
        <v>68</v>
      </c>
      <c r="E20" s="51" t="s">
        <v>1037</v>
      </c>
      <c r="F20" s="44" t="s">
        <v>10</v>
      </c>
      <c r="G20" s="42" t="s">
        <v>69</v>
      </c>
      <c r="H20" s="45" t="s">
        <v>54</v>
      </c>
    </row>
    <row r="21" spans="1:8">
      <c r="A21" s="41" t="s">
        <v>13</v>
      </c>
      <c r="B21" s="42" t="s">
        <v>70</v>
      </c>
      <c r="C21" s="43" t="s">
        <v>71</v>
      </c>
      <c r="D21" s="42" t="s">
        <v>72</v>
      </c>
      <c r="E21" s="51" t="s">
        <v>1038</v>
      </c>
      <c r="F21" s="44" t="s">
        <v>9</v>
      </c>
      <c r="G21" s="42" t="s">
        <v>73</v>
      </c>
      <c r="H21" s="45" t="s">
        <v>74</v>
      </c>
    </row>
    <row r="22" spans="1:8">
      <c r="A22" s="41" t="s">
        <v>13</v>
      </c>
      <c r="B22" s="42" t="s">
        <v>70</v>
      </c>
      <c r="C22" s="43" t="s">
        <v>75</v>
      </c>
      <c r="D22" s="42" t="s">
        <v>76</v>
      </c>
      <c r="E22" s="51" t="s">
        <v>1039</v>
      </c>
      <c r="F22" s="44" t="s">
        <v>11</v>
      </c>
      <c r="G22" s="42" t="s">
        <v>77</v>
      </c>
      <c r="H22" s="45" t="s">
        <v>74</v>
      </c>
    </row>
    <row r="23" spans="1:8">
      <c r="A23" s="41" t="s">
        <v>13</v>
      </c>
      <c r="B23" s="42" t="s">
        <v>70</v>
      </c>
      <c r="C23" s="43" t="s">
        <v>78</v>
      </c>
      <c r="D23" s="42" t="s">
        <v>79</v>
      </c>
      <c r="E23" s="51" t="s">
        <v>1040</v>
      </c>
      <c r="F23" s="44" t="s">
        <v>11</v>
      </c>
      <c r="G23" s="42" t="s">
        <v>80</v>
      </c>
      <c r="H23" s="45" t="s">
        <v>74</v>
      </c>
    </row>
    <row r="24" spans="1:8">
      <c r="A24" s="41" t="s">
        <v>13</v>
      </c>
      <c r="B24" s="42" t="s">
        <v>70</v>
      </c>
      <c r="C24" s="43" t="s">
        <v>81</v>
      </c>
      <c r="D24" s="42" t="s">
        <v>82</v>
      </c>
      <c r="E24" s="51" t="s">
        <v>1041</v>
      </c>
      <c r="F24" s="44" t="s">
        <v>11</v>
      </c>
      <c r="G24" s="42" t="s">
        <v>83</v>
      </c>
      <c r="H24" s="45" t="s">
        <v>74</v>
      </c>
    </row>
    <row r="25" spans="1:8">
      <c r="A25" s="41" t="s">
        <v>13</v>
      </c>
      <c r="B25" s="42" t="s">
        <v>70</v>
      </c>
      <c r="C25" s="43" t="s">
        <v>84</v>
      </c>
      <c r="D25" s="42" t="s">
        <v>85</v>
      </c>
      <c r="E25" s="51" t="s">
        <v>1042</v>
      </c>
      <c r="F25" s="44" t="s">
        <v>11</v>
      </c>
      <c r="G25" s="42" t="s">
        <v>80</v>
      </c>
      <c r="H25" s="45" t="s">
        <v>74</v>
      </c>
    </row>
    <row r="26" spans="1:8">
      <c r="A26" s="41" t="s">
        <v>13</v>
      </c>
      <c r="B26" s="42" t="s">
        <v>70</v>
      </c>
      <c r="C26" s="43" t="s">
        <v>86</v>
      </c>
      <c r="D26" s="42" t="s">
        <v>87</v>
      </c>
      <c r="E26" s="51" t="s">
        <v>1043</v>
      </c>
      <c r="F26" s="44" t="s">
        <v>11</v>
      </c>
      <c r="G26" s="42" t="s">
        <v>88</v>
      </c>
      <c r="H26" s="45" t="s">
        <v>74</v>
      </c>
    </row>
    <row r="27" spans="1:8">
      <c r="A27" s="41" t="s">
        <v>13</v>
      </c>
      <c r="B27" s="42" t="s">
        <v>70</v>
      </c>
      <c r="C27" s="43" t="s">
        <v>89</v>
      </c>
      <c r="D27" s="42" t="s">
        <v>90</v>
      </c>
      <c r="E27" s="51" t="s">
        <v>1044</v>
      </c>
      <c r="F27" s="44" t="s">
        <v>11</v>
      </c>
      <c r="G27" s="42" t="s">
        <v>91</v>
      </c>
      <c r="H27" s="45" t="s">
        <v>74</v>
      </c>
    </row>
    <row r="28" spans="1:8">
      <c r="A28" s="41" t="s">
        <v>13</v>
      </c>
      <c r="B28" s="42" t="s">
        <v>70</v>
      </c>
      <c r="C28" s="43" t="s">
        <v>92</v>
      </c>
      <c r="D28" s="42" t="s">
        <v>93</v>
      </c>
      <c r="E28" s="51" t="s">
        <v>1045</v>
      </c>
      <c r="F28" s="44" t="s">
        <v>10</v>
      </c>
      <c r="G28" s="42" t="s">
        <v>94</v>
      </c>
      <c r="H28" s="45" t="s">
        <v>74</v>
      </c>
    </row>
    <row r="29" spans="1:8">
      <c r="A29" s="41" t="s">
        <v>13</v>
      </c>
      <c r="B29" s="42" t="s">
        <v>95</v>
      </c>
      <c r="C29" s="43" t="s">
        <v>96</v>
      </c>
      <c r="D29" s="42" t="s">
        <v>97</v>
      </c>
      <c r="E29" s="51" t="s">
        <v>1046</v>
      </c>
      <c r="F29" s="44" t="s">
        <v>9</v>
      </c>
      <c r="G29" s="42" t="s">
        <v>98</v>
      </c>
      <c r="H29" s="45" t="s">
        <v>99</v>
      </c>
    </row>
    <row r="30" spans="1:8">
      <c r="A30" s="41" t="s">
        <v>13</v>
      </c>
      <c r="B30" s="42" t="s">
        <v>95</v>
      </c>
      <c r="C30" s="43" t="s">
        <v>100</v>
      </c>
      <c r="D30" s="42" t="s">
        <v>101</v>
      </c>
      <c r="E30" s="51" t="s">
        <v>1047</v>
      </c>
      <c r="F30" s="44" t="s">
        <v>9</v>
      </c>
      <c r="G30" s="42" t="s">
        <v>102</v>
      </c>
      <c r="H30" s="45" t="s">
        <v>99</v>
      </c>
    </row>
    <row r="31" spans="1:8">
      <c r="A31" s="41" t="s">
        <v>13</v>
      </c>
      <c r="B31" s="42" t="s">
        <v>95</v>
      </c>
      <c r="C31" s="43" t="s">
        <v>103</v>
      </c>
      <c r="D31" s="42" t="s">
        <v>104</v>
      </c>
      <c r="E31" s="51" t="s">
        <v>1048</v>
      </c>
      <c r="F31" s="44" t="s">
        <v>10</v>
      </c>
      <c r="G31" s="42" t="s">
        <v>105</v>
      </c>
      <c r="H31" s="45" t="s">
        <v>99</v>
      </c>
    </row>
    <row r="32" spans="1:8">
      <c r="A32" s="41" t="s">
        <v>13</v>
      </c>
      <c r="B32" s="42" t="s">
        <v>106</v>
      </c>
      <c r="C32" s="43" t="s">
        <v>107</v>
      </c>
      <c r="D32" s="42" t="s">
        <v>108</v>
      </c>
      <c r="E32" s="51" t="s">
        <v>1049</v>
      </c>
      <c r="F32" s="44" t="s">
        <v>9</v>
      </c>
      <c r="G32" s="42" t="s">
        <v>109</v>
      </c>
      <c r="H32" s="45" t="s">
        <v>110</v>
      </c>
    </row>
    <row r="33" spans="1:8">
      <c r="A33" s="41" t="s">
        <v>13</v>
      </c>
      <c r="B33" s="42" t="s">
        <v>106</v>
      </c>
      <c r="C33" s="43" t="s">
        <v>111</v>
      </c>
      <c r="D33" s="42" t="s">
        <v>112</v>
      </c>
      <c r="E33" s="51" t="s">
        <v>1050</v>
      </c>
      <c r="F33" s="44" t="s">
        <v>10</v>
      </c>
      <c r="G33" s="42" t="s">
        <v>113</v>
      </c>
      <c r="H33" s="45" t="s">
        <v>110</v>
      </c>
    </row>
    <row r="34" spans="1:8">
      <c r="A34" s="41" t="s">
        <v>13</v>
      </c>
      <c r="B34" s="42" t="s">
        <v>106</v>
      </c>
      <c r="C34" s="43" t="s">
        <v>114</v>
      </c>
      <c r="D34" s="42" t="s">
        <v>115</v>
      </c>
      <c r="E34" s="51" t="s">
        <v>1051</v>
      </c>
      <c r="F34" s="44" t="s">
        <v>10</v>
      </c>
      <c r="G34" s="42" t="s">
        <v>116</v>
      </c>
      <c r="H34" s="45" t="s">
        <v>110</v>
      </c>
    </row>
    <row r="35" spans="1:8">
      <c r="A35" s="41" t="s">
        <v>13</v>
      </c>
      <c r="B35" s="42" t="s">
        <v>117</v>
      </c>
      <c r="C35" s="43" t="s">
        <v>118</v>
      </c>
      <c r="D35" s="42" t="s">
        <v>119</v>
      </c>
      <c r="E35" s="51" t="s">
        <v>1052</v>
      </c>
      <c r="F35" s="44" t="s">
        <v>9</v>
      </c>
      <c r="G35" s="42" t="s">
        <v>120</v>
      </c>
      <c r="H35" s="45" t="s">
        <v>121</v>
      </c>
    </row>
    <row r="36" spans="1:8">
      <c r="A36" s="41" t="s">
        <v>13</v>
      </c>
      <c r="B36" s="42" t="s">
        <v>117</v>
      </c>
      <c r="C36" s="43" t="s">
        <v>122</v>
      </c>
      <c r="D36" s="42" t="s">
        <v>123</v>
      </c>
      <c r="E36" s="51" t="s">
        <v>1053</v>
      </c>
      <c r="F36" s="44" t="s">
        <v>10</v>
      </c>
      <c r="G36" s="42" t="s">
        <v>124</v>
      </c>
      <c r="H36" s="45" t="s">
        <v>121</v>
      </c>
    </row>
    <row r="37" spans="1:8">
      <c r="A37" s="41" t="s">
        <v>13</v>
      </c>
      <c r="B37" s="42" t="s">
        <v>117</v>
      </c>
      <c r="C37" s="43" t="s">
        <v>125</v>
      </c>
      <c r="D37" s="42" t="s">
        <v>126</v>
      </c>
      <c r="E37" s="51" t="s">
        <v>1054</v>
      </c>
      <c r="F37" s="44" t="s">
        <v>11</v>
      </c>
      <c r="G37" s="42" t="s">
        <v>127</v>
      </c>
      <c r="H37" s="45" t="s">
        <v>121</v>
      </c>
    </row>
    <row r="38" spans="1:8">
      <c r="A38" s="41" t="s">
        <v>13</v>
      </c>
      <c r="B38" s="42" t="s">
        <v>117</v>
      </c>
      <c r="C38" s="43" t="s">
        <v>128</v>
      </c>
      <c r="D38" s="42" t="s">
        <v>129</v>
      </c>
      <c r="E38" s="51" t="s">
        <v>1055</v>
      </c>
      <c r="F38" s="44" t="s">
        <v>11</v>
      </c>
      <c r="G38" s="42" t="s">
        <v>130</v>
      </c>
      <c r="H38" s="45" t="s">
        <v>121</v>
      </c>
    </row>
    <row r="39" spans="1:8">
      <c r="A39" s="41" t="s">
        <v>13</v>
      </c>
      <c r="B39" s="42" t="s">
        <v>117</v>
      </c>
      <c r="C39" s="43" t="s">
        <v>131</v>
      </c>
      <c r="D39" s="42" t="s">
        <v>132</v>
      </c>
      <c r="E39" s="51" t="s">
        <v>1056</v>
      </c>
      <c r="F39" s="44" t="s">
        <v>10</v>
      </c>
      <c r="G39" s="42" t="s">
        <v>133</v>
      </c>
      <c r="H39" s="45" t="s">
        <v>121</v>
      </c>
    </row>
    <row r="40" spans="1:8">
      <c r="A40" s="41" t="s">
        <v>13</v>
      </c>
      <c r="B40" s="42" t="s">
        <v>134</v>
      </c>
      <c r="C40" s="43" t="s">
        <v>135</v>
      </c>
      <c r="D40" s="42" t="s">
        <v>136</v>
      </c>
      <c r="E40" s="51" t="s">
        <v>1057</v>
      </c>
      <c r="F40" s="44" t="s">
        <v>10</v>
      </c>
      <c r="G40" s="42" t="s">
        <v>137</v>
      </c>
      <c r="H40" s="45" t="s">
        <v>138</v>
      </c>
    </row>
    <row r="41" spans="1:8">
      <c r="A41" s="41" t="s">
        <v>13</v>
      </c>
      <c r="B41" s="42" t="s">
        <v>134</v>
      </c>
      <c r="C41" s="43" t="s">
        <v>139</v>
      </c>
      <c r="D41" s="42" t="s">
        <v>140</v>
      </c>
      <c r="E41" s="51" t="s">
        <v>1058</v>
      </c>
      <c r="F41" s="44" t="s">
        <v>10</v>
      </c>
      <c r="G41" s="42" t="s">
        <v>141</v>
      </c>
      <c r="H41" s="45" t="s">
        <v>138</v>
      </c>
    </row>
    <row r="42" spans="1:8">
      <c r="A42" s="41" t="s">
        <v>13</v>
      </c>
      <c r="B42" s="42" t="s">
        <v>134</v>
      </c>
      <c r="C42" s="43" t="s">
        <v>142</v>
      </c>
      <c r="D42" s="42" t="s">
        <v>143</v>
      </c>
      <c r="E42" s="51" t="s">
        <v>1059</v>
      </c>
      <c r="F42" s="44" t="s">
        <v>11</v>
      </c>
      <c r="G42" s="42" t="s">
        <v>144</v>
      </c>
      <c r="H42" s="45" t="s">
        <v>138</v>
      </c>
    </row>
    <row r="43" spans="1:8">
      <c r="A43" s="41" t="s">
        <v>13</v>
      </c>
      <c r="B43" s="42" t="s">
        <v>134</v>
      </c>
      <c r="C43" s="43" t="s">
        <v>145</v>
      </c>
      <c r="D43" s="42" t="s">
        <v>146</v>
      </c>
      <c r="E43" s="51" t="s">
        <v>1060</v>
      </c>
      <c r="F43" s="44" t="s">
        <v>10</v>
      </c>
      <c r="G43" s="42" t="s">
        <v>147</v>
      </c>
      <c r="H43" s="45" t="s">
        <v>138</v>
      </c>
    </row>
    <row r="44" spans="1:8">
      <c r="A44" s="41" t="s">
        <v>13</v>
      </c>
      <c r="B44" s="42" t="s">
        <v>148</v>
      </c>
      <c r="C44" s="43" t="s">
        <v>149</v>
      </c>
      <c r="D44" s="42" t="s">
        <v>150</v>
      </c>
      <c r="E44" s="51" t="s">
        <v>1061</v>
      </c>
      <c r="F44" s="44" t="s">
        <v>9</v>
      </c>
      <c r="G44" s="42" t="s">
        <v>151</v>
      </c>
      <c r="H44" s="45" t="s">
        <v>152</v>
      </c>
    </row>
    <row r="45" spans="1:8">
      <c r="A45" s="41" t="s">
        <v>13</v>
      </c>
      <c r="B45" s="42" t="s">
        <v>148</v>
      </c>
      <c r="C45" s="43" t="s">
        <v>153</v>
      </c>
      <c r="D45" s="42" t="s">
        <v>154</v>
      </c>
      <c r="E45" s="51" t="s">
        <v>1062</v>
      </c>
      <c r="F45" s="44" t="s">
        <v>9</v>
      </c>
      <c r="G45" s="42" t="s">
        <v>155</v>
      </c>
      <c r="H45" s="45" t="s">
        <v>152</v>
      </c>
    </row>
    <row r="46" spans="1:8">
      <c r="A46" s="41" t="s">
        <v>13</v>
      </c>
      <c r="B46" s="42" t="s">
        <v>156</v>
      </c>
      <c r="C46" s="43" t="s">
        <v>157</v>
      </c>
      <c r="D46" s="42" t="s">
        <v>158</v>
      </c>
      <c r="E46" s="51" t="s">
        <v>1063</v>
      </c>
      <c r="F46" s="44" t="s">
        <v>9</v>
      </c>
      <c r="G46" s="42" t="s">
        <v>159</v>
      </c>
      <c r="H46" s="45" t="s">
        <v>160</v>
      </c>
    </row>
    <row r="47" spans="1:8">
      <c r="A47" s="41" t="s">
        <v>13</v>
      </c>
      <c r="B47" s="42" t="s">
        <v>156</v>
      </c>
      <c r="C47" s="43" t="s">
        <v>161</v>
      </c>
      <c r="D47" s="42" t="s">
        <v>162</v>
      </c>
      <c r="E47" s="51" t="s">
        <v>1064</v>
      </c>
      <c r="F47" s="44" t="s">
        <v>9</v>
      </c>
      <c r="G47" s="42" t="s">
        <v>159</v>
      </c>
      <c r="H47" s="45" t="s">
        <v>160</v>
      </c>
    </row>
    <row r="48" spans="1:8">
      <c r="A48" s="41" t="s">
        <v>13</v>
      </c>
      <c r="B48" s="42" t="s">
        <v>156</v>
      </c>
      <c r="C48" s="43" t="s">
        <v>163</v>
      </c>
      <c r="D48" s="42" t="s">
        <v>164</v>
      </c>
      <c r="E48" s="51" t="s">
        <v>1065</v>
      </c>
      <c r="F48" s="44" t="s">
        <v>10</v>
      </c>
      <c r="G48" s="42" t="s">
        <v>165</v>
      </c>
      <c r="H48" s="45" t="s">
        <v>160</v>
      </c>
    </row>
    <row r="49" spans="1:8">
      <c r="A49" s="41" t="s">
        <v>13</v>
      </c>
      <c r="B49" s="42" t="s">
        <v>156</v>
      </c>
      <c r="C49" s="43" t="s">
        <v>166</v>
      </c>
      <c r="D49" s="42" t="s">
        <v>167</v>
      </c>
      <c r="E49" s="51" t="s">
        <v>1066</v>
      </c>
      <c r="F49" s="44" t="s">
        <v>10</v>
      </c>
      <c r="G49" s="42" t="s">
        <v>168</v>
      </c>
      <c r="H49" s="45" t="s">
        <v>160</v>
      </c>
    </row>
    <row r="50" spans="1:8">
      <c r="A50" s="41" t="s">
        <v>13</v>
      </c>
      <c r="B50" s="42" t="s">
        <v>156</v>
      </c>
      <c r="C50" s="43" t="s">
        <v>169</v>
      </c>
      <c r="D50" s="42" t="s">
        <v>170</v>
      </c>
      <c r="E50" s="51" t="s">
        <v>1067</v>
      </c>
      <c r="F50" s="44" t="s">
        <v>10</v>
      </c>
      <c r="G50" s="42" t="s">
        <v>171</v>
      </c>
      <c r="H50" s="45" t="s">
        <v>160</v>
      </c>
    </row>
    <row r="51" spans="1:8">
      <c r="A51" s="41" t="s">
        <v>13</v>
      </c>
      <c r="B51" s="42" t="s">
        <v>172</v>
      </c>
      <c r="C51" s="43" t="s">
        <v>173</v>
      </c>
      <c r="D51" s="42" t="s">
        <v>174</v>
      </c>
      <c r="E51" s="51" t="s">
        <v>1068</v>
      </c>
      <c r="F51" s="44" t="s">
        <v>10</v>
      </c>
      <c r="G51" s="42" t="s">
        <v>175</v>
      </c>
      <c r="H51" s="45" t="s">
        <v>176</v>
      </c>
    </row>
    <row r="52" spans="1:8">
      <c r="A52" s="41" t="s">
        <v>13</v>
      </c>
      <c r="B52" s="42" t="s">
        <v>172</v>
      </c>
      <c r="C52" s="43" t="s">
        <v>177</v>
      </c>
      <c r="D52" s="42" t="s">
        <v>178</v>
      </c>
      <c r="E52" s="51" t="s">
        <v>1069</v>
      </c>
      <c r="F52" s="44" t="s">
        <v>11</v>
      </c>
      <c r="G52" s="42" t="s">
        <v>179</v>
      </c>
      <c r="H52" s="45" t="s">
        <v>176</v>
      </c>
    </row>
    <row r="53" spans="1:8">
      <c r="A53" s="41" t="s">
        <v>13</v>
      </c>
      <c r="B53" s="42" t="s">
        <v>172</v>
      </c>
      <c r="C53" s="43" t="s">
        <v>180</v>
      </c>
      <c r="D53" s="42" t="s">
        <v>181</v>
      </c>
      <c r="E53" s="51" t="s">
        <v>1070</v>
      </c>
      <c r="F53" s="44" t="s">
        <v>10</v>
      </c>
      <c r="G53" s="42" t="s">
        <v>182</v>
      </c>
      <c r="H53" s="45" t="s">
        <v>176</v>
      </c>
    </row>
    <row r="54" spans="1:8">
      <c r="A54" s="41" t="s">
        <v>13</v>
      </c>
      <c r="B54" s="42" t="s">
        <v>183</v>
      </c>
      <c r="C54" s="43" t="s">
        <v>184</v>
      </c>
      <c r="D54" s="42" t="s">
        <v>185</v>
      </c>
      <c r="E54" s="51" t="s">
        <v>1071</v>
      </c>
      <c r="F54" s="44" t="s">
        <v>9</v>
      </c>
      <c r="G54" s="42" t="s">
        <v>186</v>
      </c>
      <c r="H54" s="45" t="s">
        <v>187</v>
      </c>
    </row>
    <row r="55" spans="1:8">
      <c r="A55" s="41" t="s">
        <v>13</v>
      </c>
      <c r="B55" s="42" t="s">
        <v>183</v>
      </c>
      <c r="C55" s="43" t="s">
        <v>188</v>
      </c>
      <c r="D55" s="42" t="s">
        <v>189</v>
      </c>
      <c r="E55" s="51" t="s">
        <v>1072</v>
      </c>
      <c r="F55" s="44" t="s">
        <v>9</v>
      </c>
      <c r="G55" s="42" t="s">
        <v>190</v>
      </c>
      <c r="H55" s="45" t="s">
        <v>187</v>
      </c>
    </row>
    <row r="56" spans="1:8">
      <c r="A56" s="41" t="s">
        <v>13</v>
      </c>
      <c r="B56" s="42" t="s">
        <v>183</v>
      </c>
      <c r="C56" s="43" t="s">
        <v>191</v>
      </c>
      <c r="D56" s="42" t="s">
        <v>192</v>
      </c>
      <c r="E56" s="51" t="s">
        <v>1073</v>
      </c>
      <c r="F56" s="44" t="s">
        <v>9</v>
      </c>
      <c r="G56" s="42" t="s">
        <v>193</v>
      </c>
      <c r="H56" s="45" t="s">
        <v>187</v>
      </c>
    </row>
    <row r="57" spans="1:8">
      <c r="A57" s="41" t="s">
        <v>13</v>
      </c>
      <c r="B57" s="42" t="s">
        <v>183</v>
      </c>
      <c r="C57" s="43" t="s">
        <v>194</v>
      </c>
      <c r="D57" s="42" t="s">
        <v>195</v>
      </c>
      <c r="E57" s="51" t="s">
        <v>1074</v>
      </c>
      <c r="F57" s="44" t="s">
        <v>10</v>
      </c>
      <c r="G57" s="42" t="s">
        <v>196</v>
      </c>
      <c r="H57" s="45" t="s">
        <v>187</v>
      </c>
    </row>
    <row r="58" spans="1:8">
      <c r="A58" s="41" t="s">
        <v>13</v>
      </c>
      <c r="B58" s="42" t="s">
        <v>183</v>
      </c>
      <c r="C58" s="43" t="s">
        <v>197</v>
      </c>
      <c r="D58" s="42" t="s">
        <v>198</v>
      </c>
      <c r="E58" s="51" t="s">
        <v>1075</v>
      </c>
      <c r="F58" s="44" t="s">
        <v>10</v>
      </c>
      <c r="G58" s="42" t="s">
        <v>199</v>
      </c>
      <c r="H58" s="45" t="s">
        <v>187</v>
      </c>
    </row>
    <row r="59" spans="1:8">
      <c r="A59" s="41" t="s">
        <v>13</v>
      </c>
      <c r="B59" s="42" t="s">
        <v>183</v>
      </c>
      <c r="C59" s="43" t="s">
        <v>200</v>
      </c>
      <c r="D59" s="42" t="s">
        <v>201</v>
      </c>
      <c r="E59" s="51" t="s">
        <v>1076</v>
      </c>
      <c r="F59" s="44" t="s">
        <v>9</v>
      </c>
      <c r="G59" s="42" t="s">
        <v>202</v>
      </c>
      <c r="H59" s="45" t="s">
        <v>187</v>
      </c>
    </row>
    <row r="60" spans="1:8">
      <c r="A60" s="41" t="s">
        <v>13</v>
      </c>
      <c r="B60" s="42" t="s">
        <v>183</v>
      </c>
      <c r="C60" s="43" t="s">
        <v>203</v>
      </c>
      <c r="D60" s="42" t="s">
        <v>204</v>
      </c>
      <c r="E60" s="51" t="s">
        <v>1077</v>
      </c>
      <c r="F60" s="44" t="s">
        <v>9</v>
      </c>
      <c r="G60" s="42" t="s">
        <v>205</v>
      </c>
      <c r="H60" s="45" t="s">
        <v>187</v>
      </c>
    </row>
    <row r="61" spans="1:8">
      <c r="A61" s="41" t="s">
        <v>13</v>
      </c>
      <c r="B61" s="42" t="s">
        <v>183</v>
      </c>
      <c r="C61" s="43" t="s">
        <v>206</v>
      </c>
      <c r="D61" s="42" t="s">
        <v>207</v>
      </c>
      <c r="E61" s="51" t="s">
        <v>1078</v>
      </c>
      <c r="F61" s="44" t="s">
        <v>9</v>
      </c>
      <c r="G61" s="42" t="s">
        <v>208</v>
      </c>
      <c r="H61" s="45" t="s">
        <v>187</v>
      </c>
    </row>
    <row r="62" spans="1:8">
      <c r="A62" s="41" t="s">
        <v>13</v>
      </c>
      <c r="B62" s="42" t="s">
        <v>209</v>
      </c>
      <c r="C62" s="43" t="s">
        <v>210</v>
      </c>
      <c r="D62" s="42" t="s">
        <v>211</v>
      </c>
      <c r="E62" s="51" t="s">
        <v>1079</v>
      </c>
      <c r="F62" s="44" t="s">
        <v>11</v>
      </c>
      <c r="G62" s="42" t="s">
        <v>212</v>
      </c>
      <c r="H62" s="45" t="s">
        <v>213</v>
      </c>
    </row>
    <row r="63" spans="1:8">
      <c r="A63" s="41" t="s">
        <v>13</v>
      </c>
      <c r="B63" s="42" t="s">
        <v>209</v>
      </c>
      <c r="C63" s="43" t="s">
        <v>214</v>
      </c>
      <c r="D63" s="42" t="s">
        <v>215</v>
      </c>
      <c r="E63" s="51" t="s">
        <v>1080</v>
      </c>
      <c r="F63" s="44" t="s">
        <v>11</v>
      </c>
      <c r="G63" s="42" t="s">
        <v>216</v>
      </c>
      <c r="H63" s="45" t="s">
        <v>213</v>
      </c>
    </row>
    <row r="64" spans="1:8">
      <c r="A64" s="41" t="s">
        <v>13</v>
      </c>
      <c r="B64" s="42" t="s">
        <v>217</v>
      </c>
      <c r="C64" s="43" t="s">
        <v>218</v>
      </c>
      <c r="D64" s="42" t="s">
        <v>219</v>
      </c>
      <c r="E64" s="51" t="s">
        <v>1081</v>
      </c>
      <c r="F64" s="44" t="s">
        <v>9</v>
      </c>
      <c r="G64" s="42" t="s">
        <v>220</v>
      </c>
      <c r="H64" s="45" t="s">
        <v>221</v>
      </c>
    </row>
    <row r="65" spans="1:8">
      <c r="A65" s="41" t="s">
        <v>13</v>
      </c>
      <c r="B65" s="42" t="s">
        <v>217</v>
      </c>
      <c r="C65" s="43" t="s">
        <v>222</v>
      </c>
      <c r="D65" s="42" t="s">
        <v>223</v>
      </c>
      <c r="E65" s="51" t="s">
        <v>1082</v>
      </c>
      <c r="F65" s="44" t="s">
        <v>9</v>
      </c>
      <c r="G65" s="42" t="s">
        <v>224</v>
      </c>
      <c r="H65" s="45" t="s">
        <v>221</v>
      </c>
    </row>
    <row r="66" spans="1:8">
      <c r="A66" s="41" t="s">
        <v>13</v>
      </c>
      <c r="B66" s="42" t="s">
        <v>217</v>
      </c>
      <c r="C66" s="43" t="s">
        <v>225</v>
      </c>
      <c r="D66" s="42" t="s">
        <v>226</v>
      </c>
      <c r="E66" s="51" t="s">
        <v>1083</v>
      </c>
      <c r="F66" s="44" t="s">
        <v>9</v>
      </c>
      <c r="G66" s="42" t="s">
        <v>227</v>
      </c>
      <c r="H66" s="45" t="s">
        <v>221</v>
      </c>
    </row>
    <row r="67" spans="1:8">
      <c r="A67" s="41" t="s">
        <v>13</v>
      </c>
      <c r="B67" s="42" t="s">
        <v>217</v>
      </c>
      <c r="C67" s="43" t="s">
        <v>228</v>
      </c>
      <c r="D67" s="42" t="s">
        <v>229</v>
      </c>
      <c r="E67" s="51" t="s">
        <v>1084</v>
      </c>
      <c r="F67" s="44" t="s">
        <v>10</v>
      </c>
      <c r="G67" s="42" t="s">
        <v>230</v>
      </c>
      <c r="H67" s="45" t="s">
        <v>221</v>
      </c>
    </row>
    <row r="68" spans="1:8">
      <c r="A68" s="41" t="s">
        <v>13</v>
      </c>
      <c r="B68" s="42" t="s">
        <v>231</v>
      </c>
      <c r="C68" s="43" t="s">
        <v>232</v>
      </c>
      <c r="D68" s="42" t="s">
        <v>233</v>
      </c>
      <c r="E68" s="51" t="s">
        <v>1085</v>
      </c>
      <c r="F68" s="44" t="s">
        <v>9</v>
      </c>
      <c r="G68" s="42" t="s">
        <v>234</v>
      </c>
      <c r="H68" s="45" t="s">
        <v>235</v>
      </c>
    </row>
    <row r="69" spans="1:8">
      <c r="A69" s="41" t="s">
        <v>13</v>
      </c>
      <c r="B69" s="42" t="s">
        <v>231</v>
      </c>
      <c r="C69" s="43" t="s">
        <v>236</v>
      </c>
      <c r="D69" s="42" t="s">
        <v>237</v>
      </c>
      <c r="E69" s="51" t="s">
        <v>1086</v>
      </c>
      <c r="F69" s="44" t="s">
        <v>10</v>
      </c>
      <c r="G69" s="42" t="s">
        <v>238</v>
      </c>
      <c r="H69" s="45" t="s">
        <v>235</v>
      </c>
    </row>
    <row r="70" spans="1:8">
      <c r="A70" s="41" t="s">
        <v>13</v>
      </c>
      <c r="B70" s="42" t="s">
        <v>231</v>
      </c>
      <c r="C70" s="43" t="s">
        <v>239</v>
      </c>
      <c r="D70" s="42" t="s">
        <v>240</v>
      </c>
      <c r="E70" s="51" t="s">
        <v>1087</v>
      </c>
      <c r="F70" s="44" t="s">
        <v>10</v>
      </c>
      <c r="G70" s="42" t="s">
        <v>241</v>
      </c>
      <c r="H70" s="45" t="s">
        <v>235</v>
      </c>
    </row>
    <row r="71" spans="1:8">
      <c r="A71" s="41" t="s">
        <v>13</v>
      </c>
      <c r="B71" s="42" t="s">
        <v>242</v>
      </c>
      <c r="C71" s="43" t="s">
        <v>243</v>
      </c>
      <c r="D71" s="42" t="s">
        <v>244</v>
      </c>
      <c r="E71" s="51" t="s">
        <v>1088</v>
      </c>
      <c r="F71" s="44" t="s">
        <v>10</v>
      </c>
      <c r="G71" s="42" t="s">
        <v>245</v>
      </c>
      <c r="H71" s="45" t="s">
        <v>246</v>
      </c>
    </row>
    <row r="72" spans="1:8">
      <c r="A72" s="41" t="s">
        <v>13</v>
      </c>
      <c r="B72" s="42" t="s">
        <v>242</v>
      </c>
      <c r="C72" s="43" t="s">
        <v>247</v>
      </c>
      <c r="D72" s="42" t="s">
        <v>248</v>
      </c>
      <c r="E72" s="51" t="s">
        <v>1089</v>
      </c>
      <c r="F72" s="44" t="s">
        <v>10</v>
      </c>
      <c r="G72" s="42" t="s">
        <v>249</v>
      </c>
      <c r="H72" s="45" t="s">
        <v>246</v>
      </c>
    </row>
    <row r="73" spans="1:8">
      <c r="A73" s="41" t="s">
        <v>13</v>
      </c>
      <c r="B73" s="42" t="s">
        <v>250</v>
      </c>
      <c r="C73" s="43" t="s">
        <v>251</v>
      </c>
      <c r="D73" s="42" t="s">
        <v>252</v>
      </c>
      <c r="E73" s="51" t="s">
        <v>1090</v>
      </c>
      <c r="F73" s="44" t="s">
        <v>11</v>
      </c>
      <c r="G73" s="42" t="s">
        <v>253</v>
      </c>
      <c r="H73" s="45" t="s">
        <v>254</v>
      </c>
    </row>
    <row r="74" spans="1:8">
      <c r="A74" s="41" t="s">
        <v>13</v>
      </c>
      <c r="B74" s="42" t="s">
        <v>250</v>
      </c>
      <c r="C74" s="43" t="s">
        <v>255</v>
      </c>
      <c r="D74" s="42" t="s">
        <v>256</v>
      </c>
      <c r="E74" s="51" t="s">
        <v>1091</v>
      </c>
      <c r="F74" s="44" t="s">
        <v>10</v>
      </c>
      <c r="G74" s="42" t="s">
        <v>257</v>
      </c>
      <c r="H74" s="45" t="s">
        <v>254</v>
      </c>
    </row>
    <row r="75" spans="1:8">
      <c r="A75" s="41" t="s">
        <v>13</v>
      </c>
      <c r="B75" s="42" t="s">
        <v>250</v>
      </c>
      <c r="C75" s="43" t="s">
        <v>258</v>
      </c>
      <c r="D75" s="42" t="s">
        <v>259</v>
      </c>
      <c r="E75" s="51" t="s">
        <v>1092</v>
      </c>
      <c r="F75" s="44" t="s">
        <v>9</v>
      </c>
      <c r="G75" s="42" t="s">
        <v>260</v>
      </c>
      <c r="H75" s="45" t="s">
        <v>254</v>
      </c>
    </row>
    <row r="76" spans="1:8">
      <c r="A76" s="41" t="s">
        <v>13</v>
      </c>
      <c r="B76" s="42" t="s">
        <v>261</v>
      </c>
      <c r="C76" s="43" t="s">
        <v>262</v>
      </c>
      <c r="D76" s="42" t="s">
        <v>263</v>
      </c>
      <c r="E76" s="51" t="s">
        <v>1093</v>
      </c>
      <c r="F76" s="44" t="s">
        <v>9</v>
      </c>
      <c r="G76" s="42" t="s">
        <v>264</v>
      </c>
      <c r="H76" s="45" t="s">
        <v>265</v>
      </c>
    </row>
    <row r="77" spans="1:8">
      <c r="A77" s="41" t="s">
        <v>13</v>
      </c>
      <c r="B77" s="42" t="s">
        <v>261</v>
      </c>
      <c r="C77" s="43" t="s">
        <v>266</v>
      </c>
      <c r="D77" s="42" t="s">
        <v>267</v>
      </c>
      <c r="E77" s="51" t="s">
        <v>1094</v>
      </c>
      <c r="F77" s="44" t="s">
        <v>10</v>
      </c>
      <c r="G77" s="42" t="s">
        <v>268</v>
      </c>
      <c r="H77" s="45" t="s">
        <v>265</v>
      </c>
    </row>
    <row r="78" spans="1:8">
      <c r="A78" s="41" t="s">
        <v>13</v>
      </c>
      <c r="B78" s="42" t="s">
        <v>261</v>
      </c>
      <c r="C78" s="43" t="s">
        <v>269</v>
      </c>
      <c r="D78" s="42" t="s">
        <v>270</v>
      </c>
      <c r="E78" s="51" t="s">
        <v>1095</v>
      </c>
      <c r="F78" s="44" t="s">
        <v>9</v>
      </c>
      <c r="G78" s="42" t="s">
        <v>271</v>
      </c>
      <c r="H78" s="45" t="s">
        <v>265</v>
      </c>
    </row>
    <row r="79" spans="1:8">
      <c r="A79" s="41" t="s">
        <v>13</v>
      </c>
      <c r="B79" s="42" t="s">
        <v>261</v>
      </c>
      <c r="C79" s="43" t="s">
        <v>272</v>
      </c>
      <c r="D79" s="42" t="s">
        <v>273</v>
      </c>
      <c r="E79" s="51" t="s">
        <v>1096</v>
      </c>
      <c r="F79" s="44" t="s">
        <v>9</v>
      </c>
      <c r="G79" s="42" t="s">
        <v>274</v>
      </c>
      <c r="H79" s="45" t="s">
        <v>265</v>
      </c>
    </row>
    <row r="80" spans="1:8">
      <c r="A80" s="41" t="s">
        <v>13</v>
      </c>
      <c r="B80" s="42" t="s">
        <v>261</v>
      </c>
      <c r="C80" s="43" t="s">
        <v>275</v>
      </c>
      <c r="D80" s="42" t="s">
        <v>276</v>
      </c>
      <c r="E80" s="51" t="s">
        <v>1097</v>
      </c>
      <c r="F80" s="44" t="s">
        <v>10</v>
      </c>
      <c r="G80" s="42" t="s">
        <v>277</v>
      </c>
      <c r="H80" s="45" t="s">
        <v>265</v>
      </c>
    </row>
    <row r="81" spans="1:8">
      <c r="A81" s="41" t="s">
        <v>13</v>
      </c>
      <c r="B81" s="42" t="s">
        <v>261</v>
      </c>
      <c r="C81" s="43" t="s">
        <v>278</v>
      </c>
      <c r="D81" s="42" t="s">
        <v>279</v>
      </c>
      <c r="E81" s="51" t="s">
        <v>1098</v>
      </c>
      <c r="F81" s="44" t="s">
        <v>9</v>
      </c>
      <c r="G81" s="42" t="s">
        <v>280</v>
      </c>
      <c r="H81" s="45" t="s">
        <v>265</v>
      </c>
    </row>
    <row r="82" spans="1:8">
      <c r="A82" s="41" t="s">
        <v>13</v>
      </c>
      <c r="B82" s="42" t="s">
        <v>281</v>
      </c>
      <c r="C82" s="43" t="s">
        <v>282</v>
      </c>
      <c r="D82" s="42" t="s">
        <v>283</v>
      </c>
      <c r="E82" s="51" t="s">
        <v>1099</v>
      </c>
      <c r="F82" s="44" t="s">
        <v>10</v>
      </c>
      <c r="G82" s="42" t="s">
        <v>284</v>
      </c>
      <c r="H82" s="45" t="s">
        <v>285</v>
      </c>
    </row>
    <row r="83" spans="1:8">
      <c r="A83" s="41" t="s">
        <v>13</v>
      </c>
      <c r="B83" s="42" t="s">
        <v>281</v>
      </c>
      <c r="C83" s="43" t="s">
        <v>286</v>
      </c>
      <c r="D83" s="42" t="s">
        <v>287</v>
      </c>
      <c r="E83" s="51" t="s">
        <v>1100</v>
      </c>
      <c r="F83" s="44" t="s">
        <v>10</v>
      </c>
      <c r="G83" s="42" t="s">
        <v>288</v>
      </c>
      <c r="H83" s="45" t="s">
        <v>285</v>
      </c>
    </row>
    <row r="84" spans="1:8">
      <c r="A84" s="41" t="s">
        <v>13</v>
      </c>
      <c r="B84" s="42" t="s">
        <v>289</v>
      </c>
      <c r="C84" s="43" t="s">
        <v>290</v>
      </c>
      <c r="D84" s="42" t="s">
        <v>291</v>
      </c>
      <c r="E84" s="51" t="s">
        <v>1101</v>
      </c>
      <c r="F84" s="44" t="s">
        <v>11</v>
      </c>
      <c r="G84" s="42" t="s">
        <v>292</v>
      </c>
      <c r="H84" s="45" t="s">
        <v>293</v>
      </c>
    </row>
    <row r="85" spans="1:8">
      <c r="A85" s="41" t="s">
        <v>13</v>
      </c>
      <c r="B85" s="42" t="s">
        <v>289</v>
      </c>
      <c r="C85" s="43" t="s">
        <v>294</v>
      </c>
      <c r="D85" s="42" t="s">
        <v>295</v>
      </c>
      <c r="E85" s="51" t="s">
        <v>1102</v>
      </c>
      <c r="F85" s="44" t="s">
        <v>10</v>
      </c>
      <c r="G85" s="42" t="s">
        <v>296</v>
      </c>
      <c r="H85" s="45" t="s">
        <v>293</v>
      </c>
    </row>
    <row r="86" spans="1:8">
      <c r="A86" s="41" t="s">
        <v>13</v>
      </c>
      <c r="B86" s="42" t="s">
        <v>289</v>
      </c>
      <c r="C86" s="43" t="s">
        <v>297</v>
      </c>
      <c r="D86" s="42" t="s">
        <v>298</v>
      </c>
      <c r="E86" s="51" t="s">
        <v>1103</v>
      </c>
      <c r="F86" s="44" t="s">
        <v>11</v>
      </c>
      <c r="G86" s="42" t="s">
        <v>299</v>
      </c>
      <c r="H86" s="45" t="s">
        <v>293</v>
      </c>
    </row>
    <row r="87" spans="1:8">
      <c r="A87" s="41" t="s">
        <v>13</v>
      </c>
      <c r="B87" s="42" t="s">
        <v>289</v>
      </c>
      <c r="C87" s="43" t="s">
        <v>300</v>
      </c>
      <c r="D87" s="42" t="s">
        <v>301</v>
      </c>
      <c r="E87" s="51" t="s">
        <v>1104</v>
      </c>
      <c r="F87" s="44" t="s">
        <v>10</v>
      </c>
      <c r="G87" s="42" t="s">
        <v>302</v>
      </c>
      <c r="H87" s="45" t="s">
        <v>293</v>
      </c>
    </row>
    <row r="88" spans="1:8">
      <c r="A88" s="41" t="s">
        <v>13</v>
      </c>
      <c r="B88" s="42" t="s">
        <v>303</v>
      </c>
      <c r="C88" s="43" t="s">
        <v>304</v>
      </c>
      <c r="D88" s="42" t="s">
        <v>305</v>
      </c>
      <c r="E88" s="51" t="s">
        <v>1105</v>
      </c>
      <c r="F88" s="44" t="s">
        <v>9</v>
      </c>
      <c r="G88" s="42" t="s">
        <v>159</v>
      </c>
      <c r="H88" s="45" t="s">
        <v>306</v>
      </c>
    </row>
    <row r="89" spans="1:8">
      <c r="A89" s="41" t="s">
        <v>13</v>
      </c>
      <c r="B89" s="42" t="s">
        <v>303</v>
      </c>
      <c r="C89" s="43" t="s">
        <v>307</v>
      </c>
      <c r="D89" s="42" t="s">
        <v>308</v>
      </c>
      <c r="E89" s="51" t="s">
        <v>1106</v>
      </c>
      <c r="F89" s="44" t="s">
        <v>9</v>
      </c>
      <c r="G89" s="42" t="s">
        <v>159</v>
      </c>
      <c r="H89" s="45" t="s">
        <v>306</v>
      </c>
    </row>
    <row r="90" spans="1:8">
      <c r="A90" s="41" t="s">
        <v>13</v>
      </c>
      <c r="B90" s="42" t="s">
        <v>303</v>
      </c>
      <c r="C90" s="43" t="s">
        <v>309</v>
      </c>
      <c r="D90" s="42" t="s">
        <v>310</v>
      </c>
      <c r="E90" s="51" t="s">
        <v>1107</v>
      </c>
      <c r="F90" s="44" t="s">
        <v>9</v>
      </c>
      <c r="G90" s="42" t="s">
        <v>311</v>
      </c>
      <c r="H90" s="45" t="s">
        <v>306</v>
      </c>
    </row>
    <row r="91" spans="1:8">
      <c r="A91" s="41" t="s">
        <v>13</v>
      </c>
      <c r="B91" s="42" t="s">
        <v>303</v>
      </c>
      <c r="C91" s="43" t="s">
        <v>312</v>
      </c>
      <c r="D91" s="42" t="s">
        <v>313</v>
      </c>
      <c r="E91" s="51" t="s">
        <v>1108</v>
      </c>
      <c r="F91" s="44" t="s">
        <v>10</v>
      </c>
      <c r="G91" s="42" t="s">
        <v>168</v>
      </c>
      <c r="H91" s="45" t="s">
        <v>306</v>
      </c>
    </row>
    <row r="92" spans="1:8">
      <c r="A92" s="41" t="s">
        <v>13</v>
      </c>
      <c r="B92" s="42" t="s">
        <v>303</v>
      </c>
      <c r="C92" s="43" t="s">
        <v>314</v>
      </c>
      <c r="D92" s="42" t="s">
        <v>315</v>
      </c>
      <c r="E92" s="51" t="s">
        <v>1109</v>
      </c>
      <c r="F92" s="44" t="s">
        <v>9</v>
      </c>
      <c r="G92" s="42" t="s">
        <v>316</v>
      </c>
      <c r="H92" s="45" t="s">
        <v>306</v>
      </c>
    </row>
    <row r="93" spans="1:8">
      <c r="A93" s="41" t="s">
        <v>13</v>
      </c>
      <c r="B93" s="42" t="s">
        <v>317</v>
      </c>
      <c r="C93" s="43" t="s">
        <v>318</v>
      </c>
      <c r="D93" s="42" t="s">
        <v>319</v>
      </c>
      <c r="E93" s="51" t="s">
        <v>1110</v>
      </c>
      <c r="F93" s="44" t="s">
        <v>10</v>
      </c>
      <c r="G93" s="42" t="s">
        <v>320</v>
      </c>
      <c r="H93" s="45" t="s">
        <v>321</v>
      </c>
    </row>
    <row r="94" spans="1:8">
      <c r="A94" s="41" t="s">
        <v>13</v>
      </c>
      <c r="B94" s="42" t="s">
        <v>317</v>
      </c>
      <c r="C94" s="43" t="s">
        <v>322</v>
      </c>
      <c r="D94" s="42" t="s">
        <v>323</v>
      </c>
      <c r="E94" s="51" t="s">
        <v>1111</v>
      </c>
      <c r="F94" s="44" t="s">
        <v>11</v>
      </c>
      <c r="G94" s="42" t="s">
        <v>324</v>
      </c>
      <c r="H94" s="45" t="s">
        <v>321</v>
      </c>
    </row>
    <row r="95" spans="1:8">
      <c r="A95" s="41" t="s">
        <v>13</v>
      </c>
      <c r="B95" s="42" t="s">
        <v>325</v>
      </c>
      <c r="C95" s="43" t="s">
        <v>326</v>
      </c>
      <c r="D95" s="42" t="s">
        <v>327</v>
      </c>
      <c r="E95" s="51" t="s">
        <v>1112</v>
      </c>
      <c r="F95" s="44" t="s">
        <v>11</v>
      </c>
      <c r="G95" s="42" t="s">
        <v>328</v>
      </c>
      <c r="H95" s="45" t="s">
        <v>329</v>
      </c>
    </row>
    <row r="96" spans="1:8">
      <c r="A96" s="41" t="s">
        <v>13</v>
      </c>
      <c r="B96" s="42" t="s">
        <v>325</v>
      </c>
      <c r="C96" s="43" t="s">
        <v>330</v>
      </c>
      <c r="D96" s="42" t="s">
        <v>331</v>
      </c>
      <c r="E96" s="51" t="s">
        <v>1113</v>
      </c>
      <c r="F96" s="44" t="s">
        <v>10</v>
      </c>
      <c r="G96" s="42" t="s">
        <v>332</v>
      </c>
      <c r="H96" s="45" t="s">
        <v>329</v>
      </c>
    </row>
    <row r="97" spans="1:8">
      <c r="A97" s="41" t="s">
        <v>13</v>
      </c>
      <c r="B97" s="42" t="s">
        <v>325</v>
      </c>
      <c r="C97" s="43" t="s">
        <v>333</v>
      </c>
      <c r="D97" s="42" t="s">
        <v>334</v>
      </c>
      <c r="E97" s="51" t="s">
        <v>1114</v>
      </c>
      <c r="F97" s="44" t="s">
        <v>9</v>
      </c>
      <c r="G97" s="42" t="s">
        <v>335</v>
      </c>
      <c r="H97" s="45" t="s">
        <v>329</v>
      </c>
    </row>
    <row r="98" spans="1:8">
      <c r="A98" s="41" t="s">
        <v>14</v>
      </c>
      <c r="B98" s="42" t="s">
        <v>336</v>
      </c>
      <c r="C98" s="43" t="s">
        <v>337</v>
      </c>
      <c r="D98" s="42" t="s">
        <v>338</v>
      </c>
      <c r="E98" s="51" t="s">
        <v>1115</v>
      </c>
      <c r="F98" s="44" t="s">
        <v>11</v>
      </c>
      <c r="G98" s="42" t="s">
        <v>339</v>
      </c>
      <c r="H98" s="45" t="s">
        <v>340</v>
      </c>
    </row>
    <row r="99" spans="1:8">
      <c r="A99" s="41" t="s">
        <v>14</v>
      </c>
      <c r="B99" s="42" t="s">
        <v>336</v>
      </c>
      <c r="C99" s="43" t="s">
        <v>341</v>
      </c>
      <c r="D99" s="42" t="s">
        <v>342</v>
      </c>
      <c r="E99" s="51" t="s">
        <v>1116</v>
      </c>
      <c r="F99" s="44" t="s">
        <v>11</v>
      </c>
      <c r="G99" s="42" t="s">
        <v>343</v>
      </c>
      <c r="H99" s="45" t="s">
        <v>340</v>
      </c>
    </row>
    <row r="100" spans="1:8">
      <c r="A100" s="41" t="s">
        <v>14</v>
      </c>
      <c r="B100" s="42" t="s">
        <v>336</v>
      </c>
      <c r="C100" s="43" t="s">
        <v>344</v>
      </c>
      <c r="D100" s="42" t="s">
        <v>345</v>
      </c>
      <c r="E100" s="51" t="s">
        <v>1117</v>
      </c>
      <c r="F100" s="44" t="s">
        <v>10</v>
      </c>
      <c r="G100" s="42" t="s">
        <v>346</v>
      </c>
      <c r="H100" s="45" t="s">
        <v>340</v>
      </c>
    </row>
    <row r="101" spans="1:8">
      <c r="A101" s="41" t="s">
        <v>14</v>
      </c>
      <c r="B101" s="42" t="s">
        <v>336</v>
      </c>
      <c r="C101" s="43" t="s">
        <v>347</v>
      </c>
      <c r="D101" s="42" t="s">
        <v>348</v>
      </c>
      <c r="E101" s="51" t="s">
        <v>1118</v>
      </c>
      <c r="F101" s="44" t="s">
        <v>9</v>
      </c>
      <c r="G101" s="42" t="s">
        <v>349</v>
      </c>
      <c r="H101" s="45" t="s">
        <v>340</v>
      </c>
    </row>
    <row r="102" spans="1:8">
      <c r="A102" s="41" t="s">
        <v>14</v>
      </c>
      <c r="B102" s="42" t="s">
        <v>336</v>
      </c>
      <c r="C102" s="43" t="s">
        <v>350</v>
      </c>
      <c r="D102" s="42" t="s">
        <v>351</v>
      </c>
      <c r="E102" s="51" t="s">
        <v>1119</v>
      </c>
      <c r="F102" s="44" t="s">
        <v>10</v>
      </c>
      <c r="G102" s="42" t="s">
        <v>352</v>
      </c>
      <c r="H102" s="45" t="s">
        <v>340</v>
      </c>
    </row>
    <row r="103" spans="1:8">
      <c r="A103" s="41" t="s">
        <v>14</v>
      </c>
      <c r="B103" s="42" t="s">
        <v>336</v>
      </c>
      <c r="C103" s="43" t="s">
        <v>353</v>
      </c>
      <c r="D103" s="42" t="s">
        <v>354</v>
      </c>
      <c r="E103" s="51" t="s">
        <v>1120</v>
      </c>
      <c r="F103" s="44" t="s">
        <v>10</v>
      </c>
      <c r="G103" s="42" t="s">
        <v>355</v>
      </c>
      <c r="H103" s="45" t="s">
        <v>340</v>
      </c>
    </row>
    <row r="104" spans="1:8">
      <c r="A104" s="41" t="s">
        <v>14</v>
      </c>
      <c r="B104" s="42" t="s">
        <v>356</v>
      </c>
      <c r="C104" s="43" t="s">
        <v>357</v>
      </c>
      <c r="D104" s="42" t="s">
        <v>358</v>
      </c>
      <c r="E104" s="51" t="s">
        <v>1121</v>
      </c>
      <c r="F104" s="44" t="s">
        <v>10</v>
      </c>
      <c r="G104" s="42" t="s">
        <v>359</v>
      </c>
      <c r="H104" s="45" t="s">
        <v>360</v>
      </c>
    </row>
    <row r="105" spans="1:8">
      <c r="A105" s="41" t="s">
        <v>14</v>
      </c>
      <c r="B105" s="42" t="s">
        <v>356</v>
      </c>
      <c r="C105" s="43" t="s">
        <v>361</v>
      </c>
      <c r="D105" s="42" t="s">
        <v>362</v>
      </c>
      <c r="E105" s="51" t="s">
        <v>1122</v>
      </c>
      <c r="F105" s="44" t="s">
        <v>9</v>
      </c>
      <c r="G105" s="42" t="s">
        <v>363</v>
      </c>
      <c r="H105" s="45" t="s">
        <v>360</v>
      </c>
    </row>
    <row r="106" spans="1:8">
      <c r="A106" s="41" t="s">
        <v>14</v>
      </c>
      <c r="B106" s="42" t="s">
        <v>356</v>
      </c>
      <c r="C106" s="43" t="s">
        <v>364</v>
      </c>
      <c r="D106" s="42" t="s">
        <v>365</v>
      </c>
      <c r="E106" s="51" t="s">
        <v>1123</v>
      </c>
      <c r="F106" s="44" t="s">
        <v>9</v>
      </c>
      <c r="G106" s="42" t="s">
        <v>366</v>
      </c>
      <c r="H106" s="45" t="s">
        <v>360</v>
      </c>
    </row>
    <row r="107" spans="1:8">
      <c r="A107" s="41" t="s">
        <v>14</v>
      </c>
      <c r="B107" s="42" t="s">
        <v>356</v>
      </c>
      <c r="C107" s="43" t="s">
        <v>367</v>
      </c>
      <c r="D107" s="42" t="s">
        <v>368</v>
      </c>
      <c r="E107" s="51" t="s">
        <v>1124</v>
      </c>
      <c r="F107" s="44" t="s">
        <v>9</v>
      </c>
      <c r="G107" s="42" t="s">
        <v>369</v>
      </c>
      <c r="H107" s="45" t="s">
        <v>360</v>
      </c>
    </row>
    <row r="108" spans="1:8">
      <c r="A108" s="41" t="s">
        <v>14</v>
      </c>
      <c r="B108" s="42" t="s">
        <v>356</v>
      </c>
      <c r="C108" s="43" t="s">
        <v>370</v>
      </c>
      <c r="D108" s="42" t="s">
        <v>371</v>
      </c>
      <c r="E108" s="51" t="s">
        <v>1125</v>
      </c>
      <c r="F108" s="44" t="s">
        <v>10</v>
      </c>
      <c r="G108" s="42" t="s">
        <v>372</v>
      </c>
      <c r="H108" s="45" t="s">
        <v>360</v>
      </c>
    </row>
    <row r="109" spans="1:8">
      <c r="A109" s="41" t="s">
        <v>14</v>
      </c>
      <c r="B109" s="42" t="s">
        <v>373</v>
      </c>
      <c r="C109" s="43" t="s">
        <v>374</v>
      </c>
      <c r="D109" s="42" t="s">
        <v>375</v>
      </c>
      <c r="E109" s="51" t="s">
        <v>1126</v>
      </c>
      <c r="F109" s="44" t="s">
        <v>11</v>
      </c>
      <c r="G109" s="42" t="s">
        <v>376</v>
      </c>
      <c r="H109" s="45" t="s">
        <v>377</v>
      </c>
    </row>
    <row r="110" spans="1:8">
      <c r="A110" s="41" t="s">
        <v>14</v>
      </c>
      <c r="B110" s="42" t="s">
        <v>373</v>
      </c>
      <c r="C110" s="43" t="s">
        <v>378</v>
      </c>
      <c r="D110" s="42" t="s">
        <v>379</v>
      </c>
      <c r="E110" s="51" t="s">
        <v>1127</v>
      </c>
      <c r="F110" s="44" t="s">
        <v>11</v>
      </c>
      <c r="G110" s="42" t="s">
        <v>380</v>
      </c>
      <c r="H110" s="45" t="s">
        <v>377</v>
      </c>
    </row>
    <row r="111" spans="1:8">
      <c r="A111" s="41" t="s">
        <v>14</v>
      </c>
      <c r="B111" s="42" t="s">
        <v>373</v>
      </c>
      <c r="C111" s="43" t="s">
        <v>381</v>
      </c>
      <c r="D111" s="42" t="s">
        <v>382</v>
      </c>
      <c r="E111" s="51" t="s">
        <v>1128</v>
      </c>
      <c r="F111" s="44" t="s">
        <v>10</v>
      </c>
      <c r="G111" s="42" t="s">
        <v>383</v>
      </c>
      <c r="H111" s="45" t="s">
        <v>377</v>
      </c>
    </row>
    <row r="112" spans="1:8">
      <c r="A112" s="41" t="s">
        <v>14</v>
      </c>
      <c r="B112" s="42" t="s">
        <v>384</v>
      </c>
      <c r="C112" s="43" t="s">
        <v>385</v>
      </c>
      <c r="D112" s="42" t="s">
        <v>386</v>
      </c>
      <c r="E112" s="51" t="s">
        <v>1129</v>
      </c>
      <c r="F112" s="44" t="s">
        <v>11</v>
      </c>
      <c r="G112" s="42" t="s">
        <v>387</v>
      </c>
      <c r="H112" s="45" t="s">
        <v>388</v>
      </c>
    </row>
    <row r="113" spans="1:8">
      <c r="A113" s="41" t="s">
        <v>14</v>
      </c>
      <c r="B113" s="42" t="s">
        <v>384</v>
      </c>
      <c r="C113" s="43" t="s">
        <v>389</v>
      </c>
      <c r="D113" s="42" t="s">
        <v>390</v>
      </c>
      <c r="E113" s="51" t="s">
        <v>1130</v>
      </c>
      <c r="F113" s="44" t="s">
        <v>11</v>
      </c>
      <c r="G113" s="42" t="s">
        <v>391</v>
      </c>
      <c r="H113" s="45" t="s">
        <v>388</v>
      </c>
    </row>
    <row r="114" spans="1:8">
      <c r="A114" s="41" t="s">
        <v>14</v>
      </c>
      <c r="B114" s="42" t="s">
        <v>384</v>
      </c>
      <c r="C114" s="43" t="s">
        <v>392</v>
      </c>
      <c r="D114" s="42" t="s">
        <v>393</v>
      </c>
      <c r="E114" s="51" t="s">
        <v>1131</v>
      </c>
      <c r="F114" s="44" t="s">
        <v>10</v>
      </c>
      <c r="G114" s="42" t="s">
        <v>394</v>
      </c>
      <c r="H114" s="45" t="s">
        <v>388</v>
      </c>
    </row>
    <row r="115" spans="1:8">
      <c r="A115" s="41" t="s">
        <v>14</v>
      </c>
      <c r="B115" s="42" t="s">
        <v>384</v>
      </c>
      <c r="C115" s="43" t="s">
        <v>395</v>
      </c>
      <c r="D115" s="42" t="s">
        <v>396</v>
      </c>
      <c r="E115" s="51" t="s">
        <v>1132</v>
      </c>
      <c r="F115" s="44" t="s">
        <v>10</v>
      </c>
      <c r="G115" s="42" t="s">
        <v>397</v>
      </c>
      <c r="H115" s="45" t="s">
        <v>388</v>
      </c>
    </row>
    <row r="116" spans="1:8">
      <c r="A116" s="41" t="s">
        <v>14</v>
      </c>
      <c r="B116" s="42" t="s">
        <v>384</v>
      </c>
      <c r="C116" s="43" t="s">
        <v>398</v>
      </c>
      <c r="D116" s="42" t="s">
        <v>399</v>
      </c>
      <c r="E116" s="51" t="s">
        <v>1133</v>
      </c>
      <c r="F116" s="44" t="s">
        <v>10</v>
      </c>
      <c r="G116" s="42" t="s">
        <v>400</v>
      </c>
      <c r="H116" s="45" t="s">
        <v>388</v>
      </c>
    </row>
    <row r="117" spans="1:8">
      <c r="A117" s="41" t="s">
        <v>14</v>
      </c>
      <c r="B117" s="42" t="s">
        <v>384</v>
      </c>
      <c r="C117" s="43" t="s">
        <v>401</v>
      </c>
      <c r="D117" s="42" t="s">
        <v>402</v>
      </c>
      <c r="E117" s="51" t="s">
        <v>1134</v>
      </c>
      <c r="F117" s="44" t="s">
        <v>11</v>
      </c>
      <c r="G117" s="42" t="s">
        <v>403</v>
      </c>
      <c r="H117" s="45" t="s">
        <v>388</v>
      </c>
    </row>
    <row r="118" spans="1:8">
      <c r="A118" s="41" t="s">
        <v>14</v>
      </c>
      <c r="B118" s="42" t="s">
        <v>384</v>
      </c>
      <c r="C118" s="43" t="s">
        <v>404</v>
      </c>
      <c r="D118" s="42" t="s">
        <v>405</v>
      </c>
      <c r="E118" s="51" t="s">
        <v>1135</v>
      </c>
      <c r="F118" s="44" t="s">
        <v>10</v>
      </c>
      <c r="G118" s="42" t="s">
        <v>406</v>
      </c>
      <c r="H118" s="45" t="s">
        <v>388</v>
      </c>
    </row>
    <row r="119" spans="1:8">
      <c r="A119" s="41" t="s">
        <v>14</v>
      </c>
      <c r="B119" s="42" t="s">
        <v>407</v>
      </c>
      <c r="C119" s="43" t="s">
        <v>408</v>
      </c>
      <c r="D119" s="42" t="s">
        <v>409</v>
      </c>
      <c r="E119" s="51" t="s">
        <v>1136</v>
      </c>
      <c r="F119" s="44" t="s">
        <v>10</v>
      </c>
      <c r="G119" s="42" t="s">
        <v>410</v>
      </c>
      <c r="H119" s="45" t="s">
        <v>411</v>
      </c>
    </row>
    <row r="120" spans="1:8">
      <c r="A120" s="41" t="s">
        <v>14</v>
      </c>
      <c r="B120" s="42" t="s">
        <v>407</v>
      </c>
      <c r="C120" s="43" t="s">
        <v>412</v>
      </c>
      <c r="D120" s="42" t="s">
        <v>413</v>
      </c>
      <c r="E120" s="51" t="s">
        <v>1137</v>
      </c>
      <c r="F120" s="44" t="s">
        <v>9</v>
      </c>
      <c r="G120" s="42" t="s">
        <v>414</v>
      </c>
      <c r="H120" s="45" t="s">
        <v>411</v>
      </c>
    </row>
    <row r="121" spans="1:8">
      <c r="A121" s="41" t="s">
        <v>14</v>
      </c>
      <c r="B121" s="42" t="s">
        <v>407</v>
      </c>
      <c r="C121" s="43" t="s">
        <v>415</v>
      </c>
      <c r="D121" s="42" t="s">
        <v>416</v>
      </c>
      <c r="E121" s="51" t="s">
        <v>1138</v>
      </c>
      <c r="F121" s="44" t="s">
        <v>9</v>
      </c>
      <c r="G121" s="42" t="s">
        <v>417</v>
      </c>
      <c r="H121" s="45" t="s">
        <v>411</v>
      </c>
    </row>
    <row r="122" spans="1:8">
      <c r="A122" s="41" t="s">
        <v>14</v>
      </c>
      <c r="B122" s="42" t="s">
        <v>407</v>
      </c>
      <c r="C122" s="43" t="s">
        <v>418</v>
      </c>
      <c r="D122" s="42" t="s">
        <v>419</v>
      </c>
      <c r="E122" s="51" t="s">
        <v>1139</v>
      </c>
      <c r="F122" s="44" t="s">
        <v>9</v>
      </c>
      <c r="G122" s="42" t="s">
        <v>420</v>
      </c>
      <c r="H122" s="45" t="s">
        <v>411</v>
      </c>
    </row>
    <row r="123" spans="1:8">
      <c r="A123" s="41" t="s">
        <v>14</v>
      </c>
      <c r="B123" s="42" t="s">
        <v>407</v>
      </c>
      <c r="C123" s="43" t="s">
        <v>421</v>
      </c>
      <c r="D123" s="42" t="s">
        <v>422</v>
      </c>
      <c r="E123" s="51" t="s">
        <v>1140</v>
      </c>
      <c r="F123" s="44" t="s">
        <v>9</v>
      </c>
      <c r="G123" s="42" t="s">
        <v>423</v>
      </c>
      <c r="H123" s="45" t="s">
        <v>411</v>
      </c>
    </row>
    <row r="124" spans="1:8">
      <c r="A124" s="41" t="s">
        <v>14</v>
      </c>
      <c r="B124" s="42" t="s">
        <v>424</v>
      </c>
      <c r="C124" s="43" t="s">
        <v>425</v>
      </c>
      <c r="D124" s="42" t="s">
        <v>426</v>
      </c>
      <c r="E124" s="51" t="s">
        <v>1141</v>
      </c>
      <c r="F124" s="44" t="s">
        <v>10</v>
      </c>
      <c r="G124" s="42" t="s">
        <v>427</v>
      </c>
      <c r="H124" s="45" t="s">
        <v>428</v>
      </c>
    </row>
    <row r="125" spans="1:8">
      <c r="A125" s="41" t="s">
        <v>14</v>
      </c>
      <c r="B125" s="42" t="s">
        <v>424</v>
      </c>
      <c r="C125" s="43" t="s">
        <v>429</v>
      </c>
      <c r="D125" s="42" t="s">
        <v>430</v>
      </c>
      <c r="E125" s="51" t="s">
        <v>1142</v>
      </c>
      <c r="F125" s="44" t="s">
        <v>10</v>
      </c>
      <c r="G125" s="42" t="s">
        <v>431</v>
      </c>
      <c r="H125" s="45" t="s">
        <v>428</v>
      </c>
    </row>
    <row r="126" spans="1:8">
      <c r="A126" s="41" t="s">
        <v>14</v>
      </c>
      <c r="B126" s="42" t="s">
        <v>424</v>
      </c>
      <c r="C126" s="43" t="s">
        <v>432</v>
      </c>
      <c r="D126" s="42" t="s">
        <v>433</v>
      </c>
      <c r="E126" s="51" t="s">
        <v>1143</v>
      </c>
      <c r="F126" s="44" t="s">
        <v>10</v>
      </c>
      <c r="G126" s="42" t="s">
        <v>434</v>
      </c>
      <c r="H126" s="45" t="s">
        <v>428</v>
      </c>
    </row>
    <row r="127" spans="1:8">
      <c r="A127" s="41" t="s">
        <v>14</v>
      </c>
      <c r="B127" s="42" t="s">
        <v>424</v>
      </c>
      <c r="C127" s="43" t="s">
        <v>435</v>
      </c>
      <c r="D127" s="42" t="s">
        <v>436</v>
      </c>
      <c r="E127" s="51" t="s">
        <v>1144</v>
      </c>
      <c r="F127" s="44" t="s">
        <v>10</v>
      </c>
      <c r="G127" s="42" t="s">
        <v>437</v>
      </c>
      <c r="H127" s="45" t="s">
        <v>428</v>
      </c>
    </row>
    <row r="128" spans="1:8">
      <c r="A128" s="41" t="s">
        <v>14</v>
      </c>
      <c r="B128" s="42" t="s">
        <v>424</v>
      </c>
      <c r="C128" s="43" t="s">
        <v>438</v>
      </c>
      <c r="D128" s="42" t="s">
        <v>439</v>
      </c>
      <c r="E128" s="51" t="s">
        <v>1145</v>
      </c>
      <c r="F128" s="44" t="s">
        <v>10</v>
      </c>
      <c r="G128" s="42" t="s">
        <v>440</v>
      </c>
      <c r="H128" s="45" t="s">
        <v>428</v>
      </c>
    </row>
    <row r="129" spans="1:8">
      <c r="A129" s="41" t="s">
        <v>14</v>
      </c>
      <c r="B129" s="42" t="s">
        <v>424</v>
      </c>
      <c r="C129" s="43" t="s">
        <v>441</v>
      </c>
      <c r="D129" s="42" t="s">
        <v>442</v>
      </c>
      <c r="E129" s="51" t="s">
        <v>1146</v>
      </c>
      <c r="F129" s="44" t="s">
        <v>9</v>
      </c>
      <c r="G129" s="42" t="s">
        <v>443</v>
      </c>
      <c r="H129" s="45" t="s">
        <v>428</v>
      </c>
    </row>
    <row r="130" spans="1:8">
      <c r="A130" s="41" t="s">
        <v>14</v>
      </c>
      <c r="B130" s="42" t="s">
        <v>444</v>
      </c>
      <c r="C130" s="43" t="s">
        <v>445</v>
      </c>
      <c r="D130" s="42" t="s">
        <v>446</v>
      </c>
      <c r="E130" s="51" t="s">
        <v>1147</v>
      </c>
      <c r="F130" s="44" t="s">
        <v>10</v>
      </c>
      <c r="G130" s="42" t="s">
        <v>447</v>
      </c>
      <c r="H130" s="45" t="s">
        <v>448</v>
      </c>
    </row>
    <row r="131" spans="1:8">
      <c r="A131" s="41" t="s">
        <v>14</v>
      </c>
      <c r="B131" s="42" t="s">
        <v>444</v>
      </c>
      <c r="C131" s="43" t="s">
        <v>449</v>
      </c>
      <c r="D131" s="42" t="s">
        <v>450</v>
      </c>
      <c r="E131" s="51" t="s">
        <v>1148</v>
      </c>
      <c r="F131" s="44" t="s">
        <v>11</v>
      </c>
      <c r="G131" s="42" t="s">
        <v>451</v>
      </c>
      <c r="H131" s="45" t="s">
        <v>448</v>
      </c>
    </row>
    <row r="132" spans="1:8">
      <c r="A132" s="41" t="s">
        <v>14</v>
      </c>
      <c r="B132" s="42" t="s">
        <v>444</v>
      </c>
      <c r="C132" s="43" t="s">
        <v>452</v>
      </c>
      <c r="D132" s="42" t="s">
        <v>453</v>
      </c>
      <c r="E132" s="51" t="s">
        <v>1149</v>
      </c>
      <c r="F132" s="44" t="s">
        <v>9</v>
      </c>
      <c r="G132" s="42" t="s">
        <v>454</v>
      </c>
      <c r="H132" s="45" t="s">
        <v>448</v>
      </c>
    </row>
    <row r="133" spans="1:8">
      <c r="A133" s="41" t="s">
        <v>14</v>
      </c>
      <c r="B133" s="42" t="s">
        <v>444</v>
      </c>
      <c r="C133" s="43" t="s">
        <v>455</v>
      </c>
      <c r="D133" s="42" t="s">
        <v>456</v>
      </c>
      <c r="E133" s="51" t="s">
        <v>1150</v>
      </c>
      <c r="F133" s="44" t="s">
        <v>11</v>
      </c>
      <c r="G133" s="42" t="s">
        <v>457</v>
      </c>
      <c r="H133" s="45" t="s">
        <v>448</v>
      </c>
    </row>
    <row r="134" spans="1:8">
      <c r="A134" s="41" t="s">
        <v>14</v>
      </c>
      <c r="B134" s="42" t="s">
        <v>444</v>
      </c>
      <c r="C134" s="43" t="s">
        <v>458</v>
      </c>
      <c r="D134" s="42" t="s">
        <v>459</v>
      </c>
      <c r="E134" s="51" t="s">
        <v>1151</v>
      </c>
      <c r="F134" s="44" t="s">
        <v>10</v>
      </c>
      <c r="G134" s="42" t="s">
        <v>460</v>
      </c>
      <c r="H134" s="45" t="s">
        <v>448</v>
      </c>
    </row>
    <row r="135" spans="1:8">
      <c r="A135" s="41" t="s">
        <v>14</v>
      </c>
      <c r="B135" s="42" t="s">
        <v>461</v>
      </c>
      <c r="C135" s="43" t="s">
        <v>462</v>
      </c>
      <c r="D135" s="42" t="s">
        <v>463</v>
      </c>
      <c r="E135" s="51" t="s">
        <v>1152</v>
      </c>
      <c r="F135" s="44" t="s">
        <v>10</v>
      </c>
      <c r="G135" s="42" t="s">
        <v>464</v>
      </c>
      <c r="H135" s="45" t="s">
        <v>465</v>
      </c>
    </row>
    <row r="136" spans="1:8">
      <c r="A136" s="41" t="s">
        <v>14</v>
      </c>
      <c r="B136" s="42" t="s">
        <v>461</v>
      </c>
      <c r="C136" s="43" t="s">
        <v>466</v>
      </c>
      <c r="D136" s="42" t="s">
        <v>467</v>
      </c>
      <c r="E136" s="51" t="s">
        <v>1153</v>
      </c>
      <c r="F136" s="44" t="s">
        <v>9</v>
      </c>
      <c r="G136" s="42" t="s">
        <v>468</v>
      </c>
      <c r="H136" s="45" t="s">
        <v>465</v>
      </c>
    </row>
    <row r="137" spans="1:8">
      <c r="A137" s="41" t="s">
        <v>14</v>
      </c>
      <c r="B137" s="42" t="s">
        <v>461</v>
      </c>
      <c r="C137" s="43" t="s">
        <v>469</v>
      </c>
      <c r="D137" s="42" t="s">
        <v>470</v>
      </c>
      <c r="E137" s="51" t="s">
        <v>1154</v>
      </c>
      <c r="F137" s="44" t="s">
        <v>10</v>
      </c>
      <c r="G137" s="42" t="s">
        <v>471</v>
      </c>
      <c r="H137" s="45" t="s">
        <v>465</v>
      </c>
    </row>
    <row r="138" spans="1:8">
      <c r="A138" s="41" t="s">
        <v>14</v>
      </c>
      <c r="B138" s="42" t="s">
        <v>461</v>
      </c>
      <c r="C138" s="43" t="s">
        <v>472</v>
      </c>
      <c r="D138" s="42" t="s">
        <v>473</v>
      </c>
      <c r="E138" s="51" t="s">
        <v>1155</v>
      </c>
      <c r="F138" s="44" t="s">
        <v>9</v>
      </c>
      <c r="G138" s="42" t="s">
        <v>474</v>
      </c>
      <c r="H138" s="45" t="s">
        <v>465</v>
      </c>
    </row>
    <row r="139" spans="1:8">
      <c r="A139" s="41" t="s">
        <v>14</v>
      </c>
      <c r="B139" s="42" t="s">
        <v>461</v>
      </c>
      <c r="C139" s="43" t="s">
        <v>475</v>
      </c>
      <c r="D139" s="42" t="s">
        <v>476</v>
      </c>
      <c r="E139" s="51" t="s">
        <v>1156</v>
      </c>
      <c r="F139" s="44" t="s">
        <v>9</v>
      </c>
      <c r="G139" s="42" t="s">
        <v>477</v>
      </c>
      <c r="H139" s="45" t="s">
        <v>465</v>
      </c>
    </row>
    <row r="140" spans="1:8">
      <c r="A140" s="41" t="s">
        <v>14</v>
      </c>
      <c r="B140" s="42" t="s">
        <v>478</v>
      </c>
      <c r="C140" s="43" t="s">
        <v>479</v>
      </c>
      <c r="D140" s="42" t="s">
        <v>480</v>
      </c>
      <c r="E140" s="51" t="s">
        <v>1157</v>
      </c>
      <c r="F140" s="44" t="s">
        <v>11</v>
      </c>
      <c r="G140" s="42" t="s">
        <v>481</v>
      </c>
      <c r="H140" s="45" t="s">
        <v>482</v>
      </c>
    </row>
    <row r="141" spans="1:8">
      <c r="A141" s="41" t="s">
        <v>14</v>
      </c>
      <c r="B141" s="42" t="s">
        <v>478</v>
      </c>
      <c r="C141" s="43" t="s">
        <v>483</v>
      </c>
      <c r="D141" s="42" t="s">
        <v>484</v>
      </c>
      <c r="E141" s="51" t="s">
        <v>1158</v>
      </c>
      <c r="F141" s="44" t="s">
        <v>11</v>
      </c>
      <c r="G141" s="42" t="s">
        <v>485</v>
      </c>
      <c r="H141" s="45" t="s">
        <v>482</v>
      </c>
    </row>
    <row r="142" spans="1:8">
      <c r="A142" s="41" t="s">
        <v>14</v>
      </c>
      <c r="B142" s="42" t="s">
        <v>478</v>
      </c>
      <c r="C142" s="43" t="s">
        <v>486</v>
      </c>
      <c r="D142" s="42" t="s">
        <v>487</v>
      </c>
      <c r="E142" s="51" t="s">
        <v>1159</v>
      </c>
      <c r="F142" s="44" t="s">
        <v>11</v>
      </c>
      <c r="G142" s="42" t="s">
        <v>488</v>
      </c>
      <c r="H142" s="45" t="s">
        <v>482</v>
      </c>
    </row>
    <row r="143" spans="1:8">
      <c r="A143" s="41" t="s">
        <v>14</v>
      </c>
      <c r="B143" s="42" t="s">
        <v>478</v>
      </c>
      <c r="C143" s="43" t="s">
        <v>489</v>
      </c>
      <c r="D143" s="42" t="s">
        <v>490</v>
      </c>
      <c r="E143" s="51" t="s">
        <v>1160</v>
      </c>
      <c r="F143" s="44" t="s">
        <v>10</v>
      </c>
      <c r="G143" s="42" t="s">
        <v>491</v>
      </c>
      <c r="H143" s="45" t="s">
        <v>482</v>
      </c>
    </row>
    <row r="144" spans="1:8">
      <c r="A144" s="41" t="s">
        <v>14</v>
      </c>
      <c r="B144" s="42" t="s">
        <v>478</v>
      </c>
      <c r="C144" s="43" t="s">
        <v>492</v>
      </c>
      <c r="D144" s="42" t="s">
        <v>493</v>
      </c>
      <c r="E144" s="51" t="s">
        <v>1161</v>
      </c>
      <c r="F144" s="44" t="s">
        <v>10</v>
      </c>
      <c r="G144" s="42" t="s">
        <v>494</v>
      </c>
      <c r="H144" s="45" t="s">
        <v>482</v>
      </c>
    </row>
    <row r="145" spans="1:8">
      <c r="A145" s="41" t="s">
        <v>14</v>
      </c>
      <c r="B145" s="42" t="s">
        <v>478</v>
      </c>
      <c r="C145" s="43" t="s">
        <v>495</v>
      </c>
      <c r="D145" s="42" t="s">
        <v>496</v>
      </c>
      <c r="E145" s="51" t="s">
        <v>1162</v>
      </c>
      <c r="F145" s="44" t="s">
        <v>10</v>
      </c>
      <c r="G145" s="42" t="s">
        <v>497</v>
      </c>
      <c r="H145" s="45" t="s">
        <v>482</v>
      </c>
    </row>
    <row r="146" spans="1:8">
      <c r="A146" s="41" t="s">
        <v>14</v>
      </c>
      <c r="B146" s="42" t="s">
        <v>478</v>
      </c>
      <c r="C146" s="43" t="s">
        <v>498</v>
      </c>
      <c r="D146" s="42" t="s">
        <v>499</v>
      </c>
      <c r="E146" s="51" t="s">
        <v>1163</v>
      </c>
      <c r="F146" s="44" t="s">
        <v>11</v>
      </c>
      <c r="G146" s="42" t="s">
        <v>500</v>
      </c>
      <c r="H146" s="45" t="s">
        <v>482</v>
      </c>
    </row>
    <row r="147" spans="1:8">
      <c r="A147" s="41" t="s">
        <v>14</v>
      </c>
      <c r="B147" s="42" t="s">
        <v>478</v>
      </c>
      <c r="C147" s="43" t="s">
        <v>501</v>
      </c>
      <c r="D147" s="42" t="s">
        <v>502</v>
      </c>
      <c r="E147" s="51" t="s">
        <v>1164</v>
      </c>
      <c r="F147" s="44" t="s">
        <v>10</v>
      </c>
      <c r="G147" s="42" t="s">
        <v>503</v>
      </c>
      <c r="H147" s="45" t="s">
        <v>482</v>
      </c>
    </row>
    <row r="148" spans="1:8">
      <c r="A148" s="41" t="s">
        <v>14</v>
      </c>
      <c r="B148" s="42" t="s">
        <v>504</v>
      </c>
      <c r="C148" s="43" t="s">
        <v>505</v>
      </c>
      <c r="D148" s="42" t="s">
        <v>506</v>
      </c>
      <c r="E148" s="51" t="s">
        <v>1165</v>
      </c>
      <c r="F148" s="44" t="s">
        <v>10</v>
      </c>
      <c r="G148" s="42" t="s">
        <v>507</v>
      </c>
      <c r="H148" s="45" t="s">
        <v>508</v>
      </c>
    </row>
    <row r="149" spans="1:8">
      <c r="A149" s="41" t="s">
        <v>14</v>
      </c>
      <c r="B149" s="42" t="s">
        <v>504</v>
      </c>
      <c r="C149" s="43" t="s">
        <v>509</v>
      </c>
      <c r="D149" s="42" t="s">
        <v>510</v>
      </c>
      <c r="E149" s="51" t="s">
        <v>1166</v>
      </c>
      <c r="F149" s="44" t="s">
        <v>10</v>
      </c>
      <c r="G149" s="42" t="s">
        <v>511</v>
      </c>
      <c r="H149" s="45" t="s">
        <v>508</v>
      </c>
    </row>
    <row r="150" spans="1:8">
      <c r="A150" s="41" t="s">
        <v>14</v>
      </c>
      <c r="B150" s="42" t="s">
        <v>504</v>
      </c>
      <c r="C150" s="43" t="s">
        <v>512</v>
      </c>
      <c r="D150" s="42" t="s">
        <v>513</v>
      </c>
      <c r="E150" s="51" t="s">
        <v>1167</v>
      </c>
      <c r="F150" s="44" t="s">
        <v>11</v>
      </c>
      <c r="G150" s="42" t="s">
        <v>514</v>
      </c>
      <c r="H150" s="45" t="s">
        <v>508</v>
      </c>
    </row>
    <row r="151" spans="1:8">
      <c r="A151" s="41" t="s">
        <v>14</v>
      </c>
      <c r="B151" s="42" t="s">
        <v>504</v>
      </c>
      <c r="C151" s="43" t="s">
        <v>515</v>
      </c>
      <c r="D151" s="42" t="s">
        <v>516</v>
      </c>
      <c r="E151" s="51" t="s">
        <v>1168</v>
      </c>
      <c r="F151" s="44" t="s">
        <v>10</v>
      </c>
      <c r="G151" s="42" t="s">
        <v>517</v>
      </c>
      <c r="H151" s="45" t="s">
        <v>508</v>
      </c>
    </row>
    <row r="152" spans="1:8">
      <c r="A152" s="41" t="s">
        <v>14</v>
      </c>
      <c r="B152" s="42" t="s">
        <v>518</v>
      </c>
      <c r="C152" s="43" t="s">
        <v>519</v>
      </c>
      <c r="D152" s="42" t="s">
        <v>520</v>
      </c>
      <c r="E152" s="51" t="s">
        <v>1169</v>
      </c>
      <c r="F152" s="44" t="s">
        <v>11</v>
      </c>
      <c r="G152" s="42" t="s">
        <v>521</v>
      </c>
      <c r="H152" s="45" t="s">
        <v>522</v>
      </c>
    </row>
    <row r="153" spans="1:8">
      <c r="A153" s="41" t="s">
        <v>14</v>
      </c>
      <c r="B153" s="42" t="s">
        <v>518</v>
      </c>
      <c r="C153" s="43" t="s">
        <v>523</v>
      </c>
      <c r="D153" s="42" t="s">
        <v>524</v>
      </c>
      <c r="E153" s="51" t="s">
        <v>1170</v>
      </c>
      <c r="F153" s="44" t="s">
        <v>10</v>
      </c>
      <c r="G153" s="42" t="s">
        <v>525</v>
      </c>
      <c r="H153" s="45" t="s">
        <v>522</v>
      </c>
    </row>
    <row r="154" spans="1:8">
      <c r="A154" s="41" t="s">
        <v>14</v>
      </c>
      <c r="B154" s="42" t="s">
        <v>518</v>
      </c>
      <c r="C154" s="43" t="s">
        <v>526</v>
      </c>
      <c r="D154" s="42" t="s">
        <v>527</v>
      </c>
      <c r="E154" s="51" t="s">
        <v>1171</v>
      </c>
      <c r="F154" s="44" t="s">
        <v>10</v>
      </c>
      <c r="G154" s="42" t="s">
        <v>528</v>
      </c>
      <c r="H154" s="45" t="s">
        <v>522</v>
      </c>
    </row>
    <row r="155" spans="1:8">
      <c r="A155" s="41" t="s">
        <v>14</v>
      </c>
      <c r="B155" s="42" t="s">
        <v>518</v>
      </c>
      <c r="C155" s="43" t="s">
        <v>529</v>
      </c>
      <c r="D155" s="42" t="s">
        <v>530</v>
      </c>
      <c r="E155" s="51" t="s">
        <v>1172</v>
      </c>
      <c r="F155" s="44" t="s">
        <v>10</v>
      </c>
      <c r="G155" s="42" t="s">
        <v>531</v>
      </c>
      <c r="H155" s="45" t="s">
        <v>522</v>
      </c>
    </row>
    <row r="156" spans="1:8">
      <c r="A156" s="41" t="s">
        <v>14</v>
      </c>
      <c r="B156" s="42" t="s">
        <v>532</v>
      </c>
      <c r="C156" s="43" t="s">
        <v>533</v>
      </c>
      <c r="D156" s="42" t="s">
        <v>534</v>
      </c>
      <c r="E156" s="51" t="s">
        <v>1173</v>
      </c>
      <c r="F156" s="44" t="s">
        <v>11</v>
      </c>
      <c r="G156" s="42" t="s">
        <v>535</v>
      </c>
      <c r="H156" s="45" t="s">
        <v>536</v>
      </c>
    </row>
    <row r="157" spans="1:8">
      <c r="A157" s="41" t="s">
        <v>14</v>
      </c>
      <c r="B157" s="42" t="s">
        <v>532</v>
      </c>
      <c r="C157" s="43" t="s">
        <v>537</v>
      </c>
      <c r="D157" s="42" t="s">
        <v>538</v>
      </c>
      <c r="E157" s="51" t="s">
        <v>1174</v>
      </c>
      <c r="F157" s="44" t="s">
        <v>10</v>
      </c>
      <c r="G157" s="42" t="s">
        <v>539</v>
      </c>
      <c r="H157" s="45" t="s">
        <v>536</v>
      </c>
    </row>
    <row r="158" spans="1:8">
      <c r="A158" s="41" t="s">
        <v>14</v>
      </c>
      <c r="B158" s="42" t="s">
        <v>532</v>
      </c>
      <c r="C158" s="43" t="s">
        <v>540</v>
      </c>
      <c r="D158" s="42" t="s">
        <v>541</v>
      </c>
      <c r="E158" s="51" t="s">
        <v>1175</v>
      </c>
      <c r="F158" s="44" t="s">
        <v>11</v>
      </c>
      <c r="G158" s="42" t="s">
        <v>542</v>
      </c>
      <c r="H158" s="45" t="s">
        <v>536</v>
      </c>
    </row>
    <row r="159" spans="1:8">
      <c r="A159" s="41" t="s">
        <v>14</v>
      </c>
      <c r="B159" s="42" t="s">
        <v>543</v>
      </c>
      <c r="C159" s="43" t="s">
        <v>544</v>
      </c>
      <c r="D159" s="42" t="s">
        <v>545</v>
      </c>
      <c r="E159" s="51" t="s">
        <v>1176</v>
      </c>
      <c r="F159" s="44" t="s">
        <v>10</v>
      </c>
      <c r="G159" s="42" t="s">
        <v>443</v>
      </c>
      <c r="H159" s="45" t="s">
        <v>546</v>
      </c>
    </row>
    <row r="160" spans="1:8">
      <c r="A160" s="41" t="s">
        <v>14</v>
      </c>
      <c r="B160" s="42" t="s">
        <v>543</v>
      </c>
      <c r="C160" s="43" t="s">
        <v>547</v>
      </c>
      <c r="D160" s="42" t="s">
        <v>548</v>
      </c>
      <c r="E160" s="51" t="s">
        <v>1177</v>
      </c>
      <c r="F160" s="44" t="s">
        <v>11</v>
      </c>
      <c r="G160" s="42" t="s">
        <v>549</v>
      </c>
      <c r="H160" s="45" t="s">
        <v>546</v>
      </c>
    </row>
    <row r="161" spans="1:8">
      <c r="A161" s="41" t="s">
        <v>14</v>
      </c>
      <c r="B161" s="42" t="s">
        <v>543</v>
      </c>
      <c r="C161" s="43" t="s">
        <v>550</v>
      </c>
      <c r="D161" s="42" t="s">
        <v>551</v>
      </c>
      <c r="E161" s="51" t="s">
        <v>1178</v>
      </c>
      <c r="F161" s="44" t="s">
        <v>11</v>
      </c>
      <c r="G161" s="42" t="s">
        <v>552</v>
      </c>
      <c r="H161" s="45" t="s">
        <v>546</v>
      </c>
    </row>
    <row r="162" spans="1:8">
      <c r="A162" s="41" t="s">
        <v>14</v>
      </c>
      <c r="B162" s="42" t="s">
        <v>553</v>
      </c>
      <c r="C162" s="43" t="s">
        <v>554</v>
      </c>
      <c r="D162" s="42" t="s">
        <v>555</v>
      </c>
      <c r="E162" s="51" t="s">
        <v>1179</v>
      </c>
      <c r="F162" s="44" t="s">
        <v>11</v>
      </c>
      <c r="G162" s="42" t="s">
        <v>556</v>
      </c>
      <c r="H162" s="45" t="s">
        <v>557</v>
      </c>
    </row>
    <row r="163" spans="1:8">
      <c r="A163" s="41" t="s">
        <v>14</v>
      </c>
      <c r="B163" s="42" t="s">
        <v>553</v>
      </c>
      <c r="C163" s="43" t="s">
        <v>558</v>
      </c>
      <c r="D163" s="42" t="s">
        <v>559</v>
      </c>
      <c r="E163" s="51" t="s">
        <v>1180</v>
      </c>
      <c r="F163" s="44" t="s">
        <v>11</v>
      </c>
      <c r="G163" s="42" t="s">
        <v>556</v>
      </c>
      <c r="H163" s="45" t="s">
        <v>557</v>
      </c>
    </row>
    <row r="164" spans="1:8">
      <c r="A164" s="41" t="s">
        <v>14</v>
      </c>
      <c r="B164" s="42" t="s">
        <v>553</v>
      </c>
      <c r="C164" s="43" t="s">
        <v>560</v>
      </c>
      <c r="D164" s="42" t="s">
        <v>561</v>
      </c>
      <c r="E164" s="51" t="s">
        <v>1181</v>
      </c>
      <c r="F164" s="44" t="s">
        <v>11</v>
      </c>
      <c r="G164" s="42" t="s">
        <v>562</v>
      </c>
      <c r="H164" s="45" t="s">
        <v>557</v>
      </c>
    </row>
    <row r="165" spans="1:8">
      <c r="A165" s="41" t="s">
        <v>14</v>
      </c>
      <c r="B165" s="42" t="s">
        <v>553</v>
      </c>
      <c r="C165" s="43" t="s">
        <v>563</v>
      </c>
      <c r="D165" s="42" t="s">
        <v>564</v>
      </c>
      <c r="E165" s="51" t="s">
        <v>1182</v>
      </c>
      <c r="F165" s="44" t="s">
        <v>11</v>
      </c>
      <c r="G165" s="42" t="s">
        <v>565</v>
      </c>
      <c r="H165" s="45" t="s">
        <v>557</v>
      </c>
    </row>
    <row r="166" spans="1:8">
      <c r="A166" s="41" t="s">
        <v>14</v>
      </c>
      <c r="B166" s="42" t="s">
        <v>553</v>
      </c>
      <c r="C166" s="43" t="s">
        <v>566</v>
      </c>
      <c r="D166" s="42" t="s">
        <v>567</v>
      </c>
      <c r="E166" s="51" t="s">
        <v>1183</v>
      </c>
      <c r="F166" s="44" t="s">
        <v>11</v>
      </c>
      <c r="G166" s="42" t="s">
        <v>568</v>
      </c>
      <c r="H166" s="45" t="s">
        <v>557</v>
      </c>
    </row>
    <row r="167" spans="1:8">
      <c r="A167" s="41" t="s">
        <v>14</v>
      </c>
      <c r="B167" s="42" t="s">
        <v>553</v>
      </c>
      <c r="C167" s="43" t="s">
        <v>569</v>
      </c>
      <c r="D167" s="42" t="s">
        <v>570</v>
      </c>
      <c r="E167" s="51" t="s">
        <v>1184</v>
      </c>
      <c r="F167" s="44" t="s">
        <v>10</v>
      </c>
      <c r="G167" s="42" t="s">
        <v>571</v>
      </c>
      <c r="H167" s="45" t="s">
        <v>557</v>
      </c>
    </row>
    <row r="168" spans="1:8">
      <c r="A168" s="41" t="s">
        <v>14</v>
      </c>
      <c r="B168" s="42" t="s">
        <v>572</v>
      </c>
      <c r="C168" s="43" t="s">
        <v>573</v>
      </c>
      <c r="D168" s="42" t="s">
        <v>574</v>
      </c>
      <c r="E168" s="51" t="s">
        <v>1185</v>
      </c>
      <c r="F168" s="44" t="s">
        <v>10</v>
      </c>
      <c r="G168" s="42" t="s">
        <v>575</v>
      </c>
      <c r="H168" s="45" t="s">
        <v>576</v>
      </c>
    </row>
    <row r="169" spans="1:8">
      <c r="A169" s="41" t="s">
        <v>14</v>
      </c>
      <c r="B169" s="42" t="s">
        <v>572</v>
      </c>
      <c r="C169" s="43" t="s">
        <v>577</v>
      </c>
      <c r="D169" s="42" t="s">
        <v>578</v>
      </c>
      <c r="E169" s="51" t="s">
        <v>1186</v>
      </c>
      <c r="F169" s="44" t="s">
        <v>10</v>
      </c>
      <c r="G169" s="42" t="s">
        <v>579</v>
      </c>
      <c r="H169" s="45" t="s">
        <v>576</v>
      </c>
    </row>
    <row r="170" spans="1:8">
      <c r="A170" s="41" t="s">
        <v>14</v>
      </c>
      <c r="B170" s="42" t="s">
        <v>580</v>
      </c>
      <c r="C170" s="43" t="s">
        <v>581</v>
      </c>
      <c r="D170" s="42" t="s">
        <v>582</v>
      </c>
      <c r="E170" s="51" t="s">
        <v>1187</v>
      </c>
      <c r="F170" s="44" t="s">
        <v>9</v>
      </c>
      <c r="G170" s="42" t="s">
        <v>583</v>
      </c>
      <c r="H170" s="45" t="s">
        <v>584</v>
      </c>
    </row>
    <row r="171" spans="1:8">
      <c r="A171" s="41" t="s">
        <v>14</v>
      </c>
      <c r="B171" s="42" t="s">
        <v>580</v>
      </c>
      <c r="C171" s="43" t="s">
        <v>585</v>
      </c>
      <c r="D171" s="42" t="s">
        <v>586</v>
      </c>
      <c r="E171" s="51" t="s">
        <v>1188</v>
      </c>
      <c r="F171" s="44" t="s">
        <v>9</v>
      </c>
      <c r="G171" s="42" t="s">
        <v>587</v>
      </c>
      <c r="H171" s="45" t="s">
        <v>584</v>
      </c>
    </row>
    <row r="172" spans="1:8">
      <c r="A172" s="41" t="s">
        <v>14</v>
      </c>
      <c r="B172" s="42" t="s">
        <v>580</v>
      </c>
      <c r="C172" s="43" t="s">
        <v>588</v>
      </c>
      <c r="D172" s="42" t="s">
        <v>589</v>
      </c>
      <c r="E172" s="51" t="s">
        <v>1189</v>
      </c>
      <c r="F172" s="44" t="s">
        <v>9</v>
      </c>
      <c r="G172" s="42" t="s">
        <v>590</v>
      </c>
      <c r="H172" s="45" t="s">
        <v>584</v>
      </c>
    </row>
    <row r="173" spans="1:8">
      <c r="A173" s="41" t="s">
        <v>14</v>
      </c>
      <c r="B173" s="42" t="s">
        <v>580</v>
      </c>
      <c r="C173" s="43" t="s">
        <v>591</v>
      </c>
      <c r="D173" s="42" t="s">
        <v>592</v>
      </c>
      <c r="E173" s="51" t="s">
        <v>1190</v>
      </c>
      <c r="F173" s="44" t="s">
        <v>10</v>
      </c>
      <c r="G173" s="42" t="s">
        <v>593</v>
      </c>
      <c r="H173" s="45" t="s">
        <v>584</v>
      </c>
    </row>
    <row r="174" spans="1:8">
      <c r="A174" s="41" t="s">
        <v>14</v>
      </c>
      <c r="B174" s="42" t="s">
        <v>580</v>
      </c>
      <c r="C174" s="43" t="s">
        <v>594</v>
      </c>
      <c r="D174" s="42" t="s">
        <v>595</v>
      </c>
      <c r="E174" s="51" t="s">
        <v>1191</v>
      </c>
      <c r="F174" s="44" t="s">
        <v>9</v>
      </c>
      <c r="G174" s="42" t="s">
        <v>596</v>
      </c>
      <c r="H174" s="45" t="s">
        <v>584</v>
      </c>
    </row>
    <row r="175" spans="1:8">
      <c r="A175" s="41" t="s">
        <v>14</v>
      </c>
      <c r="B175" s="42" t="s">
        <v>580</v>
      </c>
      <c r="C175" s="43" t="s">
        <v>597</v>
      </c>
      <c r="D175" s="42" t="s">
        <v>598</v>
      </c>
      <c r="E175" s="51" t="s">
        <v>1192</v>
      </c>
      <c r="F175" s="44" t="s">
        <v>10</v>
      </c>
      <c r="G175" s="42" t="s">
        <v>599</v>
      </c>
      <c r="H175" s="45" t="s">
        <v>584</v>
      </c>
    </row>
    <row r="176" spans="1:8">
      <c r="A176" s="41" t="s">
        <v>14</v>
      </c>
      <c r="B176" s="42" t="s">
        <v>580</v>
      </c>
      <c r="C176" s="43" t="s">
        <v>600</v>
      </c>
      <c r="D176" s="42" t="s">
        <v>601</v>
      </c>
      <c r="E176" s="51" t="s">
        <v>1193</v>
      </c>
      <c r="F176" s="44" t="s">
        <v>11</v>
      </c>
      <c r="G176" s="42" t="s">
        <v>602</v>
      </c>
      <c r="H176" s="45" t="s">
        <v>584</v>
      </c>
    </row>
    <row r="177" spans="1:8">
      <c r="A177" s="41" t="s">
        <v>14</v>
      </c>
      <c r="B177" s="42" t="s">
        <v>580</v>
      </c>
      <c r="C177" s="43" t="s">
        <v>603</v>
      </c>
      <c r="D177" s="42" t="s">
        <v>604</v>
      </c>
      <c r="E177" s="51" t="s">
        <v>1194</v>
      </c>
      <c r="F177" s="44" t="s">
        <v>9</v>
      </c>
      <c r="G177" s="42" t="s">
        <v>605</v>
      </c>
      <c r="H177" s="45" t="s">
        <v>584</v>
      </c>
    </row>
    <row r="178" spans="1:8">
      <c r="A178" s="41" t="s">
        <v>14</v>
      </c>
      <c r="B178" s="42" t="s">
        <v>580</v>
      </c>
      <c r="C178" s="43" t="s">
        <v>606</v>
      </c>
      <c r="D178" s="42" t="s">
        <v>607</v>
      </c>
      <c r="E178" s="51" t="s">
        <v>1195</v>
      </c>
      <c r="F178" s="44" t="s">
        <v>9</v>
      </c>
      <c r="G178" s="42" t="s">
        <v>608</v>
      </c>
      <c r="H178" s="45" t="s">
        <v>584</v>
      </c>
    </row>
    <row r="179" spans="1:8">
      <c r="A179" s="41" t="s">
        <v>14</v>
      </c>
      <c r="B179" s="42" t="s">
        <v>580</v>
      </c>
      <c r="C179" s="43" t="s">
        <v>609</v>
      </c>
      <c r="D179" s="42" t="s">
        <v>610</v>
      </c>
      <c r="E179" s="51" t="s">
        <v>1196</v>
      </c>
      <c r="F179" s="44" t="s">
        <v>9</v>
      </c>
      <c r="G179" s="42" t="s">
        <v>611</v>
      </c>
      <c r="H179" s="45" t="s">
        <v>584</v>
      </c>
    </row>
    <row r="180" spans="1:8">
      <c r="A180" s="41" t="s">
        <v>14</v>
      </c>
      <c r="B180" s="42" t="s">
        <v>580</v>
      </c>
      <c r="C180" s="43" t="s">
        <v>612</v>
      </c>
      <c r="D180" s="42" t="s">
        <v>613</v>
      </c>
      <c r="E180" s="51" t="s">
        <v>1197</v>
      </c>
      <c r="F180" s="44" t="s">
        <v>9</v>
      </c>
      <c r="G180" s="42" t="s">
        <v>614</v>
      </c>
      <c r="H180" s="45" t="s">
        <v>584</v>
      </c>
    </row>
    <row r="181" spans="1:8">
      <c r="A181" s="41" t="s">
        <v>14</v>
      </c>
      <c r="B181" s="42" t="s">
        <v>615</v>
      </c>
      <c r="C181" s="43" t="s">
        <v>616</v>
      </c>
      <c r="D181" s="42" t="s">
        <v>617</v>
      </c>
      <c r="E181" s="51" t="s">
        <v>1198</v>
      </c>
      <c r="F181" s="44" t="s">
        <v>11</v>
      </c>
      <c r="G181" s="42" t="s">
        <v>618</v>
      </c>
      <c r="H181" s="45" t="s">
        <v>619</v>
      </c>
    </row>
    <row r="182" spans="1:8">
      <c r="A182" s="41" t="s">
        <v>14</v>
      </c>
      <c r="B182" s="42" t="s">
        <v>615</v>
      </c>
      <c r="C182" s="43" t="s">
        <v>620</v>
      </c>
      <c r="D182" s="42" t="s">
        <v>621</v>
      </c>
      <c r="E182" s="51" t="s">
        <v>1199</v>
      </c>
      <c r="F182" s="44" t="s">
        <v>11</v>
      </c>
      <c r="G182" s="42" t="s">
        <v>622</v>
      </c>
      <c r="H182" s="45" t="s">
        <v>619</v>
      </c>
    </row>
    <row r="183" spans="1:8">
      <c r="A183" s="41" t="s">
        <v>14</v>
      </c>
      <c r="B183" s="42" t="s">
        <v>615</v>
      </c>
      <c r="C183" s="43" t="s">
        <v>623</v>
      </c>
      <c r="D183" s="42" t="s">
        <v>624</v>
      </c>
      <c r="E183" s="51" t="s">
        <v>1200</v>
      </c>
      <c r="F183" s="44" t="s">
        <v>9</v>
      </c>
      <c r="G183" s="42" t="s">
        <v>625</v>
      </c>
      <c r="H183" s="45" t="s">
        <v>619</v>
      </c>
    </row>
    <row r="184" spans="1:8">
      <c r="A184" s="41" t="s">
        <v>14</v>
      </c>
      <c r="B184" s="42" t="s">
        <v>615</v>
      </c>
      <c r="C184" s="43" t="s">
        <v>626</v>
      </c>
      <c r="D184" s="42" t="s">
        <v>627</v>
      </c>
      <c r="E184" s="51" t="s">
        <v>1201</v>
      </c>
      <c r="F184" s="44" t="s">
        <v>10</v>
      </c>
      <c r="G184" s="42" t="s">
        <v>628</v>
      </c>
      <c r="H184" s="45" t="s">
        <v>619</v>
      </c>
    </row>
    <row r="185" spans="1:8">
      <c r="A185" s="41" t="s">
        <v>14</v>
      </c>
      <c r="B185" s="42" t="s">
        <v>615</v>
      </c>
      <c r="C185" s="43" t="s">
        <v>629</v>
      </c>
      <c r="D185" s="42" t="s">
        <v>630</v>
      </c>
      <c r="E185" s="51" t="s">
        <v>1202</v>
      </c>
      <c r="F185" s="44" t="s">
        <v>10</v>
      </c>
      <c r="G185" s="42" t="s">
        <v>631</v>
      </c>
      <c r="H185" s="45" t="s">
        <v>619</v>
      </c>
    </row>
    <row r="186" spans="1:8">
      <c r="A186" s="41" t="s">
        <v>15</v>
      </c>
      <c r="B186" s="42" t="s">
        <v>632</v>
      </c>
      <c r="C186" s="43" t="s">
        <v>633</v>
      </c>
      <c r="D186" s="42" t="s">
        <v>634</v>
      </c>
      <c r="E186" s="51" t="s">
        <v>1203</v>
      </c>
      <c r="F186" s="44" t="s">
        <v>9</v>
      </c>
      <c r="G186" s="42" t="s">
        <v>635</v>
      </c>
      <c r="H186" s="45" t="s">
        <v>636</v>
      </c>
    </row>
    <row r="187" spans="1:8">
      <c r="A187" s="41" t="s">
        <v>15</v>
      </c>
      <c r="B187" s="42" t="s">
        <v>637</v>
      </c>
      <c r="C187" s="43" t="s">
        <v>638</v>
      </c>
      <c r="D187" s="42" t="s">
        <v>639</v>
      </c>
      <c r="E187" s="51" t="s">
        <v>1204</v>
      </c>
      <c r="F187" s="44" t="s">
        <v>9</v>
      </c>
      <c r="G187" s="42" t="s">
        <v>640</v>
      </c>
      <c r="H187" s="45" t="s">
        <v>636</v>
      </c>
    </row>
    <row r="188" spans="1:8">
      <c r="A188" s="41" t="s">
        <v>15</v>
      </c>
      <c r="B188" s="42" t="s">
        <v>641</v>
      </c>
      <c r="C188" s="43" t="s">
        <v>642</v>
      </c>
      <c r="D188" s="42" t="s">
        <v>643</v>
      </c>
      <c r="E188" s="51" t="s">
        <v>1205</v>
      </c>
      <c r="F188" s="44" t="s">
        <v>9</v>
      </c>
      <c r="G188" s="42" t="s">
        <v>644</v>
      </c>
      <c r="H188" s="45" t="s">
        <v>645</v>
      </c>
    </row>
    <row r="189" spans="1:8">
      <c r="A189" s="41" t="s">
        <v>15</v>
      </c>
      <c r="B189" s="42" t="s">
        <v>646</v>
      </c>
      <c r="C189" s="43" t="s">
        <v>647</v>
      </c>
      <c r="D189" s="42" t="s">
        <v>648</v>
      </c>
      <c r="E189" s="51" t="s">
        <v>1206</v>
      </c>
      <c r="F189" s="44" t="s">
        <v>10</v>
      </c>
      <c r="G189" s="42" t="s">
        <v>649</v>
      </c>
      <c r="H189" s="45" t="s">
        <v>636</v>
      </c>
    </row>
    <row r="190" spans="1:8">
      <c r="A190" s="41" t="s">
        <v>15</v>
      </c>
      <c r="B190" s="42" t="s">
        <v>650</v>
      </c>
      <c r="C190" s="43" t="s">
        <v>651</v>
      </c>
      <c r="D190" s="42" t="s">
        <v>652</v>
      </c>
      <c r="E190" s="51" t="s">
        <v>1207</v>
      </c>
      <c r="F190" s="44" t="s">
        <v>9</v>
      </c>
      <c r="G190" s="42" t="s">
        <v>653</v>
      </c>
      <c r="H190" s="45" t="s">
        <v>645</v>
      </c>
    </row>
    <row r="191" spans="1:8">
      <c r="A191" s="41" t="s">
        <v>15</v>
      </c>
      <c r="B191" s="42" t="s">
        <v>654</v>
      </c>
      <c r="C191" s="43" t="s">
        <v>655</v>
      </c>
      <c r="D191" s="42" t="s">
        <v>656</v>
      </c>
      <c r="E191" s="51" t="s">
        <v>1208</v>
      </c>
      <c r="F191" s="44" t="s">
        <v>9</v>
      </c>
      <c r="G191" s="42" t="s">
        <v>657</v>
      </c>
      <c r="H191" s="45" t="s">
        <v>636</v>
      </c>
    </row>
    <row r="192" spans="1:8">
      <c r="A192" s="41" t="s">
        <v>15</v>
      </c>
      <c r="B192" s="42" t="s">
        <v>658</v>
      </c>
      <c r="C192" s="43" t="s">
        <v>659</v>
      </c>
      <c r="D192" s="42" t="s">
        <v>660</v>
      </c>
      <c r="E192" s="51" t="s">
        <v>1209</v>
      </c>
      <c r="F192" s="44" t="s">
        <v>9</v>
      </c>
      <c r="G192" s="42" t="s">
        <v>661</v>
      </c>
      <c r="H192" s="45" t="s">
        <v>645</v>
      </c>
    </row>
    <row r="193" spans="1:8">
      <c r="A193" s="41" t="s">
        <v>15</v>
      </c>
      <c r="B193" s="42" t="s">
        <v>662</v>
      </c>
      <c r="C193" s="43" t="s">
        <v>663</v>
      </c>
      <c r="D193" s="42" t="s">
        <v>664</v>
      </c>
      <c r="E193" s="51" t="s">
        <v>1210</v>
      </c>
      <c r="F193" s="44" t="s">
        <v>9</v>
      </c>
      <c r="G193" s="42" t="s">
        <v>665</v>
      </c>
      <c r="H193" s="45" t="s">
        <v>636</v>
      </c>
    </row>
    <row r="194" spans="1:8">
      <c r="A194" s="41" t="s">
        <v>15</v>
      </c>
      <c r="B194" s="42" t="s">
        <v>666</v>
      </c>
      <c r="C194" s="43" t="s">
        <v>667</v>
      </c>
      <c r="D194" s="42" t="s">
        <v>668</v>
      </c>
      <c r="E194" s="51" t="s">
        <v>1211</v>
      </c>
      <c r="F194" s="44" t="s">
        <v>9</v>
      </c>
      <c r="G194" s="42" t="s">
        <v>669</v>
      </c>
      <c r="H194" s="45" t="s">
        <v>636</v>
      </c>
    </row>
    <row r="195" spans="1:8">
      <c r="A195" s="41" t="s">
        <v>15</v>
      </c>
      <c r="B195" s="42" t="s">
        <v>670</v>
      </c>
      <c r="C195" s="43" t="s">
        <v>671</v>
      </c>
      <c r="D195" s="42" t="s">
        <v>672</v>
      </c>
      <c r="E195" s="51" t="s">
        <v>1212</v>
      </c>
      <c r="F195" s="44" t="s">
        <v>9</v>
      </c>
      <c r="G195" s="42" t="s">
        <v>673</v>
      </c>
      <c r="H195" s="45" t="s">
        <v>636</v>
      </c>
    </row>
    <row r="196" spans="1:8">
      <c r="A196" s="41" t="s">
        <v>15</v>
      </c>
      <c r="B196" s="42" t="s">
        <v>674</v>
      </c>
      <c r="C196" s="43" t="s">
        <v>675</v>
      </c>
      <c r="D196" s="42" t="s">
        <v>676</v>
      </c>
      <c r="E196" s="51" t="s">
        <v>1213</v>
      </c>
      <c r="F196" s="44" t="s">
        <v>9</v>
      </c>
      <c r="G196" s="42" t="s">
        <v>677</v>
      </c>
      <c r="H196" s="45" t="s">
        <v>636</v>
      </c>
    </row>
    <row r="197" spans="1:8">
      <c r="A197" s="41" t="s">
        <v>15</v>
      </c>
      <c r="B197" s="42" t="s">
        <v>678</v>
      </c>
      <c r="C197" s="43" t="s">
        <v>679</v>
      </c>
      <c r="D197" s="42" t="s">
        <v>680</v>
      </c>
      <c r="E197" s="51" t="s">
        <v>1214</v>
      </c>
      <c r="F197" s="44" t="s">
        <v>9</v>
      </c>
      <c r="G197" s="42" t="s">
        <v>681</v>
      </c>
      <c r="H197" s="45" t="s">
        <v>636</v>
      </c>
    </row>
    <row r="198" spans="1:8">
      <c r="A198" s="41" t="s">
        <v>15</v>
      </c>
      <c r="B198" s="42" t="s">
        <v>682</v>
      </c>
      <c r="C198" s="43" t="s">
        <v>683</v>
      </c>
      <c r="D198" s="42" t="s">
        <v>684</v>
      </c>
      <c r="E198" s="51" t="s">
        <v>1215</v>
      </c>
      <c r="F198" s="44" t="s">
        <v>9</v>
      </c>
      <c r="G198" s="42" t="s">
        <v>685</v>
      </c>
      <c r="H198" s="45" t="s">
        <v>636</v>
      </c>
    </row>
    <row r="199" spans="1:8">
      <c r="A199" s="41" t="s">
        <v>15</v>
      </c>
      <c r="B199" s="42" t="s">
        <v>686</v>
      </c>
      <c r="C199" s="43" t="s">
        <v>687</v>
      </c>
      <c r="D199" s="42" t="s">
        <v>688</v>
      </c>
      <c r="E199" s="51" t="s">
        <v>1216</v>
      </c>
      <c r="F199" s="44" t="s">
        <v>9</v>
      </c>
      <c r="G199" s="42" t="s">
        <v>689</v>
      </c>
      <c r="H199" s="45" t="s">
        <v>636</v>
      </c>
    </row>
    <row r="200" spans="1:8">
      <c r="A200" s="41" t="s">
        <v>15</v>
      </c>
      <c r="B200" s="42" t="s">
        <v>690</v>
      </c>
      <c r="C200" s="43" t="s">
        <v>691</v>
      </c>
      <c r="D200" s="42" t="s">
        <v>692</v>
      </c>
      <c r="E200" s="51" t="s">
        <v>1217</v>
      </c>
      <c r="F200" s="44" t="s">
        <v>9</v>
      </c>
      <c r="G200" s="42" t="s">
        <v>693</v>
      </c>
      <c r="H200" s="45" t="s">
        <v>636</v>
      </c>
    </row>
    <row r="201" spans="1:8">
      <c r="A201" s="41" t="s">
        <v>15</v>
      </c>
      <c r="B201" s="42" t="s">
        <v>694</v>
      </c>
      <c r="C201" s="43" t="s">
        <v>695</v>
      </c>
      <c r="D201" s="42" t="s">
        <v>696</v>
      </c>
      <c r="E201" s="51" t="s">
        <v>1218</v>
      </c>
      <c r="F201" s="44" t="s">
        <v>10</v>
      </c>
      <c r="G201" s="42" t="s">
        <v>697</v>
      </c>
      <c r="H201" s="45" t="s">
        <v>636</v>
      </c>
    </row>
    <row r="202" spans="1:8">
      <c r="A202" s="41" t="s">
        <v>15</v>
      </c>
      <c r="B202" s="42" t="s">
        <v>698</v>
      </c>
      <c r="C202" s="43" t="s">
        <v>699</v>
      </c>
      <c r="D202" s="42" t="s">
        <v>700</v>
      </c>
      <c r="E202" s="51" t="s">
        <v>1219</v>
      </c>
      <c r="F202" s="44" t="s">
        <v>10</v>
      </c>
      <c r="G202" s="42" t="s">
        <v>701</v>
      </c>
      <c r="H202" s="45" t="s">
        <v>702</v>
      </c>
    </row>
    <row r="203" spans="1:8">
      <c r="A203" s="41" t="s">
        <v>15</v>
      </c>
      <c r="B203" s="42" t="s">
        <v>703</v>
      </c>
      <c r="C203" s="43" t="s">
        <v>704</v>
      </c>
      <c r="D203" s="42" t="s">
        <v>705</v>
      </c>
      <c r="E203" s="51" t="s">
        <v>1220</v>
      </c>
      <c r="F203" s="44" t="s">
        <v>9</v>
      </c>
      <c r="G203" s="42" t="s">
        <v>706</v>
      </c>
      <c r="H203" s="45" t="s">
        <v>636</v>
      </c>
    </row>
    <row r="204" spans="1:8">
      <c r="A204" s="41" t="s">
        <v>16</v>
      </c>
      <c r="B204" s="42" t="s">
        <v>707</v>
      </c>
      <c r="C204" s="43" t="s">
        <v>708</v>
      </c>
      <c r="D204" s="42" t="s">
        <v>709</v>
      </c>
      <c r="E204" s="51" t="s">
        <v>1221</v>
      </c>
      <c r="F204" s="44" t="s">
        <v>10</v>
      </c>
      <c r="G204" s="42" t="s">
        <v>710</v>
      </c>
      <c r="H204" s="45" t="s">
        <v>711</v>
      </c>
    </row>
    <row r="205" spans="1:8">
      <c r="A205" s="41" t="s">
        <v>16</v>
      </c>
      <c r="B205" s="42" t="s">
        <v>707</v>
      </c>
      <c r="C205" s="43" t="s">
        <v>712</v>
      </c>
      <c r="D205" s="42" t="s">
        <v>713</v>
      </c>
      <c r="E205" s="51" t="s">
        <v>1222</v>
      </c>
      <c r="F205" s="44" t="s">
        <v>10</v>
      </c>
      <c r="G205" s="42" t="s">
        <v>714</v>
      </c>
      <c r="H205" s="45" t="s">
        <v>715</v>
      </c>
    </row>
    <row r="206" spans="1:8">
      <c r="A206" s="41" t="s">
        <v>16</v>
      </c>
      <c r="B206" s="42" t="s">
        <v>707</v>
      </c>
      <c r="C206" s="43" t="s">
        <v>716</v>
      </c>
      <c r="D206" s="42" t="s">
        <v>717</v>
      </c>
      <c r="E206" s="51" t="s">
        <v>1223</v>
      </c>
      <c r="F206" s="44" t="s">
        <v>11</v>
      </c>
      <c r="G206" s="42" t="s">
        <v>718</v>
      </c>
      <c r="H206" s="45" t="s">
        <v>711</v>
      </c>
    </row>
    <row r="207" spans="1:8">
      <c r="A207" s="41" t="s">
        <v>16</v>
      </c>
      <c r="B207" s="42" t="s">
        <v>719</v>
      </c>
      <c r="C207" s="43" t="s">
        <v>720</v>
      </c>
      <c r="D207" s="42" t="s">
        <v>721</v>
      </c>
      <c r="E207" s="51" t="s">
        <v>1224</v>
      </c>
      <c r="F207" s="44" t="s">
        <v>10</v>
      </c>
      <c r="G207" s="42" t="s">
        <v>722</v>
      </c>
      <c r="H207" s="45" t="s">
        <v>711</v>
      </c>
    </row>
    <row r="208" spans="1:8">
      <c r="A208" s="41" t="s">
        <v>16</v>
      </c>
      <c r="B208" s="42" t="s">
        <v>723</v>
      </c>
      <c r="C208" s="43" t="s">
        <v>724</v>
      </c>
      <c r="D208" s="42" t="s">
        <v>725</v>
      </c>
      <c r="E208" s="51" t="s">
        <v>1225</v>
      </c>
      <c r="F208" s="44" t="s">
        <v>11</v>
      </c>
      <c r="G208" s="42" t="s">
        <v>726</v>
      </c>
      <c r="H208" s="45" t="s">
        <v>711</v>
      </c>
    </row>
    <row r="209" spans="1:8">
      <c r="A209" s="41" t="s">
        <v>16</v>
      </c>
      <c r="B209" s="42" t="s">
        <v>727</v>
      </c>
      <c r="C209" s="43" t="s">
        <v>728</v>
      </c>
      <c r="D209" s="42" t="s">
        <v>729</v>
      </c>
      <c r="E209" s="51" t="s">
        <v>1226</v>
      </c>
      <c r="F209" s="44" t="s">
        <v>9</v>
      </c>
      <c r="G209" s="42" t="s">
        <v>730</v>
      </c>
      <c r="H209" s="45" t="s">
        <v>715</v>
      </c>
    </row>
    <row r="210" spans="1:8">
      <c r="A210" s="41" t="s">
        <v>16</v>
      </c>
      <c r="B210" s="42" t="s">
        <v>731</v>
      </c>
      <c r="C210" s="43" t="s">
        <v>732</v>
      </c>
      <c r="D210" s="42" t="s">
        <v>733</v>
      </c>
      <c r="E210" s="51" t="s">
        <v>1227</v>
      </c>
      <c r="F210" s="44" t="s">
        <v>10</v>
      </c>
      <c r="G210" s="42" t="s">
        <v>734</v>
      </c>
      <c r="H210" s="45" t="s">
        <v>715</v>
      </c>
    </row>
    <row r="211" spans="1:8">
      <c r="A211" s="41" t="s">
        <v>16</v>
      </c>
      <c r="B211" s="42" t="s">
        <v>735</v>
      </c>
      <c r="C211" s="43" t="s">
        <v>736</v>
      </c>
      <c r="D211" s="42" t="s">
        <v>737</v>
      </c>
      <c r="E211" s="51" t="s">
        <v>1228</v>
      </c>
      <c r="F211" s="44" t="s">
        <v>9</v>
      </c>
      <c r="G211" s="42" t="s">
        <v>738</v>
      </c>
      <c r="H211" s="45" t="s">
        <v>715</v>
      </c>
    </row>
    <row r="212" spans="1:8">
      <c r="A212" s="41" t="s">
        <v>16</v>
      </c>
      <c r="B212" s="42" t="s">
        <v>739</v>
      </c>
      <c r="C212" s="43" t="s">
        <v>740</v>
      </c>
      <c r="D212" s="42" t="s">
        <v>741</v>
      </c>
      <c r="E212" s="51" t="s">
        <v>1229</v>
      </c>
      <c r="F212" s="44" t="s">
        <v>9</v>
      </c>
      <c r="G212" s="42" t="s">
        <v>742</v>
      </c>
      <c r="H212" s="45" t="s">
        <v>715</v>
      </c>
    </row>
    <row r="213" spans="1:8">
      <c r="A213" s="41" t="s">
        <v>16</v>
      </c>
      <c r="B213" s="42" t="s">
        <v>739</v>
      </c>
      <c r="C213" s="43" t="s">
        <v>743</v>
      </c>
      <c r="D213" s="42" t="s">
        <v>744</v>
      </c>
      <c r="E213" s="51" t="s">
        <v>1230</v>
      </c>
      <c r="F213" s="44" t="s">
        <v>9</v>
      </c>
      <c r="G213" s="42" t="s">
        <v>745</v>
      </c>
      <c r="H213" s="45" t="s">
        <v>715</v>
      </c>
    </row>
    <row r="214" spans="1:8" ht="30">
      <c r="A214" s="41" t="s">
        <v>17</v>
      </c>
      <c r="B214" s="42" t="s">
        <v>746</v>
      </c>
      <c r="C214" s="43" t="s">
        <v>747</v>
      </c>
      <c r="D214" s="42" t="s">
        <v>748</v>
      </c>
      <c r="E214" s="51" t="s">
        <v>1231</v>
      </c>
      <c r="F214" s="44" t="s">
        <v>10</v>
      </c>
      <c r="G214" s="42" t="s">
        <v>749</v>
      </c>
      <c r="H214" s="45" t="s">
        <v>750</v>
      </c>
    </row>
    <row r="215" spans="1:8">
      <c r="A215" s="41" t="s">
        <v>17</v>
      </c>
      <c r="B215" s="42" t="s">
        <v>746</v>
      </c>
      <c r="C215" s="43" t="s">
        <v>751</v>
      </c>
      <c r="D215" s="42" t="s">
        <v>752</v>
      </c>
      <c r="E215" s="51" t="s">
        <v>1232</v>
      </c>
      <c r="F215" s="44" t="s">
        <v>11</v>
      </c>
      <c r="G215" s="42" t="s">
        <v>753</v>
      </c>
      <c r="H215" s="45" t="s">
        <v>754</v>
      </c>
    </row>
    <row r="216" spans="1:8">
      <c r="A216" s="41" t="s">
        <v>17</v>
      </c>
      <c r="B216" s="42" t="s">
        <v>746</v>
      </c>
      <c r="C216" s="43" t="s">
        <v>755</v>
      </c>
      <c r="D216" s="42" t="s">
        <v>756</v>
      </c>
      <c r="E216" s="51" t="s">
        <v>1233</v>
      </c>
      <c r="F216" s="44" t="s">
        <v>11</v>
      </c>
      <c r="G216" s="42" t="s">
        <v>757</v>
      </c>
      <c r="H216" s="45" t="s">
        <v>750</v>
      </c>
    </row>
    <row r="217" spans="1:8">
      <c r="A217" s="41" t="s">
        <v>17</v>
      </c>
      <c r="B217" s="42" t="s">
        <v>746</v>
      </c>
      <c r="C217" s="43" t="s">
        <v>758</v>
      </c>
      <c r="D217" s="42" t="s">
        <v>759</v>
      </c>
      <c r="E217" s="51" t="s">
        <v>1234</v>
      </c>
      <c r="F217" s="44" t="s">
        <v>9</v>
      </c>
      <c r="G217" s="42" t="s">
        <v>760</v>
      </c>
      <c r="H217" s="45" t="s">
        <v>750</v>
      </c>
    </row>
    <row r="218" spans="1:8">
      <c r="A218" s="41" t="s">
        <v>17</v>
      </c>
      <c r="B218" s="42" t="s">
        <v>746</v>
      </c>
      <c r="C218" s="43" t="s">
        <v>761</v>
      </c>
      <c r="D218" s="42" t="s">
        <v>762</v>
      </c>
      <c r="E218" s="51" t="s">
        <v>1235</v>
      </c>
      <c r="F218" s="44" t="s">
        <v>11</v>
      </c>
      <c r="G218" s="42" t="s">
        <v>763</v>
      </c>
      <c r="H218" s="45" t="s">
        <v>750</v>
      </c>
    </row>
    <row r="219" spans="1:8">
      <c r="A219" s="41" t="s">
        <v>17</v>
      </c>
      <c r="B219" s="42" t="s">
        <v>746</v>
      </c>
      <c r="C219" s="43" t="s">
        <v>764</v>
      </c>
      <c r="D219" s="42" t="s">
        <v>765</v>
      </c>
      <c r="E219" s="51" t="s">
        <v>1236</v>
      </c>
      <c r="F219" s="44" t="s">
        <v>11</v>
      </c>
      <c r="G219" s="42" t="s">
        <v>766</v>
      </c>
      <c r="H219" s="45" t="s">
        <v>750</v>
      </c>
    </row>
    <row r="220" spans="1:8">
      <c r="A220" s="41" t="s">
        <v>17</v>
      </c>
      <c r="B220" s="42" t="s">
        <v>746</v>
      </c>
      <c r="C220" s="43" t="s">
        <v>767</v>
      </c>
      <c r="D220" s="42" t="s">
        <v>768</v>
      </c>
      <c r="E220" s="51" t="s">
        <v>1237</v>
      </c>
      <c r="F220" s="44" t="s">
        <v>11</v>
      </c>
      <c r="G220" s="42" t="s">
        <v>769</v>
      </c>
      <c r="H220" s="45" t="s">
        <v>750</v>
      </c>
    </row>
    <row r="221" spans="1:8">
      <c r="A221" s="41" t="s">
        <v>17</v>
      </c>
      <c r="B221" s="42" t="s">
        <v>746</v>
      </c>
      <c r="C221" s="43" t="s">
        <v>770</v>
      </c>
      <c r="D221" s="42" t="s">
        <v>771</v>
      </c>
      <c r="E221" s="51" t="s">
        <v>1238</v>
      </c>
      <c r="F221" s="44" t="s">
        <v>11</v>
      </c>
      <c r="G221" s="42" t="s">
        <v>772</v>
      </c>
      <c r="H221" s="45" t="s">
        <v>750</v>
      </c>
    </row>
    <row r="222" spans="1:8">
      <c r="A222" s="41" t="s">
        <v>17</v>
      </c>
      <c r="B222" s="42" t="s">
        <v>746</v>
      </c>
      <c r="C222" s="43" t="s">
        <v>773</v>
      </c>
      <c r="D222" s="42" t="s">
        <v>774</v>
      </c>
      <c r="E222" s="51" t="s">
        <v>1239</v>
      </c>
      <c r="F222" s="44" t="s">
        <v>11</v>
      </c>
      <c r="G222" s="42" t="s">
        <v>775</v>
      </c>
      <c r="H222" s="45" t="s">
        <v>750</v>
      </c>
    </row>
    <row r="223" spans="1:8">
      <c r="A223" s="41" t="s">
        <v>17</v>
      </c>
      <c r="B223" s="42" t="s">
        <v>746</v>
      </c>
      <c r="C223" s="43" t="s">
        <v>776</v>
      </c>
      <c r="D223" s="42" t="s">
        <v>777</v>
      </c>
      <c r="E223" s="51" t="s">
        <v>1240</v>
      </c>
      <c r="F223" s="44" t="s">
        <v>11</v>
      </c>
      <c r="G223" s="42" t="s">
        <v>778</v>
      </c>
      <c r="H223" s="45" t="s">
        <v>750</v>
      </c>
    </row>
    <row r="224" spans="1:8">
      <c r="A224" s="41" t="s">
        <v>17</v>
      </c>
      <c r="B224" s="42" t="s">
        <v>746</v>
      </c>
      <c r="C224" s="43" t="s">
        <v>779</v>
      </c>
      <c r="D224" s="42" t="s">
        <v>780</v>
      </c>
      <c r="E224" s="51" t="s">
        <v>1241</v>
      </c>
      <c r="F224" s="44" t="s">
        <v>11</v>
      </c>
      <c r="G224" s="42" t="s">
        <v>781</v>
      </c>
      <c r="H224" s="45" t="s">
        <v>750</v>
      </c>
    </row>
    <row r="225" spans="1:8">
      <c r="A225" s="41" t="s">
        <v>17</v>
      </c>
      <c r="B225" s="42" t="s">
        <v>746</v>
      </c>
      <c r="C225" s="43" t="s">
        <v>782</v>
      </c>
      <c r="D225" s="42" t="s">
        <v>783</v>
      </c>
      <c r="E225" s="51" t="s">
        <v>1242</v>
      </c>
      <c r="F225" s="44" t="s">
        <v>11</v>
      </c>
      <c r="G225" s="42" t="s">
        <v>784</v>
      </c>
      <c r="H225" s="45" t="s">
        <v>785</v>
      </c>
    </row>
    <row r="226" spans="1:8">
      <c r="A226" s="41" t="s">
        <v>17</v>
      </c>
      <c r="B226" s="42" t="s">
        <v>786</v>
      </c>
      <c r="C226" s="43" t="s">
        <v>787</v>
      </c>
      <c r="D226" s="42" t="s">
        <v>788</v>
      </c>
      <c r="E226" s="51" t="s">
        <v>1243</v>
      </c>
      <c r="F226" s="44" t="s">
        <v>11</v>
      </c>
      <c r="G226" s="42" t="s">
        <v>789</v>
      </c>
      <c r="H226" s="45" t="s">
        <v>790</v>
      </c>
    </row>
    <row r="227" spans="1:8">
      <c r="A227" s="41" t="s">
        <v>17</v>
      </c>
      <c r="B227" s="42" t="s">
        <v>786</v>
      </c>
      <c r="C227" s="43" t="s">
        <v>791</v>
      </c>
      <c r="D227" s="42" t="s">
        <v>792</v>
      </c>
      <c r="E227" s="51" t="s">
        <v>1244</v>
      </c>
      <c r="F227" s="44" t="s">
        <v>11</v>
      </c>
      <c r="G227" s="42" t="s">
        <v>793</v>
      </c>
      <c r="H227" s="45" t="s">
        <v>790</v>
      </c>
    </row>
    <row r="228" spans="1:8">
      <c r="A228" s="41" t="s">
        <v>17</v>
      </c>
      <c r="B228" s="42" t="s">
        <v>786</v>
      </c>
      <c r="C228" s="43" t="s">
        <v>794</v>
      </c>
      <c r="D228" s="42" t="s">
        <v>795</v>
      </c>
      <c r="E228" s="51" t="s">
        <v>1245</v>
      </c>
      <c r="F228" s="44" t="s">
        <v>11</v>
      </c>
      <c r="G228" s="42" t="s">
        <v>796</v>
      </c>
      <c r="H228" s="45" t="s">
        <v>790</v>
      </c>
    </row>
    <row r="229" spans="1:8">
      <c r="A229" s="41" t="s">
        <v>17</v>
      </c>
      <c r="B229" s="42" t="s">
        <v>786</v>
      </c>
      <c r="C229" s="43" t="s">
        <v>797</v>
      </c>
      <c r="D229" s="42" t="s">
        <v>798</v>
      </c>
      <c r="E229" s="51" t="s">
        <v>1246</v>
      </c>
      <c r="F229" s="44" t="s">
        <v>11</v>
      </c>
      <c r="G229" s="42" t="s">
        <v>799</v>
      </c>
      <c r="H229" s="45" t="s">
        <v>790</v>
      </c>
    </row>
    <row r="230" spans="1:8">
      <c r="A230" s="41" t="s">
        <v>17</v>
      </c>
      <c r="B230" s="42" t="s">
        <v>786</v>
      </c>
      <c r="C230" s="43" t="s">
        <v>800</v>
      </c>
      <c r="D230" s="42" t="s">
        <v>801</v>
      </c>
      <c r="E230" s="51" t="s">
        <v>1247</v>
      </c>
      <c r="F230" s="44" t="s">
        <v>11</v>
      </c>
      <c r="G230" s="42" t="s">
        <v>802</v>
      </c>
      <c r="H230" s="45" t="s">
        <v>790</v>
      </c>
    </row>
    <row r="231" spans="1:8">
      <c r="A231" s="41" t="s">
        <v>17</v>
      </c>
      <c r="B231" s="42" t="s">
        <v>803</v>
      </c>
      <c r="C231" s="43" t="s">
        <v>804</v>
      </c>
      <c r="D231" s="42" t="s">
        <v>805</v>
      </c>
      <c r="E231" s="51" t="s">
        <v>1248</v>
      </c>
      <c r="F231" s="44" t="s">
        <v>11</v>
      </c>
      <c r="G231" s="42" t="s">
        <v>806</v>
      </c>
      <c r="H231" s="45" t="s">
        <v>807</v>
      </c>
    </row>
    <row r="232" spans="1:8">
      <c r="A232" s="41" t="s">
        <v>17</v>
      </c>
      <c r="B232" s="42" t="s">
        <v>803</v>
      </c>
      <c r="C232" s="43" t="s">
        <v>808</v>
      </c>
      <c r="D232" s="42" t="s">
        <v>809</v>
      </c>
      <c r="E232" s="51" t="s">
        <v>1249</v>
      </c>
      <c r="F232" s="44" t="s">
        <v>11</v>
      </c>
      <c r="G232" s="42" t="s">
        <v>810</v>
      </c>
      <c r="H232" s="45" t="s">
        <v>807</v>
      </c>
    </row>
    <row r="233" spans="1:8">
      <c r="A233" s="41" t="s">
        <v>17</v>
      </c>
      <c r="B233" s="42" t="s">
        <v>803</v>
      </c>
      <c r="C233" s="43" t="s">
        <v>811</v>
      </c>
      <c r="D233" s="42" t="s">
        <v>812</v>
      </c>
      <c r="E233" s="51" t="s">
        <v>1250</v>
      </c>
      <c r="F233" s="44" t="s">
        <v>11</v>
      </c>
      <c r="G233" s="42" t="s">
        <v>813</v>
      </c>
      <c r="H233" s="45" t="s">
        <v>807</v>
      </c>
    </row>
    <row r="234" spans="1:8">
      <c r="A234" s="41" t="s">
        <v>17</v>
      </c>
      <c r="B234" s="42" t="s">
        <v>803</v>
      </c>
      <c r="C234" s="43" t="s">
        <v>814</v>
      </c>
      <c r="D234" s="42" t="s">
        <v>815</v>
      </c>
      <c r="E234" s="51" t="s">
        <v>1251</v>
      </c>
      <c r="F234" s="44" t="s">
        <v>11</v>
      </c>
      <c r="G234" s="42" t="s">
        <v>816</v>
      </c>
      <c r="H234" s="45" t="s">
        <v>807</v>
      </c>
    </row>
    <row r="235" spans="1:8">
      <c r="A235" s="41" t="s">
        <v>17</v>
      </c>
      <c r="B235" s="42" t="s">
        <v>803</v>
      </c>
      <c r="C235" s="43" t="s">
        <v>817</v>
      </c>
      <c r="D235" s="42" t="s">
        <v>818</v>
      </c>
      <c r="E235" s="51" t="s">
        <v>1252</v>
      </c>
      <c r="F235" s="44" t="s">
        <v>11</v>
      </c>
      <c r="G235" s="42" t="s">
        <v>819</v>
      </c>
      <c r="H235" s="45" t="s">
        <v>807</v>
      </c>
    </row>
    <row r="236" spans="1:8">
      <c r="A236" s="41" t="s">
        <v>17</v>
      </c>
      <c r="B236" s="42" t="s">
        <v>803</v>
      </c>
      <c r="C236" s="43" t="s">
        <v>820</v>
      </c>
      <c r="D236" s="42" t="s">
        <v>821</v>
      </c>
      <c r="E236" s="51" t="s">
        <v>1253</v>
      </c>
      <c r="F236" s="44" t="s">
        <v>11</v>
      </c>
      <c r="G236" s="42" t="s">
        <v>822</v>
      </c>
      <c r="H236" s="45" t="s">
        <v>807</v>
      </c>
    </row>
    <row r="237" spans="1:8">
      <c r="A237" s="41" t="s">
        <v>17</v>
      </c>
      <c r="B237" s="42" t="s">
        <v>803</v>
      </c>
      <c r="C237" s="43" t="s">
        <v>823</v>
      </c>
      <c r="D237" s="42" t="s">
        <v>824</v>
      </c>
      <c r="E237" s="51" t="s">
        <v>1254</v>
      </c>
      <c r="F237" s="44" t="s">
        <v>11</v>
      </c>
      <c r="G237" s="42" t="s">
        <v>825</v>
      </c>
      <c r="H237" s="45" t="s">
        <v>807</v>
      </c>
    </row>
    <row r="238" spans="1:8">
      <c r="A238" s="41" t="s">
        <v>17</v>
      </c>
      <c r="B238" s="42" t="s">
        <v>803</v>
      </c>
      <c r="C238" s="43" t="s">
        <v>826</v>
      </c>
      <c r="D238" s="42" t="s">
        <v>827</v>
      </c>
      <c r="E238" s="51" t="s">
        <v>1255</v>
      </c>
      <c r="F238" s="44" t="s">
        <v>11</v>
      </c>
      <c r="G238" s="42" t="s">
        <v>828</v>
      </c>
      <c r="H238" s="45" t="s">
        <v>807</v>
      </c>
    </row>
    <row r="239" spans="1:8">
      <c r="A239" s="41" t="s">
        <v>17</v>
      </c>
      <c r="B239" s="42" t="s">
        <v>829</v>
      </c>
      <c r="C239" s="43" t="s">
        <v>830</v>
      </c>
      <c r="D239" s="42" t="s">
        <v>831</v>
      </c>
      <c r="E239" s="51" t="s">
        <v>1256</v>
      </c>
      <c r="F239" s="44" t="s">
        <v>11</v>
      </c>
      <c r="G239" s="42" t="s">
        <v>832</v>
      </c>
      <c r="H239" s="45" t="s">
        <v>833</v>
      </c>
    </row>
    <row r="240" spans="1:8">
      <c r="A240" s="41" t="s">
        <v>17</v>
      </c>
      <c r="B240" s="42" t="s">
        <v>829</v>
      </c>
      <c r="C240" s="43" t="s">
        <v>834</v>
      </c>
      <c r="D240" s="42" t="s">
        <v>835</v>
      </c>
      <c r="E240" s="51" t="s">
        <v>1257</v>
      </c>
      <c r="F240" s="44" t="s">
        <v>11</v>
      </c>
      <c r="G240" s="42" t="s">
        <v>836</v>
      </c>
      <c r="H240" s="45" t="s">
        <v>833</v>
      </c>
    </row>
    <row r="241" spans="1:8">
      <c r="A241" s="41" t="s">
        <v>17</v>
      </c>
      <c r="B241" s="42" t="s">
        <v>829</v>
      </c>
      <c r="C241" s="43" t="s">
        <v>837</v>
      </c>
      <c r="D241" s="42" t="s">
        <v>838</v>
      </c>
      <c r="E241" s="51" t="s">
        <v>1258</v>
      </c>
      <c r="F241" s="44" t="s">
        <v>11</v>
      </c>
      <c r="G241" s="42" t="s">
        <v>839</v>
      </c>
      <c r="H241" s="45" t="s">
        <v>833</v>
      </c>
    </row>
    <row r="242" spans="1:8">
      <c r="A242" s="41" t="s">
        <v>17</v>
      </c>
      <c r="B242" s="42" t="s">
        <v>829</v>
      </c>
      <c r="C242" s="43" t="s">
        <v>840</v>
      </c>
      <c r="D242" s="42" t="s">
        <v>841</v>
      </c>
      <c r="E242" s="51" t="s">
        <v>1259</v>
      </c>
      <c r="F242" s="44" t="s">
        <v>11</v>
      </c>
      <c r="G242" s="42" t="s">
        <v>842</v>
      </c>
      <c r="H242" s="45" t="s">
        <v>833</v>
      </c>
    </row>
    <row r="243" spans="1:8">
      <c r="A243" s="41" t="s">
        <v>17</v>
      </c>
      <c r="B243" s="42" t="s">
        <v>829</v>
      </c>
      <c r="C243" s="43" t="s">
        <v>843</v>
      </c>
      <c r="D243" s="42" t="s">
        <v>844</v>
      </c>
      <c r="E243" s="51" t="s">
        <v>1260</v>
      </c>
      <c r="F243" s="44" t="s">
        <v>11</v>
      </c>
      <c r="G243" s="42" t="s">
        <v>845</v>
      </c>
      <c r="H243" s="45" t="s">
        <v>833</v>
      </c>
    </row>
    <row r="244" spans="1:8">
      <c r="A244" s="41" t="s">
        <v>17</v>
      </c>
      <c r="B244" s="42" t="s">
        <v>829</v>
      </c>
      <c r="C244" s="43" t="s">
        <v>846</v>
      </c>
      <c r="D244" s="42" t="s">
        <v>847</v>
      </c>
      <c r="E244" s="51" t="s">
        <v>1261</v>
      </c>
      <c r="F244" s="44" t="s">
        <v>11</v>
      </c>
      <c r="G244" s="42" t="s">
        <v>848</v>
      </c>
      <c r="H244" s="45" t="s">
        <v>833</v>
      </c>
    </row>
    <row r="245" spans="1:8">
      <c r="A245" s="41" t="s">
        <v>17</v>
      </c>
      <c r="B245" s="42" t="s">
        <v>829</v>
      </c>
      <c r="C245" s="43" t="s">
        <v>849</v>
      </c>
      <c r="D245" s="42" t="s">
        <v>850</v>
      </c>
      <c r="E245" s="51" t="s">
        <v>1262</v>
      </c>
      <c r="F245" s="44" t="s">
        <v>11</v>
      </c>
      <c r="G245" s="42" t="s">
        <v>851</v>
      </c>
      <c r="H245" s="45" t="s">
        <v>833</v>
      </c>
    </row>
    <row r="246" spans="1:8">
      <c r="A246" s="41" t="s">
        <v>17</v>
      </c>
      <c r="B246" s="42" t="s">
        <v>829</v>
      </c>
      <c r="C246" s="43" t="s">
        <v>852</v>
      </c>
      <c r="D246" s="42" t="s">
        <v>853</v>
      </c>
      <c r="E246" s="51" t="s">
        <v>1263</v>
      </c>
      <c r="F246" s="44" t="s">
        <v>11</v>
      </c>
      <c r="G246" s="42" t="s">
        <v>854</v>
      </c>
      <c r="H246" s="45" t="s">
        <v>833</v>
      </c>
    </row>
    <row r="247" spans="1:8">
      <c r="A247" s="41" t="s">
        <v>17</v>
      </c>
      <c r="B247" s="42" t="s">
        <v>829</v>
      </c>
      <c r="C247" s="43" t="s">
        <v>855</v>
      </c>
      <c r="D247" s="42" t="s">
        <v>856</v>
      </c>
      <c r="E247" s="51" t="s">
        <v>1264</v>
      </c>
      <c r="F247" s="44" t="s">
        <v>11</v>
      </c>
      <c r="G247" s="42" t="s">
        <v>857</v>
      </c>
      <c r="H247" s="45" t="s">
        <v>833</v>
      </c>
    </row>
    <row r="248" spans="1:8">
      <c r="A248" s="41" t="s">
        <v>17</v>
      </c>
      <c r="B248" s="42" t="s">
        <v>829</v>
      </c>
      <c r="C248" s="43" t="s">
        <v>858</v>
      </c>
      <c r="D248" s="42" t="s">
        <v>859</v>
      </c>
      <c r="E248" s="51" t="s">
        <v>1265</v>
      </c>
      <c r="F248" s="44" t="s">
        <v>9</v>
      </c>
      <c r="G248" s="42" t="s">
        <v>860</v>
      </c>
      <c r="H248" s="45" t="s">
        <v>833</v>
      </c>
    </row>
    <row r="249" spans="1:8">
      <c r="A249" s="41" t="s">
        <v>17</v>
      </c>
      <c r="B249" s="42" t="s">
        <v>829</v>
      </c>
      <c r="C249" s="43" t="s">
        <v>861</v>
      </c>
      <c r="D249" s="42" t="s">
        <v>862</v>
      </c>
      <c r="E249" s="51" t="s">
        <v>1266</v>
      </c>
      <c r="F249" s="44" t="s">
        <v>11</v>
      </c>
      <c r="G249" s="42" t="s">
        <v>863</v>
      </c>
      <c r="H249" s="45" t="s">
        <v>833</v>
      </c>
    </row>
    <row r="250" spans="1:8">
      <c r="A250" s="41" t="s">
        <v>17</v>
      </c>
      <c r="B250" s="42" t="s">
        <v>829</v>
      </c>
      <c r="C250" s="43" t="s">
        <v>864</v>
      </c>
      <c r="D250" s="42" t="s">
        <v>865</v>
      </c>
      <c r="E250" s="51" t="s">
        <v>1267</v>
      </c>
      <c r="F250" s="44" t="s">
        <v>11</v>
      </c>
      <c r="G250" s="42" t="s">
        <v>866</v>
      </c>
      <c r="H250" s="45" t="s">
        <v>833</v>
      </c>
    </row>
    <row r="251" spans="1:8">
      <c r="A251" s="41" t="s">
        <v>17</v>
      </c>
      <c r="B251" s="42" t="s">
        <v>829</v>
      </c>
      <c r="C251" s="43" t="s">
        <v>867</v>
      </c>
      <c r="D251" s="42" t="s">
        <v>868</v>
      </c>
      <c r="E251" s="51" t="s">
        <v>1268</v>
      </c>
      <c r="F251" s="44" t="s">
        <v>11</v>
      </c>
      <c r="G251" s="42" t="s">
        <v>869</v>
      </c>
      <c r="H251" s="45" t="s">
        <v>833</v>
      </c>
    </row>
    <row r="252" spans="1:8">
      <c r="A252" s="41" t="s">
        <v>17</v>
      </c>
      <c r="B252" s="42" t="s">
        <v>829</v>
      </c>
      <c r="C252" s="43" t="s">
        <v>870</v>
      </c>
      <c r="D252" s="42" t="s">
        <v>871</v>
      </c>
      <c r="E252" s="51" t="s">
        <v>1269</v>
      </c>
      <c r="F252" s="44" t="s">
        <v>11</v>
      </c>
      <c r="G252" s="42" t="s">
        <v>872</v>
      </c>
      <c r="H252" s="45" t="s">
        <v>833</v>
      </c>
    </row>
    <row r="253" spans="1:8">
      <c r="A253" s="41" t="s">
        <v>17</v>
      </c>
      <c r="B253" s="42" t="s">
        <v>829</v>
      </c>
      <c r="C253" s="43" t="s">
        <v>873</v>
      </c>
      <c r="D253" s="42" t="s">
        <v>874</v>
      </c>
      <c r="E253" s="51" t="s">
        <v>1270</v>
      </c>
      <c r="F253" s="44" t="s">
        <v>11</v>
      </c>
      <c r="G253" s="42" t="s">
        <v>875</v>
      </c>
      <c r="H253" s="45" t="s">
        <v>833</v>
      </c>
    </row>
    <row r="254" spans="1:8">
      <c r="A254" s="41" t="s">
        <v>17</v>
      </c>
      <c r="B254" s="42" t="s">
        <v>829</v>
      </c>
      <c r="C254" s="43" t="s">
        <v>876</v>
      </c>
      <c r="D254" s="42" t="s">
        <v>877</v>
      </c>
      <c r="E254" s="51" t="s">
        <v>1271</v>
      </c>
      <c r="F254" s="44" t="s">
        <v>11</v>
      </c>
      <c r="G254" s="42" t="s">
        <v>878</v>
      </c>
      <c r="H254" s="45" t="s">
        <v>879</v>
      </c>
    </row>
    <row r="255" spans="1:8">
      <c r="A255" s="41" t="s">
        <v>17</v>
      </c>
      <c r="B255" s="42" t="s">
        <v>829</v>
      </c>
      <c r="C255" s="43" t="s">
        <v>880</v>
      </c>
      <c r="D255" s="42" t="s">
        <v>881</v>
      </c>
      <c r="E255" s="51" t="s">
        <v>1272</v>
      </c>
      <c r="F255" s="44" t="s">
        <v>11</v>
      </c>
      <c r="G255" s="42" t="s">
        <v>882</v>
      </c>
      <c r="H255" s="45" t="s">
        <v>833</v>
      </c>
    </row>
    <row r="256" spans="1:8" ht="30">
      <c r="A256" s="41" t="s">
        <v>17</v>
      </c>
      <c r="B256" s="42" t="s">
        <v>829</v>
      </c>
      <c r="C256" s="43" t="s">
        <v>883</v>
      </c>
      <c r="D256" s="42" t="s">
        <v>884</v>
      </c>
      <c r="E256" s="51" t="s">
        <v>1273</v>
      </c>
      <c r="F256" s="44" t="s">
        <v>11</v>
      </c>
      <c r="G256" s="42" t="s">
        <v>885</v>
      </c>
      <c r="H256" s="45" t="s">
        <v>833</v>
      </c>
    </row>
    <row r="257" spans="1:8">
      <c r="A257" s="41" t="s">
        <v>17</v>
      </c>
      <c r="B257" s="42" t="s">
        <v>886</v>
      </c>
      <c r="C257" s="43" t="s">
        <v>887</v>
      </c>
      <c r="D257" s="42" t="s">
        <v>888</v>
      </c>
      <c r="E257" s="51" t="s">
        <v>1274</v>
      </c>
      <c r="F257" s="44" t="s">
        <v>11</v>
      </c>
      <c r="G257" s="42" t="s">
        <v>889</v>
      </c>
      <c r="H257" s="45" t="s">
        <v>890</v>
      </c>
    </row>
    <row r="258" spans="1:8">
      <c r="A258" s="41" t="s">
        <v>17</v>
      </c>
      <c r="B258" s="42" t="s">
        <v>886</v>
      </c>
      <c r="C258" s="43" t="s">
        <v>891</v>
      </c>
      <c r="D258" s="42" t="s">
        <v>892</v>
      </c>
      <c r="E258" s="51" t="s">
        <v>1275</v>
      </c>
      <c r="F258" s="44" t="s">
        <v>11</v>
      </c>
      <c r="G258" s="42" t="s">
        <v>893</v>
      </c>
      <c r="H258" s="45" t="s">
        <v>894</v>
      </c>
    </row>
    <row r="259" spans="1:8">
      <c r="A259" s="41" t="s">
        <v>17</v>
      </c>
      <c r="B259" s="42" t="s">
        <v>886</v>
      </c>
      <c r="C259" s="43" t="s">
        <v>895</v>
      </c>
      <c r="D259" s="42" t="s">
        <v>896</v>
      </c>
      <c r="E259" s="51" t="s">
        <v>1276</v>
      </c>
      <c r="F259" s="44" t="s">
        <v>11</v>
      </c>
      <c r="G259" s="42" t="s">
        <v>897</v>
      </c>
      <c r="H259" s="45" t="s">
        <v>890</v>
      </c>
    </row>
    <row r="260" spans="1:8">
      <c r="A260" s="41" t="s">
        <v>17</v>
      </c>
      <c r="B260" s="42" t="s">
        <v>886</v>
      </c>
      <c r="C260" s="43" t="s">
        <v>898</v>
      </c>
      <c r="D260" s="42" t="s">
        <v>899</v>
      </c>
      <c r="E260" s="51" t="s">
        <v>1277</v>
      </c>
      <c r="F260" s="44" t="s">
        <v>11</v>
      </c>
      <c r="G260" s="42" t="s">
        <v>900</v>
      </c>
      <c r="H260" s="45" t="s">
        <v>890</v>
      </c>
    </row>
    <row r="261" spans="1:8">
      <c r="A261" s="41" t="s">
        <v>17</v>
      </c>
      <c r="B261" s="42" t="s">
        <v>886</v>
      </c>
      <c r="C261" s="43" t="s">
        <v>901</v>
      </c>
      <c r="D261" s="42" t="s">
        <v>902</v>
      </c>
      <c r="E261" s="51" t="s">
        <v>1278</v>
      </c>
      <c r="F261" s="44" t="s">
        <v>11</v>
      </c>
      <c r="G261" s="42" t="s">
        <v>903</v>
      </c>
      <c r="H261" s="45" t="s">
        <v>890</v>
      </c>
    </row>
    <row r="262" spans="1:8">
      <c r="A262" s="41" t="s">
        <v>17</v>
      </c>
      <c r="B262" s="42" t="s">
        <v>886</v>
      </c>
      <c r="C262" s="43" t="s">
        <v>904</v>
      </c>
      <c r="D262" s="42" t="s">
        <v>905</v>
      </c>
      <c r="E262" s="51" t="s">
        <v>1279</v>
      </c>
      <c r="F262" s="44" t="s">
        <v>11</v>
      </c>
      <c r="G262" s="42" t="s">
        <v>906</v>
      </c>
      <c r="H262" s="45" t="s">
        <v>890</v>
      </c>
    </row>
    <row r="263" spans="1:8">
      <c r="A263" s="41" t="s">
        <v>17</v>
      </c>
      <c r="B263" s="42" t="s">
        <v>886</v>
      </c>
      <c r="C263" s="43" t="s">
        <v>907</v>
      </c>
      <c r="D263" s="42" t="s">
        <v>908</v>
      </c>
      <c r="E263" s="51" t="s">
        <v>1280</v>
      </c>
      <c r="F263" s="44" t="s">
        <v>11</v>
      </c>
      <c r="G263" s="42" t="s">
        <v>909</v>
      </c>
      <c r="H263" s="45" t="s">
        <v>890</v>
      </c>
    </row>
    <row r="264" spans="1:8">
      <c r="A264" s="41" t="s">
        <v>17</v>
      </c>
      <c r="B264" s="42" t="s">
        <v>886</v>
      </c>
      <c r="C264" s="43" t="s">
        <v>910</v>
      </c>
      <c r="D264" s="42" t="s">
        <v>911</v>
      </c>
      <c r="E264" s="51" t="s">
        <v>1281</v>
      </c>
      <c r="F264" s="44" t="s">
        <v>11</v>
      </c>
      <c r="G264" s="42" t="s">
        <v>912</v>
      </c>
      <c r="H264" s="45" t="s">
        <v>890</v>
      </c>
    </row>
    <row r="265" spans="1:8">
      <c r="A265" s="41" t="s">
        <v>17</v>
      </c>
      <c r="B265" s="42" t="s">
        <v>913</v>
      </c>
      <c r="C265" s="43" t="s">
        <v>914</v>
      </c>
      <c r="D265" s="42" t="s">
        <v>915</v>
      </c>
      <c r="E265" s="51" t="s">
        <v>1282</v>
      </c>
      <c r="F265" s="44" t="s">
        <v>11</v>
      </c>
      <c r="G265" s="42" t="s">
        <v>916</v>
      </c>
      <c r="H265" s="45" t="s">
        <v>917</v>
      </c>
    </row>
    <row r="266" spans="1:8">
      <c r="A266" s="41" t="s">
        <v>17</v>
      </c>
      <c r="B266" s="42" t="s">
        <v>913</v>
      </c>
      <c r="C266" s="43" t="s">
        <v>918</v>
      </c>
      <c r="D266" s="42" t="s">
        <v>919</v>
      </c>
      <c r="E266" s="51" t="s">
        <v>1283</v>
      </c>
      <c r="F266" s="44" t="s">
        <v>11</v>
      </c>
      <c r="G266" s="42" t="s">
        <v>920</v>
      </c>
      <c r="H266" s="45" t="s">
        <v>921</v>
      </c>
    </row>
    <row r="267" spans="1:8">
      <c r="A267" s="41" t="s">
        <v>17</v>
      </c>
      <c r="B267" s="42" t="s">
        <v>913</v>
      </c>
      <c r="C267" s="43" t="s">
        <v>922</v>
      </c>
      <c r="D267" s="42" t="s">
        <v>923</v>
      </c>
      <c r="E267" s="51" t="s">
        <v>1284</v>
      </c>
      <c r="F267" s="44" t="s">
        <v>10</v>
      </c>
      <c r="G267" s="42" t="s">
        <v>924</v>
      </c>
      <c r="H267" s="45" t="s">
        <v>925</v>
      </c>
    </row>
    <row r="268" spans="1:8">
      <c r="A268" s="41" t="s">
        <v>17</v>
      </c>
      <c r="B268" s="42" t="s">
        <v>913</v>
      </c>
      <c r="C268" s="43" t="s">
        <v>926</v>
      </c>
      <c r="D268" s="42" t="s">
        <v>927</v>
      </c>
      <c r="E268" s="51" t="s">
        <v>1285</v>
      </c>
      <c r="F268" s="44" t="s">
        <v>11</v>
      </c>
      <c r="G268" s="42" t="s">
        <v>928</v>
      </c>
      <c r="H268" s="45" t="s">
        <v>921</v>
      </c>
    </row>
    <row r="269" spans="1:8">
      <c r="A269" s="41" t="s">
        <v>17</v>
      </c>
      <c r="B269" s="42" t="s">
        <v>929</v>
      </c>
      <c r="C269" s="43" t="s">
        <v>930</v>
      </c>
      <c r="D269" s="42" t="s">
        <v>931</v>
      </c>
      <c r="E269" s="51" t="s">
        <v>1286</v>
      </c>
      <c r="F269" s="44" t="s">
        <v>11</v>
      </c>
      <c r="G269" s="42" t="s">
        <v>932</v>
      </c>
      <c r="H269" s="45" t="s">
        <v>933</v>
      </c>
    </row>
    <row r="270" spans="1:8">
      <c r="A270" s="41" t="s">
        <v>17</v>
      </c>
      <c r="B270" s="42" t="s">
        <v>929</v>
      </c>
      <c r="C270" s="43" t="s">
        <v>934</v>
      </c>
      <c r="D270" s="42" t="s">
        <v>935</v>
      </c>
      <c r="E270" s="51" t="s">
        <v>1287</v>
      </c>
      <c r="F270" s="44" t="s">
        <v>11</v>
      </c>
      <c r="G270" s="42" t="s">
        <v>936</v>
      </c>
      <c r="H270" s="45" t="s">
        <v>933</v>
      </c>
    </row>
    <row r="271" spans="1:8">
      <c r="A271" s="41" t="s">
        <v>17</v>
      </c>
      <c r="B271" s="42" t="s">
        <v>929</v>
      </c>
      <c r="C271" s="43" t="s">
        <v>937</v>
      </c>
      <c r="D271" s="42" t="s">
        <v>938</v>
      </c>
      <c r="E271" s="51" t="s">
        <v>1288</v>
      </c>
      <c r="F271" s="44" t="s">
        <v>11</v>
      </c>
      <c r="G271" s="42" t="s">
        <v>939</v>
      </c>
      <c r="H271" s="45" t="s">
        <v>933</v>
      </c>
    </row>
    <row r="272" spans="1:8">
      <c r="A272" s="46" t="s">
        <v>17</v>
      </c>
      <c r="B272" s="47" t="s">
        <v>929</v>
      </c>
      <c r="C272" s="48" t="s">
        <v>940</v>
      </c>
      <c r="D272" s="47" t="s">
        <v>941</v>
      </c>
      <c r="E272" s="52" t="s">
        <v>1289</v>
      </c>
      <c r="F272" s="49" t="s">
        <v>11</v>
      </c>
      <c r="G272" s="47" t="s">
        <v>942</v>
      </c>
      <c r="H272" s="50" t="s">
        <v>933</v>
      </c>
    </row>
  </sheetData>
  <autoFilter ref="A6:H272" xr:uid="{4F6F187A-C144-EF41-838F-8FD30632C19C}"/>
  <phoneticPr fontId="2"/>
  <conditionalFormatting sqref="A7:H272">
    <cfRule type="expression" dxfId="10" priority="1">
      <formula>$F7="確定"</formula>
    </cfRule>
  </conditionalFormatting>
  <conditionalFormatting sqref="A7:H272">
    <cfRule type="expression" dxfId="9" priority="2">
      <formula>$F7="検討中"</formula>
    </cfRule>
  </conditionalFormatting>
  <conditionalFormatting sqref="A7:H272">
    <cfRule type="expression" dxfId="8" priority="3">
      <formula>$F7="未着手"</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74"/>
  <sheetViews>
    <sheetView workbookViewId="0">
      <pane ySplit="4" topLeftCell="A5" activePane="bottomLeft" state="frozen"/>
      <selection pane="bottomLeft"/>
    </sheetView>
  </sheetViews>
  <sheetFormatPr baseColWidth="10" defaultRowHeight="20"/>
  <cols>
    <col min="1" max="1" width="17.140625" customWidth="1"/>
    <col min="2" max="2" width="24.28515625" customWidth="1"/>
    <col min="3" max="3" width="32.85546875" customWidth="1"/>
    <col min="4" max="4" width="100" customWidth="1"/>
    <col min="5" max="5" width="40" customWidth="1"/>
  </cols>
  <sheetData>
    <row r="1" spans="1:5" ht="25">
      <c r="A1" s="53" t="s">
        <v>1290</v>
      </c>
    </row>
    <row r="2" spans="1:5">
      <c r="A2" s="2" t="s">
        <v>1291</v>
      </c>
    </row>
    <row r="4" spans="1:5" ht="22" customHeight="1">
      <c r="A4" s="16" t="s">
        <v>1292</v>
      </c>
      <c r="B4" s="17" t="s">
        <v>1293</v>
      </c>
      <c r="C4" s="17" t="s">
        <v>1294</v>
      </c>
      <c r="D4" s="17" t="s">
        <v>1295</v>
      </c>
      <c r="E4" s="18" t="s">
        <v>1296</v>
      </c>
    </row>
    <row r="5" spans="1:5">
      <c r="A5" s="55" t="s">
        <v>1305</v>
      </c>
      <c r="B5" s="6" t="s">
        <v>707</v>
      </c>
      <c r="C5" s="6" t="s">
        <v>1306</v>
      </c>
      <c r="D5" s="6" t="s">
        <v>1307</v>
      </c>
      <c r="E5" s="13" t="s">
        <v>1308</v>
      </c>
    </row>
    <row r="6" spans="1:5">
      <c r="A6" s="55" t="s">
        <v>1309</v>
      </c>
      <c r="B6" s="6" t="s">
        <v>707</v>
      </c>
      <c r="C6" s="6" t="s">
        <v>1310</v>
      </c>
      <c r="D6" s="6" t="s">
        <v>1311</v>
      </c>
      <c r="E6" s="13" t="s">
        <v>1308</v>
      </c>
    </row>
    <row r="7" spans="1:5">
      <c r="A7" s="55" t="s">
        <v>1312</v>
      </c>
      <c r="B7" s="6" t="s">
        <v>707</v>
      </c>
      <c r="C7" s="6" t="s">
        <v>1313</v>
      </c>
      <c r="D7" s="6" t="s">
        <v>1314</v>
      </c>
      <c r="E7" s="13" t="s">
        <v>1308</v>
      </c>
    </row>
    <row r="8" spans="1:5">
      <c r="A8" s="55" t="s">
        <v>1315</v>
      </c>
      <c r="B8" s="6" t="s">
        <v>707</v>
      </c>
      <c r="C8" s="6" t="s">
        <v>1316</v>
      </c>
      <c r="D8" s="6" t="s">
        <v>1317</v>
      </c>
      <c r="E8" s="13" t="s">
        <v>1308</v>
      </c>
    </row>
    <row r="9" spans="1:5">
      <c r="A9" s="55" t="s">
        <v>1318</v>
      </c>
      <c r="B9" s="6" t="s">
        <v>707</v>
      </c>
      <c r="C9" s="6" t="s">
        <v>1319</v>
      </c>
      <c r="D9" s="6" t="s">
        <v>1320</v>
      </c>
      <c r="E9" s="13" t="s">
        <v>1308</v>
      </c>
    </row>
    <row r="10" spans="1:5">
      <c r="A10" s="55" t="s">
        <v>1321</v>
      </c>
      <c r="B10" s="6" t="s">
        <v>707</v>
      </c>
      <c r="C10" s="6" t="s">
        <v>1322</v>
      </c>
      <c r="D10" s="6" t="s">
        <v>1323</v>
      </c>
      <c r="E10" s="13" t="s">
        <v>1308</v>
      </c>
    </row>
    <row r="11" spans="1:5">
      <c r="A11" s="55" t="s">
        <v>1324</v>
      </c>
      <c r="B11" s="6" t="s">
        <v>707</v>
      </c>
      <c r="C11" s="6" t="s">
        <v>1325</v>
      </c>
      <c r="D11" s="6" t="s">
        <v>1326</v>
      </c>
      <c r="E11" s="13" t="s">
        <v>1308</v>
      </c>
    </row>
    <row r="12" spans="1:5">
      <c r="A12" s="55" t="s">
        <v>1327</v>
      </c>
      <c r="B12" s="6" t="s">
        <v>707</v>
      </c>
      <c r="C12" s="6" t="s">
        <v>1328</v>
      </c>
      <c r="D12" s="6" t="s">
        <v>1329</v>
      </c>
      <c r="E12" s="13" t="s">
        <v>1308</v>
      </c>
    </row>
    <row r="13" spans="1:5">
      <c r="A13" s="55" t="s">
        <v>1330</v>
      </c>
      <c r="B13" s="6" t="s">
        <v>707</v>
      </c>
      <c r="C13" s="6" t="s">
        <v>1331</v>
      </c>
      <c r="D13" s="6" t="s">
        <v>1332</v>
      </c>
      <c r="E13" s="13" t="s">
        <v>1308</v>
      </c>
    </row>
    <row r="14" spans="1:5">
      <c r="A14" s="55" t="s">
        <v>1333</v>
      </c>
      <c r="B14" s="6" t="s">
        <v>707</v>
      </c>
      <c r="C14" s="6" t="s">
        <v>1334</v>
      </c>
      <c r="D14" s="6" t="s">
        <v>1335</v>
      </c>
      <c r="E14" s="13" t="s">
        <v>1308</v>
      </c>
    </row>
    <row r="15" spans="1:5">
      <c r="A15" s="55" t="s">
        <v>1336</v>
      </c>
      <c r="B15" s="6" t="s">
        <v>707</v>
      </c>
      <c r="C15" s="6" t="s">
        <v>1337</v>
      </c>
      <c r="D15" s="6" t="s">
        <v>1338</v>
      </c>
      <c r="E15" s="13" t="s">
        <v>1308</v>
      </c>
    </row>
    <row r="16" spans="1:5">
      <c r="A16" s="55" t="s">
        <v>1339</v>
      </c>
      <c r="B16" s="6" t="s">
        <v>707</v>
      </c>
      <c r="C16" s="6" t="s">
        <v>1340</v>
      </c>
      <c r="D16" s="6" t="s">
        <v>1341</v>
      </c>
      <c r="E16" s="13" t="s">
        <v>1308</v>
      </c>
    </row>
    <row r="17" spans="1:5">
      <c r="A17" s="55" t="s">
        <v>1342</v>
      </c>
      <c r="B17" s="6" t="s">
        <v>707</v>
      </c>
      <c r="C17" s="6" t="s">
        <v>1343</v>
      </c>
      <c r="D17" s="6" t="s">
        <v>1344</v>
      </c>
      <c r="E17" s="13" t="s">
        <v>1308</v>
      </c>
    </row>
    <row r="18" spans="1:5">
      <c r="A18" s="55" t="s">
        <v>1345</v>
      </c>
      <c r="B18" s="6" t="s">
        <v>707</v>
      </c>
      <c r="C18" s="6" t="s">
        <v>1346</v>
      </c>
      <c r="D18" s="6" t="s">
        <v>1347</v>
      </c>
      <c r="E18" s="13" t="s">
        <v>1308</v>
      </c>
    </row>
    <row r="19" spans="1:5">
      <c r="A19" s="55" t="s">
        <v>1348</v>
      </c>
      <c r="B19" s="6" t="s">
        <v>707</v>
      </c>
      <c r="C19" s="6" t="s">
        <v>1349</v>
      </c>
      <c r="D19" s="6" t="s">
        <v>1350</v>
      </c>
      <c r="E19" s="13" t="s">
        <v>1308</v>
      </c>
    </row>
    <row r="20" spans="1:5">
      <c r="A20" s="55" t="s">
        <v>1351</v>
      </c>
      <c r="B20" s="6" t="s">
        <v>707</v>
      </c>
      <c r="C20" s="6" t="s">
        <v>1352</v>
      </c>
      <c r="D20" s="6" t="s">
        <v>1353</v>
      </c>
      <c r="E20" s="13" t="s">
        <v>1308</v>
      </c>
    </row>
    <row r="21" spans="1:5">
      <c r="A21" s="55" t="s">
        <v>1354</v>
      </c>
      <c r="B21" s="6" t="s">
        <v>707</v>
      </c>
      <c r="C21" s="6" t="s">
        <v>1355</v>
      </c>
      <c r="D21" s="6" t="s">
        <v>1356</v>
      </c>
      <c r="E21" s="13" t="s">
        <v>1308</v>
      </c>
    </row>
    <row r="22" spans="1:5">
      <c r="A22" s="55" t="s">
        <v>1357</v>
      </c>
      <c r="B22" s="6" t="s">
        <v>707</v>
      </c>
      <c r="C22" s="6" t="s">
        <v>1358</v>
      </c>
      <c r="D22" s="6" t="s">
        <v>1359</v>
      </c>
      <c r="E22" s="13" t="s">
        <v>1308</v>
      </c>
    </row>
    <row r="23" spans="1:5">
      <c r="A23" s="55" t="s">
        <v>1360</v>
      </c>
      <c r="B23" s="6" t="s">
        <v>707</v>
      </c>
      <c r="C23" s="6" t="s">
        <v>1361</v>
      </c>
      <c r="D23" s="6" t="s">
        <v>1362</v>
      </c>
      <c r="E23" s="13" t="s">
        <v>1308</v>
      </c>
    </row>
    <row r="24" spans="1:5">
      <c r="A24" s="55" t="s">
        <v>1363</v>
      </c>
      <c r="B24" s="6" t="s">
        <v>707</v>
      </c>
      <c r="C24" s="6" t="s">
        <v>1364</v>
      </c>
      <c r="D24" s="6" t="s">
        <v>1365</v>
      </c>
      <c r="E24" s="13" t="s">
        <v>1308</v>
      </c>
    </row>
    <row r="25" spans="1:5">
      <c r="A25" s="55" t="s">
        <v>1366</v>
      </c>
      <c r="B25" s="6" t="s">
        <v>707</v>
      </c>
      <c r="C25" s="6" t="s">
        <v>1367</v>
      </c>
      <c r="D25" s="6" t="s">
        <v>1368</v>
      </c>
      <c r="E25" s="13" t="s">
        <v>1308</v>
      </c>
    </row>
    <row r="26" spans="1:5">
      <c r="A26" s="55" t="s">
        <v>1369</v>
      </c>
      <c r="B26" s="6" t="s">
        <v>707</v>
      </c>
      <c r="C26" s="6" t="s">
        <v>1370</v>
      </c>
      <c r="D26" s="6" t="s">
        <v>1371</v>
      </c>
      <c r="E26" s="13" t="s">
        <v>1308</v>
      </c>
    </row>
    <row r="27" spans="1:5">
      <c r="A27" s="55" t="s">
        <v>1372</v>
      </c>
      <c r="B27" s="6" t="s">
        <v>707</v>
      </c>
      <c r="C27" s="6" t="s">
        <v>1373</v>
      </c>
      <c r="D27" s="6" t="s">
        <v>1374</v>
      </c>
      <c r="E27" s="13" t="s">
        <v>1308</v>
      </c>
    </row>
    <row r="28" spans="1:5">
      <c r="A28" s="55" t="s">
        <v>1375</v>
      </c>
      <c r="B28" s="6" t="s">
        <v>707</v>
      </c>
      <c r="C28" s="6" t="s">
        <v>1376</v>
      </c>
      <c r="D28" s="6" t="s">
        <v>1377</v>
      </c>
      <c r="E28" s="13" t="s">
        <v>1308</v>
      </c>
    </row>
    <row r="29" spans="1:5">
      <c r="A29" s="55" t="s">
        <v>1378</v>
      </c>
      <c r="B29" s="6" t="s">
        <v>707</v>
      </c>
      <c r="C29" s="6" t="s">
        <v>1379</v>
      </c>
      <c r="D29" s="6" t="s">
        <v>1380</v>
      </c>
      <c r="E29" s="13" t="s">
        <v>1308</v>
      </c>
    </row>
    <row r="30" spans="1:5">
      <c r="A30" s="55" t="s">
        <v>1381</v>
      </c>
      <c r="B30" s="6" t="s">
        <v>707</v>
      </c>
      <c r="C30" s="6" t="s">
        <v>1382</v>
      </c>
      <c r="D30" s="6" t="s">
        <v>1383</v>
      </c>
      <c r="E30" s="13" t="s">
        <v>1308</v>
      </c>
    </row>
    <row r="31" spans="1:5">
      <c r="A31" s="55" t="s">
        <v>1384</v>
      </c>
      <c r="B31" s="6" t="s">
        <v>707</v>
      </c>
      <c r="C31" s="6" t="s">
        <v>1385</v>
      </c>
      <c r="D31" s="6" t="s">
        <v>1386</v>
      </c>
      <c r="E31" s="13" t="s">
        <v>1308</v>
      </c>
    </row>
    <row r="32" spans="1:5">
      <c r="A32" s="55" t="s">
        <v>1387</v>
      </c>
      <c r="B32" s="6" t="s">
        <v>707</v>
      </c>
      <c r="C32" s="6" t="s">
        <v>1388</v>
      </c>
      <c r="D32" s="6" t="s">
        <v>1389</v>
      </c>
      <c r="E32" s="13" t="s">
        <v>1308</v>
      </c>
    </row>
    <row r="33" spans="1:5">
      <c r="A33" s="55" t="s">
        <v>1390</v>
      </c>
      <c r="B33" s="6" t="s">
        <v>707</v>
      </c>
      <c r="C33" s="6" t="s">
        <v>1391</v>
      </c>
      <c r="D33" s="6" t="s">
        <v>1392</v>
      </c>
      <c r="E33" s="13" t="s">
        <v>1308</v>
      </c>
    </row>
    <row r="34" spans="1:5">
      <c r="A34" s="55" t="s">
        <v>1393</v>
      </c>
      <c r="B34" s="6" t="s">
        <v>707</v>
      </c>
      <c r="C34" s="6" t="s">
        <v>1394</v>
      </c>
      <c r="D34" s="6" t="s">
        <v>1395</v>
      </c>
      <c r="E34" s="13" t="s">
        <v>1308</v>
      </c>
    </row>
    <row r="35" spans="1:5">
      <c r="A35" s="55" t="s">
        <v>1396</v>
      </c>
      <c r="B35" s="6" t="s">
        <v>707</v>
      </c>
      <c r="C35" s="6" t="s">
        <v>1397</v>
      </c>
      <c r="D35" s="6" t="s">
        <v>1398</v>
      </c>
      <c r="E35" s="13" t="s">
        <v>1308</v>
      </c>
    </row>
    <row r="36" spans="1:5">
      <c r="A36" s="55" t="s">
        <v>1399</v>
      </c>
      <c r="B36" s="6" t="s">
        <v>707</v>
      </c>
      <c r="C36" s="6" t="s">
        <v>1400</v>
      </c>
      <c r="D36" s="6" t="s">
        <v>1401</v>
      </c>
      <c r="E36" s="13" t="s">
        <v>1308</v>
      </c>
    </row>
    <row r="37" spans="1:5">
      <c r="A37" s="55" t="s">
        <v>1402</v>
      </c>
      <c r="B37" s="6" t="s">
        <v>707</v>
      </c>
      <c r="C37" s="6" t="s">
        <v>1403</v>
      </c>
      <c r="D37" s="6" t="s">
        <v>1404</v>
      </c>
      <c r="E37" s="13" t="s">
        <v>1308</v>
      </c>
    </row>
    <row r="38" spans="1:5">
      <c r="A38" s="55" t="s">
        <v>1405</v>
      </c>
      <c r="B38" s="6" t="s">
        <v>707</v>
      </c>
      <c r="C38" s="6" t="s">
        <v>1406</v>
      </c>
      <c r="D38" s="6" t="s">
        <v>1407</v>
      </c>
      <c r="E38" s="13" t="s">
        <v>1308</v>
      </c>
    </row>
    <row r="39" spans="1:5">
      <c r="A39" s="55" t="s">
        <v>1408</v>
      </c>
      <c r="B39" s="6" t="s">
        <v>707</v>
      </c>
      <c r="C39" s="6" t="s">
        <v>1409</v>
      </c>
      <c r="D39" s="6" t="s">
        <v>1410</v>
      </c>
      <c r="E39" s="13" t="s">
        <v>1308</v>
      </c>
    </row>
    <row r="40" spans="1:5">
      <c r="A40" s="55" t="s">
        <v>1411</v>
      </c>
      <c r="B40" s="6" t="s">
        <v>707</v>
      </c>
      <c r="C40" s="6" t="s">
        <v>1412</v>
      </c>
      <c r="D40" s="6" t="s">
        <v>1413</v>
      </c>
      <c r="E40" s="13" t="s">
        <v>1308</v>
      </c>
    </row>
    <row r="41" spans="1:5">
      <c r="A41" s="55" t="s">
        <v>1414</v>
      </c>
      <c r="B41" s="6" t="s">
        <v>707</v>
      </c>
      <c r="C41" s="6" t="s">
        <v>1415</v>
      </c>
      <c r="D41" s="6" t="s">
        <v>1416</v>
      </c>
      <c r="E41" s="13" t="s">
        <v>1308</v>
      </c>
    </row>
    <row r="42" spans="1:5">
      <c r="A42" s="55" t="s">
        <v>1417</v>
      </c>
      <c r="B42" s="6" t="s">
        <v>719</v>
      </c>
      <c r="C42" s="6" t="s">
        <v>1418</v>
      </c>
      <c r="D42" s="6" t="s">
        <v>1419</v>
      </c>
      <c r="E42" s="13" t="s">
        <v>1420</v>
      </c>
    </row>
    <row r="43" spans="1:5">
      <c r="A43" s="55" t="s">
        <v>1421</v>
      </c>
      <c r="B43" s="6" t="s">
        <v>719</v>
      </c>
      <c r="C43" s="6" t="s">
        <v>1422</v>
      </c>
      <c r="D43" s="6" t="s">
        <v>1423</v>
      </c>
      <c r="E43" s="13" t="s">
        <v>1420</v>
      </c>
    </row>
    <row r="44" spans="1:5">
      <c r="A44" s="55" t="s">
        <v>1424</v>
      </c>
      <c r="B44" s="6" t="s">
        <v>719</v>
      </c>
      <c r="C44" s="6" t="s">
        <v>1425</v>
      </c>
      <c r="D44" s="6" t="s">
        <v>1426</v>
      </c>
      <c r="E44" s="13" t="s">
        <v>1420</v>
      </c>
    </row>
    <row r="45" spans="1:5">
      <c r="A45" s="55" t="s">
        <v>1427</v>
      </c>
      <c r="B45" s="6" t="s">
        <v>719</v>
      </c>
      <c r="C45" s="6" t="s">
        <v>1428</v>
      </c>
      <c r="D45" s="6" t="s">
        <v>1429</v>
      </c>
      <c r="E45" s="13" t="s">
        <v>1430</v>
      </c>
    </row>
    <row r="46" spans="1:5">
      <c r="A46" s="55" t="s">
        <v>1431</v>
      </c>
      <c r="B46" s="6" t="s">
        <v>719</v>
      </c>
      <c r="C46" s="6" t="s">
        <v>1432</v>
      </c>
      <c r="D46" s="6" t="s">
        <v>1433</v>
      </c>
      <c r="E46" s="13" t="s">
        <v>1430</v>
      </c>
    </row>
    <row r="47" spans="1:5">
      <c r="A47" s="55" t="s">
        <v>1434</v>
      </c>
      <c r="B47" s="6" t="s">
        <v>719</v>
      </c>
      <c r="C47" s="6" t="s">
        <v>1435</v>
      </c>
      <c r="D47" s="6" t="s">
        <v>1436</v>
      </c>
      <c r="E47" s="13" t="s">
        <v>1430</v>
      </c>
    </row>
    <row r="48" spans="1:5">
      <c r="A48" s="55" t="s">
        <v>1437</v>
      </c>
      <c r="B48" s="6" t="s">
        <v>719</v>
      </c>
      <c r="C48" s="6" t="s">
        <v>1438</v>
      </c>
      <c r="D48" s="6" t="s">
        <v>1439</v>
      </c>
      <c r="E48" s="13" t="s">
        <v>1440</v>
      </c>
    </row>
    <row r="49" spans="1:5">
      <c r="A49" s="55" t="s">
        <v>1441</v>
      </c>
      <c r="B49" s="6" t="s">
        <v>719</v>
      </c>
      <c r="C49" s="6" t="s">
        <v>1442</v>
      </c>
      <c r="D49" s="6" t="s">
        <v>1443</v>
      </c>
      <c r="E49" s="13" t="s">
        <v>1440</v>
      </c>
    </row>
    <row r="50" spans="1:5">
      <c r="A50" s="55" t="s">
        <v>1444</v>
      </c>
      <c r="B50" s="6" t="s">
        <v>719</v>
      </c>
      <c r="C50" s="6" t="s">
        <v>1445</v>
      </c>
      <c r="D50" s="6" t="s">
        <v>1446</v>
      </c>
      <c r="E50" s="13" t="s">
        <v>1447</v>
      </c>
    </row>
    <row r="51" spans="1:5">
      <c r="A51" s="55" t="s">
        <v>1448</v>
      </c>
      <c r="B51" s="6" t="s">
        <v>719</v>
      </c>
      <c r="C51" s="6" t="s">
        <v>1449</v>
      </c>
      <c r="D51" s="6" t="s">
        <v>1450</v>
      </c>
      <c r="E51" s="13" t="s">
        <v>1447</v>
      </c>
    </row>
    <row r="52" spans="1:5">
      <c r="A52" s="55" t="s">
        <v>1451</v>
      </c>
      <c r="B52" s="6" t="s">
        <v>719</v>
      </c>
      <c r="C52" s="6" t="s">
        <v>1452</v>
      </c>
      <c r="D52" s="6" t="s">
        <v>1453</v>
      </c>
      <c r="E52" s="13" t="s">
        <v>1454</v>
      </c>
    </row>
    <row r="53" spans="1:5">
      <c r="A53" s="55" t="s">
        <v>1455</v>
      </c>
      <c r="B53" s="6" t="s">
        <v>719</v>
      </c>
      <c r="C53" s="6" t="s">
        <v>1456</v>
      </c>
      <c r="D53" s="6" t="s">
        <v>1457</v>
      </c>
      <c r="E53" s="13" t="s">
        <v>1447</v>
      </c>
    </row>
    <row r="54" spans="1:5">
      <c r="A54" s="55" t="s">
        <v>1458</v>
      </c>
      <c r="B54" s="6" t="s">
        <v>719</v>
      </c>
      <c r="C54" s="6" t="s">
        <v>1459</v>
      </c>
      <c r="D54" s="6" t="s">
        <v>1460</v>
      </c>
      <c r="E54" s="13" t="s">
        <v>1461</v>
      </c>
    </row>
    <row r="55" spans="1:5">
      <c r="A55" s="55" t="s">
        <v>1462</v>
      </c>
      <c r="B55" s="6" t="s">
        <v>719</v>
      </c>
      <c r="C55" s="6" t="s">
        <v>1463</v>
      </c>
      <c r="D55" s="6" t="s">
        <v>1464</v>
      </c>
      <c r="E55" s="13" t="s">
        <v>1465</v>
      </c>
    </row>
    <row r="56" spans="1:5">
      <c r="A56" s="55" t="s">
        <v>1466</v>
      </c>
      <c r="B56" s="6" t="s">
        <v>719</v>
      </c>
      <c r="C56" s="6" t="s">
        <v>1467</v>
      </c>
      <c r="D56" s="6" t="s">
        <v>1468</v>
      </c>
      <c r="E56" s="13" t="s">
        <v>1465</v>
      </c>
    </row>
    <row r="57" spans="1:5">
      <c r="A57" s="55" t="s">
        <v>1469</v>
      </c>
      <c r="B57" s="6" t="s">
        <v>719</v>
      </c>
      <c r="C57" s="6" t="s">
        <v>1470</v>
      </c>
      <c r="D57" s="6" t="s">
        <v>1471</v>
      </c>
      <c r="E57" s="13" t="s">
        <v>1465</v>
      </c>
    </row>
    <row r="58" spans="1:5">
      <c r="A58" s="55" t="s">
        <v>1472</v>
      </c>
      <c r="B58" s="6" t="s">
        <v>719</v>
      </c>
      <c r="C58" s="6" t="s">
        <v>1473</v>
      </c>
      <c r="D58" s="6" t="s">
        <v>1474</v>
      </c>
      <c r="E58" s="13" t="s">
        <v>1465</v>
      </c>
    </row>
    <row r="59" spans="1:5">
      <c r="A59" s="55" t="s">
        <v>1475</v>
      </c>
      <c r="B59" s="6" t="s">
        <v>1476</v>
      </c>
      <c r="C59" s="6" t="s">
        <v>1477</v>
      </c>
      <c r="D59" s="6" t="s">
        <v>1478</v>
      </c>
      <c r="E59" s="13" t="s">
        <v>1479</v>
      </c>
    </row>
    <row r="60" spans="1:5">
      <c r="A60" s="55" t="s">
        <v>1480</v>
      </c>
      <c r="B60" s="6" t="s">
        <v>1476</v>
      </c>
      <c r="C60" s="6" t="s">
        <v>1481</v>
      </c>
      <c r="D60" s="6" t="s">
        <v>1482</v>
      </c>
      <c r="E60" s="13" t="s">
        <v>1479</v>
      </c>
    </row>
    <row r="61" spans="1:5">
      <c r="A61" s="55" t="s">
        <v>1483</v>
      </c>
      <c r="B61" s="6" t="s">
        <v>1476</v>
      </c>
      <c r="C61" s="6" t="s">
        <v>1484</v>
      </c>
      <c r="D61" s="6" t="s">
        <v>1485</v>
      </c>
      <c r="E61" s="13" t="s">
        <v>1479</v>
      </c>
    </row>
    <row r="62" spans="1:5">
      <c r="A62" s="55" t="s">
        <v>1486</v>
      </c>
      <c r="B62" s="6" t="s">
        <v>1476</v>
      </c>
      <c r="C62" s="6" t="s">
        <v>1487</v>
      </c>
      <c r="D62" s="6" t="s">
        <v>1488</v>
      </c>
      <c r="E62" s="13" t="s">
        <v>1479</v>
      </c>
    </row>
    <row r="63" spans="1:5">
      <c r="A63" s="55" t="s">
        <v>1489</v>
      </c>
      <c r="B63" s="6" t="s">
        <v>1476</v>
      </c>
      <c r="C63" s="6" t="s">
        <v>1490</v>
      </c>
      <c r="D63" s="6" t="s">
        <v>1491</v>
      </c>
      <c r="E63" s="13" t="s">
        <v>1479</v>
      </c>
    </row>
    <row r="64" spans="1:5">
      <c r="A64" s="55" t="s">
        <v>1492</v>
      </c>
      <c r="B64" s="6" t="s">
        <v>1476</v>
      </c>
      <c r="C64" s="6" t="s">
        <v>1493</v>
      </c>
      <c r="D64" s="6" t="s">
        <v>1494</v>
      </c>
      <c r="E64" s="13" t="s">
        <v>1479</v>
      </c>
    </row>
    <row r="65" spans="1:5">
      <c r="A65" s="55" t="s">
        <v>1495</v>
      </c>
      <c r="B65" s="6" t="s">
        <v>1476</v>
      </c>
      <c r="C65" s="6" t="s">
        <v>1496</v>
      </c>
      <c r="D65" s="6" t="s">
        <v>1497</v>
      </c>
      <c r="E65" s="13" t="s">
        <v>1479</v>
      </c>
    </row>
    <row r="66" spans="1:5">
      <c r="A66" s="55" t="s">
        <v>1498</v>
      </c>
      <c r="B66" s="6" t="s">
        <v>1476</v>
      </c>
      <c r="C66" s="6" t="s">
        <v>1499</v>
      </c>
      <c r="D66" s="6" t="s">
        <v>1500</v>
      </c>
      <c r="E66" s="13" t="s">
        <v>1479</v>
      </c>
    </row>
    <row r="67" spans="1:5">
      <c r="A67" s="55" t="s">
        <v>1501</v>
      </c>
      <c r="B67" s="6" t="s">
        <v>1476</v>
      </c>
      <c r="C67" s="6" t="s">
        <v>1502</v>
      </c>
      <c r="D67" s="6" t="s">
        <v>1503</v>
      </c>
      <c r="E67" s="13" t="s">
        <v>1479</v>
      </c>
    </row>
    <row r="68" spans="1:5">
      <c r="A68" s="55" t="s">
        <v>1504</v>
      </c>
      <c r="B68" s="6" t="s">
        <v>1476</v>
      </c>
      <c r="C68" s="6" t="s">
        <v>1505</v>
      </c>
      <c r="D68" s="6" t="s">
        <v>1506</v>
      </c>
      <c r="E68" s="13" t="s">
        <v>1479</v>
      </c>
    </row>
    <row r="69" spans="1:5">
      <c r="A69" s="55" t="s">
        <v>1507</v>
      </c>
      <c r="B69" s="6" t="s">
        <v>1476</v>
      </c>
      <c r="C69" s="6" t="s">
        <v>1508</v>
      </c>
      <c r="D69" s="6" t="s">
        <v>1509</v>
      </c>
      <c r="E69" s="13" t="s">
        <v>1479</v>
      </c>
    </row>
    <row r="70" spans="1:5">
      <c r="A70" s="55" t="s">
        <v>1510</v>
      </c>
      <c r="B70" s="6" t="s">
        <v>1476</v>
      </c>
      <c r="C70" s="6" t="s">
        <v>1511</v>
      </c>
      <c r="D70" s="6" t="s">
        <v>1512</v>
      </c>
      <c r="E70" s="13" t="s">
        <v>1479</v>
      </c>
    </row>
    <row r="71" spans="1:5">
      <c r="A71" s="55" t="s">
        <v>1513</v>
      </c>
      <c r="B71" s="6" t="s">
        <v>1476</v>
      </c>
      <c r="C71" s="6" t="s">
        <v>1514</v>
      </c>
      <c r="D71" s="6" t="s">
        <v>1515</v>
      </c>
      <c r="E71" s="13" t="s">
        <v>1479</v>
      </c>
    </row>
    <row r="72" spans="1:5">
      <c r="A72" s="55" t="s">
        <v>1516</v>
      </c>
      <c r="B72" s="6" t="s">
        <v>1476</v>
      </c>
      <c r="C72" s="6" t="s">
        <v>1517</v>
      </c>
      <c r="D72" s="6" t="s">
        <v>1518</v>
      </c>
      <c r="E72" s="13" t="s">
        <v>1479</v>
      </c>
    </row>
    <row r="73" spans="1:5">
      <c r="A73" s="55" t="s">
        <v>1519</v>
      </c>
      <c r="B73" s="6" t="s">
        <v>1476</v>
      </c>
      <c r="C73" s="6" t="s">
        <v>1520</v>
      </c>
      <c r="D73" s="6" t="s">
        <v>1521</v>
      </c>
      <c r="E73" s="13" t="s">
        <v>1479</v>
      </c>
    </row>
    <row r="74" spans="1:5">
      <c r="A74" s="55" t="s">
        <v>1522</v>
      </c>
      <c r="B74" s="6" t="s">
        <v>1476</v>
      </c>
      <c r="C74" s="6" t="s">
        <v>1523</v>
      </c>
      <c r="D74" s="6" t="s">
        <v>1524</v>
      </c>
      <c r="E74" s="13" t="s">
        <v>1479</v>
      </c>
    </row>
    <row r="75" spans="1:5">
      <c r="A75" s="55" t="s">
        <v>1525</v>
      </c>
      <c r="B75" s="6" t="s">
        <v>1476</v>
      </c>
      <c r="C75" s="6" t="s">
        <v>1526</v>
      </c>
      <c r="D75" s="6" t="s">
        <v>1527</v>
      </c>
      <c r="E75" s="13" t="s">
        <v>1479</v>
      </c>
    </row>
    <row r="76" spans="1:5">
      <c r="A76" s="55" t="s">
        <v>1528</v>
      </c>
      <c r="B76" s="6" t="s">
        <v>1476</v>
      </c>
      <c r="C76" s="6" t="s">
        <v>1529</v>
      </c>
      <c r="D76" s="6" t="s">
        <v>1530</v>
      </c>
      <c r="E76" s="13" t="s">
        <v>1479</v>
      </c>
    </row>
    <row r="77" spans="1:5">
      <c r="A77" s="55" t="s">
        <v>1531</v>
      </c>
      <c r="B77" s="6" t="s">
        <v>1476</v>
      </c>
      <c r="C77" s="6" t="s">
        <v>1532</v>
      </c>
      <c r="D77" s="6" t="s">
        <v>1533</v>
      </c>
      <c r="E77" s="13" t="s">
        <v>1479</v>
      </c>
    </row>
    <row r="78" spans="1:5">
      <c r="A78" s="55" t="s">
        <v>1534</v>
      </c>
      <c r="B78" s="6" t="s">
        <v>1476</v>
      </c>
      <c r="C78" s="6" t="s">
        <v>1535</v>
      </c>
      <c r="D78" s="6" t="s">
        <v>1536</v>
      </c>
      <c r="E78" s="13" t="s">
        <v>1479</v>
      </c>
    </row>
    <row r="79" spans="1:5">
      <c r="A79" s="55" t="s">
        <v>1537</v>
      </c>
      <c r="B79" s="6" t="s">
        <v>1476</v>
      </c>
      <c r="C79" s="6" t="s">
        <v>1538</v>
      </c>
      <c r="D79" s="6" t="s">
        <v>1539</v>
      </c>
      <c r="E79" s="13" t="s">
        <v>1479</v>
      </c>
    </row>
    <row r="80" spans="1:5">
      <c r="A80" s="55" t="s">
        <v>1540</v>
      </c>
      <c r="B80" s="6" t="s">
        <v>1476</v>
      </c>
      <c r="C80" s="6" t="s">
        <v>1541</v>
      </c>
      <c r="D80" s="6" t="s">
        <v>1542</v>
      </c>
      <c r="E80" s="13" t="s">
        <v>1479</v>
      </c>
    </row>
    <row r="81" spans="1:5">
      <c r="A81" s="55" t="s">
        <v>1543</v>
      </c>
      <c r="B81" s="6" t="s">
        <v>1476</v>
      </c>
      <c r="C81" s="6" t="s">
        <v>1544</v>
      </c>
      <c r="D81" s="6" t="s">
        <v>1545</v>
      </c>
      <c r="E81" s="13" t="s">
        <v>1479</v>
      </c>
    </row>
    <row r="82" spans="1:5">
      <c r="A82" s="55" t="s">
        <v>1546</v>
      </c>
      <c r="B82" s="6" t="s">
        <v>1476</v>
      </c>
      <c r="C82" s="6" t="s">
        <v>1547</v>
      </c>
      <c r="D82" s="6" t="s">
        <v>1548</v>
      </c>
      <c r="E82" s="13" t="s">
        <v>1479</v>
      </c>
    </row>
    <row r="83" spans="1:5">
      <c r="A83" s="55" t="s">
        <v>1549</v>
      </c>
      <c r="B83" s="6" t="s">
        <v>1476</v>
      </c>
      <c r="C83" s="6" t="s">
        <v>1550</v>
      </c>
      <c r="D83" s="6" t="s">
        <v>1551</v>
      </c>
      <c r="E83" s="13" t="s">
        <v>1479</v>
      </c>
    </row>
    <row r="84" spans="1:5">
      <c r="A84" s="56" t="s">
        <v>1552</v>
      </c>
      <c r="B84" s="9" t="s">
        <v>1476</v>
      </c>
      <c r="C84" s="9" t="s">
        <v>1553</v>
      </c>
      <c r="D84" s="9" t="s">
        <v>1554</v>
      </c>
      <c r="E84" s="14" t="s">
        <v>1479</v>
      </c>
    </row>
    <row r="85" spans="1:5">
      <c r="A85" t="s">
        <v>1692</v>
      </c>
      <c r="B85" t="s">
        <v>1693</v>
      </c>
      <c r="C85" t="s">
        <v>1694</v>
      </c>
      <c r="D85" t="s">
        <v>1695</v>
      </c>
      <c r="E85" t="s">
        <v>1696</v>
      </c>
    </row>
    <row r="86" spans="1:5">
      <c r="A86" t="s">
        <v>1697</v>
      </c>
      <c r="B86" t="s">
        <v>1693</v>
      </c>
      <c r="C86" t="s">
        <v>1698</v>
      </c>
      <c r="D86" t="s">
        <v>1699</v>
      </c>
      <c r="E86" t="s">
        <v>1700</v>
      </c>
    </row>
    <row r="87" spans="1:5">
      <c r="A87" t="s">
        <v>1701</v>
      </c>
      <c r="B87" t="s">
        <v>1693</v>
      </c>
      <c r="C87" t="s">
        <v>1702</v>
      </c>
      <c r="D87" t="s">
        <v>1703</v>
      </c>
      <c r="E87" t="s">
        <v>1704</v>
      </c>
    </row>
    <row r="88" spans="1:5">
      <c r="A88" t="s">
        <v>1705</v>
      </c>
      <c r="B88" t="s">
        <v>1693</v>
      </c>
      <c r="C88" t="s">
        <v>1706</v>
      </c>
      <c r="D88" t="s">
        <v>1707</v>
      </c>
      <c r="E88" t="s">
        <v>1708</v>
      </c>
    </row>
    <row r="89" spans="1:5">
      <c r="A89" t="s">
        <v>1709</v>
      </c>
      <c r="B89" t="s">
        <v>1693</v>
      </c>
      <c r="C89" t="s">
        <v>1710</v>
      </c>
      <c r="D89" t="s">
        <v>1711</v>
      </c>
      <c r="E89" t="s">
        <v>1712</v>
      </c>
    </row>
    <row r="90" spans="1:5">
      <c r="A90" t="s">
        <v>1713</v>
      </c>
      <c r="B90" t="s">
        <v>1693</v>
      </c>
      <c r="C90" t="s">
        <v>1714</v>
      </c>
      <c r="D90" t="s">
        <v>1715</v>
      </c>
      <c r="E90" t="s">
        <v>1716</v>
      </c>
    </row>
    <row r="91" spans="1:5">
      <c r="A91" t="s">
        <v>1717</v>
      </c>
      <c r="B91" t="s">
        <v>1693</v>
      </c>
      <c r="C91" t="s">
        <v>1718</v>
      </c>
      <c r="D91" t="s">
        <v>1719</v>
      </c>
      <c r="E91" t="s">
        <v>1720</v>
      </c>
    </row>
    <row r="92" spans="1:5">
      <c r="A92" t="s">
        <v>1721</v>
      </c>
      <c r="B92" t="s">
        <v>1693</v>
      </c>
      <c r="C92" t="s">
        <v>1722</v>
      </c>
      <c r="D92" t="s">
        <v>1723</v>
      </c>
      <c r="E92" t="s">
        <v>1724</v>
      </c>
    </row>
    <row r="93" spans="1:5">
      <c r="A93" t="s">
        <v>1725</v>
      </c>
      <c r="B93" t="s">
        <v>1693</v>
      </c>
      <c r="C93" t="s">
        <v>1726</v>
      </c>
      <c r="D93" t="s">
        <v>1727</v>
      </c>
      <c r="E93" t="s">
        <v>1728</v>
      </c>
    </row>
    <row r="94" spans="1:5">
      <c r="A94" t="s">
        <v>1729</v>
      </c>
      <c r="B94" t="s">
        <v>1693</v>
      </c>
      <c r="C94" t="s">
        <v>1730</v>
      </c>
      <c r="D94" t="s">
        <v>1731</v>
      </c>
      <c r="E94" t="s">
        <v>1732</v>
      </c>
    </row>
    <row r="95" spans="1:5">
      <c r="A95" t="s">
        <v>1733</v>
      </c>
      <c r="B95" t="s">
        <v>1693</v>
      </c>
      <c r="C95" t="s">
        <v>1734</v>
      </c>
      <c r="D95" t="s">
        <v>1735</v>
      </c>
      <c r="E95" t="s">
        <v>1736</v>
      </c>
    </row>
    <row r="96" spans="1:5">
      <c r="A96" t="s">
        <v>1737</v>
      </c>
      <c r="B96" t="s">
        <v>1693</v>
      </c>
      <c r="C96" t="s">
        <v>1738</v>
      </c>
      <c r="D96" t="s">
        <v>1739</v>
      </c>
      <c r="E96" t="s">
        <v>1740</v>
      </c>
    </row>
    <row r="97" spans="1:5">
      <c r="A97" t="s">
        <v>1771</v>
      </c>
      <c r="B97" t="s">
        <v>731</v>
      </c>
      <c r="C97" t="s">
        <v>1772</v>
      </c>
      <c r="D97" t="s">
        <v>1773</v>
      </c>
      <c r="E97" t="s">
        <v>1774</v>
      </c>
    </row>
    <row r="98" spans="1:5">
      <c r="A98" t="s">
        <v>1775</v>
      </c>
      <c r="B98" t="s">
        <v>731</v>
      </c>
      <c r="C98" t="s">
        <v>1776</v>
      </c>
      <c r="D98" t="s">
        <v>1777</v>
      </c>
      <c r="E98" t="s">
        <v>1778</v>
      </c>
    </row>
    <row r="99" spans="1:5">
      <c r="A99" t="s">
        <v>1779</v>
      </c>
      <c r="B99" t="s">
        <v>731</v>
      </c>
      <c r="C99" t="s">
        <v>1780</v>
      </c>
      <c r="D99" t="s">
        <v>1781</v>
      </c>
      <c r="E99" t="s">
        <v>1782</v>
      </c>
    </row>
    <row r="100" spans="1:5">
      <c r="A100" t="s">
        <v>1783</v>
      </c>
      <c r="B100" t="s">
        <v>731</v>
      </c>
      <c r="C100" t="s">
        <v>1784</v>
      </c>
      <c r="D100" t="s">
        <v>1785</v>
      </c>
      <c r="E100" t="s">
        <v>1786</v>
      </c>
    </row>
    <row r="101" spans="1:5">
      <c r="A101" t="s">
        <v>1787</v>
      </c>
      <c r="B101" t="s">
        <v>731</v>
      </c>
      <c r="C101" t="s">
        <v>1788</v>
      </c>
      <c r="D101" t="s">
        <v>1789</v>
      </c>
      <c r="E101" t="s">
        <v>1790</v>
      </c>
    </row>
    <row r="102" spans="1:5">
      <c r="A102" t="s">
        <v>1791</v>
      </c>
      <c r="B102" t="s">
        <v>731</v>
      </c>
      <c r="C102" t="s">
        <v>1792</v>
      </c>
      <c r="D102" t="s">
        <v>1793</v>
      </c>
      <c r="E102" t="s">
        <v>1794</v>
      </c>
    </row>
    <row r="103" spans="1:5">
      <c r="A103" t="s">
        <v>1795</v>
      </c>
      <c r="B103" t="s">
        <v>731</v>
      </c>
      <c r="C103" t="s">
        <v>1796</v>
      </c>
      <c r="D103" t="s">
        <v>1797</v>
      </c>
      <c r="E103" t="s">
        <v>1798</v>
      </c>
    </row>
    <row r="104" spans="1:5">
      <c r="A104" t="s">
        <v>1799</v>
      </c>
      <c r="B104" t="s">
        <v>731</v>
      </c>
      <c r="C104" t="s">
        <v>1800</v>
      </c>
      <c r="D104" t="s">
        <v>1801</v>
      </c>
      <c r="E104" t="s">
        <v>1802</v>
      </c>
    </row>
    <row r="105" spans="1:5">
      <c r="A105" t="s">
        <v>1803</v>
      </c>
      <c r="B105" t="s">
        <v>731</v>
      </c>
      <c r="C105" t="s">
        <v>1804</v>
      </c>
      <c r="D105" t="s">
        <v>1805</v>
      </c>
      <c r="E105" t="s">
        <v>1806</v>
      </c>
    </row>
    <row r="106" spans="1:5">
      <c r="A106" t="s">
        <v>1807</v>
      </c>
      <c r="B106" t="s">
        <v>731</v>
      </c>
      <c r="C106" t="s">
        <v>1808</v>
      </c>
      <c r="D106" t="s">
        <v>1809</v>
      </c>
      <c r="E106" t="s">
        <v>1810</v>
      </c>
    </row>
    <row r="107" spans="1:5">
      <c r="A107" t="s">
        <v>1811</v>
      </c>
      <c r="B107" t="s">
        <v>731</v>
      </c>
      <c r="C107" t="s">
        <v>1812</v>
      </c>
      <c r="D107" t="s">
        <v>1813</v>
      </c>
      <c r="E107" t="s">
        <v>1814</v>
      </c>
    </row>
    <row r="108" spans="1:5">
      <c r="A108" t="s">
        <v>1815</v>
      </c>
      <c r="B108" t="s">
        <v>731</v>
      </c>
      <c r="C108" t="s">
        <v>1816</v>
      </c>
      <c r="D108" t="s">
        <v>1817</v>
      </c>
      <c r="E108" t="s">
        <v>1818</v>
      </c>
    </row>
    <row r="109" spans="1:5">
      <c r="A109" t="s">
        <v>1819</v>
      </c>
      <c r="B109" t="s">
        <v>731</v>
      </c>
      <c r="C109" t="s">
        <v>1820</v>
      </c>
      <c r="D109" t="s">
        <v>1821</v>
      </c>
      <c r="E109" t="s">
        <v>1822</v>
      </c>
    </row>
    <row r="110" spans="1:5">
      <c r="A110" t="s">
        <v>1823</v>
      </c>
      <c r="B110" t="s">
        <v>731</v>
      </c>
      <c r="C110" t="s">
        <v>1824</v>
      </c>
      <c r="D110" t="s">
        <v>1825</v>
      </c>
      <c r="E110" t="s">
        <v>1826</v>
      </c>
    </row>
    <row r="111" spans="1:5">
      <c r="A111" t="s">
        <v>1827</v>
      </c>
      <c r="B111" t="s">
        <v>731</v>
      </c>
      <c r="C111" t="s">
        <v>1828</v>
      </c>
      <c r="D111" t="s">
        <v>1829</v>
      </c>
      <c r="E111" t="s">
        <v>1830</v>
      </c>
    </row>
    <row r="112" spans="1:5">
      <c r="A112" t="s">
        <v>1831</v>
      </c>
      <c r="B112" t="s">
        <v>731</v>
      </c>
      <c r="C112" t="s">
        <v>1832</v>
      </c>
      <c r="D112" t="s">
        <v>1833</v>
      </c>
      <c r="E112" t="s">
        <v>1834</v>
      </c>
    </row>
    <row r="113" spans="1:5">
      <c r="A113" t="s">
        <v>1835</v>
      </c>
      <c r="B113" t="s">
        <v>731</v>
      </c>
      <c r="C113" t="s">
        <v>1836</v>
      </c>
      <c r="D113" t="s">
        <v>1837</v>
      </c>
      <c r="E113" t="s">
        <v>1838</v>
      </c>
    </row>
    <row r="114" spans="1:5">
      <c r="A114" t="s">
        <v>1839</v>
      </c>
      <c r="B114" t="s">
        <v>731</v>
      </c>
      <c r="C114" t="s">
        <v>1840</v>
      </c>
      <c r="D114" t="s">
        <v>1841</v>
      </c>
      <c r="E114" t="s">
        <v>1842</v>
      </c>
    </row>
    <row r="115" spans="1:5">
      <c r="A115" t="s">
        <v>1843</v>
      </c>
      <c r="B115" t="s">
        <v>731</v>
      </c>
      <c r="C115" t="s">
        <v>1844</v>
      </c>
      <c r="D115" t="s">
        <v>1845</v>
      </c>
      <c r="E115" t="s">
        <v>1846</v>
      </c>
    </row>
    <row r="116" spans="1:5">
      <c r="A116" t="s">
        <v>1847</v>
      </c>
      <c r="B116" t="s">
        <v>731</v>
      </c>
      <c r="C116" t="s">
        <v>1848</v>
      </c>
      <c r="D116" t="s">
        <v>1849</v>
      </c>
      <c r="E116" t="s">
        <v>1850</v>
      </c>
    </row>
    <row r="117" spans="1:5">
      <c r="A117" t="s">
        <v>1894</v>
      </c>
      <c r="B117" t="s">
        <v>735</v>
      </c>
      <c r="C117" t="s">
        <v>1895</v>
      </c>
      <c r="D117" t="s">
        <v>1896</v>
      </c>
      <c r="E117" t="s">
        <v>1897</v>
      </c>
    </row>
    <row r="118" spans="1:5">
      <c r="A118" t="s">
        <v>1898</v>
      </c>
      <c r="B118" t="s">
        <v>735</v>
      </c>
      <c r="C118" t="s">
        <v>1899</v>
      </c>
      <c r="D118" t="s">
        <v>1900</v>
      </c>
      <c r="E118" t="s">
        <v>1901</v>
      </c>
    </row>
    <row r="119" spans="1:5">
      <c r="A119" t="s">
        <v>1902</v>
      </c>
      <c r="B119" t="s">
        <v>735</v>
      </c>
      <c r="C119" t="s">
        <v>1903</v>
      </c>
      <c r="D119" t="s">
        <v>1904</v>
      </c>
      <c r="E119" t="s">
        <v>1905</v>
      </c>
    </row>
    <row r="120" spans="1:5">
      <c r="A120" t="s">
        <v>1906</v>
      </c>
      <c r="B120" t="s">
        <v>735</v>
      </c>
      <c r="C120" t="s">
        <v>1907</v>
      </c>
      <c r="D120" t="s">
        <v>1908</v>
      </c>
      <c r="E120" t="s">
        <v>1909</v>
      </c>
    </row>
    <row r="121" spans="1:5">
      <c r="A121" t="s">
        <v>1910</v>
      </c>
      <c r="B121" t="s">
        <v>735</v>
      </c>
      <c r="C121" t="s">
        <v>1911</v>
      </c>
      <c r="D121" t="s">
        <v>1912</v>
      </c>
      <c r="E121" t="s">
        <v>1913</v>
      </c>
    </row>
    <row r="122" spans="1:5">
      <c r="A122" t="s">
        <v>1914</v>
      </c>
      <c r="B122" t="s">
        <v>735</v>
      </c>
      <c r="C122" t="s">
        <v>1915</v>
      </c>
      <c r="D122" t="s">
        <v>1916</v>
      </c>
      <c r="E122" t="s">
        <v>1917</v>
      </c>
    </row>
    <row r="123" spans="1:5">
      <c r="A123" t="s">
        <v>1918</v>
      </c>
      <c r="B123" t="s">
        <v>735</v>
      </c>
      <c r="C123" t="s">
        <v>1919</v>
      </c>
      <c r="D123" t="s">
        <v>1920</v>
      </c>
      <c r="E123" t="s">
        <v>1921</v>
      </c>
    </row>
    <row r="124" spans="1:5">
      <c r="A124" t="s">
        <v>1922</v>
      </c>
      <c r="B124" t="s">
        <v>735</v>
      </c>
      <c r="C124" t="s">
        <v>1923</v>
      </c>
      <c r="D124" t="s">
        <v>1924</v>
      </c>
      <c r="E124" t="s">
        <v>1921</v>
      </c>
    </row>
    <row r="125" spans="1:5">
      <c r="A125" t="s">
        <v>1925</v>
      </c>
      <c r="B125" t="s">
        <v>735</v>
      </c>
      <c r="C125" t="s">
        <v>1926</v>
      </c>
      <c r="D125" t="s">
        <v>1927</v>
      </c>
      <c r="E125" t="s">
        <v>1928</v>
      </c>
    </row>
    <row r="126" spans="1:5">
      <c r="A126" t="s">
        <v>1929</v>
      </c>
      <c r="B126" t="s">
        <v>735</v>
      </c>
      <c r="C126" t="s">
        <v>1930</v>
      </c>
      <c r="D126" t="s">
        <v>1931</v>
      </c>
      <c r="E126" t="s">
        <v>1932</v>
      </c>
    </row>
    <row r="127" spans="1:5">
      <c r="A127" t="s">
        <v>1933</v>
      </c>
      <c r="B127" t="s">
        <v>735</v>
      </c>
      <c r="C127" t="s">
        <v>1934</v>
      </c>
      <c r="D127" t="s">
        <v>1935</v>
      </c>
      <c r="E127" t="s">
        <v>1936</v>
      </c>
    </row>
    <row r="128" spans="1:5">
      <c r="A128" t="s">
        <v>1937</v>
      </c>
      <c r="B128" t="s">
        <v>735</v>
      </c>
      <c r="C128" t="s">
        <v>1938</v>
      </c>
      <c r="D128" t="s">
        <v>1939</v>
      </c>
      <c r="E128" t="s">
        <v>1940</v>
      </c>
    </row>
    <row r="129" spans="1:5">
      <c r="A129" t="s">
        <v>1941</v>
      </c>
      <c r="B129" t="s">
        <v>735</v>
      </c>
      <c r="C129" t="s">
        <v>1942</v>
      </c>
      <c r="D129" t="s">
        <v>1943</v>
      </c>
      <c r="E129" t="s">
        <v>1944</v>
      </c>
    </row>
    <row r="130" spans="1:5">
      <c r="A130" t="s">
        <v>1945</v>
      </c>
      <c r="B130" t="s">
        <v>735</v>
      </c>
      <c r="C130" t="s">
        <v>1946</v>
      </c>
      <c r="D130" t="s">
        <v>1947</v>
      </c>
      <c r="E130" t="s">
        <v>1948</v>
      </c>
    </row>
    <row r="131" spans="1:5">
      <c r="A131" t="s">
        <v>1980</v>
      </c>
      <c r="B131" t="s">
        <v>723</v>
      </c>
      <c r="C131" t="s">
        <v>1981</v>
      </c>
      <c r="D131" t="s">
        <v>1982</v>
      </c>
      <c r="E131" t="s">
        <v>1983</v>
      </c>
    </row>
    <row r="132" spans="1:5">
      <c r="A132" t="s">
        <v>1984</v>
      </c>
      <c r="B132" t="s">
        <v>723</v>
      </c>
      <c r="C132" t="s">
        <v>1985</v>
      </c>
      <c r="D132" t="s">
        <v>1986</v>
      </c>
      <c r="E132" t="s">
        <v>1987</v>
      </c>
    </row>
    <row r="133" spans="1:5">
      <c r="A133" t="s">
        <v>1988</v>
      </c>
      <c r="B133" t="s">
        <v>723</v>
      </c>
      <c r="C133" t="s">
        <v>1989</v>
      </c>
      <c r="D133" t="s">
        <v>1990</v>
      </c>
      <c r="E133" t="s">
        <v>1991</v>
      </c>
    </row>
    <row r="134" spans="1:5">
      <c r="A134" t="s">
        <v>1992</v>
      </c>
      <c r="B134" t="s">
        <v>723</v>
      </c>
      <c r="C134" t="s">
        <v>1993</v>
      </c>
      <c r="D134" t="s">
        <v>1994</v>
      </c>
      <c r="E134" t="s">
        <v>1995</v>
      </c>
    </row>
    <row r="135" spans="1:5">
      <c r="A135" t="s">
        <v>1996</v>
      </c>
      <c r="B135" t="s">
        <v>723</v>
      </c>
      <c r="C135" t="s">
        <v>1997</v>
      </c>
      <c r="D135" t="s">
        <v>1998</v>
      </c>
      <c r="E135" t="s">
        <v>1999</v>
      </c>
    </row>
    <row r="136" spans="1:5">
      <c r="A136" t="s">
        <v>2000</v>
      </c>
      <c r="B136" t="s">
        <v>723</v>
      </c>
      <c r="C136" t="s">
        <v>2001</v>
      </c>
      <c r="D136" t="s">
        <v>2002</v>
      </c>
      <c r="E136" t="s">
        <v>2003</v>
      </c>
    </row>
    <row r="137" spans="1:5">
      <c r="A137" t="s">
        <v>2004</v>
      </c>
      <c r="B137" t="s">
        <v>723</v>
      </c>
      <c r="C137" t="s">
        <v>2005</v>
      </c>
      <c r="D137" t="s">
        <v>2006</v>
      </c>
      <c r="E137" t="s">
        <v>2007</v>
      </c>
    </row>
    <row r="138" spans="1:5">
      <c r="A138" t="s">
        <v>2008</v>
      </c>
      <c r="B138" t="s">
        <v>723</v>
      </c>
      <c r="C138" t="s">
        <v>2009</v>
      </c>
      <c r="D138" t="s">
        <v>2010</v>
      </c>
      <c r="E138" t="s">
        <v>2011</v>
      </c>
    </row>
    <row r="139" spans="1:5">
      <c r="A139" t="s">
        <v>2012</v>
      </c>
      <c r="B139" t="s">
        <v>723</v>
      </c>
      <c r="C139" t="s">
        <v>2013</v>
      </c>
      <c r="D139" t="s">
        <v>2014</v>
      </c>
      <c r="E139" t="s">
        <v>2015</v>
      </c>
    </row>
    <row r="140" spans="1:5">
      <c r="A140" t="s">
        <v>2016</v>
      </c>
      <c r="B140" t="s">
        <v>723</v>
      </c>
      <c r="C140" t="s">
        <v>2017</v>
      </c>
      <c r="D140" t="s">
        <v>2018</v>
      </c>
      <c r="E140" t="s">
        <v>2019</v>
      </c>
    </row>
    <row r="141" spans="1:5">
      <c r="A141" t="s">
        <v>2020</v>
      </c>
      <c r="B141" t="s">
        <v>723</v>
      </c>
      <c r="C141" t="s">
        <v>2021</v>
      </c>
      <c r="D141" t="s">
        <v>2022</v>
      </c>
      <c r="E141" t="s">
        <v>2023</v>
      </c>
    </row>
    <row r="142" spans="1:5">
      <c r="A142" t="s">
        <v>2024</v>
      </c>
      <c r="B142" t="s">
        <v>723</v>
      </c>
      <c r="C142" t="s">
        <v>2025</v>
      </c>
      <c r="D142" t="s">
        <v>2026</v>
      </c>
      <c r="E142" t="s">
        <v>2027</v>
      </c>
    </row>
    <row r="143" spans="1:5">
      <c r="A143" t="s">
        <v>2028</v>
      </c>
      <c r="B143" t="s">
        <v>723</v>
      </c>
      <c r="C143" t="s">
        <v>2029</v>
      </c>
      <c r="D143" t="s">
        <v>2030</v>
      </c>
      <c r="E143" t="s">
        <v>2031</v>
      </c>
    </row>
    <row r="144" spans="1:5">
      <c r="A144" t="s">
        <v>2070</v>
      </c>
      <c r="B144" t="s">
        <v>2071</v>
      </c>
      <c r="C144" t="s">
        <v>2072</v>
      </c>
      <c r="D144" t="s">
        <v>2073</v>
      </c>
      <c r="E144" t="s">
        <v>2074</v>
      </c>
    </row>
    <row r="145" spans="1:5">
      <c r="A145" t="s">
        <v>2075</v>
      </c>
      <c r="B145" t="s">
        <v>2071</v>
      </c>
      <c r="C145" t="s">
        <v>2076</v>
      </c>
      <c r="D145" t="s">
        <v>2077</v>
      </c>
      <c r="E145" t="s">
        <v>2078</v>
      </c>
    </row>
    <row r="146" spans="1:5">
      <c r="A146" t="s">
        <v>2079</v>
      </c>
      <c r="B146" t="s">
        <v>2071</v>
      </c>
      <c r="C146" t="s">
        <v>2080</v>
      </c>
      <c r="D146" t="s">
        <v>2081</v>
      </c>
      <c r="E146" t="s">
        <v>2082</v>
      </c>
    </row>
    <row r="147" spans="1:5">
      <c r="A147" t="s">
        <v>2083</v>
      </c>
      <c r="B147" t="s">
        <v>2071</v>
      </c>
      <c r="C147" t="s">
        <v>2084</v>
      </c>
      <c r="D147" t="s">
        <v>2085</v>
      </c>
      <c r="E147" t="s">
        <v>2086</v>
      </c>
    </row>
    <row r="148" spans="1:5">
      <c r="A148" t="s">
        <v>2087</v>
      </c>
      <c r="B148" t="s">
        <v>2071</v>
      </c>
      <c r="C148" t="s">
        <v>2088</v>
      </c>
      <c r="D148" t="s">
        <v>2089</v>
      </c>
      <c r="E148" t="s">
        <v>2090</v>
      </c>
    </row>
    <row r="149" spans="1:5">
      <c r="A149" t="s">
        <v>2091</v>
      </c>
      <c r="B149" t="s">
        <v>2071</v>
      </c>
      <c r="C149" t="s">
        <v>2092</v>
      </c>
      <c r="D149" t="s">
        <v>2093</v>
      </c>
      <c r="E149" t="s">
        <v>2094</v>
      </c>
    </row>
    <row r="150" spans="1:5">
      <c r="A150" t="s">
        <v>2095</v>
      </c>
      <c r="B150" t="s">
        <v>2071</v>
      </c>
      <c r="C150" t="s">
        <v>2096</v>
      </c>
      <c r="D150" t="s">
        <v>2097</v>
      </c>
      <c r="E150" t="s">
        <v>2098</v>
      </c>
    </row>
    <row r="151" spans="1:5">
      <c r="A151" t="s">
        <v>2099</v>
      </c>
      <c r="B151" t="s">
        <v>2071</v>
      </c>
      <c r="C151" t="s">
        <v>2100</v>
      </c>
      <c r="D151" t="s">
        <v>2101</v>
      </c>
      <c r="E151" t="s">
        <v>2102</v>
      </c>
    </row>
    <row r="152" spans="1:5">
      <c r="A152" t="s">
        <v>2103</v>
      </c>
      <c r="B152" t="s">
        <v>2071</v>
      </c>
      <c r="C152" t="s">
        <v>2104</v>
      </c>
      <c r="D152" t="s">
        <v>2105</v>
      </c>
      <c r="E152" t="s">
        <v>2106</v>
      </c>
    </row>
    <row r="153" spans="1:5">
      <c r="A153" t="s">
        <v>2107</v>
      </c>
      <c r="B153" t="s">
        <v>2071</v>
      </c>
      <c r="C153" t="s">
        <v>2108</v>
      </c>
      <c r="D153" t="s">
        <v>2109</v>
      </c>
      <c r="E153" t="s">
        <v>2110</v>
      </c>
    </row>
    <row r="154" spans="1:5">
      <c r="A154" t="s">
        <v>2111</v>
      </c>
      <c r="B154" t="s">
        <v>2071</v>
      </c>
      <c r="C154" t="s">
        <v>2112</v>
      </c>
      <c r="D154" t="s">
        <v>2113</v>
      </c>
      <c r="E154" t="s">
        <v>2114</v>
      </c>
    </row>
    <row r="155" spans="1:5">
      <c r="A155" t="s">
        <v>2115</v>
      </c>
      <c r="B155" t="s">
        <v>2071</v>
      </c>
      <c r="C155" t="s">
        <v>2116</v>
      </c>
      <c r="D155" t="s">
        <v>2117</v>
      </c>
      <c r="E155" t="s">
        <v>2118</v>
      </c>
    </row>
    <row r="156" spans="1:5">
      <c r="A156" t="s">
        <v>2119</v>
      </c>
      <c r="B156" t="s">
        <v>2071</v>
      </c>
      <c r="C156" t="s">
        <v>2120</v>
      </c>
      <c r="D156" t="s">
        <v>2121</v>
      </c>
      <c r="E156" t="s">
        <v>2122</v>
      </c>
    </row>
    <row r="157" spans="1:5">
      <c r="A157" t="s">
        <v>2123</v>
      </c>
      <c r="B157" t="s">
        <v>2071</v>
      </c>
      <c r="C157" t="s">
        <v>2124</v>
      </c>
      <c r="D157" t="s">
        <v>2125</v>
      </c>
      <c r="E157" t="s">
        <v>2126</v>
      </c>
    </row>
    <row r="158" spans="1:5">
      <c r="A158" t="s">
        <v>2127</v>
      </c>
      <c r="B158" t="s">
        <v>2071</v>
      </c>
      <c r="C158" t="s">
        <v>2128</v>
      </c>
      <c r="D158" t="s">
        <v>2129</v>
      </c>
      <c r="E158" t="s">
        <v>2130</v>
      </c>
    </row>
    <row r="159" spans="1:5">
      <c r="A159" t="s">
        <v>2131</v>
      </c>
      <c r="B159" t="s">
        <v>2071</v>
      </c>
      <c r="C159" t="s">
        <v>2132</v>
      </c>
      <c r="D159" t="s">
        <v>2133</v>
      </c>
      <c r="E159" t="s">
        <v>2134</v>
      </c>
    </row>
    <row r="160" spans="1:5">
      <c r="A160" t="s">
        <v>2135</v>
      </c>
      <c r="B160" t="s">
        <v>2071</v>
      </c>
      <c r="C160" t="s">
        <v>2136</v>
      </c>
      <c r="D160" t="s">
        <v>2137</v>
      </c>
      <c r="E160" t="s">
        <v>2138</v>
      </c>
    </row>
    <row r="161" spans="1:5">
      <c r="A161" t="s">
        <v>2139</v>
      </c>
      <c r="B161" t="s">
        <v>2071</v>
      </c>
      <c r="C161" t="s">
        <v>2140</v>
      </c>
      <c r="D161" t="s">
        <v>2141</v>
      </c>
      <c r="E161" t="s">
        <v>2142</v>
      </c>
    </row>
    <row r="162" spans="1:5">
      <c r="A162" t="s">
        <v>2172</v>
      </c>
      <c r="B162" t="s">
        <v>2173</v>
      </c>
      <c r="C162" t="s">
        <v>2174</v>
      </c>
      <c r="D162" t="s">
        <v>2175</v>
      </c>
      <c r="E162" t="s">
        <v>2176</v>
      </c>
    </row>
    <row r="163" spans="1:5">
      <c r="A163" t="s">
        <v>2177</v>
      </c>
      <c r="B163" t="s">
        <v>2173</v>
      </c>
      <c r="C163" t="s">
        <v>2178</v>
      </c>
      <c r="D163" t="s">
        <v>2179</v>
      </c>
      <c r="E163" t="s">
        <v>2180</v>
      </c>
    </row>
    <row r="164" spans="1:5">
      <c r="A164" t="s">
        <v>2181</v>
      </c>
      <c r="B164" t="s">
        <v>2173</v>
      </c>
      <c r="C164" t="s">
        <v>2182</v>
      </c>
      <c r="D164" t="s">
        <v>2183</v>
      </c>
      <c r="E164" t="s">
        <v>2184</v>
      </c>
    </row>
    <row r="165" spans="1:5">
      <c r="A165" t="s">
        <v>2185</v>
      </c>
      <c r="B165" t="s">
        <v>2173</v>
      </c>
      <c r="C165" t="s">
        <v>2186</v>
      </c>
      <c r="D165" t="s">
        <v>2187</v>
      </c>
      <c r="E165" t="s">
        <v>2188</v>
      </c>
    </row>
    <row r="166" spans="1:5">
      <c r="A166" t="s">
        <v>2189</v>
      </c>
      <c r="B166" t="s">
        <v>2173</v>
      </c>
      <c r="C166" t="s">
        <v>2190</v>
      </c>
      <c r="D166" t="s">
        <v>2191</v>
      </c>
      <c r="E166" t="s">
        <v>2192</v>
      </c>
    </row>
    <row r="167" spans="1:5">
      <c r="A167" t="s">
        <v>2193</v>
      </c>
      <c r="B167" t="s">
        <v>2173</v>
      </c>
      <c r="C167" t="s">
        <v>2194</v>
      </c>
      <c r="D167" t="s">
        <v>2195</v>
      </c>
      <c r="E167" t="s">
        <v>2196</v>
      </c>
    </row>
    <row r="168" spans="1:5">
      <c r="A168" t="s">
        <v>2197</v>
      </c>
      <c r="B168" t="s">
        <v>2173</v>
      </c>
      <c r="C168" t="s">
        <v>2198</v>
      </c>
      <c r="D168" t="s">
        <v>2199</v>
      </c>
      <c r="E168" t="s">
        <v>2200</v>
      </c>
    </row>
    <row r="169" spans="1:5">
      <c r="A169" t="s">
        <v>2201</v>
      </c>
      <c r="B169" t="s">
        <v>2173</v>
      </c>
      <c r="C169" t="s">
        <v>2202</v>
      </c>
      <c r="D169" t="s">
        <v>2203</v>
      </c>
      <c r="E169" t="s">
        <v>2204</v>
      </c>
    </row>
    <row r="170" spans="1:5">
      <c r="A170" t="s">
        <v>2205</v>
      </c>
      <c r="B170" t="s">
        <v>2173</v>
      </c>
      <c r="C170" t="s">
        <v>2206</v>
      </c>
      <c r="D170" t="s">
        <v>2207</v>
      </c>
      <c r="E170" t="s">
        <v>2208</v>
      </c>
    </row>
    <row r="171" spans="1:5">
      <c r="A171" t="s">
        <v>2209</v>
      </c>
      <c r="B171" t="s">
        <v>2173</v>
      </c>
      <c r="C171" t="s">
        <v>2210</v>
      </c>
      <c r="D171" t="s">
        <v>2211</v>
      </c>
      <c r="E171" t="s">
        <v>2212</v>
      </c>
    </row>
    <row r="172" spans="1:5">
      <c r="A172" t="s">
        <v>2213</v>
      </c>
      <c r="B172" t="s">
        <v>2173</v>
      </c>
      <c r="C172" t="s">
        <v>2214</v>
      </c>
      <c r="D172" t="s">
        <v>2215</v>
      </c>
      <c r="E172" t="s">
        <v>2216</v>
      </c>
    </row>
    <row r="173" spans="1:5">
      <c r="A173" t="s">
        <v>2217</v>
      </c>
      <c r="B173" t="s">
        <v>2173</v>
      </c>
      <c r="C173" t="s">
        <v>2218</v>
      </c>
      <c r="D173" t="s">
        <v>2219</v>
      </c>
      <c r="E173" t="s">
        <v>2220</v>
      </c>
    </row>
    <row r="174" spans="1:5">
      <c r="A174" t="s">
        <v>2221</v>
      </c>
      <c r="B174" t="s">
        <v>2173</v>
      </c>
      <c r="C174" t="s">
        <v>2222</v>
      </c>
      <c r="D174" t="s">
        <v>2223</v>
      </c>
      <c r="E174" t="s">
        <v>2224</v>
      </c>
    </row>
  </sheetData>
  <autoFilter ref="A4:E84" xr:uid="{310581F7-ECDF-C64A-A7B0-C540D55B3FA1}"/>
  <phoneticPr fontId="2"/>
  <conditionalFormatting sqref="A5:E84">
    <cfRule type="expression" dxfId="7" priority="1">
      <formula>$B5="U2 Keycloak論理"</formula>
    </cfRule>
  </conditionalFormatting>
  <conditionalFormatting sqref="A5:E84">
    <cfRule type="expression" dxfId="6" priority="2">
      <formula>$B5="U3 ID・プロビジョニング"</formula>
    </cfRule>
  </conditionalFormatting>
  <conditionalFormatting sqref="A5:E84">
    <cfRule type="expression" dxfId="5" priority="3">
      <formula>$B5="U5 トークン・認可"</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abSelected="1" workbookViewId="0">
      <pane ySplit="4" topLeftCell="A5" activePane="bottomLeft" state="frozen"/>
      <selection pane="bottomLeft" activeCell="G23" sqref="G23"/>
    </sheetView>
  </sheetViews>
  <sheetFormatPr baseColWidth="10" defaultRowHeight="20"/>
  <cols>
    <col min="1" max="1" width="15.7109375" customWidth="1"/>
    <col min="2" max="2" width="28.5703125" customWidth="1"/>
    <col min="3" max="3" width="61.42578125" customWidth="1"/>
    <col min="4" max="4" width="11.42578125" customWidth="1"/>
    <col min="5" max="5" width="32.85546875" customWidth="1"/>
    <col min="6" max="6" width="12.85546875" customWidth="1"/>
    <col min="7" max="7" width="14.28515625" customWidth="1"/>
    <col min="8" max="8" width="57.140625" customWidth="1"/>
  </cols>
  <sheetData>
    <row r="1" spans="1:8" ht="25">
      <c r="A1" s="53" t="s">
        <v>1297</v>
      </c>
    </row>
    <row r="2" spans="1:8">
      <c r="A2" s="54" t="s">
        <v>1298</v>
      </c>
    </row>
    <row r="4" spans="1:8" ht="22" customHeight="1">
      <c r="A4" s="16" t="s">
        <v>1299</v>
      </c>
      <c r="B4" s="17" t="s">
        <v>1300</v>
      </c>
      <c r="C4" s="17" t="s">
        <v>1023</v>
      </c>
      <c r="D4" s="17" t="s">
        <v>1301</v>
      </c>
      <c r="E4" s="17" t="s">
        <v>1302</v>
      </c>
      <c r="F4" s="17" t="s">
        <v>1293</v>
      </c>
      <c r="G4" s="17" t="s">
        <v>1303</v>
      </c>
      <c r="H4" s="18" t="s">
        <v>1304</v>
      </c>
    </row>
    <row r="5" spans="1:8">
      <c r="A5" s="5" t="str">
        <f>Sheet1!C7</f>
        <v>FR-AUTH-001</v>
      </c>
      <c r="B5" s="6" t="str">
        <f>Sheet1!B7</f>
        <v>FR-AUTH 認証フロー/Grant Type</v>
      </c>
      <c r="C5" s="57" t="str">
        <f>Sheet1!E7</f>
        <v>自社で直接持つ利用者に、IDとパスワードでのログインを認めるか。認める対象を誰までに限るか</v>
      </c>
      <c r="D5" s="11" t="str">
        <f>Sheet1!F7</f>
        <v>確定</v>
      </c>
      <c r="E5" s="6" t="s">
        <v>1348</v>
      </c>
      <c r="F5" s="11" t="s">
        <v>1555</v>
      </c>
      <c r="G5" s="11" t="s">
        <v>1556</v>
      </c>
      <c r="H5" s="7" t="s">
        <v>1557</v>
      </c>
    </row>
    <row r="6" spans="1:8">
      <c r="A6" s="5" t="str">
        <f>Sheet1!C8</f>
        <v>FR-AUTH-002</v>
      </c>
      <c r="B6" s="6" t="str">
        <f>Sheet1!B8</f>
        <v>FR-AUTH 認証フロー/Grant Type</v>
      </c>
      <c r="C6" s="57" t="str">
        <f>Sheet1!E8</f>
        <v>スマホアプリや画面だけで動くWebアプリから安全にログインさせる標準方式を採用するか</v>
      </c>
      <c r="D6" s="11" t="str">
        <f>Sheet1!F8</f>
        <v>確定</v>
      </c>
      <c r="E6" s="6" t="s">
        <v>1558</v>
      </c>
      <c r="F6" s="11" t="s">
        <v>1559</v>
      </c>
      <c r="G6" s="11" t="s">
        <v>1556</v>
      </c>
      <c r="H6" s="7" t="s">
        <v>1560</v>
      </c>
    </row>
    <row r="7" spans="1:8">
      <c r="A7" s="5" t="str">
        <f>Sheet1!C9</f>
        <v>FR-AUTH-003</v>
      </c>
      <c r="B7" s="6" t="str">
        <f>Sheet1!B9</f>
        <v>FR-AUTH 認証フロー/Grant Type</v>
      </c>
      <c r="C7" s="57" t="str">
        <f>Sheet1!E9</f>
        <v>サーバー側で画面を組み立てるWebアプリのログイン方式をどうするか</v>
      </c>
      <c r="D7" s="11" t="str">
        <f>Sheet1!F9</f>
        <v>検討中</v>
      </c>
      <c r="E7" s="6" t="s">
        <v>1534</v>
      </c>
      <c r="F7" s="11" t="s">
        <v>1559</v>
      </c>
      <c r="G7" s="11" t="s">
        <v>1556</v>
      </c>
      <c r="H7" s="7" t="s">
        <v>1561</v>
      </c>
    </row>
    <row r="8" spans="1:8">
      <c r="A8" s="5" t="str">
        <f>Sheet1!C10</f>
        <v>FR-AUTH-004</v>
      </c>
      <c r="B8" s="6" t="str">
        <f>Sheet1!B10</f>
        <v>FR-AUTH 認証フロー/Grant Type</v>
      </c>
      <c r="C8" s="57" t="str">
        <f>Sheet1!E10</f>
        <v>人を介さないシステム同士の通信で、機械が自分の身元を証明する仕組みを用意するか</v>
      </c>
      <c r="D8" s="11" t="str">
        <f>Sheet1!F10</f>
        <v>検討中</v>
      </c>
      <c r="E8" s="6" t="s">
        <v>1552</v>
      </c>
      <c r="F8" s="11" t="s">
        <v>1559</v>
      </c>
      <c r="G8" s="11" t="s">
        <v>1556</v>
      </c>
      <c r="H8" s="7" t="s">
        <v>1562</v>
      </c>
    </row>
    <row r="9" spans="1:8">
      <c r="A9" s="5" t="str">
        <f>Sheet1!C11</f>
        <v>FR-AUTH-005</v>
      </c>
      <c r="B9" s="6" t="str">
        <f>Sheet1!B11</f>
        <v>FR-AUTH 認証フロー/Grant Type</v>
      </c>
      <c r="C9" s="57" t="str">
        <f>Sheet1!E11</f>
        <v>あるシステム向けの通行証を別システム向けに引き換える仕組みが必要か</v>
      </c>
      <c r="D9" s="11" t="str">
        <f>Sheet1!F11</f>
        <v>未着手</v>
      </c>
      <c r="E9" s="6" t="s">
        <v>1563</v>
      </c>
      <c r="F9" s="11" t="s">
        <v>1559</v>
      </c>
      <c r="G9" s="11" t="s">
        <v>1556</v>
      </c>
      <c r="H9" s="7" t="s">
        <v>1564</v>
      </c>
    </row>
    <row r="10" spans="1:8">
      <c r="A10" s="5" t="str">
        <f>Sheet1!C12</f>
        <v>FR-AUTH-006</v>
      </c>
      <c r="B10" s="6" t="str">
        <f>Sheet1!B12</f>
        <v>FR-AUTH 認証フロー/Grant Type</v>
      </c>
      <c r="C10" s="57" t="str">
        <f>Sheet1!E12</f>
        <v>テレビやプリンタのように文字入力が難しい機器からログインする必要があるか</v>
      </c>
      <c r="D10" s="11" t="str">
        <f>Sheet1!F12</f>
        <v>未着手</v>
      </c>
      <c r="E10" s="6" t="s">
        <v>1565</v>
      </c>
      <c r="F10" s="11" t="s">
        <v>1566</v>
      </c>
      <c r="G10" s="11" t="s">
        <v>1567</v>
      </c>
      <c r="H10" s="7" t="s">
        <v>1568</v>
      </c>
    </row>
    <row r="11" spans="1:8">
      <c r="A11" s="5" t="str">
        <f>Sheet1!C13</f>
        <v>FR-AUTH-007</v>
      </c>
      <c r="B11" s="6" t="str">
        <f>Sheet1!B13</f>
        <v>FR-AUTH 認証フロー/Grant Type</v>
      </c>
      <c r="C11" s="57" t="str">
        <f>Sheet1!E13</f>
        <v>電子証明書を使ってアプリ自身の身元を証明させる必要があるか</v>
      </c>
      <c r="D11" s="11" t="str">
        <f>Sheet1!F13</f>
        <v>未着手</v>
      </c>
      <c r="E11" s="6" t="s">
        <v>1565</v>
      </c>
      <c r="F11" s="11" t="s">
        <v>1566</v>
      </c>
      <c r="G11" s="11" t="s">
        <v>1567</v>
      </c>
      <c r="H11" s="7" t="s">
        <v>1569</v>
      </c>
    </row>
    <row r="12" spans="1:8">
      <c r="A12" s="5" t="str">
        <f>Sheet1!C14</f>
        <v>FR-AUTH-008</v>
      </c>
      <c r="B12" s="6" t="str">
        <f>Sheet1!B14</f>
        <v>FR-AUTH 認証フロー/Grant Type</v>
      </c>
      <c r="C12" s="57" t="str">
        <f>Sheet1!E14</f>
        <v>IDとパスワードを直接アプリに預ける古い方式は使わない、という方針を確認する</v>
      </c>
      <c r="D12" s="11" t="str">
        <f>Sheet1!F14</f>
        <v>確定</v>
      </c>
      <c r="E12" s="6" t="s">
        <v>1531</v>
      </c>
      <c r="F12" s="11" t="s">
        <v>1559</v>
      </c>
      <c r="G12" s="11" t="s">
        <v>1570</v>
      </c>
      <c r="H12" s="7" t="s">
        <v>1571</v>
      </c>
    </row>
    <row r="13" spans="1:8">
      <c r="A13" s="5" t="str">
        <f>Sheet1!C15</f>
        <v>FR-AUTH-009</v>
      </c>
      <c r="B13" s="6" t="str">
        <f>Sheet1!B15</f>
        <v>FR-AUTH パスワード・ローカルユーザー管理</v>
      </c>
      <c r="C13" s="57" t="str">
        <f>Sheet1!E15</f>
        <v>パスワードの最低文字数や、記号・数字を混ぜる条件をどう決めるか</v>
      </c>
      <c r="D13" s="11" t="str">
        <f>Sheet1!F15</f>
        <v>確定</v>
      </c>
      <c r="E13" s="6" t="s">
        <v>1851</v>
      </c>
      <c r="F13" s="11" t="s">
        <v>1852</v>
      </c>
      <c r="G13" s="11" t="s">
        <v>1752</v>
      </c>
      <c r="H13" s="7" t="s">
        <v>1853</v>
      </c>
    </row>
    <row r="14" spans="1:8">
      <c r="A14" s="5" t="str">
        <f>Sheet1!C16</f>
        <v>FR-AUTH-010</v>
      </c>
      <c r="B14" s="6" t="str">
        <f>Sheet1!B16</f>
        <v>FR-AUTH パスワード・ローカルユーザー管理</v>
      </c>
      <c r="C14" s="57" t="str">
        <f>Sheet1!E16</f>
        <v>過去に使ったパスワードの再利用を禁止するか。禁止するなら何世代さかのぼるか</v>
      </c>
      <c r="D14" s="11" t="str">
        <f>Sheet1!F16</f>
        <v>未着手</v>
      </c>
      <c r="E14" s="6" t="s">
        <v>1572</v>
      </c>
      <c r="F14" s="11" t="s">
        <v>1573</v>
      </c>
      <c r="G14" s="11" t="s">
        <v>1574</v>
      </c>
      <c r="H14" s="7" t="s">
        <v>1575</v>
      </c>
    </row>
    <row r="15" spans="1:8">
      <c r="A15" s="5" t="str">
        <f>Sheet1!C17</f>
        <v>FR-AUTH-011</v>
      </c>
      <c r="B15" s="6" t="str">
        <f>Sheet1!B17</f>
        <v>FR-AUTH パスワード・ローカルユーザー管理</v>
      </c>
      <c r="C15" s="57" t="str">
        <f>Sheet1!E17</f>
        <v>ログイン失敗が続いたときアカウントを一時的に止めるか。何回で止め、いつ解除するか</v>
      </c>
      <c r="D15" s="11" t="str">
        <f>Sheet1!F17</f>
        <v>検討中</v>
      </c>
      <c r="E15" s="6" t="s">
        <v>1854</v>
      </c>
      <c r="F15" s="11" t="s">
        <v>1855</v>
      </c>
      <c r="G15" s="11" t="s">
        <v>1752</v>
      </c>
      <c r="H15" s="7" t="s">
        <v>1856</v>
      </c>
    </row>
    <row r="16" spans="1:8">
      <c r="A16" s="5" t="str">
        <f>Sheet1!C18</f>
        <v>FR-AUTH-012</v>
      </c>
      <c r="B16" s="6" t="str">
        <f>Sheet1!B18</f>
        <v>FR-AUTH パスワード・ローカルユーザー管理</v>
      </c>
      <c r="C16" s="57" t="str">
        <f>Sheet1!E18</f>
        <v>パスワードに有効期限を設けて定期変更を求めるか。何日で切るか</v>
      </c>
      <c r="D16" s="11" t="str">
        <f>Sheet1!F18</f>
        <v>検討中</v>
      </c>
      <c r="E16" s="6" t="s">
        <v>1857</v>
      </c>
      <c r="F16" s="11" t="s">
        <v>1852</v>
      </c>
      <c r="G16" s="11" t="s">
        <v>1759</v>
      </c>
      <c r="H16" s="7" t="s">
        <v>1858</v>
      </c>
    </row>
    <row r="17" spans="1:8">
      <c r="A17" s="5" t="str">
        <f>Sheet1!C19</f>
        <v>FR-AUTH-013</v>
      </c>
      <c r="B17" s="6" t="str">
        <f>Sheet1!B19</f>
        <v>FR-AUTH パスワード・ローカルユーザー管理</v>
      </c>
      <c r="C17" s="57" t="str">
        <f>Sheet1!E19</f>
        <v>利用者が自分でパスワードを再設定できるようにするか。その際の本人確認をどう行うか</v>
      </c>
      <c r="D17" s="11" t="str">
        <f>Sheet1!F19</f>
        <v>検討中</v>
      </c>
      <c r="E17" s="6" t="s">
        <v>1741</v>
      </c>
      <c r="F17" s="11" t="s">
        <v>1742</v>
      </c>
      <c r="G17" s="11" t="s">
        <v>1743</v>
      </c>
      <c r="H17" s="7" t="s">
        <v>1744</v>
      </c>
    </row>
    <row r="18" spans="1:8">
      <c r="A18" s="5" t="str">
        <f>Sheet1!C20</f>
        <v>FR-AUTH-014</v>
      </c>
      <c r="B18" s="6" t="str">
        <f>Sheet1!B20</f>
        <v>FR-AUTH パスワード・ローカルユーザー管理</v>
      </c>
      <c r="C18" s="57" t="str">
        <f>Sheet1!E20</f>
        <v>初回ログイン時にパスワードの変更を強制するか</v>
      </c>
      <c r="D18" s="11" t="str">
        <f>Sheet1!F20</f>
        <v>検討中</v>
      </c>
      <c r="E18" s="6" t="s">
        <v>1745</v>
      </c>
      <c r="F18" s="11" t="s">
        <v>1742</v>
      </c>
      <c r="G18" s="11" t="s">
        <v>1746</v>
      </c>
      <c r="H18" s="7" t="s">
        <v>1747</v>
      </c>
    </row>
    <row r="19" spans="1:8">
      <c r="A19" s="5" t="str">
        <f>Sheet1!C21</f>
        <v>FR-FED-001</v>
      </c>
      <c r="B19" s="6" t="str">
        <f>Sheet1!B21</f>
        <v>FR-FED IdP接続種別</v>
      </c>
      <c r="C19" s="57" t="str">
        <f>Sheet1!E21</f>
        <v>既存の認証サービス（Auth0）と連携してログインさせるか</v>
      </c>
      <c r="D19" s="11" t="str">
        <f>Sheet1!F21</f>
        <v>確定</v>
      </c>
      <c r="E19" s="6" t="s">
        <v>1576</v>
      </c>
      <c r="F19" s="11" t="s">
        <v>1555</v>
      </c>
      <c r="G19" s="11" t="s">
        <v>1556</v>
      </c>
      <c r="H19" s="7" t="s">
        <v>1577</v>
      </c>
    </row>
    <row r="20" spans="1:8">
      <c r="A20" s="5" t="str">
        <f>Sheet1!C22</f>
        <v>FR-FED-002</v>
      </c>
      <c r="B20" s="6" t="str">
        <f>Sheet1!B22</f>
        <v>FR-FED IdP接続種別</v>
      </c>
      <c r="C20" s="57" t="str">
        <f>Sheet1!E22</f>
        <v>顧客が使っているMicrosoftのID基盤と連携するか。最優先で確認したい項目</v>
      </c>
      <c r="D20" s="11" t="str">
        <f>Sheet1!F22</f>
        <v>未着手</v>
      </c>
      <c r="E20" s="6" t="s">
        <v>1578</v>
      </c>
      <c r="F20" s="11" t="s">
        <v>1555</v>
      </c>
      <c r="G20" s="11" t="s">
        <v>1570</v>
      </c>
      <c r="H20" s="7" t="s">
        <v>1579</v>
      </c>
    </row>
    <row r="21" spans="1:8">
      <c r="A21" s="5" t="str">
        <f>Sheet1!C23</f>
        <v>FR-FED-003</v>
      </c>
      <c r="B21" s="6" t="str">
        <f>Sheet1!B23</f>
        <v>FR-FED IdP接続種別</v>
      </c>
      <c r="C21" s="57" t="str">
        <f>Sheet1!E23</f>
        <v>顧客が使っているOktaと連携するか</v>
      </c>
      <c r="D21" s="11" t="str">
        <f>Sheet1!F23</f>
        <v>未着手</v>
      </c>
      <c r="E21" s="6" t="s">
        <v>1578</v>
      </c>
      <c r="F21" s="11" t="s">
        <v>1555</v>
      </c>
      <c r="G21" s="11" t="s">
        <v>1570</v>
      </c>
      <c r="H21" s="7" t="s">
        <v>1580</v>
      </c>
    </row>
    <row r="22" spans="1:8">
      <c r="A22" s="5" t="str">
        <f>Sheet1!C24</f>
        <v>FR-FED-004</v>
      </c>
      <c r="B22" s="6" t="str">
        <f>Sheet1!B24</f>
        <v>FR-FED IdP接続種別</v>
      </c>
      <c r="C22" s="57" t="str">
        <f>Sheet1!E24</f>
        <v>Google Workspaceのアカウントでログインできるようにするか</v>
      </c>
      <c r="D22" s="11" t="str">
        <f>Sheet1!F24</f>
        <v>未着手</v>
      </c>
      <c r="E22" s="6" t="s">
        <v>1351</v>
      </c>
      <c r="F22" s="11" t="s">
        <v>1555</v>
      </c>
      <c r="G22" s="11" t="s">
        <v>1570</v>
      </c>
      <c r="H22" s="7" t="s">
        <v>1581</v>
      </c>
    </row>
    <row r="23" spans="1:8">
      <c r="A23" s="5" t="str">
        <f>Sheet1!C25</f>
        <v>FR-FED-005</v>
      </c>
      <c r="B23" s="6" t="str">
        <f>Sheet1!B25</f>
        <v>FR-FED IdP接続種別</v>
      </c>
      <c r="C23" s="57" t="str">
        <f>Sheet1!E25</f>
        <v>顧客側の旧来方式（SAML）のID基盤を受け入れる必要があるか</v>
      </c>
      <c r="D23" s="11" t="str">
        <f>Sheet1!F25</f>
        <v>未着手</v>
      </c>
      <c r="E23" s="6" t="s">
        <v>1375</v>
      </c>
      <c r="F23" s="11" t="s">
        <v>1555</v>
      </c>
      <c r="G23" s="11" t="s">
        <v>1570</v>
      </c>
      <c r="H23" s="7" t="s">
        <v>1582</v>
      </c>
    </row>
    <row r="24" spans="1:8">
      <c r="A24" s="5" t="str">
        <f>Sheet1!C26</f>
        <v>FR-FED-006</v>
      </c>
      <c r="B24" s="6" t="str">
        <f>Sheet1!B26</f>
        <v>FR-FED IdP接続種別</v>
      </c>
      <c r="C24" s="57" t="str">
        <f>Sheet1!E26</f>
        <v>自分たちが旧来方式（SAML）のID提供元として振る舞う必要があるか</v>
      </c>
      <c r="D24" s="11" t="str">
        <f>Sheet1!F26</f>
        <v>未着手</v>
      </c>
      <c r="E24" s="6" t="s">
        <v>1565</v>
      </c>
      <c r="F24" s="11" t="s">
        <v>1566</v>
      </c>
      <c r="G24" s="11" t="s">
        <v>1567</v>
      </c>
      <c r="H24" s="7" t="s">
        <v>1583</v>
      </c>
    </row>
    <row r="25" spans="1:8">
      <c r="A25" s="5" t="str">
        <f>Sheet1!C27</f>
        <v>FR-FED-007</v>
      </c>
      <c r="B25" s="6" t="str">
        <f>Sheet1!B27</f>
        <v>FR-FED IdP接続種別</v>
      </c>
      <c r="C25" s="57" t="str">
        <f>Sheet1!E27</f>
        <v>社内のディレクトリサーバー（LDAP/AD）と直接つなぐ必要があるか</v>
      </c>
      <c r="D25" s="11" t="str">
        <f>Sheet1!F27</f>
        <v>未着手</v>
      </c>
      <c r="E25" s="6" t="s">
        <v>1427</v>
      </c>
      <c r="F25" s="11" t="s">
        <v>1584</v>
      </c>
      <c r="G25" s="11" t="s">
        <v>1585</v>
      </c>
      <c r="H25" s="7" t="s">
        <v>1586</v>
      </c>
    </row>
    <row r="26" spans="1:8">
      <c r="A26" s="5" t="str">
        <f>Sheet1!C28</f>
        <v>FR-FED-014</v>
      </c>
      <c r="B26" s="6" t="str">
        <f>Sheet1!B28</f>
        <v>FR-FED IdP接続種別</v>
      </c>
      <c r="C26" s="57" t="str">
        <f>Sheet1!E28</f>
        <v>顧客ごとの独自ドメイン名でログイン画面を出す必要があるか</v>
      </c>
      <c r="D26" s="11" t="str">
        <f>Sheet1!F28</f>
        <v>検討中</v>
      </c>
      <c r="E26" s="6" t="s">
        <v>1748</v>
      </c>
      <c r="F26" s="11" t="s">
        <v>1742</v>
      </c>
      <c r="G26" s="11" t="s">
        <v>1743</v>
      </c>
      <c r="H26" s="7" t="s">
        <v>1749</v>
      </c>
    </row>
    <row r="27" spans="1:8">
      <c r="A27" s="5" t="str">
        <f>Sheet1!C29</f>
        <v>FR-FED-008</v>
      </c>
      <c r="B27" s="6" t="str">
        <f>Sheet1!B29</f>
        <v>FR-FED フェデレーションユーザー処理</v>
      </c>
      <c r="C27" s="57" t="str">
        <f>Sheet1!E29</f>
        <v>初回ログイン時に利用者情報を自動で作るか。作る項目と、既存と重複したときの扱いをどうするか</v>
      </c>
      <c r="D27" s="11" t="str">
        <f>Sheet1!F29</f>
        <v>確定</v>
      </c>
      <c r="E27" s="6" t="s">
        <v>1587</v>
      </c>
      <c r="F27" s="11" t="s">
        <v>1588</v>
      </c>
      <c r="G27" s="11" t="s">
        <v>1556</v>
      </c>
      <c r="H27" s="7" t="s">
        <v>1589</v>
      </c>
    </row>
    <row r="28" spans="1:8">
      <c r="A28" s="5" t="str">
        <f>Sheet1!C30</f>
        <v>FR-FED-009</v>
      </c>
      <c r="B28" s="6" t="str">
        <f>Sheet1!B30</f>
        <v>FR-FED フェデレーションユーザー処理</v>
      </c>
      <c r="C28" s="57" t="str">
        <f>Sheet1!E30</f>
        <v>顧客側のID基盤から受け取る項目を、自分たちの項目にどう対応づけるか</v>
      </c>
      <c r="D28" s="11" t="str">
        <f>Sheet1!F30</f>
        <v>確定</v>
      </c>
      <c r="E28" s="6" t="s">
        <v>1590</v>
      </c>
      <c r="F28" s="11" t="s">
        <v>1588</v>
      </c>
      <c r="G28" s="11" t="s">
        <v>1556</v>
      </c>
      <c r="H28" s="7" t="s">
        <v>1591</v>
      </c>
    </row>
    <row r="29" spans="1:8">
      <c r="A29" s="5" t="str">
        <f>Sheet1!C31</f>
        <v>FR-FED-012</v>
      </c>
      <c r="B29" s="6" t="str">
        <f>Sheet1!B31</f>
        <v>FR-FED フェデレーションユーザー処理</v>
      </c>
      <c r="C29" s="57" t="str">
        <f>Sheet1!E31</f>
        <v>顧客側で追加認証を済ませた利用者に、こちらで二重に求めないための条件をどうするか</v>
      </c>
      <c r="D29" s="11" t="str">
        <f>Sheet1!F31</f>
        <v>検討中</v>
      </c>
      <c r="E29" s="6" t="s">
        <v>1592</v>
      </c>
      <c r="F29" s="11" t="s">
        <v>1555</v>
      </c>
      <c r="G29" s="11" t="s">
        <v>1556</v>
      </c>
      <c r="H29" s="7" t="s">
        <v>1593</v>
      </c>
    </row>
    <row r="30" spans="1:8">
      <c r="A30" s="5" t="str">
        <f>Sheet1!C32</f>
        <v>FR-FED-010</v>
      </c>
      <c r="B30" s="6" t="str">
        <f>Sheet1!B32</f>
        <v>FR-FED マルチテナント運用</v>
      </c>
      <c r="C30" s="57" t="str">
        <f>Sheet1!E32</f>
        <v>複数の顧客のID基盤を同時に並行運用する前提でよいか</v>
      </c>
      <c r="D30" s="11" t="str">
        <f>Sheet1!F32</f>
        <v>確定</v>
      </c>
      <c r="E30" s="6" t="s">
        <v>1594</v>
      </c>
      <c r="F30" s="11" t="s">
        <v>1555</v>
      </c>
      <c r="G30" s="11" t="s">
        <v>1556</v>
      </c>
      <c r="H30" s="7" t="s">
        <v>1595</v>
      </c>
    </row>
    <row r="31" spans="1:8">
      <c r="A31" s="5" t="str">
        <f>Sheet1!C33</f>
        <v>FR-FED-011</v>
      </c>
      <c r="B31" s="6" t="str">
        <f>Sheet1!B33</f>
        <v>FR-FED マルチテナント運用</v>
      </c>
      <c r="C31" s="57" t="str">
        <f>Sheet1!E33</f>
        <v>新しい顧客を追加するときの申請から開通までの手順と、所要日数をどうするか</v>
      </c>
      <c r="D31" s="11" t="str">
        <f>Sheet1!F33</f>
        <v>検討中</v>
      </c>
      <c r="E31" s="6" t="s">
        <v>1405</v>
      </c>
      <c r="F31" s="11" t="s">
        <v>1555</v>
      </c>
      <c r="G31" s="11" t="s">
        <v>1570</v>
      </c>
      <c r="H31" s="7" t="s">
        <v>1596</v>
      </c>
    </row>
    <row r="32" spans="1:8">
      <c r="A32" s="5" t="str">
        <f>Sheet1!C34</f>
        <v>FR-FED-013</v>
      </c>
      <c r="B32" s="6" t="str">
        <f>Sheet1!B34</f>
        <v>FR-FED マルチテナント運用</v>
      </c>
      <c r="C32" s="57" t="str">
        <f>Sheet1!E34</f>
        <v>ログイン画面で所属を利用者に選ばせるか、メールアドレスから自動判定するか</v>
      </c>
      <c r="D32" s="11" t="str">
        <f>Sheet1!F34</f>
        <v>検討中</v>
      </c>
      <c r="E32" s="6" t="s">
        <v>1750</v>
      </c>
      <c r="F32" s="11" t="s">
        <v>1751</v>
      </c>
      <c r="G32" s="11" t="s">
        <v>1752</v>
      </c>
      <c r="H32" s="7" t="s">
        <v>1753</v>
      </c>
    </row>
    <row r="33" spans="1:8">
      <c r="A33" s="5" t="str">
        <f>Sheet1!C35</f>
        <v>FR-MFA-001</v>
      </c>
      <c r="B33" s="6" t="str">
        <f>Sheet1!B35</f>
        <v>FR-MFA MFA要素</v>
      </c>
      <c r="C33" s="57" t="str">
        <f>Sheet1!E35</f>
        <v>スマホの認証アプリによる追加確認を用意するか</v>
      </c>
      <c r="D33" s="11" t="str">
        <f>Sheet1!F35</f>
        <v>確定</v>
      </c>
      <c r="E33" s="6" t="s">
        <v>1754</v>
      </c>
      <c r="F33" s="11" t="s">
        <v>1751</v>
      </c>
      <c r="G33" s="11" t="s">
        <v>1752</v>
      </c>
      <c r="H33" s="7" t="s">
        <v>1755</v>
      </c>
    </row>
    <row r="34" spans="1:8">
      <c r="A34" s="5" t="str">
        <f>Sheet1!C36</f>
        <v>FR-MFA-002</v>
      </c>
      <c r="B34" s="6" t="str">
        <f>Sheet1!B36</f>
        <v>FR-MFA MFA要素</v>
      </c>
      <c r="C34" s="57" t="str">
        <f>Sheet1!E36</f>
        <v>指紋・顔認証やセキュリティキーを使ったパスワード不要のログインを用意するか</v>
      </c>
      <c r="D34" s="11" t="str">
        <f>Sheet1!F36</f>
        <v>検討中</v>
      </c>
      <c r="E34" s="6" t="s">
        <v>1756</v>
      </c>
      <c r="F34" s="11" t="s">
        <v>1751</v>
      </c>
      <c r="G34" s="11" t="s">
        <v>1752</v>
      </c>
      <c r="H34" s="7" t="s">
        <v>1757</v>
      </c>
    </row>
    <row r="35" spans="1:8">
      <c r="A35" s="5" t="str">
        <f>Sheet1!C37</f>
        <v>FR-MFA-003</v>
      </c>
      <c r="B35" s="6" t="str">
        <f>Sheet1!B37</f>
        <v>FR-MFA MFA要素</v>
      </c>
      <c r="C35" s="57" t="str">
        <f>Sheet1!E37</f>
        <v>SMS（携帯メッセージ）による追加確認を用意するか。費用と安全性をどう見るか</v>
      </c>
      <c r="D35" s="11" t="str">
        <f>Sheet1!F37</f>
        <v>未着手</v>
      </c>
      <c r="E35" s="6" t="s">
        <v>1758</v>
      </c>
      <c r="F35" s="11" t="s">
        <v>1742</v>
      </c>
      <c r="G35" s="11" t="s">
        <v>1759</v>
      </c>
      <c r="H35" s="7" t="s">
        <v>1760</v>
      </c>
    </row>
    <row r="36" spans="1:8">
      <c r="A36" s="5" t="str">
        <f>Sheet1!C38</f>
        <v>FR-MFA-004</v>
      </c>
      <c r="B36" s="6" t="str">
        <f>Sheet1!B38</f>
        <v>FR-MFA MFA要素</v>
      </c>
      <c r="C36" s="57" t="str">
        <f>Sheet1!E38</f>
        <v>メールによる追加確認を用意するか</v>
      </c>
      <c r="D36" s="11" t="str">
        <f>Sheet1!F38</f>
        <v>未着手</v>
      </c>
      <c r="E36" s="6" t="s">
        <v>1745</v>
      </c>
      <c r="F36" s="11" t="s">
        <v>1742</v>
      </c>
      <c r="G36" s="11" t="s">
        <v>1746</v>
      </c>
      <c r="H36" s="7" t="s">
        <v>1761</v>
      </c>
    </row>
    <row r="37" spans="1:8">
      <c r="A37" s="5" t="str">
        <f>Sheet1!C39</f>
        <v>FR-MFA-005</v>
      </c>
      <c r="B37" s="6" t="str">
        <f>Sheet1!B39</f>
        <v>FR-MFA MFA要素</v>
      </c>
      <c r="C37" s="57" t="str">
        <f>Sheet1!E39</f>
        <v>端末を失くしたとき用の予備コードを発行するか</v>
      </c>
      <c r="D37" s="11" t="str">
        <f>Sheet1!F39</f>
        <v>検討中</v>
      </c>
      <c r="E37" s="6" t="s">
        <v>1741</v>
      </c>
      <c r="F37" s="11" t="s">
        <v>1742</v>
      </c>
      <c r="G37" s="11" t="s">
        <v>1752</v>
      </c>
      <c r="H37" s="7" t="s">
        <v>1762</v>
      </c>
    </row>
    <row r="38" spans="1:8">
      <c r="A38" s="5" t="str">
        <f>Sheet1!C40</f>
        <v>FR-MFA-006</v>
      </c>
      <c r="B38" s="6" t="str">
        <f>Sheet1!B40</f>
        <v>FR-MFA MFA適用ポリシー</v>
      </c>
      <c r="C38" s="57" t="str">
        <f>Sheet1!E40</f>
        <v>普段と違う場所や不審な状況のときだけ追加確認を求めるか。その判定基準をどうするか</v>
      </c>
      <c r="D38" s="11" t="str">
        <f>Sheet1!F40</f>
        <v>検討中</v>
      </c>
      <c r="E38" s="6" t="s">
        <v>1763</v>
      </c>
      <c r="F38" s="11" t="s">
        <v>1751</v>
      </c>
      <c r="G38" s="11" t="s">
        <v>1743</v>
      </c>
      <c r="H38" s="7" t="s">
        <v>1764</v>
      </c>
    </row>
    <row r="39" spans="1:8">
      <c r="A39" s="5" t="str">
        <f>Sheet1!C41</f>
        <v>FR-MFA-007</v>
      </c>
      <c r="B39" s="6" t="str">
        <f>Sheet1!B41</f>
        <v>FR-MFA MFA適用ポリシー</v>
      </c>
      <c r="C39" s="57" t="str">
        <f>Sheet1!E41</f>
        <v>追加確認を全員必須にするか、役割ごとに任意とするか</v>
      </c>
      <c r="D39" s="11" t="str">
        <f>Sheet1!F41</f>
        <v>検討中</v>
      </c>
      <c r="E39" s="6" t="s">
        <v>1754</v>
      </c>
      <c r="F39" s="11" t="s">
        <v>1751</v>
      </c>
      <c r="G39" s="11" t="s">
        <v>1752</v>
      </c>
      <c r="H39" s="7" t="s">
        <v>1765</v>
      </c>
    </row>
    <row r="40" spans="1:8">
      <c r="A40" s="5" t="str">
        <f>Sheet1!C42</f>
        <v>FR-MFA-008</v>
      </c>
      <c r="B40" s="6" t="str">
        <f>Sheet1!B42</f>
        <v>FR-MFA MFA適用ポリシー</v>
      </c>
      <c r="C40" s="57" t="str">
        <f>Sheet1!E42</f>
        <v>一度確認した端末を記憶して次回以降の追加確認を省くか。記憶する期間をどうするか</v>
      </c>
      <c r="D40" s="11" t="str">
        <f>Sheet1!F42</f>
        <v>未着手</v>
      </c>
      <c r="E40" s="6" t="s">
        <v>1745</v>
      </c>
      <c r="F40" s="11" t="s">
        <v>1742</v>
      </c>
      <c r="G40" s="11" t="s">
        <v>1743</v>
      </c>
      <c r="H40" s="7" t="s">
        <v>1766</v>
      </c>
    </row>
    <row r="41" spans="1:8">
      <c r="A41" s="5" t="str">
        <f>Sheet1!C43</f>
        <v>FR-MFA-009</v>
      </c>
      <c r="B41" s="6" t="str">
        <f>Sheet1!B43</f>
        <v>FR-MFA MFA適用ポリシー</v>
      </c>
      <c r="C41" s="57" t="str">
        <f>Sheet1!E43</f>
        <v>管理者権限を持つ人には追加確認を必須にするか</v>
      </c>
      <c r="D41" s="11" t="str">
        <f>Sheet1!F43</f>
        <v>検討中</v>
      </c>
      <c r="E41" s="6" t="s">
        <v>1348</v>
      </c>
      <c r="F41" s="11" t="s">
        <v>1555</v>
      </c>
      <c r="G41" s="11" t="s">
        <v>1556</v>
      </c>
      <c r="H41" s="7" t="s">
        <v>1597</v>
      </c>
    </row>
    <row r="42" spans="1:8">
      <c r="A42" s="5" t="str">
        <f>Sheet1!C44</f>
        <v>FR-SSO-001</v>
      </c>
      <c r="B42" s="6" t="str">
        <f>Sheet1!B44</f>
        <v>FR-SSO SSO</v>
      </c>
      <c r="C42" s="57" t="str">
        <f>Sheet1!E44</f>
        <v>一度ログインすれば複数のアプリを使い回せる状態にするか</v>
      </c>
      <c r="D42" s="11" t="str">
        <f>Sheet1!F44</f>
        <v>確定</v>
      </c>
      <c r="E42" s="6" t="s">
        <v>1489</v>
      </c>
      <c r="F42" s="11" t="s">
        <v>1559</v>
      </c>
      <c r="G42" s="11" t="s">
        <v>1556</v>
      </c>
      <c r="H42" s="7" t="s">
        <v>1598</v>
      </c>
    </row>
    <row r="43" spans="1:8">
      <c r="A43" s="5" t="str">
        <f>Sheet1!C45</f>
        <v>FR-SSO-002</v>
      </c>
      <c r="B43" s="6" t="str">
        <f>Sheet1!B45</f>
        <v>FR-SSO SSO</v>
      </c>
      <c r="C43" s="57" t="str">
        <f>Sheet1!E45</f>
        <v>顧客側のID基盤を経由した場合も同じく使い回せるようにするか</v>
      </c>
      <c r="D43" s="11" t="str">
        <f>Sheet1!F45</f>
        <v>確定</v>
      </c>
      <c r="E43" s="6" t="s">
        <v>1599</v>
      </c>
      <c r="F43" s="11" t="s">
        <v>1555</v>
      </c>
      <c r="G43" s="11" t="s">
        <v>1556</v>
      </c>
      <c r="H43" s="7" t="s">
        <v>1600</v>
      </c>
    </row>
    <row r="44" spans="1:8">
      <c r="A44" s="5" t="str">
        <f>Sheet1!C46</f>
        <v>FR-SSO-003</v>
      </c>
      <c r="B44" s="6" t="str">
        <f>Sheet1!B46</f>
        <v>FR-SSO ログアウト</v>
      </c>
      <c r="C44" s="57" t="str">
        <f>Sheet1!E46</f>
        <v>ログアウト操作でアプリ内の状態だけを消す動作を用意するか</v>
      </c>
      <c r="D44" s="11" t="str">
        <f>Sheet1!F46</f>
        <v>確定</v>
      </c>
      <c r="E44" s="6" t="s">
        <v>1519</v>
      </c>
      <c r="F44" s="11" t="s">
        <v>1559</v>
      </c>
      <c r="G44" s="11" t="s">
        <v>1556</v>
      </c>
      <c r="H44" s="7" t="s">
        <v>1601</v>
      </c>
    </row>
    <row r="45" spans="1:8">
      <c r="A45" s="5" t="str">
        <f>Sheet1!C47</f>
        <v>FR-SSO-004</v>
      </c>
      <c r="B45" s="6" t="str">
        <f>Sheet1!B47</f>
        <v>FR-SSO ログアウト</v>
      </c>
      <c r="C45" s="57" t="str">
        <f>Sheet1!E47</f>
        <v>ログアウト時に認証基盤側のログイン状態も併せて消すか</v>
      </c>
      <c r="D45" s="11" t="str">
        <f>Sheet1!F47</f>
        <v>確定</v>
      </c>
      <c r="E45" s="6" t="s">
        <v>1519</v>
      </c>
      <c r="F45" s="11" t="s">
        <v>1559</v>
      </c>
      <c r="G45" s="11" t="s">
        <v>1556</v>
      </c>
      <c r="H45" s="7" t="s">
        <v>1602</v>
      </c>
    </row>
    <row r="46" spans="1:8">
      <c r="A46" s="5" t="str">
        <f>Sheet1!C48</f>
        <v>FR-SSO-005</v>
      </c>
      <c r="B46" s="6" t="str">
        <f>Sheet1!B48</f>
        <v>FR-SSO ログアウト</v>
      </c>
      <c r="C46" s="57" t="str">
        <f>Sheet1!E48</f>
        <v>ログアウト時に顧客側のID基盤のログイン状態まで消すか。どこまで連動させるか</v>
      </c>
      <c r="D46" s="11" t="str">
        <f>Sheet1!F48</f>
        <v>検討中</v>
      </c>
      <c r="E46" s="6" t="s">
        <v>1603</v>
      </c>
      <c r="F46" s="11" t="s">
        <v>1604</v>
      </c>
      <c r="G46" s="11" t="s">
        <v>1556</v>
      </c>
      <c r="H46" s="7" t="s">
        <v>1605</v>
      </c>
    </row>
    <row r="47" spans="1:8">
      <c r="A47" s="5" t="str">
        <f>Sheet1!C49</f>
        <v>FR-SSO-006</v>
      </c>
      <c r="B47" s="6" t="str">
        <f>Sheet1!B49</f>
        <v>FR-SSO ログアウト</v>
      </c>
      <c r="C47" s="57" t="str">
        <f>Sheet1!E49</f>
        <v>利用者のブラウザ経由で各アプリに一斉ログアウトを伝える方式を使うか</v>
      </c>
      <c r="D47" s="11" t="str">
        <f>Sheet1!F49</f>
        <v>検討中</v>
      </c>
      <c r="E47" s="6" t="s">
        <v>1519</v>
      </c>
      <c r="F47" s="11" t="s">
        <v>1559</v>
      </c>
      <c r="G47" s="11" t="s">
        <v>1556</v>
      </c>
      <c r="H47" s="7" t="s">
        <v>1606</v>
      </c>
    </row>
    <row r="48" spans="1:8">
      <c r="A48" s="5" t="str">
        <f>Sheet1!C50</f>
        <v>FR-SSO-007</v>
      </c>
      <c r="B48" s="6" t="str">
        <f>Sheet1!B50</f>
        <v>FR-SSO ログアウト</v>
      </c>
      <c r="C48" s="57" t="str">
        <f>Sheet1!E50</f>
        <v>サーバー同士の通信で各アプリに確実にログアウトを伝える方式を使うか</v>
      </c>
      <c r="D48" s="11" t="str">
        <f>Sheet1!F50</f>
        <v>検討中</v>
      </c>
      <c r="E48" s="6" t="s">
        <v>1607</v>
      </c>
      <c r="F48" s="11" t="s">
        <v>1559</v>
      </c>
      <c r="G48" s="11" t="s">
        <v>1556</v>
      </c>
      <c r="H48" s="7" t="s">
        <v>1608</v>
      </c>
    </row>
    <row r="49" spans="1:8">
      <c r="A49" s="5" t="str">
        <f>Sheet1!C51</f>
        <v>FR-SSO-008</v>
      </c>
      <c r="B49" s="6" t="str">
        <f>Sheet1!B51</f>
        <v>FR-SSO セッション管理</v>
      </c>
      <c r="C49" s="57" t="str">
        <f>Sheet1!E51</f>
        <v>無操作が続いたときに自動ログアウトするまでの時間をどうするか</v>
      </c>
      <c r="D49" s="11" t="str">
        <f>Sheet1!F51</f>
        <v>検討中</v>
      </c>
      <c r="E49" s="6" t="s">
        <v>1609</v>
      </c>
      <c r="F49" s="11" t="s">
        <v>1604</v>
      </c>
      <c r="G49" s="11" t="s">
        <v>1556</v>
      </c>
      <c r="H49" s="7" t="s">
        <v>1610</v>
      </c>
    </row>
    <row r="50" spans="1:8">
      <c r="A50" s="5" t="str">
        <f>Sheet1!C52</f>
        <v>FR-SSO-009</v>
      </c>
      <c r="B50" s="6" t="str">
        <f>Sheet1!B52</f>
        <v>FR-SSO セッション管理</v>
      </c>
      <c r="C50" s="57" t="str">
        <f>Sheet1!E52</f>
        <v>発行済みの通行証を有効期限前に強制的に無効化できる必要があるか</v>
      </c>
      <c r="D50" s="11" t="str">
        <f>Sheet1!F52</f>
        <v>未着手</v>
      </c>
      <c r="E50" s="6" t="s">
        <v>1611</v>
      </c>
      <c r="F50" s="11" t="s">
        <v>1559</v>
      </c>
      <c r="G50" s="11" t="s">
        <v>1556</v>
      </c>
      <c r="H50" s="7" t="s">
        <v>1612</v>
      </c>
    </row>
    <row r="51" spans="1:8">
      <c r="A51" s="5" t="str">
        <f>Sheet1!C53</f>
        <v>FR-SSO-010</v>
      </c>
      <c r="B51" s="6" t="str">
        <f>Sheet1!B53</f>
        <v>FR-SSO セッション管理</v>
      </c>
      <c r="C51" s="57" t="str">
        <f>Sheet1!E53</f>
        <v>管理者が特定の利用者のログイン状態を一括で切断できる機能を用意するか</v>
      </c>
      <c r="D51" s="11" t="str">
        <f>Sheet1!F53</f>
        <v>検討中</v>
      </c>
      <c r="E51" s="6" t="s">
        <v>1513</v>
      </c>
      <c r="F51" s="11" t="s">
        <v>1559</v>
      </c>
      <c r="G51" s="11" t="s">
        <v>1556</v>
      </c>
      <c r="H51" s="7" t="s">
        <v>1613</v>
      </c>
    </row>
    <row r="52" spans="1:8">
      <c r="A52" s="5" t="str">
        <f>Sheet1!C54</f>
        <v>FR-AUTHZ-001</v>
      </c>
      <c r="B52" s="6" t="str">
        <f>Sheet1!B54</f>
        <v>FR-AUTHZ クレームベース基本認可</v>
      </c>
      <c r="C52" s="57" t="str">
        <f>Sheet1!E54</f>
        <v>通行証に含まれる情報をもとに各アプリが権限を判定する方式でよいか</v>
      </c>
      <c r="D52" s="11" t="str">
        <f>Sheet1!F54</f>
        <v>確定</v>
      </c>
      <c r="E52" s="6" t="s">
        <v>1614</v>
      </c>
      <c r="F52" s="11" t="s">
        <v>1559</v>
      </c>
      <c r="G52" s="11" t="s">
        <v>1556</v>
      </c>
      <c r="H52" s="7" t="s">
        <v>1615</v>
      </c>
    </row>
    <row r="53" spans="1:8">
      <c r="A53" s="5" t="str">
        <f>Sheet1!C55</f>
        <v>FR-AUTHZ-002</v>
      </c>
      <c r="B53" s="6" t="str">
        <f>Sheet1!B55</f>
        <v>FR-AUTHZ クレームベース基本認可</v>
      </c>
      <c r="C53" s="57" t="str">
        <f>Sheet1!E55</f>
        <v>顧客ごとのデータが混ざらないよう、所属情報を通行証に必ず載せるか</v>
      </c>
      <c r="D53" s="11" t="str">
        <f>Sheet1!F55</f>
        <v>確定</v>
      </c>
      <c r="E53" s="6" t="s">
        <v>1616</v>
      </c>
      <c r="F53" s="11" t="s">
        <v>1604</v>
      </c>
      <c r="G53" s="11" t="s">
        <v>1556</v>
      </c>
      <c r="H53" s="7" t="s">
        <v>1617</v>
      </c>
    </row>
    <row r="54" spans="1:8">
      <c r="A54" s="5" t="str">
        <f>Sheet1!C56</f>
        <v>FR-AUTHZ-003</v>
      </c>
      <c r="B54" s="6" t="str">
        <f>Sheet1!B56</f>
        <v>FR-AUTHZ クレームベース基本認可</v>
      </c>
      <c r="C54" s="57" t="str">
        <f>Sheet1!E56</f>
        <v>役割（ロール）の情報を通行証に載せて権限判定に使うか</v>
      </c>
      <c r="D54" s="11" t="str">
        <f>Sheet1!F56</f>
        <v>確定</v>
      </c>
      <c r="E54" s="6" t="s">
        <v>1618</v>
      </c>
      <c r="F54" s="11" t="s">
        <v>1619</v>
      </c>
      <c r="G54" s="11" t="s">
        <v>1556</v>
      </c>
      <c r="H54" s="7" t="s">
        <v>1620</v>
      </c>
    </row>
    <row r="55" spans="1:8">
      <c r="A55" s="5" t="str">
        <f>Sheet1!C57</f>
        <v>FR-AUTHZ-004</v>
      </c>
      <c r="B55" s="6" t="str">
        <f>Sheet1!B57</f>
        <v>FR-AUTHZ クレームベース基本認可</v>
      </c>
      <c r="C55" s="57" t="str">
        <f>Sheet1!E57</f>
        <v>役割に上下関係（上位が下位を兼ねる）を持たせるか</v>
      </c>
      <c r="D55" s="11" t="str">
        <f>Sheet1!F57</f>
        <v>検討中</v>
      </c>
      <c r="E55" s="6" t="s">
        <v>1348</v>
      </c>
      <c r="F55" s="11" t="s">
        <v>1555</v>
      </c>
      <c r="G55" s="11" t="s">
        <v>1570</v>
      </c>
      <c r="H55" s="7" t="s">
        <v>1621</v>
      </c>
    </row>
    <row r="56" spans="1:8">
      <c r="A56" s="5" t="str">
        <f>Sheet1!C58</f>
        <v>FR-AUTHZ-005</v>
      </c>
      <c r="B56" s="6" t="str">
        <f>Sheet1!B58</f>
        <v>FR-AUTHZ クレームベース基本認可</v>
      </c>
      <c r="C56" s="57" t="str">
        <f>Sheet1!E58</f>
        <v>システム同士の通信でも、呼び出せる機能の範囲を絞り込む仕組みを使うか</v>
      </c>
      <c r="D56" s="11" t="str">
        <f>Sheet1!F58</f>
        <v>検討中</v>
      </c>
      <c r="E56" s="6" t="s">
        <v>1622</v>
      </c>
      <c r="F56" s="11" t="s">
        <v>1559</v>
      </c>
      <c r="G56" s="11" t="s">
        <v>1556</v>
      </c>
      <c r="H56" s="7" t="s">
        <v>1623</v>
      </c>
    </row>
    <row r="57" spans="1:8">
      <c r="A57" s="5" t="str">
        <f>Sheet1!C59</f>
        <v>FR-AUTHZ-006</v>
      </c>
      <c r="B57" s="6" t="str">
        <f>Sheet1!B59</f>
        <v>FR-AUTHZ クレームベース基本認可</v>
      </c>
      <c r="C57" s="57" t="str">
        <f>Sheet1!E59</f>
        <v>顧客固有の項目を通行証に追加できるようにするか。追加を認める範囲をどこまでにするか</v>
      </c>
      <c r="D57" s="11" t="str">
        <f>Sheet1!F59</f>
        <v>確定</v>
      </c>
      <c r="E57" s="6" t="s">
        <v>1483</v>
      </c>
      <c r="F57" s="11" t="s">
        <v>1559</v>
      </c>
      <c r="G57" s="11" t="s">
        <v>1556</v>
      </c>
      <c r="H57" s="7" t="s">
        <v>1624</v>
      </c>
    </row>
    <row r="58" spans="1:8">
      <c r="A58" s="5" t="str">
        <f>Sheet1!C60</f>
        <v>FR-AUTHZ-007</v>
      </c>
      <c r="B58" s="6" t="str">
        <f>Sheet1!B60</f>
        <v>FR-AUTHZ クレームベース基本認可</v>
      </c>
      <c r="C58" s="57" t="str">
        <f>Sheet1!E60</f>
        <v>AWSのAPI入口で通行証を検証する共通部品を用意するか</v>
      </c>
      <c r="D58" s="11" t="str">
        <f>Sheet1!F60</f>
        <v>確定</v>
      </c>
      <c r="E58" s="6" t="s">
        <v>1537</v>
      </c>
      <c r="F58" s="11" t="s">
        <v>1559</v>
      </c>
      <c r="G58" s="11" t="s">
        <v>1570</v>
      </c>
      <c r="H58" s="7" t="s">
        <v>1625</v>
      </c>
    </row>
    <row r="59" spans="1:8">
      <c r="A59" s="5" t="str">
        <f>Sheet1!C61</f>
        <v>FR-AUTHZ-008</v>
      </c>
      <c r="B59" s="6" t="str">
        <f>Sheet1!B61</f>
        <v>FR-AUTHZ クレームベース基本認可</v>
      </c>
      <c r="C59" s="57" t="str">
        <f>Sheet1!E61</f>
        <v>通行証の発行元が複数ある状態を、各アプリが受け入れられるようにするか</v>
      </c>
      <c r="D59" s="11" t="str">
        <f>Sheet1!F61</f>
        <v>確定</v>
      </c>
      <c r="E59" s="6" t="s">
        <v>1626</v>
      </c>
      <c r="F59" s="11" t="s">
        <v>1619</v>
      </c>
      <c r="G59" s="11" t="s">
        <v>1556</v>
      </c>
      <c r="H59" s="7" t="s">
        <v>1627</v>
      </c>
    </row>
    <row r="60" spans="1:8">
      <c r="A60" s="5" t="str">
        <f>Sheet1!C62</f>
        <v>FR-AUTHZ-009</v>
      </c>
      <c r="B60" s="6" t="str">
        <f>Sheet1!B62</f>
        <v>FR-AUTHZ 細粒度認可</v>
      </c>
      <c r="C60" s="57" t="str">
        <f>Sheet1!E62</f>
        <v>「この書類はこの人だけ」といった個別データ単位の細かい権限管理が必要か</v>
      </c>
      <c r="D60" s="11" t="str">
        <f>Sheet1!F62</f>
        <v>未着手</v>
      </c>
      <c r="E60" s="6" t="s">
        <v>1462</v>
      </c>
      <c r="F60" s="11" t="s">
        <v>1584</v>
      </c>
      <c r="G60" s="11" t="s">
        <v>1585</v>
      </c>
      <c r="H60" s="7" t="s">
        <v>1628</v>
      </c>
    </row>
    <row r="61" spans="1:8">
      <c r="A61" s="5" t="str">
        <f>Sheet1!C63</f>
        <v>FR-AUTHZ-010</v>
      </c>
      <c r="B61" s="6" t="str">
        <f>Sheet1!B63</f>
        <v>FR-AUTHZ 細粒度認可</v>
      </c>
      <c r="C61" s="57" t="str">
        <f>Sheet1!E63</f>
        <v>部署や職位などの属性を組み合わせて、その場で権限を決める仕組みが必要か</v>
      </c>
      <c r="D61" s="11" t="str">
        <f>Sheet1!F63</f>
        <v>未着手</v>
      </c>
      <c r="E61" s="6" t="s">
        <v>1629</v>
      </c>
      <c r="F61" s="11" t="s">
        <v>1584</v>
      </c>
      <c r="G61" s="11" t="s">
        <v>1585</v>
      </c>
      <c r="H61" s="7" t="s">
        <v>1630</v>
      </c>
    </row>
    <row r="62" spans="1:8">
      <c r="A62" s="5" t="str">
        <f>Sheet1!C64</f>
        <v>FR-USER-001</v>
      </c>
      <c r="B62" s="6" t="str">
        <f>Sheet1!B64</f>
        <v>FR-USER ユーザーCRUD</v>
      </c>
      <c r="C62" s="57" t="str">
        <f>Sheet1!E64</f>
        <v>利用者情報の登録・変更・削除を、誰がどの画面やAPIから行えるようにするか</v>
      </c>
      <c r="D62" s="11" t="str">
        <f>Sheet1!F64</f>
        <v>確定</v>
      </c>
      <c r="E62" s="6" t="s">
        <v>1631</v>
      </c>
      <c r="F62" s="11" t="s">
        <v>1632</v>
      </c>
      <c r="G62" s="11" t="s">
        <v>1556</v>
      </c>
      <c r="H62" s="7" t="s">
        <v>1633</v>
      </c>
    </row>
    <row r="63" spans="1:8">
      <c r="A63" s="5" t="str">
        <f>Sheet1!C65</f>
        <v>FR-USER-005</v>
      </c>
      <c r="B63" s="6" t="str">
        <f>Sheet1!B65</f>
        <v>FR-USER ユーザーCRUD</v>
      </c>
      <c r="C63" s="57" t="str">
        <f>Sheet1!E65</f>
        <v>利用者の検索・一覧表示に必要な検索条件と表示項目をどうするか</v>
      </c>
      <c r="D63" s="11" t="str">
        <f>Sheet1!F65</f>
        <v>確定</v>
      </c>
      <c r="E63" s="6" t="s">
        <v>2225</v>
      </c>
      <c r="F63" s="11" t="s">
        <v>2226</v>
      </c>
      <c r="G63" s="11" t="s">
        <v>1752</v>
      </c>
      <c r="H63" s="7" t="s">
        <v>2227</v>
      </c>
    </row>
    <row r="64" spans="1:8">
      <c r="A64" s="5" t="str">
        <f>Sheet1!C66</f>
        <v>FR-USER-006</v>
      </c>
      <c r="B64" s="6" t="str">
        <f>Sheet1!B66</f>
        <v>FR-USER ユーザーCRUD</v>
      </c>
      <c r="C64" s="57" t="str">
        <f>Sheet1!E66</f>
        <v>利用者を削除せず一時停止できる状態を用意するか</v>
      </c>
      <c r="D64" s="11" t="str">
        <f>Sheet1!F66</f>
        <v>確定</v>
      </c>
      <c r="E64" s="6" t="s">
        <v>1634</v>
      </c>
      <c r="F64" s="11" t="s">
        <v>1632</v>
      </c>
      <c r="G64" s="11" t="s">
        <v>1556</v>
      </c>
      <c r="H64" s="7" t="s">
        <v>1635</v>
      </c>
    </row>
    <row r="65" spans="1:8">
      <c r="A65" s="5" t="str">
        <f>Sheet1!C67</f>
        <v>FR-USER-011</v>
      </c>
      <c r="B65" s="6" t="str">
        <f>Sheet1!B67</f>
        <v>FR-USER ユーザーCRUD</v>
      </c>
      <c r="C65" s="57" t="str">
        <f>Sheet1!E67</f>
        <v>退職・解約時に利用者情報と関連データをどこまで消すか。保存期間をどうするか</v>
      </c>
      <c r="D65" s="11" t="str">
        <f>Sheet1!F67</f>
        <v>検討中</v>
      </c>
      <c r="E65" s="6" t="s">
        <v>1636</v>
      </c>
      <c r="F65" s="11" t="s">
        <v>1584</v>
      </c>
      <c r="G65" s="11" t="s">
        <v>1556</v>
      </c>
      <c r="H65" s="7" t="s">
        <v>1637</v>
      </c>
    </row>
    <row r="66" spans="1:8">
      <c r="A66" s="5" t="str">
        <f>Sheet1!C68</f>
        <v>FR-USER-002</v>
      </c>
      <c r="B66" s="6" t="str">
        <f>Sheet1!B68</f>
        <v>FR-USER 属性・ロール</v>
      </c>
      <c r="C66" s="57" t="str">
        <f>Sheet1!E68</f>
        <v>標準で用意される項目以外に、独自に持たせたい項目を何にするか</v>
      </c>
      <c r="D66" s="11" t="str">
        <f>Sheet1!F68</f>
        <v>確定</v>
      </c>
      <c r="E66" s="6" t="s">
        <v>1638</v>
      </c>
      <c r="F66" s="11" t="s">
        <v>1588</v>
      </c>
      <c r="G66" s="11" t="s">
        <v>1556</v>
      </c>
      <c r="H66" s="7" t="s">
        <v>1639</v>
      </c>
    </row>
    <row r="67" spans="1:8">
      <c r="A67" s="5" t="str">
        <f>Sheet1!C69</f>
        <v>FR-USER-007</v>
      </c>
      <c r="B67" s="6" t="str">
        <f>Sheet1!B69</f>
        <v>FR-USER 属性・ロール</v>
      </c>
      <c r="C67" s="57" t="str">
        <f>Sheet1!E69</f>
        <v>利用者をグループにまとめて管理する必要があるか</v>
      </c>
      <c r="D67" s="11" t="str">
        <f>Sheet1!F69</f>
        <v>検討中</v>
      </c>
      <c r="E67" s="6" t="s">
        <v>1745</v>
      </c>
      <c r="F67" s="11" t="s">
        <v>2228</v>
      </c>
      <c r="G67" s="11" t="s">
        <v>1746</v>
      </c>
      <c r="H67" s="7" t="s">
        <v>2229</v>
      </c>
    </row>
    <row r="68" spans="1:8">
      <c r="A68" s="5" t="str">
        <f>Sheet1!C70</f>
        <v>FR-USER-008</v>
      </c>
      <c r="B68" s="6" t="str">
        <f>Sheet1!B70</f>
        <v>FR-USER 属性・ロール</v>
      </c>
      <c r="C68" s="57" t="str">
        <f>Sheet1!E70</f>
        <v>誰がどの役割を割り当てられるようにするか</v>
      </c>
      <c r="D68" s="11" t="str">
        <f>Sheet1!F70</f>
        <v>検討中</v>
      </c>
      <c r="E68" s="6" t="s">
        <v>1640</v>
      </c>
      <c r="F68" s="11" t="s">
        <v>1632</v>
      </c>
      <c r="G68" s="11" t="s">
        <v>1556</v>
      </c>
      <c r="H68" s="7" t="s">
        <v>1641</v>
      </c>
    </row>
    <row r="69" spans="1:8">
      <c r="A69" s="5" t="str">
        <f>Sheet1!C71</f>
        <v>FR-USER-004</v>
      </c>
      <c r="B69" s="6" t="str">
        <f>Sheet1!B71</f>
        <v>FR-USER セルフサービス</v>
      </c>
      <c r="C69" s="57" t="str">
        <f>Sheet1!E71</f>
        <v>利用者が自分のプロフィールを自分で編集できる範囲をどこまでにするか</v>
      </c>
      <c r="D69" s="11" t="str">
        <f>Sheet1!F71</f>
        <v>検討中</v>
      </c>
      <c r="E69" s="6" t="s">
        <v>1767</v>
      </c>
      <c r="F69" s="11" t="s">
        <v>1751</v>
      </c>
      <c r="G69" s="11" t="s">
        <v>1743</v>
      </c>
      <c r="H69" s="7" t="s">
        <v>1768</v>
      </c>
    </row>
    <row r="70" spans="1:8">
      <c r="A70" s="5" t="str">
        <f>Sheet1!C72</f>
        <v>FR-USER-012</v>
      </c>
      <c r="B70" s="6" t="str">
        <f>Sheet1!B72</f>
        <v>FR-USER セルフサービス</v>
      </c>
      <c r="C70" s="57" t="str">
        <f>Sheet1!E72</f>
        <v>新規登録時に招待メールを送る運用にするか。文面と有効期限をどうするか</v>
      </c>
      <c r="D70" s="11" t="str">
        <f>Sheet1!F72</f>
        <v>検討中</v>
      </c>
      <c r="E70" s="6" t="s">
        <v>2230</v>
      </c>
      <c r="F70" s="11" t="s">
        <v>2231</v>
      </c>
      <c r="G70" s="11" t="s">
        <v>1743</v>
      </c>
      <c r="H70" s="7" t="s">
        <v>2232</v>
      </c>
    </row>
    <row r="71" spans="1:8">
      <c r="A71" s="5" t="str">
        <f>Sheet1!C73</f>
        <v>FR-USER-003</v>
      </c>
      <c r="B71" s="6" t="str">
        <f>Sheet1!B73</f>
        <v>FR-USER プロビジョニング</v>
      </c>
      <c r="C71" s="57" t="str">
        <f>Sheet1!E73</f>
        <v>顧客のID基盤から利用者情報を自動同期する標準方式に対応するか</v>
      </c>
      <c r="D71" s="11" t="str">
        <f>Sheet1!F73</f>
        <v>未着手</v>
      </c>
      <c r="E71" s="6" t="s">
        <v>1642</v>
      </c>
      <c r="F71" s="11" t="s">
        <v>1584</v>
      </c>
      <c r="G71" s="11" t="s">
        <v>1556</v>
      </c>
      <c r="H71" s="7" t="s">
        <v>1643</v>
      </c>
    </row>
    <row r="72" spans="1:8">
      <c r="A72" s="5" t="str">
        <f>Sheet1!C74</f>
        <v>FR-USER-009</v>
      </c>
      <c r="B72" s="6" t="str">
        <f>Sheet1!B74</f>
        <v>FR-USER プロビジョニング</v>
      </c>
      <c r="C72" s="57" t="str">
        <f>Sheet1!E74</f>
        <v>表形式ファイルによる一括登録を用意するか。1回あたりの上限件数をどうするか</v>
      </c>
      <c r="D72" s="11" t="str">
        <f>Sheet1!F74</f>
        <v>検討中</v>
      </c>
      <c r="E72" s="6" t="s">
        <v>1451</v>
      </c>
      <c r="F72" s="11" t="s">
        <v>1584</v>
      </c>
      <c r="G72" s="11" t="s">
        <v>1570</v>
      </c>
      <c r="H72" s="7" t="s">
        <v>1644</v>
      </c>
    </row>
    <row r="73" spans="1:8">
      <c r="A73" s="5" t="str">
        <f>Sheet1!C75</f>
        <v>FR-USER-010</v>
      </c>
      <c r="B73" s="6" t="str">
        <f>Sheet1!B75</f>
        <v>FR-USER プロビジョニング</v>
      </c>
      <c r="C73" s="57" t="str">
        <f>Sheet1!E75</f>
        <v>管理者が利用者のパスワードを強制的に再設定できるようにするか</v>
      </c>
      <c r="D73" s="11" t="str">
        <f>Sheet1!F75</f>
        <v>確定</v>
      </c>
      <c r="E73" s="6" t="s">
        <v>1421</v>
      </c>
      <c r="F73" s="11" t="s">
        <v>1584</v>
      </c>
      <c r="G73" s="11" t="s">
        <v>1570</v>
      </c>
      <c r="H73" s="7" t="s">
        <v>1645</v>
      </c>
    </row>
    <row r="74" spans="1:8">
      <c r="A74" s="5" t="str">
        <f>Sheet1!C76</f>
        <v>FR-ADMIN-001</v>
      </c>
      <c r="B74" s="6" t="str">
        <f>Sheet1!B76</f>
        <v>FR-ADMIN 基盤設定管理</v>
      </c>
      <c r="C74" s="57" t="str">
        <f>Sheet1!E76</f>
        <v>運用担当者が使う管理画面を、どこまで自前で作るか</v>
      </c>
      <c r="D74" s="11" t="str">
        <f>Sheet1!F76</f>
        <v>確定</v>
      </c>
      <c r="E74" s="6" t="s">
        <v>1646</v>
      </c>
      <c r="F74" s="11" t="s">
        <v>1584</v>
      </c>
      <c r="G74" s="11" t="s">
        <v>1556</v>
      </c>
      <c r="H74" s="7" t="s">
        <v>1647</v>
      </c>
    </row>
    <row r="75" spans="1:8">
      <c r="A75" s="5" t="str">
        <f>Sheet1!C77</f>
        <v>FR-ADMIN-002</v>
      </c>
      <c r="B75" s="6" t="str">
        <f>Sheet1!B77</f>
        <v>FR-ADMIN 基盤設定管理</v>
      </c>
      <c r="C75" s="57" t="str">
        <f>Sheet1!E77</f>
        <v>顧客テナントの追加・削除を誰がどの手順で行うか</v>
      </c>
      <c r="D75" s="11" t="str">
        <f>Sheet1!F77</f>
        <v>検討中</v>
      </c>
      <c r="E75" s="6" t="s">
        <v>2233</v>
      </c>
      <c r="F75" s="11" t="s">
        <v>2234</v>
      </c>
      <c r="G75" s="11" t="s">
        <v>1743</v>
      </c>
      <c r="H75" s="7" t="s">
        <v>2235</v>
      </c>
    </row>
    <row r="76" spans="1:8">
      <c r="A76" s="5" t="str">
        <f>Sheet1!C78</f>
        <v>FR-ADMIN-003</v>
      </c>
      <c r="B76" s="6" t="str">
        <f>Sheet1!B78</f>
        <v>FR-ADMIN 基盤設定管理</v>
      </c>
      <c r="C76" s="57" t="str">
        <f>Sheet1!E78</f>
        <v>顧客のID基盤の登録・変更・削除を誰がどの手順で行うか</v>
      </c>
      <c r="D76" s="11" t="str">
        <f>Sheet1!F78</f>
        <v>確定</v>
      </c>
      <c r="E76" s="6" t="s">
        <v>1648</v>
      </c>
      <c r="F76" s="11" t="s">
        <v>1555</v>
      </c>
      <c r="G76" s="11" t="s">
        <v>1556</v>
      </c>
      <c r="H76" s="7" t="s">
        <v>1649</v>
      </c>
    </row>
    <row r="77" spans="1:8">
      <c r="A77" s="5" t="str">
        <f>Sheet1!C79</f>
        <v>FR-ADMIN-004</v>
      </c>
      <c r="B77" s="6" t="str">
        <f>Sheet1!B79</f>
        <v>FR-ADMIN 基盤設定管理</v>
      </c>
      <c r="C77" s="57" t="str">
        <f>Sheet1!E79</f>
        <v>アプリの登録と設定変更を誰がどの手順で行うか</v>
      </c>
      <c r="D77" s="11" t="str">
        <f>Sheet1!F79</f>
        <v>確定</v>
      </c>
      <c r="E77" s="6" t="s">
        <v>1405</v>
      </c>
      <c r="F77" s="11" t="s">
        <v>1555</v>
      </c>
      <c r="G77" s="11" t="s">
        <v>1556</v>
      </c>
      <c r="H77" s="7" t="s">
        <v>1650</v>
      </c>
    </row>
    <row r="78" spans="1:8">
      <c r="A78" s="5" t="str">
        <f>Sheet1!C80</f>
        <v>FR-ADMIN-005</v>
      </c>
      <c r="B78" s="6" t="str">
        <f>Sheet1!B80</f>
        <v>FR-ADMIN 基盤設定管理</v>
      </c>
      <c r="C78" s="57" t="str">
        <f>Sheet1!E80</f>
        <v>どんな役割を用意するかの定義を、誰が管理するか</v>
      </c>
      <c r="D78" s="11" t="str">
        <f>Sheet1!F80</f>
        <v>検討中</v>
      </c>
      <c r="E78" s="6" t="s">
        <v>2236</v>
      </c>
      <c r="F78" s="11" t="s">
        <v>2237</v>
      </c>
      <c r="G78" s="11" t="s">
        <v>1752</v>
      </c>
      <c r="H78" s="7" t="s">
        <v>2238</v>
      </c>
    </row>
    <row r="79" spans="1:8">
      <c r="A79" s="5" t="str">
        <f>Sheet1!C81</f>
        <v>FR-ADMIN-009</v>
      </c>
      <c r="B79" s="6" t="str">
        <f>Sheet1!B81</f>
        <v>FR-ADMIN 基盤設定管理</v>
      </c>
      <c r="C79" s="57" t="str">
        <f>Sheet1!E81</f>
        <v>顧客ごとの設定が互いに見えない・触れない状態を、どう担保するか</v>
      </c>
      <c r="D79" s="11" t="str">
        <f>Sheet1!F81</f>
        <v>確定</v>
      </c>
      <c r="E79" s="6" t="s">
        <v>1651</v>
      </c>
      <c r="F79" s="11" t="s">
        <v>1619</v>
      </c>
      <c r="G79" s="11" t="s">
        <v>1556</v>
      </c>
      <c r="H79" s="7" t="s">
        <v>1652</v>
      </c>
    </row>
    <row r="80" spans="1:8">
      <c r="A80" s="5" t="str">
        <f>Sheet1!C82</f>
        <v>FR-ADMIN-007</v>
      </c>
      <c r="B80" s="6" t="str">
        <f>Sheet1!B82</f>
        <v>FR-ADMIN 監査・可視性</v>
      </c>
      <c r="C80" s="57" t="str">
        <f>Sheet1!E82</f>
        <v>誰がいつ何をしたかの記録を、誰がどの画面で見られるようにするか</v>
      </c>
      <c r="D80" s="11" t="str">
        <f>Sheet1!F82</f>
        <v>検討中</v>
      </c>
      <c r="E80" s="6" t="s">
        <v>2143</v>
      </c>
      <c r="F80" s="11" t="s">
        <v>2144</v>
      </c>
      <c r="G80" s="11" t="s">
        <v>1752</v>
      </c>
      <c r="H80" s="7" t="s">
        <v>2145</v>
      </c>
    </row>
    <row r="81" spans="1:8">
      <c r="A81" s="5" t="str">
        <f>Sheet1!C83</f>
        <v>FR-ADMIN-008</v>
      </c>
      <c r="B81" s="6" t="str">
        <f>Sheet1!B83</f>
        <v>FR-ADMIN 監査・可視性</v>
      </c>
      <c r="C81" s="57" t="str">
        <f>Sheet1!E83</f>
        <v>設定変更の履歴をどこまで残し、いつまで保存するか</v>
      </c>
      <c r="D81" s="11" t="str">
        <f>Sheet1!F83</f>
        <v>検討中</v>
      </c>
      <c r="E81" s="6" t="s">
        <v>2146</v>
      </c>
      <c r="F81" s="11" t="s">
        <v>2147</v>
      </c>
      <c r="G81" s="11" t="s">
        <v>1752</v>
      </c>
      <c r="H81" s="7" t="s">
        <v>2148</v>
      </c>
    </row>
    <row r="82" spans="1:8">
      <c r="A82" s="5" t="str">
        <f>Sheet1!C84</f>
        <v>FR-ADMIN-006</v>
      </c>
      <c r="B82" s="6" t="str">
        <f>Sheet1!B84</f>
        <v>FR-ADMIN 権限委譲・カスタマイズ</v>
      </c>
      <c r="C82" s="57" t="str">
        <f>Sheet1!E84</f>
        <v>管理画面の操作権限を細かく分ける必要があるか</v>
      </c>
      <c r="D82" s="11" t="str">
        <f>Sheet1!F84</f>
        <v>未着手</v>
      </c>
      <c r="E82" s="6" t="s">
        <v>2239</v>
      </c>
      <c r="F82" s="11" t="s">
        <v>2226</v>
      </c>
      <c r="G82" s="11" t="s">
        <v>1752</v>
      </c>
      <c r="H82" s="7" t="s">
        <v>2240</v>
      </c>
    </row>
    <row r="83" spans="1:8">
      <c r="A83" s="5" t="str">
        <f>Sheet1!C85</f>
        <v>FR-ADMIN-010</v>
      </c>
      <c r="B83" s="6" t="str">
        <f>Sheet1!B85</f>
        <v>FR-ADMIN 権限委譲・カスタマイズ</v>
      </c>
      <c r="C83" s="57" t="str">
        <f>Sheet1!E85</f>
        <v>運用担当者側の役割分担（見るだけ／変更できる等）をどう分けるか</v>
      </c>
      <c r="D83" s="11" t="str">
        <f>Sheet1!F85</f>
        <v>検討中</v>
      </c>
      <c r="E83" s="6" t="s">
        <v>1653</v>
      </c>
      <c r="F83" s="11" t="s">
        <v>1588</v>
      </c>
      <c r="G83" s="11" t="s">
        <v>1570</v>
      </c>
      <c r="H83" s="7" t="s">
        <v>1654</v>
      </c>
    </row>
    <row r="84" spans="1:8">
      <c r="A84" s="5" t="str">
        <f>Sheet1!C86</f>
        <v>FR-ADMIN-011</v>
      </c>
      <c r="B84" s="6" t="str">
        <f>Sheet1!B86</f>
        <v>FR-ADMIN 権限委譲・カスタマイズ</v>
      </c>
      <c r="C84" s="57" t="str">
        <f>Sheet1!E86</f>
        <v>顧客自身に自社の利用者管理を任せるか。任せる範囲をどこまでにするか</v>
      </c>
      <c r="D84" s="11" t="str">
        <f>Sheet1!F86</f>
        <v>未着手</v>
      </c>
      <c r="E84" s="6" t="s">
        <v>1655</v>
      </c>
      <c r="F84" s="11" t="s">
        <v>1656</v>
      </c>
      <c r="G84" s="11" t="s">
        <v>1556</v>
      </c>
      <c r="H84" s="7" t="s">
        <v>1657</v>
      </c>
    </row>
    <row r="85" spans="1:8">
      <c r="A85" s="5" t="str">
        <f>Sheet1!C87</f>
        <v>FR-ADMIN-012</v>
      </c>
      <c r="B85" s="6" t="str">
        <f>Sheet1!B87</f>
        <v>FR-ADMIN 権限委譲・カスタマイズ</v>
      </c>
      <c r="C85" s="57" t="str">
        <f>Sheet1!E87</f>
        <v>ログイン画面を顧客ごとのロゴや配色に変えられるようにするか。どこまで変えられるか</v>
      </c>
      <c r="D85" s="11" t="str">
        <f>Sheet1!F87</f>
        <v>検討中</v>
      </c>
      <c r="E85" s="6" t="s">
        <v>1769</v>
      </c>
      <c r="F85" s="11" t="s">
        <v>1742</v>
      </c>
      <c r="G85" s="11" t="s">
        <v>1752</v>
      </c>
      <c r="H85" s="7" t="s">
        <v>1770</v>
      </c>
    </row>
    <row r="86" spans="1:8">
      <c r="A86" s="5" t="str">
        <f>Sheet1!C88</f>
        <v>FR-INT-001</v>
      </c>
      <c r="B86" s="6" t="str">
        <f>Sheet1!B88</f>
        <v>FR-INT プロトコル準拠</v>
      </c>
      <c r="C86" s="57" t="str">
        <f>Sheet1!E88</f>
        <v>業界標準の認証仕様に準拠する方針でよいか</v>
      </c>
      <c r="D86" s="11" t="str">
        <f>Sheet1!F88</f>
        <v>確定</v>
      </c>
      <c r="E86" s="6" t="s">
        <v>1658</v>
      </c>
      <c r="F86" s="11" t="s">
        <v>1559</v>
      </c>
      <c r="G86" s="11" t="s">
        <v>1556</v>
      </c>
      <c r="H86" s="7" t="s">
        <v>1659</v>
      </c>
    </row>
    <row r="87" spans="1:8">
      <c r="A87" s="5" t="str">
        <f>Sheet1!C89</f>
        <v>FR-INT-002</v>
      </c>
      <c r="B87" s="6" t="str">
        <f>Sheet1!B89</f>
        <v>FR-INT プロトコル準拠</v>
      </c>
      <c r="C87" s="57" t="str">
        <f>Sheet1!E89</f>
        <v>アプリが接続設定を自動取得できる標準の窓口を公開するか</v>
      </c>
      <c r="D87" s="11" t="str">
        <f>Sheet1!F89</f>
        <v>確定</v>
      </c>
      <c r="E87" s="6" t="s">
        <v>1565</v>
      </c>
      <c r="F87" s="11" t="s">
        <v>1566</v>
      </c>
      <c r="G87" s="11" t="s">
        <v>1567</v>
      </c>
      <c r="H87" s="7" t="s">
        <v>1660</v>
      </c>
    </row>
    <row r="88" spans="1:8">
      <c r="A88" s="5" t="str">
        <f>Sheet1!C90</f>
        <v>FR-INT-003</v>
      </c>
      <c r="B88" s="6" t="str">
        <f>Sheet1!B90</f>
        <v>FR-INT プロトコル準拠</v>
      </c>
      <c r="C88" s="57" t="str">
        <f>Sheet1!E90</f>
        <v>通行証の正しさを検証するための鍵情報を公開する窓口を用意するか</v>
      </c>
      <c r="D88" s="11" t="str">
        <f>Sheet1!F90</f>
        <v>確定</v>
      </c>
      <c r="E88" s="6" t="s">
        <v>1537</v>
      </c>
      <c r="F88" s="11" t="s">
        <v>1559</v>
      </c>
      <c r="G88" s="11" t="s">
        <v>1556</v>
      </c>
      <c r="H88" s="7" t="s">
        <v>1661</v>
      </c>
    </row>
    <row r="89" spans="1:8">
      <c r="A89" s="5" t="str">
        <f>Sheet1!C91</f>
        <v>FR-INT-004</v>
      </c>
      <c r="B89" s="6" t="str">
        <f>Sheet1!B91</f>
        <v>FR-INT プロトコル準拠</v>
      </c>
      <c r="C89" s="57" t="str">
        <f>Sheet1!E91</f>
        <v>旧来方式（SAML）向けの接続情報を公開する必要があるか</v>
      </c>
      <c r="D89" s="11" t="str">
        <f>Sheet1!F91</f>
        <v>検討中</v>
      </c>
      <c r="E89" s="6" t="s">
        <v>2241</v>
      </c>
      <c r="F89" s="11" t="s">
        <v>2237</v>
      </c>
      <c r="G89" s="11" t="s">
        <v>1752</v>
      </c>
      <c r="H89" s="7" t="s">
        <v>2242</v>
      </c>
    </row>
    <row r="90" spans="1:8">
      <c r="A90" s="5" t="str">
        <f>Sheet1!C92</f>
        <v>FR-INT-007</v>
      </c>
      <c r="B90" s="6" t="str">
        <f>Sheet1!B92</f>
        <v>FR-INT プロトコル準拠</v>
      </c>
      <c r="C90" s="57" t="str">
        <f>Sheet1!E92</f>
        <v>AWSのAPI入口との接続方法を標準化するか</v>
      </c>
      <c r="D90" s="11" t="str">
        <f>Sheet1!F92</f>
        <v>確定</v>
      </c>
      <c r="E90" s="6" t="s">
        <v>1537</v>
      </c>
      <c r="F90" s="11" t="s">
        <v>1559</v>
      </c>
      <c r="G90" s="11" t="s">
        <v>1570</v>
      </c>
      <c r="H90" s="7" t="s">
        <v>1625</v>
      </c>
    </row>
    <row r="91" spans="1:8">
      <c r="A91" s="5" t="str">
        <f>Sheet1!C93</f>
        <v>FR-INT-008</v>
      </c>
      <c r="B91" s="6" t="str">
        <f>Sheet1!B93</f>
        <v>FR-INT ログ・監視</v>
      </c>
      <c r="C91" s="57" t="str">
        <f>Sheet1!E93</f>
        <v>操作記録を外部にどの形式・どの頻度で出すか</v>
      </c>
      <c r="D91" s="11" t="str">
        <f>Sheet1!F93</f>
        <v>検討中</v>
      </c>
      <c r="E91" s="6" t="s">
        <v>2149</v>
      </c>
      <c r="F91" s="11" t="s">
        <v>2147</v>
      </c>
      <c r="G91" s="11" t="s">
        <v>1752</v>
      </c>
      <c r="H91" s="7" t="s">
        <v>2150</v>
      </c>
    </row>
    <row r="92" spans="1:8">
      <c r="A92" s="5" t="str">
        <f>Sheet1!C94</f>
        <v>FR-INT-009</v>
      </c>
      <c r="B92" s="6" t="str">
        <f>Sheet1!B94</f>
        <v>FR-INT ログ・監視</v>
      </c>
      <c r="C92" s="57" t="str">
        <f>Sheet1!E94</f>
        <v>操作記録をセキュリティ監視製品に送る必要があるか。送り先をどこにするか</v>
      </c>
      <c r="D92" s="11" t="str">
        <f>Sheet1!F94</f>
        <v>未着手</v>
      </c>
      <c r="E92" s="6" t="s">
        <v>2243</v>
      </c>
      <c r="F92" s="11" t="s">
        <v>2244</v>
      </c>
      <c r="G92" s="11" t="s">
        <v>1743</v>
      </c>
      <c r="H92" s="7" t="s">
        <v>2245</v>
      </c>
    </row>
    <row r="93" spans="1:8">
      <c r="A93" s="5" t="str">
        <f>Sheet1!C95</f>
        <v>FR-INT-005</v>
      </c>
      <c r="B93" s="6" t="str">
        <f>Sheet1!B95</f>
        <v>FR-INT API・IaC・Webhook</v>
      </c>
      <c r="C93" s="57" t="str">
        <f>Sheet1!E95</f>
        <v>利用者が作られた等の出来事を他システムに自動通知する必要があるか。通知先と項目をどうするか</v>
      </c>
      <c r="D93" s="11" t="str">
        <f>Sheet1!F95</f>
        <v>未着手</v>
      </c>
      <c r="E93" s="6" t="s">
        <v>2246</v>
      </c>
      <c r="F93" s="11" t="s">
        <v>2228</v>
      </c>
      <c r="G93" s="11" t="s">
        <v>1752</v>
      </c>
      <c r="H93" s="7" t="s">
        <v>2247</v>
      </c>
    </row>
    <row r="94" spans="1:8">
      <c r="A94" s="5" t="str">
        <f>Sheet1!C96</f>
        <v>FR-INT-006</v>
      </c>
      <c r="B94" s="6" t="str">
        <f>Sheet1!B96</f>
        <v>FR-INT API・IaC・Webhook</v>
      </c>
      <c r="C94" s="57" t="str">
        <f>Sheet1!E96</f>
        <v>外部から設定や利用者を操作するためのAPIを、どこまで公開するか</v>
      </c>
      <c r="D94" s="11" t="str">
        <f>Sheet1!F96</f>
        <v>検討中</v>
      </c>
      <c r="E94" s="6" t="s">
        <v>1662</v>
      </c>
      <c r="F94" s="11" t="s">
        <v>1656</v>
      </c>
      <c r="G94" s="11" t="s">
        <v>1556</v>
      </c>
      <c r="H94" s="7" t="s">
        <v>1663</v>
      </c>
    </row>
    <row r="95" spans="1:8">
      <c r="A95" s="5" t="str">
        <f>Sheet1!C97</f>
        <v>FR-INT-010</v>
      </c>
      <c r="B95" s="6" t="str">
        <f>Sheet1!B97</f>
        <v>FR-INT API・IaC・Webhook</v>
      </c>
      <c r="C95" s="57" t="str">
        <f>Sheet1!E97</f>
        <v>設定を手作業ではなくコードで管理する方針でよいか。対象範囲をどこまでにするか</v>
      </c>
      <c r="D95" s="11" t="str">
        <f>Sheet1!F97</f>
        <v>確定</v>
      </c>
      <c r="E95" s="6" t="s">
        <v>1405</v>
      </c>
      <c r="F95" s="11" t="s">
        <v>1555</v>
      </c>
      <c r="G95" s="11" t="s">
        <v>1556</v>
      </c>
      <c r="H95" s="7" t="s">
        <v>1664</v>
      </c>
    </row>
    <row r="96" spans="1:8">
      <c r="A96" s="5" t="str">
        <f>Sheet1!C98</f>
        <v>NFR-AVL-001</v>
      </c>
      <c r="B96" s="6" t="str">
        <f>Sheet1!B98</f>
        <v>NFR-AVL 可用性</v>
      </c>
      <c r="C96" s="57" t="str">
        <f>Sheet1!E98</f>
        <v>何％の稼働率を顧客に約束するか。約束を下回ったときの扱いをどうするか。最重要の確認事項</v>
      </c>
      <c r="D96" s="11" t="str">
        <f>Sheet1!F98</f>
        <v>未着手</v>
      </c>
      <c r="E96" s="6" t="s">
        <v>1949</v>
      </c>
      <c r="F96" s="11" t="s">
        <v>1950</v>
      </c>
      <c r="G96" s="11" t="s">
        <v>1752</v>
      </c>
      <c r="H96" s="7" t="s">
        <v>1951</v>
      </c>
    </row>
    <row r="97" spans="1:8">
      <c r="A97" s="5" t="str">
        <f>Sheet1!C99</f>
        <v>NFR-AVL-002</v>
      </c>
      <c r="B97" s="6" t="str">
        <f>Sheet1!B99</f>
        <v>NFR-AVL 可用性</v>
      </c>
      <c r="C97" s="57" t="str">
        <f>Sheet1!E99</f>
        <v>計画的な停止作業をいつ・どのくらいの頻度で行うか。事前通知をいつ出すか</v>
      </c>
      <c r="D97" s="11" t="str">
        <f>Sheet1!F99</f>
        <v>未着手</v>
      </c>
      <c r="E97" s="6" t="s">
        <v>1952</v>
      </c>
      <c r="F97" s="11" t="s">
        <v>1950</v>
      </c>
      <c r="G97" s="11" t="s">
        <v>1752</v>
      </c>
      <c r="H97" s="7" t="s">
        <v>1953</v>
      </c>
    </row>
    <row r="98" spans="1:8">
      <c r="A98" s="5" t="str">
        <f>Sheet1!C100</f>
        <v>NFR-AVL-003</v>
      </c>
      <c r="B98" s="6" t="str">
        <f>Sheet1!B100</f>
        <v>NFR-AVL 可用性</v>
      </c>
      <c r="C98" s="57" t="str">
        <f>Sheet1!E100</f>
        <v>障害に備えて設備を複数の場所に分けて置くか</v>
      </c>
      <c r="D98" s="11" t="str">
        <f>Sheet1!F100</f>
        <v>検討中</v>
      </c>
      <c r="E98" s="6" t="s">
        <v>1954</v>
      </c>
      <c r="F98" s="11" t="s">
        <v>1950</v>
      </c>
      <c r="G98" s="11" t="s">
        <v>1752</v>
      </c>
      <c r="H98" s="7" t="s">
        <v>1955</v>
      </c>
    </row>
    <row r="99" spans="1:8">
      <c r="A99" s="5" t="str">
        <f>Sheet1!C101</f>
        <v>NFR-AVL-004</v>
      </c>
      <c r="B99" s="6" t="str">
        <f>Sheet1!B101</f>
        <v>NFR-AVL 可用性</v>
      </c>
      <c r="C99" s="57" t="str">
        <f>Sheet1!E101</f>
        <v>部品が落ちたときに自動で立ち上げ直す仕組みを入れるか</v>
      </c>
      <c r="D99" s="11" t="str">
        <f>Sheet1!F101</f>
        <v>確定</v>
      </c>
      <c r="E99" s="6" t="s">
        <v>1954</v>
      </c>
      <c r="F99" s="11" t="s">
        <v>1950</v>
      </c>
      <c r="G99" s="11" t="s">
        <v>1752</v>
      </c>
      <c r="H99" s="7" t="s">
        <v>1956</v>
      </c>
    </row>
    <row r="100" spans="1:8">
      <c r="A100" s="5" t="str">
        <f>Sheet1!C102</f>
        <v>NFR-AVL-005</v>
      </c>
      <c r="B100" s="6" t="str">
        <f>Sheet1!B102</f>
        <v>NFR-AVL 可用性</v>
      </c>
      <c r="C100" s="57" t="str">
        <f>Sheet1!E102</f>
        <v>1か所壊れると全部止まる箇所をなくす方針でよいか</v>
      </c>
      <c r="D100" s="11" t="str">
        <f>Sheet1!F102</f>
        <v>検討中</v>
      </c>
      <c r="E100" s="6" t="s">
        <v>1957</v>
      </c>
      <c r="F100" s="11" t="s">
        <v>1950</v>
      </c>
      <c r="G100" s="11" t="s">
        <v>1752</v>
      </c>
      <c r="H100" s="7" t="s">
        <v>1958</v>
      </c>
    </row>
    <row r="101" spans="1:8">
      <c r="A101" s="5" t="str">
        <f>Sheet1!C103</f>
        <v>NFR-AVL-006</v>
      </c>
      <c r="B101" s="6" t="str">
        <f>Sheet1!B103</f>
        <v>NFR-AVL 可用性</v>
      </c>
      <c r="C101" s="57" t="str">
        <f>Sheet1!E103</f>
        <v>更新作業中もサービスを止めない方式にするか</v>
      </c>
      <c r="D101" s="11" t="str">
        <f>Sheet1!F103</f>
        <v>検討中</v>
      </c>
      <c r="E101" s="6" t="s">
        <v>1959</v>
      </c>
      <c r="F101" s="11" t="s">
        <v>1950</v>
      </c>
      <c r="G101" s="11" t="s">
        <v>1752</v>
      </c>
      <c r="H101" s="7" t="s">
        <v>1960</v>
      </c>
    </row>
    <row r="102" spans="1:8">
      <c r="A102" s="5" t="str">
        <f>Sheet1!C104</f>
        <v>NFR-PERF-001</v>
      </c>
      <c r="B102" s="6" t="str">
        <f>Sheet1!B104</f>
        <v>NFR-PERF 応答時間/レイテンシ</v>
      </c>
      <c r="C102" s="57" t="str">
        <f>Sheet1!E104</f>
        <v>ログインが何秒以内に返れば合格とするか</v>
      </c>
      <c r="D102" s="11" t="str">
        <f>Sheet1!F104</f>
        <v>検討中</v>
      </c>
      <c r="E102" s="6" t="s">
        <v>2032</v>
      </c>
      <c r="F102" s="11" t="s">
        <v>2033</v>
      </c>
      <c r="G102" s="11" t="s">
        <v>1743</v>
      </c>
      <c r="H102" s="7" t="s">
        <v>2034</v>
      </c>
    </row>
    <row r="103" spans="1:8">
      <c r="A103" s="5" t="str">
        <f>Sheet1!C105</f>
        <v>NFR-PERF-003</v>
      </c>
      <c r="B103" s="6" t="str">
        <f>Sheet1!B105</f>
        <v>NFR-PERF 応答時間/レイテンシ</v>
      </c>
      <c r="C103" s="57" t="str">
        <f>Sheet1!E105</f>
        <v>権限チェック部分の応答時間の目標をどこに置くか</v>
      </c>
      <c r="D103" s="11" t="str">
        <f>Sheet1!F105</f>
        <v>確定</v>
      </c>
      <c r="E103" s="6" t="s">
        <v>1745</v>
      </c>
      <c r="F103" s="11" t="s">
        <v>2033</v>
      </c>
      <c r="G103" s="11" t="s">
        <v>1746</v>
      </c>
      <c r="H103" s="7" t="s">
        <v>2035</v>
      </c>
    </row>
    <row r="104" spans="1:8">
      <c r="A104" s="5" t="str">
        <f>Sheet1!C106</f>
        <v>NFR-PERF-004</v>
      </c>
      <c r="B104" s="6" t="str">
        <f>Sheet1!B106</f>
        <v>NFR-PERF 応答時間/レイテンシ</v>
      </c>
      <c r="C104" s="57" t="str">
        <f>Sheet1!E106</f>
        <v>通行証の検証を1秒あたり何件さばく必要があるか</v>
      </c>
      <c r="D104" s="11" t="str">
        <f>Sheet1!F106</f>
        <v>確定</v>
      </c>
      <c r="E104" s="6" t="s">
        <v>1745</v>
      </c>
      <c r="F104" s="11" t="s">
        <v>2036</v>
      </c>
      <c r="G104" s="11" t="s">
        <v>1746</v>
      </c>
      <c r="H104" s="7" t="s">
        <v>2037</v>
      </c>
    </row>
    <row r="105" spans="1:8">
      <c r="A105" s="5" t="str">
        <f>Sheet1!C107</f>
        <v>NFR-PERF-005</v>
      </c>
      <c r="B105" s="6" t="str">
        <f>Sheet1!B107</f>
        <v>NFR-PERF 応答時間/レイテンシ</v>
      </c>
      <c r="C105" s="57" t="str">
        <f>Sheet1!E107</f>
        <v>検証用の鍵情報を各アプリが何分間覚えておくか</v>
      </c>
      <c r="D105" s="11" t="str">
        <f>Sheet1!F107</f>
        <v>確定</v>
      </c>
      <c r="E105" s="6" t="s">
        <v>2038</v>
      </c>
      <c r="F105" s="11" t="s">
        <v>2036</v>
      </c>
      <c r="G105" s="11" t="s">
        <v>1743</v>
      </c>
      <c r="H105" s="7" t="s">
        <v>2039</v>
      </c>
    </row>
    <row r="106" spans="1:8">
      <c r="A106" s="5" t="str">
        <f>Sheet1!C108</f>
        <v>NFR-PERF-008</v>
      </c>
      <c r="B106" s="6" t="str">
        <f>Sheet1!B108</f>
        <v>NFR-PERF 応答時間/レイテンシ</v>
      </c>
      <c r="C106" s="57" t="str">
        <f>Sheet1!E108</f>
        <v>データベースの応答時間の目標をどこに置くか</v>
      </c>
      <c r="D106" s="11" t="str">
        <f>Sheet1!F108</f>
        <v>検討中</v>
      </c>
      <c r="E106" s="6" t="s">
        <v>2040</v>
      </c>
      <c r="F106" s="11" t="s">
        <v>2033</v>
      </c>
      <c r="G106" s="11" t="s">
        <v>1743</v>
      </c>
      <c r="H106" s="7" t="s">
        <v>2041</v>
      </c>
    </row>
    <row r="107" spans="1:8">
      <c r="A107" s="5" t="str">
        <f>Sheet1!C109</f>
        <v>NFR-PERF-002</v>
      </c>
      <c r="B107" s="6" t="str">
        <f>Sheet1!B109</f>
        <v>NFR-PERF スループット/スケール耐性</v>
      </c>
      <c r="C107" s="57" t="str">
        <f>Sheet1!E109</f>
        <v>ログインが集中したとき、同時に何件まで耐える必要があるか</v>
      </c>
      <c r="D107" s="11" t="str">
        <f>Sheet1!F109</f>
        <v>未着手</v>
      </c>
      <c r="E107" s="6" t="s">
        <v>2042</v>
      </c>
      <c r="F107" s="11" t="s">
        <v>2033</v>
      </c>
      <c r="G107" s="11" t="s">
        <v>1752</v>
      </c>
      <c r="H107" s="7" t="s">
        <v>2043</v>
      </c>
    </row>
    <row r="108" spans="1:8">
      <c r="A108" s="5" t="str">
        <f>Sheet1!C110</f>
        <v>NFR-PERF-006</v>
      </c>
      <c r="B108" s="6" t="str">
        <f>Sheet1!B110</f>
        <v>NFR-PERF スループット/スケール耐性</v>
      </c>
      <c r="C108" s="57" t="str">
        <f>Sheet1!E110</f>
        <v>入口で1秒あたりの受付上限をいくつにするか</v>
      </c>
      <c r="D108" s="11" t="str">
        <f>Sheet1!F110</f>
        <v>未着手</v>
      </c>
      <c r="E108" s="6" t="s">
        <v>2044</v>
      </c>
      <c r="F108" s="11" t="s">
        <v>2033</v>
      </c>
      <c r="G108" s="11" t="s">
        <v>1743</v>
      </c>
      <c r="H108" s="7" t="s">
        <v>2045</v>
      </c>
    </row>
    <row r="109" spans="1:8">
      <c r="A109" s="5" t="str">
        <f>Sheet1!C111</f>
        <v>NFR-PERF-007</v>
      </c>
      <c r="B109" s="6" t="str">
        <f>Sheet1!B111</f>
        <v>NFR-PERF スループット/スケール耐性</v>
      </c>
      <c r="C109" s="57" t="str">
        <f>Sheet1!E111</f>
        <v>始業時など混み合う時間帯の想定と、その山をどう吸収するか</v>
      </c>
      <c r="D109" s="11" t="str">
        <f>Sheet1!F111</f>
        <v>検討中</v>
      </c>
      <c r="E109" s="6" t="s">
        <v>2046</v>
      </c>
      <c r="F109" s="11" t="s">
        <v>2033</v>
      </c>
      <c r="G109" s="11" t="s">
        <v>1752</v>
      </c>
      <c r="H109" s="7" t="s">
        <v>2047</v>
      </c>
    </row>
    <row r="110" spans="1:8">
      <c r="A110" s="5" t="str">
        <f>Sheet1!C112</f>
        <v>NFR-SCL-001</v>
      </c>
      <c r="B110" s="6" t="str">
        <f>Sheet1!B112</f>
        <v>NFR-SCL 拡張性</v>
      </c>
      <c r="C110" s="57" t="str">
        <f>Sheet1!E112</f>
        <v>利用者数の上限をいくらと想定して設計するか。最重要の確認事項</v>
      </c>
      <c r="D110" s="11" t="str">
        <f>Sheet1!F112</f>
        <v>未着手</v>
      </c>
      <c r="E110" s="6" t="s">
        <v>2048</v>
      </c>
      <c r="F110" s="11" t="s">
        <v>2033</v>
      </c>
      <c r="G110" s="11" t="s">
        <v>1752</v>
      </c>
      <c r="H110" s="7" t="s">
        <v>2049</v>
      </c>
    </row>
    <row r="111" spans="1:8">
      <c r="A111" s="5" t="str">
        <f>Sheet1!C113</f>
        <v>NFR-SCL-002</v>
      </c>
      <c r="B111" s="6" t="str">
        <f>Sheet1!B113</f>
        <v>NFR-SCL 拡張性</v>
      </c>
      <c r="C111" s="57" t="str">
        <f>Sheet1!E113</f>
        <v>同時にログイン状態になる人数を、最大いくらと見込むか</v>
      </c>
      <c r="D111" s="11" t="str">
        <f>Sheet1!F113</f>
        <v>未着手</v>
      </c>
      <c r="E111" s="6" t="s">
        <v>2050</v>
      </c>
      <c r="F111" s="11" t="s">
        <v>2033</v>
      </c>
      <c r="G111" s="11" t="s">
        <v>1743</v>
      </c>
      <c r="H111" s="7" t="s">
        <v>2051</v>
      </c>
    </row>
    <row r="112" spans="1:8">
      <c r="A112" s="5" t="str">
        <f>Sheet1!C114</f>
        <v>NFR-SCL-003</v>
      </c>
      <c r="B112" s="6" t="str">
        <f>Sheet1!B114</f>
        <v>NFR-SCL 拡張性</v>
      </c>
      <c r="C112" s="57" t="str">
        <f>Sheet1!E114</f>
        <v>顧客の数（接続するID基盤の数）を最大いくらと見込むか</v>
      </c>
      <c r="D112" s="11" t="str">
        <f>Sheet1!F114</f>
        <v>検討中</v>
      </c>
      <c r="E112" s="6" t="s">
        <v>1667</v>
      </c>
      <c r="F112" s="11" t="s">
        <v>1555</v>
      </c>
      <c r="G112" s="11" t="s">
        <v>1556</v>
      </c>
      <c r="H112" s="7" t="s">
        <v>1668</v>
      </c>
    </row>
    <row r="113" spans="1:8">
      <c r="A113" s="5" t="str">
        <f>Sheet1!C115</f>
        <v>NFR-SCL-004</v>
      </c>
      <c r="B113" s="6" t="str">
        <f>Sheet1!B115</f>
        <v>NFR-SCL 拡張性</v>
      </c>
      <c r="C113" s="57" t="str">
        <f>Sheet1!E115</f>
        <v>新しい顧客の接続を、依頼から何日で開通させるか</v>
      </c>
      <c r="D113" s="11" t="str">
        <f>Sheet1!F115</f>
        <v>検討中</v>
      </c>
      <c r="E113" s="6" t="s">
        <v>2044</v>
      </c>
      <c r="F113" s="11" t="s">
        <v>2033</v>
      </c>
      <c r="G113" s="11" t="s">
        <v>1743</v>
      </c>
      <c r="H113" s="7" t="s">
        <v>2052</v>
      </c>
    </row>
    <row r="114" spans="1:8">
      <c r="A114" s="5" t="str">
        <f>Sheet1!C116</f>
        <v>NFR-SCL-005</v>
      </c>
      <c r="B114" s="6" t="str">
        <f>Sheet1!B116</f>
        <v>NFR-SCL 拡張性</v>
      </c>
      <c r="C114" s="57" t="str">
        <f>Sheet1!E116</f>
        <v>混雑に応じて設備を自動で増減させるか。増やす・減らす判定基準をどうするか</v>
      </c>
      <c r="D114" s="11" t="str">
        <f>Sheet1!F116</f>
        <v>検討中</v>
      </c>
      <c r="E114" s="6" t="s">
        <v>2046</v>
      </c>
      <c r="F114" s="11" t="s">
        <v>2033</v>
      </c>
      <c r="G114" s="11" t="s">
        <v>1752</v>
      </c>
      <c r="H114" s="7" t="s">
        <v>2053</v>
      </c>
    </row>
    <row r="115" spans="1:8">
      <c r="A115" s="5" t="str">
        <f>Sheet1!C117</f>
        <v>NFR-SCL-006</v>
      </c>
      <c r="B115" s="6" t="str">
        <f>Sheet1!B117</f>
        <v>NFR-SCL 拡張性</v>
      </c>
      <c r="C115" s="57" t="str">
        <f>Sheet1!E117</f>
        <v>複数の地域で同時に稼働させる必要があるか</v>
      </c>
      <c r="D115" s="11" t="str">
        <f>Sheet1!F117</f>
        <v>未着手</v>
      </c>
      <c r="E115" s="6" t="s">
        <v>2054</v>
      </c>
      <c r="F115" s="11" t="s">
        <v>2055</v>
      </c>
      <c r="G115" s="11" t="s">
        <v>1752</v>
      </c>
      <c r="H115" s="7" t="s">
        <v>2056</v>
      </c>
    </row>
    <row r="116" spans="1:8">
      <c r="A116" s="5" t="str">
        <f>Sheet1!C118</f>
        <v>NFR-SCL-007</v>
      </c>
      <c r="B116" s="6" t="str">
        <f>Sheet1!B118</f>
        <v>NFR-SCL 拡張性</v>
      </c>
      <c r="C116" s="57" t="str">
        <f>Sheet1!E118</f>
        <v>データベースの拡張余地をどこまで確保するか</v>
      </c>
      <c r="D116" s="11" t="str">
        <f>Sheet1!F118</f>
        <v>検討中</v>
      </c>
      <c r="E116" s="6" t="s">
        <v>2057</v>
      </c>
      <c r="F116" s="11" t="s">
        <v>2033</v>
      </c>
      <c r="G116" s="11" t="s">
        <v>1752</v>
      </c>
      <c r="H116" s="7" t="s">
        <v>2058</v>
      </c>
    </row>
    <row r="117" spans="1:8">
      <c r="A117" s="5" t="str">
        <f>Sheet1!C119</f>
        <v>NFR-SEC-001</v>
      </c>
      <c r="B117" s="6" t="str">
        <f>Sheet1!B119</f>
        <v>NFR-SEC 暗号化・鍵管理</v>
      </c>
      <c r="C117" s="57" t="str">
        <f>Sheet1!E119</f>
        <v>通信の暗号化をどの水準で必須にするか</v>
      </c>
      <c r="D117" s="11" t="str">
        <f>Sheet1!F119</f>
        <v>検討中</v>
      </c>
      <c r="E117" s="6" t="s">
        <v>2059</v>
      </c>
      <c r="F117" s="11" t="s">
        <v>2033</v>
      </c>
      <c r="G117" s="11" t="s">
        <v>1752</v>
      </c>
      <c r="H117" s="7" t="s">
        <v>2060</v>
      </c>
    </row>
    <row r="118" spans="1:8">
      <c r="A118" s="5" t="str">
        <f>Sheet1!C120</f>
        <v>NFR-SEC-002</v>
      </c>
      <c r="B118" s="6" t="str">
        <f>Sheet1!B120</f>
        <v>NFR-SEC 暗号化・鍵管理</v>
      </c>
      <c r="C118" s="57" t="str">
        <f>Sheet1!E120</f>
        <v>保存データの暗号化をどこまで必須にするか。暗号鍵を誰が持つか</v>
      </c>
      <c r="D118" s="11" t="str">
        <f>Sheet1!F120</f>
        <v>確定</v>
      </c>
      <c r="E118" s="6" t="s">
        <v>1859</v>
      </c>
      <c r="F118" s="11" t="s">
        <v>1852</v>
      </c>
      <c r="G118" s="11" t="s">
        <v>1752</v>
      </c>
      <c r="H118" s="7" t="s">
        <v>1860</v>
      </c>
    </row>
    <row r="119" spans="1:8">
      <c r="A119" s="5" t="str">
        <f>Sheet1!C121</f>
        <v>NFR-SEC-003</v>
      </c>
      <c r="B119" s="6" t="str">
        <f>Sheet1!B121</f>
        <v>NFR-SEC 暗号化・鍵管理</v>
      </c>
      <c r="C119" s="57" t="str">
        <f>Sheet1!E121</f>
        <v>通行証の署名方式に何を使うか</v>
      </c>
      <c r="D119" s="11" t="str">
        <f>Sheet1!F121</f>
        <v>確定</v>
      </c>
      <c r="E119" s="6" t="s">
        <v>1861</v>
      </c>
      <c r="F119" s="11" t="s">
        <v>1862</v>
      </c>
      <c r="G119" s="11" t="s">
        <v>1752</v>
      </c>
      <c r="H119" s="7" t="s">
        <v>1863</v>
      </c>
    </row>
    <row r="120" spans="1:8">
      <c r="A120" s="5" t="str">
        <f>Sheet1!C122</f>
        <v>NFR-SEC-009</v>
      </c>
      <c r="B120" s="6" t="str">
        <f>Sheet1!B122</f>
        <v>NFR-SEC 暗号化・鍵管理</v>
      </c>
      <c r="C120" s="57" t="str">
        <f>Sheet1!E122</f>
        <v>パスワードをどの方式で保管するか。強度の設定値をどうするか</v>
      </c>
      <c r="D120" s="11" t="str">
        <f>Sheet1!F122</f>
        <v>確定</v>
      </c>
      <c r="E120" s="6" t="s">
        <v>1851</v>
      </c>
      <c r="F120" s="11" t="s">
        <v>1852</v>
      </c>
      <c r="G120" s="11" t="s">
        <v>1743</v>
      </c>
      <c r="H120" s="7" t="s">
        <v>1864</v>
      </c>
    </row>
    <row r="121" spans="1:8">
      <c r="A121" s="5" t="str">
        <f>Sheet1!C123</f>
        <v>NFR-SEC-015</v>
      </c>
      <c r="B121" s="6" t="str">
        <f>Sheet1!B123</f>
        <v>NFR-SEC 暗号化・鍵管理</v>
      </c>
      <c r="C121" s="57" t="str">
        <f>Sheet1!E123</f>
        <v>接続用の秘密情報をどこに保管し、誰が取り出せるようにするか</v>
      </c>
      <c r="D121" s="11" t="str">
        <f>Sheet1!F123</f>
        <v>確定</v>
      </c>
      <c r="E121" s="6" t="s">
        <v>1865</v>
      </c>
      <c r="F121" s="11" t="s">
        <v>1852</v>
      </c>
      <c r="G121" s="11" t="s">
        <v>1752</v>
      </c>
      <c r="H121" s="7" t="s">
        <v>1866</v>
      </c>
    </row>
    <row r="122" spans="1:8">
      <c r="A122" s="5" t="str">
        <f>Sheet1!C124</f>
        <v>NFR-SEC-004</v>
      </c>
      <c r="B122" s="6" t="str">
        <f>Sheet1!B124</f>
        <v>NFR-SEC トークン・セッション</v>
      </c>
      <c r="C122" s="57" t="str">
        <f>Sheet1!E124</f>
        <v>通行証の有効時間を何分にするか</v>
      </c>
      <c r="D122" s="11" t="str">
        <f>Sheet1!F124</f>
        <v>検討中</v>
      </c>
      <c r="E122" s="6" t="s">
        <v>1669</v>
      </c>
      <c r="F122" s="11" t="s">
        <v>1559</v>
      </c>
      <c r="G122" s="11" t="s">
        <v>1556</v>
      </c>
      <c r="H122" s="7" t="s">
        <v>1670</v>
      </c>
    </row>
    <row r="123" spans="1:8">
      <c r="A123" s="5" t="str">
        <f>Sheet1!C125</f>
        <v>NFR-SEC-005</v>
      </c>
      <c r="B123" s="6" t="str">
        <f>Sheet1!B125</f>
        <v>NFR-SEC トークン・セッション</v>
      </c>
      <c r="C123" s="57" t="str">
        <f>Sheet1!E125</f>
        <v>再ログインなしで使い続けられる期間を何日にするか</v>
      </c>
      <c r="D123" s="11" t="str">
        <f>Sheet1!F125</f>
        <v>検討中</v>
      </c>
      <c r="E123" s="6" t="s">
        <v>1671</v>
      </c>
      <c r="F123" s="11" t="s">
        <v>1559</v>
      </c>
      <c r="G123" s="11" t="s">
        <v>1556</v>
      </c>
      <c r="H123" s="7" t="s">
        <v>1672</v>
      </c>
    </row>
    <row r="124" spans="1:8">
      <c r="A124" s="5" t="str">
        <f>Sheet1!C126</f>
        <v>NFR-SEC-006</v>
      </c>
      <c r="B124" s="6" t="str">
        <f>Sheet1!B126</f>
        <v>NFR-SEC トークン・セッション</v>
      </c>
      <c r="C124" s="57" t="str">
        <f>Sheet1!E126</f>
        <v>本人確認情報の有効時間を何分にするか</v>
      </c>
      <c r="D124" s="11" t="str">
        <f>Sheet1!F126</f>
        <v>検討中</v>
      </c>
      <c r="E124" s="6" t="s">
        <v>1673</v>
      </c>
      <c r="F124" s="11" t="s">
        <v>1559</v>
      </c>
      <c r="G124" s="11" t="s">
        <v>1556</v>
      </c>
      <c r="H124" s="7" t="s">
        <v>1674</v>
      </c>
    </row>
    <row r="125" spans="1:8">
      <c r="A125" s="5" t="str">
        <f>Sheet1!C127</f>
        <v>NFR-SEC-007</v>
      </c>
      <c r="B125" s="6" t="str">
        <f>Sheet1!B127</f>
        <v>NFR-SEC トークン・セッション</v>
      </c>
      <c r="C125" s="57" t="str">
        <f>Sheet1!E127</f>
        <v>使い回しを防ぐため、更新のたびに引換券を作り替える方式にするか</v>
      </c>
      <c r="D125" s="11" t="str">
        <f>Sheet1!F127</f>
        <v>検討中</v>
      </c>
      <c r="E125" s="6" t="s">
        <v>1489</v>
      </c>
      <c r="F125" s="11" t="s">
        <v>1559</v>
      </c>
      <c r="G125" s="11" t="s">
        <v>1556</v>
      </c>
      <c r="H125" s="7" t="s">
        <v>1675</v>
      </c>
    </row>
    <row r="126" spans="1:8">
      <c r="A126" s="5" t="str">
        <f>Sheet1!C128</f>
        <v>NFR-SEC-008</v>
      </c>
      <c r="B126" s="6" t="str">
        <f>Sheet1!B128</f>
        <v>NFR-SEC トークン・セッション</v>
      </c>
      <c r="C126" s="57" t="str">
        <f>Sheet1!E128</f>
        <v>発行済みの通行証を有効期限前に取り消せる仕組みを用意するか</v>
      </c>
      <c r="D126" s="11" t="str">
        <f>Sheet1!F128</f>
        <v>検討中</v>
      </c>
      <c r="E126" s="6" t="s">
        <v>1676</v>
      </c>
      <c r="F126" s="11" t="s">
        <v>1559</v>
      </c>
      <c r="G126" s="11" t="s">
        <v>1556</v>
      </c>
      <c r="H126" s="7" t="s">
        <v>1677</v>
      </c>
    </row>
    <row r="127" spans="1:8">
      <c r="A127" s="5" t="str">
        <f>Sheet1!C129</f>
        <v>NFR-SEC-020</v>
      </c>
      <c r="B127" s="6" t="str">
        <f>Sheet1!B129</f>
        <v>NFR-SEC トークン・セッション</v>
      </c>
      <c r="C127" s="57" t="str">
        <f>Sheet1!E129</f>
        <v>なりすましを防ぐため、ログイン時に識別子を作り替えるか</v>
      </c>
      <c r="D127" s="11" t="str">
        <f>Sheet1!F129</f>
        <v>確定</v>
      </c>
      <c r="E127" s="6" t="s">
        <v>1851</v>
      </c>
      <c r="F127" s="11" t="s">
        <v>1852</v>
      </c>
      <c r="G127" s="11" t="s">
        <v>1743</v>
      </c>
      <c r="H127" s="7" t="s">
        <v>1881</v>
      </c>
    </row>
    <row r="128" spans="1:8">
      <c r="A128" s="5" t="str">
        <f>Sheet1!C130</f>
        <v>NFR-SEC-010</v>
      </c>
      <c r="B128" s="6" t="str">
        <f>Sheet1!B130</f>
        <v>NFR-SEC 攻撃対策</v>
      </c>
      <c r="C128" s="57" t="str">
        <f>Sheet1!E130</f>
        <v>パスワードの総当たり攻撃への対処方式をどれにするか</v>
      </c>
      <c r="D128" s="11" t="str">
        <f>Sheet1!F130</f>
        <v>検討中</v>
      </c>
      <c r="E128" s="6" t="s">
        <v>1867</v>
      </c>
      <c r="F128" s="11" t="s">
        <v>1852</v>
      </c>
      <c r="G128" s="11" t="s">
        <v>1752</v>
      </c>
      <c r="H128" s="7" t="s">
        <v>1868</v>
      </c>
    </row>
    <row r="129" spans="1:8">
      <c r="A129" s="5" t="str">
        <f>Sheet1!C131</f>
        <v>NFR-SEC-010-2</v>
      </c>
      <c r="B129" s="6" t="str">
        <f>Sheet1!B131</f>
        <v>NFR-SEC 攻撃対策</v>
      </c>
      <c r="C129" s="57" t="str">
        <f>Sheet1!E131</f>
        <v>世の中に漏れていると分かっているパスワードの使用を拒否するか</v>
      </c>
      <c r="D129" s="11" t="str">
        <f>Sheet1!F131</f>
        <v>未着手</v>
      </c>
      <c r="E129" s="6" t="s">
        <v>1882</v>
      </c>
      <c r="F129" s="11" t="s">
        <v>1852</v>
      </c>
      <c r="G129" s="11" t="s">
        <v>1752</v>
      </c>
      <c r="H129" s="7" t="s">
        <v>1883</v>
      </c>
    </row>
    <row r="130" spans="1:8">
      <c r="A130" s="5" t="str">
        <f>Sheet1!C132</f>
        <v>NFR-SEC-012</v>
      </c>
      <c r="B130" s="6" t="str">
        <f>Sheet1!B132</f>
        <v>NFR-SEC 攻撃対策</v>
      </c>
      <c r="C130" s="57" t="str">
        <f>Sheet1!E132</f>
        <v>大量アクセス攻撃への備えをどこまで行うか。誰が担うか</v>
      </c>
      <c r="D130" s="11" t="str">
        <f>Sheet1!F132</f>
        <v>確定</v>
      </c>
      <c r="E130" s="6" t="s">
        <v>1851</v>
      </c>
      <c r="F130" s="11" t="s">
        <v>1852</v>
      </c>
      <c r="G130" s="11" t="s">
        <v>1743</v>
      </c>
      <c r="H130" s="7" t="s">
        <v>1884</v>
      </c>
    </row>
    <row r="131" spans="1:8">
      <c r="A131" s="5" t="str">
        <f>Sheet1!C133</f>
        <v>NFR-SEC-013</v>
      </c>
      <c r="B131" s="6" t="str">
        <f>Sheet1!B133</f>
        <v>NFR-SEC 攻撃対策</v>
      </c>
      <c r="C131" s="57" t="str">
        <f>Sheet1!E133</f>
        <v>疑似攻撃による検査を行うか。頻度と実施者をどうするか</v>
      </c>
      <c r="D131" s="11" t="str">
        <f>Sheet1!F133</f>
        <v>未着手</v>
      </c>
      <c r="E131" s="6" t="s">
        <v>1745</v>
      </c>
      <c r="F131" s="11" t="s">
        <v>1852</v>
      </c>
      <c r="G131" s="11" t="s">
        <v>1746</v>
      </c>
      <c r="H131" s="7" t="s">
        <v>1885</v>
      </c>
    </row>
    <row r="132" spans="1:8">
      <c r="A132" s="5" t="str">
        <f>Sheet1!C134</f>
        <v>NFR-SEC-014</v>
      </c>
      <c r="B132" s="6" t="str">
        <f>Sheet1!B134</f>
        <v>NFR-SEC 攻撃対策</v>
      </c>
      <c r="C132" s="57" t="str">
        <f>Sheet1!E134</f>
        <v>弱点の自動検査をどの頻度で行うか。何を合格とするか</v>
      </c>
      <c r="D132" s="11" t="str">
        <f>Sheet1!F134</f>
        <v>検討中</v>
      </c>
      <c r="E132" s="6" t="s">
        <v>1869</v>
      </c>
      <c r="F132" s="11" t="s">
        <v>1852</v>
      </c>
      <c r="G132" s="11" t="s">
        <v>1743</v>
      </c>
      <c r="H132" s="7" t="s">
        <v>1886</v>
      </c>
    </row>
    <row r="133" spans="1:8">
      <c r="A133" s="5" t="str">
        <f>Sheet1!C135</f>
        <v>NFR-SEC-011</v>
      </c>
      <c r="B133" s="6" t="str">
        <f>Sheet1!B135</f>
        <v>NFR-SEC ネットワーク・境界制御</v>
      </c>
      <c r="C133" s="57" t="str">
        <f>Sheet1!E135</f>
        <v>不正アクセスを入口で遮る仕組みを適用するか。その設定を誰が管理するか</v>
      </c>
      <c r="D133" s="11" t="str">
        <f>Sheet1!F135</f>
        <v>検討中</v>
      </c>
      <c r="E133" s="6" t="s">
        <v>1851</v>
      </c>
      <c r="F133" s="11" t="s">
        <v>1852</v>
      </c>
      <c r="G133" s="11" t="s">
        <v>1743</v>
      </c>
      <c r="H133" s="7" t="s">
        <v>1887</v>
      </c>
    </row>
    <row r="134" spans="1:8">
      <c r="A134" s="5" t="str">
        <f>Sheet1!C136</f>
        <v>NFR-SEC-016</v>
      </c>
      <c r="B134" s="6" t="str">
        <f>Sheet1!B136</f>
        <v>NFR-SEC ネットワーク・境界制御</v>
      </c>
      <c r="C134" s="57" t="str">
        <f>Sheet1!E136</f>
        <v>サーバーを外部から直接触れない場所に置くか</v>
      </c>
      <c r="D134" s="11" t="str">
        <f>Sheet1!F136</f>
        <v>確定</v>
      </c>
      <c r="E134" s="6" t="s">
        <v>2061</v>
      </c>
      <c r="F134" s="11" t="s">
        <v>2062</v>
      </c>
      <c r="G134" s="11" t="s">
        <v>1752</v>
      </c>
      <c r="H134" s="7" t="s">
        <v>2063</v>
      </c>
    </row>
    <row r="135" spans="1:8">
      <c r="A135" s="5" t="str">
        <f>Sheet1!C137</f>
        <v>NFR-SEC-017</v>
      </c>
      <c r="B135" s="6" t="str">
        <f>Sheet1!B137</f>
        <v>NFR-SEC ネットワーク・境界制御</v>
      </c>
      <c r="C135" s="57" t="str">
        <f>Sheet1!E137</f>
        <v>管理画面に誰がどこからアクセスできるようにするか</v>
      </c>
      <c r="D135" s="11" t="str">
        <f>Sheet1!F137</f>
        <v>検討中</v>
      </c>
      <c r="E135" s="6" t="s">
        <v>1870</v>
      </c>
      <c r="F135" s="11" t="s">
        <v>1852</v>
      </c>
      <c r="G135" s="11" t="s">
        <v>1752</v>
      </c>
      <c r="H135" s="7" t="s">
        <v>1891</v>
      </c>
    </row>
    <row r="136" spans="1:8">
      <c r="A136" s="5" t="str">
        <f>Sheet1!C138</f>
        <v>NFR-SEC-018</v>
      </c>
      <c r="B136" s="6" t="str">
        <f>Sheet1!B138</f>
        <v>NFR-SEC ネットワーク・境界制御</v>
      </c>
      <c r="C136" s="57" t="str">
        <f>Sheet1!E138</f>
        <v>鍵情報の公開窓口をどこまで守るか</v>
      </c>
      <c r="D136" s="11" t="str">
        <f>Sheet1!F138</f>
        <v>確定</v>
      </c>
      <c r="E136" s="6" t="s">
        <v>1888</v>
      </c>
      <c r="F136" s="11" t="s">
        <v>1862</v>
      </c>
      <c r="G136" s="11" t="s">
        <v>1743</v>
      </c>
      <c r="H136" s="7" t="s">
        <v>1889</v>
      </c>
    </row>
    <row r="137" spans="1:8">
      <c r="A137" s="5" t="str">
        <f>Sheet1!C139</f>
        <v>NFR-SEC-019</v>
      </c>
      <c r="B137" s="6" t="str">
        <f>Sheet1!B139</f>
        <v>NFR-SEC ネットワーク・境界制御</v>
      </c>
      <c r="C137" s="57" t="str">
        <f>Sheet1!E139</f>
        <v>内部の部品同士の通信でも身元確認を必須にするか</v>
      </c>
      <c r="D137" s="11" t="str">
        <f>Sheet1!F139</f>
        <v>確定</v>
      </c>
      <c r="E137" s="6" t="s">
        <v>1892</v>
      </c>
      <c r="F137" s="11" t="s">
        <v>1852</v>
      </c>
      <c r="G137" s="11" t="s">
        <v>1752</v>
      </c>
      <c r="H137" s="7" t="s">
        <v>1893</v>
      </c>
    </row>
    <row r="138" spans="1:8">
      <c r="A138" s="5" t="str">
        <f>Sheet1!C140</f>
        <v>NFR-DR-001</v>
      </c>
      <c r="B138" s="6" t="str">
        <f>Sheet1!B140</f>
        <v>NFR-DR 災害復旧</v>
      </c>
      <c r="C138" s="57" t="str">
        <f>Sheet1!E140</f>
        <v>大きな障害からどれだけの時間で復旧させるか。最重要の確認事項</v>
      </c>
      <c r="D138" s="11" t="str">
        <f>Sheet1!F140</f>
        <v>未着手</v>
      </c>
      <c r="E138" s="6" t="s">
        <v>1961</v>
      </c>
      <c r="F138" s="11" t="s">
        <v>1950</v>
      </c>
      <c r="G138" s="11" t="s">
        <v>1752</v>
      </c>
      <c r="H138" s="7" t="s">
        <v>1962</v>
      </c>
    </row>
    <row r="139" spans="1:8">
      <c r="A139" s="5" t="str">
        <f>Sheet1!C141</f>
        <v>NFR-DR-002</v>
      </c>
      <c r="B139" s="6" t="str">
        <f>Sheet1!B141</f>
        <v>NFR-DR 災害復旧</v>
      </c>
      <c r="C139" s="57" t="str">
        <f>Sheet1!E141</f>
        <v>障害時にどこまでのデータ喪失を許容するか。最重要の確認事項</v>
      </c>
      <c r="D139" s="11" t="str">
        <f>Sheet1!F141</f>
        <v>未着手</v>
      </c>
      <c r="E139" s="6" t="s">
        <v>1963</v>
      </c>
      <c r="F139" s="11" t="s">
        <v>1950</v>
      </c>
      <c r="G139" s="11" t="s">
        <v>1743</v>
      </c>
      <c r="H139" s="7" t="s">
        <v>1964</v>
      </c>
    </row>
    <row r="140" spans="1:8">
      <c r="A140" s="5" t="str">
        <f>Sheet1!C142</f>
        <v>NFR-DR-003</v>
      </c>
      <c r="B140" s="6" t="str">
        <f>Sheet1!B142</f>
        <v>NFR-DR 災害復旧</v>
      </c>
      <c r="C140" s="57" t="str">
        <f>Sheet1!E142</f>
        <v>予備側への切替を自動で行うか、人の判断で行うか</v>
      </c>
      <c r="D140" s="11" t="str">
        <f>Sheet1!F142</f>
        <v>未着手</v>
      </c>
      <c r="E140" s="6" t="s">
        <v>1965</v>
      </c>
      <c r="F140" s="11" t="s">
        <v>1950</v>
      </c>
      <c r="G140" s="11" t="s">
        <v>1752</v>
      </c>
      <c r="H140" s="7" t="s">
        <v>1966</v>
      </c>
    </row>
    <row r="141" spans="1:8">
      <c r="A141" s="5" t="str">
        <f>Sheet1!C143</f>
        <v>NFR-DR-004</v>
      </c>
      <c r="B141" s="6" t="str">
        <f>Sheet1!B143</f>
        <v>NFR-DR 災害復旧</v>
      </c>
      <c r="C141" s="57" t="str">
        <f>Sheet1!E143</f>
        <v>バックアップを何日分保持するか</v>
      </c>
      <c r="D141" s="11" t="str">
        <f>Sheet1!F143</f>
        <v>検討中</v>
      </c>
      <c r="E141" s="6" t="s">
        <v>1967</v>
      </c>
      <c r="F141" s="11" t="s">
        <v>1950</v>
      </c>
      <c r="G141" s="11" t="s">
        <v>1743</v>
      </c>
      <c r="H141" s="7" t="s">
        <v>1968</v>
      </c>
    </row>
    <row r="142" spans="1:8">
      <c r="A142" s="5" t="str">
        <f>Sheet1!C144</f>
        <v>NFR-DR-005</v>
      </c>
      <c r="B142" s="6" t="str">
        <f>Sheet1!B144</f>
        <v>NFR-DR 災害復旧</v>
      </c>
      <c r="C142" s="57" t="str">
        <f>Sheet1!E144</f>
        <v>任意の時点まで巻き戻せる仕組みを用意するか。遡れる範囲を何日にするか</v>
      </c>
      <c r="D142" s="11" t="str">
        <f>Sheet1!F144</f>
        <v>検討中</v>
      </c>
      <c r="E142" s="6" t="s">
        <v>1969</v>
      </c>
      <c r="F142" s="11" t="s">
        <v>1950</v>
      </c>
      <c r="G142" s="11" t="s">
        <v>1752</v>
      </c>
      <c r="H142" s="7" t="s">
        <v>1970</v>
      </c>
    </row>
    <row r="143" spans="1:8">
      <c r="A143" s="5" t="str">
        <f>Sheet1!C145</f>
        <v>NFR-DR-006</v>
      </c>
      <c r="B143" s="6" t="str">
        <f>Sheet1!B145</f>
        <v>NFR-DR 災害復旧</v>
      </c>
      <c r="C143" s="57" t="str">
        <f>Sheet1!E145</f>
        <v>バックアップを別の地域にも複製するか</v>
      </c>
      <c r="D143" s="11" t="str">
        <f>Sheet1!F145</f>
        <v>検討中</v>
      </c>
      <c r="E143" s="6" t="s">
        <v>1967</v>
      </c>
      <c r="F143" s="11" t="s">
        <v>1950</v>
      </c>
      <c r="G143" s="11" t="s">
        <v>1752</v>
      </c>
      <c r="H143" s="7" t="s">
        <v>1971</v>
      </c>
    </row>
    <row r="144" spans="1:8">
      <c r="A144" s="5" t="str">
        <f>Sheet1!C146</f>
        <v>NFR-DR-007</v>
      </c>
      <c r="B144" s="6" t="str">
        <f>Sheet1!B146</f>
        <v>NFR-DR 災害復旧</v>
      </c>
      <c r="C144" s="57" t="str">
        <f>Sheet1!E146</f>
        <v>復旧手順の訓練をどの頻度で行うか。誰が参加するか</v>
      </c>
      <c r="D144" s="11" t="str">
        <f>Sheet1!F146</f>
        <v>未着手</v>
      </c>
      <c r="E144" s="6" t="s">
        <v>1972</v>
      </c>
      <c r="F144" s="11" t="s">
        <v>1950</v>
      </c>
      <c r="G144" s="11" t="s">
        <v>1752</v>
      </c>
      <c r="H144" s="7" t="s">
        <v>1973</v>
      </c>
    </row>
    <row r="145" spans="1:8">
      <c r="A145" s="5" t="str">
        <f>Sheet1!C147</f>
        <v>NFR-DR-008</v>
      </c>
      <c r="B145" s="6" t="str">
        <f>Sheet1!B147</f>
        <v>NFR-DR 災害復旧</v>
      </c>
      <c r="C145" s="57" t="str">
        <f>Sheet1!E147</f>
        <v>切替時にログイン状態を維持するか、利用者に再ログインを求めるか</v>
      </c>
      <c r="D145" s="11" t="str">
        <f>Sheet1!F147</f>
        <v>検討中</v>
      </c>
      <c r="E145" s="6" t="s">
        <v>1974</v>
      </c>
      <c r="F145" s="11" t="s">
        <v>1950</v>
      </c>
      <c r="G145" s="11" t="s">
        <v>1752</v>
      </c>
      <c r="H145" s="7" t="s">
        <v>1975</v>
      </c>
    </row>
    <row r="146" spans="1:8">
      <c r="A146" s="5" t="str">
        <f>Sheet1!C148</f>
        <v>NFR-OPS-001</v>
      </c>
      <c r="B146" s="6" t="str">
        <f>Sheet1!B148</f>
        <v>NFR-OPS 監視・ロギング</v>
      </c>
      <c r="C146" s="57" t="str">
        <f>Sheet1!E148</f>
        <v>何を監視項目とし、どの値を異常とみなすか</v>
      </c>
      <c r="D146" s="11" t="str">
        <f>Sheet1!F148</f>
        <v>検討中</v>
      </c>
      <c r="E146" s="6" t="s">
        <v>2151</v>
      </c>
      <c r="F146" s="11" t="s">
        <v>1976</v>
      </c>
      <c r="G146" s="11" t="s">
        <v>1752</v>
      </c>
      <c r="H146" s="7" t="s">
        <v>2152</v>
      </c>
    </row>
    <row r="147" spans="1:8">
      <c r="A147" s="5" t="str">
        <f>Sheet1!C149</f>
        <v>NFR-OPS-002</v>
      </c>
      <c r="B147" s="6" t="str">
        <f>Sheet1!B149</f>
        <v>NFR-OPS 監視・ロギング</v>
      </c>
      <c r="C147" s="57" t="str">
        <f>Sheet1!E149</f>
        <v>誰にどの経路で通知するか。夜間・休日の対応をどうするか</v>
      </c>
      <c r="D147" s="11" t="str">
        <f>Sheet1!F149</f>
        <v>検討中</v>
      </c>
      <c r="E147" s="6" t="s">
        <v>2153</v>
      </c>
      <c r="F147" s="11" t="s">
        <v>2147</v>
      </c>
      <c r="G147" s="11" t="s">
        <v>1752</v>
      </c>
      <c r="H147" s="7" t="s">
        <v>2154</v>
      </c>
    </row>
    <row r="148" spans="1:8">
      <c r="A148" s="5" t="str">
        <f>Sheet1!C150</f>
        <v>NFR-OPS-003</v>
      </c>
      <c r="B148" s="6" t="str">
        <f>Sheet1!B150</f>
        <v>NFR-OPS 監視・ロギング</v>
      </c>
      <c r="C148" s="57" t="str">
        <f>Sheet1!E150</f>
        <v>各種ログを何日保存するか</v>
      </c>
      <c r="D148" s="11" t="str">
        <f>Sheet1!F150</f>
        <v>未着手</v>
      </c>
      <c r="E148" s="6" t="s">
        <v>1871</v>
      </c>
      <c r="F148" s="11" t="s">
        <v>1872</v>
      </c>
      <c r="G148" s="11" t="s">
        <v>1752</v>
      </c>
      <c r="H148" s="7" t="s">
        <v>1873</v>
      </c>
    </row>
    <row r="149" spans="1:8">
      <c r="A149" s="5" t="str">
        <f>Sheet1!C151</f>
        <v>NFR-OPS-004</v>
      </c>
      <c r="B149" s="6" t="str">
        <f>Sheet1!B151</f>
        <v>NFR-OPS 監視・ロギング</v>
      </c>
      <c r="C149" s="57" t="str">
        <f>Sheet1!E151</f>
        <v>障害時にログをどれだけ速く探せる状態にしておくか</v>
      </c>
      <c r="D149" s="11" t="str">
        <f>Sheet1!F151</f>
        <v>検討中</v>
      </c>
      <c r="E149" s="6" t="s">
        <v>1871</v>
      </c>
      <c r="F149" s="11" t="s">
        <v>1872</v>
      </c>
      <c r="G149" s="11" t="s">
        <v>1743</v>
      </c>
      <c r="H149" s="7" t="s">
        <v>1874</v>
      </c>
    </row>
    <row r="150" spans="1:8">
      <c r="A150" s="5" t="str">
        <f>Sheet1!C152</f>
        <v>NFR-OPS-005</v>
      </c>
      <c r="B150" s="6" t="str">
        <f>Sheet1!B152</f>
        <v>NFR-OPS デプロイ・パッチ</v>
      </c>
      <c r="C150" s="57" t="str">
        <f>Sheet1!E152</f>
        <v>製品の更新をどの頻度・どの手順で当てるか</v>
      </c>
      <c r="D150" s="11" t="str">
        <f>Sheet1!F152</f>
        <v>未着手</v>
      </c>
      <c r="E150" s="6" t="s">
        <v>2155</v>
      </c>
      <c r="F150" s="11" t="s">
        <v>2156</v>
      </c>
      <c r="G150" s="11" t="s">
        <v>1752</v>
      </c>
      <c r="H150" s="7" t="s">
        <v>2157</v>
      </c>
    </row>
    <row r="151" spans="1:8">
      <c r="A151" s="5" t="str">
        <f>Sheet1!C153</f>
        <v>NFR-OPS-006</v>
      </c>
      <c r="B151" s="6" t="str">
        <f>Sheet1!B153</f>
        <v>NFR-OPS デプロイ・パッチ</v>
      </c>
      <c r="C151" s="57" t="str">
        <f>Sheet1!E153</f>
        <v>脆弱性が公表されたとき、何日以内に対処するか</v>
      </c>
      <c r="D151" s="11" t="str">
        <f>Sheet1!F153</f>
        <v>検討中</v>
      </c>
      <c r="E151" s="6" t="s">
        <v>2158</v>
      </c>
      <c r="F151" s="11" t="s">
        <v>2147</v>
      </c>
      <c r="G151" s="11" t="s">
        <v>1752</v>
      </c>
      <c r="H151" s="7" t="s">
        <v>2159</v>
      </c>
    </row>
    <row r="152" spans="1:8">
      <c r="A152" s="5" t="str">
        <f>Sheet1!C154</f>
        <v>NFR-OPS-007</v>
      </c>
      <c r="B152" s="6" t="str">
        <f>Sheet1!B154</f>
        <v>NFR-OPS デプロイ・パッチ</v>
      </c>
      <c r="C152" s="57" t="str">
        <f>Sheet1!E154</f>
        <v>設定変更の申請・承認・適用の流れを誰がどう回すか</v>
      </c>
      <c r="D152" s="11" t="str">
        <f>Sheet1!F154</f>
        <v>検討中</v>
      </c>
      <c r="E152" s="6" t="s">
        <v>2160</v>
      </c>
      <c r="F152" s="11" t="s">
        <v>2147</v>
      </c>
      <c r="G152" s="11" t="s">
        <v>1752</v>
      </c>
      <c r="H152" s="7" t="s">
        <v>2161</v>
      </c>
    </row>
    <row r="153" spans="1:8">
      <c r="A153" s="5" t="str">
        <f>Sheet1!C155</f>
        <v>NFR-OPS-010</v>
      </c>
      <c r="B153" s="6" t="str">
        <f>Sheet1!B155</f>
        <v>NFR-OPS デプロイ・パッチ</v>
      </c>
      <c r="C153" s="57" t="str">
        <f>Sheet1!E155</f>
        <v>更新作業の自動化をどこまで行うか</v>
      </c>
      <c r="D153" s="11" t="str">
        <f>Sheet1!F155</f>
        <v>検討中</v>
      </c>
      <c r="E153" s="6" t="s">
        <v>2162</v>
      </c>
      <c r="F153" s="11" t="s">
        <v>2147</v>
      </c>
      <c r="G153" s="11" t="s">
        <v>1752</v>
      </c>
      <c r="H153" s="7" t="s">
        <v>2163</v>
      </c>
    </row>
    <row r="154" spans="1:8">
      <c r="A154" s="5" t="str">
        <f>Sheet1!C156</f>
        <v>NFR-OPS-008</v>
      </c>
      <c r="B154" s="6" t="str">
        <f>Sheet1!B156</f>
        <v>NFR-OPS 体制・運用SLA</v>
      </c>
      <c r="C154" s="57" t="str">
        <f>Sheet1!E156</f>
        <v>障害時の連絡体制と役割分担をどう組むか</v>
      </c>
      <c r="D154" s="11" t="str">
        <f>Sheet1!F156</f>
        <v>未着手</v>
      </c>
      <c r="E154" s="6" t="s">
        <v>2164</v>
      </c>
      <c r="F154" s="11" t="s">
        <v>2147</v>
      </c>
      <c r="G154" s="11" t="s">
        <v>1743</v>
      </c>
      <c r="H154" s="7" t="s">
        <v>2165</v>
      </c>
    </row>
    <row r="155" spans="1:8">
      <c r="A155" s="5" t="str">
        <f>Sheet1!C157</f>
        <v>NFR-OPS-009</v>
      </c>
      <c r="B155" s="6" t="str">
        <f>Sheet1!B157</f>
        <v>NFR-OPS 体制・運用SLA</v>
      </c>
      <c r="C155" s="57" t="str">
        <f>Sheet1!E157</f>
        <v>運用に何人月かかる前提とするか。誰が担当するか</v>
      </c>
      <c r="D155" s="11" t="str">
        <f>Sheet1!F157</f>
        <v>検討中</v>
      </c>
      <c r="E155" s="6" t="s">
        <v>1745</v>
      </c>
      <c r="F155" s="11" t="s">
        <v>2147</v>
      </c>
      <c r="G155" s="11" t="s">
        <v>1746</v>
      </c>
      <c r="H155" s="7" t="s">
        <v>2166</v>
      </c>
    </row>
    <row r="156" spans="1:8">
      <c r="A156" s="5" t="str">
        <f>Sheet1!C158</f>
        <v>NFR-OPS-011</v>
      </c>
      <c r="B156" s="6" t="str">
        <f>Sheet1!B158</f>
        <v>NFR-OPS 体制・運用SLA</v>
      </c>
      <c r="C156" s="57" t="str">
        <f>Sheet1!E158</f>
        <v>顧客追加の作業を何営業日で完了させると約束するか</v>
      </c>
      <c r="D156" s="11" t="str">
        <f>Sheet1!F158</f>
        <v>未着手</v>
      </c>
      <c r="E156" s="6" t="s">
        <v>2167</v>
      </c>
      <c r="F156" s="11" t="s">
        <v>2147</v>
      </c>
      <c r="G156" s="11" t="s">
        <v>1752</v>
      </c>
      <c r="H156" s="7" t="s">
        <v>2168</v>
      </c>
    </row>
    <row r="157" spans="1:8">
      <c r="A157" s="5" t="str">
        <f>Sheet1!C159</f>
        <v>NFR-COMP-001</v>
      </c>
      <c r="B157" s="6" t="str">
        <f>Sheet1!B159</f>
        <v>NFR-COMP 規制・法令対応</v>
      </c>
      <c r="C157" s="57" t="str">
        <f>Sheet1!E159</f>
        <v>日本の個人情報保護法への対応範囲をどこまでにするか</v>
      </c>
      <c r="D157" s="11" t="str">
        <f>Sheet1!F159</f>
        <v>検討中</v>
      </c>
      <c r="E157" s="6" t="s">
        <v>1875</v>
      </c>
      <c r="F157" s="11" t="s">
        <v>1852</v>
      </c>
      <c r="G157" s="11" t="s">
        <v>1752</v>
      </c>
      <c r="H157" s="7" t="s">
        <v>1876</v>
      </c>
    </row>
    <row r="158" spans="1:8">
      <c r="A158" s="5" t="str">
        <f>Sheet1!C160</f>
        <v>NFR-COMP-002</v>
      </c>
      <c r="B158" s="6" t="str">
        <f>Sheet1!B160</f>
        <v>NFR-COMP 規制・法令対応</v>
      </c>
      <c r="C158" s="57" t="str">
        <f>Sheet1!E160</f>
        <v>海外展開に伴う規制対応が必要か。対象となる地域はどこか</v>
      </c>
      <c r="D158" s="11" t="str">
        <f>Sheet1!F160</f>
        <v>未着手</v>
      </c>
      <c r="E158" s="6" t="s">
        <v>1565</v>
      </c>
      <c r="F158" s="11" t="s">
        <v>1573</v>
      </c>
      <c r="G158" s="11" t="s">
        <v>1574</v>
      </c>
      <c r="H158" s="7" t="s">
        <v>1575</v>
      </c>
    </row>
    <row r="159" spans="1:8">
      <c r="A159" s="5" t="str">
        <f>Sheet1!C161</f>
        <v>NFR-COMP-008</v>
      </c>
      <c r="B159" s="6" t="str">
        <f>Sheet1!B161</f>
        <v>NFR-COMP 規制・法令対応</v>
      </c>
      <c r="C159" s="57" t="str">
        <f>Sheet1!E161</f>
        <v>データを日本国内に限定する必要があるか。最重要の確認事項</v>
      </c>
      <c r="D159" s="11" t="str">
        <f>Sheet1!F161</f>
        <v>未着手</v>
      </c>
      <c r="E159" s="6" t="s">
        <v>1877</v>
      </c>
      <c r="F159" s="11" t="s">
        <v>1852</v>
      </c>
      <c r="G159" s="11" t="s">
        <v>1743</v>
      </c>
      <c r="H159" s="7" t="s">
        <v>1878</v>
      </c>
    </row>
    <row r="160" spans="1:8">
      <c r="A160" s="5" t="str">
        <f>Sheet1!C162</f>
        <v>NFR-COMP-003</v>
      </c>
      <c r="B160" s="6" t="str">
        <f>Sheet1!B162</f>
        <v>NFR-COMP 業界認定・監査</v>
      </c>
      <c r="C160" s="57" t="str">
        <f>Sheet1!E162</f>
        <v>第三者による内部統制の証明が必要か</v>
      </c>
      <c r="D160" s="11" t="str">
        <f>Sheet1!F162</f>
        <v>未着手</v>
      </c>
      <c r="E160" s="6" t="s">
        <v>1565</v>
      </c>
      <c r="F160" s="11" t="s">
        <v>1573</v>
      </c>
      <c r="G160" s="11" t="s">
        <v>1574</v>
      </c>
      <c r="H160" s="7" t="s">
        <v>1575</v>
      </c>
    </row>
    <row r="161" spans="1:8">
      <c r="A161" s="5" t="str">
        <f>Sheet1!C163</f>
        <v>NFR-COMP-004</v>
      </c>
      <c r="B161" s="6" t="str">
        <f>Sheet1!B163</f>
        <v>NFR-COMP 業界認定・監査</v>
      </c>
      <c r="C161" s="57" t="str">
        <f>Sheet1!E163</f>
        <v>情報セキュリティの認証取得が必要か</v>
      </c>
      <c r="D161" s="11" t="str">
        <f>Sheet1!F163</f>
        <v>未着手</v>
      </c>
      <c r="E161" s="6" t="s">
        <v>1565</v>
      </c>
      <c r="F161" s="11" t="s">
        <v>1573</v>
      </c>
      <c r="G161" s="11" t="s">
        <v>1574</v>
      </c>
      <c r="H161" s="7" t="s">
        <v>1575</v>
      </c>
    </row>
    <row r="162" spans="1:8">
      <c r="A162" s="5" t="str">
        <f>Sheet1!C164</f>
        <v>NFR-COMP-005</v>
      </c>
      <c r="B162" s="6" t="str">
        <f>Sheet1!B164</f>
        <v>NFR-COMP 業界認定・監査</v>
      </c>
      <c r="C162" s="57" t="str">
        <f>Sheet1!E164</f>
        <v>クレジットカード関連の規格対応が必要か</v>
      </c>
      <c r="D162" s="11" t="str">
        <f>Sheet1!F164</f>
        <v>未着手</v>
      </c>
      <c r="E162" s="6" t="s">
        <v>1565</v>
      </c>
      <c r="F162" s="11" t="s">
        <v>1573</v>
      </c>
      <c r="G162" s="11" t="s">
        <v>1574</v>
      </c>
      <c r="H162" s="7" t="s">
        <v>1678</v>
      </c>
    </row>
    <row r="163" spans="1:8">
      <c r="A163" s="5" t="str">
        <f>Sheet1!C165</f>
        <v>NFR-COMP-006</v>
      </c>
      <c r="B163" s="6" t="str">
        <f>Sheet1!B165</f>
        <v>NFR-COMP 業界認定・監査</v>
      </c>
      <c r="C163" s="57" t="str">
        <f>Sheet1!E165</f>
        <v>米国政府が認定した暗号方式が必要か。最重要の確認事項</v>
      </c>
      <c r="D163" s="11" t="str">
        <f>Sheet1!F165</f>
        <v>未着手</v>
      </c>
      <c r="E163" s="6" t="s">
        <v>1745</v>
      </c>
      <c r="F163" s="11" t="s">
        <v>1852</v>
      </c>
      <c r="G163" s="11" t="s">
        <v>1759</v>
      </c>
      <c r="H163" s="7" t="s">
        <v>1890</v>
      </c>
    </row>
    <row r="164" spans="1:8">
      <c r="A164" s="5" t="str">
        <f>Sheet1!C166</f>
        <v>NFR-COMP-007</v>
      </c>
      <c r="B164" s="6" t="str">
        <f>Sheet1!B166</f>
        <v>NFR-COMP 業界認定・監査</v>
      </c>
      <c r="C164" s="57" t="str">
        <f>Sheet1!E166</f>
        <v>法令上、操作記録を何年保存する必要があるか</v>
      </c>
      <c r="D164" s="11" t="str">
        <f>Sheet1!F166</f>
        <v>未着手</v>
      </c>
      <c r="E164" s="6" t="s">
        <v>1879</v>
      </c>
      <c r="F164" s="11" t="s">
        <v>1872</v>
      </c>
      <c r="G164" s="11" t="s">
        <v>1752</v>
      </c>
      <c r="H164" s="7" t="s">
        <v>1880</v>
      </c>
    </row>
    <row r="165" spans="1:8">
      <c r="A165" s="5" t="str">
        <f>Sheet1!C167</f>
        <v>NFR-COMP-010</v>
      </c>
      <c r="B165" s="6" t="str">
        <f>Sheet1!B167</f>
        <v>NFR-COMP 業界認定・監査</v>
      </c>
      <c r="C165" s="57" t="str">
        <f>Sheet1!E167</f>
        <v>誰がいつ何を見たかを後から追える状態を、どこまで作るか</v>
      </c>
      <c r="D165" s="11" t="str">
        <f>Sheet1!F167</f>
        <v>検討中</v>
      </c>
      <c r="E165" s="6" t="s">
        <v>2169</v>
      </c>
      <c r="F165" s="11" t="s">
        <v>1872</v>
      </c>
      <c r="G165" s="11" t="s">
        <v>1752</v>
      </c>
      <c r="H165" s="7" t="s">
        <v>2170</v>
      </c>
    </row>
    <row r="166" spans="1:8">
      <c r="A166" s="5" t="str">
        <f>Sheet1!C168</f>
        <v>NFR-COMP-009</v>
      </c>
      <c r="B166" s="6" t="str">
        <f>Sheet1!B168</f>
        <v>NFR-COMP データガバナンス</v>
      </c>
      <c r="C166" s="57" t="str">
        <f>Sheet1!E168</f>
        <v>利用者からの削除要求に、どの手順・何日以内で応じるか</v>
      </c>
      <c r="D166" s="11" t="str">
        <f>Sheet1!F168</f>
        <v>検討中</v>
      </c>
      <c r="E166" s="6" t="s">
        <v>2248</v>
      </c>
      <c r="F166" s="11" t="s">
        <v>2228</v>
      </c>
      <c r="G166" s="11" t="s">
        <v>1752</v>
      </c>
      <c r="H166" s="7" t="s">
        <v>2249</v>
      </c>
    </row>
    <row r="167" spans="1:8">
      <c r="A167" s="5" t="str">
        <f>Sheet1!C169</f>
        <v>NFR-COMP-011</v>
      </c>
      <c r="B167" s="6" t="str">
        <f>Sheet1!B169</f>
        <v>NFR-COMP データガバナンス</v>
      </c>
      <c r="C167" s="57" t="str">
        <f>Sheet1!E169</f>
        <v>暗号鍵をどの頻度で入れ替えるか</v>
      </c>
      <c r="D167" s="11" t="str">
        <f>Sheet1!F169</f>
        <v>検討中</v>
      </c>
      <c r="E167" s="6" t="s">
        <v>1679</v>
      </c>
      <c r="F167" s="11" t="s">
        <v>1680</v>
      </c>
      <c r="G167" s="11" t="s">
        <v>1570</v>
      </c>
      <c r="H167" s="7" t="s">
        <v>1681</v>
      </c>
    </row>
    <row r="168" spans="1:8">
      <c r="A168" s="5" t="str">
        <f>Sheet1!C170</f>
        <v>NFR-COST-001</v>
      </c>
      <c r="B168" s="6" t="str">
        <f>Sheet1!B170</f>
        <v>NFR-COST コスト</v>
      </c>
      <c r="C168" s="57" t="str">
        <f>Sheet1!E170</f>
        <v>初期構築にいくらかけるか。予算枠をどこに置くか</v>
      </c>
      <c r="D168" s="11" t="str">
        <f>Sheet1!F170</f>
        <v>確定</v>
      </c>
      <c r="E168" s="6" t="s">
        <v>1565</v>
      </c>
      <c r="F168" s="11" t="s">
        <v>1665</v>
      </c>
      <c r="G168" s="11" t="s">
        <v>1574</v>
      </c>
      <c r="H168" s="7" t="s">
        <v>1666</v>
      </c>
    </row>
    <row r="169" spans="1:8">
      <c r="A169" s="5" t="str">
        <f>Sheet1!C171</f>
        <v>NFR-COST-002</v>
      </c>
      <c r="B169" s="6" t="str">
        <f>Sheet1!B171</f>
        <v>NFR-COST コスト</v>
      </c>
      <c r="C169" s="57" t="str">
        <f>Sheet1!E171</f>
        <v>毎月の設備費をいくらまでとするか</v>
      </c>
      <c r="D169" s="11" t="str">
        <f>Sheet1!F171</f>
        <v>確定</v>
      </c>
      <c r="E169" s="6" t="s">
        <v>2064</v>
      </c>
      <c r="F169" s="11" t="s">
        <v>2033</v>
      </c>
      <c r="G169" s="11" t="s">
        <v>1743</v>
      </c>
      <c r="H169" s="7" t="s">
        <v>2065</v>
      </c>
    </row>
    <row r="170" spans="1:8">
      <c r="A170" s="5" t="str">
        <f>Sheet1!C172</f>
        <v>NFR-COST-003</v>
      </c>
      <c r="B170" s="6" t="str">
        <f>Sheet1!B172</f>
        <v>NFR-COST コスト</v>
      </c>
      <c r="C170" s="57" t="str">
        <f>Sheet1!E172</f>
        <v>利用者1人あたりの単価をいくらと見るか</v>
      </c>
      <c r="D170" s="11" t="str">
        <f>Sheet1!F172</f>
        <v>確定</v>
      </c>
      <c r="E170" s="6" t="s">
        <v>1565</v>
      </c>
      <c r="F170" s="11" t="s">
        <v>1665</v>
      </c>
      <c r="G170" s="11" t="s">
        <v>1574</v>
      </c>
      <c r="H170" s="7" t="s">
        <v>1666</v>
      </c>
    </row>
    <row r="171" spans="1:8">
      <c r="A171" s="5" t="str">
        <f>Sheet1!C173</f>
        <v>NFR-COST-003-PLUS</v>
      </c>
      <c r="B171" s="6" t="str">
        <f>Sheet1!B173</f>
        <v>NFR-COST コスト</v>
      </c>
      <c r="C171" s="57" t="str">
        <f>Sheet1!E173</f>
        <v>上位プランを使う場合の追加費用をどう見るか</v>
      </c>
      <c r="D171" s="11" t="str">
        <f>Sheet1!F173</f>
        <v>検討中</v>
      </c>
      <c r="E171" s="6" t="s">
        <v>1565</v>
      </c>
      <c r="F171" s="11" t="s">
        <v>1665</v>
      </c>
      <c r="G171" s="11" t="s">
        <v>1574</v>
      </c>
      <c r="H171" s="7" t="s">
        <v>1682</v>
      </c>
    </row>
    <row r="172" spans="1:8">
      <c r="A172" s="5" t="str">
        <f>Sheet1!C174</f>
        <v>NFR-COST-004</v>
      </c>
      <c r="B172" s="6" t="str">
        <f>Sheet1!B174</f>
        <v>NFR-COST コスト</v>
      </c>
      <c r="C172" s="57" t="str">
        <f>Sheet1!E174</f>
        <v>災害対策のために毎月いくら追加でかけるか</v>
      </c>
      <c r="D172" s="11" t="str">
        <f>Sheet1!F174</f>
        <v>確定</v>
      </c>
      <c r="E172" s="6" t="s">
        <v>1977</v>
      </c>
      <c r="F172" s="11" t="s">
        <v>1978</v>
      </c>
      <c r="G172" s="11" t="s">
        <v>1743</v>
      </c>
      <c r="H172" s="7" t="s">
        <v>1979</v>
      </c>
    </row>
    <row r="173" spans="1:8">
      <c r="A173" s="5" t="str">
        <f>Sheet1!C175</f>
        <v>NFR-COST-005</v>
      </c>
      <c r="B173" s="6" t="str">
        <f>Sheet1!B175</f>
        <v>NFR-COST コスト</v>
      </c>
      <c r="C173" s="57" t="str">
        <f>Sheet1!E175</f>
        <v>運用担当の人件費をいくらと見込むか</v>
      </c>
      <c r="D173" s="11" t="str">
        <f>Sheet1!F175</f>
        <v>検討中</v>
      </c>
      <c r="E173" s="6" t="s">
        <v>1745</v>
      </c>
      <c r="F173" s="11" t="s">
        <v>2147</v>
      </c>
      <c r="G173" s="11" t="s">
        <v>1746</v>
      </c>
      <c r="H173" s="7" t="s">
        <v>2171</v>
      </c>
    </row>
    <row r="174" spans="1:8">
      <c r="A174" s="5" t="str">
        <f>Sheet1!C176</f>
        <v>NFR-COST-006</v>
      </c>
      <c r="B174" s="6" t="str">
        <f>Sheet1!B176</f>
        <v>NFR-COST コスト</v>
      </c>
      <c r="C174" s="57" t="str">
        <f>Sheet1!E176</f>
        <v>製品サポート契約の費用をどう扱うか</v>
      </c>
      <c r="D174" s="11" t="str">
        <f>Sheet1!F176</f>
        <v>未着手</v>
      </c>
      <c r="E174" s="6" t="s">
        <v>2066</v>
      </c>
      <c r="F174" s="11" t="s">
        <v>2033</v>
      </c>
      <c r="G174" s="11" t="s">
        <v>1752</v>
      </c>
      <c r="H174" s="7" t="s">
        <v>2067</v>
      </c>
    </row>
    <row r="175" spans="1:8">
      <c r="A175" s="5" t="str">
        <f>Sheet1!C177</f>
        <v>NFR-COST-007</v>
      </c>
      <c r="B175" s="6" t="str">
        <f>Sheet1!B177</f>
        <v>NFR-COST コスト</v>
      </c>
      <c r="C175" s="57" t="str">
        <f>Sheet1!E177</f>
        <v>何人以上の規模なら自前で構築するほうが有利になるか</v>
      </c>
      <c r="D175" s="11" t="str">
        <f>Sheet1!F177</f>
        <v>確定</v>
      </c>
      <c r="E175" s="6" t="s">
        <v>1565</v>
      </c>
      <c r="F175" s="11" t="s">
        <v>1665</v>
      </c>
      <c r="G175" s="11" t="s">
        <v>1574</v>
      </c>
      <c r="H175" s="7" t="s">
        <v>1666</v>
      </c>
    </row>
    <row r="176" spans="1:8">
      <c r="A176" s="5" t="str">
        <f>Sheet1!C178</f>
        <v>NFR-COST-007-PLUS</v>
      </c>
      <c r="B176" s="6" t="str">
        <f>Sheet1!B178</f>
        <v>NFR-COST コスト</v>
      </c>
      <c r="C176" s="57" t="str">
        <f>Sheet1!E178</f>
        <v>上位プランと比べた場合、有利になる規模の境目をどこに置くか</v>
      </c>
      <c r="D176" s="11" t="str">
        <f>Sheet1!F178</f>
        <v>確定</v>
      </c>
      <c r="E176" s="6" t="s">
        <v>1565</v>
      </c>
      <c r="F176" s="11" t="s">
        <v>1665</v>
      </c>
      <c r="G176" s="11" t="s">
        <v>1574</v>
      </c>
      <c r="H176" s="7" t="s">
        <v>1666</v>
      </c>
    </row>
    <row r="177" spans="1:8">
      <c r="A177" s="5" t="str">
        <f>Sheet1!C179</f>
        <v>NFR-COST-008</v>
      </c>
      <c r="B177" s="6" t="str">
        <f>Sheet1!B179</f>
        <v>NFR-COST コスト</v>
      </c>
      <c r="C177" s="57" t="str">
        <f>Sheet1!E179</f>
        <v>10万人規模で3年間の総額をいくらと見るか</v>
      </c>
      <c r="D177" s="11" t="str">
        <f>Sheet1!F179</f>
        <v>確定</v>
      </c>
      <c r="E177" s="6" t="s">
        <v>2064</v>
      </c>
      <c r="F177" s="11" t="s">
        <v>2033</v>
      </c>
      <c r="G177" s="11" t="s">
        <v>1743</v>
      </c>
      <c r="H177" s="7" t="s">
        <v>2068</v>
      </c>
    </row>
    <row r="178" spans="1:8">
      <c r="A178" s="5" t="str">
        <f>Sheet1!C180</f>
        <v>NFR-COST-009</v>
      </c>
      <c r="B178" s="6" t="str">
        <f>Sheet1!B180</f>
        <v>NFR-COST コスト</v>
      </c>
      <c r="C178" s="57" t="str">
        <f>Sheet1!E180</f>
        <v>50万人規模で3年間の総額をいくらと見るか</v>
      </c>
      <c r="D178" s="11" t="str">
        <f>Sheet1!F180</f>
        <v>確定</v>
      </c>
      <c r="E178" s="6" t="s">
        <v>2064</v>
      </c>
      <c r="F178" s="11" t="s">
        <v>2033</v>
      </c>
      <c r="G178" s="11" t="s">
        <v>1743</v>
      </c>
      <c r="H178" s="7" t="s">
        <v>2069</v>
      </c>
    </row>
    <row r="179" spans="1:8">
      <c r="A179" s="5" t="str">
        <f>Sheet1!C181</f>
        <v>NFR-MIG-001</v>
      </c>
      <c r="B179" s="6" t="str">
        <f>Sheet1!B181</f>
        <v>NFR-MIG 移行性</v>
      </c>
      <c r="C179" s="57" t="str">
        <f>Sheet1!E181</f>
        <v>今の認証システムから利用者情報をどう移すか。件数と期間をどう見るか</v>
      </c>
      <c r="D179" s="11" t="str">
        <f>Sheet1!F181</f>
        <v>未着手</v>
      </c>
      <c r="E179" s="6" t="s">
        <v>2250</v>
      </c>
      <c r="F179" s="11" t="s">
        <v>2237</v>
      </c>
      <c r="G179" s="11" t="s">
        <v>1752</v>
      </c>
      <c r="H179" s="7" t="s">
        <v>2251</v>
      </c>
    </row>
    <row r="180" spans="1:8">
      <c r="A180" s="5" t="str">
        <f>Sheet1!C182</f>
        <v>NFR-MIG-002</v>
      </c>
      <c r="B180" s="6" t="str">
        <f>Sheet1!B182</f>
        <v>NFR-MIG 移行性</v>
      </c>
      <c r="C180" s="57" t="str">
        <f>Sheet1!E182</f>
        <v>パスワードを再設定させずに引き継げるか。無理な場合、利用者にどう案内するか</v>
      </c>
      <c r="D180" s="11" t="str">
        <f>Sheet1!F182</f>
        <v>未着手</v>
      </c>
      <c r="E180" s="6" t="s">
        <v>2250</v>
      </c>
      <c r="F180" s="11" t="s">
        <v>2237</v>
      </c>
      <c r="G180" s="11" t="s">
        <v>1752</v>
      </c>
      <c r="H180" s="7" t="s">
        <v>2252</v>
      </c>
    </row>
    <row r="181" spans="1:8">
      <c r="A181" s="5" t="str">
        <f>Sheet1!C183</f>
        <v>NFR-MIG-003</v>
      </c>
      <c r="B181" s="6" t="str">
        <f>Sheet1!B183</f>
        <v>NFR-MIG 移行性</v>
      </c>
      <c r="C181" s="57" t="str">
        <f>Sheet1!E183</f>
        <v>将来ほかの製品に乗り換えられる状態を、どこまで保つか</v>
      </c>
      <c r="D181" s="11" t="str">
        <f>Sheet1!F183</f>
        <v>確定</v>
      </c>
      <c r="E181" s="6" t="s">
        <v>2253</v>
      </c>
      <c r="F181" s="11" t="s">
        <v>2254</v>
      </c>
      <c r="G181" s="11" t="s">
        <v>1743</v>
      </c>
      <c r="H181" s="7" t="s">
        <v>2255</v>
      </c>
    </row>
    <row r="182" spans="1:8">
      <c r="A182" s="5" t="str">
        <f>Sheet1!C184</f>
        <v>NFR-MIG-004</v>
      </c>
      <c r="B182" s="6" t="str">
        <f>Sheet1!B184</f>
        <v>NFR-MIG 移行性</v>
      </c>
      <c r="C182" s="57" t="str">
        <f>Sheet1!E184</f>
        <v>自分たちのデータをいつでも取り出せる手段を用意するか</v>
      </c>
      <c r="D182" s="11" t="str">
        <f>Sheet1!F184</f>
        <v>検討中</v>
      </c>
      <c r="E182" s="6" t="s">
        <v>2256</v>
      </c>
      <c r="F182" s="11" t="s">
        <v>2257</v>
      </c>
      <c r="G182" s="11" t="s">
        <v>1752</v>
      </c>
      <c r="H182" s="7" t="s">
        <v>2258</v>
      </c>
    </row>
    <row r="183" spans="1:8">
      <c r="A183" s="8" t="str">
        <f>Sheet1!C185</f>
        <v>NFR-MIG-005</v>
      </c>
      <c r="B183" s="9" t="str">
        <f>Sheet1!B185</f>
        <v>NFR-MIG 移行性</v>
      </c>
      <c r="C183" s="58" t="str">
        <f>Sheet1!E185</f>
        <v>新旧を並行稼働させて少しずつ移すか。並行期間をどれだけ取るか</v>
      </c>
      <c r="D183" s="12" t="str">
        <f>Sheet1!F185</f>
        <v>検討中</v>
      </c>
      <c r="E183" s="9" t="s">
        <v>2259</v>
      </c>
      <c r="F183" s="12" t="s">
        <v>2237</v>
      </c>
      <c r="G183" s="12" t="s">
        <v>1752</v>
      </c>
      <c r="H183" s="10" t="s">
        <v>2260</v>
      </c>
    </row>
  </sheetData>
  <autoFilter ref="A4:H183" xr:uid="{F6284182-FD2C-E145-9717-734327A3CD4B}"/>
  <phoneticPr fontId="2"/>
  <conditionalFormatting sqref="A5:H183">
    <cfRule type="expression" dxfId="4" priority="1">
      <formula>$G5="未対応"</formula>
    </cfRule>
  </conditionalFormatting>
  <conditionalFormatting sqref="A5:H183">
    <cfRule type="expression" dxfId="3" priority="2">
      <formula>$G5="単元未取込"</formula>
    </cfRule>
  </conditionalFormatting>
  <conditionalFormatting sqref="A5:H183">
    <cfRule type="expression" dxfId="2" priority="3">
      <formula>$G5="部分"</formula>
    </cfRule>
  </conditionalFormatting>
  <conditionalFormatting sqref="A5:H183">
    <cfRule type="expression" dxfId="1" priority="4">
      <formula>$G5="設計済"</formula>
    </cfRule>
  </conditionalFormatting>
  <conditionalFormatting sqref="A5:H183">
    <cfRule type="expression" dxfId="0" priority="5">
      <formula>$G5="対象外"</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4</vt:i4>
      </vt:variant>
    </vt:vector>
  </HeadingPairs>
  <TitlesOfParts>
    <vt:vector size="4" baseType="lpstr">
      <vt:lpstr>サマリー</vt:lpstr>
      <vt:lpstr>Sheet1</vt:lpstr>
      <vt:lpstr>設計決定一覧</vt:lpstr>
      <vt:lpstr>マッピング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2026-08-10T13:04:33Z</dcterms:modified>
</cp:coreProperties>
</file>