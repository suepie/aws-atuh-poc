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F87D5E5-B88A-794E-9645-318B0CA6E303}" xr6:coauthVersionLast="47" xr6:coauthVersionMax="47" xr10:uidLastSave="{00000000-0000-0000-0000-000000000000}"/>
  <bookViews>
    <workbookView xWindow="-2480" yWindow="-21600" windowWidth="38400" windowHeight="21600" firstSheet="5" activeTab="16"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進捗一覧!$A$3:$T$326</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B33" i="7" s="1"/>
  <c r="C27" i="7"/>
  <c r="D27" i="7"/>
  <c r="E27" i="7"/>
  <c r="F27" i="7"/>
  <c r="G27" i="7"/>
  <c r="B28" i="7"/>
  <c r="C28" i="7"/>
  <c r="D28" i="7"/>
  <c r="D33" i="7" s="1"/>
  <c r="E28" i="7"/>
  <c r="F28" i="7"/>
  <c r="G28" i="7"/>
  <c r="B29" i="7"/>
  <c r="C29" i="7"/>
  <c r="D29" i="7"/>
  <c r="E29" i="7"/>
  <c r="F29" i="7"/>
  <c r="F33" i="7" s="1"/>
  <c r="G29" i="7"/>
  <c r="B30" i="7"/>
  <c r="C30" i="7"/>
  <c r="C33" i="7" s="1"/>
  <c r="D30" i="7"/>
  <c r="E30" i="7"/>
  <c r="F30" i="7"/>
  <c r="G30" i="7"/>
  <c r="G33" i="7" s="1"/>
  <c r="B31" i="7"/>
  <c r="C31" i="7"/>
  <c r="D31" i="7"/>
  <c r="E31" i="7"/>
  <c r="F31" i="7"/>
  <c r="G31" i="7"/>
  <c r="B32" i="7"/>
  <c r="C32" i="7"/>
  <c r="D32" i="7"/>
  <c r="E32" i="7"/>
  <c r="F32" i="7"/>
  <c r="G32" i="7"/>
  <c r="E33" i="7"/>
  <c r="D38" i="7"/>
  <c r="B39" i="7"/>
  <c r="D39" i="7"/>
  <c r="B40" i="7"/>
  <c r="D40" i="7"/>
  <c r="B41" i="7"/>
  <c r="B42" i="7" s="1"/>
  <c r="D41" i="7"/>
  <c r="B7" i="2"/>
  <c r="C7" i="2"/>
  <c r="D7" i="2"/>
  <c r="E7" i="2"/>
  <c r="F7" i="2"/>
  <c r="G7" i="2"/>
  <c r="B8" i="2"/>
  <c r="C8" i="2"/>
  <c r="D8" i="2"/>
  <c r="E8" i="2"/>
  <c r="F8" i="2"/>
  <c r="G8" i="2"/>
  <c r="B9" i="2"/>
  <c r="C9" i="2"/>
  <c r="D9" i="2"/>
  <c r="E9" i="2"/>
  <c r="F9" i="2"/>
  <c r="G9" i="2"/>
  <c r="B10" i="2"/>
  <c r="C10" i="2"/>
  <c r="D10" i="2"/>
  <c r="D13" i="2" s="1"/>
  <c r="E10" i="2"/>
  <c r="F10" i="2"/>
  <c r="G10" i="2"/>
  <c r="B11" i="2"/>
  <c r="C11" i="2"/>
  <c r="C13" i="2" s="1"/>
  <c r="D11" i="2"/>
  <c r="E11" i="2"/>
  <c r="F11" i="2"/>
  <c r="F13" i="2" s="1"/>
  <c r="G11" i="2"/>
  <c r="B12" i="2"/>
  <c r="C12" i="2"/>
  <c r="D12" i="2"/>
  <c r="E12" i="2"/>
  <c r="E13" i="2" s="1"/>
  <c r="F12" i="2"/>
  <c r="G12" i="2"/>
  <c r="G13" i="2" s="1"/>
  <c r="B13" i="2"/>
  <c r="H13" i="2" s="1"/>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62" i="2" s="1"/>
  <c r="B59" i="2"/>
  <c r="C59" i="2" s="1"/>
  <c r="B60" i="2"/>
  <c r="B61" i="2"/>
  <c r="B67" i="2"/>
  <c r="B68" i="2"/>
  <c r="B69" i="2"/>
  <c r="B70" i="2"/>
  <c r="B73" i="2" s="1"/>
  <c r="B71" i="2"/>
  <c r="B72" i="2"/>
  <c r="C72" i="2" s="1"/>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43" i="7" l="1"/>
  <c r="B43" i="7"/>
  <c r="C57" i="2"/>
  <c r="C61" i="2"/>
  <c r="C62" i="2"/>
  <c r="E62" i="2"/>
  <c r="C69" i="2"/>
  <c r="C73" i="2"/>
  <c r="C67" i="2"/>
  <c r="C71" i="2"/>
  <c r="C68" i="2"/>
  <c r="E73" i="2"/>
  <c r="C70" i="2"/>
  <c r="C60" i="2"/>
  <c r="C58" i="2"/>
  <c r="F29" i="14"/>
  <c r="D35" i="14" s="1"/>
  <c r="D30" i="14"/>
  <c r="B36" i="14" s="1"/>
  <c r="A41" i="14" s="1"/>
  <c r="A40" i="14"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H13" i="6" l="1"/>
  <c r="I13" i="6" s="1"/>
  <c r="L60" i="12"/>
  <c r="D74" i="12" s="1"/>
  <c r="D75" i="12" s="1"/>
  <c r="D79" i="12" s="1"/>
  <c r="K60" i="12"/>
  <c r="C74" i="12" s="1"/>
  <c r="C76" i="12" s="1"/>
  <c r="C77" i="12" s="1"/>
  <c r="C78" i="12" s="1"/>
  <c r="J60" i="12"/>
  <c r="B74" i="12" s="1"/>
  <c r="B75" i="12" s="1"/>
  <c r="B79" i="12" s="1"/>
  <c r="D65" i="12"/>
  <c r="C70" i="12"/>
  <c r="E64" i="12"/>
  <c r="E70" i="12" s="1"/>
  <c r="D64" i="12"/>
  <c r="S25" i="8"/>
  <c r="S26" i="8" s="1"/>
  <c r="U26" i="8" s="1"/>
  <c r="D60" i="10"/>
  <c r="C75" i="12" l="1"/>
  <c r="C79" i="12" s="1"/>
  <c r="B76" i="12"/>
  <c r="B77" i="12" s="1"/>
  <c r="B78" i="12" s="1"/>
  <c r="D76" i="12"/>
  <c r="D77" i="12" s="1"/>
  <c r="D78" i="12" s="1"/>
  <c r="D70" i="12"/>
</calcChain>
</file>

<file path=xl/sharedStrings.xml><?xml version="1.0" encoding="utf-8"?>
<sst xmlns="http://schemas.openxmlformats.org/spreadsheetml/2006/main" count="11907" uniqueCount="5619">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</sst>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0" formatCode="0.0"/>
    <numFmt numFmtId="181" formatCode="#,##0.0"/>
    <numFmt numFmtId="186" formatCode="#,##0.0000"/>
    <numFmt numFmtId="187" formatCode="#,##0.###"/>
    <numFmt numFmtId="188" formatCode="\¥#,##0"/>
    <numFmt numFmtId="189" formatCode="\¥#,##0.00"/>
    <numFmt numFmtId="190" formatCode="0.00000000"/>
  </numFmts>
  <fonts count="6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9C0006"/>
        <bgColor indexed="64"/>
      </patternFill>
    </fill>
  </fills>
  <borders count="2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32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3"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30"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30" fillId="0" borderId="0" xfId="0" applyFont="1" applyFill="1" applyBorder="1">
      <alignment vertical="center"/>
    </xf>
    <xf numFmtId="176" fontId="20" fillId="0" borderId="4" xfId="0" applyNumberFormat="1" applyFont="1" applyBorder="1" applyAlignment="1">
      <alignment horizontal="center" vertical="center"/>
    </xf>
    <xf numFmtId="0" fontId="31"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34" fillId="0" borderId="17" xfId="0" applyFont="1" applyBorder="1" applyAlignment="1">
      <alignment vertical="top" wrapText="1"/>
    </xf>
    <xf numFmtId="0" fontId="28" fillId="2" borderId="14"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0" fontId="29" fillId="2" borderId="0" xfId="0" applyFont="1" applyFill="1">
      <alignment vertical="center"/>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40"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3"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4"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4"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7"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20" fillId="0" borderId="4" xfId="0" applyFont="1" applyBorder="1" applyAlignment="1">
      <alignment horizontal="left" vertical="top" wrapText="1"/>
    </xf>
    <xf numFmtId="0" fontId="20" fillId="7" borderId="4" xfId="0" applyFont="1" applyFill="1" applyBorder="1" applyAlignment="1">
      <alignment vertical="top"/>
    </xf>
    <xf numFmtId="0" fontId="20" fillId="7"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4" borderId="0" xfId="0" applyFill="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5" xfId="0" applyFont="1" applyBorder="1" applyAlignment="1">
      <alignment horizontal="center" vertical="top"/>
    </xf>
    <xf numFmtId="0" fontId="20"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20" fillId="7" borderId="4" xfId="0" applyFont="1" applyFill="1" applyBorder="1" applyAlignment="1">
      <alignment vertical="top" wrapText="1"/>
    </xf>
    <xf numFmtId="0" fontId="62"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6" fillId="0" borderId="0" xfId="0" applyFont="1" applyAlignment="1">
      <alignment horizontal="left" vertical="center"/>
    </xf>
    <xf numFmtId="0" fontId="4" fillId="4" borderId="7" xfId="0" applyFont="1" applyFill="1" applyBorder="1" applyAlignment="1">
      <alignment vertical="top"/>
    </xf>
    <xf numFmtId="0" fontId="20"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20"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8" borderId="11" xfId="0" applyFont="1" applyFill="1" applyBorder="1" applyAlignment="1">
      <alignment horizontal="center" vertical="top"/>
    </xf>
    <xf numFmtId="0" fontId="19" fillId="8" borderId="11" xfId="0" applyFont="1" applyFill="1" applyBorder="1" applyAlignment="1">
      <alignment horizontal="center" vertical="center"/>
    </xf>
    <xf numFmtId="0" fontId="6" fillId="2" borderId="18" xfId="0" applyFont="1" applyFill="1" applyBorder="1" applyAlignment="1">
      <alignment horizontal="center" vertical="top"/>
    </xf>
    <xf numFmtId="0" fontId="63" fillId="0" borderId="0" xfId="0" applyFont="1">
      <alignment vertical="center"/>
    </xf>
    <xf numFmtId="4" fontId="15" fillId="0" borderId="0" xfId="0" applyNumberFormat="1" applyFont="1">
      <alignment vertical="center"/>
    </xf>
    <xf numFmtId="188" fontId="15"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20" fillId="0" borderId="23" xfId="0" applyFont="1" applyBorder="1">
      <alignment vertical="center"/>
    </xf>
    <xf numFmtId="0" fontId="20" fillId="0" borderId="17" xfId="0" applyFont="1" applyBorder="1">
      <alignment vertical="center"/>
    </xf>
    <xf numFmtId="3" fontId="20" fillId="0" borderId="17" xfId="0" applyNumberFormat="1" applyFont="1" applyBorder="1">
      <alignment vertical="center"/>
    </xf>
    <xf numFmtId="190" fontId="20" fillId="0" borderId="17" xfId="0" applyNumberFormat="1" applyFont="1" applyBorder="1">
      <alignment vertical="center"/>
    </xf>
    <xf numFmtId="4" fontId="20" fillId="0" borderId="17" xfId="0" applyNumberFormat="1" applyFont="1" applyBorder="1">
      <alignment vertical="center"/>
    </xf>
    <xf numFmtId="0" fontId="20" fillId="0" borderId="17" xfId="0" applyFont="1" applyBorder="1" applyAlignment="1">
      <alignment horizontal="center" vertical="center"/>
    </xf>
    <xf numFmtId="0" fontId="20" fillId="0" borderId="13" xfId="0" applyFont="1" applyBorder="1" applyAlignment="1">
      <alignment horizontal="center" vertical="center"/>
    </xf>
    <xf numFmtId="0" fontId="20" fillId="0" borderId="24" xfId="0" applyFont="1" applyBorder="1">
      <alignment vertical="center"/>
    </xf>
    <xf numFmtId="0" fontId="20" fillId="0" borderId="25" xfId="0" applyFont="1" applyBorder="1">
      <alignment vertical="center"/>
    </xf>
    <xf numFmtId="3" fontId="20" fillId="0" borderId="25" xfId="0" applyNumberFormat="1" applyFont="1" applyBorder="1">
      <alignment vertical="center"/>
    </xf>
    <xf numFmtId="190" fontId="20" fillId="0" borderId="25" xfId="0" applyNumberFormat="1" applyFont="1" applyBorder="1">
      <alignment vertical="center"/>
    </xf>
    <xf numFmtId="4" fontId="20" fillId="0" borderId="25" xfId="0" applyNumberFormat="1" applyFont="1" applyBorder="1">
      <alignment vertical="center"/>
    </xf>
    <xf numFmtId="0" fontId="20" fillId="0" borderId="25" xfId="0" applyFont="1" applyBorder="1" applyAlignment="1">
      <alignment horizontal="center" vertical="center"/>
    </xf>
    <xf numFmtId="0" fontId="20" fillId="0" borderId="19" xfId="0" applyFont="1" applyBorder="1" applyAlignment="1">
      <alignment horizontal="center" vertical="center"/>
    </xf>
    <xf numFmtId="0" fontId="16" fillId="0" borderId="0" xfId="0" applyFont="1" applyFill="1" applyBorder="1">
      <alignment vertical="center"/>
    </xf>
    <xf numFmtId="0" fontId="20"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6"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1"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8"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5" fillId="3" borderId="4" xfId="0" applyNumberFormat="1" applyFont="1" applyFill="1" applyBorder="1" applyAlignment="1">
      <alignment horizontal="center" vertical="top"/>
    </xf>
    <xf numFmtId="0" fontId="56" fillId="3" borderId="5" xfId="0" applyFont="1" applyFill="1" applyBorder="1" applyAlignment="1">
      <alignment vertical="top"/>
    </xf>
    <xf numFmtId="0" fontId="4" fillId="4" borderId="3" xfId="0" applyFont="1" applyFill="1" applyBorder="1" applyAlignment="1">
      <alignment vertical="top"/>
    </xf>
    <xf numFmtId="49" fontId="55" fillId="4" borderId="4" xfId="0" applyNumberFormat="1" applyFont="1" applyFill="1" applyBorder="1" applyAlignment="1">
      <alignment horizontal="center" vertical="top"/>
    </xf>
    <xf numFmtId="0" fontId="56" fillId="4" borderId="5" xfId="0" applyFont="1" applyFill="1" applyBorder="1" applyAlignment="1">
      <alignment vertical="top"/>
    </xf>
    <xf numFmtId="0" fontId="64"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5" borderId="21" xfId="0" applyFont="1" applyFill="1" applyBorder="1">
      <alignment vertical="center"/>
    </xf>
    <xf numFmtId="0" fontId="29" fillId="9" borderId="21" xfId="0" applyFont="1" applyFill="1" applyBorder="1">
      <alignment vertical="center"/>
    </xf>
    <xf numFmtId="0" fontId="29" fillId="9" borderId="22" xfId="0" applyFont="1" applyFill="1" applyBorder="1">
      <alignment vertical="center"/>
    </xf>
    <xf numFmtId="0" fontId="20" fillId="0" borderId="17" xfId="0" applyFont="1" applyBorder="1" applyAlignment="1">
      <alignment vertical="top" wrapText="1"/>
    </xf>
    <xf numFmtId="0" fontId="20" fillId="0" borderId="17" xfId="0" applyFont="1" applyBorder="1" applyAlignment="1">
      <alignment horizontal="center" vertical="top" wrapText="1"/>
    </xf>
    <xf numFmtId="0" fontId="20" fillId="0" borderId="13" xfId="0" applyFont="1" applyBorder="1" applyAlignment="1">
      <alignment vertical="top" wrapText="1"/>
    </xf>
    <xf numFmtId="0" fontId="20" fillId="0" borderId="25" xfId="0" applyFont="1" applyBorder="1" applyAlignment="1">
      <alignment vertical="top" wrapText="1"/>
    </xf>
    <xf numFmtId="0" fontId="20" fillId="0" borderId="25" xfId="0" applyFont="1" applyBorder="1" applyAlignment="1">
      <alignment horizontal="center" vertical="top" wrapText="1"/>
    </xf>
    <xf numFmtId="0" fontId="20"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20" fillId="0" borderId="23" xfId="0" applyFont="1" applyBorder="1" applyAlignment="1">
      <alignment horizontal="center" vertical="top" wrapText="1"/>
    </xf>
    <xf numFmtId="0" fontId="20" fillId="0" borderId="24" xfId="0" applyFont="1" applyBorder="1" applyAlignment="1">
      <alignment horizontal="center" vertical="top" wrapText="1"/>
    </xf>
    <xf numFmtId="0" fontId="33" fillId="0" borderId="23" xfId="0" applyFont="1" applyBorder="1" applyAlignment="1">
      <alignment vertical="top" wrapText="1"/>
    </xf>
    <xf numFmtId="0" fontId="29" fillId="10" borderId="22" xfId="0" applyFont="1" applyFill="1" applyBorder="1">
      <alignment vertical="center"/>
    </xf>
  </cellXfs>
  <cellStyles count="1">
    <cellStyle name="標準" xfId="0" builtinId="0"/>
  </cellStyles>
  <dxfs count="82">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3397</v>
      </c>
    </row>
    <row r="2" spans="1:4">
      <c r="A2" s="49" t="s">
        <v>3398</v>
      </c>
    </row>
    <row r="4" spans="1:4" ht="24" customHeight="1">
      <c r="A4" s="111" t="s">
        <v>3399</v>
      </c>
      <c r="B4" s="112" t="s">
        <v>3400</v>
      </c>
      <c r="C4" s="112" t="s">
        <v>3401</v>
      </c>
      <c r="D4" s="113" t="s">
        <v>3402</v>
      </c>
    </row>
    <row r="5" spans="1:4" ht="300" customHeight="1">
      <c r="A5" s="114" t="s">
        <v>3393</v>
      </c>
      <c r="B5" s="221">
        <v>57</v>
      </c>
      <c r="C5" s="52" t="s">
        <v>3403</v>
      </c>
      <c r="D5" s="223" t="s">
        <v>3407</v>
      </c>
    </row>
    <row r="6" spans="1:4" ht="300" customHeight="1">
      <c r="A6" s="114" t="s">
        <v>3392</v>
      </c>
      <c r="B6" s="221">
        <v>45</v>
      </c>
      <c r="C6" s="52" t="s">
        <v>3404</v>
      </c>
      <c r="D6" s="223" t="s">
        <v>3409</v>
      </c>
    </row>
    <row r="7" spans="1:4" ht="300" customHeight="1">
      <c r="A7" s="115" t="s">
        <v>3405</v>
      </c>
      <c r="B7" s="222">
        <v>130</v>
      </c>
      <c r="C7" s="53" t="s">
        <v>3406</v>
      </c>
      <c r="D7" s="224" t="s">
        <v>3408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3410</v>
      </c>
    </row>
    <row r="2" spans="1:6">
      <c r="A2" s="3" t="s">
        <v>3411</v>
      </c>
    </row>
    <row r="3" spans="1:6">
      <c r="A3" s="54" t="s">
        <v>3412</v>
      </c>
    </row>
    <row r="5" spans="1:6">
      <c r="A5" s="4" t="s">
        <v>3413</v>
      </c>
    </row>
    <row r="6" spans="1:6">
      <c r="A6" s="20" t="s">
        <v>3414</v>
      </c>
      <c r="B6" s="21" t="s">
        <v>3415</v>
      </c>
      <c r="C6" s="21" t="s">
        <v>3416</v>
      </c>
      <c r="D6" s="22" t="s">
        <v>3417</v>
      </c>
    </row>
    <row r="7" spans="1:6">
      <c r="A7" s="23" t="s">
        <v>3418</v>
      </c>
      <c r="B7" s="242" t="s">
        <v>3419</v>
      </c>
      <c r="C7" s="24" t="s">
        <v>2312</v>
      </c>
      <c r="D7" s="29" t="s">
        <v>3420</v>
      </c>
    </row>
    <row r="8" spans="1:6">
      <c r="A8" s="23" t="s">
        <v>3421</v>
      </c>
      <c r="B8" s="242">
        <v>730</v>
      </c>
      <c r="C8" s="24" t="s">
        <v>3422</v>
      </c>
      <c r="D8" s="29" t="s">
        <v>3423</v>
      </c>
    </row>
    <row r="9" spans="1:6">
      <c r="A9" s="23" t="s">
        <v>3424</v>
      </c>
      <c r="B9" s="242">
        <v>150</v>
      </c>
      <c r="C9" s="24" t="s">
        <v>3425</v>
      </c>
      <c r="D9" s="29" t="s">
        <v>3426</v>
      </c>
    </row>
    <row r="10" spans="1:6">
      <c r="A10" s="23" t="s">
        <v>3427</v>
      </c>
      <c r="B10" s="242">
        <v>1000000</v>
      </c>
      <c r="C10" s="24" t="s">
        <v>3428</v>
      </c>
      <c r="D10" s="29" t="s">
        <v>3429</v>
      </c>
    </row>
    <row r="11" spans="1:6">
      <c r="A11" s="23" t="s">
        <v>3430</v>
      </c>
      <c r="B11" s="242">
        <v>5000000</v>
      </c>
      <c r="C11" s="24" t="s">
        <v>3428</v>
      </c>
      <c r="D11" s="29" t="s">
        <v>3431</v>
      </c>
    </row>
    <row r="12" spans="1:6">
      <c r="A12" s="27" t="s">
        <v>3432</v>
      </c>
      <c r="B12" s="243">
        <v>10000000</v>
      </c>
      <c r="C12" s="28" t="s">
        <v>3428</v>
      </c>
      <c r="D12" s="30" t="s">
        <v>3433</v>
      </c>
    </row>
    <row r="14" spans="1:6">
      <c r="A14" s="4" t="s">
        <v>3434</v>
      </c>
    </row>
    <row r="15" spans="1:6">
      <c r="A15" s="197" t="s">
        <v>1</v>
      </c>
      <c r="B15" s="198" t="s">
        <v>3414</v>
      </c>
      <c r="C15" s="198" t="s">
        <v>3435</v>
      </c>
      <c r="D15" s="198" t="s">
        <v>3416</v>
      </c>
      <c r="E15" s="198" t="s">
        <v>11</v>
      </c>
      <c r="F15" s="199" t="s">
        <v>728</v>
      </c>
    </row>
    <row r="16" spans="1:6">
      <c r="A16" s="23" t="s">
        <v>3354</v>
      </c>
      <c r="B16" s="24" t="s">
        <v>3436</v>
      </c>
      <c r="C16" s="244">
        <v>0.25</v>
      </c>
      <c r="D16" s="24" t="s">
        <v>3437</v>
      </c>
      <c r="E16" s="24" t="s">
        <v>3438</v>
      </c>
      <c r="F16" s="29" t="s">
        <v>3439</v>
      </c>
    </row>
    <row r="17" spans="1:14">
      <c r="A17" s="23" t="s">
        <v>3354</v>
      </c>
      <c r="B17" s="24" t="s">
        <v>3440</v>
      </c>
      <c r="C17" s="244">
        <v>0.17100000000000001</v>
      </c>
      <c r="D17" s="24" t="s">
        <v>3441</v>
      </c>
      <c r="E17" s="24" t="s">
        <v>3438</v>
      </c>
      <c r="F17" s="29" t="s">
        <v>3439</v>
      </c>
    </row>
    <row r="18" spans="1:14">
      <c r="A18" s="23" t="s">
        <v>3354</v>
      </c>
      <c r="B18" s="24" t="s">
        <v>3442</v>
      </c>
      <c r="C18" s="244">
        <v>1500</v>
      </c>
      <c r="D18" s="24" t="s">
        <v>3443</v>
      </c>
      <c r="E18" s="24" t="s">
        <v>3438</v>
      </c>
      <c r="F18" s="29" t="s">
        <v>3439</v>
      </c>
    </row>
    <row r="19" spans="1:14">
      <c r="A19" s="23" t="s">
        <v>3354</v>
      </c>
      <c r="B19" s="24" t="s">
        <v>3444</v>
      </c>
      <c r="C19" s="244">
        <v>1000</v>
      </c>
      <c r="D19" s="24" t="s">
        <v>3443</v>
      </c>
      <c r="E19" s="24" t="s">
        <v>3438</v>
      </c>
      <c r="F19" s="29" t="s">
        <v>3439</v>
      </c>
    </row>
    <row r="20" spans="1:14">
      <c r="A20" s="27" t="s">
        <v>3354</v>
      </c>
      <c r="B20" s="28" t="s">
        <v>3445</v>
      </c>
      <c r="C20" s="245">
        <v>667</v>
      </c>
      <c r="D20" s="28" t="s">
        <v>3443</v>
      </c>
      <c r="E20" s="28" t="s">
        <v>3438</v>
      </c>
      <c r="F20" s="30" t="s">
        <v>3439</v>
      </c>
    </row>
    <row r="21" spans="1:14">
      <c r="A21" s="126" t="s">
        <v>3446</v>
      </c>
    </row>
    <row r="23" spans="1:14">
      <c r="A23" s="4" t="s">
        <v>3447</v>
      </c>
    </row>
    <row r="24" spans="1:14" ht="30" customHeight="1">
      <c r="A24" s="9" t="s">
        <v>1</v>
      </c>
      <c r="B24" s="10" t="s">
        <v>3448</v>
      </c>
      <c r="C24" s="10" t="s">
        <v>3449</v>
      </c>
      <c r="D24" s="10" t="s">
        <v>3450</v>
      </c>
      <c r="E24" s="10" t="s">
        <v>3451</v>
      </c>
      <c r="F24" s="10" t="s">
        <v>3452</v>
      </c>
      <c r="G24" s="10" t="s">
        <v>3453</v>
      </c>
      <c r="H24" s="10" t="s">
        <v>3416</v>
      </c>
      <c r="I24" s="10" t="s">
        <v>3454</v>
      </c>
      <c r="J24" s="10" t="s">
        <v>3455</v>
      </c>
      <c r="K24" s="10" t="s">
        <v>3456</v>
      </c>
      <c r="L24" s="10" t="s">
        <v>3457</v>
      </c>
      <c r="M24" s="11" t="s">
        <v>3458</v>
      </c>
      <c r="N24" s="270" t="s">
        <v>3417</v>
      </c>
    </row>
    <row r="25" spans="1:14">
      <c r="A25" s="231" t="s">
        <v>3459</v>
      </c>
      <c r="B25" s="6" t="s">
        <v>3460</v>
      </c>
      <c r="C25" s="194" t="s">
        <v>3461</v>
      </c>
      <c r="D25" s="194" t="s">
        <v>3462</v>
      </c>
      <c r="E25" s="226">
        <v>2190</v>
      </c>
      <c r="F25" s="226">
        <v>4380</v>
      </c>
      <c r="G25" s="226">
        <v>6570</v>
      </c>
      <c r="H25" s="12" t="s">
        <v>3463</v>
      </c>
      <c r="I25" s="228">
        <v>0.18190000000000001</v>
      </c>
      <c r="J25" s="229">
        <f>E25*$I25</f>
        <v>398.36099999999999</v>
      </c>
      <c r="K25" s="229">
        <f>F25*$I25</f>
        <v>796.72199999999998</v>
      </c>
      <c r="L25" s="229">
        <f>G25*$I25</f>
        <v>1195.0830000000001</v>
      </c>
      <c r="M25" s="14" t="s">
        <v>5035</v>
      </c>
      <c r="N25" t="s">
        <v>5036</v>
      </c>
    </row>
    <row r="26" spans="1:14">
      <c r="A26" s="231" t="s">
        <v>3459</v>
      </c>
      <c r="B26" s="6" t="s">
        <v>3464</v>
      </c>
      <c r="C26" s="194" t="s">
        <v>3465</v>
      </c>
      <c r="D26" s="194" t="s">
        <v>3466</v>
      </c>
      <c r="E26" s="226">
        <v>2190</v>
      </c>
      <c r="F26" s="226">
        <v>6570</v>
      </c>
      <c r="G26" s="226">
        <v>13140</v>
      </c>
      <c r="H26" s="12" t="s">
        <v>3463</v>
      </c>
      <c r="I26" s="228">
        <v>0.18190000000000001</v>
      </c>
      <c r="J26" s="229">
        <f>E26*$I26</f>
        <v>398.36099999999999</v>
      </c>
      <c r="K26" s="229">
        <f>F26*$I26</f>
        <v>1195.0830000000001</v>
      </c>
      <c r="L26" s="229">
        <f>G26*$I26</f>
        <v>2390.1660000000002</v>
      </c>
      <c r="M26" s="14" t="s">
        <v>5035</v>
      </c>
      <c r="N26" t="s">
        <v>5036</v>
      </c>
    </row>
    <row r="27" spans="1:14">
      <c r="A27" s="231" t="s">
        <v>3459</v>
      </c>
      <c r="B27" s="6" t="s">
        <v>3467</v>
      </c>
      <c r="C27" s="194" t="s">
        <v>3468</v>
      </c>
      <c r="D27" s="194" t="s">
        <v>3469</v>
      </c>
      <c r="E27" s="226">
        <v>4380</v>
      </c>
      <c r="F27" s="226">
        <v>4380</v>
      </c>
      <c r="G27" s="226">
        <v>4380</v>
      </c>
      <c r="H27" s="12" t="s">
        <v>3463</v>
      </c>
      <c r="I27" s="228">
        <v>9.0999999999999998E-2</v>
      </c>
      <c r="J27" s="229">
        <f>E27*$I27</f>
        <v>398.58</v>
      </c>
      <c r="K27" s="229">
        <f>F27*$I27</f>
        <v>398.58</v>
      </c>
      <c r="L27" s="229">
        <f>G27*$I27</f>
        <v>398.58</v>
      </c>
      <c r="M27" s="14" t="s">
        <v>5035</v>
      </c>
      <c r="N27" t="s">
        <v>5037</v>
      </c>
    </row>
    <row r="28" spans="1:14">
      <c r="A28" s="231" t="s">
        <v>3459</v>
      </c>
      <c r="B28" s="6" t="s">
        <v>3470</v>
      </c>
      <c r="C28" s="194" t="s">
        <v>3471</v>
      </c>
      <c r="D28" s="194" t="s">
        <v>3472</v>
      </c>
      <c r="E28" s="226">
        <v>1460</v>
      </c>
      <c r="F28" s="226">
        <v>1460</v>
      </c>
      <c r="G28" s="226">
        <v>1460</v>
      </c>
      <c r="H28" s="12" t="s">
        <v>3473</v>
      </c>
      <c r="I28" s="228">
        <v>0.25</v>
      </c>
      <c r="J28" s="229">
        <f>E28*$I28</f>
        <v>365</v>
      </c>
      <c r="K28" s="229">
        <f>F28*$I28</f>
        <v>365</v>
      </c>
      <c r="L28" s="229">
        <f>G28*$I28</f>
        <v>365</v>
      </c>
      <c r="M28" s="14" t="s">
        <v>5038</v>
      </c>
      <c r="N28" t="s">
        <v>5039</v>
      </c>
    </row>
    <row r="29" spans="1:14">
      <c r="A29" s="231" t="s">
        <v>3459</v>
      </c>
      <c r="B29" s="6" t="s">
        <v>3474</v>
      </c>
      <c r="C29" s="194" t="s">
        <v>3475</v>
      </c>
      <c r="D29" s="194" t="s">
        <v>3476</v>
      </c>
      <c r="E29" s="226">
        <v>1642</v>
      </c>
      <c r="F29" s="226">
        <v>3103</v>
      </c>
      <c r="G29" s="226">
        <v>5658</v>
      </c>
      <c r="H29" s="12" t="s">
        <v>3477</v>
      </c>
      <c r="I29" s="228">
        <v>0.17100000000000001</v>
      </c>
      <c r="J29" s="229">
        <f>E29*$I29</f>
        <v>280.78200000000004</v>
      </c>
      <c r="K29" s="229">
        <f>F29*$I29</f>
        <v>530.61300000000006</v>
      </c>
      <c r="L29" s="229">
        <f>G29*$I29</f>
        <v>967.51800000000003</v>
      </c>
      <c r="M29" s="14" t="s">
        <v>5038</v>
      </c>
      <c r="N29" t="s">
        <v>5039</v>
      </c>
    </row>
    <row r="30" spans="1:14">
      <c r="A30" s="293" t="s">
        <v>3459</v>
      </c>
      <c r="B30" s="294" t="s">
        <v>3478</v>
      </c>
      <c r="C30" s="295" t="s">
        <v>3479</v>
      </c>
      <c r="D30" s="295" t="s">
        <v>5237</v>
      </c>
      <c r="E30" s="296">
        <v>1320</v>
      </c>
      <c r="F30" s="296">
        <v>2400</v>
      </c>
      <c r="G30" s="296">
        <v>3840</v>
      </c>
      <c r="H30" s="297" t="s">
        <v>3480</v>
      </c>
      <c r="I30" s="298">
        <v>9.6000000000000002E-2</v>
      </c>
      <c r="J30" s="299">
        <f>E30*$I30</f>
        <v>126.72</v>
      </c>
      <c r="K30" s="299">
        <f>F30*$I30</f>
        <v>230.4</v>
      </c>
      <c r="L30" s="299">
        <f>G30*$I30</f>
        <v>368.64</v>
      </c>
      <c r="M30" s="300" t="s">
        <v>5040</v>
      </c>
      <c r="N30" s="246" t="s">
        <v>5238</v>
      </c>
    </row>
    <row r="31" spans="1:14">
      <c r="A31" s="231" t="s">
        <v>3481</v>
      </c>
      <c r="B31" s="6" t="s">
        <v>3482</v>
      </c>
      <c r="C31" s="194" t="s">
        <v>3483</v>
      </c>
      <c r="D31" s="194" t="s">
        <v>3484</v>
      </c>
      <c r="E31" s="226">
        <v>2190</v>
      </c>
      <c r="F31" s="226">
        <v>2190</v>
      </c>
      <c r="G31" s="226">
        <v>2190</v>
      </c>
      <c r="H31" s="12" t="s">
        <v>3463</v>
      </c>
      <c r="I31" s="228">
        <v>0.66500000000000004</v>
      </c>
      <c r="J31" s="229">
        <f>E31*$I31</f>
        <v>1456.3500000000001</v>
      </c>
      <c r="K31" s="229">
        <f>F31*$I31</f>
        <v>1456.3500000000001</v>
      </c>
      <c r="L31" s="229">
        <f>G31*$I31</f>
        <v>1456.3500000000001</v>
      </c>
      <c r="M31" s="14" t="s">
        <v>5041</v>
      </c>
      <c r="N31" t="s">
        <v>5042</v>
      </c>
    </row>
    <row r="32" spans="1:14">
      <c r="A32" s="231" t="s">
        <v>3481</v>
      </c>
      <c r="B32" s="6" t="s">
        <v>3485</v>
      </c>
      <c r="C32" s="194" t="s">
        <v>3486</v>
      </c>
      <c r="D32" s="194" t="s">
        <v>3484</v>
      </c>
      <c r="E32" s="226">
        <v>2190</v>
      </c>
      <c r="F32" s="226">
        <v>2190</v>
      </c>
      <c r="G32" s="226">
        <v>2190</v>
      </c>
      <c r="H32" s="12" t="s">
        <v>3463</v>
      </c>
      <c r="I32" s="228">
        <v>0.66500000000000004</v>
      </c>
      <c r="J32" s="229">
        <f>E32*$I32</f>
        <v>1456.3500000000001</v>
      </c>
      <c r="K32" s="229">
        <f>F32*$I32</f>
        <v>1456.3500000000001</v>
      </c>
      <c r="L32" s="229">
        <f>G32*$I32</f>
        <v>1456.3500000000001</v>
      </c>
      <c r="M32" s="14" t="s">
        <v>5041</v>
      </c>
      <c r="N32" t="s">
        <v>5042</v>
      </c>
    </row>
    <row r="33" spans="1:14">
      <c r="A33" s="231" t="s">
        <v>3481</v>
      </c>
      <c r="B33" s="6" t="s">
        <v>3487</v>
      </c>
      <c r="C33" s="194" t="s">
        <v>3488</v>
      </c>
      <c r="D33" s="194" t="s">
        <v>3489</v>
      </c>
      <c r="E33" s="226">
        <v>200</v>
      </c>
      <c r="F33" s="226">
        <v>1000</v>
      </c>
      <c r="G33" s="226">
        <v>2000</v>
      </c>
      <c r="H33" s="12" t="s">
        <v>3480</v>
      </c>
      <c r="I33" s="228">
        <v>0.12</v>
      </c>
      <c r="J33" s="229">
        <f>E33*$I33</f>
        <v>24</v>
      </c>
      <c r="K33" s="229">
        <f>F33*$I33</f>
        <v>120</v>
      </c>
      <c r="L33" s="229">
        <f>G33*$I33</f>
        <v>240</v>
      </c>
      <c r="M33" s="14" t="s">
        <v>5041</v>
      </c>
      <c r="N33" t="s">
        <v>5043</v>
      </c>
    </row>
    <row r="34" spans="1:14">
      <c r="A34" s="293" t="s">
        <v>3481</v>
      </c>
      <c r="B34" s="294" t="s">
        <v>3490</v>
      </c>
      <c r="C34" s="295" t="s">
        <v>3491</v>
      </c>
      <c r="D34" s="295" t="s">
        <v>3492</v>
      </c>
      <c r="E34" s="296">
        <v>50000000</v>
      </c>
      <c r="F34" s="296">
        <v>250000000</v>
      </c>
      <c r="G34" s="296">
        <v>500000000</v>
      </c>
      <c r="H34" s="297" t="s">
        <v>5044</v>
      </c>
      <c r="I34" s="298">
        <v>2.3999999999999998E-7</v>
      </c>
      <c r="J34" s="299">
        <f>E34*$I34</f>
        <v>11.999999999999998</v>
      </c>
      <c r="K34" s="299">
        <f>F34*$I34</f>
        <v>59.999999999999993</v>
      </c>
      <c r="L34" s="299">
        <f>G34*$I34</f>
        <v>119.99999999999999</v>
      </c>
      <c r="M34" s="300" t="s">
        <v>5041</v>
      </c>
      <c r="N34" s="246" t="s">
        <v>5045</v>
      </c>
    </row>
    <row r="35" spans="1:14">
      <c r="A35" s="231" t="s">
        <v>3481</v>
      </c>
      <c r="B35" s="6" t="s">
        <v>3494</v>
      </c>
      <c r="C35" s="194" t="s">
        <v>3495</v>
      </c>
      <c r="D35" s="194" t="s">
        <v>3496</v>
      </c>
      <c r="E35" s="226">
        <v>400</v>
      </c>
      <c r="F35" s="226">
        <v>2000</v>
      </c>
      <c r="G35" s="226">
        <v>4000</v>
      </c>
      <c r="H35" s="12" t="s">
        <v>3480</v>
      </c>
      <c r="I35" s="228">
        <v>2.3E-2</v>
      </c>
      <c r="J35" s="229">
        <f>E35*$I35</f>
        <v>9.1999999999999993</v>
      </c>
      <c r="K35" s="229">
        <f>F35*$I35</f>
        <v>46</v>
      </c>
      <c r="L35" s="229">
        <f>G35*$I35</f>
        <v>92</v>
      </c>
      <c r="M35" s="14" t="s">
        <v>5041</v>
      </c>
    </row>
    <row r="36" spans="1:14">
      <c r="A36" s="231" t="s">
        <v>3481</v>
      </c>
      <c r="B36" s="6" t="s">
        <v>3497</v>
      </c>
      <c r="C36" s="194" t="s">
        <v>3498</v>
      </c>
      <c r="D36" s="194" t="s">
        <v>3499</v>
      </c>
      <c r="E36" s="226">
        <v>200</v>
      </c>
      <c r="F36" s="226">
        <v>1000</v>
      </c>
      <c r="G36" s="226">
        <v>2000</v>
      </c>
      <c r="H36" s="12" t="s">
        <v>3480</v>
      </c>
      <c r="I36" s="228">
        <v>0.12</v>
      </c>
      <c r="J36" s="229">
        <f>E36*$I36</f>
        <v>24</v>
      </c>
      <c r="K36" s="229">
        <f>F36*$I36</f>
        <v>120</v>
      </c>
      <c r="L36" s="229">
        <f>G36*$I36</f>
        <v>240</v>
      </c>
      <c r="M36" s="14" t="s">
        <v>5041</v>
      </c>
      <c r="N36" t="s">
        <v>5046</v>
      </c>
    </row>
    <row r="37" spans="1:14">
      <c r="A37" s="231" t="s">
        <v>3500</v>
      </c>
      <c r="B37" s="6" t="s">
        <v>3501</v>
      </c>
      <c r="C37" s="194" t="s">
        <v>3502</v>
      </c>
      <c r="D37" s="194" t="s">
        <v>3503</v>
      </c>
      <c r="E37" s="226">
        <v>1460</v>
      </c>
      <c r="F37" s="226">
        <v>1460</v>
      </c>
      <c r="G37" s="226">
        <v>1460</v>
      </c>
      <c r="H37" s="12" t="s">
        <v>3504</v>
      </c>
      <c r="I37" s="228">
        <v>2.4299999999999999E-2</v>
      </c>
      <c r="J37" s="229">
        <f>E37*$I37</f>
        <v>35.478000000000002</v>
      </c>
      <c r="K37" s="229">
        <f>F37*$I37</f>
        <v>35.478000000000002</v>
      </c>
      <c r="L37" s="229">
        <f>G37*$I37</f>
        <v>35.478000000000002</v>
      </c>
      <c r="M37" s="14" t="s">
        <v>5047</v>
      </c>
      <c r="N37" t="s">
        <v>5048</v>
      </c>
    </row>
    <row r="38" spans="1:14">
      <c r="A38" s="231" t="s">
        <v>3500</v>
      </c>
      <c r="B38" s="6" t="s">
        <v>3505</v>
      </c>
      <c r="C38" s="194" t="s">
        <v>3506</v>
      </c>
      <c r="D38" s="194" t="s">
        <v>3507</v>
      </c>
      <c r="E38" s="226">
        <v>730</v>
      </c>
      <c r="F38" s="226">
        <v>730</v>
      </c>
      <c r="G38" s="226">
        <v>730</v>
      </c>
      <c r="H38" s="12" t="s">
        <v>3508</v>
      </c>
      <c r="I38" s="228">
        <v>2.4299999999999999E-2</v>
      </c>
      <c r="J38" s="229">
        <f>E38*$I38</f>
        <v>17.739000000000001</v>
      </c>
      <c r="K38" s="229">
        <f>F38*$I38</f>
        <v>17.739000000000001</v>
      </c>
      <c r="L38" s="229">
        <f>G38*$I38</f>
        <v>17.739000000000001</v>
      </c>
      <c r="M38" s="14" t="s">
        <v>5047</v>
      </c>
      <c r="N38" t="s">
        <v>5049</v>
      </c>
    </row>
    <row r="39" spans="1:14">
      <c r="A39" s="231" t="s">
        <v>3500</v>
      </c>
      <c r="B39" s="6" t="s">
        <v>3509</v>
      </c>
      <c r="C39" s="194" t="s">
        <v>3510</v>
      </c>
      <c r="D39" s="194" t="s">
        <v>3511</v>
      </c>
      <c r="E39" s="226">
        <v>500</v>
      </c>
      <c r="F39" s="226">
        <v>2500</v>
      </c>
      <c r="G39" s="226">
        <v>5000</v>
      </c>
      <c r="H39" s="12" t="s">
        <v>3512</v>
      </c>
      <c r="I39" s="228">
        <v>0.114</v>
      </c>
      <c r="J39" s="229">
        <f>E39*$I39</f>
        <v>57</v>
      </c>
      <c r="K39" s="229">
        <f>F39*$I39</f>
        <v>285</v>
      </c>
      <c r="L39" s="229">
        <f>G39*$I39</f>
        <v>570</v>
      </c>
      <c r="M39" s="14" t="s">
        <v>5050</v>
      </c>
      <c r="N39" t="s">
        <v>5051</v>
      </c>
    </row>
    <row r="40" spans="1:14">
      <c r="A40" s="231" t="s">
        <v>3500</v>
      </c>
      <c r="B40" s="6" t="s">
        <v>3513</v>
      </c>
      <c r="C40" s="194" t="s">
        <v>3514</v>
      </c>
      <c r="D40" s="194" t="s">
        <v>3515</v>
      </c>
      <c r="E40" s="226">
        <v>10</v>
      </c>
      <c r="F40" s="226">
        <v>50</v>
      </c>
      <c r="G40" s="226">
        <v>100</v>
      </c>
      <c r="H40" s="12" t="s">
        <v>3493</v>
      </c>
      <c r="I40" s="228">
        <v>0.6</v>
      </c>
      <c r="J40" s="229">
        <f>E40*$I40</f>
        <v>6</v>
      </c>
      <c r="K40" s="229">
        <f>F40*$I40</f>
        <v>30</v>
      </c>
      <c r="L40" s="229">
        <f>G40*$I40</f>
        <v>60</v>
      </c>
      <c r="M40" s="14" t="s">
        <v>5052</v>
      </c>
      <c r="N40" t="s">
        <v>5053</v>
      </c>
    </row>
    <row r="41" spans="1:14">
      <c r="A41" s="231" t="s">
        <v>3500</v>
      </c>
      <c r="B41" s="6" t="s">
        <v>3516</v>
      </c>
      <c r="C41" s="194" t="s">
        <v>3517</v>
      </c>
      <c r="D41" s="194" t="s">
        <v>3518</v>
      </c>
      <c r="E41" s="226">
        <v>1460</v>
      </c>
      <c r="F41" s="226">
        <v>1460</v>
      </c>
      <c r="G41" s="226">
        <v>1460</v>
      </c>
      <c r="H41" s="12" t="s">
        <v>3519</v>
      </c>
      <c r="I41" s="228">
        <v>1.4E-2</v>
      </c>
      <c r="J41" s="229">
        <f>E41*$I41</f>
        <v>20.440000000000001</v>
      </c>
      <c r="K41" s="229">
        <f>F41*$I41</f>
        <v>20.440000000000001</v>
      </c>
      <c r="L41" s="229">
        <f>G41*$I41</f>
        <v>20.440000000000001</v>
      </c>
      <c r="M41" s="14" t="s">
        <v>5054</v>
      </c>
    </row>
    <row r="42" spans="1:14">
      <c r="A42" s="231" t="s">
        <v>3500</v>
      </c>
      <c r="B42" s="6" t="s">
        <v>3520</v>
      </c>
      <c r="C42" s="194" t="s">
        <v>3521</v>
      </c>
      <c r="D42" s="194" t="s">
        <v>3522</v>
      </c>
      <c r="E42" s="226">
        <v>7300</v>
      </c>
      <c r="F42" s="226">
        <v>7300</v>
      </c>
      <c r="G42" s="226">
        <v>7300</v>
      </c>
      <c r="H42" s="12" t="s">
        <v>3519</v>
      </c>
      <c r="I42" s="228">
        <v>1.4E-2</v>
      </c>
      <c r="J42" s="229">
        <f>E42*$I42</f>
        <v>102.2</v>
      </c>
      <c r="K42" s="229">
        <f>F42*$I42</f>
        <v>102.2</v>
      </c>
      <c r="L42" s="229">
        <f>G42*$I42</f>
        <v>102.2</v>
      </c>
      <c r="M42" s="14" t="s">
        <v>5054</v>
      </c>
    </row>
    <row r="43" spans="1:14">
      <c r="A43" s="231" t="s">
        <v>3500</v>
      </c>
      <c r="B43" s="6" t="s">
        <v>3523</v>
      </c>
      <c r="C43" s="194" t="s">
        <v>3524</v>
      </c>
      <c r="D43" s="194" t="s">
        <v>3525</v>
      </c>
      <c r="E43" s="226">
        <v>10000000</v>
      </c>
      <c r="F43" s="226">
        <v>50000000</v>
      </c>
      <c r="G43" s="226">
        <v>100000000</v>
      </c>
      <c r="H43" s="12" t="s">
        <v>5055</v>
      </c>
      <c r="I43" s="228">
        <v>3.9999999999999998E-7</v>
      </c>
      <c r="J43" s="229">
        <f>E43*$I43</f>
        <v>4</v>
      </c>
      <c r="K43" s="229">
        <f>F43*$I43</f>
        <v>20</v>
      </c>
      <c r="L43" s="229">
        <f>G43*$I43</f>
        <v>40</v>
      </c>
      <c r="M43" s="14" t="s">
        <v>5056</v>
      </c>
      <c r="N43" t="s">
        <v>5057</v>
      </c>
    </row>
    <row r="44" spans="1:14">
      <c r="A44" s="231" t="s">
        <v>3500</v>
      </c>
      <c r="B44" s="6" t="s">
        <v>3526</v>
      </c>
      <c r="C44" s="194" t="s">
        <v>3527</v>
      </c>
      <c r="D44" s="194" t="s">
        <v>3528</v>
      </c>
      <c r="E44" s="226">
        <v>100</v>
      </c>
      <c r="F44" s="226">
        <v>500</v>
      </c>
      <c r="G44" s="226">
        <v>1000</v>
      </c>
      <c r="H44" s="12" t="s">
        <v>3512</v>
      </c>
      <c r="I44" s="228">
        <v>0.09</v>
      </c>
      <c r="J44" s="229">
        <f>E44*$I44</f>
        <v>9</v>
      </c>
      <c r="K44" s="229">
        <f>F44*$I44</f>
        <v>45</v>
      </c>
      <c r="L44" s="229">
        <f>G44*$I44</f>
        <v>90</v>
      </c>
      <c r="M44" s="14" t="s">
        <v>5035</v>
      </c>
      <c r="N44" t="s">
        <v>5058</v>
      </c>
    </row>
    <row r="45" spans="1:14">
      <c r="A45" s="231" t="s">
        <v>3500</v>
      </c>
      <c r="B45" s="6" t="s">
        <v>3529</v>
      </c>
      <c r="C45" s="194" t="s">
        <v>3530</v>
      </c>
      <c r="D45" s="194" t="s">
        <v>3531</v>
      </c>
      <c r="E45" s="226">
        <v>50</v>
      </c>
      <c r="F45" s="226">
        <v>250</v>
      </c>
      <c r="G45" s="226">
        <v>500</v>
      </c>
      <c r="H45" s="12" t="s">
        <v>3512</v>
      </c>
      <c r="I45" s="228">
        <v>0.114</v>
      </c>
      <c r="J45" s="229">
        <f>E45*$I45</f>
        <v>5.7</v>
      </c>
      <c r="K45" s="229">
        <f>F45*$I45</f>
        <v>28.5</v>
      </c>
      <c r="L45" s="229">
        <f>G45*$I45</f>
        <v>57</v>
      </c>
      <c r="M45" s="14" t="s">
        <v>5035</v>
      </c>
      <c r="N45" t="s">
        <v>5059</v>
      </c>
    </row>
    <row r="46" spans="1:14">
      <c r="A46" s="231" t="s">
        <v>3532</v>
      </c>
      <c r="B46" s="6" t="s">
        <v>3533</v>
      </c>
      <c r="C46" s="194" t="s">
        <v>3534</v>
      </c>
      <c r="D46" s="194" t="s">
        <v>3535</v>
      </c>
      <c r="E46" s="226">
        <v>10000000</v>
      </c>
      <c r="F46" s="226">
        <v>30000000</v>
      </c>
      <c r="G46" s="226">
        <v>50000000</v>
      </c>
      <c r="H46" s="12" t="s">
        <v>5060</v>
      </c>
      <c r="I46" s="228">
        <v>1.9999999999999999E-7</v>
      </c>
      <c r="J46" s="229">
        <f>E46*$I46</f>
        <v>2</v>
      </c>
      <c r="K46" s="229">
        <f>F46*$I46</f>
        <v>6</v>
      </c>
      <c r="L46" s="229">
        <f>G46*$I46</f>
        <v>10</v>
      </c>
      <c r="M46" s="14" t="s">
        <v>5061</v>
      </c>
      <c r="N46" t="s">
        <v>5062</v>
      </c>
    </row>
    <row r="47" spans="1:14">
      <c r="A47" s="231" t="s">
        <v>3532</v>
      </c>
      <c r="B47" s="6" t="s">
        <v>3536</v>
      </c>
      <c r="C47" s="194" t="s">
        <v>3537</v>
      </c>
      <c r="D47" s="194" t="s">
        <v>3538</v>
      </c>
      <c r="E47" s="226">
        <v>5000000</v>
      </c>
      <c r="F47" s="226">
        <v>15000000</v>
      </c>
      <c r="G47" s="226">
        <v>25000000</v>
      </c>
      <c r="H47" s="12" t="s">
        <v>5060</v>
      </c>
      <c r="I47" s="228">
        <v>1.9999999999999999E-7</v>
      </c>
      <c r="J47" s="229">
        <f>E47*$I47</f>
        <v>1</v>
      </c>
      <c r="K47" s="229">
        <f>F47*$I47</f>
        <v>3</v>
      </c>
      <c r="L47" s="229">
        <f>G47*$I47</f>
        <v>5</v>
      </c>
      <c r="M47" s="14" t="s">
        <v>5061</v>
      </c>
      <c r="N47" t="s">
        <v>5063</v>
      </c>
    </row>
    <row r="48" spans="1:14">
      <c r="A48" s="231" t="s">
        <v>3532</v>
      </c>
      <c r="B48" s="6" t="s">
        <v>3539</v>
      </c>
      <c r="C48" s="194" t="s">
        <v>3540</v>
      </c>
      <c r="D48" s="194" t="s">
        <v>3541</v>
      </c>
      <c r="E48" s="226">
        <v>10000000</v>
      </c>
      <c r="F48" s="226">
        <v>30000000</v>
      </c>
      <c r="G48" s="226">
        <v>50000000</v>
      </c>
      <c r="H48" s="12" t="s">
        <v>5060</v>
      </c>
      <c r="I48" s="228">
        <v>1.2899999999999999E-6</v>
      </c>
      <c r="J48" s="229">
        <f>E48*$I48</f>
        <v>12.899999999999999</v>
      </c>
      <c r="K48" s="229">
        <f>F48*$I48</f>
        <v>38.699999999999996</v>
      </c>
      <c r="L48" s="229">
        <f>G48*$I48</f>
        <v>64.5</v>
      </c>
      <c r="M48" s="14" t="s">
        <v>5064</v>
      </c>
      <c r="N48" t="s">
        <v>5065</v>
      </c>
    </row>
    <row r="49" spans="1:14">
      <c r="A49" s="231" t="s">
        <v>3532</v>
      </c>
      <c r="B49" s="6" t="s">
        <v>3542</v>
      </c>
      <c r="C49" s="194" t="s">
        <v>3543</v>
      </c>
      <c r="D49" s="194" t="s">
        <v>3544</v>
      </c>
      <c r="E49" s="226">
        <v>5000000</v>
      </c>
      <c r="F49" s="226">
        <v>15000000</v>
      </c>
      <c r="G49" s="226">
        <v>25000000</v>
      </c>
      <c r="H49" s="12" t="s">
        <v>5066</v>
      </c>
      <c r="I49" s="228">
        <v>9.9999999999999995E-8</v>
      </c>
      <c r="J49" s="229">
        <f>E49*$I49</f>
        <v>0.5</v>
      </c>
      <c r="K49" s="229">
        <f>F49*$I49</f>
        <v>1.5</v>
      </c>
      <c r="L49" s="229">
        <f>G49*$I49</f>
        <v>2.5</v>
      </c>
      <c r="M49" s="14" t="s">
        <v>5067</v>
      </c>
      <c r="N49" t="s">
        <v>5068</v>
      </c>
    </row>
    <row r="50" spans="1:14">
      <c r="A50" s="231" t="s">
        <v>3532</v>
      </c>
      <c r="B50" s="6" t="s">
        <v>3545</v>
      </c>
      <c r="C50" s="194" t="s">
        <v>3546</v>
      </c>
      <c r="D50" s="194" t="s">
        <v>3547</v>
      </c>
      <c r="E50" s="226">
        <v>5000000</v>
      </c>
      <c r="F50" s="226">
        <v>25000000</v>
      </c>
      <c r="G50" s="226">
        <v>50000000</v>
      </c>
      <c r="H50" s="12" t="s">
        <v>5069</v>
      </c>
      <c r="I50" s="228">
        <v>8.8999999999999995E-7</v>
      </c>
      <c r="J50" s="229">
        <f>E50*$I50</f>
        <v>4.45</v>
      </c>
      <c r="K50" s="229">
        <f>F50*$I50</f>
        <v>22.25</v>
      </c>
      <c r="L50" s="229">
        <f>G50*$I50</f>
        <v>44.5</v>
      </c>
      <c r="M50" s="14" t="s">
        <v>5070</v>
      </c>
      <c r="N50" t="s">
        <v>5071</v>
      </c>
    </row>
    <row r="51" spans="1:14">
      <c r="A51" s="231" t="s">
        <v>1609</v>
      </c>
      <c r="B51" s="6" t="s">
        <v>3548</v>
      </c>
      <c r="C51" s="194" t="s">
        <v>3549</v>
      </c>
      <c r="D51" s="194" t="s">
        <v>3550</v>
      </c>
      <c r="E51" s="226">
        <v>10</v>
      </c>
      <c r="F51" s="226">
        <v>10</v>
      </c>
      <c r="G51" s="226">
        <v>10</v>
      </c>
      <c r="H51" s="12" t="s">
        <v>3551</v>
      </c>
      <c r="I51" s="228">
        <v>1</v>
      </c>
      <c r="J51" s="229">
        <f>E51*$I51</f>
        <v>10</v>
      </c>
      <c r="K51" s="229">
        <f>F51*$I51</f>
        <v>10</v>
      </c>
      <c r="L51" s="229">
        <f>G51*$I51</f>
        <v>10</v>
      </c>
      <c r="M51" s="14" t="s">
        <v>5072</v>
      </c>
      <c r="N51" t="s">
        <v>5073</v>
      </c>
    </row>
    <row r="52" spans="1:14">
      <c r="A52" s="231" t="s">
        <v>1609</v>
      </c>
      <c r="B52" s="6" t="s">
        <v>3552</v>
      </c>
      <c r="C52" s="194" t="s">
        <v>3553</v>
      </c>
      <c r="D52" s="194" t="s">
        <v>3554</v>
      </c>
      <c r="E52" s="226">
        <v>30</v>
      </c>
      <c r="F52" s="226">
        <v>30</v>
      </c>
      <c r="G52" s="226">
        <v>30</v>
      </c>
      <c r="H52" s="12" t="s">
        <v>3555</v>
      </c>
      <c r="I52" s="228">
        <v>0.4</v>
      </c>
      <c r="J52" s="229">
        <f>E52*$I52</f>
        <v>12</v>
      </c>
      <c r="K52" s="229">
        <f>F52*$I52</f>
        <v>12</v>
      </c>
      <c r="L52" s="229">
        <f>G52*$I52</f>
        <v>12</v>
      </c>
      <c r="M52" s="14" t="s">
        <v>5074</v>
      </c>
    </row>
    <row r="53" spans="1:14">
      <c r="A53" s="293" t="s">
        <v>1609</v>
      </c>
      <c r="B53" s="294" t="s">
        <v>3556</v>
      </c>
      <c r="C53" s="295" t="s">
        <v>3557</v>
      </c>
      <c r="D53" s="295" t="s">
        <v>3558</v>
      </c>
      <c r="E53" s="296">
        <v>1</v>
      </c>
      <c r="F53" s="296">
        <v>1</v>
      </c>
      <c r="G53" s="296">
        <v>1</v>
      </c>
      <c r="H53" s="297" t="s">
        <v>3559</v>
      </c>
      <c r="I53" s="298">
        <v>400</v>
      </c>
      <c r="J53" s="299">
        <f>E53*$I53</f>
        <v>400</v>
      </c>
      <c r="K53" s="299">
        <f>F53*$I53</f>
        <v>400</v>
      </c>
      <c r="L53" s="299">
        <f>G53*$I53</f>
        <v>400</v>
      </c>
      <c r="M53" s="300" t="s">
        <v>5075</v>
      </c>
      <c r="N53" s="246" t="s">
        <v>5239</v>
      </c>
    </row>
    <row r="54" spans="1:14">
      <c r="A54" s="231" t="s">
        <v>1609</v>
      </c>
      <c r="B54" s="6" t="s">
        <v>3560</v>
      </c>
      <c r="C54" s="194" t="s">
        <v>3561</v>
      </c>
      <c r="D54" s="194" t="s">
        <v>3562</v>
      </c>
      <c r="E54" s="226">
        <v>400</v>
      </c>
      <c r="F54" s="226">
        <v>2000</v>
      </c>
      <c r="G54" s="226">
        <v>4000</v>
      </c>
      <c r="H54" s="12" t="s">
        <v>3480</v>
      </c>
      <c r="I54" s="228">
        <v>0.09</v>
      </c>
      <c r="J54" s="229">
        <f>E54*$I54</f>
        <v>36</v>
      </c>
      <c r="K54" s="229">
        <f>F54*$I54</f>
        <v>180</v>
      </c>
      <c r="L54" s="229">
        <f>G54*$I54</f>
        <v>360</v>
      </c>
      <c r="M54" s="14" t="s">
        <v>5076</v>
      </c>
    </row>
    <row r="55" spans="1:14">
      <c r="A55" s="231" t="s">
        <v>3563</v>
      </c>
      <c r="B55" s="6" t="s">
        <v>3564</v>
      </c>
      <c r="C55" s="194" t="s">
        <v>3565</v>
      </c>
      <c r="D55" s="194" t="s">
        <v>3566</v>
      </c>
      <c r="E55" s="226">
        <v>100</v>
      </c>
      <c r="F55" s="226">
        <v>500</v>
      </c>
      <c r="G55" s="226">
        <v>1000</v>
      </c>
      <c r="H55" s="12" t="s">
        <v>3512</v>
      </c>
      <c r="I55" s="228">
        <v>0.76</v>
      </c>
      <c r="J55" s="229">
        <f>E55*$I55</f>
        <v>76</v>
      </c>
      <c r="K55" s="229">
        <f>F55*$I55</f>
        <v>380</v>
      </c>
      <c r="L55" s="229">
        <f>G55*$I55</f>
        <v>760</v>
      </c>
      <c r="M55" s="14" t="s">
        <v>5077</v>
      </c>
      <c r="N55" t="s">
        <v>5078</v>
      </c>
    </row>
    <row r="56" spans="1:14">
      <c r="A56" s="231" t="s">
        <v>3563</v>
      </c>
      <c r="B56" s="6" t="s">
        <v>3567</v>
      </c>
      <c r="C56" s="194" t="s">
        <v>3568</v>
      </c>
      <c r="D56" s="194" t="s">
        <v>3569</v>
      </c>
      <c r="E56" s="226">
        <v>1460</v>
      </c>
      <c r="F56" s="226">
        <v>2190</v>
      </c>
      <c r="G56" s="226">
        <v>2920</v>
      </c>
      <c r="H56" s="12" t="s">
        <v>3463</v>
      </c>
      <c r="I56" s="228">
        <v>0.16400000000000001</v>
      </c>
      <c r="J56" s="229">
        <f>E56*$I56</f>
        <v>239.44</v>
      </c>
      <c r="K56" s="229">
        <f>F56*$I56</f>
        <v>359.16</v>
      </c>
      <c r="L56" s="229">
        <f>G56*$I56</f>
        <v>478.88</v>
      </c>
      <c r="M56" s="14" t="s">
        <v>5079</v>
      </c>
      <c r="N56" t="s">
        <v>5080</v>
      </c>
    </row>
    <row r="57" spans="1:14">
      <c r="A57" s="231" t="s">
        <v>3563</v>
      </c>
      <c r="B57" s="6" t="s">
        <v>3570</v>
      </c>
      <c r="C57" s="194" t="s">
        <v>3571</v>
      </c>
      <c r="D57" s="194" t="s">
        <v>3572</v>
      </c>
      <c r="E57" s="226">
        <v>5000</v>
      </c>
      <c r="F57" s="226">
        <v>25000</v>
      </c>
      <c r="G57" s="226">
        <v>50000</v>
      </c>
      <c r="H57" s="12" t="s">
        <v>3480</v>
      </c>
      <c r="I57" s="228">
        <v>2E-3</v>
      </c>
      <c r="J57" s="229">
        <f>E57*$I57</f>
        <v>10</v>
      </c>
      <c r="K57" s="229">
        <f>F57*$I57</f>
        <v>50</v>
      </c>
      <c r="L57" s="229">
        <f>G57*$I57</f>
        <v>100</v>
      </c>
      <c r="M57" s="14" t="s">
        <v>5081</v>
      </c>
      <c r="N57" t="s">
        <v>5082</v>
      </c>
    </row>
    <row r="58" spans="1:14">
      <c r="A58" s="231" t="s">
        <v>3563</v>
      </c>
      <c r="B58" s="6" t="s">
        <v>3573</v>
      </c>
      <c r="C58" s="194" t="s">
        <v>3574</v>
      </c>
      <c r="D58" s="194" t="s">
        <v>3575</v>
      </c>
      <c r="E58" s="226">
        <v>100000</v>
      </c>
      <c r="F58" s="226">
        <v>500000</v>
      </c>
      <c r="G58" s="226">
        <v>1000000</v>
      </c>
      <c r="H58" s="12" t="s">
        <v>5083</v>
      </c>
      <c r="I58" s="228">
        <v>1E-4</v>
      </c>
      <c r="J58" s="229">
        <f>E58*$I58</f>
        <v>10</v>
      </c>
      <c r="K58" s="229">
        <f>F58*$I58</f>
        <v>50</v>
      </c>
      <c r="L58" s="229">
        <f>G58*$I58</f>
        <v>100</v>
      </c>
      <c r="M58" s="14" t="s">
        <v>5084</v>
      </c>
      <c r="N58" t="s">
        <v>5085</v>
      </c>
    </row>
    <row r="59" spans="1:14">
      <c r="A59" s="231" t="s">
        <v>3563</v>
      </c>
      <c r="B59" s="6" t="s">
        <v>3576</v>
      </c>
      <c r="C59" s="194" t="s">
        <v>3577</v>
      </c>
      <c r="D59" s="194" t="s">
        <v>3578</v>
      </c>
      <c r="E59" s="226">
        <v>131400</v>
      </c>
      <c r="F59" s="226">
        <v>131400</v>
      </c>
      <c r="G59" s="226">
        <v>131400</v>
      </c>
      <c r="H59" s="12" t="s">
        <v>3579</v>
      </c>
      <c r="I59" s="228">
        <v>1.9E-3</v>
      </c>
      <c r="J59" s="229">
        <f>E59*$I59</f>
        <v>249.66</v>
      </c>
      <c r="K59" s="229">
        <f>F59*$I59</f>
        <v>249.66</v>
      </c>
      <c r="L59" s="229">
        <f>G59*$I59</f>
        <v>249.66</v>
      </c>
      <c r="M59" s="14" t="s">
        <v>5077</v>
      </c>
      <c r="N59" t="s">
        <v>5086</v>
      </c>
    </row>
    <row r="60" spans="1:14">
      <c r="A60" s="51" t="s">
        <v>3580</v>
      </c>
      <c r="B60" s="193"/>
      <c r="C60" s="193"/>
      <c r="D60" s="193"/>
      <c r="E60" s="227"/>
      <c r="F60" s="227"/>
      <c r="G60" s="227"/>
      <c r="H60" s="227"/>
      <c r="I60" s="227"/>
      <c r="J60" s="230">
        <f>SUM(J25:J59)</f>
        <v>6271.2109999999975</v>
      </c>
      <c r="K60" s="230">
        <f>SUM(K25:K59)</f>
        <v>9121.7249999999985</v>
      </c>
      <c r="L60" s="230">
        <f>SUM(L25:L59)</f>
        <v>12879.583999999999</v>
      </c>
      <c r="M60" s="225"/>
      <c r="N60" t="str">
        <f>IF(COUNTBLANK($I$25:$I$59)&gt;0,"⚠ 単価未入力 "&amp;COUNTBLANK($I$25:$I$59)&amp;"件（青字セル）","✓ 全単価が入力済み")</f>
        <v>✓ 全単価が入力済み</v>
      </c>
    </row>
    <row r="62" spans="1:14">
      <c r="A62" s="4" t="s">
        <v>3581</v>
      </c>
    </row>
    <row r="63" spans="1:14">
      <c r="A63" s="20" t="s">
        <v>1</v>
      </c>
      <c r="B63" s="21" t="s">
        <v>3094</v>
      </c>
      <c r="C63" s="21" t="s">
        <v>3455</v>
      </c>
      <c r="D63" s="21" t="s">
        <v>3456</v>
      </c>
      <c r="E63" s="22" t="s">
        <v>3457</v>
      </c>
    </row>
    <row r="64" spans="1:14">
      <c r="A64" s="23" t="s">
        <v>3459</v>
      </c>
      <c r="B64" s="232">
        <f>COUNTIF($A$25:$A$59,$A64)</f>
        <v>6</v>
      </c>
      <c r="C64" s="233">
        <f>SUMIF($A$25:$A$59,$A64,$J$25:$J$59)</f>
        <v>1967.8039999999999</v>
      </c>
      <c r="D64" s="233">
        <f>SUMIF($A$25:$A$59,$A64,$K$25:$K$59)</f>
        <v>3516.3980000000006</v>
      </c>
      <c r="E64" s="234">
        <f>SUMIF($A$25:$A$59,$A64,$L$25:$L$59)</f>
        <v>5684.9870000000001</v>
      </c>
    </row>
    <row r="65" spans="1:6">
      <c r="A65" s="23" t="s">
        <v>3481</v>
      </c>
      <c r="B65" s="232">
        <f>COUNTIF($A$25:$A$59,$A65)</f>
        <v>6</v>
      </c>
      <c r="C65" s="233">
        <f>SUMIF($A$25:$A$59,$A65,$J$25:$J$59)</f>
        <v>2981.9</v>
      </c>
      <c r="D65" s="233">
        <f>SUMIF($A$25:$A$59,$A65,$K$25:$K$59)</f>
        <v>3258.7000000000003</v>
      </c>
      <c r="E65" s="234">
        <f>SUMIF($A$25:$A$59,$A65,$L$25:$L$59)</f>
        <v>3604.7000000000003</v>
      </c>
    </row>
    <row r="66" spans="1:6">
      <c r="A66" s="23" t="s">
        <v>3500</v>
      </c>
      <c r="B66" s="232">
        <f>COUNTIF($A$25:$A$59,$A66)</f>
        <v>9</v>
      </c>
      <c r="C66" s="233">
        <f>SUMIF($A$25:$A$59,$A66,$J$25:$J$59)</f>
        <v>257.55700000000002</v>
      </c>
      <c r="D66" s="233">
        <f>SUMIF($A$25:$A$59,$A66,$K$25:$K$59)</f>
        <v>584.35699999999997</v>
      </c>
      <c r="E66" s="234">
        <f>SUMIF($A$25:$A$59,$A66,$L$25:$L$59)</f>
        <v>992.85700000000008</v>
      </c>
    </row>
    <row r="67" spans="1:6">
      <c r="A67" s="23" t="s">
        <v>3532</v>
      </c>
      <c r="B67" s="232">
        <f>COUNTIF($A$25:$A$59,$A67)</f>
        <v>5</v>
      </c>
      <c r="C67" s="233">
        <f>SUMIF($A$25:$A$59,$A67,$J$25:$J$59)</f>
        <v>20.849999999999998</v>
      </c>
      <c r="D67" s="233">
        <f>SUMIF($A$25:$A$59,$A67,$K$25:$K$59)</f>
        <v>71.449999999999989</v>
      </c>
      <c r="E67" s="234">
        <f>SUMIF($A$25:$A$59,$A67,$L$25:$L$59)</f>
        <v>126.5</v>
      </c>
    </row>
    <row r="68" spans="1:6">
      <c r="A68" s="23" t="s">
        <v>1609</v>
      </c>
      <c r="B68" s="232">
        <f>COUNTIF($A$25:$A$59,$A68)</f>
        <v>4</v>
      </c>
      <c r="C68" s="233">
        <f>SUMIF($A$25:$A$59,$A68,$J$25:$J$59)</f>
        <v>458</v>
      </c>
      <c r="D68" s="233">
        <f>SUMIF($A$25:$A$59,$A68,$K$25:$K$59)</f>
        <v>602</v>
      </c>
      <c r="E68" s="234">
        <f>SUMIF($A$25:$A$59,$A68,$L$25:$L$59)</f>
        <v>782</v>
      </c>
    </row>
    <row r="69" spans="1:6">
      <c r="A69" s="23" t="s">
        <v>3563</v>
      </c>
      <c r="B69" s="232">
        <f>COUNTIF($A$25:$A$59,$A69)</f>
        <v>5</v>
      </c>
      <c r="C69" s="233">
        <f>SUMIF($A$25:$A$59,$A69,$J$25:$J$59)</f>
        <v>585.1</v>
      </c>
      <c r="D69" s="233">
        <f>SUMIF($A$25:$A$59,$A69,$K$25:$K$59)</f>
        <v>1088.8200000000002</v>
      </c>
      <c r="E69" s="234">
        <f>SUMIF($A$25:$A$59,$A69,$L$25:$L$59)</f>
        <v>1688.5400000000002</v>
      </c>
    </row>
    <row r="70" spans="1:6">
      <c r="A70" s="25" t="s">
        <v>6</v>
      </c>
      <c r="B70" s="235">
        <f>SUM(B64:B69)</f>
        <v>35</v>
      </c>
      <c r="C70" s="236">
        <f>SUM(C64:C69)</f>
        <v>6271.2110000000002</v>
      </c>
      <c r="D70" s="236">
        <f>SUM(D64:D69)</f>
        <v>9121.7250000000004</v>
      </c>
      <c r="E70" s="237">
        <f>SUM(E64:E69)</f>
        <v>12879.584000000001</v>
      </c>
      <c r="F70" s="4" t="str">
        <f>IF(B70=COUNTA($B$25:$B$59),"✓ 明細行数と一致","⚠ 不一致")</f>
        <v>✓ 明細行数と一致</v>
      </c>
    </row>
    <row r="72" spans="1:6">
      <c r="A72" s="4" t="s">
        <v>3582</v>
      </c>
    </row>
    <row r="73" spans="1:6">
      <c r="A73" s="20" t="s">
        <v>3414</v>
      </c>
      <c r="B73" s="21" t="s">
        <v>3583</v>
      </c>
      <c r="C73" s="21" t="s">
        <v>3584</v>
      </c>
      <c r="D73" s="21" t="s">
        <v>3585</v>
      </c>
      <c r="E73" s="22" t="s">
        <v>3417</v>
      </c>
    </row>
    <row r="74" spans="1:6">
      <c r="A74" s="23" t="s">
        <v>3586</v>
      </c>
      <c r="B74" s="233">
        <f>J60</f>
        <v>6271.2109999999975</v>
      </c>
      <c r="C74" s="233">
        <f>K60</f>
        <v>9121.7249999999985</v>
      </c>
      <c r="D74" s="233">
        <f>L60</f>
        <v>12879.583999999999</v>
      </c>
      <c r="E74" s="29" t="s">
        <v>3587</v>
      </c>
    </row>
    <row r="75" spans="1:6">
      <c r="A75" s="23" t="s">
        <v>3588</v>
      </c>
      <c r="B75" s="238">
        <f>B74*$B$9</f>
        <v>940681.64999999967</v>
      </c>
      <c r="C75" s="238">
        <f>C74*$B$9</f>
        <v>1368258.7499999998</v>
      </c>
      <c r="D75" s="238">
        <f>D74*$B$9</f>
        <v>1931937.5999999999</v>
      </c>
      <c r="E75" s="29" t="s">
        <v>3589</v>
      </c>
    </row>
    <row r="76" spans="1:6">
      <c r="A76" s="23" t="s">
        <v>3590</v>
      </c>
      <c r="B76" s="239">
        <f>B74*12</f>
        <v>75254.531999999977</v>
      </c>
      <c r="C76" s="239">
        <f>C74*12</f>
        <v>109460.69999999998</v>
      </c>
      <c r="D76" s="239">
        <f>D74*12</f>
        <v>154555.00799999997</v>
      </c>
      <c r="E76" s="29" t="s">
        <v>3591</v>
      </c>
    </row>
    <row r="77" spans="1:6">
      <c r="A77" s="23" t="s">
        <v>3592</v>
      </c>
      <c r="B77" s="239">
        <f>B76*3</f>
        <v>225763.59599999993</v>
      </c>
      <c r="C77" s="239">
        <f>C76*3</f>
        <v>328382.09999999998</v>
      </c>
      <c r="D77" s="239">
        <f>D76*3</f>
        <v>463665.02399999992</v>
      </c>
      <c r="E77" s="29" t="s">
        <v>3593</v>
      </c>
    </row>
    <row r="78" spans="1:6">
      <c r="A78" s="23" t="s">
        <v>3594</v>
      </c>
      <c r="B78" s="238">
        <f>B77*$B$9</f>
        <v>33864539.399999991</v>
      </c>
      <c r="C78" s="238">
        <f>C77*$B$9</f>
        <v>49257315</v>
      </c>
      <c r="D78" s="238">
        <f>D77*$B$9</f>
        <v>69549753.599999994</v>
      </c>
      <c r="E78" s="29"/>
    </row>
    <row r="79" spans="1:6">
      <c r="A79" s="23" t="s">
        <v>3595</v>
      </c>
      <c r="B79" s="240">
        <f>IFERROR(B75/$B$10,0)</f>
        <v>0.9406816499999997</v>
      </c>
      <c r="C79" s="240">
        <f>IFERROR(C75/$B$11,0)</f>
        <v>0.27365174999999997</v>
      </c>
      <c r="D79" s="240">
        <f>IFERROR(D75/$B$12,0)</f>
        <v>0.19319375999999999</v>
      </c>
      <c r="E79" s="29" t="s">
        <v>3596</v>
      </c>
    </row>
    <row r="80" spans="1:6">
      <c r="A80" s="27" t="s">
        <v>3597</v>
      </c>
      <c r="B80" s="241">
        <v>2032</v>
      </c>
      <c r="C80" s="241">
        <v>2032</v>
      </c>
      <c r="D80" s="241">
        <v>2032</v>
      </c>
      <c r="E80" s="30" t="s">
        <v>3598</v>
      </c>
    </row>
    <row r="82" spans="1:1">
      <c r="A82" s="291" t="s">
        <v>5171</v>
      </c>
    </row>
    <row r="83" spans="1:1">
      <c r="A83" s="292" t="s">
        <v>5172</v>
      </c>
    </row>
    <row r="84" spans="1:1">
      <c r="A84" s="292" t="s">
        <v>5173</v>
      </c>
    </row>
    <row r="85" spans="1:1">
      <c r="A85" s="11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8" t="s">
        <v>5174</v>
      </c>
    </row>
    <row r="87" spans="1:1">
      <c r="A87" s="118" t="s">
        <v>5175</v>
      </c>
    </row>
    <row r="88" spans="1:1">
      <c r="A88" s="118" t="s">
        <v>5176</v>
      </c>
    </row>
  </sheetData>
  <autoFilter ref="A24:M59" xr:uid="{B411B8B0-C590-3C46-80D6-CB350769A192}"/>
  <phoneticPr fontId="2"/>
  <conditionalFormatting sqref="A25:M59">
    <cfRule type="expression" dxfId="81"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9" t="s">
        <v>3930</v>
      </c>
    </row>
    <row r="2" spans="1:13">
      <c r="A2" s="49" t="s">
        <v>3931</v>
      </c>
    </row>
    <row r="4" spans="1:13" ht="23">
      <c r="A4" s="120" t="s">
        <v>3932</v>
      </c>
      <c r="E4" s="121" t="s">
        <v>3933</v>
      </c>
      <c r="I4" s="122" t="s">
        <v>3934</v>
      </c>
    </row>
    <row r="5" spans="1:13" ht="61">
      <c r="A5" s="123">
        <f>COUNTIF(進捗一覧!$H$4:$H$326,"確定")+COUNTIF(進捗一覧!$H$4:$H$326,"方向性確定（条件付き）")</f>
        <v>76</v>
      </c>
      <c r="B5" t="s">
        <v>3935</v>
      </c>
      <c r="E5" s="124">
        <f>COUNTIF(進捗一覧!$H$4:$H$326,"検討中")</f>
        <v>76</v>
      </c>
      <c r="F5" t="s">
        <v>3935</v>
      </c>
      <c r="I5" s="125">
        <f>COUNTIF(進捗一覧!$H$4:$H$326,"外部待ち")</f>
        <v>156</v>
      </c>
      <c r="J5" t="s">
        <v>3935</v>
      </c>
    </row>
    <row r="6" spans="1:13">
      <c r="A6" s="126" t="str">
        <f>"うち完全に確定 "&amp;COUNTIF(進捗一覧!$H$4:$H$326,"確定")&amp;"件／推奨値ありで承認待ち "&amp;COUNTIF(進捗一覧!$H$4:$H$326,"方向性確定（条件付き）")&amp;"件"</f>
        <v>うち完全に確定 72件／推奨値ありで承認待ち 4件</v>
      </c>
      <c r="E6" s="126" t="s">
        <v>3936</v>
      </c>
      <c r="I6" s="126" t="s">
        <v>3937</v>
      </c>
    </row>
    <row r="8" spans="1:13">
      <c r="A8" s="4" t="s">
        <v>3938</v>
      </c>
      <c r="E8" s="4" t="s">
        <v>3939</v>
      </c>
    </row>
    <row r="9" spans="1:13" ht="47">
      <c r="A9" s="127">
        <f>COUNTIF(進捗一覧!$H$4:$H$326,"検討中")+COUNTIF(進捗一覧!$H$4:$H$326,"外部待ち")</f>
        <v>232</v>
      </c>
      <c r="B9" s="126" t="str">
        <f>"件（要件定義 "&amp;COUNTIFS(進捗一覧!$A$4:$A$326,"要件定義",進捗一覧!$H$4:$H$326,"検討中")+COUNTIFS(進捗一覧!$A$4:$A$326,"要件定義",進捗一覧!$H$4:$H$326,"外部待ち")&amp;" ＋ 基本設計 "&amp;COUNTIFS(進捗一覧!$A$4:$A$326,"基本設計",進捗一覧!$H$4:$H$326,"検討中")+COUNTIFS(進捗一覧!$A$4:$A$326,"基本設計",進捗一覧!$H$4:$H$326,"外部待ち")&amp;"）／ 全"&amp;COUNTA(進捗一覧!$P$4:$P$326)&amp;"件中"</f>
        <v>件（要件定義 158 ＋ 基本設計 74）／ 全323件中</v>
      </c>
      <c r="E9" s="17" t="s">
        <v>3940</v>
      </c>
      <c r="F9" s="18" t="s">
        <v>3941</v>
      </c>
      <c r="G9" s="18" t="s">
        <v>3942</v>
      </c>
      <c r="H9" s="19" t="s">
        <v>2663</v>
      </c>
    </row>
    <row r="10" spans="1:13">
      <c r="E10" s="23" t="s">
        <v>3943</v>
      </c>
      <c r="F10" s="31">
        <f>COUNTIFS(進捗一覧!$B$4:$B$326,"検証ゲート",進捗一覧!$H$4:$H$326,"検討中")</f>
        <v>2</v>
      </c>
      <c r="G10" s="31" t="str">
        <f>IF(F10=0,"● 充足",IF(F10&lt;=5,"▲ あと少し","× 未充足"))</f>
        <v>▲ あと少し</v>
      </c>
      <c r="H10" s="29" t="s">
        <v>3944</v>
      </c>
    </row>
    <row r="11" spans="1:13">
      <c r="E11" s="23" t="s">
        <v>3945</v>
      </c>
      <c r="F11" s="31">
        <f>COUNTIFS(進捗一覧!$B$4:$B$326,"設計タスク",進捗一覧!$H$4:$H$326,"外部待ち")</f>
        <v>1</v>
      </c>
      <c r="G11" s="31" t="str">
        <f>IF(F11=0,"● 充足",IF(F11&lt;=5,"▲ あと少し","× 未充足"))</f>
        <v>▲ あと少し</v>
      </c>
      <c r="H11" s="29" t="s">
        <v>3946</v>
      </c>
    </row>
    <row r="12" spans="1:13">
      <c r="E12" s="27" t="s">
        <v>3947</v>
      </c>
      <c r="F12" s="128">
        <f>COUNTIFS(進捗一覧!$B$4:$B$326,"顧客確認",進捗一覧!$H$4:$H$326,"外部待ち")+COUNTIFS(進捗一覧!$B$4:$B$326,"機能要件",進捗一覧!$H$4:$H$326,"外部待ち")+COUNTIFS(進捗一覧!$B$4:$B$326,"非機能要件",進捗一覧!$H$4:$H$326,"外部待ち")</f>
        <v>140</v>
      </c>
      <c r="G12" s="128" t="str">
        <f>IF(F12=0,"● 充足",IF(F12&lt;=5,"▲ あと少し","× 未充足"))</f>
        <v>× 未充足</v>
      </c>
      <c r="H12" s="30" t="s">
        <v>3948</v>
      </c>
    </row>
    <row r="14" spans="1:13">
      <c r="A14" s="4" t="s">
        <v>3949</v>
      </c>
      <c r="J14" s="4" t="s">
        <v>3950</v>
      </c>
    </row>
    <row r="15" spans="1:13">
      <c r="A15" s="20" t="s">
        <v>3951</v>
      </c>
      <c r="B15" s="21" t="s">
        <v>2274</v>
      </c>
      <c r="C15" s="21" t="s">
        <v>2275</v>
      </c>
      <c r="D15" s="22" t="s">
        <v>2276</v>
      </c>
      <c r="J15" s="20" t="s">
        <v>2661</v>
      </c>
      <c r="K15" s="21" t="s">
        <v>2274</v>
      </c>
      <c r="L15" s="21" t="s">
        <v>2662</v>
      </c>
      <c r="M15" s="22" t="s">
        <v>2663</v>
      </c>
    </row>
    <row r="16" spans="1:13">
      <c r="A16" s="23" t="s">
        <v>3809</v>
      </c>
      <c r="B16" s="31">
        <f>COUNTIF(進捗一覧!$C$4:$C$326,$A16)</f>
        <v>18</v>
      </c>
      <c r="C16" s="31">
        <f>COUNTIFS(進捗一覧!$C$4:$C$326,$A16,進捗一覧!$H$4:$H$326,"確定")</f>
        <v>5</v>
      </c>
      <c r="D16" s="162">
        <f>COUNTIFS(進捗一覧!$C$4:$C$326,$A16,進捗一覧!$H$4:$H$326,"方向性確定（条件付き）")</f>
        <v>0</v>
      </c>
      <c r="E16">
        <f>COUNTIFS(進捗一覧!$C$4:$C$326,$A16,進捗一覧!$H$4:$H$326,"検討中")</f>
        <v>2</v>
      </c>
      <c r="F16">
        <f>COUNTIFS(進捗一覧!$C$4:$C$326,$A16,進捗一覧!$H$4:$H$326,"外部待ち")</f>
        <v>8</v>
      </c>
      <c r="G16">
        <f>COUNTIFS(進捗一覧!$C$4:$C$326,$A16,進捗一覧!$H$4:$H$326,"対象外")</f>
        <v>3</v>
      </c>
      <c r="J16" s="23" t="s">
        <v>3808</v>
      </c>
      <c r="K16" s="31">
        <f>COUNTIF(進捗一覧!$A$4:$A$326,$J16)</f>
        <v>225</v>
      </c>
      <c r="L16" s="31">
        <f>COUNTIFS(進捗一覧!$A$4:$A$326,$J16,進捗一覧!$H$4:$H$326,"検討中")+COUNTIFS(進捗一覧!$A$4:$A$326,$J16,進捗一覧!$H$4:$H$326,"外部待ち")</f>
        <v>158</v>
      </c>
      <c r="M16" s="29" t="s">
        <v>3952</v>
      </c>
    </row>
    <row r="17" spans="1:14">
      <c r="A17" s="23" t="s">
        <v>3812</v>
      </c>
      <c r="B17" s="31">
        <f>COUNTIF(進捗一覧!$C$4:$C$326,$A17)</f>
        <v>25</v>
      </c>
      <c r="C17" s="31">
        <f>COUNTIFS(進捗一覧!$C$4:$C$326,$A17,進捗一覧!$H$4:$H$326,"確定")</f>
        <v>3</v>
      </c>
      <c r="D17" s="162">
        <f>COUNTIFS(進捗一覧!$C$4:$C$326,$A17,進捗一覧!$H$4:$H$326,"方向性確定（条件付き）")</f>
        <v>0</v>
      </c>
      <c r="E17">
        <f>COUNTIFS(進捗一覧!$C$4:$C$326,$A17,進捗一覧!$H$4:$H$326,"検討中")</f>
        <v>5</v>
      </c>
      <c r="F17">
        <f>COUNTIFS(進捗一覧!$C$4:$C$326,$A17,進捗一覧!$H$4:$H$326,"外部待ち")</f>
        <v>15</v>
      </c>
      <c r="G17">
        <f>COUNTIFS(進捗一覧!$C$4:$C$326,$A17,進捗一覧!$H$4:$H$326,"対象外")</f>
        <v>2</v>
      </c>
      <c r="J17" s="23" t="s">
        <v>3828</v>
      </c>
      <c r="K17" s="31">
        <f>COUNTIF(進捗一覧!$A$4:$A$326,$J17)</f>
        <v>98</v>
      </c>
      <c r="L17" s="31">
        <f>COUNTIFS(進捗一覧!$A$4:$A$326,$J17,進捗一覧!$H$4:$H$326,"検討中")+COUNTIFS(進捗一覧!$A$4:$A$326,$J17,進捗一覧!$H$4:$H$326,"外部待ち")</f>
        <v>74</v>
      </c>
      <c r="M17" s="29" t="s">
        <v>3953</v>
      </c>
    </row>
    <row r="18" spans="1:14">
      <c r="A18" s="23" t="s">
        <v>3814</v>
      </c>
      <c r="B18" s="31">
        <f>COUNTIF(進捗一覧!$C$4:$C$326,$A18)</f>
        <v>14</v>
      </c>
      <c r="C18" s="31">
        <f>COUNTIFS(進捗一覧!$C$4:$C$326,$A18,進捗一覧!$H$4:$H$326,"確定")</f>
        <v>3</v>
      </c>
      <c r="D18" s="162">
        <f>COUNTIFS(進捗一覧!$C$4:$C$326,$A18,進捗一覧!$H$4:$H$326,"方向性確定（条件付き）")</f>
        <v>0</v>
      </c>
      <c r="E18">
        <f>COUNTIFS(進捗一覧!$C$4:$C$326,$A18,進捗一覧!$H$4:$H$326,"検討中")</f>
        <v>1</v>
      </c>
      <c r="F18">
        <f>COUNTIFS(進捗一覧!$C$4:$C$326,$A18,進捗一覧!$H$4:$H$326,"外部待ち")</f>
        <v>10</v>
      </c>
      <c r="G18">
        <f>COUNTIFS(進捗一覧!$C$4:$C$326,$A18,進捗一覧!$H$4:$H$326,"対象外")</f>
        <v>0</v>
      </c>
      <c r="J18" s="25" t="s">
        <v>3842</v>
      </c>
      <c r="K18" s="32">
        <f>SUM(K16:K17)</f>
        <v>323</v>
      </c>
      <c r="L18" s="32">
        <f>SUM(L16:L17)</f>
        <v>232</v>
      </c>
      <c r="M18" s="184"/>
      <c r="N18" s="49" t="str">
        <f>IF(K18=COUNTA(進捗一覧!$P$4:$P$326),"✓ 明細行数と一致","⚠ 不一致")</f>
        <v>✓ 明細行数と一致</v>
      </c>
    </row>
    <row r="19" spans="1:14">
      <c r="A19" s="23" t="s">
        <v>3815</v>
      </c>
      <c r="B19" s="31">
        <f>COUNTIF(進捗一覧!$C$4:$C$326,$A19)</f>
        <v>16</v>
      </c>
      <c r="C19" s="31">
        <f>COUNTIFS(進捗一覧!$C$4:$C$326,$A19,進捗一覧!$H$4:$H$326,"確定")</f>
        <v>1</v>
      </c>
      <c r="D19" s="31">
        <f>COUNTIFS(進捗一覧!$C$4:$C$326,$A19,進捗一覧!$H$4:$H$326,"方向性確定（条件付き）")</f>
        <v>0</v>
      </c>
      <c r="E19" s="167">
        <f>COUNTIFS(進捗一覧!$C$4:$C$326,$A19,進捗一覧!$H$4:$H$326,"検討中")</f>
        <v>0</v>
      </c>
      <c r="F19" s="167">
        <f>COUNTIFS(進捗一覧!$C$4:$C$326,$A19,進捗一覧!$H$4:$H$326,"外部待ち")</f>
        <v>15</v>
      </c>
      <c r="G19" s="167">
        <f>COUNTIFS(進捗一覧!$C$4:$C$326,$A19,進捗一覧!$H$4:$H$326,"対象外")</f>
        <v>0</v>
      </c>
      <c r="H19" s="168"/>
    </row>
    <row r="20" spans="1:14">
      <c r="A20" s="23" t="s">
        <v>3811</v>
      </c>
      <c r="B20" s="31">
        <f>COUNTIF(進捗一覧!$C$4:$C$326,$A20)</f>
        <v>15</v>
      </c>
      <c r="C20" s="31">
        <f>COUNTIFS(進捗一覧!$C$4:$C$326,$A20,進捗一覧!$H$4:$H$326,"確定")</f>
        <v>4</v>
      </c>
      <c r="D20" s="31">
        <f>COUNTIFS(進捗一覧!$C$4:$C$326,$A20,進捗一覧!$H$4:$H$326,"方向性確定（条件付き）")</f>
        <v>0</v>
      </c>
      <c r="E20" s="31">
        <f>COUNTIFS(進捗一覧!$C$4:$C$326,$A20,進捗一覧!$H$4:$H$326,"検討中")</f>
        <v>1</v>
      </c>
      <c r="F20" s="31">
        <f>COUNTIFS(進捗一覧!$C$4:$C$326,$A20,進捗一覧!$H$4:$H$326,"外部待ち")</f>
        <v>6</v>
      </c>
      <c r="G20" s="31">
        <f>COUNTIFS(進捗一覧!$C$4:$C$326,$A20,進捗一覧!$H$4:$H$326,"対象外")</f>
        <v>4</v>
      </c>
      <c r="H20" s="129"/>
    </row>
    <row r="21" spans="1:14">
      <c r="A21" s="23" t="s">
        <v>3816</v>
      </c>
      <c r="B21" s="31">
        <f>COUNTIF(進捗一覧!$C$4:$C$326,$A21)</f>
        <v>24</v>
      </c>
      <c r="C21" s="31">
        <f>COUNTIFS(進捗一覧!$C$4:$C$326,$A21,進捗一覧!$H$4:$H$326,"確定")</f>
        <v>8</v>
      </c>
      <c r="D21" s="31">
        <f>COUNTIFS(進捗一覧!$C$4:$C$326,$A21,進捗一覧!$H$4:$H$326,"方向性確定（条件付き）")</f>
        <v>0</v>
      </c>
      <c r="E21" s="31">
        <f>COUNTIFS(進捗一覧!$C$4:$C$326,$A21,進捗一覧!$H$4:$H$326,"検討中")</f>
        <v>8</v>
      </c>
      <c r="F21" s="31">
        <f>COUNTIFS(進捗一覧!$C$4:$C$326,$A21,進捗一覧!$H$4:$H$326,"外部待ち")</f>
        <v>8</v>
      </c>
      <c r="G21" s="31">
        <f>COUNTIFS(進捗一覧!$C$4:$C$326,$A21,進捗一覧!$H$4:$H$326,"対象外")</f>
        <v>0</v>
      </c>
      <c r="H21" s="129"/>
    </row>
    <row r="22" spans="1:14">
      <c r="A22" s="23" t="s">
        <v>3810</v>
      </c>
      <c r="B22" s="31">
        <f>COUNTIF(進捗一覧!$C$4:$C$326,$A22)</f>
        <v>13</v>
      </c>
      <c r="C22" s="31">
        <f>COUNTIFS(進捗一覧!$C$4:$C$326,$A22,進捗一覧!$H$4:$H$326,"確定")</f>
        <v>3</v>
      </c>
      <c r="D22" s="31">
        <f>COUNTIFS(進捗一覧!$C$4:$C$326,$A22,進捗一覧!$H$4:$H$326,"方向性確定（条件付き）")</f>
        <v>0</v>
      </c>
      <c r="E22" s="31">
        <f>COUNTIFS(進捗一覧!$C$4:$C$326,$A22,進捗一覧!$H$4:$H$326,"検討中")</f>
        <v>1</v>
      </c>
      <c r="F22" s="31">
        <f>COUNTIFS(進捗一覧!$C$4:$C$326,$A22,進捗一覧!$H$4:$H$326,"外部待ち")</f>
        <v>9</v>
      </c>
      <c r="G22" s="31">
        <f>COUNTIFS(進捗一覧!$C$4:$C$326,$A22,進捗一覧!$H$4:$H$326,"対象外")</f>
        <v>0</v>
      </c>
      <c r="H22" s="129"/>
    </row>
    <row r="23" spans="1:14">
      <c r="A23" s="23" t="s">
        <v>3813</v>
      </c>
      <c r="B23" s="31">
        <f>COUNTIF(進捗一覧!$C$4:$C$326,$A23)</f>
        <v>19</v>
      </c>
      <c r="C23" s="31">
        <f>COUNTIFS(進捗一覧!$C$4:$C$326,$A23,進捗一覧!$H$4:$H$326,"確定")</f>
        <v>8</v>
      </c>
      <c r="D23" s="31">
        <f>COUNTIFS(進捗一覧!$C$4:$C$326,$A23,進捗一覧!$H$4:$H$326,"方向性確定（条件付き）")</f>
        <v>1</v>
      </c>
      <c r="E23" s="31">
        <f>COUNTIFS(進捗一覧!$C$4:$C$326,$A23,進捗一覧!$H$4:$H$326,"検討中")</f>
        <v>8</v>
      </c>
      <c r="F23" s="31">
        <f>COUNTIFS(進捗一覧!$C$4:$C$326,$A23,進捗一覧!$H$4:$H$326,"外部待ち")</f>
        <v>2</v>
      </c>
      <c r="G23" s="31">
        <f>COUNTIFS(進捗一覧!$C$4:$C$326,$A23,進捗一覧!$H$4:$H$326,"対象外")</f>
        <v>0</v>
      </c>
      <c r="H23" s="129"/>
    </row>
    <row r="24" spans="1:14">
      <c r="A24" s="23" t="s">
        <v>3830</v>
      </c>
      <c r="B24" s="31">
        <f>COUNTIF(進捗一覧!$C$4:$C$326,$A24)</f>
        <v>13</v>
      </c>
      <c r="C24" s="31">
        <f>COUNTIFS(進捗一覧!$C$4:$C$326,$A24,進捗一覧!$H$4:$H$326,"確定")</f>
        <v>3</v>
      </c>
      <c r="D24" s="31">
        <f>COUNTIFS(進捗一覧!$C$4:$C$326,$A24,進捗一覧!$H$4:$H$326,"方向性確定（条件付き）")</f>
        <v>1</v>
      </c>
      <c r="E24" s="31">
        <f>COUNTIFS(進捗一覧!$C$4:$C$326,$A24,進捗一覧!$H$4:$H$326,"検討中")</f>
        <v>7</v>
      </c>
      <c r="F24" s="31">
        <f>COUNTIFS(進捗一覧!$C$4:$C$326,$A24,進捗一覧!$H$4:$H$326,"外部待ち")</f>
        <v>2</v>
      </c>
      <c r="G24" s="31">
        <f>COUNTIFS(進捗一覧!$C$4:$C$326,$A24,進捗一覧!$H$4:$H$326,"対象外")</f>
        <v>0</v>
      </c>
      <c r="H24" s="129"/>
    </row>
    <row r="25" spans="1:14">
      <c r="A25" s="23" t="s">
        <v>3826</v>
      </c>
      <c r="B25" s="31">
        <f>COUNTIF(進捗一覧!$C$4:$C$326,$A25)</f>
        <v>26</v>
      </c>
      <c r="C25" s="31">
        <f>COUNTIFS(進捗一覧!$C$4:$C$326,$A25,進捗一覧!$H$4:$H$326,"確定")</f>
        <v>4</v>
      </c>
      <c r="D25" s="31">
        <f>COUNTIFS(進捗一覧!$C$4:$C$326,$A25,進捗一覧!$H$4:$H$326,"方向性確定（条件付き）")</f>
        <v>2</v>
      </c>
      <c r="E25" s="31">
        <f>COUNTIFS(進捗一覧!$C$4:$C$326,$A25,進捗一覧!$H$4:$H$326,"検討中")</f>
        <v>8</v>
      </c>
      <c r="F25" s="31">
        <f>COUNTIFS(進捗一覧!$C$4:$C$326,$A25,進捗一覧!$H$4:$H$326,"外部待ち")</f>
        <v>11</v>
      </c>
      <c r="G25" s="31">
        <f>COUNTIFS(進捗一覧!$C$4:$C$326,$A25,進捗一覧!$H$4:$H$326,"対象外")</f>
        <v>1</v>
      </c>
      <c r="H25" s="129" t="s">
        <v>3954</v>
      </c>
    </row>
    <row r="26" spans="1:14">
      <c r="A26" s="23" t="s">
        <v>3821</v>
      </c>
      <c r="B26" s="31">
        <f>COUNTIF(進捗一覧!$C$4:$C$326,$A26)</f>
        <v>23</v>
      </c>
      <c r="C26" s="31">
        <f>COUNTIFS(進捗一覧!$C$4:$C$326,$A26,進捗一覧!$H$4:$H$326,"確定")</f>
        <v>7</v>
      </c>
      <c r="D26" s="31">
        <f>COUNTIFS(進捗一覧!$C$4:$C$326,$A26,進捗一覧!$H$4:$H$326,"方向性確定（条件付き）")</f>
        <v>0</v>
      </c>
      <c r="E26" s="31">
        <f>COUNTIFS(進捗一覧!$C$4:$C$326,$A26,進捗一覧!$H$4:$H$326,"検討中")</f>
        <v>2</v>
      </c>
      <c r="F26" s="31">
        <f>COUNTIFS(進捗一覧!$C$4:$C$326,$A26,進捗一覧!$H$4:$H$326,"外部待ち")</f>
        <v>14</v>
      </c>
      <c r="G26" s="31">
        <f>COUNTIFS(進捗一覧!$C$4:$C$326,$A26,進捗一覧!$H$4:$H$326,"対象外")</f>
        <v>0</v>
      </c>
      <c r="H26" s="129" t="s">
        <v>3955</v>
      </c>
    </row>
    <row r="27" spans="1:14">
      <c r="A27" s="23" t="s">
        <v>3817</v>
      </c>
      <c r="B27" s="31">
        <f>COUNTIF(進捗一覧!$C$4:$C$326,$A27)</f>
        <v>31</v>
      </c>
      <c r="C27" s="31">
        <f>COUNTIFS(進捗一覧!$C$4:$C$326,$A27,進捗一覧!$H$4:$H$326,"確定")</f>
        <v>10</v>
      </c>
      <c r="D27" s="31">
        <f>COUNTIFS(進捗一覧!$C$4:$C$326,$A27,進捗一覧!$H$4:$H$326,"方向性確定（条件付き）")</f>
        <v>0</v>
      </c>
      <c r="E27" s="31">
        <f>COUNTIFS(進捗一覧!$C$4:$C$326,$A27,進捗一覧!$H$4:$H$326,"検討中")</f>
        <v>7</v>
      </c>
      <c r="F27" s="31">
        <f>COUNTIFS(進捗一覧!$C$4:$C$326,$A27,進捗一覧!$H$4:$H$326,"外部待ち")</f>
        <v>13</v>
      </c>
      <c r="G27" s="31">
        <f>COUNTIFS(進捗一覧!$C$4:$C$326,$A27,進捗一覧!$H$4:$H$326,"対象外")</f>
        <v>1</v>
      </c>
      <c r="H27" s="129"/>
    </row>
    <row r="28" spans="1:14">
      <c r="A28" s="23" t="s">
        <v>3823</v>
      </c>
      <c r="B28" s="31">
        <f>COUNTIF(進捗一覧!$C$4:$C$326,$A28)</f>
        <v>28</v>
      </c>
      <c r="C28" s="31">
        <f>COUNTIFS(進捗一覧!$C$4:$C$326,$A28,進捗一覧!$H$4:$H$326,"確定")</f>
        <v>2</v>
      </c>
      <c r="D28" s="31">
        <f>COUNTIFS(進捗一覧!$C$4:$C$326,$A28,進捗一覧!$H$4:$H$326,"方向性確定（条件付き）")</f>
        <v>0</v>
      </c>
      <c r="E28" s="31">
        <f>COUNTIFS(進捗一覧!$C$4:$C$326,$A28,進捗一覧!$H$4:$H$326,"検討中")</f>
        <v>3</v>
      </c>
      <c r="F28" s="31">
        <f>COUNTIFS(進捗一覧!$C$4:$C$326,$A28,進捗一覧!$H$4:$H$326,"外部待ち")</f>
        <v>22</v>
      </c>
      <c r="G28" s="31">
        <f>COUNTIFS(進捗一覧!$C$4:$C$326,$A28,進捗一覧!$H$4:$H$326,"対象外")</f>
        <v>1</v>
      </c>
      <c r="H28" s="129" t="s">
        <v>3956</v>
      </c>
    </row>
    <row r="29" spans="1:14">
      <c r="A29" s="23" t="s">
        <v>3825</v>
      </c>
      <c r="B29" s="31">
        <f>COUNTIF(進捗一覧!$C$4:$C$326,$A29)</f>
        <v>30</v>
      </c>
      <c r="C29" s="31">
        <f>COUNTIFS(進捗一覧!$C$4:$C$326,$A29,進捗一覧!$H$4:$H$326,"確定")</f>
        <v>4</v>
      </c>
      <c r="D29" s="31">
        <f>COUNTIFS(進捗一覧!$C$4:$C$326,$A29,進捗一覧!$H$4:$H$326,"方向性確定（条件付き）")</f>
        <v>0</v>
      </c>
      <c r="E29" s="31">
        <f>COUNTIFS(進捗一覧!$C$4:$C$326,$A29,進捗一覧!$H$4:$H$326,"検討中")</f>
        <v>8</v>
      </c>
      <c r="F29" s="31">
        <f>COUNTIFS(進捗一覧!$C$4:$C$326,$A29,進捗一覧!$H$4:$H$326,"外部待ち")</f>
        <v>17</v>
      </c>
      <c r="G29" s="31">
        <f>COUNTIFS(進捗一覧!$C$4:$C$326,$A29,進捗一覧!$H$4:$H$326,"対象外")</f>
        <v>1</v>
      </c>
      <c r="H29" s="129" t="s">
        <v>3957</v>
      </c>
    </row>
    <row r="30" spans="1:14">
      <c r="A30" s="23" t="s">
        <v>3818</v>
      </c>
      <c r="B30" s="31">
        <f>COUNTIF(進捗一覧!$C$4:$C$326,$A30)</f>
        <v>12</v>
      </c>
      <c r="C30" s="31">
        <f>COUNTIFS(進捗一覧!$C$4:$C$326,$A30,進捗一覧!$H$4:$H$326,"確定")</f>
        <v>4</v>
      </c>
      <c r="D30" s="31">
        <f>COUNTIFS(進捗一覧!$C$4:$C$326,$A30,進捗一覧!$H$4:$H$326,"方向性確定（条件付き）")</f>
        <v>0</v>
      </c>
      <c r="E30" s="31">
        <f>COUNTIFS(進捗一覧!$C$4:$C$326,$A30,進捗一覧!$H$4:$H$326,"検討中")</f>
        <v>7</v>
      </c>
      <c r="F30" s="31">
        <f>COUNTIFS(進捗一覧!$C$4:$C$326,$A30,進捗一覧!$H$4:$H$326,"外部待ち")</f>
        <v>0</v>
      </c>
      <c r="G30" s="31">
        <f>COUNTIFS(進捗一覧!$C$4:$C$326,$A30,進捗一覧!$H$4:$H$326,"対象外")</f>
        <v>1</v>
      </c>
      <c r="H30" s="129" t="s">
        <v>3958</v>
      </c>
    </row>
    <row r="31" spans="1:14">
      <c r="A31" s="23" t="s">
        <v>3820</v>
      </c>
      <c r="B31" s="31">
        <f>COUNTIF(進捗一覧!$C$4:$C$326,$A31)</f>
        <v>7</v>
      </c>
      <c r="C31" s="31">
        <f>COUNTIFS(進捗一覧!$C$4:$C$326,$A31,進捗一覧!$H$4:$H$326,"確定")</f>
        <v>2</v>
      </c>
      <c r="D31" s="31">
        <f>COUNTIFS(進捗一覧!$C$4:$C$326,$A31,進捗一覧!$H$4:$H$326,"方向性確定（条件付き）")</f>
        <v>0</v>
      </c>
      <c r="E31" s="31">
        <f>COUNTIFS(進捗一覧!$C$4:$C$326,$A31,進捗一覧!$H$4:$H$326,"検討中")</f>
        <v>1</v>
      </c>
      <c r="F31" s="31">
        <f>COUNTIFS(進捗一覧!$C$4:$C$326,$A31,進捗一覧!$H$4:$H$326,"外部待ち")</f>
        <v>3</v>
      </c>
      <c r="G31" s="31">
        <f>COUNTIFS(進捗一覧!$C$4:$C$326,$A31,進捗一覧!$H$4:$H$326,"対象外")</f>
        <v>1</v>
      </c>
      <c r="H31" s="129" t="s">
        <v>3959</v>
      </c>
    </row>
    <row r="32" spans="1:14">
      <c r="A32" s="23" t="s">
        <v>3833</v>
      </c>
      <c r="B32" s="31">
        <f>COUNTIF(進捗一覧!$C$4:$C$326,$A32)</f>
        <v>9</v>
      </c>
      <c r="C32" s="31">
        <f>COUNTIFS(進捗一覧!$C$4:$C$326,$A32,進捗一覧!$H$4:$H$326,"確定")</f>
        <v>1</v>
      </c>
      <c r="D32" s="31">
        <f>COUNTIFS(進捗一覧!$C$4:$C$326,$A32,進捗一覧!$H$4:$H$326,"方向性確定（条件付き）")</f>
        <v>0</v>
      </c>
      <c r="E32" s="31">
        <f>COUNTIFS(進捗一覧!$C$4:$C$326,$A32,進捗一覧!$H$4:$H$326,"検討中")</f>
        <v>7</v>
      </c>
      <c r="F32" s="31">
        <f>COUNTIFS(進捗一覧!$C$4:$C$326,$A32,進捗一覧!$H$4:$H$326,"外部待ち")</f>
        <v>1</v>
      </c>
      <c r="G32" s="31">
        <f>COUNTIFS(進捗一覧!$C$4:$C$326,$A32,進捗一覧!$H$4:$H$326,"対象外")</f>
        <v>0</v>
      </c>
      <c r="H32" s="129" t="s">
        <v>3960</v>
      </c>
    </row>
    <row r="33" spans="1:8">
      <c r="A33" s="25" t="s">
        <v>3842</v>
      </c>
      <c r="B33" s="32">
        <f>SUM(B16:B32)</f>
        <v>323</v>
      </c>
      <c r="C33" s="32">
        <f>SUM(C16:C32)</f>
        <v>72</v>
      </c>
      <c r="D33" s="32">
        <f>SUM(D16:D32)</f>
        <v>4</v>
      </c>
      <c r="E33" s="32">
        <f>SUM(E16:E32)</f>
        <v>76</v>
      </c>
      <c r="F33" s="32">
        <f>SUM(F16:F32)</f>
        <v>156</v>
      </c>
      <c r="G33" s="32">
        <f>SUM(G16:G32)</f>
        <v>15</v>
      </c>
      <c r="H33" s="30"/>
    </row>
    <row r="36" spans="1:8">
      <c r="A36" s="4" t="s">
        <v>3961</v>
      </c>
    </row>
    <row r="37" spans="1:8">
      <c r="A37" s="20" t="s">
        <v>3962</v>
      </c>
      <c r="B37" s="21" t="s">
        <v>3963</v>
      </c>
      <c r="C37" s="21" t="s">
        <v>3964</v>
      </c>
      <c r="D37" s="21" t="s">
        <v>3896</v>
      </c>
      <c r="E37" s="22" t="s">
        <v>3965</v>
      </c>
    </row>
    <row r="38" spans="1:8">
      <c r="A38" s="23" t="s">
        <v>3966</v>
      </c>
      <c r="B38" s="210">
        <v>244</v>
      </c>
      <c r="C38" s="24" t="s">
        <v>3967</v>
      </c>
      <c r="D38" s="31">
        <f>COUNTA('WBS(基本設計)'!$B$6:$B$91)</f>
        <v>86</v>
      </c>
      <c r="E38" s="29" t="s">
        <v>3968</v>
      </c>
    </row>
    <row r="39" spans="1:8">
      <c r="A39" s="23" t="s">
        <v>3969</v>
      </c>
      <c r="B39" s="210">
        <f>'WBS(詳細設計_製造)'!$U$17</f>
        <v>417.60000000000008</v>
      </c>
      <c r="C39" s="24" t="s">
        <v>3970</v>
      </c>
      <c r="D39" s="31">
        <f>COUNTA('WBS(詳細設計_製造)'!$A$6:$A$108)</f>
        <v>103</v>
      </c>
      <c r="E39" s="29" t="s">
        <v>3971</v>
      </c>
    </row>
    <row r="40" spans="1:8">
      <c r="A40" s="23" t="s">
        <v>3972</v>
      </c>
      <c r="B40" s="210">
        <f>'WBS(詳細設計_製造)'!$V$17</f>
        <v>626.4</v>
      </c>
      <c r="C40" s="24" t="s">
        <v>3970</v>
      </c>
      <c r="D40" s="31">
        <f>D39</f>
        <v>103</v>
      </c>
      <c r="E40" s="29" t="s">
        <v>3973</v>
      </c>
    </row>
    <row r="41" spans="1:8">
      <c r="A41" s="23" t="s">
        <v>3974</v>
      </c>
      <c r="B41" s="210">
        <f>'WBS(テスト)'!$C$60</f>
        <v>363</v>
      </c>
      <c r="C41" s="24" t="s">
        <v>3975</v>
      </c>
      <c r="D41" s="31">
        <f>COUNTA('WBS(テスト)'!$B$6:$B$48)</f>
        <v>43</v>
      </c>
      <c r="E41" s="29" t="s">
        <v>3976</v>
      </c>
    </row>
    <row r="42" spans="1:8">
      <c r="A42" s="179" t="s">
        <v>3977</v>
      </c>
      <c r="B42" s="211">
        <f>B39+B40+B41</f>
        <v>1407</v>
      </c>
      <c r="C42" s="212" t="s">
        <v>3978</v>
      </c>
      <c r="D42" s="166">
        <v>0</v>
      </c>
      <c r="E42" s="180"/>
    </row>
    <row r="43" spans="1:8">
      <c r="A43" s="25" t="s">
        <v>3979</v>
      </c>
      <c r="B43" s="213">
        <f>B38+B42</f>
        <v>1651</v>
      </c>
      <c r="C43" s="26" t="s">
        <v>3978</v>
      </c>
      <c r="D43" s="32">
        <v>0</v>
      </c>
      <c r="E43" s="184"/>
      <c r="F43" s="49" t="str">
        <f>IF(AND(ROUND(B42,0)=1407,ROUND(B43,0)=1651),"✓ 工程4分割と一致","⚠ 不一致")</f>
        <v>✓ 工程4分割と一致</v>
      </c>
    </row>
    <row r="45" spans="1:8">
      <c r="A45" s="54" t="s">
        <v>3980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3838</v>
      </c>
    </row>
    <row r="2" spans="1:8">
      <c r="A2" s="35" t="s">
        <v>3839</v>
      </c>
    </row>
    <row r="3" spans="1:8">
      <c r="A3" s="36" t="s">
        <v>3840</v>
      </c>
    </row>
    <row r="5" spans="1:8">
      <c r="A5" s="86" t="s">
        <v>3841</v>
      </c>
    </row>
    <row r="6" spans="1:8">
      <c r="A6" s="60" t="s">
        <v>2280</v>
      </c>
      <c r="B6" s="61" t="s">
        <v>2274</v>
      </c>
      <c r="C6" s="61" t="s">
        <v>2275</v>
      </c>
      <c r="D6" s="61" t="s">
        <v>2276</v>
      </c>
      <c r="E6" s="61" t="s">
        <v>2277</v>
      </c>
      <c r="F6" s="62" t="s">
        <v>2278</v>
      </c>
      <c r="G6" s="147" t="s">
        <v>1139</v>
      </c>
    </row>
    <row r="7" spans="1:8">
      <c r="A7" s="87" t="s">
        <v>2271</v>
      </c>
      <c r="B7" s="88">
        <f>COUNTIF(進捗一覧!$B$4:$B$326,$A7)</f>
        <v>99</v>
      </c>
      <c r="C7" s="88">
        <f>COUNTIFS(進捗一覧!$B$4:$B$326,$A7,進捗一覧!$H$4:$H$326,"確定")</f>
        <v>28</v>
      </c>
      <c r="D7" s="88">
        <f>COUNTIFS(進捗一覧!$B$4:$B$326,$A7,進捗一覧!$H$4:$H$326,"方向性確定（条件付き）")</f>
        <v>1</v>
      </c>
      <c r="E7" s="88">
        <f>COUNTIFS(進捗一覧!$B$4:$B$326,$A7,進捗一覧!$H$4:$H$326,"検討中")</f>
        <v>4</v>
      </c>
      <c r="F7" s="144">
        <f>COUNTIFS(進捗一覧!$B$4:$B$326,$A7,進捗一覧!$H$4:$H$326,"外部待ち")</f>
        <v>59</v>
      </c>
      <c r="G7" s="148">
        <f>COUNTIFS(進捗一覧!$B$4:$B$326,$A7,進捗一覧!$H$4:$H$326,"対象外")</f>
        <v>7</v>
      </c>
    </row>
    <row r="8" spans="1:8">
      <c r="A8" s="87" t="s">
        <v>2272</v>
      </c>
      <c r="B8" s="88">
        <f>COUNTIF(進捗一覧!$B$4:$B$326,$A8)</f>
        <v>99</v>
      </c>
      <c r="C8" s="88">
        <f>COUNTIFS(進捗一覧!$B$4:$B$326,$A8,進捗一覧!$H$4:$H$326,"確定")</f>
        <v>26</v>
      </c>
      <c r="D8" s="88">
        <f>COUNTIFS(進捗一覧!$B$4:$B$326,$A8,進捗一覧!$H$4:$H$326,"方向性確定（条件付き）")</f>
        <v>0</v>
      </c>
      <c r="E8" s="88">
        <f>COUNTIFS(進捗一覧!$B$4:$B$326,$A8,進捗一覧!$H$4:$H$326,"検討中")</f>
        <v>11</v>
      </c>
      <c r="F8" s="144">
        <f>COUNTIFS(進捗一覧!$B$4:$B$326,$A8,進捗一覧!$H$4:$H$326,"外部待ち")</f>
        <v>59</v>
      </c>
      <c r="G8" s="148">
        <f>COUNTIFS(進捗一覧!$B$4:$B$326,$A8,進捗一覧!$H$4:$H$326,"対象外")</f>
        <v>3</v>
      </c>
    </row>
    <row r="9" spans="1:8">
      <c r="A9" s="87" t="s">
        <v>3829</v>
      </c>
      <c r="B9" s="88">
        <f>COUNTIF(進捗一覧!$B$4:$B$326,$A9)</f>
        <v>22</v>
      </c>
      <c r="C9" s="88">
        <f>COUNTIFS(進捗一覧!$B$4:$B$326,$A9,進捗一覧!$H$4:$H$326,"確定")</f>
        <v>9</v>
      </c>
      <c r="D9" s="88">
        <f>COUNTIFS(進捗一覧!$B$4:$B$326,$A9,進捗一覧!$H$4:$H$326,"方向性確定（条件付き）")</f>
        <v>2</v>
      </c>
      <c r="E9" s="88">
        <f>COUNTIFS(進捗一覧!$B$4:$B$326,$A9,進捗一覧!$H$4:$H$326,"検討中")</f>
        <v>1</v>
      </c>
      <c r="F9" s="144">
        <f>COUNTIFS(進捗一覧!$B$4:$B$326,$A9,進捗一覧!$H$4:$H$326,"外部待ち")</f>
        <v>10</v>
      </c>
      <c r="G9" s="148">
        <f>COUNTIFS(進捗一覧!$B$4:$B$326,$A9,進捗一覧!$H$4:$H$326,"対象外")</f>
        <v>0</v>
      </c>
    </row>
    <row r="10" spans="1:8">
      <c r="A10" s="87" t="s">
        <v>3831</v>
      </c>
      <c r="B10" s="88">
        <f>COUNTIF(進捗一覧!$B$4:$B$326,$A10)</f>
        <v>9</v>
      </c>
      <c r="C10" s="88">
        <f>COUNTIFS(進捗一覧!$B$4:$B$326,$A10,進捗一覧!$H$4:$H$326,"確定")</f>
        <v>0</v>
      </c>
      <c r="D10" s="88">
        <f>COUNTIFS(進捗一覧!$B$4:$B$326,$A10,進捗一覧!$H$4:$H$326,"方向性確定（条件付き）")</f>
        <v>1</v>
      </c>
      <c r="E10" s="88">
        <f>COUNTIFS(進捗一覧!$B$4:$B$326,$A10,進捗一覧!$H$4:$H$326,"検討中")</f>
        <v>2</v>
      </c>
      <c r="F10" s="144">
        <f>COUNTIFS(進捗一覧!$B$4:$B$326,$A10,進捗一覧!$H$4:$H$326,"外部待ち")</f>
        <v>5</v>
      </c>
      <c r="G10" s="148">
        <f>COUNTIFS(進捗一覧!$B$4:$B$326,$A10,進捗一覧!$H$4:$H$326,"対象外")</f>
        <v>1</v>
      </c>
    </row>
    <row r="11" spans="1:8">
      <c r="A11" s="87" t="s">
        <v>2273</v>
      </c>
      <c r="B11" s="88">
        <f>COUNTIF(進捗一覧!$B$4:$B$326,$A11)</f>
        <v>67</v>
      </c>
      <c r="C11" s="88">
        <f>COUNTIFS(進捗一覧!$B$4:$B$326,$A11,進捗一覧!$H$4:$H$326,"確定")</f>
        <v>8</v>
      </c>
      <c r="D11" s="88">
        <f>COUNTIFS(進捗一覧!$B$4:$B$326,$A11,進捗一覧!$H$4:$H$326,"方向性確定（条件付き）")</f>
        <v>0</v>
      </c>
      <c r="E11" s="88">
        <f>COUNTIFS(進捗一覧!$B$4:$B$326,$A11,進捗一覧!$H$4:$H$326,"検討中")</f>
        <v>55</v>
      </c>
      <c r="F11" s="144">
        <f>COUNTIFS(進捗一覧!$B$4:$B$326,$A11,進捗一覧!$H$4:$H$326,"外部待ち")</f>
        <v>1</v>
      </c>
      <c r="G11" s="148">
        <f>COUNTIFS(進捗一覧!$B$4:$B$326,$A11,進捗一覧!$H$4:$H$326,"対象外")</f>
        <v>3</v>
      </c>
    </row>
    <row r="12" spans="1:8">
      <c r="A12" s="116" t="s">
        <v>3827</v>
      </c>
      <c r="B12" s="90">
        <f>COUNTIF(進捗一覧!$B$4:$B$326,$A12)</f>
        <v>27</v>
      </c>
      <c r="C12" s="90">
        <f>COUNTIFS(進捗一覧!$B$4:$B$326,$A12,進捗一覧!$H$4:$H$326,"確定")</f>
        <v>1</v>
      </c>
      <c r="D12" s="90">
        <f>COUNTIFS(進捗一覧!$B$4:$B$326,$A12,進捗一覧!$H$4:$H$326,"方向性確定（条件付き）")</f>
        <v>0</v>
      </c>
      <c r="E12" s="90">
        <f>COUNTIFS(進捗一覧!$B$4:$B$326,$A12,進捗一覧!$H$4:$H$326,"検討中")</f>
        <v>3</v>
      </c>
      <c r="F12" s="145">
        <f>COUNTIFS(進捗一覧!$B$4:$B$326,$A12,進捗一覧!$H$4:$H$326,"外部待ち")</f>
        <v>22</v>
      </c>
      <c r="G12" s="146">
        <f>COUNTIFS(進捗一覧!$B$4:$B$326,$A12,進捗一覧!$H$4:$H$326,"対象外")</f>
        <v>1</v>
      </c>
    </row>
    <row r="13" spans="1:8">
      <c r="A13" s="89" t="s">
        <v>3842</v>
      </c>
      <c r="B13" s="149">
        <f>SUM(B7:B12)</f>
        <v>323</v>
      </c>
      <c r="C13" s="149">
        <f>SUM(C7:C12)</f>
        <v>72</v>
      </c>
      <c r="D13" s="149">
        <f>SUM(D7:D12)</f>
        <v>4</v>
      </c>
      <c r="E13" s="149">
        <f>SUM(E7:E12)</f>
        <v>76</v>
      </c>
      <c r="F13" s="150">
        <f>SUM(F7:F12)</f>
        <v>156</v>
      </c>
      <c r="G13" s="149">
        <f>SUM(G7:G12)</f>
        <v>15</v>
      </c>
      <c r="H13" s="63" t="str">
        <f>IF(B13=COUNTA(進捗一覧!$P$4:$P$326),"✓ 明細行数と一致","⚠ 不一致")</f>
        <v>✓ 明細行数と一致</v>
      </c>
    </row>
    <row r="15" spans="1:8">
      <c r="A15" s="86" t="s">
        <v>3843</v>
      </c>
      <c r="B15" s="61" t="s">
        <v>3844</v>
      </c>
      <c r="C15" s="61" t="s">
        <v>2281</v>
      </c>
      <c r="D15" s="61" t="s">
        <v>2274</v>
      </c>
      <c r="E15" s="61" t="s">
        <v>2275</v>
      </c>
      <c r="F15" s="61" t="s">
        <v>2276</v>
      </c>
      <c r="G15" s="61" t="s">
        <v>2277</v>
      </c>
      <c r="H15" s="62" t="s">
        <v>2278</v>
      </c>
    </row>
    <row r="16" spans="1:8">
      <c r="A16" s="60" t="s">
        <v>3845</v>
      </c>
      <c r="B16" s="152" t="s">
        <v>2280</v>
      </c>
      <c r="C16" s="152" t="s">
        <v>2281</v>
      </c>
      <c r="D16" s="151" t="s">
        <v>2274</v>
      </c>
      <c r="E16" s="151" t="s">
        <v>2275</v>
      </c>
      <c r="F16" s="151" t="s">
        <v>2276</v>
      </c>
      <c r="G16" s="151" t="s">
        <v>2277</v>
      </c>
      <c r="H16" s="153" t="s">
        <v>2278</v>
      </c>
    </row>
    <row r="17" spans="1:8">
      <c r="A17" s="87" t="s">
        <v>3846</v>
      </c>
      <c r="B17" s="91" t="s">
        <v>2271</v>
      </c>
      <c r="C17" s="91" t="s">
        <v>2282</v>
      </c>
      <c r="D17" s="92">
        <f>COUNTIFS(進捗一覧!$B$4:$B$326,$B17,進捗一覧!$P$4:$P$326,$C17)</f>
        <v>16</v>
      </c>
      <c r="E17" s="92">
        <f>COUNTIFS(進捗一覧!$B$4:$B$326,$B17,進捗一覧!$P$4:$P$326,$C17,進捗一覧!$H$4:$H$326,"確定")</f>
        <v>5</v>
      </c>
      <c r="F17" s="92">
        <f>COUNTIFS(進捗一覧!$B$4:$B$326,$B17,進捗一覧!$P$4:$P$326,$C17,進捗一覧!$H$4:$H$326,"方向性確定（条件付き）")</f>
        <v>0</v>
      </c>
      <c r="G17" s="92">
        <f>COUNTIFS(進捗一覧!$B$4:$B$326,$B17,進捗一覧!$P$4:$P$326,$C17,進捗一覧!$H$4:$H$326,"検討中")</f>
        <v>0</v>
      </c>
      <c r="H17" s="154">
        <f>COUNTIFS(進捗一覧!$B$4:$B$326,$B17,進捗一覧!$P$4:$P$326,$C17,進捗一覧!$H$4:$H$326,"外部待ち")</f>
        <v>8</v>
      </c>
    </row>
    <row r="18" spans="1:8">
      <c r="A18" s="87" t="s">
        <v>3847</v>
      </c>
      <c r="B18" s="91" t="s">
        <v>2271</v>
      </c>
      <c r="C18" s="91" t="s">
        <v>2283</v>
      </c>
      <c r="D18" s="92">
        <f>COUNTIFS(進捗一覧!$B$4:$B$326,$B18,進捗一覧!$P$4:$P$326,$C18)</f>
        <v>17</v>
      </c>
      <c r="E18" s="92">
        <f>COUNTIFS(進捗一覧!$B$4:$B$326,$B18,進捗一覧!$P$4:$P$326,$C18,進捗一覧!$H$4:$H$326,"確定")</f>
        <v>3</v>
      </c>
      <c r="F18" s="92">
        <f>COUNTIFS(進捗一覧!$B$4:$B$326,$B18,進捗一覧!$P$4:$P$326,$C18,進捗一覧!$H$4:$H$326,"方向性確定（条件付き）")</f>
        <v>0</v>
      </c>
      <c r="G18" s="92">
        <f>COUNTIFS(進捗一覧!$B$4:$B$326,$B18,進捗一覧!$P$4:$P$326,$C18,進捗一覧!$H$4:$H$326,"検討中")</f>
        <v>0</v>
      </c>
      <c r="H18" s="154">
        <f>COUNTIFS(進捗一覧!$B$4:$B$326,$B18,進捗一覧!$P$4:$P$326,$C18,進捗一覧!$H$4:$H$326,"外部待ち")</f>
        <v>14</v>
      </c>
    </row>
    <row r="19" spans="1:8">
      <c r="A19" s="87" t="s">
        <v>3848</v>
      </c>
      <c r="B19" s="91" t="s">
        <v>2271</v>
      </c>
      <c r="C19" s="91" t="s">
        <v>2284</v>
      </c>
      <c r="D19" s="92">
        <f>COUNTIFS(進捗一覧!$B$4:$B$326,$B19,進捗一覧!$P$4:$P$326,$C19)</f>
        <v>11</v>
      </c>
      <c r="E19" s="92">
        <f>COUNTIFS(進捗一覧!$B$4:$B$326,$B19,進捗一覧!$P$4:$P$326,$C19,進捗一覧!$H$4:$H$326,"確定")</f>
        <v>3</v>
      </c>
      <c r="F19" s="92">
        <f>COUNTIFS(進捗一覧!$B$4:$B$326,$B19,進捗一覧!$P$4:$P$326,$C19,進捗一覧!$H$4:$H$326,"方向性確定（条件付き）")</f>
        <v>0</v>
      </c>
      <c r="G19" s="92">
        <f>COUNTIFS(進捗一覧!$B$4:$B$326,$B19,進捗一覧!$P$4:$P$326,$C19,進捗一覧!$H$4:$H$326,"検討中")</f>
        <v>0</v>
      </c>
      <c r="H19" s="154">
        <f>COUNTIFS(進捗一覧!$B$4:$B$326,$B19,進捗一覧!$P$4:$P$326,$C19,進捗一覧!$H$4:$H$326,"外部待ち")</f>
        <v>8</v>
      </c>
    </row>
    <row r="20" spans="1:8">
      <c r="A20" s="87" t="s">
        <v>3849</v>
      </c>
      <c r="B20" s="91" t="s">
        <v>2271</v>
      </c>
      <c r="C20" s="91" t="s">
        <v>2285</v>
      </c>
      <c r="D20" s="92">
        <f>COUNTIFS(進捗一覧!$B$4:$B$326,$B20,進捗一覧!$P$4:$P$326,$C20)</f>
        <v>11</v>
      </c>
      <c r="E20" s="92">
        <f>COUNTIFS(進捗一覧!$B$4:$B$326,$B20,進捗一覧!$P$4:$P$326,$C20,進捗一覧!$H$4:$H$326,"確定")</f>
        <v>1</v>
      </c>
      <c r="F20" s="92">
        <f>COUNTIFS(進捗一覧!$B$4:$B$326,$B20,進捗一覧!$P$4:$P$326,$C20,進捗一覧!$H$4:$H$326,"方向性確定（条件付き）")</f>
        <v>0</v>
      </c>
      <c r="G20" s="92">
        <f>COUNTIFS(進捗一覧!$B$4:$B$326,$B20,進捗一覧!$P$4:$P$326,$C20,進捗一覧!$H$4:$H$326,"検討中")</f>
        <v>0</v>
      </c>
      <c r="H20" s="154">
        <f>COUNTIFS(進捗一覧!$B$4:$B$326,$B20,進捗一覧!$P$4:$P$326,$C20,進捗一覧!$H$4:$H$326,"外部待ち")</f>
        <v>10</v>
      </c>
    </row>
    <row r="21" spans="1:8">
      <c r="A21" s="87" t="s">
        <v>3850</v>
      </c>
      <c r="B21" s="91" t="s">
        <v>2271</v>
      </c>
      <c r="C21" s="91" t="s">
        <v>2286</v>
      </c>
      <c r="D21" s="92">
        <f>COUNTIFS(進捗一覧!$B$4:$B$326,$B21,進捗一覧!$P$4:$P$326,$C21)</f>
        <v>10</v>
      </c>
      <c r="E21" s="92">
        <f>COUNTIFS(進捗一覧!$B$4:$B$326,$B21,進捗一覧!$P$4:$P$326,$C21,進捗一覧!$H$4:$H$326,"確定")</f>
        <v>3</v>
      </c>
      <c r="F21" s="92">
        <f>COUNTIFS(進捗一覧!$B$4:$B$326,$B21,進捗一覧!$P$4:$P$326,$C21,進捗一覧!$H$4:$H$326,"方向性確定（条件付き）")</f>
        <v>0</v>
      </c>
      <c r="G21" s="92">
        <f>COUNTIFS(進捗一覧!$B$4:$B$326,$B21,進捗一覧!$P$4:$P$326,$C21,進捗一覧!$H$4:$H$326,"検討中")</f>
        <v>0</v>
      </c>
      <c r="H21" s="154">
        <f>COUNTIFS(進捗一覧!$B$4:$B$326,$B21,進捗一覧!$P$4:$P$326,$C21,進捗一覧!$H$4:$H$326,"外部待ち")</f>
        <v>3</v>
      </c>
    </row>
    <row r="22" spans="1:8">
      <c r="A22" s="87" t="s">
        <v>3851</v>
      </c>
      <c r="B22" s="91" t="s">
        <v>2271</v>
      </c>
      <c r="C22" s="91" t="s">
        <v>2287</v>
      </c>
      <c r="D22" s="92">
        <f>COUNTIFS(進捗一覧!$B$4:$B$326,$B22,進捗一覧!$P$4:$P$326,$C22)</f>
        <v>12</v>
      </c>
      <c r="E22" s="92">
        <f>COUNTIFS(進捗一覧!$B$4:$B$326,$B22,進捗一覧!$P$4:$P$326,$C22,進捗一覧!$H$4:$H$326,"確定")</f>
        <v>5</v>
      </c>
      <c r="F22" s="92">
        <f>COUNTIFS(進捗一覧!$B$4:$B$326,$B22,進捗一覧!$P$4:$P$326,$C22,進捗一覧!$H$4:$H$326,"方向性確定（条件付き）")</f>
        <v>0</v>
      </c>
      <c r="G22" s="92">
        <f>COUNTIFS(進捗一覧!$B$4:$B$326,$B22,進捗一覧!$P$4:$P$326,$C22,進捗一覧!$H$4:$H$326,"検討中")</f>
        <v>1</v>
      </c>
      <c r="H22" s="154">
        <f>COUNTIFS(進捗一覧!$B$4:$B$326,$B22,進捗一覧!$P$4:$P$326,$C22,進捗一覧!$H$4:$H$326,"外部待ち")</f>
        <v>6</v>
      </c>
    </row>
    <row r="23" spans="1:8">
      <c r="A23" s="87" t="s">
        <v>3852</v>
      </c>
      <c r="B23" s="91" t="s">
        <v>2271</v>
      </c>
      <c r="C23" s="91" t="s">
        <v>2288</v>
      </c>
      <c r="D23" s="92">
        <f>COUNTIFS(進捗一覧!$B$4:$B$326,$B23,進捗一覧!$P$4:$P$326,$C23)</f>
        <v>12</v>
      </c>
      <c r="E23" s="92">
        <f>COUNTIFS(進捗一覧!$B$4:$B$326,$B23,進捗一覧!$P$4:$P$326,$C23,進捗一覧!$H$4:$H$326,"確定")</f>
        <v>2</v>
      </c>
      <c r="F23" s="92">
        <f>COUNTIFS(進捗一覧!$B$4:$B$326,$B23,進捗一覧!$P$4:$P$326,$C23,進捗一覧!$H$4:$H$326,"方向性確定（条件付き）")</f>
        <v>0</v>
      </c>
      <c r="G23" s="92">
        <f>COUNTIFS(進捗一覧!$B$4:$B$326,$B23,進捗一覧!$P$4:$P$326,$C23,進捗一覧!$H$4:$H$326,"検討中")</f>
        <v>1</v>
      </c>
      <c r="H23" s="154">
        <f>COUNTIFS(進捗一覧!$B$4:$B$326,$B23,進捗一覧!$P$4:$P$326,$C23,進捗一覧!$H$4:$H$326,"外部待ち")</f>
        <v>9</v>
      </c>
    </row>
    <row r="24" spans="1:8">
      <c r="A24" s="87" t="s">
        <v>3853</v>
      </c>
      <c r="B24" s="91" t="s">
        <v>2271</v>
      </c>
      <c r="C24" s="91" t="s">
        <v>2289</v>
      </c>
      <c r="D24" s="92">
        <f>COUNTIFS(進捗一覧!$B$4:$B$326,$B24,進捗一覧!$P$4:$P$326,$C24)</f>
        <v>10</v>
      </c>
      <c r="E24" s="92">
        <f>COUNTIFS(進捗一覧!$B$4:$B$326,$B24,進捗一覧!$P$4:$P$326,$C24,進捗一覧!$H$4:$H$326,"確定")</f>
        <v>6</v>
      </c>
      <c r="F24" s="92">
        <f>COUNTIFS(進捗一覧!$B$4:$B$326,$B24,進捗一覧!$P$4:$P$326,$C24,進捗一覧!$H$4:$H$326,"方向性確定（条件付き）")</f>
        <v>1</v>
      </c>
      <c r="G24" s="92">
        <f>COUNTIFS(進捗一覧!$B$4:$B$326,$B24,進捗一覧!$P$4:$P$326,$C24,進捗一覧!$H$4:$H$326,"検討中")</f>
        <v>2</v>
      </c>
      <c r="H24" s="154">
        <f>COUNTIFS(進捗一覧!$B$4:$B$326,$B24,進捗一覧!$P$4:$P$326,$C24,進捗一覧!$H$4:$H$326,"外部待ち")</f>
        <v>1</v>
      </c>
    </row>
    <row r="25" spans="1:8">
      <c r="A25" s="87" t="s">
        <v>3822</v>
      </c>
      <c r="B25" s="91" t="s">
        <v>2272</v>
      </c>
      <c r="C25" s="91" t="s">
        <v>2290</v>
      </c>
      <c r="D25" s="92">
        <f>COUNTIFS(進捗一覧!$B$4:$B$326,$B25,進捗一覧!$P$4:$P$326,$C25)</f>
        <v>8</v>
      </c>
      <c r="E25" s="92">
        <f>COUNTIFS(進捗一覧!$B$4:$B$326,$B25,進捗一覧!$P$4:$P$326,$C25,進捗一覧!$H$4:$H$326,"確定")</f>
        <v>4</v>
      </c>
      <c r="F25" s="92">
        <f>COUNTIFS(進捗一覧!$B$4:$B$326,$B25,進捗一覧!$P$4:$P$326,$C25,進捗一覧!$H$4:$H$326,"方向性確定（条件付き）")</f>
        <v>0</v>
      </c>
      <c r="G25" s="92">
        <f>COUNTIFS(進捗一覧!$B$4:$B$326,$B25,進捗一覧!$P$4:$P$326,$C25,進捗一覧!$H$4:$H$326,"検討中")</f>
        <v>0</v>
      </c>
      <c r="H25" s="154">
        <f>COUNTIFS(進捗一覧!$B$4:$B$326,$B25,進捗一覧!$P$4:$P$326,$C25,進捗一覧!$H$4:$H$326,"外部待ち")</f>
        <v>4</v>
      </c>
    </row>
    <row r="26" spans="1:8">
      <c r="A26" s="87" t="s">
        <v>3854</v>
      </c>
      <c r="B26" s="91" t="s">
        <v>2272</v>
      </c>
      <c r="C26" s="91" t="s">
        <v>2291</v>
      </c>
      <c r="D26" s="92">
        <f>COUNTIFS(進捗一覧!$B$4:$B$326,$B26,進捗一覧!$P$4:$P$326,$C26)</f>
        <v>8</v>
      </c>
      <c r="E26" s="92">
        <f>COUNTIFS(進捗一覧!$B$4:$B$326,$B26,進捗一覧!$P$4:$P$326,$C26,進捗一覧!$H$4:$H$326,"確定")</f>
        <v>2</v>
      </c>
      <c r="F26" s="92">
        <f>COUNTIFS(進捗一覧!$B$4:$B$326,$B26,進捗一覧!$P$4:$P$326,$C26,進捗一覧!$H$4:$H$326,"方向性確定（条件付き）")</f>
        <v>0</v>
      </c>
      <c r="G26" s="92">
        <f>COUNTIFS(進捗一覧!$B$4:$B$326,$B26,進捗一覧!$P$4:$P$326,$C26,進捗一覧!$H$4:$H$326,"検討中")</f>
        <v>1</v>
      </c>
      <c r="H26" s="154">
        <f>COUNTIFS(進捗一覧!$B$4:$B$326,$B26,進捗一覧!$P$4:$P$326,$C26,進捗一覧!$H$4:$H$326,"外部待ち")</f>
        <v>4</v>
      </c>
    </row>
    <row r="27" spans="1:8">
      <c r="A27" s="87" t="s">
        <v>3855</v>
      </c>
      <c r="B27" s="91" t="s">
        <v>2272</v>
      </c>
      <c r="C27" s="91" t="s">
        <v>2292</v>
      </c>
      <c r="D27" s="92">
        <f>COUNTIFS(進捗一覧!$B$4:$B$326,$B27,進捗一覧!$P$4:$P$326,$C27)</f>
        <v>8</v>
      </c>
      <c r="E27" s="92">
        <f>COUNTIFS(進捗一覧!$B$4:$B$326,$B27,進捗一覧!$P$4:$P$326,$C27,進捗一覧!$H$4:$H$326,"確定")</f>
        <v>1</v>
      </c>
      <c r="F27" s="92">
        <f>COUNTIFS(進捗一覧!$B$4:$B$326,$B27,進捗一覧!$P$4:$P$326,$C27,進捗一覧!$H$4:$H$326,"方向性確定（条件付き）")</f>
        <v>0</v>
      </c>
      <c r="G27" s="92">
        <f>COUNTIFS(進捗一覧!$B$4:$B$326,$B27,進捗一覧!$P$4:$P$326,$C27,進捗一覧!$H$4:$H$326,"検討中")</f>
        <v>1</v>
      </c>
      <c r="H27" s="154">
        <f>COUNTIFS(進捗一覧!$B$4:$B$326,$B27,進捗一覧!$P$4:$P$326,$C27,進捗一覧!$H$4:$H$326,"外部待ち")</f>
        <v>6</v>
      </c>
    </row>
    <row r="28" spans="1:8">
      <c r="A28" s="87" t="s">
        <v>3856</v>
      </c>
      <c r="B28" s="91" t="s">
        <v>2272</v>
      </c>
      <c r="C28" s="91" t="s">
        <v>2293</v>
      </c>
      <c r="D28" s="92">
        <f>COUNTIFS(進捗一覧!$B$4:$B$326,$B28,進捗一覧!$P$4:$P$326,$C28)</f>
        <v>21</v>
      </c>
      <c r="E28" s="92">
        <f>COUNTIFS(進捗一覧!$B$4:$B$326,$B28,進捗一覧!$P$4:$P$326,$C28,進捗一覧!$H$4:$H$326,"確定")</f>
        <v>10</v>
      </c>
      <c r="F28" s="92">
        <f>COUNTIFS(進捗一覧!$B$4:$B$326,$B28,進捗一覧!$P$4:$P$326,$C28,進捗一覧!$H$4:$H$326,"方向性確定（条件付き）")</f>
        <v>0</v>
      </c>
      <c r="G28" s="92">
        <f>COUNTIFS(進捗一覧!$B$4:$B$326,$B28,進捗一覧!$P$4:$P$326,$C28,進捗一覧!$H$4:$H$326,"検討中")</f>
        <v>1</v>
      </c>
      <c r="H28" s="154">
        <f>COUNTIFS(進捗一覧!$B$4:$B$326,$B28,進捗一覧!$P$4:$P$326,$C28,進捗一覧!$H$4:$H$326,"外部待ち")</f>
        <v>10</v>
      </c>
    </row>
    <row r="29" spans="1:8">
      <c r="A29" s="87" t="s">
        <v>3824</v>
      </c>
      <c r="B29" s="91" t="s">
        <v>2272</v>
      </c>
      <c r="C29" s="91" t="s">
        <v>2294</v>
      </c>
      <c r="D29" s="92">
        <f>COUNTIFS(進捗一覧!$B$4:$B$326,$B29,進捗一覧!$P$4:$P$326,$C29)</f>
        <v>8</v>
      </c>
      <c r="E29" s="92">
        <f>COUNTIFS(進捗一覧!$B$4:$B$326,$B29,進捗一覧!$P$4:$P$326,$C29,進捗一覧!$H$4:$H$326,"確定")</f>
        <v>1</v>
      </c>
      <c r="F29" s="92">
        <f>COUNTIFS(進捗一覧!$B$4:$B$326,$B29,進捗一覧!$P$4:$P$326,$C29,進捗一覧!$H$4:$H$326,"方向性確定（条件付き）")</f>
        <v>0</v>
      </c>
      <c r="G29" s="92">
        <f>COUNTIFS(進捗一覧!$B$4:$B$326,$B29,進捗一覧!$P$4:$P$326,$C29,進捗一覧!$H$4:$H$326,"検討中")</f>
        <v>0</v>
      </c>
      <c r="H29" s="154">
        <f>COUNTIFS(進捗一覧!$B$4:$B$326,$B29,進捗一覧!$P$4:$P$326,$C29,進捗一覧!$H$4:$H$326,"外部待ち")</f>
        <v>7</v>
      </c>
    </row>
    <row r="30" spans="1:8">
      <c r="A30" s="87" t="s">
        <v>3857</v>
      </c>
      <c r="B30" s="91" t="s">
        <v>2272</v>
      </c>
      <c r="C30" s="91" t="s">
        <v>2295</v>
      </c>
      <c r="D30" s="92">
        <f>COUNTIFS(進捗一覧!$B$4:$B$326,$B30,進捗一覧!$P$4:$P$326,$C30)</f>
        <v>14</v>
      </c>
      <c r="E30" s="92">
        <f>COUNTIFS(進捗一覧!$B$4:$B$326,$B30,進捗一覧!$P$4:$P$326,$C30,進捗一覧!$H$4:$H$326,"確定")</f>
        <v>0</v>
      </c>
      <c r="F30" s="92">
        <f>COUNTIFS(進捗一覧!$B$4:$B$326,$B30,進捗一覧!$P$4:$P$326,$C30,進捗一覧!$H$4:$H$326,"方向性確定（条件付き）")</f>
        <v>0</v>
      </c>
      <c r="G30" s="92">
        <f>COUNTIFS(進捗一覧!$B$4:$B$326,$B30,進捗一覧!$P$4:$P$326,$C30,進捗一覧!$H$4:$H$326,"検討中")</f>
        <v>1</v>
      </c>
      <c r="H30" s="154">
        <f>COUNTIFS(進捗一覧!$B$4:$B$326,$B30,進捗一覧!$P$4:$P$326,$C30,進捗一覧!$H$4:$H$326,"外部待ち")</f>
        <v>13</v>
      </c>
    </row>
    <row r="31" spans="1:8">
      <c r="A31" s="87" t="s">
        <v>3858</v>
      </c>
      <c r="B31" s="91" t="s">
        <v>2272</v>
      </c>
      <c r="C31" s="91" t="s">
        <v>2296</v>
      </c>
      <c r="D31" s="92">
        <f>COUNTIFS(進捗一覧!$B$4:$B$326,$B31,進捗一覧!$P$4:$P$326,$C31)</f>
        <v>16</v>
      </c>
      <c r="E31" s="92">
        <f>COUNTIFS(進捗一覧!$B$4:$B$326,$B31,進捗一覧!$P$4:$P$326,$C31,進捗一覧!$H$4:$H$326,"確定")</f>
        <v>2</v>
      </c>
      <c r="F31" s="92">
        <f>COUNTIFS(進捗一覧!$B$4:$B$326,$B31,進捗一覧!$P$4:$P$326,$C31,進捗一覧!$H$4:$H$326,"方向性確定（条件付き）")</f>
        <v>0</v>
      </c>
      <c r="G31" s="92">
        <f>COUNTIFS(進捗一覧!$B$4:$B$326,$B31,進捗一覧!$P$4:$P$326,$C31,進捗一覧!$H$4:$H$326,"検討中")</f>
        <v>0</v>
      </c>
      <c r="H31" s="154">
        <f>COUNTIFS(進捗一覧!$B$4:$B$326,$B31,進捗一覧!$P$4:$P$326,$C31,進捗一覧!$H$4:$H$326,"外部待ち")</f>
        <v>14</v>
      </c>
    </row>
    <row r="32" spans="1:8">
      <c r="A32" s="87" t="s">
        <v>3819</v>
      </c>
      <c r="B32" s="91" t="s">
        <v>2272</v>
      </c>
      <c r="C32" s="91" t="s">
        <v>2297</v>
      </c>
      <c r="D32" s="92">
        <f>COUNTIFS(進捗一覧!$B$4:$B$326,$B32,進捗一覧!$P$4:$P$326,$C32)</f>
        <v>11</v>
      </c>
      <c r="E32" s="92">
        <f>COUNTIFS(進捗一覧!$B$4:$B$326,$B32,進捗一覧!$P$4:$P$326,$C32,進捗一覧!$H$4:$H$326,"確定")</f>
        <v>4</v>
      </c>
      <c r="F32" s="92">
        <f>COUNTIFS(進捗一覧!$B$4:$B$326,$B32,進捗一覧!$P$4:$P$326,$C32,進捗一覧!$H$4:$H$326,"方向性確定（条件付き）")</f>
        <v>0</v>
      </c>
      <c r="G32" s="92">
        <f>COUNTIFS(進捗一覧!$B$4:$B$326,$B32,進捗一覧!$P$4:$P$326,$C32,進捗一覧!$H$4:$H$326,"検討中")</f>
        <v>6</v>
      </c>
      <c r="H32" s="154">
        <f>COUNTIFS(進捗一覧!$B$4:$B$326,$B32,進捗一覧!$P$4:$P$326,$C32,進捗一覧!$H$4:$H$326,"外部待ち")</f>
        <v>0</v>
      </c>
    </row>
    <row r="33" spans="1:8">
      <c r="A33" s="87" t="s">
        <v>3859</v>
      </c>
      <c r="B33" s="91" t="s">
        <v>2272</v>
      </c>
      <c r="C33" s="91" t="s">
        <v>2298</v>
      </c>
      <c r="D33" s="92">
        <f>COUNTIFS(進捗一覧!$B$4:$B$326,$B33,進捗一覧!$P$4:$P$326,$C33)</f>
        <v>5</v>
      </c>
      <c r="E33" s="92">
        <f>COUNTIFS(進捗一覧!$B$4:$B$326,$B33,進捗一覧!$P$4:$P$326,$C33,進捗一覧!$H$4:$H$326,"確定")</f>
        <v>2</v>
      </c>
      <c r="F33" s="92">
        <f>COUNTIFS(進捗一覧!$B$4:$B$326,$B33,進捗一覧!$P$4:$P$326,$C33,進捗一覧!$H$4:$H$326,"方向性確定（条件付き）")</f>
        <v>0</v>
      </c>
      <c r="G33" s="92">
        <f>COUNTIFS(進捗一覧!$B$4:$B$326,$B33,進捗一覧!$P$4:$P$326,$C33,進捗一覧!$H$4:$H$326,"検討中")</f>
        <v>1</v>
      </c>
      <c r="H33" s="154">
        <f>COUNTIFS(進捗一覧!$B$4:$B$326,$B33,進捗一覧!$P$4:$P$326,$C33,進捗一覧!$H$4:$H$326,"外部待ち")</f>
        <v>1</v>
      </c>
    </row>
    <row r="34" spans="1:8">
      <c r="A34" s="87" t="s">
        <v>3860</v>
      </c>
      <c r="B34" s="91" t="s">
        <v>2273</v>
      </c>
      <c r="C34" s="91" t="s">
        <v>2299</v>
      </c>
      <c r="D34" s="92">
        <f>COUNTIFS(進捗一覧!$B$4:$B$326,$B34,進捗一覧!$P$4:$P$326,$C34)</f>
        <v>12</v>
      </c>
      <c r="E34" s="92">
        <f>COUNTIFS(進捗一覧!$B$4:$B$326,$B34,進捗一覧!$P$4:$P$326,$C34,進捗一覧!$H$4:$H$326,"確定")</f>
        <v>0</v>
      </c>
      <c r="F34" s="92">
        <f>COUNTIFS(進捗一覧!$B$4:$B$326,$B34,進捗一覧!$P$4:$P$326,$C34,進捗一覧!$H$4:$H$326,"方向性確定（条件付き）")</f>
        <v>0</v>
      </c>
      <c r="G34" s="92">
        <f>COUNTIFS(進捗一覧!$B$4:$B$326,$B34,進捗一覧!$P$4:$P$326,$C34,進捗一覧!$H$4:$H$326,"検討中")</f>
        <v>11</v>
      </c>
      <c r="H34" s="154">
        <f>COUNTIFS(進捗一覧!$B$4:$B$326,$B34,進捗一覧!$P$4:$P$326,$C34,進捗一覧!$H$4:$H$326,"外部待ち")</f>
        <v>0</v>
      </c>
    </row>
    <row r="35" spans="1:8">
      <c r="A35" s="87" t="s">
        <v>3861</v>
      </c>
      <c r="B35" s="91" t="s">
        <v>2273</v>
      </c>
      <c r="C35" s="91" t="s">
        <v>2300</v>
      </c>
      <c r="D35" s="92">
        <f>COUNTIFS(進捗一覧!$B$4:$B$326,$B35,進捗一覧!$P$4:$P$326,$C35)</f>
        <v>5</v>
      </c>
      <c r="E35" s="92">
        <f>COUNTIFS(進捗一覧!$B$4:$B$326,$B35,進捗一覧!$P$4:$P$326,$C35,進捗一覧!$H$4:$H$326,"確定")</f>
        <v>0</v>
      </c>
      <c r="F35" s="92">
        <f>COUNTIFS(進捗一覧!$B$4:$B$326,$B35,進捗一覧!$P$4:$P$326,$C35,進捗一覧!$H$4:$H$326,"方向性確定（条件付き）")</f>
        <v>0</v>
      </c>
      <c r="G35" s="92">
        <f>COUNTIFS(進捗一覧!$B$4:$B$326,$B35,進捗一覧!$P$4:$P$326,$C35,進捗一覧!$H$4:$H$326,"検討中")</f>
        <v>5</v>
      </c>
      <c r="H35" s="154">
        <f>COUNTIFS(進捗一覧!$B$4:$B$326,$B35,進捗一覧!$P$4:$P$326,$C35,進捗一覧!$H$4:$H$326,"外部待ち")</f>
        <v>0</v>
      </c>
    </row>
    <row r="36" spans="1:8">
      <c r="A36" s="87" t="s">
        <v>3862</v>
      </c>
      <c r="B36" s="91" t="s">
        <v>2273</v>
      </c>
      <c r="C36" s="91" t="s">
        <v>2301</v>
      </c>
      <c r="D36" s="92">
        <f>COUNTIFS(進捗一覧!$B$4:$B$326,$B36,進捗一覧!$P$4:$P$326,$C36)</f>
        <v>8</v>
      </c>
      <c r="E36" s="92">
        <f>COUNTIFS(進捗一覧!$B$4:$B$326,$B36,進捗一覧!$P$4:$P$326,$C36,進捗一覧!$H$4:$H$326,"確定")</f>
        <v>0</v>
      </c>
      <c r="F36" s="92">
        <f>COUNTIFS(進捗一覧!$B$4:$B$326,$B36,進捗一覧!$P$4:$P$326,$C36,進捗一覧!$H$4:$H$326,"方向性確定（条件付き）")</f>
        <v>0</v>
      </c>
      <c r="G36" s="92">
        <f>COUNTIFS(進捗一覧!$B$4:$B$326,$B36,進捗一覧!$P$4:$P$326,$C36,進捗一覧!$H$4:$H$326,"検討中")</f>
        <v>8</v>
      </c>
      <c r="H36" s="154">
        <f>COUNTIFS(進捗一覧!$B$4:$B$326,$B36,進捗一覧!$P$4:$P$326,$C36,進捗一覧!$H$4:$H$326,"外部待ち")</f>
        <v>0</v>
      </c>
    </row>
    <row r="37" spans="1:8">
      <c r="A37" s="87" t="s">
        <v>3863</v>
      </c>
      <c r="B37" s="91" t="s">
        <v>2273</v>
      </c>
      <c r="C37" s="91" t="s">
        <v>2302</v>
      </c>
      <c r="D37" s="92">
        <f>COUNTIFS(進捗一覧!$B$4:$B$326,$B37,進捗一覧!$P$4:$P$326,$C37)</f>
        <v>24</v>
      </c>
      <c r="E37" s="92">
        <f>COUNTIFS(進捗一覧!$B$4:$B$326,$B37,進捗一覧!$P$4:$P$326,$C37,進捗一覧!$H$4:$H$326,"確定")</f>
        <v>6</v>
      </c>
      <c r="F37" s="92">
        <f>COUNTIFS(進捗一覧!$B$4:$B$326,$B37,進捗一覧!$P$4:$P$326,$C37,進捗一覧!$H$4:$H$326,"方向性確定（条件付き）")</f>
        <v>0</v>
      </c>
      <c r="G37" s="92">
        <f>COUNTIFS(進捗一覧!$B$4:$B$326,$B37,進捗一覧!$P$4:$P$326,$C37,進捗一覧!$H$4:$H$326,"検討中")</f>
        <v>17</v>
      </c>
      <c r="H37" s="154">
        <f>COUNTIFS(進捗一覧!$B$4:$B$326,$B37,進捗一覧!$P$4:$P$326,$C37,進捗一覧!$H$4:$H$326,"外部待ち")</f>
        <v>0</v>
      </c>
    </row>
    <row r="38" spans="1:8">
      <c r="A38" s="87" t="s">
        <v>3864</v>
      </c>
      <c r="B38" s="91" t="s">
        <v>2273</v>
      </c>
      <c r="C38" s="91" t="s">
        <v>2303</v>
      </c>
      <c r="D38" s="92">
        <f>COUNTIFS(進捗一覧!$B$4:$B$326,$B38,進捗一覧!$P$4:$P$326,$C38)</f>
        <v>8</v>
      </c>
      <c r="E38" s="92">
        <f>COUNTIFS(進捗一覧!$B$4:$B$326,$B38,進捗一覧!$P$4:$P$326,$C38,進捗一覧!$H$4:$H$326,"確定")</f>
        <v>0</v>
      </c>
      <c r="F38" s="92">
        <f>COUNTIFS(進捗一覧!$B$4:$B$326,$B38,進捗一覧!$P$4:$P$326,$C38,進捗一覧!$H$4:$H$326,"方向性確定（条件付き）")</f>
        <v>0</v>
      </c>
      <c r="G38" s="92">
        <f>COUNTIFS(進捗一覧!$B$4:$B$326,$B38,進捗一覧!$P$4:$P$326,$C38,進捗一覧!$H$4:$H$326,"検討中")</f>
        <v>8</v>
      </c>
      <c r="H38" s="154">
        <f>COUNTIFS(進捗一覧!$B$4:$B$326,$B38,進捗一覧!$P$4:$P$326,$C38,進捗一覧!$H$4:$H$326,"外部待ち")</f>
        <v>0</v>
      </c>
    </row>
    <row r="39" spans="1:8">
      <c r="A39" s="87" t="s">
        <v>3865</v>
      </c>
      <c r="B39" s="94" t="s">
        <v>2273</v>
      </c>
      <c r="C39" s="94" t="s">
        <v>2304</v>
      </c>
      <c r="D39" s="95">
        <f>COUNTIFS(進捗一覧!$B$4:$B$326,$B39,進捗一覧!$P$4:$P$326,$C39)</f>
        <v>4</v>
      </c>
      <c r="E39" s="95">
        <f>COUNTIFS(進捗一覧!$B$4:$B$326,$B39,進捗一覧!$P$4:$P$326,$C39,進捗一覧!$H$4:$H$326,"確定")</f>
        <v>0</v>
      </c>
      <c r="F39" s="95">
        <f>COUNTIFS(進捗一覧!$B$4:$B$326,$B39,進捗一覧!$P$4:$P$326,$C39,進捗一覧!$H$4:$H$326,"方向性確定（条件付き）")</f>
        <v>0</v>
      </c>
      <c r="G39" s="95">
        <f>COUNTIFS(進捗一覧!$B$4:$B$326,$B39,進捗一覧!$P$4:$P$326,$C39,進捗一覧!$H$4:$H$326,"検討中")</f>
        <v>3</v>
      </c>
      <c r="H39" s="155">
        <f>COUNTIFS(進捗一覧!$B$4:$B$326,$B39,進捗一覧!$P$4:$P$326,$C39,進捗一覧!$H$4:$H$326,"外部待ち")</f>
        <v>1</v>
      </c>
    </row>
    <row r="40" spans="1:8">
      <c r="A40" s="93" t="s">
        <v>3866</v>
      </c>
      <c r="B40" s="118" t="s">
        <v>2273</v>
      </c>
      <c r="C40" s="118" t="s">
        <v>2305</v>
      </c>
      <c r="D40" s="156">
        <f>COUNTIFS(進捗一覧!$B$4:$B$326,$B40,進捗一覧!$P$4:$P$326,$C40)</f>
        <v>4</v>
      </c>
      <c r="E40" s="156">
        <f>COUNTIFS(進捗一覧!$B$4:$B$326,$B40,進捗一覧!$P$4:$P$326,$C40,進捗一覧!$H$4:$H$326,"確定")</f>
        <v>0</v>
      </c>
      <c r="F40" s="156">
        <f>COUNTIFS(進捗一覧!$B$4:$B$326,$B40,進捗一覧!$P$4:$P$326,$C40,進捗一覧!$H$4:$H$326,"方向性確定（条件付き）")</f>
        <v>0</v>
      </c>
      <c r="G40" s="156">
        <f>COUNTIFS(進捗一覧!$B$4:$B$326,$B40,進捗一覧!$P$4:$P$326,$C40,進捗一覧!$H$4:$H$326,"検討中")</f>
        <v>3</v>
      </c>
      <c r="H40" s="156">
        <f>COUNTIFS(進捗一覧!$B$4:$B$326,$B40,進捗一覧!$P$4:$P$326,$C40,進捗一覧!$H$4:$H$326,"外部待ち")</f>
        <v>0</v>
      </c>
    </row>
    <row r="42" spans="1:8">
      <c r="A42" s="86" t="s">
        <v>3867</v>
      </c>
      <c r="B42" s="61" t="s">
        <v>3868</v>
      </c>
      <c r="C42" s="61" t="s">
        <v>3869</v>
      </c>
      <c r="D42" s="62" t="s">
        <v>2679</v>
      </c>
    </row>
    <row r="43" spans="1:8">
      <c r="A43" s="60" t="s">
        <v>2678</v>
      </c>
      <c r="B43" s="91" t="s">
        <v>3870</v>
      </c>
      <c r="C43" s="91" t="s">
        <v>3871</v>
      </c>
      <c r="D43" s="96" t="s">
        <v>3872</v>
      </c>
    </row>
    <row r="44" spans="1:8">
      <c r="A44" s="87" t="s">
        <v>3873</v>
      </c>
      <c r="B44" s="91" t="s">
        <v>3874</v>
      </c>
      <c r="C44" s="91" t="s">
        <v>3875</v>
      </c>
      <c r="D44" s="96" t="s">
        <v>3876</v>
      </c>
    </row>
    <row r="45" spans="1:8">
      <c r="A45" s="87" t="s">
        <v>3877</v>
      </c>
      <c r="B45" s="91" t="s">
        <v>3836</v>
      </c>
      <c r="C45" s="91" t="s">
        <v>3878</v>
      </c>
      <c r="D45" s="96" t="s">
        <v>3879</v>
      </c>
    </row>
    <row r="46" spans="1:8">
      <c r="A46" s="87" t="s">
        <v>3880</v>
      </c>
      <c r="B46" s="91" t="s">
        <v>3832</v>
      </c>
      <c r="C46" s="91" t="s">
        <v>3881</v>
      </c>
      <c r="D46" s="96" t="s">
        <v>3879</v>
      </c>
    </row>
    <row r="47" spans="1:8">
      <c r="A47" s="87" t="s">
        <v>3880</v>
      </c>
      <c r="B47" s="91" t="s">
        <v>3837</v>
      </c>
      <c r="C47" s="91" t="s">
        <v>3882</v>
      </c>
      <c r="D47" s="96" t="s">
        <v>3876</v>
      </c>
    </row>
    <row r="48" spans="1:8">
      <c r="A48" s="87" t="s">
        <v>3880</v>
      </c>
      <c r="B48" s="91" t="s">
        <v>3883</v>
      </c>
      <c r="C48" s="91" t="s">
        <v>3884</v>
      </c>
      <c r="D48" s="96" t="s">
        <v>3879</v>
      </c>
    </row>
    <row r="49" spans="1:5">
      <c r="A49" s="87" t="s">
        <v>3885</v>
      </c>
      <c r="B49" s="91" t="s">
        <v>3834</v>
      </c>
      <c r="C49" s="91" t="s">
        <v>3886</v>
      </c>
      <c r="D49" s="96" t="s">
        <v>3879</v>
      </c>
    </row>
    <row r="50" spans="1:5">
      <c r="A50" s="87" t="s">
        <v>3887</v>
      </c>
      <c r="B50" s="91" t="s">
        <v>3835</v>
      </c>
      <c r="C50" s="91" t="s">
        <v>3888</v>
      </c>
      <c r="D50" s="96" t="s">
        <v>3879</v>
      </c>
    </row>
    <row r="51" spans="1:5">
      <c r="A51" s="87" t="s">
        <v>3887</v>
      </c>
      <c r="B51" s="91" t="s">
        <v>3889</v>
      </c>
      <c r="C51" s="91" t="s">
        <v>3890</v>
      </c>
      <c r="D51" s="96" t="s">
        <v>3891</v>
      </c>
    </row>
    <row r="52" spans="1:5">
      <c r="A52" s="87" t="s">
        <v>3892</v>
      </c>
      <c r="B52" s="94" t="s">
        <v>3893</v>
      </c>
      <c r="C52" s="94" t="s">
        <v>3894</v>
      </c>
      <c r="D52" s="97" t="s">
        <v>3891</v>
      </c>
    </row>
    <row r="53" spans="1:5">
      <c r="A53" s="93" t="s">
        <v>3892</v>
      </c>
    </row>
    <row r="55" spans="1:5">
      <c r="A55" s="98" t="s">
        <v>3895</v>
      </c>
      <c r="B55" s="61" t="s">
        <v>3896</v>
      </c>
      <c r="C55" s="61" t="s">
        <v>3897</v>
      </c>
      <c r="D55" s="62" t="s">
        <v>3898</v>
      </c>
    </row>
    <row r="56" spans="1:5">
      <c r="A56" s="60" t="s">
        <v>3899</v>
      </c>
      <c r="B56" s="88"/>
      <c r="C56" s="99"/>
      <c r="D56" s="96" t="s">
        <v>3900</v>
      </c>
    </row>
    <row r="57" spans="1:5">
      <c r="A57" s="87" t="s">
        <v>1132</v>
      </c>
      <c r="B57" s="88">
        <f>COUNTIF(要件→設計!$G$5:$G$183,$A57)</f>
        <v>114</v>
      </c>
      <c r="C57" s="99">
        <f>IFERROR(B57/$B$62,"-")</f>
        <v>0.63687150837988826</v>
      </c>
      <c r="D57" s="96" t="s">
        <v>3901</v>
      </c>
    </row>
    <row r="58" spans="1:5">
      <c r="A58" s="87" t="s">
        <v>1124</v>
      </c>
      <c r="B58" s="88">
        <f>COUNTIF(要件→設計!$G$5:$G$183,$A58)</f>
        <v>47</v>
      </c>
      <c r="C58" s="99">
        <f>IFERROR(B58/$B$62,"-")</f>
        <v>0.26256983240223464</v>
      </c>
      <c r="D58" s="100" t="s">
        <v>3902</v>
      </c>
    </row>
    <row r="59" spans="1:5">
      <c r="A59" s="87" t="s">
        <v>1127</v>
      </c>
      <c r="B59" s="88">
        <f>COUNTIF(要件→設計!$G$5:$G$183,$A59)</f>
        <v>1</v>
      </c>
      <c r="C59" s="99">
        <f>IFERROR(B59/$B$62,"-")</f>
        <v>5.5865921787709499E-3</v>
      </c>
      <c r="D59" s="96" t="s">
        <v>3903</v>
      </c>
    </row>
    <row r="60" spans="1:5">
      <c r="A60" s="87" t="s">
        <v>1139</v>
      </c>
      <c r="B60" s="88">
        <f>COUNTIF(要件→設計!$G$5:$G$183,$A60)</f>
        <v>17</v>
      </c>
      <c r="C60" s="99">
        <f>IFERROR(B60/$B$62,"-")</f>
        <v>9.4972067039106142E-2</v>
      </c>
      <c r="D60" s="101" t="s">
        <v>3904</v>
      </c>
    </row>
    <row r="61" spans="1:5">
      <c r="A61" s="87" t="s">
        <v>3905</v>
      </c>
      <c r="B61" s="90">
        <f>COUNTIF(要件→設計!$G$5:$G$183,$A61)</f>
        <v>0</v>
      </c>
      <c r="C61" s="102">
        <f>IFERROR(B61/$B$62,"-")</f>
        <v>0</v>
      </c>
      <c r="D61" s="97"/>
      <c r="E61" s="63"/>
    </row>
    <row r="62" spans="1:5">
      <c r="A62" s="89" t="s">
        <v>3842</v>
      </c>
      <c r="B62" s="34">
        <f>SUM(B57:B61)</f>
        <v>179</v>
      </c>
      <c r="C62" s="117">
        <f>IFERROR(B62/B62,"-")</f>
        <v>1</v>
      </c>
      <c r="E62" s="34" t="str">
        <f>IF(B62=COUNTA(要件→設計!$A$5:$A$183),"✓ マッピング行数と一致","⚠ 不一致")</f>
        <v>✓ マッピング行数と一致</v>
      </c>
    </row>
    <row r="65" spans="1:5">
      <c r="A65" s="86" t="s">
        <v>3906</v>
      </c>
      <c r="B65" s="61" t="s">
        <v>3896</v>
      </c>
      <c r="C65" s="61" t="s">
        <v>3897</v>
      </c>
      <c r="D65" s="62" t="s">
        <v>3907</v>
      </c>
    </row>
    <row r="66" spans="1:5">
      <c r="A66" s="60" t="s">
        <v>2678</v>
      </c>
      <c r="B66" s="88"/>
      <c r="C66" s="99"/>
      <c r="D66" s="96" t="s">
        <v>3908</v>
      </c>
    </row>
    <row r="67" spans="1:5">
      <c r="A67" s="87" t="s">
        <v>3909</v>
      </c>
      <c r="B67" s="88">
        <f>COUNTA(設計決定一覧!$A$5:$A$189)-COUNTA(設計→要件!$A$6:$A$55)</f>
        <v>135</v>
      </c>
      <c r="C67" s="99">
        <f>IFERROR(B67/$B$73,"-")</f>
        <v>0.72972972972972971</v>
      </c>
      <c r="D67" s="100" t="s">
        <v>3910</v>
      </c>
    </row>
    <row r="68" spans="1:5">
      <c r="A68" s="87" t="s">
        <v>3911</v>
      </c>
      <c r="B68" s="88">
        <f>COUNTIF(設計→要件!$D$6:$D$55,$A68)</f>
        <v>11</v>
      </c>
      <c r="C68" s="99">
        <f>IFERROR(B68/$B$73,"-")</f>
        <v>5.9459459459459463E-2</v>
      </c>
      <c r="D68" s="101" t="s">
        <v>3912</v>
      </c>
    </row>
    <row r="69" spans="1:5">
      <c r="A69" s="87" t="s">
        <v>3913</v>
      </c>
      <c r="B69" s="88">
        <f>COUNTIF(設計→要件!$D$6:$D$55,$A69)</f>
        <v>14</v>
      </c>
      <c r="C69" s="99">
        <f>IFERROR(B69/$B$73,"-")</f>
        <v>7.567567567567568E-2</v>
      </c>
      <c r="D69" s="103" t="s">
        <v>3914</v>
      </c>
    </row>
    <row r="70" spans="1:5">
      <c r="A70" s="87" t="s">
        <v>3915</v>
      </c>
      <c r="B70" s="88">
        <f>COUNTIF(設計→要件!$D$6:$D$55,$A70)</f>
        <v>1</v>
      </c>
      <c r="C70" s="99">
        <f>IFERROR(B70/$B$73,"-")</f>
        <v>5.4054054054054057E-3</v>
      </c>
      <c r="D70" s="96" t="s">
        <v>3916</v>
      </c>
    </row>
    <row r="71" spans="1:5">
      <c r="A71" s="87" t="s">
        <v>3917</v>
      </c>
      <c r="B71" s="88">
        <f>COUNTIF(設計→要件!$D$6:$D$55,$A71)</f>
        <v>23</v>
      </c>
      <c r="C71" s="99">
        <f>IFERROR(B71/$B$73,"-")</f>
        <v>0.12432432432432433</v>
      </c>
      <c r="D71" s="96" t="s">
        <v>3918</v>
      </c>
    </row>
    <row r="72" spans="1:5">
      <c r="A72" s="87" t="s">
        <v>3919</v>
      </c>
      <c r="B72" s="90">
        <f>COUNTIF(設計→要件!$D$6:$D$55,$A72)</f>
        <v>1</v>
      </c>
      <c r="C72" s="102">
        <f>IFERROR(B72/$B$73,"-")</f>
        <v>5.4054054054054057E-3</v>
      </c>
      <c r="D72" s="97"/>
      <c r="E72" s="63"/>
    </row>
    <row r="73" spans="1:5">
      <c r="A73" s="89" t="s">
        <v>3842</v>
      </c>
      <c r="B73" s="34">
        <f>SUM(B67:B72)</f>
        <v>185</v>
      </c>
      <c r="C73" s="117">
        <f>IFERROR(B73/$B$73,"-")</f>
        <v>1</v>
      </c>
      <c r="E73" s="34" t="str">
        <f>IF(B73=COUNTA(設計決定一覧!$A$5:$A$189),"✓ 設計決定の総数と一致","⚠ 不一致")</f>
        <v>✓ 設計決定の総数と一致</v>
      </c>
    </row>
    <row r="74" spans="1:5">
      <c r="B74" s="105"/>
    </row>
    <row r="75" spans="1:5" ht="75">
      <c r="A75" s="104" t="s">
        <v>3920</v>
      </c>
      <c r="B75" s="107" t="s">
        <v>3921</v>
      </c>
    </row>
    <row r="76" spans="1:5" ht="60">
      <c r="A76" s="106" t="s">
        <v>3829</v>
      </c>
      <c r="B76" s="108" t="s">
        <v>3922</v>
      </c>
    </row>
    <row r="77" spans="1:5" ht="60">
      <c r="A77" s="106" t="s">
        <v>3923</v>
      </c>
      <c r="B77" s="107" t="s">
        <v>3924</v>
      </c>
    </row>
    <row r="78" spans="1:5" ht="60">
      <c r="A78" s="109" t="s">
        <v>3925</v>
      </c>
      <c r="B78" s="107" t="s">
        <v>3926</v>
      </c>
    </row>
    <row r="79" spans="1:5" ht="75">
      <c r="A79" s="109" t="s">
        <v>3927</v>
      </c>
      <c r="B79" s="110" t="s">
        <v>3928</v>
      </c>
    </row>
    <row r="80" spans="1:5">
      <c r="A80" s="109" t="s">
        <v>3929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26"/>
  <sheetViews>
    <sheetView zoomScale="125" workbookViewId="0">
      <pane ySplit="3" topLeftCell="A244" activePane="bottomLeft" state="frozen"/>
      <selection activeCell="D1" sqref="D1"/>
      <selection pane="bottomLeft" activeCell="C326" sqref="C326"/>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6"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7" customWidth="1"/>
    <col min="19" max="19" width="31.42578125" style="65" customWidth="1"/>
    <col min="20" max="20" width="25" style="65" customWidth="1"/>
    <col min="21" max="16384" width="10.7109375" style="65"/>
  </cols>
  <sheetData>
    <row r="1" spans="1:20">
      <c r="A1" s="64" t="s">
        <v>0</v>
      </c>
      <c r="C1" s="64"/>
    </row>
    <row r="3" spans="1:20" ht="26" customHeight="1">
      <c r="A3" s="138" t="s">
        <v>2658</v>
      </c>
      <c r="B3" s="81" t="s">
        <v>1620</v>
      </c>
      <c r="C3" s="81" t="s">
        <v>1619</v>
      </c>
      <c r="D3" s="81" t="s">
        <v>9</v>
      </c>
      <c r="E3" s="81" t="s">
        <v>729</v>
      </c>
      <c r="F3" s="81" t="s">
        <v>10</v>
      </c>
      <c r="G3" s="81" t="s">
        <v>3389</v>
      </c>
      <c r="H3" s="81" t="s">
        <v>1621</v>
      </c>
      <c r="I3" s="81" t="s">
        <v>3395</v>
      </c>
      <c r="J3" s="81" t="s">
        <v>3396</v>
      </c>
      <c r="K3" s="81" t="s">
        <v>4487</v>
      </c>
      <c r="L3" s="81" t="s">
        <v>4488</v>
      </c>
      <c r="M3" s="81" t="s">
        <v>4489</v>
      </c>
      <c r="N3" s="81" t="s">
        <v>4648</v>
      </c>
      <c r="O3" s="268" t="s">
        <v>7</v>
      </c>
      <c r="P3" s="268" t="s">
        <v>8</v>
      </c>
      <c r="Q3" s="269" t="s">
        <v>3600</v>
      </c>
      <c r="R3" s="268" t="s">
        <v>3292</v>
      </c>
      <c r="S3" s="268" t="s">
        <v>11</v>
      </c>
      <c r="T3" s="268" t="s">
        <v>3981</v>
      </c>
    </row>
    <row r="4" spans="1:20" ht="58" customHeight="1">
      <c r="A4" s="249" t="s">
        <v>2659</v>
      </c>
      <c r="B4" s="42" t="s">
        <v>4</v>
      </c>
      <c r="C4" s="41" t="s">
        <v>1597</v>
      </c>
      <c r="D4" s="41" t="s">
        <v>14</v>
      </c>
      <c r="E4" s="218" t="s">
        <v>3293</v>
      </c>
      <c r="F4" s="218" t="s">
        <v>4333</v>
      </c>
      <c r="G4" s="263" t="s">
        <v>3382</v>
      </c>
      <c r="H4" s="42" t="s">
        <v>2</v>
      </c>
      <c r="I4" s="266" t="s">
        <v>3390</v>
      </c>
      <c r="J4" s="251" t="s">
        <v>3599</v>
      </c>
      <c r="K4" s="165"/>
      <c r="L4" s="260"/>
      <c r="M4" s="260"/>
      <c r="N4" s="164"/>
      <c r="O4" s="139" t="s">
        <v>12</v>
      </c>
      <c r="P4" s="40" t="s">
        <v>13</v>
      </c>
      <c r="Q4" s="247" t="s">
        <v>3601</v>
      </c>
      <c r="R4" s="219" t="s">
        <v>3294</v>
      </c>
      <c r="S4" s="141" t="s">
        <v>15</v>
      </c>
      <c r="T4" s="261"/>
    </row>
    <row r="5" spans="1:20" ht="58" customHeight="1">
      <c r="A5" s="249" t="s">
        <v>2659</v>
      </c>
      <c r="B5" s="42" t="s">
        <v>4</v>
      </c>
      <c r="C5" s="41" t="s">
        <v>1597</v>
      </c>
      <c r="D5" s="41" t="s">
        <v>17</v>
      </c>
      <c r="E5" s="218" t="s">
        <v>730</v>
      </c>
      <c r="F5" s="218" t="s">
        <v>4444</v>
      </c>
      <c r="G5" s="263" t="s">
        <v>3382</v>
      </c>
      <c r="H5" s="42" t="s">
        <v>2</v>
      </c>
      <c r="I5" s="266" t="s">
        <v>3390</v>
      </c>
      <c r="J5" s="251" t="s">
        <v>3599</v>
      </c>
      <c r="K5" s="165"/>
      <c r="L5" s="260"/>
      <c r="M5" s="260"/>
      <c r="N5" s="164"/>
      <c r="O5" s="139" t="s">
        <v>12</v>
      </c>
      <c r="P5" s="40" t="s">
        <v>16</v>
      </c>
      <c r="Q5" s="247" t="s">
        <v>3601</v>
      </c>
      <c r="R5" s="219" t="s">
        <v>3294</v>
      </c>
      <c r="S5" s="141" t="s">
        <v>15</v>
      </c>
      <c r="T5" s="261"/>
    </row>
    <row r="6" spans="1:20" ht="58" customHeight="1">
      <c r="A6" s="249" t="s">
        <v>2659</v>
      </c>
      <c r="B6" s="42" t="s">
        <v>4</v>
      </c>
      <c r="C6" s="41" t="s">
        <v>1597</v>
      </c>
      <c r="D6" s="41" t="s">
        <v>19</v>
      </c>
      <c r="E6" s="218" t="s">
        <v>731</v>
      </c>
      <c r="F6" s="218" t="s">
        <v>4445</v>
      </c>
      <c r="G6" s="263" t="s">
        <v>3382</v>
      </c>
      <c r="H6" s="42" t="s">
        <v>2</v>
      </c>
      <c r="I6" s="266" t="s">
        <v>3390</v>
      </c>
      <c r="J6" s="251" t="s">
        <v>3599</v>
      </c>
      <c r="K6" s="165"/>
      <c r="L6" s="260"/>
      <c r="M6" s="260"/>
      <c r="N6" s="164"/>
      <c r="O6" s="139" t="s">
        <v>12</v>
      </c>
      <c r="P6" s="40" t="s">
        <v>18</v>
      </c>
      <c r="Q6" s="247" t="s">
        <v>3601</v>
      </c>
      <c r="R6" s="219" t="s">
        <v>3295</v>
      </c>
      <c r="S6" s="141" t="s">
        <v>15</v>
      </c>
      <c r="T6" s="261"/>
    </row>
    <row r="7" spans="1:20" ht="58" customHeight="1">
      <c r="A7" s="249" t="s">
        <v>2659</v>
      </c>
      <c r="B7" s="42" t="s">
        <v>4</v>
      </c>
      <c r="C7" s="41" t="s">
        <v>1597</v>
      </c>
      <c r="D7" s="41" t="s">
        <v>21</v>
      </c>
      <c r="E7" s="218" t="s">
        <v>732</v>
      </c>
      <c r="F7" s="218" t="s">
        <v>4334</v>
      </c>
      <c r="G7" s="263" t="s">
        <v>3383</v>
      </c>
      <c r="H7" s="42" t="s">
        <v>1025</v>
      </c>
      <c r="I7" s="266" t="s">
        <v>3391</v>
      </c>
      <c r="J7" s="251" t="s">
        <v>3599</v>
      </c>
      <c r="K7" s="165"/>
      <c r="L7" s="260"/>
      <c r="M7" s="260"/>
      <c r="N7" s="164"/>
      <c r="O7" s="139" t="s">
        <v>12</v>
      </c>
      <c r="P7" s="40" t="s">
        <v>20</v>
      </c>
      <c r="Q7" s="247" t="s">
        <v>3601</v>
      </c>
      <c r="R7" s="219" t="s">
        <v>3296</v>
      </c>
      <c r="S7" s="141" t="s">
        <v>15</v>
      </c>
      <c r="T7" s="261"/>
    </row>
    <row r="8" spans="1:20" ht="58" customHeight="1">
      <c r="A8" s="249" t="s">
        <v>2659</v>
      </c>
      <c r="B8" s="42" t="s">
        <v>4</v>
      </c>
      <c r="C8" s="41" t="s">
        <v>1597</v>
      </c>
      <c r="D8" s="41" t="s">
        <v>23</v>
      </c>
      <c r="E8" s="218" t="s">
        <v>733</v>
      </c>
      <c r="F8" s="218" t="s">
        <v>4335</v>
      </c>
      <c r="G8" s="263" t="s">
        <v>3384</v>
      </c>
      <c r="H8" s="42" t="s">
        <v>1599</v>
      </c>
      <c r="I8" s="266" t="s">
        <v>4871</v>
      </c>
      <c r="J8" s="251" t="s">
        <v>4195</v>
      </c>
      <c r="K8" s="165" t="s">
        <v>4657</v>
      </c>
      <c r="L8" s="260" t="s">
        <v>4779</v>
      </c>
      <c r="M8" s="260" t="s">
        <v>4780</v>
      </c>
      <c r="N8" s="164" t="s">
        <v>4650</v>
      </c>
      <c r="O8" s="139" t="s">
        <v>12</v>
      </c>
      <c r="P8" s="40" t="s">
        <v>22</v>
      </c>
      <c r="Q8" s="247" t="s">
        <v>3601</v>
      </c>
      <c r="R8" s="219" t="s">
        <v>3297</v>
      </c>
      <c r="S8" s="141" t="s">
        <v>15</v>
      </c>
      <c r="T8" s="261"/>
    </row>
    <row r="9" spans="1:20" ht="58" customHeight="1">
      <c r="A9" s="249" t="s">
        <v>2659</v>
      </c>
      <c r="B9" s="42" t="s">
        <v>4</v>
      </c>
      <c r="C9" s="41" t="s">
        <v>1597</v>
      </c>
      <c r="D9" s="41" t="s">
        <v>25</v>
      </c>
      <c r="E9" s="218" t="s">
        <v>734</v>
      </c>
      <c r="F9" s="218" t="s">
        <v>4485</v>
      </c>
      <c r="G9" s="263" t="s">
        <v>4486</v>
      </c>
      <c r="H9" s="42" t="s">
        <v>1025</v>
      </c>
      <c r="I9" s="266" t="s">
        <v>3391</v>
      </c>
      <c r="J9" s="251" t="s">
        <v>4310</v>
      </c>
      <c r="K9" s="165" t="s">
        <v>1025</v>
      </c>
      <c r="L9" s="260"/>
      <c r="M9" s="260"/>
      <c r="N9" s="164"/>
      <c r="O9" s="139" t="s">
        <v>12</v>
      </c>
      <c r="P9" s="40" t="s">
        <v>24</v>
      </c>
      <c r="Q9" s="247" t="s">
        <v>3601</v>
      </c>
      <c r="R9" s="219" t="s">
        <v>445</v>
      </c>
      <c r="S9" s="141" t="s">
        <v>15</v>
      </c>
      <c r="T9" s="261"/>
    </row>
    <row r="10" spans="1:20" ht="58" customHeight="1">
      <c r="A10" s="249" t="s">
        <v>2659</v>
      </c>
      <c r="B10" s="42" t="s">
        <v>4</v>
      </c>
      <c r="C10" s="41" t="s">
        <v>1597</v>
      </c>
      <c r="D10" s="41" t="s">
        <v>27</v>
      </c>
      <c r="E10" s="218" t="s">
        <v>735</v>
      </c>
      <c r="F10" s="218" t="s">
        <v>4671</v>
      </c>
      <c r="G10" s="263" t="s">
        <v>4672</v>
      </c>
      <c r="H10" s="42" t="s">
        <v>1025</v>
      </c>
      <c r="I10" s="266" t="s">
        <v>3391</v>
      </c>
      <c r="J10" s="251" t="s">
        <v>3599</v>
      </c>
      <c r="K10" s="165"/>
      <c r="L10" s="260"/>
      <c r="M10" s="260"/>
      <c r="N10" s="164"/>
      <c r="O10" s="139" t="s">
        <v>12</v>
      </c>
      <c r="P10" s="40" t="s">
        <v>26</v>
      </c>
      <c r="Q10" s="247" t="s">
        <v>3601</v>
      </c>
      <c r="R10" s="219" t="s">
        <v>445</v>
      </c>
      <c r="S10" s="141" t="s">
        <v>15</v>
      </c>
      <c r="T10" s="261"/>
    </row>
    <row r="11" spans="1:20" ht="58" customHeight="1">
      <c r="A11" s="249" t="s">
        <v>2659</v>
      </c>
      <c r="B11" s="42" t="s">
        <v>4</v>
      </c>
      <c r="C11" s="41" t="s">
        <v>1597</v>
      </c>
      <c r="D11" s="41" t="s">
        <v>29</v>
      </c>
      <c r="E11" s="218" t="s">
        <v>736</v>
      </c>
      <c r="F11" s="218" t="s">
        <v>4336</v>
      </c>
      <c r="G11" s="263" t="s">
        <v>3382</v>
      </c>
      <c r="H11" s="42" t="s">
        <v>2</v>
      </c>
      <c r="I11" s="266" t="s">
        <v>3390</v>
      </c>
      <c r="J11" s="251" t="s">
        <v>3599</v>
      </c>
      <c r="K11" s="165"/>
      <c r="L11" s="260"/>
      <c r="M11" s="260"/>
      <c r="N11" s="164"/>
      <c r="O11" s="139" t="s">
        <v>12</v>
      </c>
      <c r="P11" s="40" t="s">
        <v>28</v>
      </c>
      <c r="Q11" s="247" t="s">
        <v>3601</v>
      </c>
      <c r="R11" s="219" t="s">
        <v>3294</v>
      </c>
      <c r="S11" s="141" t="s">
        <v>15</v>
      </c>
      <c r="T11" s="261"/>
    </row>
    <row r="12" spans="1:20" ht="58" customHeight="1">
      <c r="A12" s="249" t="s">
        <v>2659</v>
      </c>
      <c r="B12" s="42" t="s">
        <v>4</v>
      </c>
      <c r="C12" s="41" t="s">
        <v>1597</v>
      </c>
      <c r="D12" s="41" t="s">
        <v>32</v>
      </c>
      <c r="E12" s="218" t="s">
        <v>737</v>
      </c>
      <c r="F12" s="218" t="s">
        <v>4337</v>
      </c>
      <c r="G12" s="263" t="s">
        <v>3382</v>
      </c>
      <c r="H12" s="42" t="s">
        <v>2</v>
      </c>
      <c r="I12" s="266" t="s">
        <v>3390</v>
      </c>
      <c r="J12" s="251" t="s">
        <v>3599</v>
      </c>
      <c r="K12" s="165"/>
      <c r="L12" s="260"/>
      <c r="M12" s="260"/>
      <c r="N12" s="164"/>
      <c r="O12" s="139" t="s">
        <v>30</v>
      </c>
      <c r="P12" s="40" t="s">
        <v>31</v>
      </c>
      <c r="Q12" s="247" t="s">
        <v>3601</v>
      </c>
      <c r="R12" s="219" t="s">
        <v>3298</v>
      </c>
      <c r="S12" s="141" t="s">
        <v>33</v>
      </c>
      <c r="T12" s="261"/>
    </row>
    <row r="13" spans="1:20" ht="58" customHeight="1">
      <c r="A13" s="249" t="s">
        <v>2659</v>
      </c>
      <c r="B13" s="42" t="s">
        <v>4</v>
      </c>
      <c r="C13" s="41" t="s">
        <v>1597</v>
      </c>
      <c r="D13" s="41" t="s">
        <v>35</v>
      </c>
      <c r="E13" s="218" t="s">
        <v>738</v>
      </c>
      <c r="F13" s="218" t="s">
        <v>4338</v>
      </c>
      <c r="G13" s="263" t="s">
        <v>3385</v>
      </c>
      <c r="H13" s="42" t="s">
        <v>1599</v>
      </c>
      <c r="I13" s="266" t="s">
        <v>3392</v>
      </c>
      <c r="J13" s="251" t="s">
        <v>4196</v>
      </c>
      <c r="K13" s="165" t="s">
        <v>4629</v>
      </c>
      <c r="L13" s="260" t="s">
        <v>4735</v>
      </c>
      <c r="M13" s="260" t="s">
        <v>4736</v>
      </c>
      <c r="N13" s="164" t="s">
        <v>4650</v>
      </c>
      <c r="O13" s="139" t="s">
        <v>30</v>
      </c>
      <c r="P13" s="40" t="s">
        <v>34</v>
      </c>
      <c r="Q13" s="247" t="s">
        <v>3601</v>
      </c>
      <c r="R13" s="219" t="s">
        <v>3299</v>
      </c>
      <c r="S13" s="141" t="s">
        <v>33</v>
      </c>
      <c r="T13" s="261"/>
    </row>
    <row r="14" spans="1:20" ht="58" customHeight="1">
      <c r="A14" s="249" t="s">
        <v>2659</v>
      </c>
      <c r="B14" s="42" t="s">
        <v>4</v>
      </c>
      <c r="C14" s="41" t="s">
        <v>1597</v>
      </c>
      <c r="D14" s="41" t="s">
        <v>4533</v>
      </c>
      <c r="E14" s="218" t="s">
        <v>739</v>
      </c>
      <c r="F14" s="218" t="s">
        <v>4339</v>
      </c>
      <c r="G14" s="263" t="s">
        <v>3385</v>
      </c>
      <c r="H14" s="42" t="s">
        <v>1599</v>
      </c>
      <c r="I14" s="266" t="s">
        <v>3392</v>
      </c>
      <c r="J14" s="251" t="s">
        <v>4197</v>
      </c>
      <c r="K14" s="165" t="s">
        <v>4534</v>
      </c>
      <c r="L14" s="260" t="s">
        <v>4737</v>
      </c>
      <c r="M14" s="260" t="s">
        <v>4738</v>
      </c>
      <c r="N14" s="164" t="s">
        <v>4650</v>
      </c>
      <c r="O14" s="139" t="s">
        <v>30</v>
      </c>
      <c r="P14" s="40" t="s">
        <v>4532</v>
      </c>
      <c r="Q14" s="247" t="s">
        <v>3601</v>
      </c>
      <c r="R14" s="219" t="s">
        <v>3299</v>
      </c>
      <c r="S14" s="141" t="s">
        <v>33</v>
      </c>
      <c r="T14" s="261"/>
    </row>
    <row r="15" spans="1:20" ht="58" customHeight="1">
      <c r="A15" s="249" t="s">
        <v>2659</v>
      </c>
      <c r="B15" s="42" t="s">
        <v>4</v>
      </c>
      <c r="C15" s="41" t="s">
        <v>1597</v>
      </c>
      <c r="D15" s="41" t="s">
        <v>4535</v>
      </c>
      <c r="E15" s="218" t="s">
        <v>739</v>
      </c>
      <c r="F15" s="218" t="s">
        <v>4339</v>
      </c>
      <c r="G15" s="263" t="s">
        <v>3385</v>
      </c>
      <c r="H15" s="42" t="s">
        <v>1599</v>
      </c>
      <c r="I15" s="266" t="s">
        <v>3392</v>
      </c>
      <c r="J15" s="251" t="s">
        <v>4197</v>
      </c>
      <c r="K15" s="165" t="s">
        <v>4537</v>
      </c>
      <c r="L15" s="260" t="s">
        <v>4757</v>
      </c>
      <c r="M15" s="260" t="s">
        <v>4758</v>
      </c>
      <c r="N15" s="164" t="s">
        <v>4651</v>
      </c>
      <c r="O15" s="139" t="s">
        <v>30</v>
      </c>
      <c r="P15" s="40" t="s">
        <v>4536</v>
      </c>
      <c r="Q15" s="247" t="s">
        <v>3601</v>
      </c>
      <c r="R15" s="219" t="s">
        <v>3299</v>
      </c>
      <c r="S15" s="141" t="s">
        <v>33</v>
      </c>
      <c r="T15" s="261"/>
    </row>
    <row r="16" spans="1:20" ht="58" customHeight="1">
      <c r="A16" s="249" t="s">
        <v>2659</v>
      </c>
      <c r="B16" s="42" t="s">
        <v>4</v>
      </c>
      <c r="C16" s="41" t="s">
        <v>1597</v>
      </c>
      <c r="D16" s="41" t="s">
        <v>38</v>
      </c>
      <c r="E16" s="218" t="s">
        <v>740</v>
      </c>
      <c r="F16" s="218" t="s">
        <v>4340</v>
      </c>
      <c r="G16" s="263" t="s">
        <v>3385</v>
      </c>
      <c r="H16" s="42" t="s">
        <v>1599</v>
      </c>
      <c r="I16" s="266" t="s">
        <v>3392</v>
      </c>
      <c r="J16" s="251" t="s">
        <v>4198</v>
      </c>
      <c r="K16" s="165" t="s">
        <v>4630</v>
      </c>
      <c r="L16" s="260" t="s">
        <v>4739</v>
      </c>
      <c r="M16" s="260" t="s">
        <v>4740</v>
      </c>
      <c r="N16" s="164" t="s">
        <v>4650</v>
      </c>
      <c r="O16" s="139" t="s">
        <v>30</v>
      </c>
      <c r="P16" s="40" t="s">
        <v>37</v>
      </c>
      <c r="Q16" s="247" t="s">
        <v>3601</v>
      </c>
      <c r="R16" s="219" t="s">
        <v>3299</v>
      </c>
      <c r="S16" s="141" t="s">
        <v>33</v>
      </c>
      <c r="T16" s="261"/>
    </row>
    <row r="17" spans="1:20" ht="58" customHeight="1">
      <c r="A17" s="249" t="s">
        <v>2659</v>
      </c>
      <c r="B17" s="42" t="s">
        <v>4</v>
      </c>
      <c r="C17" s="41" t="s">
        <v>1597</v>
      </c>
      <c r="D17" s="41" t="s">
        <v>4539</v>
      </c>
      <c r="E17" s="218" t="s">
        <v>741</v>
      </c>
      <c r="F17" s="218" t="s">
        <v>4446</v>
      </c>
      <c r="G17" s="263" t="s">
        <v>3385</v>
      </c>
      <c r="H17" s="42" t="s">
        <v>1599</v>
      </c>
      <c r="I17" s="266" t="s">
        <v>3392</v>
      </c>
      <c r="J17" s="251" t="s">
        <v>4199</v>
      </c>
      <c r="K17" s="165" t="s">
        <v>4540</v>
      </c>
      <c r="L17" s="260" t="s">
        <v>4741</v>
      </c>
      <c r="M17" s="260" t="s">
        <v>4742</v>
      </c>
      <c r="N17" s="164" t="s">
        <v>4650</v>
      </c>
      <c r="O17" s="139" t="s">
        <v>30</v>
      </c>
      <c r="P17" s="40" t="s">
        <v>4538</v>
      </c>
      <c r="Q17" s="247" t="s">
        <v>3601</v>
      </c>
      <c r="R17" s="219" t="s">
        <v>3299</v>
      </c>
      <c r="S17" s="141" t="s">
        <v>33</v>
      </c>
      <c r="T17" s="261"/>
    </row>
    <row r="18" spans="1:20" ht="58" customHeight="1">
      <c r="A18" s="249" t="s">
        <v>2659</v>
      </c>
      <c r="B18" s="42" t="s">
        <v>4</v>
      </c>
      <c r="C18" s="41" t="s">
        <v>1597</v>
      </c>
      <c r="D18" s="41" t="s">
        <v>4541</v>
      </c>
      <c r="E18" s="218" t="s">
        <v>741</v>
      </c>
      <c r="F18" s="218" t="s">
        <v>4446</v>
      </c>
      <c r="G18" s="263" t="s">
        <v>3385</v>
      </c>
      <c r="H18" s="42" t="s">
        <v>1599</v>
      </c>
      <c r="I18" s="266" t="s">
        <v>3392</v>
      </c>
      <c r="J18" s="251" t="s">
        <v>4199</v>
      </c>
      <c r="K18" s="165" t="s">
        <v>4543</v>
      </c>
      <c r="L18" s="260" t="s">
        <v>4743</v>
      </c>
      <c r="M18" s="260" t="s">
        <v>4744</v>
      </c>
      <c r="N18" s="164" t="s">
        <v>4650</v>
      </c>
      <c r="O18" s="139" t="s">
        <v>30</v>
      </c>
      <c r="P18" s="40" t="s">
        <v>4542</v>
      </c>
      <c r="Q18" s="247" t="s">
        <v>3601</v>
      </c>
      <c r="R18" s="219" t="s">
        <v>3299</v>
      </c>
      <c r="S18" s="141" t="s">
        <v>33</v>
      </c>
      <c r="T18" s="261"/>
    </row>
    <row r="19" spans="1:20" ht="58" customHeight="1">
      <c r="A19" s="249" t="s">
        <v>2659</v>
      </c>
      <c r="B19" s="42" t="s">
        <v>4</v>
      </c>
      <c r="C19" s="41" t="s">
        <v>1597</v>
      </c>
      <c r="D19" s="41" t="s">
        <v>41</v>
      </c>
      <c r="E19" s="218" t="s">
        <v>742</v>
      </c>
      <c r="F19" s="218" t="s">
        <v>4447</v>
      </c>
      <c r="G19" s="263" t="s">
        <v>3385</v>
      </c>
      <c r="H19" s="42" t="s">
        <v>1599</v>
      </c>
      <c r="I19" s="266" t="s">
        <v>3392</v>
      </c>
      <c r="J19" s="251" t="s">
        <v>4200</v>
      </c>
      <c r="K19" s="165" t="s">
        <v>4635</v>
      </c>
      <c r="L19" s="260" t="s">
        <v>4759</v>
      </c>
      <c r="M19" s="260" t="s">
        <v>4760</v>
      </c>
      <c r="N19" s="164" t="s">
        <v>4651</v>
      </c>
      <c r="O19" s="139" t="s">
        <v>30</v>
      </c>
      <c r="P19" s="40" t="s">
        <v>40</v>
      </c>
      <c r="Q19" s="247" t="s">
        <v>3601</v>
      </c>
      <c r="R19" s="219" t="s">
        <v>3299</v>
      </c>
      <c r="S19" s="141" t="s">
        <v>33</v>
      </c>
      <c r="T19" s="261"/>
    </row>
    <row r="20" spans="1:20" ht="58" customHeight="1">
      <c r="A20" s="249" t="s">
        <v>2659</v>
      </c>
      <c r="B20" s="42" t="s">
        <v>4</v>
      </c>
      <c r="C20" s="41" t="s">
        <v>1600</v>
      </c>
      <c r="D20" s="41" t="s">
        <v>44</v>
      </c>
      <c r="E20" s="218" t="s">
        <v>743</v>
      </c>
      <c r="F20" s="218" t="s">
        <v>4341</v>
      </c>
      <c r="G20" s="263" t="s">
        <v>3385</v>
      </c>
      <c r="H20" s="42" t="s">
        <v>1599</v>
      </c>
      <c r="I20" s="266" t="s">
        <v>3392</v>
      </c>
      <c r="J20" s="251" t="s">
        <v>4201</v>
      </c>
      <c r="K20" s="165" t="s">
        <v>4620</v>
      </c>
      <c r="L20" s="260" t="s">
        <v>4701</v>
      </c>
      <c r="M20" s="260" t="s">
        <v>4702</v>
      </c>
      <c r="N20" s="164" t="s">
        <v>4649</v>
      </c>
      <c r="O20" s="139" t="s">
        <v>42</v>
      </c>
      <c r="P20" s="40" t="s">
        <v>43</v>
      </c>
      <c r="Q20" s="247" t="s">
        <v>3601</v>
      </c>
      <c r="R20" s="219" t="s">
        <v>3299</v>
      </c>
      <c r="S20" s="141" t="s">
        <v>45</v>
      </c>
      <c r="T20" s="261"/>
    </row>
    <row r="21" spans="1:20" ht="58" customHeight="1">
      <c r="A21" s="249" t="s">
        <v>2659</v>
      </c>
      <c r="B21" s="42" t="s">
        <v>4</v>
      </c>
      <c r="C21" s="41" t="s">
        <v>1600</v>
      </c>
      <c r="D21" s="41" t="s">
        <v>47</v>
      </c>
      <c r="E21" s="218" t="s">
        <v>744</v>
      </c>
      <c r="F21" s="218" t="s">
        <v>4342</v>
      </c>
      <c r="G21" s="263" t="s">
        <v>3385</v>
      </c>
      <c r="H21" s="42" t="s">
        <v>1599</v>
      </c>
      <c r="I21" s="266" t="s">
        <v>3392</v>
      </c>
      <c r="J21" s="251" t="s">
        <v>4202</v>
      </c>
      <c r="K21" s="165" t="s">
        <v>4621</v>
      </c>
      <c r="L21" s="260" t="s">
        <v>4703</v>
      </c>
      <c r="M21" s="260" t="s">
        <v>4704</v>
      </c>
      <c r="N21" s="164" t="s">
        <v>4649</v>
      </c>
      <c r="O21" s="139" t="s">
        <v>42</v>
      </c>
      <c r="P21" s="40" t="s">
        <v>46</v>
      </c>
      <c r="Q21" s="247" t="s">
        <v>3601</v>
      </c>
      <c r="R21" s="219" t="s">
        <v>3299</v>
      </c>
      <c r="S21" s="141" t="s">
        <v>45</v>
      </c>
      <c r="T21" s="261"/>
    </row>
    <row r="22" spans="1:20" ht="58" customHeight="1">
      <c r="A22" s="249" t="s">
        <v>2659</v>
      </c>
      <c r="B22" s="42" t="s">
        <v>4</v>
      </c>
      <c r="C22" s="41" t="s">
        <v>1600</v>
      </c>
      <c r="D22" s="41" t="s">
        <v>49</v>
      </c>
      <c r="E22" s="218" t="s">
        <v>745</v>
      </c>
      <c r="F22" s="218" t="s">
        <v>4343</v>
      </c>
      <c r="G22" s="263" t="s">
        <v>3385</v>
      </c>
      <c r="H22" s="42" t="s">
        <v>1599</v>
      </c>
      <c r="I22" s="266" t="s">
        <v>3392</v>
      </c>
      <c r="J22" s="251" t="s">
        <v>4203</v>
      </c>
      <c r="K22" s="165" t="s">
        <v>4622</v>
      </c>
      <c r="L22" s="260" t="s">
        <v>4705</v>
      </c>
      <c r="M22" s="260" t="s">
        <v>4706</v>
      </c>
      <c r="N22" s="164" t="s">
        <v>4649</v>
      </c>
      <c r="O22" s="139" t="s">
        <v>42</v>
      </c>
      <c r="P22" s="40" t="s">
        <v>48</v>
      </c>
      <c r="Q22" s="247" t="s">
        <v>3601</v>
      </c>
      <c r="R22" s="219" t="s">
        <v>3299</v>
      </c>
      <c r="S22" s="141" t="s">
        <v>45</v>
      </c>
      <c r="T22" s="261"/>
    </row>
    <row r="23" spans="1:20" ht="58" customHeight="1">
      <c r="A23" s="249" t="s">
        <v>2659</v>
      </c>
      <c r="B23" s="42" t="s">
        <v>4</v>
      </c>
      <c r="C23" s="41" t="s">
        <v>1600</v>
      </c>
      <c r="D23" s="41" t="s">
        <v>51</v>
      </c>
      <c r="E23" s="218" t="s">
        <v>746</v>
      </c>
      <c r="F23" s="218" t="s">
        <v>4344</v>
      </c>
      <c r="G23" s="263" t="s">
        <v>3385</v>
      </c>
      <c r="H23" s="42" t="s">
        <v>1599</v>
      </c>
      <c r="I23" s="266" t="s">
        <v>3392</v>
      </c>
      <c r="J23" s="251" t="s">
        <v>4204</v>
      </c>
      <c r="K23" s="165" t="s">
        <v>4623</v>
      </c>
      <c r="L23" s="260" t="s">
        <v>4707</v>
      </c>
      <c r="M23" s="260" t="s">
        <v>4708</v>
      </c>
      <c r="N23" s="164" t="s">
        <v>4649</v>
      </c>
      <c r="O23" s="139" t="s">
        <v>42</v>
      </c>
      <c r="P23" s="40" t="s">
        <v>50</v>
      </c>
      <c r="Q23" s="247" t="s">
        <v>3601</v>
      </c>
      <c r="R23" s="219" t="s">
        <v>3299</v>
      </c>
      <c r="S23" s="141" t="s">
        <v>45</v>
      </c>
      <c r="T23" s="261"/>
    </row>
    <row r="24" spans="1:20" ht="58" customHeight="1">
      <c r="A24" s="249" t="s">
        <v>2659</v>
      </c>
      <c r="B24" s="42" t="s">
        <v>4</v>
      </c>
      <c r="C24" s="41" t="s">
        <v>1600</v>
      </c>
      <c r="D24" s="41" t="s">
        <v>53</v>
      </c>
      <c r="E24" s="218" t="s">
        <v>747</v>
      </c>
      <c r="F24" s="218" t="s">
        <v>4343</v>
      </c>
      <c r="G24" s="263" t="s">
        <v>3384</v>
      </c>
      <c r="H24" s="42" t="s">
        <v>1599</v>
      </c>
      <c r="I24" s="266" t="s">
        <v>3392</v>
      </c>
      <c r="J24" s="251" t="s">
        <v>4205</v>
      </c>
      <c r="K24" s="165" t="s">
        <v>4913</v>
      </c>
      <c r="L24" s="260" t="s">
        <v>4914</v>
      </c>
      <c r="M24" s="260"/>
      <c r="N24" s="164" t="s">
        <v>4649</v>
      </c>
      <c r="O24" s="139" t="s">
        <v>42</v>
      </c>
      <c r="P24" s="40" t="s">
        <v>52</v>
      </c>
      <c r="Q24" s="247" t="s">
        <v>3601</v>
      </c>
      <c r="R24" s="219" t="s">
        <v>3341</v>
      </c>
      <c r="S24" s="141" t="s">
        <v>45</v>
      </c>
      <c r="T24" s="261"/>
    </row>
    <row r="25" spans="1:20" ht="58" customHeight="1">
      <c r="A25" s="249" t="s">
        <v>2659</v>
      </c>
      <c r="B25" s="42" t="s">
        <v>4</v>
      </c>
      <c r="C25" s="41" t="s">
        <v>1600</v>
      </c>
      <c r="D25" s="41" t="s">
        <v>55</v>
      </c>
      <c r="E25" s="218" t="s">
        <v>748</v>
      </c>
      <c r="F25" s="218" t="s">
        <v>4345</v>
      </c>
      <c r="G25" s="263" t="s">
        <v>3384</v>
      </c>
      <c r="H25" s="42" t="s">
        <v>1599</v>
      </c>
      <c r="I25" s="266" t="s">
        <v>4871</v>
      </c>
      <c r="J25" s="251" t="s">
        <v>4206</v>
      </c>
      <c r="K25" s="165" t="s">
        <v>4652</v>
      </c>
      <c r="L25" s="260" t="s">
        <v>4769</v>
      </c>
      <c r="M25" s="260" t="s">
        <v>4770</v>
      </c>
      <c r="N25" s="164" t="s">
        <v>4649</v>
      </c>
      <c r="O25" s="139" t="s">
        <v>42</v>
      </c>
      <c r="P25" s="40" t="s">
        <v>54</v>
      </c>
      <c r="Q25" s="247" t="s">
        <v>3601</v>
      </c>
      <c r="R25" s="219" t="s">
        <v>3341</v>
      </c>
      <c r="S25" s="141" t="s">
        <v>45</v>
      </c>
      <c r="T25" s="261"/>
    </row>
    <row r="26" spans="1:20" ht="58" customHeight="1">
      <c r="A26" s="249" t="s">
        <v>2659</v>
      </c>
      <c r="B26" s="42" t="s">
        <v>4</v>
      </c>
      <c r="C26" s="41" t="s">
        <v>1600</v>
      </c>
      <c r="D26" s="41" t="s">
        <v>57</v>
      </c>
      <c r="E26" s="218" t="s">
        <v>749</v>
      </c>
      <c r="F26" s="218" t="s">
        <v>4329</v>
      </c>
      <c r="G26" s="263" t="s">
        <v>4931</v>
      </c>
      <c r="H26" s="42" t="s">
        <v>2</v>
      </c>
      <c r="I26" s="266" t="s">
        <v>3390</v>
      </c>
      <c r="J26" s="251" t="s">
        <v>3599</v>
      </c>
      <c r="K26" s="165"/>
      <c r="L26" s="260"/>
      <c r="M26" s="260"/>
      <c r="N26" s="164"/>
      <c r="O26" s="139" t="s">
        <v>42</v>
      </c>
      <c r="P26" s="40" t="s">
        <v>56</v>
      </c>
      <c r="Q26" s="247" t="s">
        <v>3601</v>
      </c>
      <c r="R26" s="219" t="s">
        <v>3301</v>
      </c>
      <c r="S26" s="141" t="s">
        <v>45</v>
      </c>
      <c r="T26" s="261"/>
    </row>
    <row r="27" spans="1:20" ht="58" customHeight="1">
      <c r="A27" s="249" t="s">
        <v>2659</v>
      </c>
      <c r="B27" s="42" t="s">
        <v>4</v>
      </c>
      <c r="C27" s="41" t="s">
        <v>1600</v>
      </c>
      <c r="D27" s="41" t="s">
        <v>61</v>
      </c>
      <c r="E27" s="218" t="s">
        <v>4135</v>
      </c>
      <c r="F27" s="218" t="s">
        <v>3708</v>
      </c>
      <c r="G27" s="263" t="s">
        <v>3709</v>
      </c>
      <c r="H27" s="42" t="s">
        <v>1599</v>
      </c>
      <c r="I27" s="266" t="s">
        <v>3392</v>
      </c>
      <c r="J27" s="251" t="s">
        <v>4455</v>
      </c>
      <c r="K27" s="165" t="s">
        <v>4929</v>
      </c>
      <c r="L27" s="260" t="s">
        <v>4930</v>
      </c>
      <c r="M27" s="260"/>
      <c r="N27" s="164" t="s">
        <v>4649</v>
      </c>
      <c r="O27" s="139" t="s">
        <v>59</v>
      </c>
      <c r="P27" s="40" t="s">
        <v>60</v>
      </c>
      <c r="Q27" s="247" t="s">
        <v>3601</v>
      </c>
      <c r="R27" s="219" t="s">
        <v>3302</v>
      </c>
      <c r="S27" s="141" t="s">
        <v>62</v>
      </c>
      <c r="T27" s="261"/>
    </row>
    <row r="28" spans="1:20" ht="58" customHeight="1">
      <c r="A28" s="249" t="s">
        <v>2659</v>
      </c>
      <c r="B28" s="42" t="s">
        <v>4</v>
      </c>
      <c r="C28" s="41" t="s">
        <v>1600</v>
      </c>
      <c r="D28" s="41" t="s">
        <v>4515</v>
      </c>
      <c r="E28" s="218" t="s">
        <v>4137</v>
      </c>
      <c r="F28" s="218" t="s">
        <v>4346</v>
      </c>
      <c r="G28" s="263" t="s">
        <v>3385</v>
      </c>
      <c r="H28" s="42" t="s">
        <v>1599</v>
      </c>
      <c r="I28" s="266" t="s">
        <v>4484</v>
      </c>
      <c r="J28" s="251" t="s">
        <v>4207</v>
      </c>
      <c r="K28" s="165" t="s">
        <v>4516</v>
      </c>
      <c r="L28" s="260" t="s">
        <v>4715</v>
      </c>
      <c r="M28" s="260" t="s">
        <v>4716</v>
      </c>
      <c r="N28" s="164" t="s">
        <v>4650</v>
      </c>
      <c r="O28" s="139" t="s">
        <v>59</v>
      </c>
      <c r="P28" s="40" t="s">
        <v>4514</v>
      </c>
      <c r="Q28" s="247" t="s">
        <v>3601</v>
      </c>
      <c r="R28" s="219" t="s">
        <v>3303</v>
      </c>
      <c r="S28" s="141" t="s">
        <v>62</v>
      </c>
      <c r="T28" s="261"/>
    </row>
    <row r="29" spans="1:20" ht="58" customHeight="1">
      <c r="A29" s="249" t="s">
        <v>2659</v>
      </c>
      <c r="B29" s="42" t="s">
        <v>4</v>
      </c>
      <c r="C29" s="41" t="s">
        <v>1600</v>
      </c>
      <c r="D29" s="41" t="s">
        <v>4517</v>
      </c>
      <c r="E29" s="218" t="s">
        <v>4137</v>
      </c>
      <c r="F29" s="218" t="s">
        <v>4346</v>
      </c>
      <c r="G29" s="263" t="s">
        <v>3385</v>
      </c>
      <c r="H29" s="42" t="s">
        <v>1599</v>
      </c>
      <c r="I29" s="266" t="s">
        <v>4484</v>
      </c>
      <c r="J29" s="251" t="s">
        <v>4207</v>
      </c>
      <c r="K29" s="165" t="s">
        <v>4519</v>
      </c>
      <c r="L29" s="260" t="s">
        <v>4717</v>
      </c>
      <c r="M29" s="260" t="s">
        <v>4718</v>
      </c>
      <c r="N29" s="164" t="s">
        <v>4650</v>
      </c>
      <c r="O29" s="139" t="s">
        <v>59</v>
      </c>
      <c r="P29" s="40" t="s">
        <v>4518</v>
      </c>
      <c r="Q29" s="247" t="s">
        <v>3601</v>
      </c>
      <c r="R29" s="219" t="s">
        <v>3303</v>
      </c>
      <c r="S29" s="141" t="s">
        <v>62</v>
      </c>
      <c r="T29" s="261"/>
    </row>
    <row r="30" spans="1:20" ht="58" customHeight="1">
      <c r="A30" s="249" t="s">
        <v>2659</v>
      </c>
      <c r="B30" s="42" t="s">
        <v>4</v>
      </c>
      <c r="C30" s="41" t="s">
        <v>1600</v>
      </c>
      <c r="D30" s="41" t="s">
        <v>68</v>
      </c>
      <c r="E30" s="218" t="s">
        <v>752</v>
      </c>
      <c r="F30" s="218" t="s">
        <v>4347</v>
      </c>
      <c r="G30" s="263" t="s">
        <v>3382</v>
      </c>
      <c r="H30" s="42" t="s">
        <v>2</v>
      </c>
      <c r="I30" s="266" t="s">
        <v>3390</v>
      </c>
      <c r="J30" s="251" t="s">
        <v>3599</v>
      </c>
      <c r="K30" s="165"/>
      <c r="L30" s="260"/>
      <c r="M30" s="260"/>
      <c r="N30" s="164"/>
      <c r="O30" s="139" t="s">
        <v>66</v>
      </c>
      <c r="P30" s="40" t="s">
        <v>67</v>
      </c>
      <c r="Q30" s="247" t="s">
        <v>3601</v>
      </c>
      <c r="R30" s="219" t="s">
        <v>3304</v>
      </c>
      <c r="S30" s="141" t="s">
        <v>69</v>
      </c>
      <c r="T30" s="261"/>
    </row>
    <row r="31" spans="1:20" ht="58" customHeight="1">
      <c r="A31" s="249" t="s">
        <v>2659</v>
      </c>
      <c r="B31" s="42" t="s">
        <v>4</v>
      </c>
      <c r="C31" s="41" t="s">
        <v>1600</v>
      </c>
      <c r="D31" s="41" t="s">
        <v>71</v>
      </c>
      <c r="E31" s="218" t="s">
        <v>753</v>
      </c>
      <c r="F31" s="218" t="s">
        <v>4348</v>
      </c>
      <c r="G31" s="263" t="s">
        <v>3385</v>
      </c>
      <c r="H31" s="42" t="s">
        <v>1599</v>
      </c>
      <c r="I31" s="266" t="s">
        <v>3392</v>
      </c>
      <c r="J31" s="251" t="s">
        <v>4208</v>
      </c>
      <c r="K31" s="165" t="s">
        <v>4625</v>
      </c>
      <c r="L31" s="260" t="s">
        <v>4719</v>
      </c>
      <c r="M31" s="260" t="s">
        <v>4720</v>
      </c>
      <c r="N31" s="164" t="s">
        <v>4650</v>
      </c>
      <c r="O31" s="139" t="s">
        <v>66</v>
      </c>
      <c r="P31" s="40" t="s">
        <v>70</v>
      </c>
      <c r="Q31" s="247" t="s">
        <v>3601</v>
      </c>
      <c r="R31" s="219" t="s">
        <v>3299</v>
      </c>
      <c r="S31" s="141" t="s">
        <v>69</v>
      </c>
      <c r="T31" s="261"/>
    </row>
    <row r="32" spans="1:20" ht="58" customHeight="1">
      <c r="A32" s="249" t="s">
        <v>2659</v>
      </c>
      <c r="B32" s="42" t="s">
        <v>4</v>
      </c>
      <c r="C32" s="41" t="s">
        <v>1600</v>
      </c>
      <c r="D32" s="41" t="s">
        <v>65</v>
      </c>
      <c r="E32" s="218" t="s">
        <v>751</v>
      </c>
      <c r="F32" s="218" t="s">
        <v>4349</v>
      </c>
      <c r="G32" s="263" t="s">
        <v>3382</v>
      </c>
      <c r="H32" s="42" t="s">
        <v>2</v>
      </c>
      <c r="I32" s="266" t="s">
        <v>3390</v>
      </c>
      <c r="J32" s="251" t="s">
        <v>3599</v>
      </c>
      <c r="K32" s="165"/>
      <c r="L32" s="260"/>
      <c r="M32" s="260"/>
      <c r="N32" s="164"/>
      <c r="O32" s="139" t="s">
        <v>59</v>
      </c>
      <c r="P32" s="40" t="s">
        <v>64</v>
      </c>
      <c r="Q32" s="247" t="s">
        <v>3601</v>
      </c>
      <c r="R32" s="219" t="s">
        <v>3304</v>
      </c>
      <c r="S32" s="141" t="s">
        <v>62</v>
      </c>
      <c r="T32" s="261"/>
    </row>
    <row r="33" spans="1:20" ht="58" customHeight="1">
      <c r="A33" s="249" t="s">
        <v>2659</v>
      </c>
      <c r="B33" s="42" t="s">
        <v>4</v>
      </c>
      <c r="C33" s="41" t="s">
        <v>1600</v>
      </c>
      <c r="D33" s="41" t="s">
        <v>4509</v>
      </c>
      <c r="E33" s="218" t="s">
        <v>754</v>
      </c>
      <c r="F33" s="218" t="s">
        <v>4350</v>
      </c>
      <c r="G33" s="263" t="s">
        <v>3385</v>
      </c>
      <c r="H33" s="42" t="s">
        <v>1599</v>
      </c>
      <c r="I33" s="266" t="s">
        <v>4484</v>
      </c>
      <c r="J33" s="251" t="s">
        <v>4209</v>
      </c>
      <c r="K33" s="165" t="s">
        <v>4510</v>
      </c>
      <c r="L33" s="260" t="s">
        <v>4709</v>
      </c>
      <c r="M33" s="260" t="s">
        <v>4710</v>
      </c>
      <c r="N33" s="164" t="s">
        <v>4649</v>
      </c>
      <c r="O33" s="139" t="s">
        <v>66</v>
      </c>
      <c r="P33" s="40" t="s">
        <v>4508</v>
      </c>
      <c r="Q33" s="247" t="s">
        <v>3601</v>
      </c>
      <c r="R33" s="219" t="s">
        <v>3299</v>
      </c>
      <c r="S33" s="141" t="s">
        <v>69</v>
      </c>
      <c r="T33" s="261"/>
    </row>
    <row r="34" spans="1:20" ht="58" customHeight="1">
      <c r="A34" s="249" t="s">
        <v>2659</v>
      </c>
      <c r="B34" s="42" t="s">
        <v>4</v>
      </c>
      <c r="C34" s="41" t="s">
        <v>1600</v>
      </c>
      <c r="D34" s="41" t="s">
        <v>4511</v>
      </c>
      <c r="E34" s="218" t="s">
        <v>754</v>
      </c>
      <c r="F34" s="218" t="s">
        <v>4350</v>
      </c>
      <c r="G34" s="263" t="s">
        <v>3385</v>
      </c>
      <c r="H34" s="42" t="s">
        <v>1599</v>
      </c>
      <c r="I34" s="266" t="s">
        <v>4484</v>
      </c>
      <c r="J34" s="251" t="s">
        <v>4209</v>
      </c>
      <c r="K34" s="165" t="s">
        <v>4513</v>
      </c>
      <c r="L34" s="260" t="s">
        <v>4711</v>
      </c>
      <c r="M34" s="260" t="s">
        <v>4712</v>
      </c>
      <c r="N34" s="164" t="s">
        <v>4649</v>
      </c>
      <c r="O34" s="139" t="s">
        <v>66</v>
      </c>
      <c r="P34" s="40" t="s">
        <v>4512</v>
      </c>
      <c r="Q34" s="247" t="s">
        <v>3601</v>
      </c>
      <c r="R34" s="219" t="s">
        <v>3299</v>
      </c>
      <c r="S34" s="141" t="s">
        <v>69</v>
      </c>
      <c r="T34" s="261"/>
    </row>
    <row r="35" spans="1:20" ht="58" customHeight="1">
      <c r="A35" s="249" t="s">
        <v>2659</v>
      </c>
      <c r="B35" s="42" t="s">
        <v>4</v>
      </c>
      <c r="C35" s="41" t="s">
        <v>1600</v>
      </c>
      <c r="D35" s="41" t="s">
        <v>4521</v>
      </c>
      <c r="E35" s="218" t="s">
        <v>750</v>
      </c>
      <c r="F35" s="218" t="s">
        <v>4351</v>
      </c>
      <c r="G35" s="263" t="s">
        <v>3385</v>
      </c>
      <c r="H35" s="42" t="s">
        <v>1599</v>
      </c>
      <c r="I35" s="266" t="s">
        <v>3392</v>
      </c>
      <c r="J35" s="251" t="s">
        <v>4210</v>
      </c>
      <c r="K35" s="165" t="s">
        <v>4522</v>
      </c>
      <c r="L35" s="260" t="s">
        <v>4721</v>
      </c>
      <c r="M35" s="260" t="s">
        <v>4722</v>
      </c>
      <c r="N35" s="164" t="s">
        <v>4650</v>
      </c>
      <c r="O35" s="139" t="s">
        <v>42</v>
      </c>
      <c r="P35" s="40" t="s">
        <v>4520</v>
      </c>
      <c r="Q35" s="247" t="s">
        <v>3601</v>
      </c>
      <c r="R35" s="219" t="s">
        <v>3299</v>
      </c>
      <c r="S35" s="141" t="s">
        <v>45</v>
      </c>
      <c r="T35" s="261"/>
    </row>
    <row r="36" spans="1:20" ht="58" customHeight="1">
      <c r="A36" s="249" t="s">
        <v>2659</v>
      </c>
      <c r="B36" s="42" t="s">
        <v>4</v>
      </c>
      <c r="C36" s="41" t="s">
        <v>1600</v>
      </c>
      <c r="D36" s="41" t="s">
        <v>4523</v>
      </c>
      <c r="E36" s="218" t="s">
        <v>750</v>
      </c>
      <c r="F36" s="218" t="s">
        <v>4351</v>
      </c>
      <c r="G36" s="263" t="s">
        <v>3385</v>
      </c>
      <c r="H36" s="42" t="s">
        <v>1599</v>
      </c>
      <c r="I36" s="266" t="s">
        <v>3392</v>
      </c>
      <c r="J36" s="251" t="s">
        <v>4210</v>
      </c>
      <c r="K36" s="165" t="s">
        <v>4525</v>
      </c>
      <c r="L36" s="260" t="s">
        <v>4723</v>
      </c>
      <c r="M36" s="260" t="s">
        <v>4724</v>
      </c>
      <c r="N36" s="164" t="s">
        <v>4650</v>
      </c>
      <c r="O36" s="139" t="s">
        <v>42</v>
      </c>
      <c r="P36" s="40" t="s">
        <v>4524</v>
      </c>
      <c r="Q36" s="247" t="s">
        <v>3601</v>
      </c>
      <c r="R36" s="219" t="s">
        <v>3299</v>
      </c>
      <c r="S36" s="141" t="s">
        <v>45</v>
      </c>
      <c r="T36" s="261"/>
    </row>
    <row r="37" spans="1:20" ht="58" customHeight="1">
      <c r="A37" s="249" t="s">
        <v>2659</v>
      </c>
      <c r="B37" s="42" t="s">
        <v>4</v>
      </c>
      <c r="C37" s="41" t="s">
        <v>1601</v>
      </c>
      <c r="D37" s="41" t="s">
        <v>75</v>
      </c>
      <c r="E37" s="218" t="s">
        <v>755</v>
      </c>
      <c r="F37" s="218" t="s">
        <v>4352</v>
      </c>
      <c r="G37" s="263" t="s">
        <v>3385</v>
      </c>
      <c r="H37" s="42" t="s">
        <v>1599</v>
      </c>
      <c r="I37" s="266" t="s">
        <v>3392</v>
      </c>
      <c r="J37" s="251" t="s">
        <v>4211</v>
      </c>
      <c r="K37" s="165" t="s">
        <v>4631</v>
      </c>
      <c r="L37" s="260" t="s">
        <v>4745</v>
      </c>
      <c r="M37" s="260" t="s">
        <v>4746</v>
      </c>
      <c r="N37" s="164" t="s">
        <v>4650</v>
      </c>
      <c r="O37" s="139" t="s">
        <v>73</v>
      </c>
      <c r="P37" s="40" t="s">
        <v>74</v>
      </c>
      <c r="Q37" s="247" t="s">
        <v>3601</v>
      </c>
      <c r="R37" s="219" t="s">
        <v>3299</v>
      </c>
      <c r="S37" s="141" t="s">
        <v>76</v>
      </c>
      <c r="T37" s="261"/>
    </row>
    <row r="38" spans="1:20" ht="58" customHeight="1">
      <c r="A38" s="249" t="s">
        <v>2659</v>
      </c>
      <c r="B38" s="42" t="s">
        <v>4</v>
      </c>
      <c r="C38" s="41" t="s">
        <v>1601</v>
      </c>
      <c r="D38" s="41" t="s">
        <v>78</v>
      </c>
      <c r="E38" s="218" t="s">
        <v>756</v>
      </c>
      <c r="F38" s="218" t="s">
        <v>4353</v>
      </c>
      <c r="G38" s="263" t="s">
        <v>3385</v>
      </c>
      <c r="H38" s="42" t="s">
        <v>1599</v>
      </c>
      <c r="I38" s="266" t="s">
        <v>3392</v>
      </c>
      <c r="J38" s="251" t="s">
        <v>4212</v>
      </c>
      <c r="K38" s="165" t="s">
        <v>4632</v>
      </c>
      <c r="L38" s="260" t="s">
        <v>4747</v>
      </c>
      <c r="M38" s="260" t="s">
        <v>4748</v>
      </c>
      <c r="N38" s="164" t="s">
        <v>4650</v>
      </c>
      <c r="O38" s="139" t="s">
        <v>73</v>
      </c>
      <c r="P38" s="40" t="s">
        <v>77</v>
      </c>
      <c r="Q38" s="247" t="s">
        <v>3601</v>
      </c>
      <c r="R38" s="219" t="s">
        <v>3299</v>
      </c>
      <c r="S38" s="141" t="s">
        <v>76</v>
      </c>
      <c r="T38" s="261"/>
    </row>
    <row r="39" spans="1:20" ht="58" customHeight="1">
      <c r="A39" s="249" t="s">
        <v>2659</v>
      </c>
      <c r="B39" s="42" t="s">
        <v>4</v>
      </c>
      <c r="C39" s="41" t="s">
        <v>1601</v>
      </c>
      <c r="D39" s="41" t="s">
        <v>80</v>
      </c>
      <c r="E39" s="218" t="s">
        <v>757</v>
      </c>
      <c r="F39" s="218" t="s">
        <v>4354</v>
      </c>
      <c r="G39" s="263" t="s">
        <v>3385</v>
      </c>
      <c r="H39" s="42" t="s">
        <v>1599</v>
      </c>
      <c r="I39" s="266" t="s">
        <v>3392</v>
      </c>
      <c r="J39" s="251" t="s">
        <v>4213</v>
      </c>
      <c r="K39" s="165" t="s">
        <v>4633</v>
      </c>
      <c r="L39" s="260" t="s">
        <v>4749</v>
      </c>
      <c r="M39" s="260" t="s">
        <v>4750</v>
      </c>
      <c r="N39" s="164" t="s">
        <v>4650</v>
      </c>
      <c r="O39" s="139" t="s">
        <v>73</v>
      </c>
      <c r="P39" s="40" t="s">
        <v>79</v>
      </c>
      <c r="Q39" s="247" t="s">
        <v>3601</v>
      </c>
      <c r="R39" s="219" t="s">
        <v>3299</v>
      </c>
      <c r="S39" s="141" t="s">
        <v>76</v>
      </c>
      <c r="T39" s="261"/>
    </row>
    <row r="40" spans="1:20" ht="58" customHeight="1">
      <c r="A40" s="249" t="s">
        <v>2659</v>
      </c>
      <c r="B40" s="42" t="s">
        <v>4</v>
      </c>
      <c r="C40" s="41" t="s">
        <v>1601</v>
      </c>
      <c r="D40" s="41" t="s">
        <v>82</v>
      </c>
      <c r="E40" s="218" t="s">
        <v>758</v>
      </c>
      <c r="F40" s="218" t="s">
        <v>4355</v>
      </c>
      <c r="G40" s="263" t="s">
        <v>3385</v>
      </c>
      <c r="H40" s="42" t="s">
        <v>1599</v>
      </c>
      <c r="I40" s="266" t="s">
        <v>3392</v>
      </c>
      <c r="J40" s="251" t="s">
        <v>4214</v>
      </c>
      <c r="K40" s="165" t="s">
        <v>4634</v>
      </c>
      <c r="L40" s="260" t="s">
        <v>4751</v>
      </c>
      <c r="M40" s="260" t="s">
        <v>4752</v>
      </c>
      <c r="N40" s="164" t="s">
        <v>4650</v>
      </c>
      <c r="O40" s="139" t="s">
        <v>73</v>
      </c>
      <c r="P40" s="40" t="s">
        <v>81</v>
      </c>
      <c r="Q40" s="247" t="s">
        <v>3601</v>
      </c>
      <c r="R40" s="219" t="s">
        <v>3299</v>
      </c>
      <c r="S40" s="141" t="s">
        <v>76</v>
      </c>
      <c r="T40" s="261"/>
    </row>
    <row r="41" spans="1:20" ht="58" customHeight="1">
      <c r="A41" s="249" t="s">
        <v>2659</v>
      </c>
      <c r="B41" s="42" t="s">
        <v>4</v>
      </c>
      <c r="C41" s="41" t="s">
        <v>1601</v>
      </c>
      <c r="D41" s="41" t="s">
        <v>4545</v>
      </c>
      <c r="E41" s="218" t="s">
        <v>759</v>
      </c>
      <c r="F41" s="218" t="s">
        <v>4356</v>
      </c>
      <c r="G41" s="263" t="s">
        <v>3385</v>
      </c>
      <c r="H41" s="42" t="s">
        <v>1599</v>
      </c>
      <c r="I41" s="266" t="s">
        <v>3392</v>
      </c>
      <c r="J41" s="251" t="s">
        <v>4215</v>
      </c>
      <c r="K41" s="165" t="s">
        <v>4546</v>
      </c>
      <c r="L41" s="260" t="s">
        <v>4753</v>
      </c>
      <c r="M41" s="260" t="s">
        <v>4754</v>
      </c>
      <c r="N41" s="164" t="s">
        <v>4650</v>
      </c>
      <c r="O41" s="139" t="s">
        <v>73</v>
      </c>
      <c r="P41" s="40" t="s">
        <v>4544</v>
      </c>
      <c r="Q41" s="247" t="s">
        <v>3601</v>
      </c>
      <c r="R41" s="219" t="s">
        <v>3299</v>
      </c>
      <c r="S41" s="141" t="s">
        <v>76</v>
      </c>
      <c r="T41" s="261"/>
    </row>
    <row r="42" spans="1:20" ht="58" customHeight="1">
      <c r="A42" s="249" t="s">
        <v>2659</v>
      </c>
      <c r="B42" s="42" t="s">
        <v>4</v>
      </c>
      <c r="C42" s="41" t="s">
        <v>1601</v>
      </c>
      <c r="D42" s="41" t="s">
        <v>4547</v>
      </c>
      <c r="E42" s="218" t="s">
        <v>759</v>
      </c>
      <c r="F42" s="218" t="s">
        <v>4356</v>
      </c>
      <c r="G42" s="263" t="s">
        <v>3385</v>
      </c>
      <c r="H42" s="42" t="s">
        <v>1599</v>
      </c>
      <c r="I42" s="266" t="s">
        <v>3392</v>
      </c>
      <c r="J42" s="251" t="s">
        <v>4215</v>
      </c>
      <c r="K42" s="165" t="s">
        <v>4549</v>
      </c>
      <c r="L42" s="260" t="s">
        <v>4761</v>
      </c>
      <c r="M42" s="260" t="s">
        <v>4762</v>
      </c>
      <c r="N42" s="164" t="s">
        <v>4651</v>
      </c>
      <c r="O42" s="139" t="s">
        <v>73</v>
      </c>
      <c r="P42" s="40" t="s">
        <v>4548</v>
      </c>
      <c r="Q42" s="247" t="s">
        <v>3601</v>
      </c>
      <c r="R42" s="219" t="s">
        <v>3299</v>
      </c>
      <c r="S42" s="141" t="s">
        <v>76</v>
      </c>
      <c r="T42" s="261"/>
    </row>
    <row r="43" spans="1:20" ht="58" customHeight="1">
      <c r="A43" s="249" t="s">
        <v>2659</v>
      </c>
      <c r="B43" s="42" t="s">
        <v>4</v>
      </c>
      <c r="C43" s="41" t="s">
        <v>1601</v>
      </c>
      <c r="D43" s="41" t="s">
        <v>86</v>
      </c>
      <c r="E43" s="218" t="s">
        <v>760</v>
      </c>
      <c r="F43" s="218" t="s">
        <v>4357</v>
      </c>
      <c r="G43" s="263" t="s">
        <v>3382</v>
      </c>
      <c r="H43" s="42" t="s">
        <v>2</v>
      </c>
      <c r="I43" s="266" t="s">
        <v>3390</v>
      </c>
      <c r="J43" s="251" t="s">
        <v>3599</v>
      </c>
      <c r="K43" s="165"/>
      <c r="L43" s="260"/>
      <c r="M43" s="260"/>
      <c r="N43" s="164"/>
      <c r="O43" s="139" t="s">
        <v>84</v>
      </c>
      <c r="P43" s="40" t="s">
        <v>85</v>
      </c>
      <c r="Q43" s="247" t="s">
        <v>3601</v>
      </c>
      <c r="R43" s="219" t="s">
        <v>3301</v>
      </c>
      <c r="S43" s="141" t="s">
        <v>87</v>
      </c>
      <c r="T43" s="261"/>
    </row>
    <row r="44" spans="1:20" ht="58" customHeight="1">
      <c r="A44" s="249" t="s">
        <v>2659</v>
      </c>
      <c r="B44" s="42" t="s">
        <v>4</v>
      </c>
      <c r="C44" s="41" t="s">
        <v>1601</v>
      </c>
      <c r="D44" s="41" t="s">
        <v>89</v>
      </c>
      <c r="E44" s="218" t="s">
        <v>761</v>
      </c>
      <c r="F44" s="218" t="s">
        <v>4358</v>
      </c>
      <c r="G44" s="263" t="s">
        <v>3382</v>
      </c>
      <c r="H44" s="42" t="s">
        <v>2</v>
      </c>
      <c r="I44" s="266" t="s">
        <v>3390</v>
      </c>
      <c r="J44" s="251" t="s">
        <v>3599</v>
      </c>
      <c r="K44" s="165"/>
      <c r="L44" s="260"/>
      <c r="M44" s="260"/>
      <c r="N44" s="164"/>
      <c r="O44" s="139" t="s">
        <v>84</v>
      </c>
      <c r="P44" s="40" t="s">
        <v>88</v>
      </c>
      <c r="Q44" s="247" t="s">
        <v>3601</v>
      </c>
      <c r="R44" s="219" t="s">
        <v>3301</v>
      </c>
      <c r="S44" s="141" t="s">
        <v>87</v>
      </c>
      <c r="T44" s="261"/>
    </row>
    <row r="45" spans="1:20" ht="58" customHeight="1">
      <c r="A45" s="249" t="s">
        <v>2659</v>
      </c>
      <c r="B45" s="42" t="s">
        <v>4</v>
      </c>
      <c r="C45" s="41" t="s">
        <v>1601</v>
      </c>
      <c r="D45" s="41" t="s">
        <v>4551</v>
      </c>
      <c r="E45" s="218" t="s">
        <v>762</v>
      </c>
      <c r="F45" s="218" t="s">
        <v>4359</v>
      </c>
      <c r="G45" s="263" t="s">
        <v>3385</v>
      </c>
      <c r="H45" s="42" t="s">
        <v>1599</v>
      </c>
      <c r="I45" s="266" t="s">
        <v>3392</v>
      </c>
      <c r="J45" s="251" t="s">
        <v>4216</v>
      </c>
      <c r="K45" s="165" t="s">
        <v>4552</v>
      </c>
      <c r="L45" s="260" t="s">
        <v>4755</v>
      </c>
      <c r="M45" s="260" t="s">
        <v>4756</v>
      </c>
      <c r="N45" s="164" t="s">
        <v>4650</v>
      </c>
      <c r="O45" s="139" t="s">
        <v>84</v>
      </c>
      <c r="P45" s="40" t="s">
        <v>4550</v>
      </c>
      <c r="Q45" s="247" t="s">
        <v>3601</v>
      </c>
      <c r="R45" s="219" t="s">
        <v>3299</v>
      </c>
      <c r="S45" s="141" t="s">
        <v>87</v>
      </c>
      <c r="T45" s="261"/>
    </row>
    <row r="46" spans="1:20" ht="58" customHeight="1">
      <c r="A46" s="249" t="s">
        <v>2659</v>
      </c>
      <c r="B46" s="42" t="s">
        <v>4</v>
      </c>
      <c r="C46" s="41" t="s">
        <v>1601</v>
      </c>
      <c r="D46" s="41" t="s">
        <v>4553</v>
      </c>
      <c r="E46" s="218" t="s">
        <v>762</v>
      </c>
      <c r="F46" s="218" t="s">
        <v>4359</v>
      </c>
      <c r="G46" s="263" t="s">
        <v>3385</v>
      </c>
      <c r="H46" s="42" t="s">
        <v>1599</v>
      </c>
      <c r="I46" s="266" t="s">
        <v>3392</v>
      </c>
      <c r="J46" s="251" t="s">
        <v>4216</v>
      </c>
      <c r="K46" s="165" t="s">
        <v>4555</v>
      </c>
      <c r="L46" s="260" t="s">
        <v>4763</v>
      </c>
      <c r="M46" s="260" t="s">
        <v>4764</v>
      </c>
      <c r="N46" s="164" t="s">
        <v>4651</v>
      </c>
      <c r="O46" s="139" t="s">
        <v>84</v>
      </c>
      <c r="P46" s="40" t="s">
        <v>4554</v>
      </c>
      <c r="Q46" s="247" t="s">
        <v>3601</v>
      </c>
      <c r="R46" s="219" t="s">
        <v>3299</v>
      </c>
      <c r="S46" s="141" t="s">
        <v>87</v>
      </c>
      <c r="T46" s="261"/>
    </row>
    <row r="47" spans="1:20" ht="58" customHeight="1">
      <c r="A47" s="249" t="s">
        <v>2659</v>
      </c>
      <c r="B47" s="42" t="s">
        <v>4</v>
      </c>
      <c r="C47" s="41" t="s">
        <v>1601</v>
      </c>
      <c r="D47" s="41" t="s">
        <v>92</v>
      </c>
      <c r="E47" s="218" t="s">
        <v>763</v>
      </c>
      <c r="F47" s="218" t="s">
        <v>4360</v>
      </c>
      <c r="G47" s="263" t="s">
        <v>3382</v>
      </c>
      <c r="H47" s="42" t="s">
        <v>2</v>
      </c>
      <c r="I47" s="266" t="s">
        <v>3390</v>
      </c>
      <c r="J47" s="251" t="s">
        <v>3599</v>
      </c>
      <c r="K47" s="165"/>
      <c r="L47" s="260"/>
      <c r="M47" s="260"/>
      <c r="N47" s="164"/>
      <c r="O47" s="139" t="s">
        <v>84</v>
      </c>
      <c r="P47" s="40" t="s">
        <v>91</v>
      </c>
      <c r="Q47" s="247" t="s">
        <v>3601</v>
      </c>
      <c r="R47" s="219" t="s">
        <v>3301</v>
      </c>
      <c r="S47" s="141" t="s">
        <v>87</v>
      </c>
      <c r="T47" s="261"/>
    </row>
    <row r="48" spans="1:20" ht="58" customHeight="1">
      <c r="A48" s="249" t="s">
        <v>2659</v>
      </c>
      <c r="B48" s="42" t="s">
        <v>4</v>
      </c>
      <c r="C48" s="41" t="s">
        <v>1602</v>
      </c>
      <c r="D48" s="41" t="s">
        <v>95</v>
      </c>
      <c r="E48" s="218" t="s">
        <v>764</v>
      </c>
      <c r="F48" s="218" t="s">
        <v>3643</v>
      </c>
      <c r="G48" s="263" t="s">
        <v>3644</v>
      </c>
      <c r="H48" s="42" t="s">
        <v>2</v>
      </c>
      <c r="I48" s="266" t="s">
        <v>3390</v>
      </c>
      <c r="J48" s="251" t="s">
        <v>3599</v>
      </c>
      <c r="K48" s="165"/>
      <c r="L48" s="260"/>
      <c r="M48" s="260"/>
      <c r="N48" s="164"/>
      <c r="O48" s="139" t="s">
        <v>93</v>
      </c>
      <c r="P48" s="40" t="s">
        <v>94</v>
      </c>
      <c r="Q48" s="247" t="s">
        <v>3601</v>
      </c>
      <c r="R48" s="219" t="s">
        <v>3305</v>
      </c>
      <c r="S48" s="141" t="s">
        <v>96</v>
      </c>
      <c r="T48" s="261"/>
    </row>
    <row r="49" spans="1:20" ht="58" customHeight="1">
      <c r="A49" s="249" t="s">
        <v>2659</v>
      </c>
      <c r="B49" s="42" t="s">
        <v>4</v>
      </c>
      <c r="C49" s="41" t="s">
        <v>1602</v>
      </c>
      <c r="D49" s="41" t="s">
        <v>98</v>
      </c>
      <c r="E49" s="218" t="s">
        <v>765</v>
      </c>
      <c r="F49" s="218" t="s">
        <v>4361</v>
      </c>
      <c r="G49" s="263" t="s">
        <v>3385</v>
      </c>
      <c r="H49" s="42" t="s">
        <v>1599</v>
      </c>
      <c r="I49" s="266" t="s">
        <v>4484</v>
      </c>
      <c r="J49" s="251" t="s">
        <v>4217</v>
      </c>
      <c r="K49" s="165" t="s">
        <v>4626</v>
      </c>
      <c r="L49" s="260" t="s">
        <v>4725</v>
      </c>
      <c r="M49" s="260" t="s">
        <v>4726</v>
      </c>
      <c r="N49" s="164" t="s">
        <v>4650</v>
      </c>
      <c r="O49" s="139" t="s">
        <v>93</v>
      </c>
      <c r="P49" s="40" t="s">
        <v>97</v>
      </c>
      <c r="Q49" s="247" t="s">
        <v>3601</v>
      </c>
      <c r="R49" s="219" t="s">
        <v>3299</v>
      </c>
      <c r="S49" s="141" t="s">
        <v>96</v>
      </c>
      <c r="T49" s="261"/>
    </row>
    <row r="50" spans="1:20" ht="58" customHeight="1">
      <c r="A50" s="249" t="s">
        <v>2659</v>
      </c>
      <c r="B50" s="42" t="s">
        <v>4</v>
      </c>
      <c r="C50" s="41" t="s">
        <v>1602</v>
      </c>
      <c r="D50" s="41" t="s">
        <v>4527</v>
      </c>
      <c r="E50" s="218" t="s">
        <v>766</v>
      </c>
      <c r="F50" s="218" t="s">
        <v>4362</v>
      </c>
      <c r="G50" s="263" t="s">
        <v>3385</v>
      </c>
      <c r="H50" s="42" t="s">
        <v>1599</v>
      </c>
      <c r="I50" s="266" t="s">
        <v>4484</v>
      </c>
      <c r="J50" s="251" t="s">
        <v>4218</v>
      </c>
      <c r="K50" s="165" t="s">
        <v>4528</v>
      </c>
      <c r="L50" s="260" t="s">
        <v>4727</v>
      </c>
      <c r="M50" s="260" t="s">
        <v>4728</v>
      </c>
      <c r="N50" s="164" t="s">
        <v>4650</v>
      </c>
      <c r="O50" s="139" t="s">
        <v>99</v>
      </c>
      <c r="P50" s="40" t="s">
        <v>4526</v>
      </c>
      <c r="Q50" s="247" t="s">
        <v>3601</v>
      </c>
      <c r="R50" s="219" t="s">
        <v>3299</v>
      </c>
      <c r="S50" s="141" t="s">
        <v>101</v>
      </c>
      <c r="T50" s="261"/>
    </row>
    <row r="51" spans="1:20" ht="58" customHeight="1">
      <c r="A51" s="249" t="s">
        <v>2659</v>
      </c>
      <c r="B51" s="42" t="s">
        <v>4</v>
      </c>
      <c r="C51" s="41" t="s">
        <v>1602</v>
      </c>
      <c r="D51" s="41" t="s">
        <v>4529</v>
      </c>
      <c r="E51" s="218" t="s">
        <v>766</v>
      </c>
      <c r="F51" s="218" t="s">
        <v>4362</v>
      </c>
      <c r="G51" s="263" t="s">
        <v>3385</v>
      </c>
      <c r="H51" s="42" t="s">
        <v>1599</v>
      </c>
      <c r="I51" s="266" t="s">
        <v>4484</v>
      </c>
      <c r="J51" s="251" t="s">
        <v>4218</v>
      </c>
      <c r="K51" s="165" t="s">
        <v>4531</v>
      </c>
      <c r="L51" s="260" t="s">
        <v>4729</v>
      </c>
      <c r="M51" s="260" t="s">
        <v>4730</v>
      </c>
      <c r="N51" s="164" t="s">
        <v>4650</v>
      </c>
      <c r="O51" s="139" t="s">
        <v>99</v>
      </c>
      <c r="P51" s="40" t="s">
        <v>4530</v>
      </c>
      <c r="Q51" s="247" t="s">
        <v>3601</v>
      </c>
      <c r="R51" s="219" t="s">
        <v>3299</v>
      </c>
      <c r="S51" s="141" t="s">
        <v>101</v>
      </c>
      <c r="T51" s="261"/>
    </row>
    <row r="52" spans="1:20" ht="58" customHeight="1">
      <c r="A52" s="249" t="s">
        <v>2659</v>
      </c>
      <c r="B52" s="42" t="s">
        <v>4</v>
      </c>
      <c r="C52" s="41" t="s">
        <v>1602</v>
      </c>
      <c r="D52" s="41" t="s">
        <v>103</v>
      </c>
      <c r="E52" s="218" t="s">
        <v>767</v>
      </c>
      <c r="F52" s="218" t="s">
        <v>4362</v>
      </c>
      <c r="G52" s="263" t="s">
        <v>3385</v>
      </c>
      <c r="H52" s="42" t="s">
        <v>1599</v>
      </c>
      <c r="I52" s="266" t="s">
        <v>4871</v>
      </c>
      <c r="J52" s="251" t="s">
        <v>4219</v>
      </c>
      <c r="K52" s="165" t="s">
        <v>4627</v>
      </c>
      <c r="L52" s="260" t="s">
        <v>4731</v>
      </c>
      <c r="M52" s="260" t="s">
        <v>4732</v>
      </c>
      <c r="N52" s="164" t="s">
        <v>4650</v>
      </c>
      <c r="O52" s="139" t="s">
        <v>99</v>
      </c>
      <c r="P52" s="40" t="s">
        <v>102</v>
      </c>
      <c r="Q52" s="247" t="s">
        <v>3601</v>
      </c>
      <c r="R52" s="219" t="s">
        <v>3299</v>
      </c>
      <c r="S52" s="141" t="s">
        <v>101</v>
      </c>
      <c r="T52" s="261"/>
    </row>
    <row r="53" spans="1:20" ht="58" customHeight="1">
      <c r="A53" s="249" t="s">
        <v>2659</v>
      </c>
      <c r="B53" s="42" t="s">
        <v>4</v>
      </c>
      <c r="C53" s="41" t="s">
        <v>1602</v>
      </c>
      <c r="D53" s="41" t="s">
        <v>105</v>
      </c>
      <c r="E53" s="218" t="s">
        <v>768</v>
      </c>
      <c r="F53" s="218" t="s">
        <v>4363</v>
      </c>
      <c r="G53" s="263" t="s">
        <v>3385</v>
      </c>
      <c r="H53" s="42" t="s">
        <v>1599</v>
      </c>
      <c r="I53" s="266" t="s">
        <v>3392</v>
      </c>
      <c r="J53" s="251" t="s">
        <v>4220</v>
      </c>
      <c r="K53" s="165" t="s">
        <v>4628</v>
      </c>
      <c r="L53" s="260" t="s">
        <v>4733</v>
      </c>
      <c r="M53" s="260" t="s">
        <v>4734</v>
      </c>
      <c r="N53" s="164" t="s">
        <v>4650</v>
      </c>
      <c r="O53" s="139" t="s">
        <v>99</v>
      </c>
      <c r="P53" s="40" t="s">
        <v>104</v>
      </c>
      <c r="Q53" s="247" t="s">
        <v>3601</v>
      </c>
      <c r="R53" s="219" t="s">
        <v>3299</v>
      </c>
      <c r="S53" s="141" t="s">
        <v>101</v>
      </c>
      <c r="T53" s="261"/>
    </row>
    <row r="54" spans="1:20" ht="58" customHeight="1">
      <c r="A54" s="249" t="s">
        <v>2659</v>
      </c>
      <c r="B54" s="42" t="s">
        <v>4</v>
      </c>
      <c r="C54" s="41" t="s">
        <v>1602</v>
      </c>
      <c r="D54" s="41" t="s">
        <v>107</v>
      </c>
      <c r="E54" s="218" t="s">
        <v>769</v>
      </c>
      <c r="F54" s="218" t="s">
        <v>4364</v>
      </c>
      <c r="G54" s="263" t="s">
        <v>3386</v>
      </c>
      <c r="H54" s="42" t="s">
        <v>1599</v>
      </c>
      <c r="I54" s="266" t="s">
        <v>4871</v>
      </c>
      <c r="J54" s="251" t="s">
        <v>4221</v>
      </c>
      <c r="K54" s="165" t="s">
        <v>4655</v>
      </c>
      <c r="L54" s="260" t="s">
        <v>4775</v>
      </c>
      <c r="M54" s="260" t="s">
        <v>4776</v>
      </c>
      <c r="N54" s="164" t="s">
        <v>4649</v>
      </c>
      <c r="O54" s="139" t="s">
        <v>99</v>
      </c>
      <c r="P54" s="40" t="s">
        <v>106</v>
      </c>
      <c r="Q54" s="247" t="s">
        <v>3601</v>
      </c>
      <c r="R54" s="219" t="s">
        <v>3300</v>
      </c>
      <c r="S54" s="141" t="s">
        <v>101</v>
      </c>
      <c r="T54" s="261"/>
    </row>
    <row r="55" spans="1:20" ht="58" customHeight="1">
      <c r="A55" s="249" t="s">
        <v>2659</v>
      </c>
      <c r="B55" s="42" t="s">
        <v>4</v>
      </c>
      <c r="C55" s="41" t="s">
        <v>1602</v>
      </c>
      <c r="D55" s="41" t="s">
        <v>109</v>
      </c>
      <c r="E55" s="218" t="s">
        <v>770</v>
      </c>
      <c r="F55" s="218" t="s">
        <v>4365</v>
      </c>
      <c r="G55" s="263" t="s">
        <v>3386</v>
      </c>
      <c r="H55" s="42" t="s">
        <v>1599</v>
      </c>
      <c r="I55" s="266" t="s">
        <v>4871</v>
      </c>
      <c r="J55" s="251" t="s">
        <v>4222</v>
      </c>
      <c r="K55" s="165" t="s">
        <v>4642</v>
      </c>
      <c r="L55" s="260" t="s">
        <v>4801</v>
      </c>
      <c r="M55" s="260"/>
      <c r="N55" s="164" t="s">
        <v>4649</v>
      </c>
      <c r="O55" s="139" t="s">
        <v>99</v>
      </c>
      <c r="P55" s="40" t="s">
        <v>108</v>
      </c>
      <c r="Q55" s="247" t="s">
        <v>3601</v>
      </c>
      <c r="R55" s="219" t="s">
        <v>3300</v>
      </c>
      <c r="S55" s="141" t="s">
        <v>101</v>
      </c>
      <c r="T55" s="261"/>
    </row>
    <row r="56" spans="1:20" ht="58" customHeight="1">
      <c r="A56" s="249" t="s">
        <v>2659</v>
      </c>
      <c r="B56" s="42" t="s">
        <v>4</v>
      </c>
      <c r="C56" s="41" t="s">
        <v>1602</v>
      </c>
      <c r="D56" s="41" t="s">
        <v>112</v>
      </c>
      <c r="E56" s="218" t="s">
        <v>771</v>
      </c>
      <c r="F56" s="218" t="s">
        <v>4366</v>
      </c>
      <c r="G56" s="263" t="s">
        <v>3386</v>
      </c>
      <c r="H56" s="42" t="s">
        <v>1599</v>
      </c>
      <c r="I56" s="266" t="s">
        <v>4484</v>
      </c>
      <c r="J56" s="251" t="s">
        <v>4223</v>
      </c>
      <c r="K56" s="165" t="s">
        <v>4667</v>
      </c>
      <c r="L56" s="260" t="s">
        <v>4799</v>
      </c>
      <c r="M56" s="260" t="s">
        <v>4800</v>
      </c>
      <c r="N56" s="164" t="s">
        <v>4651</v>
      </c>
      <c r="O56" s="139" t="s">
        <v>110</v>
      </c>
      <c r="P56" s="40" t="s">
        <v>111</v>
      </c>
      <c r="Q56" s="247" t="s">
        <v>3601</v>
      </c>
      <c r="R56" s="219" t="s">
        <v>3300</v>
      </c>
      <c r="S56" s="141" t="s">
        <v>113</v>
      </c>
      <c r="T56" s="261"/>
    </row>
    <row r="57" spans="1:20" ht="58" customHeight="1">
      <c r="A57" s="249" t="s">
        <v>2659</v>
      </c>
      <c r="B57" s="42" t="s">
        <v>4</v>
      </c>
      <c r="C57" s="41" t="s">
        <v>1602</v>
      </c>
      <c r="D57" s="41" t="s">
        <v>115</v>
      </c>
      <c r="E57" s="218" t="s">
        <v>772</v>
      </c>
      <c r="F57" s="218" t="s">
        <v>4367</v>
      </c>
      <c r="G57" s="263" t="s">
        <v>3386</v>
      </c>
      <c r="H57" s="42" t="s">
        <v>1599</v>
      </c>
      <c r="I57" s="266" t="s">
        <v>4871</v>
      </c>
      <c r="J57" s="251" t="s">
        <v>4224</v>
      </c>
      <c r="K57" s="165" t="s">
        <v>4654</v>
      </c>
      <c r="L57" s="260" t="s">
        <v>4773</v>
      </c>
      <c r="M57" s="260" t="s">
        <v>4774</v>
      </c>
      <c r="N57" s="164" t="s">
        <v>4649</v>
      </c>
      <c r="O57" s="139" t="s">
        <v>110</v>
      </c>
      <c r="P57" s="40" t="s">
        <v>114</v>
      </c>
      <c r="Q57" s="247" t="s">
        <v>3601</v>
      </c>
      <c r="R57" s="219" t="s">
        <v>3300</v>
      </c>
      <c r="S57" s="141" t="s">
        <v>113</v>
      </c>
      <c r="T57" s="261"/>
    </row>
    <row r="58" spans="1:20" ht="58" customHeight="1">
      <c r="A58" s="249" t="s">
        <v>2659</v>
      </c>
      <c r="B58" s="42" t="s">
        <v>4</v>
      </c>
      <c r="C58" s="41" t="s">
        <v>1602</v>
      </c>
      <c r="D58" s="41" t="s">
        <v>117</v>
      </c>
      <c r="E58" s="218" t="s">
        <v>773</v>
      </c>
      <c r="F58" s="218" t="s">
        <v>4368</v>
      </c>
      <c r="G58" s="263" t="s">
        <v>3386</v>
      </c>
      <c r="H58" s="42" t="s">
        <v>1599</v>
      </c>
      <c r="I58" s="266" t="s">
        <v>4484</v>
      </c>
      <c r="J58" s="251" t="s">
        <v>4225</v>
      </c>
      <c r="K58" s="165" t="s">
        <v>4666</v>
      </c>
      <c r="L58" s="260" t="s">
        <v>4797</v>
      </c>
      <c r="M58" s="260" t="s">
        <v>4798</v>
      </c>
      <c r="N58" s="164" t="s">
        <v>4651</v>
      </c>
      <c r="O58" s="139" t="s">
        <v>110</v>
      </c>
      <c r="P58" s="40" t="s">
        <v>116</v>
      </c>
      <c r="Q58" s="247" t="s">
        <v>3601</v>
      </c>
      <c r="R58" s="219" t="s">
        <v>3300</v>
      </c>
      <c r="S58" s="141" t="s">
        <v>113</v>
      </c>
      <c r="T58" s="261"/>
    </row>
    <row r="59" spans="1:20" ht="58" customHeight="1">
      <c r="A59" s="249" t="s">
        <v>2659</v>
      </c>
      <c r="B59" s="42" t="s">
        <v>4</v>
      </c>
      <c r="C59" s="41" t="s">
        <v>1603</v>
      </c>
      <c r="D59" s="41" t="s">
        <v>120</v>
      </c>
      <c r="E59" s="218" t="s">
        <v>774</v>
      </c>
      <c r="F59" s="218" t="s">
        <v>4369</v>
      </c>
      <c r="G59" s="263" t="s">
        <v>3382</v>
      </c>
      <c r="H59" s="42" t="s">
        <v>2</v>
      </c>
      <c r="I59" s="266" t="s">
        <v>3390</v>
      </c>
      <c r="J59" s="251" t="s">
        <v>3599</v>
      </c>
      <c r="K59" s="165"/>
      <c r="L59" s="260"/>
      <c r="M59" s="260"/>
      <c r="N59" s="164"/>
      <c r="O59" s="139" t="s">
        <v>118</v>
      </c>
      <c r="P59" s="40" t="s">
        <v>119</v>
      </c>
      <c r="Q59" s="247" t="s">
        <v>3601</v>
      </c>
      <c r="R59" s="219" t="s">
        <v>2</v>
      </c>
      <c r="S59" s="141" t="s">
        <v>121</v>
      </c>
      <c r="T59" s="261"/>
    </row>
    <row r="60" spans="1:20" ht="58" customHeight="1">
      <c r="A60" s="249" t="s">
        <v>2659</v>
      </c>
      <c r="B60" s="42" t="s">
        <v>4</v>
      </c>
      <c r="C60" s="41" t="s">
        <v>1603</v>
      </c>
      <c r="D60" s="41" t="s">
        <v>123</v>
      </c>
      <c r="E60" s="218" t="s">
        <v>775</v>
      </c>
      <c r="F60" s="218" t="s">
        <v>4370</v>
      </c>
      <c r="G60" s="263" t="s">
        <v>3382</v>
      </c>
      <c r="H60" s="42" t="s">
        <v>2</v>
      </c>
      <c r="I60" s="266" t="s">
        <v>3390</v>
      </c>
      <c r="J60" s="251" t="s">
        <v>3599</v>
      </c>
      <c r="K60" s="165"/>
      <c r="L60" s="260"/>
      <c r="M60" s="260"/>
      <c r="N60" s="164"/>
      <c r="O60" s="139" t="s">
        <v>118</v>
      </c>
      <c r="P60" s="40" t="s">
        <v>122</v>
      </c>
      <c r="Q60" s="247" t="s">
        <v>3601</v>
      </c>
      <c r="R60" s="219" t="s">
        <v>2</v>
      </c>
      <c r="S60" s="141" t="s">
        <v>121</v>
      </c>
      <c r="T60" s="261"/>
    </row>
    <row r="61" spans="1:20" ht="58" customHeight="1">
      <c r="A61" s="249" t="s">
        <v>2659</v>
      </c>
      <c r="B61" s="42" t="s">
        <v>4</v>
      </c>
      <c r="C61" s="41" t="s">
        <v>1603</v>
      </c>
      <c r="D61" s="41" t="s">
        <v>125</v>
      </c>
      <c r="E61" s="218" t="s">
        <v>776</v>
      </c>
      <c r="F61" s="218" t="s">
        <v>4371</v>
      </c>
      <c r="G61" s="263" t="s">
        <v>3386</v>
      </c>
      <c r="H61" s="42" t="s">
        <v>1599</v>
      </c>
      <c r="I61" s="266" t="s">
        <v>4871</v>
      </c>
      <c r="J61" s="251" t="s">
        <v>4226</v>
      </c>
      <c r="K61" s="165" t="s">
        <v>4656</v>
      </c>
      <c r="L61" s="260" t="s">
        <v>4777</v>
      </c>
      <c r="M61" s="260" t="s">
        <v>4778</v>
      </c>
      <c r="N61" s="164" t="s">
        <v>4649</v>
      </c>
      <c r="O61" s="139" t="s">
        <v>118</v>
      </c>
      <c r="P61" s="40" t="s">
        <v>124</v>
      </c>
      <c r="Q61" s="247" t="s">
        <v>3601</v>
      </c>
      <c r="R61" s="219" t="s">
        <v>3300</v>
      </c>
      <c r="S61" s="141" t="s">
        <v>121</v>
      </c>
      <c r="T61" s="261"/>
    </row>
    <row r="62" spans="1:20" ht="58" customHeight="1">
      <c r="A62" s="249" t="s">
        <v>2659</v>
      </c>
      <c r="B62" s="42" t="s">
        <v>4</v>
      </c>
      <c r="C62" s="41" t="s">
        <v>1603</v>
      </c>
      <c r="D62" s="41" t="s">
        <v>127</v>
      </c>
      <c r="E62" s="218" t="s">
        <v>777</v>
      </c>
      <c r="F62" s="218" t="s">
        <v>4372</v>
      </c>
      <c r="G62" s="263" t="s">
        <v>3386</v>
      </c>
      <c r="H62" s="42" t="s">
        <v>1599</v>
      </c>
      <c r="I62" s="266" t="s">
        <v>4871</v>
      </c>
      <c r="J62" s="251" t="s">
        <v>4227</v>
      </c>
      <c r="K62" s="165" t="s">
        <v>4658</v>
      </c>
      <c r="L62" s="260" t="s">
        <v>4781</v>
      </c>
      <c r="M62" s="260" t="s">
        <v>4782</v>
      </c>
      <c r="N62" s="164" t="s">
        <v>4650</v>
      </c>
      <c r="O62" s="139" t="s">
        <v>118</v>
      </c>
      <c r="P62" s="40" t="s">
        <v>126</v>
      </c>
      <c r="Q62" s="247" t="s">
        <v>3601</v>
      </c>
      <c r="R62" s="219" t="s">
        <v>3300</v>
      </c>
      <c r="S62" s="141" t="s">
        <v>121</v>
      </c>
      <c r="T62" s="261"/>
    </row>
    <row r="63" spans="1:20" ht="58" customHeight="1">
      <c r="A63" s="249" t="s">
        <v>2659</v>
      </c>
      <c r="B63" s="42" t="s">
        <v>4</v>
      </c>
      <c r="C63" s="41" t="s">
        <v>1603</v>
      </c>
      <c r="D63" s="41" t="s">
        <v>129</v>
      </c>
      <c r="E63" s="218" t="s">
        <v>778</v>
      </c>
      <c r="F63" s="218" t="s">
        <v>4373</v>
      </c>
      <c r="G63" s="263" t="s">
        <v>3383</v>
      </c>
      <c r="H63" s="42" t="s">
        <v>1025</v>
      </c>
      <c r="I63" s="266" t="s">
        <v>3391</v>
      </c>
      <c r="J63" s="251" t="s">
        <v>3599</v>
      </c>
      <c r="K63" s="165"/>
      <c r="L63" s="260"/>
      <c r="M63" s="260"/>
      <c r="N63" s="164"/>
      <c r="O63" s="139" t="s">
        <v>118</v>
      </c>
      <c r="P63" s="40" t="s">
        <v>128</v>
      </c>
      <c r="Q63" s="247" t="s">
        <v>3601</v>
      </c>
      <c r="R63" s="219" t="s">
        <v>3296</v>
      </c>
      <c r="S63" s="141" t="s">
        <v>121</v>
      </c>
      <c r="T63" s="261"/>
    </row>
    <row r="64" spans="1:20" ht="58" customHeight="1">
      <c r="A64" s="249" t="s">
        <v>2659</v>
      </c>
      <c r="B64" s="42" t="s">
        <v>4</v>
      </c>
      <c r="C64" s="41" t="s">
        <v>1603</v>
      </c>
      <c r="D64" s="41" t="s">
        <v>131</v>
      </c>
      <c r="E64" s="218" t="s">
        <v>779</v>
      </c>
      <c r="F64" s="218" t="s">
        <v>4374</v>
      </c>
      <c r="G64" s="263" t="s">
        <v>3386</v>
      </c>
      <c r="H64" s="42" t="s">
        <v>1599</v>
      </c>
      <c r="I64" s="266" t="s">
        <v>4871</v>
      </c>
      <c r="J64" s="251" t="s">
        <v>4228</v>
      </c>
      <c r="K64" s="165" t="s">
        <v>4643</v>
      </c>
      <c r="L64" s="260" t="s">
        <v>4802</v>
      </c>
      <c r="M64" s="260"/>
      <c r="N64" s="164" t="s">
        <v>4649</v>
      </c>
      <c r="O64" s="139" t="s">
        <v>118</v>
      </c>
      <c r="P64" s="40" t="s">
        <v>130</v>
      </c>
      <c r="Q64" s="247" t="s">
        <v>3601</v>
      </c>
      <c r="R64" s="219" t="s">
        <v>3300</v>
      </c>
      <c r="S64" s="141" t="s">
        <v>121</v>
      </c>
      <c r="T64" s="261"/>
    </row>
    <row r="65" spans="1:20" ht="58" customHeight="1">
      <c r="A65" s="249" t="s">
        <v>2659</v>
      </c>
      <c r="B65" s="42" t="s">
        <v>4</v>
      </c>
      <c r="C65" s="41" t="s">
        <v>1603</v>
      </c>
      <c r="D65" s="41" t="s">
        <v>133</v>
      </c>
      <c r="E65" s="218" t="s">
        <v>780</v>
      </c>
      <c r="F65" s="218" t="s">
        <v>4375</v>
      </c>
      <c r="G65" s="263" t="s">
        <v>3383</v>
      </c>
      <c r="H65" s="42" t="s">
        <v>1025</v>
      </c>
      <c r="I65" s="266" t="s">
        <v>3391</v>
      </c>
      <c r="J65" s="251" t="s">
        <v>3599</v>
      </c>
      <c r="K65" s="165"/>
      <c r="L65" s="260"/>
      <c r="M65" s="260"/>
      <c r="N65" s="164"/>
      <c r="O65" s="139" t="s">
        <v>118</v>
      </c>
      <c r="P65" s="40" t="s">
        <v>132</v>
      </c>
      <c r="Q65" s="247" t="s">
        <v>3601</v>
      </c>
      <c r="R65" s="219" t="s">
        <v>3296</v>
      </c>
      <c r="S65" s="141" t="s">
        <v>121</v>
      </c>
      <c r="T65" s="261"/>
    </row>
    <row r="66" spans="1:20" ht="58" customHeight="1">
      <c r="A66" s="249" t="s">
        <v>2659</v>
      </c>
      <c r="B66" s="42" t="s">
        <v>4</v>
      </c>
      <c r="C66" s="41" t="s">
        <v>1603</v>
      </c>
      <c r="D66" s="41" t="s">
        <v>135</v>
      </c>
      <c r="E66" s="218" t="s">
        <v>4313</v>
      </c>
      <c r="F66" s="218" t="s">
        <v>4314</v>
      </c>
      <c r="G66" s="263" t="s">
        <v>4315</v>
      </c>
      <c r="H66" s="42" t="s">
        <v>2</v>
      </c>
      <c r="I66" s="266" t="s">
        <v>3390</v>
      </c>
      <c r="J66" s="251" t="s">
        <v>3599</v>
      </c>
      <c r="K66" s="165"/>
      <c r="L66" s="260"/>
      <c r="M66" s="260"/>
      <c r="N66" s="164"/>
      <c r="O66" s="139" t="s">
        <v>118</v>
      </c>
      <c r="P66" s="40" t="s">
        <v>134</v>
      </c>
      <c r="Q66" s="247" t="s">
        <v>3601</v>
      </c>
      <c r="R66" s="219" t="s">
        <v>3306</v>
      </c>
      <c r="S66" s="141" t="s">
        <v>121</v>
      </c>
      <c r="T66" s="261"/>
    </row>
    <row r="67" spans="1:20" ht="58" customHeight="1">
      <c r="A67" s="249" t="s">
        <v>2659</v>
      </c>
      <c r="B67" s="42" t="s">
        <v>4</v>
      </c>
      <c r="C67" s="41" t="s">
        <v>1603</v>
      </c>
      <c r="D67" s="41" t="s">
        <v>138</v>
      </c>
      <c r="E67" s="218" t="s">
        <v>4148</v>
      </c>
      <c r="F67" s="218" t="s">
        <v>4376</v>
      </c>
      <c r="G67" s="263" t="s">
        <v>3383</v>
      </c>
      <c r="H67" s="42" t="s">
        <v>1025</v>
      </c>
      <c r="I67" s="266" t="s">
        <v>3391</v>
      </c>
      <c r="J67" s="251" t="s">
        <v>3599</v>
      </c>
      <c r="K67" s="165"/>
      <c r="L67" s="260"/>
      <c r="M67" s="260"/>
      <c r="N67" s="164"/>
      <c r="O67" s="139" t="s">
        <v>136</v>
      </c>
      <c r="P67" s="40" t="s">
        <v>137</v>
      </c>
      <c r="Q67" s="247" t="s">
        <v>3601</v>
      </c>
      <c r="R67" s="219" t="s">
        <v>3307</v>
      </c>
      <c r="S67" s="141" t="s">
        <v>139</v>
      </c>
      <c r="T67" s="261"/>
    </row>
    <row r="68" spans="1:20" ht="58" customHeight="1">
      <c r="A68" s="249" t="s">
        <v>2659</v>
      </c>
      <c r="B68" s="42" t="s">
        <v>4</v>
      </c>
      <c r="C68" s="41" t="s">
        <v>1603</v>
      </c>
      <c r="D68" s="41" t="s">
        <v>141</v>
      </c>
      <c r="E68" s="218" t="s">
        <v>4149</v>
      </c>
      <c r="F68" s="218" t="s">
        <v>4377</v>
      </c>
      <c r="G68" s="263" t="s">
        <v>3383</v>
      </c>
      <c r="H68" s="42" t="s">
        <v>1025</v>
      </c>
      <c r="I68" s="266" t="s">
        <v>3391</v>
      </c>
      <c r="J68" s="251" t="s">
        <v>3599</v>
      </c>
      <c r="K68" s="165"/>
      <c r="L68" s="260"/>
      <c r="M68" s="260"/>
      <c r="N68" s="164"/>
      <c r="O68" s="139" t="s">
        <v>136</v>
      </c>
      <c r="P68" s="40" t="s">
        <v>140</v>
      </c>
      <c r="Q68" s="247" t="s">
        <v>3601</v>
      </c>
      <c r="R68" s="219" t="s">
        <v>3307</v>
      </c>
      <c r="S68" s="141" t="s">
        <v>139</v>
      </c>
      <c r="T68" s="261"/>
    </row>
    <row r="69" spans="1:20" ht="58" customHeight="1">
      <c r="A69" s="249" t="s">
        <v>2659</v>
      </c>
      <c r="B69" s="42" t="s">
        <v>4</v>
      </c>
      <c r="C69" s="41" t="s">
        <v>1604</v>
      </c>
      <c r="D69" s="41" t="s">
        <v>144</v>
      </c>
      <c r="E69" s="218" t="s">
        <v>781</v>
      </c>
      <c r="F69" s="218" t="s">
        <v>3674</v>
      </c>
      <c r="G69" s="263" t="s">
        <v>3675</v>
      </c>
      <c r="H69" s="42" t="s">
        <v>1599</v>
      </c>
      <c r="I69" s="266" t="s">
        <v>3392</v>
      </c>
      <c r="J69" s="251" t="s">
        <v>3599</v>
      </c>
      <c r="K69" s="165" t="s">
        <v>4988</v>
      </c>
      <c r="L69" s="260" t="s">
        <v>4989</v>
      </c>
      <c r="M69" s="260"/>
      <c r="N69" s="164"/>
      <c r="O69" s="139" t="s">
        <v>142</v>
      </c>
      <c r="P69" s="40" t="s">
        <v>143</v>
      </c>
      <c r="Q69" s="247" t="s">
        <v>3601</v>
      </c>
      <c r="R69" s="219" t="s">
        <v>3308</v>
      </c>
      <c r="S69" s="141" t="s">
        <v>145</v>
      </c>
      <c r="T69" s="261" t="s">
        <v>4990</v>
      </c>
    </row>
    <row r="70" spans="1:20" ht="58" customHeight="1">
      <c r="A70" s="249" t="s">
        <v>2659</v>
      </c>
      <c r="B70" s="42" t="s">
        <v>4</v>
      </c>
      <c r="C70" s="41" t="s">
        <v>1604</v>
      </c>
      <c r="D70" s="41" t="s">
        <v>154</v>
      </c>
      <c r="E70" s="218" t="s">
        <v>784</v>
      </c>
      <c r="F70" s="218" t="s">
        <v>4378</v>
      </c>
      <c r="G70" s="263" t="s">
        <v>3386</v>
      </c>
      <c r="H70" s="42" t="s">
        <v>1599</v>
      </c>
      <c r="I70" s="266" t="s">
        <v>4871</v>
      </c>
      <c r="J70" s="251" t="s">
        <v>4229</v>
      </c>
      <c r="K70" s="165" t="s">
        <v>4659</v>
      </c>
      <c r="L70" s="260" t="s">
        <v>4783</v>
      </c>
      <c r="M70" s="260" t="s">
        <v>4784</v>
      </c>
      <c r="N70" s="164" t="s">
        <v>4650</v>
      </c>
      <c r="O70" s="139" t="s">
        <v>152</v>
      </c>
      <c r="P70" s="40" t="s">
        <v>153</v>
      </c>
      <c r="Q70" s="247" t="s">
        <v>3601</v>
      </c>
      <c r="R70" s="219" t="s">
        <v>3300</v>
      </c>
      <c r="S70" s="141" t="s">
        <v>155</v>
      </c>
      <c r="T70" s="261"/>
    </row>
    <row r="71" spans="1:20" ht="58" customHeight="1">
      <c r="A71" s="249" t="s">
        <v>2659</v>
      </c>
      <c r="B71" s="42" t="s">
        <v>4</v>
      </c>
      <c r="C71" s="41" t="s">
        <v>1604</v>
      </c>
      <c r="D71" s="41" t="s">
        <v>168</v>
      </c>
      <c r="E71" s="218" t="s">
        <v>4136</v>
      </c>
      <c r="F71" s="218" t="s">
        <v>4330</v>
      </c>
      <c r="G71" s="263" t="s">
        <v>4932</v>
      </c>
      <c r="H71" s="42" t="s">
        <v>2</v>
      </c>
      <c r="I71" s="266" t="s">
        <v>3390</v>
      </c>
      <c r="J71" s="251" t="s">
        <v>3599</v>
      </c>
      <c r="K71" s="165"/>
      <c r="L71" s="260"/>
      <c r="M71" s="260"/>
      <c r="N71" s="164"/>
      <c r="O71" s="139" t="s">
        <v>166</v>
      </c>
      <c r="P71" s="40" t="s">
        <v>167</v>
      </c>
      <c r="Q71" s="247" t="s">
        <v>3601</v>
      </c>
      <c r="R71" s="219" t="s">
        <v>3311</v>
      </c>
      <c r="S71" s="141" t="s">
        <v>169</v>
      </c>
      <c r="T71" s="261"/>
    </row>
    <row r="72" spans="1:20" ht="58" customHeight="1">
      <c r="A72" s="249" t="s">
        <v>2659</v>
      </c>
      <c r="B72" s="42" t="s">
        <v>4</v>
      </c>
      <c r="C72" s="41" t="s">
        <v>1604</v>
      </c>
      <c r="D72" s="41" t="s">
        <v>162</v>
      </c>
      <c r="E72" s="218" t="s">
        <v>787</v>
      </c>
      <c r="F72" s="218" t="s">
        <v>3676</v>
      </c>
      <c r="G72" s="263" t="s">
        <v>3677</v>
      </c>
      <c r="H72" s="42" t="s">
        <v>1599</v>
      </c>
      <c r="I72" s="266" t="s">
        <v>3392</v>
      </c>
      <c r="J72" s="251" t="s">
        <v>3599</v>
      </c>
      <c r="K72" s="165" t="s">
        <v>4991</v>
      </c>
      <c r="L72" s="260" t="s">
        <v>4992</v>
      </c>
      <c r="M72" s="260"/>
      <c r="N72" s="164"/>
      <c r="O72" s="139" t="s">
        <v>160</v>
      </c>
      <c r="P72" s="40" t="s">
        <v>161</v>
      </c>
      <c r="Q72" s="247" t="s">
        <v>3601</v>
      </c>
      <c r="R72" s="219" t="s">
        <v>3308</v>
      </c>
      <c r="S72" s="141" t="s">
        <v>163</v>
      </c>
      <c r="T72" s="261" t="s">
        <v>4990</v>
      </c>
    </row>
    <row r="73" spans="1:20" ht="58" customHeight="1">
      <c r="A73" s="249" t="s">
        <v>2659</v>
      </c>
      <c r="B73" s="42" t="s">
        <v>4</v>
      </c>
      <c r="C73" s="41" t="s">
        <v>1604</v>
      </c>
      <c r="D73" s="41" t="s">
        <v>147</v>
      </c>
      <c r="E73" s="218" t="s">
        <v>782</v>
      </c>
      <c r="F73" s="218" t="s">
        <v>3678</v>
      </c>
      <c r="G73" s="263" t="s">
        <v>3653</v>
      </c>
      <c r="H73" s="42" t="s">
        <v>2</v>
      </c>
      <c r="I73" s="266" t="s">
        <v>3390</v>
      </c>
      <c r="J73" s="251" t="s">
        <v>3599</v>
      </c>
      <c r="K73" s="165"/>
      <c r="L73" s="260"/>
      <c r="M73" s="260"/>
      <c r="N73" s="164"/>
      <c r="O73" s="139" t="s">
        <v>142</v>
      </c>
      <c r="P73" s="40" t="s">
        <v>146</v>
      </c>
      <c r="Q73" s="247" t="s">
        <v>3601</v>
      </c>
      <c r="R73" s="219" t="s">
        <v>3308</v>
      </c>
      <c r="S73" s="141" t="s">
        <v>145</v>
      </c>
      <c r="T73" s="261"/>
    </row>
    <row r="74" spans="1:20" ht="58" customHeight="1">
      <c r="A74" s="249" t="s">
        <v>2659</v>
      </c>
      <c r="B74" s="42" t="s">
        <v>4</v>
      </c>
      <c r="C74" s="41" t="s">
        <v>1604</v>
      </c>
      <c r="D74" s="41" t="s">
        <v>149</v>
      </c>
      <c r="E74" s="218" t="s">
        <v>4147</v>
      </c>
      <c r="F74" s="218" t="s">
        <v>3647</v>
      </c>
      <c r="G74" s="263" t="s">
        <v>3648</v>
      </c>
      <c r="H74" s="42" t="s">
        <v>2</v>
      </c>
      <c r="I74" s="266" t="s">
        <v>3390</v>
      </c>
      <c r="J74" s="251" t="s">
        <v>3599</v>
      </c>
      <c r="K74" s="165"/>
      <c r="L74" s="260"/>
      <c r="M74" s="260"/>
      <c r="N74" s="164"/>
      <c r="O74" s="139" t="s">
        <v>142</v>
      </c>
      <c r="P74" s="40" t="s">
        <v>148</v>
      </c>
      <c r="Q74" s="247" t="s">
        <v>3601</v>
      </c>
      <c r="R74" s="219" t="s">
        <v>3309</v>
      </c>
      <c r="S74" s="141" t="s">
        <v>145</v>
      </c>
      <c r="T74" s="261"/>
    </row>
    <row r="75" spans="1:20" ht="58" customHeight="1">
      <c r="A75" s="249" t="s">
        <v>2659</v>
      </c>
      <c r="B75" s="42" t="s">
        <v>4</v>
      </c>
      <c r="C75" s="41" t="s">
        <v>1604</v>
      </c>
      <c r="D75" s="41" t="s">
        <v>157</v>
      </c>
      <c r="E75" s="218" t="s">
        <v>785</v>
      </c>
      <c r="F75" s="218" t="s">
        <v>4379</v>
      </c>
      <c r="G75" s="263" t="s">
        <v>3382</v>
      </c>
      <c r="H75" s="42" t="s">
        <v>2</v>
      </c>
      <c r="I75" s="266" t="s">
        <v>3390</v>
      </c>
      <c r="J75" s="251" t="s">
        <v>3599</v>
      </c>
      <c r="K75" s="165"/>
      <c r="L75" s="260"/>
      <c r="M75" s="260"/>
      <c r="N75" s="164"/>
      <c r="O75" s="139" t="s">
        <v>152</v>
      </c>
      <c r="P75" s="40" t="s">
        <v>156</v>
      </c>
      <c r="Q75" s="247" t="s">
        <v>3601</v>
      </c>
      <c r="R75" s="219" t="s">
        <v>3310</v>
      </c>
      <c r="S75" s="141" t="s">
        <v>155</v>
      </c>
      <c r="T75" s="261"/>
    </row>
    <row r="76" spans="1:20" ht="58" customHeight="1">
      <c r="A76" s="249" t="s">
        <v>2659</v>
      </c>
      <c r="B76" s="42" t="s">
        <v>4</v>
      </c>
      <c r="C76" s="41" t="s">
        <v>1604</v>
      </c>
      <c r="D76" s="41" t="s">
        <v>159</v>
      </c>
      <c r="E76" s="218" t="s">
        <v>786</v>
      </c>
      <c r="F76" s="218" t="s">
        <v>4380</v>
      </c>
      <c r="G76" s="263" t="s">
        <v>3382</v>
      </c>
      <c r="H76" s="42" t="s">
        <v>2</v>
      </c>
      <c r="I76" s="266" t="s">
        <v>3390</v>
      </c>
      <c r="J76" s="251" t="s">
        <v>3599</v>
      </c>
      <c r="K76" s="165"/>
      <c r="L76" s="260"/>
      <c r="M76" s="260"/>
      <c r="N76" s="164"/>
      <c r="O76" s="139" t="s">
        <v>152</v>
      </c>
      <c r="P76" s="40" t="s">
        <v>158</v>
      </c>
      <c r="Q76" s="247" t="s">
        <v>3601</v>
      </c>
      <c r="R76" s="219" t="s">
        <v>3310</v>
      </c>
      <c r="S76" s="141" t="s">
        <v>155</v>
      </c>
      <c r="T76" s="261"/>
    </row>
    <row r="77" spans="1:20" ht="58" customHeight="1">
      <c r="A77" s="249" t="s">
        <v>2659</v>
      </c>
      <c r="B77" s="42" t="s">
        <v>4</v>
      </c>
      <c r="C77" s="41" t="s">
        <v>1604</v>
      </c>
      <c r="D77" s="41" t="s">
        <v>171</v>
      </c>
      <c r="E77" s="218" t="s">
        <v>789</v>
      </c>
      <c r="F77" s="218" t="s">
        <v>3679</v>
      </c>
      <c r="G77" s="263" t="s">
        <v>4933</v>
      </c>
      <c r="H77" s="42" t="s">
        <v>1599</v>
      </c>
      <c r="I77" s="266" t="s">
        <v>4871</v>
      </c>
      <c r="J77" s="251" t="s">
        <v>3599</v>
      </c>
      <c r="K77" s="165" t="s">
        <v>4997</v>
      </c>
      <c r="L77" s="260" t="s">
        <v>4998</v>
      </c>
      <c r="M77" s="260"/>
      <c r="N77" s="164"/>
      <c r="O77" s="139" t="s">
        <v>166</v>
      </c>
      <c r="P77" s="40" t="s">
        <v>170</v>
      </c>
      <c r="Q77" s="247" t="s">
        <v>3601</v>
      </c>
      <c r="R77" s="219" t="s">
        <v>3308</v>
      </c>
      <c r="S77" s="141" t="s">
        <v>169</v>
      </c>
      <c r="T77" s="261" t="s">
        <v>4990</v>
      </c>
    </row>
    <row r="78" spans="1:20" ht="58" customHeight="1">
      <c r="A78" s="249" t="s">
        <v>2659</v>
      </c>
      <c r="B78" s="42" t="s">
        <v>4</v>
      </c>
      <c r="C78" s="41" t="s">
        <v>1604</v>
      </c>
      <c r="D78" s="41" t="s">
        <v>173</v>
      </c>
      <c r="E78" s="218" t="s">
        <v>4457</v>
      </c>
      <c r="F78" s="218" t="s">
        <v>3680</v>
      </c>
      <c r="G78" s="263" t="s">
        <v>4458</v>
      </c>
      <c r="H78" s="42" t="s">
        <v>1599</v>
      </c>
      <c r="I78" s="266" t="s">
        <v>3392</v>
      </c>
      <c r="J78" s="251" t="s">
        <v>4459</v>
      </c>
      <c r="K78" s="165" t="s">
        <v>4920</v>
      </c>
      <c r="L78" s="260" t="s">
        <v>4921</v>
      </c>
      <c r="M78" s="260"/>
      <c r="N78" s="164" t="s">
        <v>4650</v>
      </c>
      <c r="O78" s="139" t="s">
        <v>166</v>
      </c>
      <c r="P78" s="40" t="s">
        <v>172</v>
      </c>
      <c r="Q78" s="247" t="s">
        <v>3601</v>
      </c>
      <c r="R78" s="219" t="s">
        <v>3308</v>
      </c>
      <c r="S78" s="141" t="s">
        <v>169</v>
      </c>
      <c r="T78" s="261"/>
    </row>
    <row r="79" spans="1:20" ht="58" customHeight="1">
      <c r="A79" s="249" t="s">
        <v>2659</v>
      </c>
      <c r="B79" s="42" t="s">
        <v>4</v>
      </c>
      <c r="C79" s="41" t="s">
        <v>1604</v>
      </c>
      <c r="D79" s="41" t="s">
        <v>151</v>
      </c>
      <c r="E79" s="218" t="s">
        <v>783</v>
      </c>
      <c r="F79" s="218" t="s">
        <v>4381</v>
      </c>
      <c r="G79" s="263" t="s">
        <v>3386</v>
      </c>
      <c r="H79" s="42" t="s">
        <v>1599</v>
      </c>
      <c r="I79" s="266" t="s">
        <v>4871</v>
      </c>
      <c r="J79" s="251" t="s">
        <v>4230</v>
      </c>
      <c r="K79" s="165" t="s">
        <v>4661</v>
      </c>
      <c r="L79" s="260" t="s">
        <v>4787</v>
      </c>
      <c r="M79" s="260" t="s">
        <v>4788</v>
      </c>
      <c r="N79" s="164" t="s">
        <v>4650</v>
      </c>
      <c r="O79" s="139" t="s">
        <v>142</v>
      </c>
      <c r="P79" s="40" t="s">
        <v>150</v>
      </c>
      <c r="Q79" s="247" t="s">
        <v>3601</v>
      </c>
      <c r="R79" s="219" t="s">
        <v>3300</v>
      </c>
      <c r="S79" s="141" t="s">
        <v>145</v>
      </c>
      <c r="T79" s="261"/>
    </row>
    <row r="80" spans="1:20" ht="58" customHeight="1">
      <c r="A80" s="249" t="s">
        <v>2659</v>
      </c>
      <c r="B80" s="42" t="s">
        <v>4</v>
      </c>
      <c r="C80" s="41" t="s">
        <v>1604</v>
      </c>
      <c r="D80" s="41" t="s">
        <v>165</v>
      </c>
      <c r="E80" s="218" t="s">
        <v>788</v>
      </c>
      <c r="F80" s="218" t="s">
        <v>3681</v>
      </c>
      <c r="G80" s="263" t="s">
        <v>4934</v>
      </c>
      <c r="H80" s="42" t="s">
        <v>3</v>
      </c>
      <c r="I80" s="266" t="s">
        <v>1616</v>
      </c>
      <c r="J80" s="251" t="s">
        <v>3599</v>
      </c>
      <c r="K80" s="165" t="s">
        <v>1025</v>
      </c>
      <c r="L80" s="260"/>
      <c r="M80" s="260"/>
      <c r="N80" s="164"/>
      <c r="O80" s="139" t="s">
        <v>160</v>
      </c>
      <c r="P80" s="40" t="s">
        <v>164</v>
      </c>
      <c r="Q80" s="247" t="s">
        <v>3601</v>
      </c>
      <c r="R80" s="219" t="s">
        <v>3308</v>
      </c>
      <c r="S80" s="141" t="s">
        <v>163</v>
      </c>
      <c r="T80" s="261" t="s">
        <v>4999</v>
      </c>
    </row>
    <row r="81" spans="1:20" ht="58" customHeight="1">
      <c r="A81" s="249" t="s">
        <v>2659</v>
      </c>
      <c r="B81" s="42" t="s">
        <v>4</v>
      </c>
      <c r="C81" s="41" t="s">
        <v>1605</v>
      </c>
      <c r="D81" s="41" t="s">
        <v>176</v>
      </c>
      <c r="E81" s="218" t="s">
        <v>790</v>
      </c>
      <c r="F81" s="218" t="s">
        <v>4382</v>
      </c>
      <c r="G81" s="263" t="s">
        <v>3382</v>
      </c>
      <c r="H81" s="42" t="s">
        <v>2</v>
      </c>
      <c r="I81" s="266" t="s">
        <v>3390</v>
      </c>
      <c r="J81" s="251" t="s">
        <v>3599</v>
      </c>
      <c r="K81" s="165"/>
      <c r="L81" s="260"/>
      <c r="M81" s="260"/>
      <c r="N81" s="164"/>
      <c r="O81" s="139" t="s">
        <v>174</v>
      </c>
      <c r="P81" s="40" t="s">
        <v>175</v>
      </c>
      <c r="Q81" s="247" t="s">
        <v>3601</v>
      </c>
      <c r="R81" s="219" t="s">
        <v>3312</v>
      </c>
      <c r="S81" s="141" t="s">
        <v>177</v>
      </c>
      <c r="T81" s="261"/>
    </row>
    <row r="82" spans="1:20" ht="58" customHeight="1">
      <c r="A82" s="249" t="s">
        <v>2659</v>
      </c>
      <c r="B82" s="42" t="s">
        <v>4</v>
      </c>
      <c r="C82" s="41" t="s">
        <v>1605</v>
      </c>
      <c r="D82" s="41" t="s">
        <v>179</v>
      </c>
      <c r="E82" s="218" t="s">
        <v>791</v>
      </c>
      <c r="F82" s="218" t="s">
        <v>3682</v>
      </c>
      <c r="G82" s="263" t="s">
        <v>3683</v>
      </c>
      <c r="H82" s="42" t="s">
        <v>1599</v>
      </c>
      <c r="I82" s="266" t="s">
        <v>3392</v>
      </c>
      <c r="J82" s="251" t="s">
        <v>3599</v>
      </c>
      <c r="K82" s="165" t="s">
        <v>4993</v>
      </c>
      <c r="L82" s="260" t="s">
        <v>4994</v>
      </c>
      <c r="M82" s="260"/>
      <c r="N82" s="164"/>
      <c r="O82" s="139" t="s">
        <v>174</v>
      </c>
      <c r="P82" s="40" t="s">
        <v>178</v>
      </c>
      <c r="Q82" s="247" t="s">
        <v>3601</v>
      </c>
      <c r="R82" s="219" t="s">
        <v>3308</v>
      </c>
      <c r="S82" s="141" t="s">
        <v>177</v>
      </c>
      <c r="T82" s="261" t="s">
        <v>4990</v>
      </c>
    </row>
    <row r="83" spans="1:20" ht="58" customHeight="1">
      <c r="A83" s="249" t="s">
        <v>2659</v>
      </c>
      <c r="B83" s="42" t="s">
        <v>4</v>
      </c>
      <c r="C83" s="41" t="s">
        <v>1605</v>
      </c>
      <c r="D83" s="41" t="s">
        <v>181</v>
      </c>
      <c r="E83" s="218" t="s">
        <v>792</v>
      </c>
      <c r="F83" s="218" t="s">
        <v>3684</v>
      </c>
      <c r="G83" s="263" t="s">
        <v>4935</v>
      </c>
      <c r="H83" s="42" t="s">
        <v>1599</v>
      </c>
      <c r="I83" s="266" t="s">
        <v>3392</v>
      </c>
      <c r="J83" s="251" t="s">
        <v>3599</v>
      </c>
      <c r="K83" s="165" t="s">
        <v>4853</v>
      </c>
      <c r="L83" s="260" t="s">
        <v>4854</v>
      </c>
      <c r="M83" s="260"/>
      <c r="N83" s="164"/>
      <c r="O83" s="139" t="s">
        <v>174</v>
      </c>
      <c r="P83" s="40" t="s">
        <v>180</v>
      </c>
      <c r="Q83" s="247" t="s">
        <v>3601</v>
      </c>
      <c r="R83" s="219" t="s">
        <v>3308</v>
      </c>
      <c r="S83" s="141" t="s">
        <v>177</v>
      </c>
      <c r="T83" s="261"/>
    </row>
    <row r="84" spans="1:20" ht="58" customHeight="1">
      <c r="A84" s="249" t="s">
        <v>2659</v>
      </c>
      <c r="B84" s="42" t="s">
        <v>4</v>
      </c>
      <c r="C84" s="41" t="s">
        <v>1605</v>
      </c>
      <c r="D84" s="41" t="s">
        <v>183</v>
      </c>
      <c r="E84" s="218" t="s">
        <v>793</v>
      </c>
      <c r="F84" s="218" t="s">
        <v>3685</v>
      </c>
      <c r="G84" s="263" t="s">
        <v>4936</v>
      </c>
      <c r="H84" s="42" t="s">
        <v>3</v>
      </c>
      <c r="I84" s="266" t="s">
        <v>1616</v>
      </c>
      <c r="J84" s="251" t="s">
        <v>3599</v>
      </c>
      <c r="K84" s="165" t="s">
        <v>1025</v>
      </c>
      <c r="L84" s="260"/>
      <c r="M84" s="260"/>
      <c r="N84" s="164"/>
      <c r="O84" s="139" t="s">
        <v>174</v>
      </c>
      <c r="P84" s="40" t="s">
        <v>182</v>
      </c>
      <c r="Q84" s="247" t="s">
        <v>3601</v>
      </c>
      <c r="R84" s="219" t="s">
        <v>3308</v>
      </c>
      <c r="S84" s="141" t="s">
        <v>177</v>
      </c>
      <c r="T84" s="261" t="s">
        <v>5000</v>
      </c>
    </row>
    <row r="85" spans="1:20" ht="58" customHeight="1">
      <c r="A85" s="249" t="s">
        <v>2659</v>
      </c>
      <c r="B85" s="42" t="s">
        <v>4</v>
      </c>
      <c r="C85" s="41" t="s">
        <v>1605</v>
      </c>
      <c r="D85" s="41" t="s">
        <v>185</v>
      </c>
      <c r="E85" s="218" t="s">
        <v>794</v>
      </c>
      <c r="F85" s="218" t="s">
        <v>3686</v>
      </c>
      <c r="G85" s="263" t="s">
        <v>4937</v>
      </c>
      <c r="H85" s="42" t="s">
        <v>1599</v>
      </c>
      <c r="I85" s="266" t="s">
        <v>3392</v>
      </c>
      <c r="J85" s="251" t="s">
        <v>3599</v>
      </c>
      <c r="K85" s="165" t="s">
        <v>4995</v>
      </c>
      <c r="L85" s="260" t="s">
        <v>4996</v>
      </c>
      <c r="M85" s="260"/>
      <c r="N85" s="164"/>
      <c r="O85" s="139" t="s">
        <v>174</v>
      </c>
      <c r="P85" s="40" t="s">
        <v>184</v>
      </c>
      <c r="Q85" s="247" t="s">
        <v>3601</v>
      </c>
      <c r="R85" s="219" t="s">
        <v>3308</v>
      </c>
      <c r="S85" s="141" t="s">
        <v>177</v>
      </c>
      <c r="T85" s="261" t="s">
        <v>4990</v>
      </c>
    </row>
    <row r="86" spans="1:20" ht="58" customHeight="1">
      <c r="A86" s="249" t="s">
        <v>2659</v>
      </c>
      <c r="B86" s="42" t="s">
        <v>4</v>
      </c>
      <c r="C86" s="41" t="s">
        <v>1605</v>
      </c>
      <c r="D86" s="41" t="s">
        <v>196</v>
      </c>
      <c r="E86" s="218" t="s">
        <v>4869</v>
      </c>
      <c r="F86" s="218" t="s">
        <v>4383</v>
      </c>
      <c r="G86" s="263" t="s">
        <v>3387</v>
      </c>
      <c r="H86" s="42" t="s">
        <v>1599</v>
      </c>
      <c r="I86" s="266" t="s">
        <v>3392</v>
      </c>
      <c r="J86" s="251" t="s">
        <v>4231</v>
      </c>
      <c r="K86" s="165" t="s">
        <v>5025</v>
      </c>
      <c r="L86" s="260" t="s">
        <v>5026</v>
      </c>
      <c r="M86" s="260"/>
      <c r="N86" s="164" t="s">
        <v>4650</v>
      </c>
      <c r="O86" s="139" t="s">
        <v>194</v>
      </c>
      <c r="P86" s="40" t="s">
        <v>195</v>
      </c>
      <c r="Q86" s="247" t="s">
        <v>3601</v>
      </c>
      <c r="R86" s="219" t="s">
        <v>3342</v>
      </c>
      <c r="S86" s="141" t="s">
        <v>197</v>
      </c>
      <c r="T86" s="261"/>
    </row>
    <row r="87" spans="1:20" ht="58" customHeight="1">
      <c r="A87" s="249" t="s">
        <v>2659</v>
      </c>
      <c r="B87" s="42" t="s">
        <v>4</v>
      </c>
      <c r="C87" s="41" t="s">
        <v>1605</v>
      </c>
      <c r="D87" s="41" t="s">
        <v>190</v>
      </c>
      <c r="E87" s="218" t="s">
        <v>795</v>
      </c>
      <c r="F87" s="218" t="s">
        <v>4384</v>
      </c>
      <c r="G87" s="263" t="s">
        <v>3386</v>
      </c>
      <c r="H87" s="42" t="s">
        <v>1599</v>
      </c>
      <c r="I87" s="266" t="s">
        <v>3392</v>
      </c>
      <c r="J87" s="251" t="s">
        <v>4232</v>
      </c>
      <c r="K87" s="165" t="s">
        <v>4928</v>
      </c>
      <c r="L87" s="260"/>
      <c r="M87" s="260"/>
      <c r="N87" s="164"/>
      <c r="O87" s="139" t="s">
        <v>188</v>
      </c>
      <c r="P87" s="40" t="s">
        <v>189</v>
      </c>
      <c r="Q87" s="247" t="s">
        <v>3601</v>
      </c>
      <c r="R87" s="219" t="s">
        <v>3300</v>
      </c>
      <c r="S87" s="141" t="s">
        <v>191</v>
      </c>
      <c r="T87" s="261"/>
    </row>
    <row r="88" spans="1:20" ht="58" customHeight="1">
      <c r="A88" s="249" t="s">
        <v>2659</v>
      </c>
      <c r="B88" s="42" t="s">
        <v>4</v>
      </c>
      <c r="C88" s="41" t="s">
        <v>1605</v>
      </c>
      <c r="D88" s="41" t="s">
        <v>193</v>
      </c>
      <c r="E88" s="218" t="s">
        <v>796</v>
      </c>
      <c r="F88" s="218" t="s">
        <v>4385</v>
      </c>
      <c r="G88" s="263" t="s">
        <v>3386</v>
      </c>
      <c r="H88" s="42" t="s">
        <v>1599</v>
      </c>
      <c r="I88" s="266" t="s">
        <v>3392</v>
      </c>
      <c r="J88" s="251" t="s">
        <v>4233</v>
      </c>
      <c r="K88" s="165" t="s">
        <v>4891</v>
      </c>
      <c r="L88" s="260" t="s">
        <v>4892</v>
      </c>
      <c r="M88" s="260" t="s">
        <v>4893</v>
      </c>
      <c r="N88" s="164" t="s">
        <v>4650</v>
      </c>
      <c r="O88" s="139" t="s">
        <v>188</v>
      </c>
      <c r="P88" s="40" t="s">
        <v>192</v>
      </c>
      <c r="Q88" s="247" t="s">
        <v>3601</v>
      </c>
      <c r="R88" s="219" t="s">
        <v>3300</v>
      </c>
      <c r="S88" s="141" t="s">
        <v>191</v>
      </c>
      <c r="T88" s="261"/>
    </row>
    <row r="89" spans="1:20" ht="58" customHeight="1">
      <c r="A89" s="249" t="s">
        <v>2659</v>
      </c>
      <c r="B89" s="42" t="s">
        <v>4</v>
      </c>
      <c r="C89" s="41" t="s">
        <v>1605</v>
      </c>
      <c r="D89" s="41" t="s">
        <v>187</v>
      </c>
      <c r="E89" s="218" t="s">
        <v>4138</v>
      </c>
      <c r="F89" s="218" t="s">
        <v>3649</v>
      </c>
      <c r="G89" s="263" t="s">
        <v>3650</v>
      </c>
      <c r="H89" s="42" t="s">
        <v>2</v>
      </c>
      <c r="I89" s="266" t="s">
        <v>3390</v>
      </c>
      <c r="J89" s="251" t="s">
        <v>3599</v>
      </c>
      <c r="K89" s="165"/>
      <c r="L89" s="260"/>
      <c r="M89" s="260"/>
      <c r="N89" s="164"/>
      <c r="O89" s="139" t="s">
        <v>174</v>
      </c>
      <c r="P89" s="40" t="s">
        <v>186</v>
      </c>
      <c r="Q89" s="247" t="s">
        <v>3601</v>
      </c>
      <c r="R89" s="219" t="s">
        <v>3313</v>
      </c>
      <c r="S89" s="141" t="s">
        <v>177</v>
      </c>
      <c r="T89" s="261"/>
    </row>
    <row r="90" spans="1:20" ht="58" customHeight="1">
      <c r="A90" s="249" t="s">
        <v>2659</v>
      </c>
      <c r="B90" s="42" t="s">
        <v>4</v>
      </c>
      <c r="C90" s="41" t="s">
        <v>1605</v>
      </c>
      <c r="D90" s="41" t="s">
        <v>199</v>
      </c>
      <c r="E90" s="218" t="s">
        <v>797</v>
      </c>
      <c r="F90" s="218" t="s">
        <v>4386</v>
      </c>
      <c r="G90" s="263" t="s">
        <v>3386</v>
      </c>
      <c r="H90" s="42" t="s">
        <v>1599</v>
      </c>
      <c r="I90" s="266" t="s">
        <v>3392</v>
      </c>
      <c r="J90" s="251" t="s">
        <v>4234</v>
      </c>
      <c r="K90" s="165" t="s">
        <v>4894</v>
      </c>
      <c r="L90" s="260" t="s">
        <v>4895</v>
      </c>
      <c r="M90" s="260" t="s">
        <v>5024</v>
      </c>
      <c r="N90" s="164" t="s">
        <v>4650</v>
      </c>
      <c r="O90" s="139" t="s">
        <v>194</v>
      </c>
      <c r="P90" s="40" t="s">
        <v>198</v>
      </c>
      <c r="Q90" s="247" t="s">
        <v>3601</v>
      </c>
      <c r="R90" s="219" t="s">
        <v>3300</v>
      </c>
      <c r="S90" s="141" t="s">
        <v>197</v>
      </c>
      <c r="T90" s="261"/>
    </row>
    <row r="91" spans="1:20" ht="58" customHeight="1">
      <c r="A91" s="249" t="s">
        <v>2659</v>
      </c>
      <c r="B91" s="42" t="s">
        <v>4</v>
      </c>
      <c r="C91" s="41" t="s">
        <v>1605</v>
      </c>
      <c r="D91" s="41" t="s">
        <v>201</v>
      </c>
      <c r="E91" s="218" t="s">
        <v>798</v>
      </c>
      <c r="F91" s="218" t="s">
        <v>4387</v>
      </c>
      <c r="G91" s="263" t="s">
        <v>3386</v>
      </c>
      <c r="H91" s="42" t="s">
        <v>1599</v>
      </c>
      <c r="I91" s="266" t="s">
        <v>3392</v>
      </c>
      <c r="J91" s="251" t="s">
        <v>4235</v>
      </c>
      <c r="K91" s="165" t="s">
        <v>4926</v>
      </c>
      <c r="L91" s="260"/>
      <c r="M91" s="260"/>
      <c r="N91" s="164"/>
      <c r="O91" s="139" t="s">
        <v>194</v>
      </c>
      <c r="P91" s="40" t="s">
        <v>200</v>
      </c>
      <c r="Q91" s="247" t="s">
        <v>3601</v>
      </c>
      <c r="R91" s="219" t="s">
        <v>3300</v>
      </c>
      <c r="S91" s="141" t="s">
        <v>197</v>
      </c>
      <c r="T91" s="261" t="s">
        <v>4927</v>
      </c>
    </row>
    <row r="92" spans="1:20" ht="58" customHeight="1">
      <c r="A92" s="249" t="s">
        <v>2659</v>
      </c>
      <c r="B92" s="42" t="s">
        <v>4</v>
      </c>
      <c r="C92" s="41" t="s">
        <v>1605</v>
      </c>
      <c r="D92" s="41" t="s">
        <v>203</v>
      </c>
      <c r="E92" s="218" t="s">
        <v>799</v>
      </c>
      <c r="F92" s="218" t="s">
        <v>4388</v>
      </c>
      <c r="G92" s="263" t="s">
        <v>3386</v>
      </c>
      <c r="H92" s="42" t="s">
        <v>1599</v>
      </c>
      <c r="I92" s="266" t="s">
        <v>3392</v>
      </c>
      <c r="J92" s="251" t="s">
        <v>4236</v>
      </c>
      <c r="K92" s="165" t="s">
        <v>4924</v>
      </c>
      <c r="L92" s="260" t="s">
        <v>4925</v>
      </c>
      <c r="M92" s="260"/>
      <c r="N92" s="164" t="s">
        <v>4650</v>
      </c>
      <c r="O92" s="139" t="s">
        <v>194</v>
      </c>
      <c r="P92" s="40" t="s">
        <v>202</v>
      </c>
      <c r="Q92" s="247" t="s">
        <v>3601</v>
      </c>
      <c r="R92" s="219" t="s">
        <v>3300</v>
      </c>
      <c r="S92" s="141" t="s">
        <v>197</v>
      </c>
      <c r="T92" s="261"/>
    </row>
    <row r="93" spans="1:20" ht="58" customHeight="1">
      <c r="A93" s="249" t="s">
        <v>2659</v>
      </c>
      <c r="B93" s="42" t="s">
        <v>4</v>
      </c>
      <c r="C93" s="41" t="s">
        <v>1606</v>
      </c>
      <c r="D93" s="41" t="s">
        <v>206</v>
      </c>
      <c r="E93" s="218" t="s">
        <v>4139</v>
      </c>
      <c r="F93" s="218" t="s">
        <v>4362</v>
      </c>
      <c r="G93" s="263" t="s">
        <v>3382</v>
      </c>
      <c r="H93" s="42" t="s">
        <v>2</v>
      </c>
      <c r="I93" s="266" t="s">
        <v>3390</v>
      </c>
      <c r="J93" s="251" t="s">
        <v>3599</v>
      </c>
      <c r="K93" s="165"/>
      <c r="L93" s="260"/>
      <c r="M93" s="260"/>
      <c r="N93" s="164"/>
      <c r="O93" s="139" t="s">
        <v>204</v>
      </c>
      <c r="P93" s="40" t="s">
        <v>205</v>
      </c>
      <c r="Q93" s="247" t="s">
        <v>3601</v>
      </c>
      <c r="R93" s="219" t="s">
        <v>3314</v>
      </c>
      <c r="S93" s="141" t="s">
        <v>207</v>
      </c>
      <c r="T93" s="261"/>
    </row>
    <row r="94" spans="1:20" ht="58" customHeight="1">
      <c r="A94" s="249" t="s">
        <v>2659</v>
      </c>
      <c r="B94" s="42" t="s">
        <v>4</v>
      </c>
      <c r="C94" s="41" t="s">
        <v>1606</v>
      </c>
      <c r="D94" s="41" t="s">
        <v>209</v>
      </c>
      <c r="E94" s="218" t="s">
        <v>4140</v>
      </c>
      <c r="F94" s="218" t="s">
        <v>3651</v>
      </c>
      <c r="G94" s="263" t="s">
        <v>4938</v>
      </c>
      <c r="H94" s="42" t="s">
        <v>2</v>
      </c>
      <c r="I94" s="266" t="s">
        <v>3390</v>
      </c>
      <c r="J94" s="251" t="s">
        <v>3599</v>
      </c>
      <c r="K94" s="165"/>
      <c r="L94" s="260"/>
      <c r="M94" s="260"/>
      <c r="N94" s="164"/>
      <c r="O94" s="139" t="s">
        <v>204</v>
      </c>
      <c r="P94" s="40" t="s">
        <v>208</v>
      </c>
      <c r="Q94" s="247" t="s">
        <v>3601</v>
      </c>
      <c r="R94" s="219" t="s">
        <v>3315</v>
      </c>
      <c r="S94" s="141" t="s">
        <v>207</v>
      </c>
      <c r="T94" s="261"/>
    </row>
    <row r="95" spans="1:20" ht="58" customHeight="1">
      <c r="A95" s="249" t="s">
        <v>2659</v>
      </c>
      <c r="B95" s="42" t="s">
        <v>4</v>
      </c>
      <c r="C95" s="41" t="s">
        <v>1606</v>
      </c>
      <c r="D95" s="41" t="s">
        <v>211</v>
      </c>
      <c r="E95" s="218" t="s">
        <v>4141</v>
      </c>
      <c r="F95" s="218" t="s">
        <v>3652</v>
      </c>
      <c r="G95" s="263" t="s">
        <v>3653</v>
      </c>
      <c r="H95" s="42" t="s">
        <v>2</v>
      </c>
      <c r="I95" s="266" t="s">
        <v>3390</v>
      </c>
      <c r="J95" s="251" t="s">
        <v>3599</v>
      </c>
      <c r="K95" s="165"/>
      <c r="L95" s="260"/>
      <c r="M95" s="260"/>
      <c r="N95" s="164"/>
      <c r="O95" s="139" t="s">
        <v>204</v>
      </c>
      <c r="P95" s="40" t="s">
        <v>210</v>
      </c>
      <c r="Q95" s="247" t="s">
        <v>3601</v>
      </c>
      <c r="R95" s="219" t="s">
        <v>3332</v>
      </c>
      <c r="S95" s="141" t="s">
        <v>207</v>
      </c>
      <c r="T95" s="261"/>
    </row>
    <row r="96" spans="1:20" ht="58" customHeight="1">
      <c r="A96" s="249" t="s">
        <v>2659</v>
      </c>
      <c r="B96" s="42" t="s">
        <v>4</v>
      </c>
      <c r="C96" s="41" t="s">
        <v>1606</v>
      </c>
      <c r="D96" s="41" t="s">
        <v>213</v>
      </c>
      <c r="E96" s="218" t="s">
        <v>4142</v>
      </c>
      <c r="F96" s="218" t="s">
        <v>3654</v>
      </c>
      <c r="G96" s="263" t="s">
        <v>4939</v>
      </c>
      <c r="H96" s="42" t="s">
        <v>3</v>
      </c>
      <c r="I96" s="266" t="s">
        <v>1616</v>
      </c>
      <c r="J96" s="251" t="s">
        <v>3599</v>
      </c>
      <c r="K96" s="165"/>
      <c r="L96" s="260"/>
      <c r="M96" s="260"/>
      <c r="N96" s="164"/>
      <c r="O96" s="139" t="s">
        <v>204</v>
      </c>
      <c r="P96" s="40" t="s">
        <v>212</v>
      </c>
      <c r="Q96" s="247" t="s">
        <v>3601</v>
      </c>
      <c r="R96" s="219" t="s">
        <v>3316</v>
      </c>
      <c r="S96" s="141" t="s">
        <v>207</v>
      </c>
      <c r="T96" s="261"/>
    </row>
    <row r="97" spans="1:20" ht="58" customHeight="1">
      <c r="A97" s="249" t="s">
        <v>2659</v>
      </c>
      <c r="B97" s="42" t="s">
        <v>4</v>
      </c>
      <c r="C97" s="41" t="s">
        <v>1606</v>
      </c>
      <c r="D97" s="41" t="s">
        <v>224</v>
      </c>
      <c r="E97" s="218" t="s">
        <v>4143</v>
      </c>
      <c r="F97" s="218" t="s">
        <v>4389</v>
      </c>
      <c r="G97" s="263" t="s">
        <v>3386</v>
      </c>
      <c r="H97" s="42" t="s">
        <v>1599</v>
      </c>
      <c r="I97" s="266" t="s">
        <v>4871</v>
      </c>
      <c r="J97" s="251" t="s">
        <v>4237</v>
      </c>
      <c r="K97" s="165" t="s">
        <v>4660</v>
      </c>
      <c r="L97" s="260" t="s">
        <v>4785</v>
      </c>
      <c r="M97" s="260" t="s">
        <v>4786</v>
      </c>
      <c r="N97" s="164" t="s">
        <v>4650</v>
      </c>
      <c r="O97" s="139" t="s">
        <v>222</v>
      </c>
      <c r="P97" s="40" t="s">
        <v>223</v>
      </c>
      <c r="Q97" s="247" t="s">
        <v>3601</v>
      </c>
      <c r="R97" s="254" t="s">
        <v>3333</v>
      </c>
      <c r="S97" s="141" t="s">
        <v>225</v>
      </c>
      <c r="T97" s="261"/>
    </row>
    <row r="98" spans="1:20" ht="58" customHeight="1">
      <c r="A98" s="249" t="s">
        <v>2659</v>
      </c>
      <c r="B98" s="42" t="s">
        <v>4</v>
      </c>
      <c r="C98" s="41" t="s">
        <v>1606</v>
      </c>
      <c r="D98" s="41" t="s">
        <v>227</v>
      </c>
      <c r="E98" s="218" t="s">
        <v>4144</v>
      </c>
      <c r="F98" s="218" t="s">
        <v>3687</v>
      </c>
      <c r="G98" s="263" t="s">
        <v>4940</v>
      </c>
      <c r="H98" s="42" t="s">
        <v>1598</v>
      </c>
      <c r="I98" s="266" t="s">
        <v>1616</v>
      </c>
      <c r="J98" s="251" t="s">
        <v>3599</v>
      </c>
      <c r="K98" s="165" t="s">
        <v>1025</v>
      </c>
      <c r="L98" s="260"/>
      <c r="M98" s="260"/>
      <c r="N98" s="164"/>
      <c r="O98" s="139" t="s">
        <v>222</v>
      </c>
      <c r="P98" s="40" t="s">
        <v>226</v>
      </c>
      <c r="Q98" s="247" t="s">
        <v>3601</v>
      </c>
      <c r="R98" s="219" t="s">
        <v>3320</v>
      </c>
      <c r="S98" s="141" t="s">
        <v>225</v>
      </c>
      <c r="T98" s="261" t="s">
        <v>5001</v>
      </c>
    </row>
    <row r="99" spans="1:20" ht="58" customHeight="1">
      <c r="A99" s="249" t="s">
        <v>2659</v>
      </c>
      <c r="B99" s="42" t="s">
        <v>4</v>
      </c>
      <c r="C99" s="41" t="s">
        <v>1606</v>
      </c>
      <c r="D99" s="41" t="s">
        <v>215</v>
      </c>
      <c r="E99" s="218" t="s">
        <v>800</v>
      </c>
      <c r="F99" s="218" t="s">
        <v>4390</v>
      </c>
      <c r="G99" s="263" t="s">
        <v>3382</v>
      </c>
      <c r="H99" s="42" t="s">
        <v>2</v>
      </c>
      <c r="I99" s="266" t="s">
        <v>3390</v>
      </c>
      <c r="J99" s="251" t="s">
        <v>3599</v>
      </c>
      <c r="K99" s="165"/>
      <c r="L99" s="260"/>
      <c r="M99" s="260"/>
      <c r="N99" s="164"/>
      <c r="O99" s="139" t="s">
        <v>204</v>
      </c>
      <c r="P99" s="40" t="s">
        <v>214</v>
      </c>
      <c r="Q99" s="247" t="s">
        <v>3601</v>
      </c>
      <c r="R99" s="219" t="s">
        <v>3317</v>
      </c>
      <c r="S99" s="141" t="s">
        <v>207</v>
      </c>
      <c r="T99" s="261"/>
    </row>
    <row r="100" spans="1:20" ht="58" customHeight="1">
      <c r="A100" s="249" t="s">
        <v>2659</v>
      </c>
      <c r="B100" s="42" t="s">
        <v>4</v>
      </c>
      <c r="C100" s="41" t="s">
        <v>1606</v>
      </c>
      <c r="D100" s="41" t="s">
        <v>218</v>
      </c>
      <c r="E100" s="218" t="s">
        <v>801</v>
      </c>
      <c r="F100" s="218" t="s">
        <v>4391</v>
      </c>
      <c r="G100" s="263" t="s">
        <v>3382</v>
      </c>
      <c r="H100" s="42" t="s">
        <v>2</v>
      </c>
      <c r="I100" s="266" t="s">
        <v>3390</v>
      </c>
      <c r="J100" s="251" t="s">
        <v>3599</v>
      </c>
      <c r="K100" s="165"/>
      <c r="L100" s="260"/>
      <c r="M100" s="260"/>
      <c r="N100" s="164"/>
      <c r="O100" s="139" t="s">
        <v>216</v>
      </c>
      <c r="P100" s="40" t="s">
        <v>217</v>
      </c>
      <c r="Q100" s="247" t="s">
        <v>3601</v>
      </c>
      <c r="R100" s="219" t="s">
        <v>3319</v>
      </c>
      <c r="S100" s="141" t="s">
        <v>219</v>
      </c>
      <c r="T100" s="261"/>
    </row>
    <row r="101" spans="1:20" ht="58" customHeight="1">
      <c r="A101" s="249" t="s">
        <v>2659</v>
      </c>
      <c r="B101" s="42" t="s">
        <v>4</v>
      </c>
      <c r="C101" s="41" t="s">
        <v>1606</v>
      </c>
      <c r="D101" s="41" t="s">
        <v>221</v>
      </c>
      <c r="E101" s="218" t="s">
        <v>4145</v>
      </c>
      <c r="F101" s="218" t="s">
        <v>4392</v>
      </c>
      <c r="G101" s="263" t="s">
        <v>3382</v>
      </c>
      <c r="H101" s="42" t="s">
        <v>2</v>
      </c>
      <c r="I101" s="266" t="s">
        <v>3390</v>
      </c>
      <c r="J101" s="251" t="s">
        <v>3599</v>
      </c>
      <c r="K101" s="165"/>
      <c r="L101" s="260"/>
      <c r="M101" s="260"/>
      <c r="N101" s="164"/>
      <c r="O101" s="139" t="s">
        <v>216</v>
      </c>
      <c r="P101" s="40" t="s">
        <v>220</v>
      </c>
      <c r="Q101" s="247" t="s">
        <v>3601</v>
      </c>
      <c r="R101" s="219" t="s">
        <v>3318</v>
      </c>
      <c r="S101" s="141" t="s">
        <v>219</v>
      </c>
      <c r="T101" s="261"/>
    </row>
    <row r="102" spans="1:20" ht="58" customHeight="1">
      <c r="A102" s="249" t="s">
        <v>2659</v>
      </c>
      <c r="B102" s="42" t="s">
        <v>4</v>
      </c>
      <c r="C102" s="41" t="s">
        <v>1606</v>
      </c>
      <c r="D102" s="41" t="s">
        <v>229</v>
      </c>
      <c r="E102" s="218" t="s">
        <v>4146</v>
      </c>
      <c r="F102" s="218" t="s">
        <v>4673</v>
      </c>
      <c r="G102" s="263" t="s">
        <v>4674</v>
      </c>
      <c r="H102" s="42" t="s">
        <v>3</v>
      </c>
      <c r="I102" s="266" t="s">
        <v>1616</v>
      </c>
      <c r="J102" s="251" t="s">
        <v>3599</v>
      </c>
      <c r="K102" s="165"/>
      <c r="L102" s="260"/>
      <c r="M102" s="260"/>
      <c r="N102" s="164"/>
      <c r="O102" s="139" t="s">
        <v>222</v>
      </c>
      <c r="P102" s="40" t="s">
        <v>228</v>
      </c>
      <c r="Q102" s="247" t="s">
        <v>3601</v>
      </c>
      <c r="R102" s="219" t="s">
        <v>3321</v>
      </c>
      <c r="S102" s="141" t="s">
        <v>225</v>
      </c>
      <c r="T102" s="261"/>
    </row>
    <row r="103" spans="1:20" ht="58" customHeight="1">
      <c r="A103" s="249" t="s">
        <v>2659</v>
      </c>
      <c r="B103" s="42" t="s">
        <v>5</v>
      </c>
      <c r="C103" s="41" t="s">
        <v>1608</v>
      </c>
      <c r="D103" s="41" t="s">
        <v>244</v>
      </c>
      <c r="E103" s="218" t="s">
        <v>808</v>
      </c>
      <c r="F103" s="218" t="s">
        <v>4393</v>
      </c>
      <c r="G103" s="263" t="s">
        <v>3386</v>
      </c>
      <c r="H103" s="42" t="s">
        <v>1599</v>
      </c>
      <c r="I103" s="266" t="s">
        <v>4484</v>
      </c>
      <c r="J103" s="251" t="s">
        <v>4238</v>
      </c>
      <c r="K103" s="165" t="s">
        <v>4662</v>
      </c>
      <c r="L103" s="260" t="s">
        <v>4789</v>
      </c>
      <c r="M103" s="260" t="s">
        <v>4790</v>
      </c>
      <c r="N103" s="164" t="s">
        <v>4650</v>
      </c>
      <c r="O103" s="139" t="s">
        <v>242</v>
      </c>
      <c r="P103" s="40" t="s">
        <v>243</v>
      </c>
      <c r="Q103" s="247" t="s">
        <v>3601</v>
      </c>
      <c r="R103" s="219" t="s">
        <v>3334</v>
      </c>
      <c r="S103" s="141" t="s">
        <v>245</v>
      </c>
      <c r="T103" s="261"/>
    </row>
    <row r="104" spans="1:20" ht="58" customHeight="1">
      <c r="A104" s="249" t="s">
        <v>2659</v>
      </c>
      <c r="B104" s="42" t="s">
        <v>5</v>
      </c>
      <c r="C104" s="41" t="s">
        <v>1608</v>
      </c>
      <c r="D104" s="41" t="s">
        <v>256</v>
      </c>
      <c r="E104" s="218" t="s">
        <v>810</v>
      </c>
      <c r="F104" s="218" t="s">
        <v>4394</v>
      </c>
      <c r="G104" s="263" t="s">
        <v>3386</v>
      </c>
      <c r="H104" s="42" t="s">
        <v>1599</v>
      </c>
      <c r="I104" s="266" t="s">
        <v>4871</v>
      </c>
      <c r="J104" s="251" t="s">
        <v>4239</v>
      </c>
      <c r="K104" s="165" t="s">
        <v>4663</v>
      </c>
      <c r="L104" s="260" t="s">
        <v>4791</v>
      </c>
      <c r="M104" s="260" t="s">
        <v>4792</v>
      </c>
      <c r="N104" s="164" t="s">
        <v>4650</v>
      </c>
      <c r="O104" s="139" t="s">
        <v>254</v>
      </c>
      <c r="P104" s="40" t="s">
        <v>255</v>
      </c>
      <c r="Q104" s="247" t="s">
        <v>3601</v>
      </c>
      <c r="R104" s="219" t="s">
        <v>3300</v>
      </c>
      <c r="S104" s="141" t="s">
        <v>257</v>
      </c>
      <c r="T104" s="261"/>
    </row>
    <row r="105" spans="1:20" ht="58" customHeight="1">
      <c r="A105" s="249" t="s">
        <v>2659</v>
      </c>
      <c r="B105" s="42" t="s">
        <v>5</v>
      </c>
      <c r="C105" s="41" t="s">
        <v>1608</v>
      </c>
      <c r="D105" s="41" t="s">
        <v>247</v>
      </c>
      <c r="E105" s="218" t="s">
        <v>809</v>
      </c>
      <c r="F105" s="218" t="s">
        <v>4395</v>
      </c>
      <c r="G105" s="263" t="s">
        <v>3383</v>
      </c>
      <c r="H105" s="42" t="s">
        <v>1025</v>
      </c>
      <c r="I105" s="266" t="s">
        <v>3391</v>
      </c>
      <c r="J105" s="251" t="s">
        <v>3599</v>
      </c>
      <c r="K105" s="165"/>
      <c r="L105" s="260"/>
      <c r="M105" s="260"/>
      <c r="N105" s="164"/>
      <c r="O105" s="139" t="s">
        <v>242</v>
      </c>
      <c r="P105" s="40" t="s">
        <v>246</v>
      </c>
      <c r="Q105" s="247" t="s">
        <v>3601</v>
      </c>
      <c r="R105" s="219" t="s">
        <v>3296</v>
      </c>
      <c r="S105" s="141" t="s">
        <v>245</v>
      </c>
      <c r="T105" s="261"/>
    </row>
    <row r="106" spans="1:20" ht="58" customHeight="1">
      <c r="A106" s="249" t="s">
        <v>2659</v>
      </c>
      <c r="B106" s="42" t="s">
        <v>5</v>
      </c>
      <c r="C106" s="41" t="s">
        <v>1608</v>
      </c>
      <c r="D106" s="41" t="s">
        <v>249</v>
      </c>
      <c r="E106" s="218" t="s">
        <v>4150</v>
      </c>
      <c r="F106" s="218" t="s">
        <v>3655</v>
      </c>
      <c r="G106" s="263" t="s">
        <v>3656</v>
      </c>
      <c r="H106" s="42" t="s">
        <v>2</v>
      </c>
      <c r="I106" s="266" t="s">
        <v>3390</v>
      </c>
      <c r="J106" s="251" t="s">
        <v>3599</v>
      </c>
      <c r="K106" s="165"/>
      <c r="L106" s="260"/>
      <c r="M106" s="260"/>
      <c r="N106" s="164"/>
      <c r="O106" s="139" t="s">
        <v>242</v>
      </c>
      <c r="P106" s="40" t="s">
        <v>248</v>
      </c>
      <c r="Q106" s="247" t="s">
        <v>3601</v>
      </c>
      <c r="R106" s="219" t="s">
        <v>3322</v>
      </c>
      <c r="S106" s="141" t="s">
        <v>245</v>
      </c>
      <c r="T106" s="261"/>
    </row>
    <row r="107" spans="1:20" ht="58" customHeight="1">
      <c r="A107" s="249" t="s">
        <v>2659</v>
      </c>
      <c r="B107" s="42" t="s">
        <v>5</v>
      </c>
      <c r="C107" s="41" t="s">
        <v>1608</v>
      </c>
      <c r="D107" s="41" t="s">
        <v>251</v>
      </c>
      <c r="E107" s="218" t="s">
        <v>4151</v>
      </c>
      <c r="F107" s="218" t="s">
        <v>3657</v>
      </c>
      <c r="G107" s="263" t="s">
        <v>3658</v>
      </c>
      <c r="H107" s="42" t="s">
        <v>2</v>
      </c>
      <c r="I107" s="266" t="s">
        <v>3390</v>
      </c>
      <c r="J107" s="251" t="s">
        <v>3599</v>
      </c>
      <c r="K107" s="165"/>
      <c r="L107" s="260"/>
      <c r="M107" s="260"/>
      <c r="N107" s="164"/>
      <c r="O107" s="139" t="s">
        <v>242</v>
      </c>
      <c r="P107" s="40" t="s">
        <v>250</v>
      </c>
      <c r="Q107" s="247" t="s">
        <v>3601</v>
      </c>
      <c r="R107" s="219" t="s">
        <v>3322</v>
      </c>
      <c r="S107" s="141" t="s">
        <v>245</v>
      </c>
      <c r="T107" s="261"/>
    </row>
    <row r="108" spans="1:20" ht="58" customHeight="1">
      <c r="A108" s="249" t="s">
        <v>2659</v>
      </c>
      <c r="B108" s="42" t="s">
        <v>5</v>
      </c>
      <c r="C108" s="41" t="s">
        <v>1608</v>
      </c>
      <c r="D108" s="41" t="s">
        <v>259</v>
      </c>
      <c r="E108" s="218" t="s">
        <v>811</v>
      </c>
      <c r="F108" s="218" t="s">
        <v>4451</v>
      </c>
      <c r="G108" s="263" t="s">
        <v>3386</v>
      </c>
      <c r="H108" s="42" t="s">
        <v>1599</v>
      </c>
      <c r="I108" s="266" t="s">
        <v>3392</v>
      </c>
      <c r="J108" s="251" t="s">
        <v>4240</v>
      </c>
      <c r="K108" s="165" t="s">
        <v>4870</v>
      </c>
      <c r="L108" s="260" t="s">
        <v>4883</v>
      </c>
      <c r="M108" s="260" t="s">
        <v>4884</v>
      </c>
      <c r="N108" s="164" t="s">
        <v>4649</v>
      </c>
      <c r="O108" s="139" t="s">
        <v>254</v>
      </c>
      <c r="P108" s="40" t="s">
        <v>258</v>
      </c>
      <c r="Q108" s="247" t="s">
        <v>3601</v>
      </c>
      <c r="R108" s="219" t="s">
        <v>3300</v>
      </c>
      <c r="S108" s="141" t="s">
        <v>257</v>
      </c>
      <c r="T108" s="261"/>
    </row>
    <row r="109" spans="1:20" ht="58" customHeight="1">
      <c r="A109" s="249" t="s">
        <v>2659</v>
      </c>
      <c r="B109" s="42" t="s">
        <v>5</v>
      </c>
      <c r="C109" s="41" t="s">
        <v>1608</v>
      </c>
      <c r="D109" s="41" t="s">
        <v>261</v>
      </c>
      <c r="E109" s="218" t="s">
        <v>812</v>
      </c>
      <c r="F109" s="218" t="s">
        <v>4396</v>
      </c>
      <c r="G109" s="263" t="s">
        <v>3386</v>
      </c>
      <c r="H109" s="42" t="s">
        <v>1599</v>
      </c>
      <c r="I109" s="266" t="s">
        <v>4871</v>
      </c>
      <c r="J109" s="251" t="s">
        <v>4241</v>
      </c>
      <c r="K109" s="165" t="s">
        <v>4644</v>
      </c>
      <c r="L109" s="260" t="s">
        <v>4803</v>
      </c>
      <c r="M109" s="260"/>
      <c r="N109" s="164" t="s">
        <v>4650</v>
      </c>
      <c r="O109" s="139" t="s">
        <v>254</v>
      </c>
      <c r="P109" s="40" t="s">
        <v>260</v>
      </c>
      <c r="Q109" s="247" t="s">
        <v>3601</v>
      </c>
      <c r="R109" s="219" t="s">
        <v>3300</v>
      </c>
      <c r="S109" s="141" t="s">
        <v>257</v>
      </c>
      <c r="T109" s="261"/>
    </row>
    <row r="110" spans="1:20" ht="58" customHeight="1">
      <c r="A110" s="249" t="s">
        <v>2659</v>
      </c>
      <c r="B110" s="42" t="s">
        <v>5</v>
      </c>
      <c r="C110" s="41" t="s">
        <v>1608</v>
      </c>
      <c r="D110" s="41" t="s">
        <v>253</v>
      </c>
      <c r="E110" s="218" t="s">
        <v>4152</v>
      </c>
      <c r="F110" s="218" t="s">
        <v>3659</v>
      </c>
      <c r="G110" s="263" t="s">
        <v>4941</v>
      </c>
      <c r="H110" s="42" t="s">
        <v>3</v>
      </c>
      <c r="I110" s="266" t="s">
        <v>3394</v>
      </c>
      <c r="J110" s="251" t="s">
        <v>3599</v>
      </c>
      <c r="K110" s="165"/>
      <c r="L110" s="260"/>
      <c r="M110" s="260"/>
      <c r="N110" s="164"/>
      <c r="O110" s="139" t="s">
        <v>242</v>
      </c>
      <c r="P110" s="40" t="s">
        <v>252</v>
      </c>
      <c r="Q110" s="247" t="s">
        <v>3601</v>
      </c>
      <c r="R110" s="219" t="s">
        <v>3322</v>
      </c>
      <c r="S110" s="141" t="s">
        <v>245</v>
      </c>
      <c r="T110" s="261"/>
    </row>
    <row r="111" spans="1:20" ht="58" customHeight="1">
      <c r="A111" s="249" t="s">
        <v>2659</v>
      </c>
      <c r="B111" s="42" t="s">
        <v>5</v>
      </c>
      <c r="C111" s="41" t="s">
        <v>1608</v>
      </c>
      <c r="D111" s="41" t="s">
        <v>4491</v>
      </c>
      <c r="E111" s="218" t="s">
        <v>813</v>
      </c>
      <c r="F111" s="218" t="s">
        <v>4397</v>
      </c>
      <c r="G111" s="263" t="s">
        <v>3385</v>
      </c>
      <c r="H111" s="42" t="s">
        <v>1599</v>
      </c>
      <c r="I111" s="266" t="s">
        <v>3392</v>
      </c>
      <c r="J111" s="251" t="s">
        <v>4242</v>
      </c>
      <c r="K111" s="165" t="s">
        <v>4492</v>
      </c>
      <c r="L111" s="260" t="s">
        <v>4679</v>
      </c>
      <c r="M111" s="260" t="s">
        <v>4680</v>
      </c>
      <c r="N111" s="164" t="s">
        <v>4649</v>
      </c>
      <c r="O111" s="139" t="s">
        <v>262</v>
      </c>
      <c r="P111" s="40" t="s">
        <v>4490</v>
      </c>
      <c r="Q111" s="247" t="s">
        <v>3601</v>
      </c>
      <c r="R111" s="219" t="s">
        <v>3299</v>
      </c>
      <c r="S111" s="141" t="s">
        <v>264</v>
      </c>
      <c r="T111" s="261"/>
    </row>
    <row r="112" spans="1:20" ht="58" customHeight="1">
      <c r="A112" s="249" t="s">
        <v>2659</v>
      </c>
      <c r="B112" s="42" t="s">
        <v>5</v>
      </c>
      <c r="C112" s="41" t="s">
        <v>1608</v>
      </c>
      <c r="D112" s="41" t="s">
        <v>4493</v>
      </c>
      <c r="E112" s="218" t="s">
        <v>813</v>
      </c>
      <c r="F112" s="218" t="s">
        <v>4397</v>
      </c>
      <c r="G112" s="263" t="s">
        <v>3385</v>
      </c>
      <c r="H112" s="42" t="s">
        <v>1599</v>
      </c>
      <c r="I112" s="266" t="s">
        <v>3392</v>
      </c>
      <c r="J112" s="251" t="s">
        <v>4242</v>
      </c>
      <c r="K112" s="165" t="s">
        <v>4495</v>
      </c>
      <c r="L112" s="260" t="s">
        <v>4681</v>
      </c>
      <c r="M112" s="260" t="s">
        <v>4682</v>
      </c>
      <c r="N112" s="164" t="s">
        <v>4649</v>
      </c>
      <c r="O112" s="139" t="s">
        <v>262</v>
      </c>
      <c r="P112" s="40" t="s">
        <v>4494</v>
      </c>
      <c r="Q112" s="247" t="s">
        <v>3601</v>
      </c>
      <c r="R112" s="219" t="s">
        <v>3299</v>
      </c>
      <c r="S112" s="141" t="s">
        <v>264</v>
      </c>
      <c r="T112" s="261"/>
    </row>
    <row r="113" spans="1:20" ht="58" customHeight="1">
      <c r="A113" s="249" t="s">
        <v>2659</v>
      </c>
      <c r="B113" s="42" t="s">
        <v>5</v>
      </c>
      <c r="C113" s="41" t="s">
        <v>1608</v>
      </c>
      <c r="D113" s="41" t="s">
        <v>266</v>
      </c>
      <c r="E113" s="218" t="s">
        <v>814</v>
      </c>
      <c r="F113" s="218" t="s">
        <v>4398</v>
      </c>
      <c r="G113" s="263" t="s">
        <v>3386</v>
      </c>
      <c r="H113" s="42" t="s">
        <v>1599</v>
      </c>
      <c r="I113" s="266" t="s">
        <v>3392</v>
      </c>
      <c r="J113" s="251" t="s">
        <v>4243</v>
      </c>
      <c r="K113" s="165" t="s">
        <v>4928</v>
      </c>
      <c r="L113" s="260"/>
      <c r="M113" s="260"/>
      <c r="N113" s="164"/>
      <c r="O113" s="139" t="s">
        <v>262</v>
      </c>
      <c r="P113" s="40" t="s">
        <v>265</v>
      </c>
      <c r="Q113" s="247" t="s">
        <v>3601</v>
      </c>
      <c r="R113" s="219" t="s">
        <v>3300</v>
      </c>
      <c r="S113" s="141" t="s">
        <v>264</v>
      </c>
      <c r="T113" s="261"/>
    </row>
    <row r="114" spans="1:20" ht="58" customHeight="1">
      <c r="A114" s="249" t="s">
        <v>2659</v>
      </c>
      <c r="B114" s="42" t="s">
        <v>5</v>
      </c>
      <c r="C114" s="41" t="s">
        <v>1608</v>
      </c>
      <c r="D114" s="41" t="s">
        <v>268</v>
      </c>
      <c r="E114" s="218" t="s">
        <v>815</v>
      </c>
      <c r="F114" s="218" t="s">
        <v>4399</v>
      </c>
      <c r="G114" s="263" t="s">
        <v>3386</v>
      </c>
      <c r="H114" s="42" t="s">
        <v>1599</v>
      </c>
      <c r="I114" s="266" t="s">
        <v>3392</v>
      </c>
      <c r="J114" s="251" t="s">
        <v>4244</v>
      </c>
      <c r="K114" s="165" t="s">
        <v>4913</v>
      </c>
      <c r="L114" s="260" t="s">
        <v>4915</v>
      </c>
      <c r="M114" s="260"/>
      <c r="N114" s="164" t="s">
        <v>4649</v>
      </c>
      <c r="O114" s="139" t="s">
        <v>262</v>
      </c>
      <c r="P114" s="40" t="s">
        <v>267</v>
      </c>
      <c r="Q114" s="247" t="s">
        <v>3601</v>
      </c>
      <c r="R114" s="219" t="s">
        <v>3300</v>
      </c>
      <c r="S114" s="141" t="s">
        <v>264</v>
      </c>
      <c r="T114" s="261"/>
    </row>
    <row r="115" spans="1:20" ht="58" customHeight="1">
      <c r="A115" s="249" t="s">
        <v>2659</v>
      </c>
      <c r="B115" s="42" t="s">
        <v>5</v>
      </c>
      <c r="C115" s="41" t="s">
        <v>1608</v>
      </c>
      <c r="D115" s="41" t="s">
        <v>270</v>
      </c>
      <c r="E115" s="218" t="s">
        <v>816</v>
      </c>
      <c r="F115" s="218" t="s">
        <v>4448</v>
      </c>
      <c r="G115" s="263" t="s">
        <v>3385</v>
      </c>
      <c r="H115" s="42" t="s">
        <v>1599</v>
      </c>
      <c r="I115" s="266" t="s">
        <v>3392</v>
      </c>
      <c r="J115" s="251" t="s">
        <v>4245</v>
      </c>
      <c r="K115" s="165" t="s">
        <v>4616</v>
      </c>
      <c r="L115" s="260" t="s">
        <v>5030</v>
      </c>
      <c r="M115" s="260" t="s">
        <v>5031</v>
      </c>
      <c r="N115" s="164" t="s">
        <v>4650</v>
      </c>
      <c r="O115" s="139" t="s">
        <v>262</v>
      </c>
      <c r="P115" s="40" t="s">
        <v>269</v>
      </c>
      <c r="Q115" s="247" t="s">
        <v>3601</v>
      </c>
      <c r="R115" s="219" t="s">
        <v>3299</v>
      </c>
      <c r="S115" s="141" t="s">
        <v>264</v>
      </c>
      <c r="T115" s="261" t="s">
        <v>4860</v>
      </c>
    </row>
    <row r="116" spans="1:20" ht="58" customHeight="1">
      <c r="A116" s="249" t="s">
        <v>2659</v>
      </c>
      <c r="B116" s="42" t="s">
        <v>5</v>
      </c>
      <c r="C116" s="41" t="s">
        <v>1608</v>
      </c>
      <c r="D116" s="41" t="s">
        <v>272</v>
      </c>
      <c r="E116" s="218" t="s">
        <v>817</v>
      </c>
      <c r="F116" s="218" t="s">
        <v>4400</v>
      </c>
      <c r="G116" s="263" t="s">
        <v>3382</v>
      </c>
      <c r="H116" s="42" t="s">
        <v>2</v>
      </c>
      <c r="I116" s="266" t="s">
        <v>3390</v>
      </c>
      <c r="J116" s="251" t="s">
        <v>3599</v>
      </c>
      <c r="K116" s="165"/>
      <c r="L116" s="260"/>
      <c r="M116" s="260"/>
      <c r="N116" s="164"/>
      <c r="O116" s="139" t="s">
        <v>262</v>
      </c>
      <c r="P116" s="40" t="s">
        <v>271</v>
      </c>
      <c r="Q116" s="247" t="s">
        <v>3601</v>
      </c>
      <c r="R116" s="219" t="s">
        <v>3319</v>
      </c>
      <c r="S116" s="141" t="s">
        <v>264</v>
      </c>
      <c r="T116" s="261"/>
    </row>
    <row r="117" spans="1:20" ht="58" customHeight="1">
      <c r="A117" s="249" t="s">
        <v>2659</v>
      </c>
      <c r="B117" s="42" t="s">
        <v>5</v>
      </c>
      <c r="C117" s="41" t="s">
        <v>1608</v>
      </c>
      <c r="D117" s="41" t="s">
        <v>274</v>
      </c>
      <c r="E117" s="218" t="s">
        <v>818</v>
      </c>
      <c r="F117" s="218" t="s">
        <v>5021</v>
      </c>
      <c r="G117" s="263" t="s">
        <v>5022</v>
      </c>
      <c r="H117" s="42" t="s">
        <v>1599</v>
      </c>
      <c r="I117" s="266" t="s">
        <v>3392</v>
      </c>
      <c r="J117" s="251" t="s">
        <v>3599</v>
      </c>
      <c r="K117" s="165" t="s">
        <v>4640</v>
      </c>
      <c r="L117" s="260" t="s">
        <v>5023</v>
      </c>
      <c r="M117" s="260"/>
      <c r="N117" s="164" t="s">
        <v>4649</v>
      </c>
      <c r="O117" s="139" t="s">
        <v>262</v>
      </c>
      <c r="P117" s="40" t="s">
        <v>273</v>
      </c>
      <c r="Q117" s="247" t="s">
        <v>3601</v>
      </c>
      <c r="R117" s="219" t="s">
        <v>3319</v>
      </c>
      <c r="S117" s="141" t="s">
        <v>264</v>
      </c>
      <c r="T117" s="261"/>
    </row>
    <row r="118" spans="1:20" ht="58" customHeight="1">
      <c r="A118" s="249" t="s">
        <v>2659</v>
      </c>
      <c r="B118" s="42" t="s">
        <v>5</v>
      </c>
      <c r="C118" s="41" t="s">
        <v>1608</v>
      </c>
      <c r="D118" s="41" t="s">
        <v>276</v>
      </c>
      <c r="E118" s="218" t="s">
        <v>4153</v>
      </c>
      <c r="F118" s="218" t="s">
        <v>3688</v>
      </c>
      <c r="G118" s="263" t="s">
        <v>4942</v>
      </c>
      <c r="H118" s="42" t="s">
        <v>3</v>
      </c>
      <c r="I118" s="266" t="s">
        <v>3394</v>
      </c>
      <c r="J118" s="251" t="s">
        <v>3599</v>
      </c>
      <c r="K118" s="165"/>
      <c r="L118" s="260"/>
      <c r="M118" s="260"/>
      <c r="N118" s="164"/>
      <c r="O118" s="139" t="s">
        <v>262</v>
      </c>
      <c r="P118" s="40" t="s">
        <v>275</v>
      </c>
      <c r="Q118" s="247" t="s">
        <v>3601</v>
      </c>
      <c r="R118" s="219" t="s">
        <v>3335</v>
      </c>
      <c r="S118" s="141" t="s">
        <v>264</v>
      </c>
      <c r="T118" s="261"/>
    </row>
    <row r="119" spans="1:20" ht="58" customHeight="1">
      <c r="A119" s="249" t="s">
        <v>2659</v>
      </c>
      <c r="B119" s="42" t="s">
        <v>5</v>
      </c>
      <c r="C119" s="41" t="s">
        <v>1607</v>
      </c>
      <c r="D119" s="41" t="s">
        <v>4497</v>
      </c>
      <c r="E119" s="218" t="s">
        <v>802</v>
      </c>
      <c r="F119" s="218" t="s">
        <v>4401</v>
      </c>
      <c r="G119" s="263" t="s">
        <v>3385</v>
      </c>
      <c r="H119" s="42" t="s">
        <v>1599</v>
      </c>
      <c r="I119" s="266" t="s">
        <v>3392</v>
      </c>
      <c r="J119" s="251" t="s">
        <v>4246</v>
      </c>
      <c r="K119" s="165" t="s">
        <v>4498</v>
      </c>
      <c r="L119" s="260" t="s">
        <v>4683</v>
      </c>
      <c r="M119" s="260" t="s">
        <v>4684</v>
      </c>
      <c r="N119" s="164" t="s">
        <v>4649</v>
      </c>
      <c r="O119" s="139" t="s">
        <v>230</v>
      </c>
      <c r="P119" s="40" t="s">
        <v>4496</v>
      </c>
      <c r="Q119" s="247" t="s">
        <v>3601</v>
      </c>
      <c r="R119" s="219" t="s">
        <v>3299</v>
      </c>
      <c r="S119" s="141" t="s">
        <v>232</v>
      </c>
      <c r="T119" s="261"/>
    </row>
    <row r="120" spans="1:20" ht="58" customHeight="1">
      <c r="A120" s="249" t="s">
        <v>2659</v>
      </c>
      <c r="B120" s="42" t="s">
        <v>5</v>
      </c>
      <c r="C120" s="41" t="s">
        <v>1607</v>
      </c>
      <c r="D120" s="41" t="s">
        <v>4499</v>
      </c>
      <c r="E120" s="218" t="s">
        <v>802</v>
      </c>
      <c r="F120" s="218" t="s">
        <v>4401</v>
      </c>
      <c r="G120" s="263" t="s">
        <v>3385</v>
      </c>
      <c r="H120" s="42" t="s">
        <v>1599</v>
      </c>
      <c r="I120" s="266" t="s">
        <v>3392</v>
      </c>
      <c r="J120" s="251" t="s">
        <v>4246</v>
      </c>
      <c r="K120" s="165" t="s">
        <v>4501</v>
      </c>
      <c r="L120" s="260" t="s">
        <v>4689</v>
      </c>
      <c r="M120" s="260" t="s">
        <v>4690</v>
      </c>
      <c r="N120" s="164" t="s">
        <v>4650</v>
      </c>
      <c r="O120" s="139" t="s">
        <v>230</v>
      </c>
      <c r="P120" s="40" t="s">
        <v>4500</v>
      </c>
      <c r="Q120" s="247" t="s">
        <v>3601</v>
      </c>
      <c r="R120" s="219" t="s">
        <v>3299</v>
      </c>
      <c r="S120" s="141" t="s">
        <v>232</v>
      </c>
      <c r="T120" s="261"/>
    </row>
    <row r="121" spans="1:20" ht="58" customHeight="1">
      <c r="A121" s="249" t="s">
        <v>2659</v>
      </c>
      <c r="B121" s="42" t="s">
        <v>5</v>
      </c>
      <c r="C121" s="41" t="s">
        <v>1607</v>
      </c>
      <c r="D121" s="41" t="s">
        <v>4503</v>
      </c>
      <c r="E121" s="218" t="s">
        <v>803</v>
      </c>
      <c r="F121" s="218" t="s">
        <v>4402</v>
      </c>
      <c r="G121" s="263" t="s">
        <v>3385</v>
      </c>
      <c r="H121" s="42" t="s">
        <v>1599</v>
      </c>
      <c r="I121" s="266" t="s">
        <v>4484</v>
      </c>
      <c r="J121" s="251" t="s">
        <v>4247</v>
      </c>
      <c r="K121" s="165" t="s">
        <v>4504</v>
      </c>
      <c r="L121" s="260" t="s">
        <v>4691</v>
      </c>
      <c r="M121" s="260" t="s">
        <v>4692</v>
      </c>
      <c r="N121" s="164" t="s">
        <v>4650</v>
      </c>
      <c r="O121" s="139" t="s">
        <v>230</v>
      </c>
      <c r="P121" s="40" t="s">
        <v>4502</v>
      </c>
      <c r="Q121" s="247" t="s">
        <v>3601</v>
      </c>
      <c r="R121" s="219" t="s">
        <v>3299</v>
      </c>
      <c r="S121" s="141" t="s">
        <v>232</v>
      </c>
      <c r="T121" s="261"/>
    </row>
    <row r="122" spans="1:20" ht="58" customHeight="1">
      <c r="A122" s="249" t="s">
        <v>2659</v>
      </c>
      <c r="B122" s="42" t="s">
        <v>5</v>
      </c>
      <c r="C122" s="41" t="s">
        <v>1607</v>
      </c>
      <c r="D122" s="41" t="s">
        <v>4505</v>
      </c>
      <c r="E122" s="218" t="s">
        <v>803</v>
      </c>
      <c r="F122" s="218" t="s">
        <v>4402</v>
      </c>
      <c r="G122" s="263" t="s">
        <v>3385</v>
      </c>
      <c r="H122" s="42" t="s">
        <v>1599</v>
      </c>
      <c r="I122" s="266" t="s">
        <v>4484</v>
      </c>
      <c r="J122" s="251" t="s">
        <v>4247</v>
      </c>
      <c r="K122" s="165" t="s">
        <v>4507</v>
      </c>
      <c r="L122" s="260" t="s">
        <v>4699</v>
      </c>
      <c r="M122" s="260" t="s">
        <v>4700</v>
      </c>
      <c r="N122" s="164" t="s">
        <v>4651</v>
      </c>
      <c r="O122" s="139" t="s">
        <v>230</v>
      </c>
      <c r="P122" s="40" t="s">
        <v>4506</v>
      </c>
      <c r="Q122" s="247" t="s">
        <v>3601</v>
      </c>
      <c r="R122" s="219" t="s">
        <v>3299</v>
      </c>
      <c r="S122" s="141" t="s">
        <v>232</v>
      </c>
      <c r="T122" s="261"/>
    </row>
    <row r="123" spans="1:20" ht="58" customHeight="1">
      <c r="A123" s="249" t="s">
        <v>2659</v>
      </c>
      <c r="B123" s="42" t="s">
        <v>5</v>
      </c>
      <c r="C123" s="41" t="s">
        <v>1607</v>
      </c>
      <c r="D123" s="41" t="s">
        <v>235</v>
      </c>
      <c r="E123" s="218" t="s">
        <v>804</v>
      </c>
      <c r="F123" s="218" t="s">
        <v>4403</v>
      </c>
      <c r="G123" s="263" t="s">
        <v>3382</v>
      </c>
      <c r="H123" s="42" t="s">
        <v>2</v>
      </c>
      <c r="I123" s="266" t="s">
        <v>3390</v>
      </c>
      <c r="J123" s="251" t="s">
        <v>3599</v>
      </c>
      <c r="K123" s="165"/>
      <c r="L123" s="260"/>
      <c r="M123" s="260"/>
      <c r="N123" s="164"/>
      <c r="O123" s="139" t="s">
        <v>230</v>
      </c>
      <c r="P123" s="40" t="s">
        <v>234</v>
      </c>
      <c r="Q123" s="247" t="s">
        <v>3601</v>
      </c>
      <c r="R123" s="219" t="s">
        <v>3319</v>
      </c>
      <c r="S123" s="141" t="s">
        <v>232</v>
      </c>
      <c r="T123" s="261"/>
    </row>
    <row r="124" spans="1:20" ht="58" customHeight="1">
      <c r="A124" s="249" t="s">
        <v>2659</v>
      </c>
      <c r="B124" s="42" t="s">
        <v>5</v>
      </c>
      <c r="C124" s="41" t="s">
        <v>1607</v>
      </c>
      <c r="D124" s="41" t="s">
        <v>237</v>
      </c>
      <c r="E124" s="218" t="s">
        <v>805</v>
      </c>
      <c r="F124" s="218" t="s">
        <v>4404</v>
      </c>
      <c r="G124" s="263" t="s">
        <v>3382</v>
      </c>
      <c r="H124" s="42" t="s">
        <v>2</v>
      </c>
      <c r="I124" s="266" t="s">
        <v>3390</v>
      </c>
      <c r="J124" s="251" t="s">
        <v>3599</v>
      </c>
      <c r="K124" s="165"/>
      <c r="L124" s="260"/>
      <c r="M124" s="260"/>
      <c r="N124" s="164"/>
      <c r="O124" s="139" t="s">
        <v>230</v>
      </c>
      <c r="P124" s="40" t="s">
        <v>236</v>
      </c>
      <c r="Q124" s="247" t="s">
        <v>3601</v>
      </c>
      <c r="R124" s="219" t="s">
        <v>3319</v>
      </c>
      <c r="S124" s="141" t="s">
        <v>232</v>
      </c>
      <c r="T124" s="261"/>
    </row>
    <row r="125" spans="1:20" ht="58" customHeight="1">
      <c r="A125" s="249" t="s">
        <v>2659</v>
      </c>
      <c r="B125" s="42" t="s">
        <v>5</v>
      </c>
      <c r="C125" s="41" t="s">
        <v>1607</v>
      </c>
      <c r="D125" s="41" t="s">
        <v>239</v>
      </c>
      <c r="E125" s="218" t="s">
        <v>806</v>
      </c>
      <c r="F125" s="218" t="s">
        <v>4405</v>
      </c>
      <c r="G125" s="263" t="s">
        <v>3382</v>
      </c>
      <c r="H125" s="42" t="s">
        <v>2</v>
      </c>
      <c r="I125" s="266" t="s">
        <v>3390</v>
      </c>
      <c r="J125" s="251" t="s">
        <v>3599</v>
      </c>
      <c r="K125" s="165"/>
      <c r="L125" s="260"/>
      <c r="M125" s="260"/>
      <c r="N125" s="164"/>
      <c r="O125" s="139" t="s">
        <v>230</v>
      </c>
      <c r="P125" s="40" t="s">
        <v>238</v>
      </c>
      <c r="Q125" s="247" t="s">
        <v>3601</v>
      </c>
      <c r="R125" s="219" t="s">
        <v>3319</v>
      </c>
      <c r="S125" s="141" t="s">
        <v>232</v>
      </c>
      <c r="T125" s="261"/>
    </row>
    <row r="126" spans="1:20" ht="58" customHeight="1">
      <c r="A126" s="249" t="s">
        <v>2659</v>
      </c>
      <c r="B126" s="42" t="s">
        <v>5</v>
      </c>
      <c r="C126" s="41" t="s">
        <v>1607</v>
      </c>
      <c r="D126" s="41" t="s">
        <v>241</v>
      </c>
      <c r="E126" s="218" t="s">
        <v>807</v>
      </c>
      <c r="F126" s="218" t="s">
        <v>4406</v>
      </c>
      <c r="G126" s="263" t="s">
        <v>3382</v>
      </c>
      <c r="H126" s="42" t="s">
        <v>2</v>
      </c>
      <c r="I126" s="266" t="s">
        <v>3390</v>
      </c>
      <c r="J126" s="251" t="s">
        <v>3599</v>
      </c>
      <c r="K126" s="165"/>
      <c r="L126" s="260"/>
      <c r="M126" s="260"/>
      <c r="N126" s="164"/>
      <c r="O126" s="139" t="s">
        <v>230</v>
      </c>
      <c r="P126" s="40" t="s">
        <v>240</v>
      </c>
      <c r="Q126" s="247" t="s">
        <v>3601</v>
      </c>
      <c r="R126" s="219" t="s">
        <v>3319</v>
      </c>
      <c r="S126" s="141" t="s">
        <v>232</v>
      </c>
      <c r="T126" s="261"/>
    </row>
    <row r="127" spans="1:20" ht="58" customHeight="1">
      <c r="A127" s="249" t="s">
        <v>2659</v>
      </c>
      <c r="B127" s="42" t="s">
        <v>5</v>
      </c>
      <c r="C127" s="41" t="s">
        <v>1607</v>
      </c>
      <c r="D127" s="41" t="s">
        <v>330</v>
      </c>
      <c r="E127" s="218" t="s">
        <v>4323</v>
      </c>
      <c r="F127" s="218" t="s">
        <v>3660</v>
      </c>
      <c r="G127" s="263" t="s">
        <v>5029</v>
      </c>
      <c r="H127" s="42" t="s">
        <v>1599</v>
      </c>
      <c r="I127" s="266" t="s">
        <v>3392</v>
      </c>
      <c r="J127" s="251" t="s">
        <v>4326</v>
      </c>
      <c r="K127" s="165" t="s">
        <v>4613</v>
      </c>
      <c r="L127" s="260" t="s">
        <v>5027</v>
      </c>
      <c r="M127" s="260" t="s">
        <v>5028</v>
      </c>
      <c r="N127" s="164" t="s">
        <v>4649</v>
      </c>
      <c r="O127" s="139" t="s">
        <v>328</v>
      </c>
      <c r="P127" s="40" t="s">
        <v>329</v>
      </c>
      <c r="Q127" s="247" t="s">
        <v>3601</v>
      </c>
      <c r="R127" s="219" t="s">
        <v>3339</v>
      </c>
      <c r="S127" s="141" t="s">
        <v>331</v>
      </c>
      <c r="T127" s="261"/>
    </row>
    <row r="128" spans="1:20" ht="58" customHeight="1">
      <c r="A128" s="249" t="s">
        <v>2659</v>
      </c>
      <c r="B128" s="42" t="s">
        <v>5</v>
      </c>
      <c r="C128" s="41" t="s">
        <v>1607</v>
      </c>
      <c r="D128" s="41" t="s">
        <v>333</v>
      </c>
      <c r="E128" s="218" t="s">
        <v>4316</v>
      </c>
      <c r="F128" s="218" t="s">
        <v>4317</v>
      </c>
      <c r="G128" s="263" t="s">
        <v>4318</v>
      </c>
      <c r="H128" s="42" t="s">
        <v>1599</v>
      </c>
      <c r="I128" s="266" t="s">
        <v>3392</v>
      </c>
      <c r="J128" s="251" t="s">
        <v>4325</v>
      </c>
      <c r="K128" s="165" t="s">
        <v>4640</v>
      </c>
      <c r="L128" s="260" t="s">
        <v>5032</v>
      </c>
      <c r="M128" s="260"/>
      <c r="N128" s="164" t="s">
        <v>4649</v>
      </c>
      <c r="O128" s="139" t="s">
        <v>328</v>
      </c>
      <c r="P128" s="40" t="s">
        <v>332</v>
      </c>
      <c r="Q128" s="247" t="s">
        <v>3601</v>
      </c>
      <c r="R128" s="219" t="s">
        <v>3338</v>
      </c>
      <c r="S128" s="141" t="s">
        <v>331</v>
      </c>
      <c r="T128" s="261" t="s">
        <v>4319</v>
      </c>
    </row>
    <row r="129" spans="1:20" ht="58" customHeight="1">
      <c r="A129" s="249" t="s">
        <v>2659</v>
      </c>
      <c r="B129" s="42" t="s">
        <v>5</v>
      </c>
      <c r="C129" s="41" t="s">
        <v>1607</v>
      </c>
      <c r="D129" s="41" t="s">
        <v>335</v>
      </c>
      <c r="E129" s="218" t="s">
        <v>4320</v>
      </c>
      <c r="F129" s="218" t="s">
        <v>3661</v>
      </c>
      <c r="G129" s="263" t="s">
        <v>4321</v>
      </c>
      <c r="H129" s="42" t="s">
        <v>2</v>
      </c>
      <c r="I129" s="266" t="s">
        <v>3390</v>
      </c>
      <c r="J129" s="251" t="s">
        <v>4306</v>
      </c>
      <c r="K129" s="165" t="s">
        <v>1025</v>
      </c>
      <c r="L129" s="260"/>
      <c r="M129" s="260"/>
      <c r="N129" s="164"/>
      <c r="O129" s="139" t="s">
        <v>328</v>
      </c>
      <c r="P129" s="40" t="s">
        <v>334</v>
      </c>
      <c r="Q129" s="247" t="s">
        <v>3601</v>
      </c>
      <c r="R129" s="219" t="s">
        <v>3340</v>
      </c>
      <c r="S129" s="141" t="s">
        <v>331</v>
      </c>
      <c r="T129" s="261" t="s">
        <v>4322</v>
      </c>
    </row>
    <row r="130" spans="1:20" ht="58" customHeight="1">
      <c r="A130" s="249" t="s">
        <v>2659</v>
      </c>
      <c r="B130" s="42" t="s">
        <v>5</v>
      </c>
      <c r="C130" s="41" t="s">
        <v>1607</v>
      </c>
      <c r="D130" s="41" t="s">
        <v>337</v>
      </c>
      <c r="E130" s="218" t="s">
        <v>838</v>
      </c>
      <c r="F130" s="218" t="s">
        <v>4407</v>
      </c>
      <c r="G130" s="263" t="s">
        <v>3385</v>
      </c>
      <c r="H130" s="42" t="s">
        <v>1599</v>
      </c>
      <c r="I130" s="266" t="s">
        <v>3392</v>
      </c>
      <c r="J130" s="251" t="s">
        <v>4248</v>
      </c>
      <c r="K130" s="165" t="s">
        <v>4617</v>
      </c>
      <c r="L130" s="260" t="s">
        <v>4693</v>
      </c>
      <c r="M130" s="260" t="s">
        <v>4694</v>
      </c>
      <c r="N130" s="164" t="s">
        <v>4650</v>
      </c>
      <c r="O130" s="139" t="s">
        <v>328</v>
      </c>
      <c r="P130" s="40" t="s">
        <v>336</v>
      </c>
      <c r="Q130" s="247" t="s">
        <v>3601</v>
      </c>
      <c r="R130" s="219" t="s">
        <v>3299</v>
      </c>
      <c r="S130" s="141" t="s">
        <v>331</v>
      </c>
      <c r="T130" s="261"/>
    </row>
    <row r="131" spans="1:20" ht="58" customHeight="1">
      <c r="A131" s="249" t="s">
        <v>2659</v>
      </c>
      <c r="B131" s="42" t="s">
        <v>5</v>
      </c>
      <c r="C131" s="41" t="s">
        <v>1607</v>
      </c>
      <c r="D131" s="41" t="s">
        <v>339</v>
      </c>
      <c r="E131" s="218" t="s">
        <v>839</v>
      </c>
      <c r="F131" s="218" t="s">
        <v>4408</v>
      </c>
      <c r="G131" s="263" t="s">
        <v>3385</v>
      </c>
      <c r="H131" s="42" t="s">
        <v>1599</v>
      </c>
      <c r="I131" s="266" t="s">
        <v>3392</v>
      </c>
      <c r="J131" s="251" t="s">
        <v>4249</v>
      </c>
      <c r="K131" s="165" t="s">
        <v>4618</v>
      </c>
      <c r="L131" s="260" t="s">
        <v>4695</v>
      </c>
      <c r="M131" s="260" t="s">
        <v>4696</v>
      </c>
      <c r="N131" s="164" t="s">
        <v>4650</v>
      </c>
      <c r="O131" s="139" t="s">
        <v>328</v>
      </c>
      <c r="P131" s="40" t="s">
        <v>338</v>
      </c>
      <c r="Q131" s="247" t="s">
        <v>3601</v>
      </c>
      <c r="R131" s="219" t="s">
        <v>3299</v>
      </c>
      <c r="S131" s="141" t="s">
        <v>331</v>
      </c>
      <c r="T131" s="261"/>
    </row>
    <row r="132" spans="1:20" ht="58" customHeight="1">
      <c r="A132" s="249" t="s">
        <v>2659</v>
      </c>
      <c r="B132" s="42" t="s">
        <v>5</v>
      </c>
      <c r="C132" s="41" t="s">
        <v>1607</v>
      </c>
      <c r="D132" s="41" t="s">
        <v>341</v>
      </c>
      <c r="E132" s="218" t="s">
        <v>840</v>
      </c>
      <c r="F132" s="218" t="s">
        <v>4409</v>
      </c>
      <c r="G132" s="263" t="s">
        <v>3385</v>
      </c>
      <c r="H132" s="42" t="s">
        <v>1599</v>
      </c>
      <c r="I132" s="266" t="s">
        <v>3392</v>
      </c>
      <c r="J132" s="251" t="s">
        <v>4250</v>
      </c>
      <c r="K132" s="165" t="s">
        <v>4640</v>
      </c>
      <c r="L132" s="260" t="s">
        <v>5033</v>
      </c>
      <c r="M132" s="260"/>
      <c r="N132" s="164" t="s">
        <v>4649</v>
      </c>
      <c r="O132" s="139" t="s">
        <v>328</v>
      </c>
      <c r="P132" s="40" t="s">
        <v>340</v>
      </c>
      <c r="Q132" s="247" t="s">
        <v>3601</v>
      </c>
      <c r="R132" s="219" t="s">
        <v>3299</v>
      </c>
      <c r="S132" s="141" t="s">
        <v>331</v>
      </c>
      <c r="T132" s="261"/>
    </row>
    <row r="133" spans="1:20" ht="58" customHeight="1">
      <c r="A133" s="249" t="s">
        <v>2659</v>
      </c>
      <c r="B133" s="42" t="s">
        <v>5</v>
      </c>
      <c r="C133" s="41" t="s">
        <v>1607</v>
      </c>
      <c r="D133" s="41" t="s">
        <v>343</v>
      </c>
      <c r="E133" s="218" t="s">
        <v>841</v>
      </c>
      <c r="F133" s="218" t="s">
        <v>344</v>
      </c>
      <c r="G133" s="263" t="s">
        <v>3385</v>
      </c>
      <c r="H133" s="42" t="s">
        <v>1599</v>
      </c>
      <c r="I133" s="266" t="s">
        <v>4484</v>
      </c>
      <c r="J133" s="251" t="s">
        <v>4251</v>
      </c>
      <c r="K133" s="165" t="s">
        <v>4619</v>
      </c>
      <c r="L133" s="260" t="s">
        <v>4697</v>
      </c>
      <c r="M133" s="260" t="s">
        <v>4698</v>
      </c>
      <c r="N133" s="164" t="s">
        <v>4650</v>
      </c>
      <c r="O133" s="139" t="s">
        <v>328</v>
      </c>
      <c r="P133" s="40" t="s">
        <v>342</v>
      </c>
      <c r="Q133" s="247" t="s">
        <v>3601</v>
      </c>
      <c r="R133" s="219" t="s">
        <v>3299</v>
      </c>
      <c r="S133" s="141" t="s">
        <v>331</v>
      </c>
      <c r="T133" s="261"/>
    </row>
    <row r="134" spans="1:20" ht="58" customHeight="1">
      <c r="A134" s="249" t="s">
        <v>2659</v>
      </c>
      <c r="B134" s="42" t="s">
        <v>5</v>
      </c>
      <c r="C134" s="41" t="s">
        <v>1607</v>
      </c>
      <c r="D134" s="41" t="s">
        <v>346</v>
      </c>
      <c r="E134" s="218" t="s">
        <v>842</v>
      </c>
      <c r="F134" s="218" t="s">
        <v>4410</v>
      </c>
      <c r="G134" s="263" t="s">
        <v>3385</v>
      </c>
      <c r="H134" s="42" t="s">
        <v>1599</v>
      </c>
      <c r="I134" s="266" t="s">
        <v>4484</v>
      </c>
      <c r="J134" s="251" t="s">
        <v>4252</v>
      </c>
      <c r="K134" s="165" t="s">
        <v>4614</v>
      </c>
      <c r="L134" s="260" t="s">
        <v>4685</v>
      </c>
      <c r="M134" s="260" t="s">
        <v>4686</v>
      </c>
      <c r="N134" s="164" t="s">
        <v>4649</v>
      </c>
      <c r="O134" s="139" t="s">
        <v>328</v>
      </c>
      <c r="P134" s="40" t="s">
        <v>345</v>
      </c>
      <c r="Q134" s="247" t="s">
        <v>3601</v>
      </c>
      <c r="R134" s="219" t="s">
        <v>3299</v>
      </c>
      <c r="S134" s="141" t="s">
        <v>331</v>
      </c>
      <c r="T134" s="261"/>
    </row>
    <row r="135" spans="1:20" ht="58" customHeight="1">
      <c r="A135" s="249" t="s">
        <v>2659</v>
      </c>
      <c r="B135" s="42" t="s">
        <v>5</v>
      </c>
      <c r="C135" s="41" t="s">
        <v>1609</v>
      </c>
      <c r="D135" s="41" t="s">
        <v>279</v>
      </c>
      <c r="E135" s="218" t="s">
        <v>819</v>
      </c>
      <c r="F135" s="218" t="s">
        <v>4411</v>
      </c>
      <c r="G135" s="263" t="s">
        <v>3382</v>
      </c>
      <c r="H135" s="42" t="s">
        <v>2</v>
      </c>
      <c r="I135" s="266" t="s">
        <v>3390</v>
      </c>
      <c r="J135" s="251" t="s">
        <v>3599</v>
      </c>
      <c r="K135" s="165"/>
      <c r="L135" s="260"/>
      <c r="M135" s="260"/>
      <c r="N135" s="164"/>
      <c r="O135" s="139" t="s">
        <v>277</v>
      </c>
      <c r="P135" s="40" t="s">
        <v>278</v>
      </c>
      <c r="Q135" s="247" t="s">
        <v>3601</v>
      </c>
      <c r="R135" s="219" t="s">
        <v>3319</v>
      </c>
      <c r="S135" s="141" t="s">
        <v>280</v>
      </c>
      <c r="T135" s="261"/>
    </row>
    <row r="136" spans="1:20" ht="58" customHeight="1">
      <c r="A136" s="249" t="s">
        <v>2659</v>
      </c>
      <c r="B136" s="42" t="s">
        <v>5</v>
      </c>
      <c r="C136" s="41" t="s">
        <v>1609</v>
      </c>
      <c r="D136" s="41" t="s">
        <v>282</v>
      </c>
      <c r="E136" s="218" t="s">
        <v>820</v>
      </c>
      <c r="F136" s="218" t="s">
        <v>4412</v>
      </c>
      <c r="G136" s="263" t="s">
        <v>3382</v>
      </c>
      <c r="H136" s="42" t="s">
        <v>2</v>
      </c>
      <c r="I136" s="266" t="s">
        <v>3390</v>
      </c>
      <c r="J136" s="251" t="s">
        <v>3599</v>
      </c>
      <c r="K136" s="165"/>
      <c r="L136" s="260"/>
      <c r="M136" s="260"/>
      <c r="N136" s="164"/>
      <c r="O136" s="139" t="s">
        <v>277</v>
      </c>
      <c r="P136" s="40" t="s">
        <v>281</v>
      </c>
      <c r="Q136" s="247" t="s">
        <v>3601</v>
      </c>
      <c r="R136" s="219" t="s">
        <v>3319</v>
      </c>
      <c r="S136" s="141" t="s">
        <v>280</v>
      </c>
      <c r="T136" s="261"/>
    </row>
    <row r="137" spans="1:20" ht="58" customHeight="1">
      <c r="A137" s="249" t="s">
        <v>2659</v>
      </c>
      <c r="B137" s="42" t="s">
        <v>5</v>
      </c>
      <c r="C137" s="41" t="s">
        <v>1609</v>
      </c>
      <c r="D137" s="41" t="s">
        <v>284</v>
      </c>
      <c r="E137" s="218" t="s">
        <v>821</v>
      </c>
      <c r="F137" s="218" t="s">
        <v>4413</v>
      </c>
      <c r="G137" s="263" t="s">
        <v>3386</v>
      </c>
      <c r="H137" s="42" t="s">
        <v>1599</v>
      </c>
      <c r="I137" s="266" t="s">
        <v>3392</v>
      </c>
      <c r="J137" s="251" t="s">
        <v>4253</v>
      </c>
      <c r="K137" s="165" t="s">
        <v>4928</v>
      </c>
      <c r="L137" s="260"/>
      <c r="M137" s="260"/>
      <c r="N137" s="164"/>
      <c r="O137" s="139" t="s">
        <v>277</v>
      </c>
      <c r="P137" s="40" t="s">
        <v>283</v>
      </c>
      <c r="Q137" s="247" t="s">
        <v>3601</v>
      </c>
      <c r="R137" s="219" t="s">
        <v>3300</v>
      </c>
      <c r="S137" s="141" t="s">
        <v>280</v>
      </c>
      <c r="T137" s="261"/>
    </row>
    <row r="138" spans="1:20" ht="58" customHeight="1">
      <c r="A138" s="249" t="s">
        <v>2659</v>
      </c>
      <c r="B138" s="42" t="s">
        <v>5</v>
      </c>
      <c r="C138" s="41" t="s">
        <v>1609</v>
      </c>
      <c r="D138" s="41" t="s">
        <v>291</v>
      </c>
      <c r="E138" s="218" t="s">
        <v>824</v>
      </c>
      <c r="F138" s="218" t="s">
        <v>4414</v>
      </c>
      <c r="G138" s="263" t="s">
        <v>3386</v>
      </c>
      <c r="H138" s="42" t="s">
        <v>1599</v>
      </c>
      <c r="I138" s="266" t="s">
        <v>3392</v>
      </c>
      <c r="J138" s="251" t="s">
        <v>4254</v>
      </c>
      <c r="K138" s="165" t="s">
        <v>4928</v>
      </c>
      <c r="L138" s="260"/>
      <c r="M138" s="260"/>
      <c r="N138" s="164"/>
      <c r="O138" s="139" t="s">
        <v>289</v>
      </c>
      <c r="P138" s="40" t="s">
        <v>290</v>
      </c>
      <c r="Q138" s="247" t="s">
        <v>3601</v>
      </c>
      <c r="R138" s="219" t="s">
        <v>3300</v>
      </c>
      <c r="S138" s="141" t="s">
        <v>292</v>
      </c>
      <c r="T138" s="261"/>
    </row>
    <row r="139" spans="1:20" ht="58" customHeight="1">
      <c r="A139" s="249" t="s">
        <v>2659</v>
      </c>
      <c r="B139" s="42" t="s">
        <v>5</v>
      </c>
      <c r="C139" s="41" t="s">
        <v>1609</v>
      </c>
      <c r="D139" s="41" t="s">
        <v>294</v>
      </c>
      <c r="E139" s="218" t="s">
        <v>825</v>
      </c>
      <c r="F139" s="218" t="s">
        <v>4415</v>
      </c>
      <c r="G139" s="263" t="s">
        <v>3386</v>
      </c>
      <c r="H139" s="42" t="s">
        <v>1599</v>
      </c>
      <c r="I139" s="266" t="s">
        <v>3392</v>
      </c>
      <c r="J139" s="251" t="s">
        <v>4255</v>
      </c>
      <c r="K139" s="165" t="s">
        <v>4928</v>
      </c>
      <c r="L139" s="260"/>
      <c r="M139" s="260"/>
      <c r="N139" s="164"/>
      <c r="O139" s="139" t="s">
        <v>289</v>
      </c>
      <c r="P139" s="40" t="s">
        <v>293</v>
      </c>
      <c r="Q139" s="247" t="s">
        <v>3601</v>
      </c>
      <c r="R139" s="219" t="s">
        <v>3300</v>
      </c>
      <c r="S139" s="141" t="s">
        <v>292</v>
      </c>
      <c r="T139" s="261"/>
    </row>
    <row r="140" spans="1:20" ht="58" customHeight="1">
      <c r="A140" s="249" t="s">
        <v>2659</v>
      </c>
      <c r="B140" s="42" t="s">
        <v>5</v>
      </c>
      <c r="C140" s="41" t="s">
        <v>1609</v>
      </c>
      <c r="D140" s="41" t="s">
        <v>296</v>
      </c>
      <c r="E140" s="218" t="s">
        <v>826</v>
      </c>
      <c r="F140" s="218" t="s">
        <v>4416</v>
      </c>
      <c r="G140" s="263" t="s">
        <v>3386</v>
      </c>
      <c r="H140" s="42" t="s">
        <v>1599</v>
      </c>
      <c r="I140" s="266" t="s">
        <v>3392</v>
      </c>
      <c r="J140" s="251" t="s">
        <v>4256</v>
      </c>
      <c r="K140" s="165" t="s">
        <v>4928</v>
      </c>
      <c r="L140" s="260"/>
      <c r="M140" s="260"/>
      <c r="N140" s="164"/>
      <c r="O140" s="139" t="s">
        <v>289</v>
      </c>
      <c r="P140" s="40" t="s">
        <v>295</v>
      </c>
      <c r="Q140" s="247" t="s">
        <v>3601</v>
      </c>
      <c r="R140" s="219" t="s">
        <v>3300</v>
      </c>
      <c r="S140" s="141" t="s">
        <v>292</v>
      </c>
      <c r="T140" s="261"/>
    </row>
    <row r="141" spans="1:20" ht="58" customHeight="1">
      <c r="A141" s="249" t="s">
        <v>2659</v>
      </c>
      <c r="B141" s="42" t="s">
        <v>5</v>
      </c>
      <c r="C141" s="41" t="s">
        <v>1609</v>
      </c>
      <c r="D141" s="41" t="s">
        <v>298</v>
      </c>
      <c r="E141" s="218" t="s">
        <v>827</v>
      </c>
      <c r="F141" s="218" t="s">
        <v>4417</v>
      </c>
      <c r="G141" s="263" t="s">
        <v>3386</v>
      </c>
      <c r="H141" s="42" t="s">
        <v>1599</v>
      </c>
      <c r="I141" s="266" t="s">
        <v>3392</v>
      </c>
      <c r="J141" s="251" t="s">
        <v>4257</v>
      </c>
      <c r="K141" s="165" t="s">
        <v>4928</v>
      </c>
      <c r="L141" s="260"/>
      <c r="M141" s="260"/>
      <c r="N141" s="164"/>
      <c r="O141" s="139" t="s">
        <v>289</v>
      </c>
      <c r="P141" s="40" t="s">
        <v>297</v>
      </c>
      <c r="Q141" s="247" t="s">
        <v>3601</v>
      </c>
      <c r="R141" s="219" t="s">
        <v>3300</v>
      </c>
      <c r="S141" s="141" t="s">
        <v>292</v>
      </c>
      <c r="T141" s="261"/>
    </row>
    <row r="142" spans="1:20" ht="58" customHeight="1">
      <c r="A142" s="249" t="s">
        <v>2659</v>
      </c>
      <c r="B142" s="42" t="s">
        <v>5</v>
      </c>
      <c r="C142" s="41" t="s">
        <v>1609</v>
      </c>
      <c r="D142" s="41" t="s">
        <v>300</v>
      </c>
      <c r="E142" s="218" t="s">
        <v>828</v>
      </c>
      <c r="F142" s="218" t="s">
        <v>4418</v>
      </c>
      <c r="G142" s="263" t="s">
        <v>3386</v>
      </c>
      <c r="H142" s="42" t="s">
        <v>1599</v>
      </c>
      <c r="I142" s="266" t="s">
        <v>3392</v>
      </c>
      <c r="J142" s="251" t="s">
        <v>4258</v>
      </c>
      <c r="K142" s="165" t="s">
        <v>4928</v>
      </c>
      <c r="L142" s="260"/>
      <c r="M142" s="260"/>
      <c r="N142" s="164"/>
      <c r="O142" s="139" t="s">
        <v>289</v>
      </c>
      <c r="P142" s="40" t="s">
        <v>299</v>
      </c>
      <c r="Q142" s="247" t="s">
        <v>3601</v>
      </c>
      <c r="R142" s="219" t="s">
        <v>3300</v>
      </c>
      <c r="S142" s="141" t="s">
        <v>292</v>
      </c>
      <c r="T142" s="261"/>
    </row>
    <row r="143" spans="1:20" ht="58" customHeight="1">
      <c r="A143" s="249" t="s">
        <v>2659</v>
      </c>
      <c r="B143" s="42" t="s">
        <v>5</v>
      </c>
      <c r="C143" s="41" t="s">
        <v>1609</v>
      </c>
      <c r="D143" s="41" t="s">
        <v>286</v>
      </c>
      <c r="E143" s="218" t="s">
        <v>822</v>
      </c>
      <c r="F143" s="218" t="s">
        <v>4419</v>
      </c>
      <c r="G143" s="263" t="s">
        <v>3386</v>
      </c>
      <c r="H143" s="42" t="s">
        <v>1599</v>
      </c>
      <c r="I143" s="266" t="s">
        <v>3392</v>
      </c>
      <c r="J143" s="251" t="s">
        <v>4259</v>
      </c>
      <c r="K143" s="165" t="s">
        <v>4928</v>
      </c>
      <c r="L143" s="260"/>
      <c r="M143" s="260"/>
      <c r="N143" s="164"/>
      <c r="O143" s="139" t="s">
        <v>277</v>
      </c>
      <c r="P143" s="40" t="s">
        <v>285</v>
      </c>
      <c r="Q143" s="247" t="s">
        <v>3601</v>
      </c>
      <c r="R143" s="219" t="s">
        <v>3300</v>
      </c>
      <c r="S143" s="141" t="s">
        <v>280</v>
      </c>
      <c r="T143" s="261"/>
    </row>
    <row r="144" spans="1:20" ht="58" customHeight="1">
      <c r="A144" s="249" t="s">
        <v>2659</v>
      </c>
      <c r="B144" s="42" t="s">
        <v>5</v>
      </c>
      <c r="C144" s="41" t="s">
        <v>1609</v>
      </c>
      <c r="D144" s="41" t="s">
        <v>305</v>
      </c>
      <c r="E144" s="218" t="s">
        <v>830</v>
      </c>
      <c r="F144" s="218" t="s">
        <v>4452</v>
      </c>
      <c r="G144" s="263" t="s">
        <v>3386</v>
      </c>
      <c r="H144" s="42" t="s">
        <v>1599</v>
      </c>
      <c r="I144" s="266" t="s">
        <v>3392</v>
      </c>
      <c r="J144" s="251" t="s">
        <v>4260</v>
      </c>
      <c r="K144" s="165" t="s">
        <v>4928</v>
      </c>
      <c r="L144" s="260"/>
      <c r="M144" s="260"/>
      <c r="N144" s="164"/>
      <c r="O144" s="139" t="s">
        <v>303</v>
      </c>
      <c r="P144" s="40" t="s">
        <v>304</v>
      </c>
      <c r="Q144" s="247" t="s">
        <v>3601</v>
      </c>
      <c r="R144" s="219" t="s">
        <v>3300</v>
      </c>
      <c r="S144" s="141" t="s">
        <v>306</v>
      </c>
      <c r="T144" s="261"/>
    </row>
    <row r="145" spans="1:20" ht="58" customHeight="1">
      <c r="A145" s="249" t="s">
        <v>2659</v>
      </c>
      <c r="B145" s="42" t="s">
        <v>5</v>
      </c>
      <c r="C145" s="41" t="s">
        <v>1609</v>
      </c>
      <c r="D145" s="41" t="s">
        <v>308</v>
      </c>
      <c r="E145" s="218" t="s">
        <v>831</v>
      </c>
      <c r="F145" s="218" t="s">
        <v>4453</v>
      </c>
      <c r="G145" s="263" t="s">
        <v>3386</v>
      </c>
      <c r="H145" s="42" t="s">
        <v>1599</v>
      </c>
      <c r="I145" s="266" t="s">
        <v>3392</v>
      </c>
      <c r="J145" s="251" t="s">
        <v>4261</v>
      </c>
      <c r="K145" s="165" t="s">
        <v>4888</v>
      </c>
      <c r="L145" s="260" t="s">
        <v>4889</v>
      </c>
      <c r="M145" s="260" t="s">
        <v>4890</v>
      </c>
      <c r="N145" s="164" t="s">
        <v>4650</v>
      </c>
      <c r="O145" s="139" t="s">
        <v>303</v>
      </c>
      <c r="P145" s="40" t="s">
        <v>307</v>
      </c>
      <c r="Q145" s="247" t="s">
        <v>3601</v>
      </c>
      <c r="R145" s="219" t="s">
        <v>3300</v>
      </c>
      <c r="S145" s="141" t="s">
        <v>306</v>
      </c>
      <c r="T145" s="261"/>
    </row>
    <row r="146" spans="1:20" ht="58" customHeight="1">
      <c r="A146" s="249" t="s">
        <v>2659</v>
      </c>
      <c r="B146" s="42" t="s">
        <v>5</v>
      </c>
      <c r="C146" s="41" t="s">
        <v>1609</v>
      </c>
      <c r="D146" s="41" t="s">
        <v>318</v>
      </c>
      <c r="E146" s="218" t="s">
        <v>4154</v>
      </c>
      <c r="F146" s="218" t="s">
        <v>4420</v>
      </c>
      <c r="G146" s="263" t="s">
        <v>3382</v>
      </c>
      <c r="H146" s="42" t="s">
        <v>2</v>
      </c>
      <c r="I146" s="266" t="s">
        <v>3390</v>
      </c>
      <c r="J146" s="251" t="s">
        <v>3599</v>
      </c>
      <c r="K146" s="165"/>
      <c r="L146" s="260"/>
      <c r="M146" s="260"/>
      <c r="N146" s="164"/>
      <c r="O146" s="139" t="s">
        <v>316</v>
      </c>
      <c r="P146" s="40" t="s">
        <v>317</v>
      </c>
      <c r="Q146" s="247" t="s">
        <v>3601</v>
      </c>
      <c r="R146" s="219" t="s">
        <v>3323</v>
      </c>
      <c r="S146" s="141" t="s">
        <v>319</v>
      </c>
      <c r="T146" s="261"/>
    </row>
    <row r="147" spans="1:20" ht="58" customHeight="1">
      <c r="A147" s="249" t="s">
        <v>2659</v>
      </c>
      <c r="B147" s="42" t="s">
        <v>5</v>
      </c>
      <c r="C147" s="41" t="s">
        <v>1609</v>
      </c>
      <c r="D147" s="41" t="s">
        <v>310</v>
      </c>
      <c r="E147" s="218" t="s">
        <v>832</v>
      </c>
      <c r="F147" s="218" t="s">
        <v>4449</v>
      </c>
      <c r="G147" s="263" t="s">
        <v>3382</v>
      </c>
      <c r="H147" s="42" t="s">
        <v>2</v>
      </c>
      <c r="I147" s="266" t="s">
        <v>3390</v>
      </c>
      <c r="J147" s="251" t="s">
        <v>3599</v>
      </c>
      <c r="K147" s="165"/>
      <c r="L147" s="260"/>
      <c r="M147" s="260"/>
      <c r="N147" s="164"/>
      <c r="O147" s="139" t="s">
        <v>303</v>
      </c>
      <c r="P147" s="40" t="s">
        <v>309</v>
      </c>
      <c r="Q147" s="247" t="s">
        <v>3601</v>
      </c>
      <c r="R147" s="219" t="s">
        <v>3319</v>
      </c>
      <c r="S147" s="141" t="s">
        <v>306</v>
      </c>
      <c r="T147" s="261"/>
    </row>
    <row r="148" spans="1:20" ht="58" customHeight="1">
      <c r="A148" s="249" t="s">
        <v>2659</v>
      </c>
      <c r="B148" s="42" t="s">
        <v>5</v>
      </c>
      <c r="C148" s="41" t="s">
        <v>1609</v>
      </c>
      <c r="D148" s="41" t="s">
        <v>312</v>
      </c>
      <c r="E148" s="218" t="s">
        <v>833</v>
      </c>
      <c r="F148" s="218" t="s">
        <v>313</v>
      </c>
      <c r="G148" s="263" t="s">
        <v>3386</v>
      </c>
      <c r="H148" s="42" t="s">
        <v>1599</v>
      </c>
      <c r="I148" s="266" t="s">
        <v>3392</v>
      </c>
      <c r="J148" s="251" t="s">
        <v>4262</v>
      </c>
      <c r="K148" s="165" t="s">
        <v>4902</v>
      </c>
      <c r="L148" s="260" t="s">
        <v>4903</v>
      </c>
      <c r="M148" s="260" t="s">
        <v>4904</v>
      </c>
      <c r="N148" s="164" t="s">
        <v>4650</v>
      </c>
      <c r="O148" s="139" t="s">
        <v>303</v>
      </c>
      <c r="P148" s="40" t="s">
        <v>311</v>
      </c>
      <c r="Q148" s="247" t="s">
        <v>3601</v>
      </c>
      <c r="R148" s="219" t="s">
        <v>3300</v>
      </c>
      <c r="S148" s="141" t="s">
        <v>306</v>
      </c>
      <c r="T148" s="261"/>
    </row>
    <row r="149" spans="1:20" ht="58" customHeight="1">
      <c r="A149" s="249" t="s">
        <v>2659</v>
      </c>
      <c r="B149" s="42" t="s">
        <v>5</v>
      </c>
      <c r="C149" s="41" t="s">
        <v>1609</v>
      </c>
      <c r="D149" s="41" t="s">
        <v>315</v>
      </c>
      <c r="E149" s="218" t="s">
        <v>834</v>
      </c>
      <c r="F149" s="218" t="s">
        <v>4675</v>
      </c>
      <c r="G149" s="263" t="s">
        <v>4676</v>
      </c>
      <c r="H149" s="42" t="s">
        <v>3</v>
      </c>
      <c r="I149" s="266" t="s">
        <v>3394</v>
      </c>
      <c r="J149" s="251" t="s">
        <v>4263</v>
      </c>
      <c r="K149" s="165" t="s">
        <v>1025</v>
      </c>
      <c r="L149" s="260"/>
      <c r="M149" s="260"/>
      <c r="N149" s="164"/>
      <c r="O149" s="139" t="s">
        <v>303</v>
      </c>
      <c r="P149" s="40" t="s">
        <v>314</v>
      </c>
      <c r="Q149" s="247" t="s">
        <v>3601</v>
      </c>
      <c r="R149" s="219" t="s">
        <v>3336</v>
      </c>
      <c r="S149" s="141" t="s">
        <v>306</v>
      </c>
      <c r="T149" s="261"/>
    </row>
    <row r="150" spans="1:20" ht="58" customHeight="1">
      <c r="A150" s="249" t="s">
        <v>2659</v>
      </c>
      <c r="B150" s="42" t="s">
        <v>5</v>
      </c>
      <c r="C150" s="41" t="s">
        <v>1609</v>
      </c>
      <c r="D150" s="41" t="s">
        <v>288</v>
      </c>
      <c r="E150" s="218" t="s">
        <v>823</v>
      </c>
      <c r="F150" s="218" t="s">
        <v>4421</v>
      </c>
      <c r="G150" s="263" t="s">
        <v>3382</v>
      </c>
      <c r="H150" s="42" t="s">
        <v>2</v>
      </c>
      <c r="I150" s="266" t="s">
        <v>3390</v>
      </c>
      <c r="J150" s="251" t="s">
        <v>3599</v>
      </c>
      <c r="K150" s="165"/>
      <c r="L150" s="260"/>
      <c r="M150" s="260"/>
      <c r="N150" s="164"/>
      <c r="O150" s="139" t="s">
        <v>277</v>
      </c>
      <c r="P150" s="40" t="s">
        <v>287</v>
      </c>
      <c r="Q150" s="247" t="s">
        <v>3601</v>
      </c>
      <c r="R150" s="219" t="s">
        <v>3319</v>
      </c>
      <c r="S150" s="141" t="s">
        <v>280</v>
      </c>
      <c r="T150" s="261"/>
    </row>
    <row r="151" spans="1:20" ht="58" customHeight="1">
      <c r="A151" s="249" t="s">
        <v>2659</v>
      </c>
      <c r="B151" s="42" t="s">
        <v>5</v>
      </c>
      <c r="C151" s="41" t="s">
        <v>1609</v>
      </c>
      <c r="D151" s="41" t="s">
        <v>321</v>
      </c>
      <c r="E151" s="218" t="s">
        <v>835</v>
      </c>
      <c r="F151" s="218" t="s">
        <v>4422</v>
      </c>
      <c r="G151" s="263" t="s">
        <v>3382</v>
      </c>
      <c r="H151" s="42" t="s">
        <v>2</v>
      </c>
      <c r="I151" s="266" t="s">
        <v>3390</v>
      </c>
      <c r="J151" s="251" t="s">
        <v>3599</v>
      </c>
      <c r="K151" s="165"/>
      <c r="L151" s="260"/>
      <c r="M151" s="260"/>
      <c r="N151" s="164"/>
      <c r="O151" s="139" t="s">
        <v>316</v>
      </c>
      <c r="P151" s="40" t="s">
        <v>320</v>
      </c>
      <c r="Q151" s="247" t="s">
        <v>3601</v>
      </c>
      <c r="R151" s="219" t="s">
        <v>3319</v>
      </c>
      <c r="S151" s="141" t="s">
        <v>319</v>
      </c>
      <c r="T151" s="261"/>
    </row>
    <row r="152" spans="1:20" ht="58" customHeight="1">
      <c r="A152" s="249" t="s">
        <v>2659</v>
      </c>
      <c r="B152" s="42" t="s">
        <v>5</v>
      </c>
      <c r="C152" s="41" t="s">
        <v>1609</v>
      </c>
      <c r="D152" s="41" t="s">
        <v>323</v>
      </c>
      <c r="E152" s="218" t="s">
        <v>4155</v>
      </c>
      <c r="F152" s="218" t="s">
        <v>3662</v>
      </c>
      <c r="G152" s="263" t="s">
        <v>3653</v>
      </c>
      <c r="H152" s="42" t="s">
        <v>2</v>
      </c>
      <c r="I152" s="266" t="s">
        <v>3390</v>
      </c>
      <c r="J152" s="251" t="s">
        <v>3599</v>
      </c>
      <c r="K152" s="165"/>
      <c r="L152" s="260"/>
      <c r="M152" s="260"/>
      <c r="N152" s="164"/>
      <c r="O152" s="139" t="s">
        <v>316</v>
      </c>
      <c r="P152" s="40" t="s">
        <v>322</v>
      </c>
      <c r="Q152" s="247" t="s">
        <v>3601</v>
      </c>
      <c r="R152" s="219" t="s">
        <v>3337</v>
      </c>
      <c r="S152" s="141" t="s">
        <v>319</v>
      </c>
      <c r="T152" s="261"/>
    </row>
    <row r="153" spans="1:20" ht="58" customHeight="1">
      <c r="A153" s="249" t="s">
        <v>2659</v>
      </c>
      <c r="B153" s="42" t="s">
        <v>5</v>
      </c>
      <c r="C153" s="41" t="s">
        <v>1609</v>
      </c>
      <c r="D153" s="41" t="s">
        <v>325</v>
      </c>
      <c r="E153" s="218" t="s">
        <v>836</v>
      </c>
      <c r="F153" s="218" t="s">
        <v>4423</v>
      </c>
      <c r="G153" s="263" t="s">
        <v>3382</v>
      </c>
      <c r="H153" s="42" t="s">
        <v>2</v>
      </c>
      <c r="I153" s="266" t="s">
        <v>3390</v>
      </c>
      <c r="J153" s="251" t="s">
        <v>3599</v>
      </c>
      <c r="K153" s="165"/>
      <c r="L153" s="260"/>
      <c r="M153" s="260"/>
      <c r="N153" s="164"/>
      <c r="O153" s="139" t="s">
        <v>316</v>
      </c>
      <c r="P153" s="40" t="s">
        <v>324</v>
      </c>
      <c r="Q153" s="247" t="s">
        <v>3601</v>
      </c>
      <c r="R153" s="219" t="s">
        <v>3324</v>
      </c>
      <c r="S153" s="141" t="s">
        <v>319</v>
      </c>
      <c r="T153" s="261"/>
    </row>
    <row r="154" spans="1:20" ht="58" customHeight="1">
      <c r="A154" s="249" t="s">
        <v>2659</v>
      </c>
      <c r="B154" s="42" t="s">
        <v>5</v>
      </c>
      <c r="C154" s="41" t="s">
        <v>1609</v>
      </c>
      <c r="D154" s="41" t="s">
        <v>327</v>
      </c>
      <c r="E154" s="218" t="s">
        <v>837</v>
      </c>
      <c r="F154" s="218" t="s">
        <v>4424</v>
      </c>
      <c r="G154" s="263" t="s">
        <v>3382</v>
      </c>
      <c r="H154" s="42" t="s">
        <v>2</v>
      </c>
      <c r="I154" s="266" t="s">
        <v>3390</v>
      </c>
      <c r="J154" s="251" t="s">
        <v>3599</v>
      </c>
      <c r="K154" s="165"/>
      <c r="L154" s="260"/>
      <c r="M154" s="260"/>
      <c r="N154" s="164"/>
      <c r="O154" s="139" t="s">
        <v>316</v>
      </c>
      <c r="P154" s="40" t="s">
        <v>326</v>
      </c>
      <c r="Q154" s="247" t="s">
        <v>3601</v>
      </c>
      <c r="R154" s="219" t="s">
        <v>3324</v>
      </c>
      <c r="S154" s="141" t="s">
        <v>319</v>
      </c>
      <c r="T154" s="261"/>
    </row>
    <row r="155" spans="1:20" ht="58" customHeight="1">
      <c r="A155" s="249" t="s">
        <v>2659</v>
      </c>
      <c r="B155" s="42" t="s">
        <v>5</v>
      </c>
      <c r="C155" s="41" t="s">
        <v>1609</v>
      </c>
      <c r="D155" s="41" t="s">
        <v>302</v>
      </c>
      <c r="E155" s="218" t="s">
        <v>829</v>
      </c>
      <c r="F155" s="218" t="s">
        <v>5004</v>
      </c>
      <c r="G155" s="263" t="s">
        <v>5005</v>
      </c>
      <c r="H155" s="42" t="s">
        <v>2</v>
      </c>
      <c r="I155" s="266" t="s">
        <v>3390</v>
      </c>
      <c r="J155" s="251" t="s">
        <v>3599</v>
      </c>
      <c r="K155" s="165" t="s">
        <v>1025</v>
      </c>
      <c r="L155" s="260"/>
      <c r="M155" s="260"/>
      <c r="N155" s="164"/>
      <c r="O155" s="139" t="s">
        <v>289</v>
      </c>
      <c r="P155" s="40" t="s">
        <v>301</v>
      </c>
      <c r="Q155" s="247" t="s">
        <v>3601</v>
      </c>
      <c r="R155" s="219" t="s">
        <v>3300</v>
      </c>
      <c r="S155" s="141" t="s">
        <v>292</v>
      </c>
      <c r="T155" s="261" t="s">
        <v>5006</v>
      </c>
    </row>
    <row r="156" spans="1:20" ht="58" customHeight="1">
      <c r="A156" s="249" t="s">
        <v>2659</v>
      </c>
      <c r="B156" s="42" t="s">
        <v>5</v>
      </c>
      <c r="C156" s="41" t="s">
        <v>1611</v>
      </c>
      <c r="D156" s="41" t="s">
        <v>376</v>
      </c>
      <c r="E156" s="218" t="s">
        <v>853</v>
      </c>
      <c r="F156" s="218" t="s">
        <v>4425</v>
      </c>
      <c r="G156" s="263" t="s">
        <v>3386</v>
      </c>
      <c r="H156" s="42" t="s">
        <v>1599</v>
      </c>
      <c r="I156" s="266" t="s">
        <v>3392</v>
      </c>
      <c r="J156" s="251" t="s">
        <v>4264</v>
      </c>
      <c r="K156" s="165" t="s">
        <v>4928</v>
      </c>
      <c r="L156" s="260"/>
      <c r="M156" s="260"/>
      <c r="N156" s="164"/>
      <c r="O156" s="139" t="s">
        <v>374</v>
      </c>
      <c r="P156" s="40" t="s">
        <v>375</v>
      </c>
      <c r="Q156" s="247" t="s">
        <v>3601</v>
      </c>
      <c r="R156" s="219" t="s">
        <v>3326</v>
      </c>
      <c r="S156" s="141" t="s">
        <v>377</v>
      </c>
      <c r="T156" s="261"/>
    </row>
    <row r="157" spans="1:20" ht="58" customHeight="1">
      <c r="A157" s="249" t="s">
        <v>2659</v>
      </c>
      <c r="B157" s="42" t="s">
        <v>5</v>
      </c>
      <c r="C157" s="41" t="s">
        <v>1611</v>
      </c>
      <c r="D157" s="41" t="s">
        <v>379</v>
      </c>
      <c r="E157" s="218" t="s">
        <v>4156</v>
      </c>
      <c r="F157" s="218" t="s">
        <v>4426</v>
      </c>
      <c r="G157" s="263" t="s">
        <v>3385</v>
      </c>
      <c r="H157" s="42" t="s">
        <v>1599</v>
      </c>
      <c r="I157" s="266" t="s">
        <v>3392</v>
      </c>
      <c r="J157" s="251" t="s">
        <v>4265</v>
      </c>
      <c r="K157" s="165" t="s">
        <v>4636</v>
      </c>
      <c r="L157" s="260" t="s">
        <v>4804</v>
      </c>
      <c r="M157" s="260" t="s">
        <v>4805</v>
      </c>
      <c r="N157" s="164" t="s">
        <v>4649</v>
      </c>
      <c r="O157" s="139" t="s">
        <v>374</v>
      </c>
      <c r="P157" s="40" t="s">
        <v>378</v>
      </c>
      <c r="Q157" s="247" t="s">
        <v>3601</v>
      </c>
      <c r="R157" s="219" t="s">
        <v>3327</v>
      </c>
      <c r="S157" s="141" t="s">
        <v>377</v>
      </c>
      <c r="T157" s="261"/>
    </row>
    <row r="158" spans="1:20" ht="58" customHeight="1">
      <c r="A158" s="249" t="s">
        <v>2659</v>
      </c>
      <c r="B158" s="42" t="s">
        <v>5</v>
      </c>
      <c r="C158" s="41" t="s">
        <v>1611</v>
      </c>
      <c r="D158" s="41" t="s">
        <v>384</v>
      </c>
      <c r="E158" s="218" t="s">
        <v>854</v>
      </c>
      <c r="F158" s="218" t="s">
        <v>4427</v>
      </c>
      <c r="G158" s="263" t="s">
        <v>3385</v>
      </c>
      <c r="H158" s="42" t="s">
        <v>1599</v>
      </c>
      <c r="I158" s="266" t="s">
        <v>3392</v>
      </c>
      <c r="J158" s="251" t="s">
        <v>4266</v>
      </c>
      <c r="K158" s="165" t="s">
        <v>4637</v>
      </c>
      <c r="L158" s="260" t="s">
        <v>4814</v>
      </c>
      <c r="M158" s="260" t="s">
        <v>4815</v>
      </c>
      <c r="N158" s="164" t="s">
        <v>4650</v>
      </c>
      <c r="O158" s="139" t="s">
        <v>382</v>
      </c>
      <c r="P158" s="40" t="s">
        <v>383</v>
      </c>
      <c r="Q158" s="247" t="s">
        <v>3601</v>
      </c>
      <c r="R158" s="219" t="s">
        <v>3299</v>
      </c>
      <c r="S158" s="141" t="s">
        <v>385</v>
      </c>
      <c r="T158" s="261"/>
    </row>
    <row r="159" spans="1:20" ht="58" customHeight="1">
      <c r="A159" s="249" t="s">
        <v>2659</v>
      </c>
      <c r="B159" s="42" t="s">
        <v>5</v>
      </c>
      <c r="C159" s="41" t="s">
        <v>1611</v>
      </c>
      <c r="D159" s="41" t="s">
        <v>387</v>
      </c>
      <c r="E159" s="218" t="s">
        <v>4157</v>
      </c>
      <c r="F159" s="218" t="s">
        <v>4331</v>
      </c>
      <c r="G159" s="263" t="s">
        <v>4332</v>
      </c>
      <c r="H159" s="42" t="s">
        <v>2</v>
      </c>
      <c r="I159" s="266" t="s">
        <v>3390</v>
      </c>
      <c r="J159" s="251" t="s">
        <v>3599</v>
      </c>
      <c r="K159" s="165"/>
      <c r="L159" s="260"/>
      <c r="M159" s="260"/>
      <c r="N159" s="164"/>
      <c r="O159" s="139" t="s">
        <v>382</v>
      </c>
      <c r="P159" s="40" t="s">
        <v>386</v>
      </c>
      <c r="Q159" s="247" t="s">
        <v>3601</v>
      </c>
      <c r="R159" s="219" t="s">
        <v>3329</v>
      </c>
      <c r="S159" s="141" t="s">
        <v>385</v>
      </c>
      <c r="T159" s="261"/>
    </row>
    <row r="160" spans="1:20" ht="58" customHeight="1">
      <c r="A160" s="249" t="s">
        <v>2659</v>
      </c>
      <c r="B160" s="42" t="s">
        <v>5</v>
      </c>
      <c r="C160" s="41" t="s">
        <v>1611</v>
      </c>
      <c r="D160" s="41" t="s">
        <v>4584</v>
      </c>
      <c r="E160" s="218" t="s">
        <v>855</v>
      </c>
      <c r="F160" s="218" t="s">
        <v>4428</v>
      </c>
      <c r="G160" s="263" t="s">
        <v>3385</v>
      </c>
      <c r="H160" s="42" t="s">
        <v>1599</v>
      </c>
      <c r="I160" s="266" t="s">
        <v>4484</v>
      </c>
      <c r="J160" s="251" t="s">
        <v>4267</v>
      </c>
      <c r="K160" s="165" t="s">
        <v>4585</v>
      </c>
      <c r="L160" s="260" t="s">
        <v>4842</v>
      </c>
      <c r="M160" s="260" t="s">
        <v>4843</v>
      </c>
      <c r="N160" s="164" t="s">
        <v>4651</v>
      </c>
      <c r="O160" s="139" t="s">
        <v>382</v>
      </c>
      <c r="P160" s="40" t="s">
        <v>4583</v>
      </c>
      <c r="Q160" s="247" t="s">
        <v>3601</v>
      </c>
      <c r="R160" s="219" t="s">
        <v>3299</v>
      </c>
      <c r="S160" s="141" t="s">
        <v>385</v>
      </c>
      <c r="T160" s="261"/>
    </row>
    <row r="161" spans="1:20" ht="58" customHeight="1">
      <c r="A161" s="249" t="s">
        <v>2659</v>
      </c>
      <c r="B161" s="42" t="s">
        <v>5</v>
      </c>
      <c r="C161" s="41" t="s">
        <v>1611</v>
      </c>
      <c r="D161" s="41" t="s">
        <v>4586</v>
      </c>
      <c r="E161" s="218" t="s">
        <v>855</v>
      </c>
      <c r="F161" s="218" t="s">
        <v>4428</v>
      </c>
      <c r="G161" s="263" t="s">
        <v>3385</v>
      </c>
      <c r="H161" s="42" t="s">
        <v>1599</v>
      </c>
      <c r="I161" s="266" t="s">
        <v>4484</v>
      </c>
      <c r="J161" s="251" t="s">
        <v>4267</v>
      </c>
      <c r="K161" s="165" t="s">
        <v>4588</v>
      </c>
      <c r="L161" s="260" t="s">
        <v>4816</v>
      </c>
      <c r="M161" s="260" t="s">
        <v>4817</v>
      </c>
      <c r="N161" s="164" t="s">
        <v>4650</v>
      </c>
      <c r="O161" s="139" t="s">
        <v>382</v>
      </c>
      <c r="P161" s="40" t="s">
        <v>4587</v>
      </c>
      <c r="Q161" s="247" t="s">
        <v>3601</v>
      </c>
      <c r="R161" s="219" t="s">
        <v>3299</v>
      </c>
      <c r="S161" s="141" t="s">
        <v>385</v>
      </c>
      <c r="T161" s="261"/>
    </row>
    <row r="162" spans="1:20" ht="58" customHeight="1">
      <c r="A162" s="249" t="s">
        <v>2659</v>
      </c>
      <c r="B162" s="42" t="s">
        <v>5</v>
      </c>
      <c r="C162" s="41" t="s">
        <v>1611</v>
      </c>
      <c r="D162" s="41" t="s">
        <v>4590</v>
      </c>
      <c r="E162" s="218" t="s">
        <v>3607</v>
      </c>
      <c r="F162" s="218" t="s">
        <v>4429</v>
      </c>
      <c r="G162" s="263" t="s">
        <v>3385</v>
      </c>
      <c r="H162" s="42" t="s">
        <v>1599</v>
      </c>
      <c r="I162" s="266" t="s">
        <v>3392</v>
      </c>
      <c r="J162" s="251" t="s">
        <v>4268</v>
      </c>
      <c r="K162" s="165" t="s">
        <v>4591</v>
      </c>
      <c r="L162" s="260" t="s">
        <v>4844</v>
      </c>
      <c r="M162" s="260" t="s">
        <v>4845</v>
      </c>
      <c r="N162" s="164" t="s">
        <v>4651</v>
      </c>
      <c r="O162" s="139" t="s">
        <v>382</v>
      </c>
      <c r="P162" s="40" t="s">
        <v>4589</v>
      </c>
      <c r="Q162" s="247" t="s">
        <v>3601</v>
      </c>
      <c r="R162" s="219" t="s">
        <v>3380</v>
      </c>
      <c r="S162" s="141" t="s">
        <v>385</v>
      </c>
      <c r="T162" s="261"/>
    </row>
    <row r="163" spans="1:20" ht="58" customHeight="1">
      <c r="A163" s="249" t="s">
        <v>2659</v>
      </c>
      <c r="B163" s="42" t="s">
        <v>5</v>
      </c>
      <c r="C163" s="41" t="s">
        <v>1611</v>
      </c>
      <c r="D163" s="41" t="s">
        <v>4592</v>
      </c>
      <c r="E163" s="218" t="s">
        <v>3607</v>
      </c>
      <c r="F163" s="218" t="s">
        <v>4429</v>
      </c>
      <c r="G163" s="263" t="s">
        <v>3385</v>
      </c>
      <c r="H163" s="42" t="s">
        <v>1599</v>
      </c>
      <c r="I163" s="266" t="s">
        <v>3392</v>
      </c>
      <c r="J163" s="251" t="s">
        <v>4268</v>
      </c>
      <c r="K163" s="165" t="s">
        <v>4594</v>
      </c>
      <c r="L163" s="260" t="s">
        <v>4818</v>
      </c>
      <c r="M163" s="260" t="s">
        <v>4819</v>
      </c>
      <c r="N163" s="164" t="s">
        <v>4650</v>
      </c>
      <c r="O163" s="139" t="s">
        <v>382</v>
      </c>
      <c r="P163" s="40" t="s">
        <v>4593</v>
      </c>
      <c r="Q163" s="247" t="s">
        <v>3601</v>
      </c>
      <c r="R163" s="219" t="s">
        <v>3380</v>
      </c>
      <c r="S163" s="141" t="s">
        <v>385</v>
      </c>
      <c r="T163" s="261"/>
    </row>
    <row r="164" spans="1:20" ht="58" customHeight="1">
      <c r="A164" s="249" t="s">
        <v>2659</v>
      </c>
      <c r="B164" s="42" t="s">
        <v>5</v>
      </c>
      <c r="C164" s="41" t="s">
        <v>1611</v>
      </c>
      <c r="D164" s="41" t="s">
        <v>4557</v>
      </c>
      <c r="E164" s="218" t="s">
        <v>856</v>
      </c>
      <c r="F164" s="218" t="s">
        <v>4450</v>
      </c>
      <c r="G164" s="263" t="s">
        <v>3385</v>
      </c>
      <c r="H164" s="42" t="s">
        <v>1599</v>
      </c>
      <c r="I164" s="266" t="s">
        <v>3392</v>
      </c>
      <c r="J164" s="251" t="s">
        <v>4269</v>
      </c>
      <c r="K164" s="165" t="s">
        <v>4558</v>
      </c>
      <c r="L164" s="260" t="s">
        <v>4820</v>
      </c>
      <c r="M164" s="260" t="s">
        <v>4821</v>
      </c>
      <c r="N164" s="164" t="s">
        <v>4650</v>
      </c>
      <c r="O164" s="139" t="s">
        <v>382</v>
      </c>
      <c r="P164" s="40" t="s">
        <v>4556</v>
      </c>
      <c r="Q164" s="247" t="s">
        <v>3601</v>
      </c>
      <c r="R164" s="219" t="s">
        <v>3299</v>
      </c>
      <c r="S164" s="141" t="s">
        <v>385</v>
      </c>
      <c r="T164" s="261"/>
    </row>
    <row r="165" spans="1:20" ht="58" customHeight="1">
      <c r="A165" s="249" t="s">
        <v>2659</v>
      </c>
      <c r="B165" s="42" t="s">
        <v>5</v>
      </c>
      <c r="C165" s="41" t="s">
        <v>1611</v>
      </c>
      <c r="D165" s="41" t="s">
        <v>4559</v>
      </c>
      <c r="E165" s="218" t="s">
        <v>856</v>
      </c>
      <c r="F165" s="218" t="s">
        <v>4450</v>
      </c>
      <c r="G165" s="263" t="s">
        <v>3385</v>
      </c>
      <c r="H165" s="42" t="s">
        <v>1599</v>
      </c>
      <c r="I165" s="266" t="s">
        <v>3392</v>
      </c>
      <c r="J165" s="251" t="s">
        <v>4269</v>
      </c>
      <c r="K165" s="165" t="s">
        <v>4561</v>
      </c>
      <c r="L165" s="260" t="s">
        <v>4806</v>
      </c>
      <c r="M165" s="260" t="s">
        <v>4807</v>
      </c>
      <c r="N165" s="164" t="s">
        <v>4649</v>
      </c>
      <c r="O165" s="139" t="s">
        <v>382</v>
      </c>
      <c r="P165" s="40" t="s">
        <v>4560</v>
      </c>
      <c r="Q165" s="247" t="s">
        <v>3601</v>
      </c>
      <c r="R165" s="219" t="s">
        <v>3299</v>
      </c>
      <c r="S165" s="141" t="s">
        <v>385</v>
      </c>
      <c r="T165" s="261"/>
    </row>
    <row r="166" spans="1:20" ht="58" customHeight="1">
      <c r="A166" s="249" t="s">
        <v>2659</v>
      </c>
      <c r="B166" s="42" t="s">
        <v>5</v>
      </c>
      <c r="C166" s="41" t="s">
        <v>1611</v>
      </c>
      <c r="D166" s="41" t="s">
        <v>381</v>
      </c>
      <c r="E166" s="218" t="s">
        <v>4158</v>
      </c>
      <c r="F166" s="218" t="s">
        <v>3663</v>
      </c>
      <c r="G166" s="263" t="s">
        <v>3664</v>
      </c>
      <c r="H166" s="42" t="s">
        <v>1599</v>
      </c>
      <c r="I166" s="266" t="s">
        <v>3392</v>
      </c>
      <c r="J166" s="251" t="s">
        <v>3599</v>
      </c>
      <c r="K166" s="165" t="s">
        <v>4918</v>
      </c>
      <c r="L166" s="260" t="s">
        <v>4984</v>
      </c>
      <c r="M166" s="260"/>
      <c r="N166" s="164" t="s">
        <v>4649</v>
      </c>
      <c r="O166" s="139" t="s">
        <v>374</v>
      </c>
      <c r="P166" s="40" t="s">
        <v>380</v>
      </c>
      <c r="Q166" s="247" t="s">
        <v>3601</v>
      </c>
      <c r="R166" s="219" t="s">
        <v>3328</v>
      </c>
      <c r="S166" s="141" t="s">
        <v>377</v>
      </c>
      <c r="T166" s="261"/>
    </row>
    <row r="167" spans="1:20" ht="58" customHeight="1">
      <c r="A167" s="249" t="s">
        <v>2659</v>
      </c>
      <c r="B167" s="42" t="s">
        <v>5</v>
      </c>
      <c r="C167" s="41" t="s">
        <v>1611</v>
      </c>
      <c r="D167" s="41" t="s">
        <v>4596</v>
      </c>
      <c r="E167" s="218" t="s">
        <v>857</v>
      </c>
      <c r="F167" s="218" t="s">
        <v>4430</v>
      </c>
      <c r="G167" s="263" t="s">
        <v>3385</v>
      </c>
      <c r="H167" s="42" t="s">
        <v>1599</v>
      </c>
      <c r="I167" s="266" t="s">
        <v>3392</v>
      </c>
      <c r="J167" s="251" t="s">
        <v>4270</v>
      </c>
      <c r="K167" s="165" t="s">
        <v>4597</v>
      </c>
      <c r="L167" s="260" t="s">
        <v>4822</v>
      </c>
      <c r="M167" s="260" t="s">
        <v>4823</v>
      </c>
      <c r="N167" s="164" t="s">
        <v>4650</v>
      </c>
      <c r="O167" s="139" t="s">
        <v>393</v>
      </c>
      <c r="P167" s="40" t="s">
        <v>4595</v>
      </c>
      <c r="Q167" s="247" t="s">
        <v>3601</v>
      </c>
      <c r="R167" s="219" t="s">
        <v>3331</v>
      </c>
      <c r="S167" s="141" t="s">
        <v>395</v>
      </c>
      <c r="T167" s="261"/>
    </row>
    <row r="168" spans="1:20" ht="58" customHeight="1">
      <c r="A168" s="249" t="s">
        <v>2659</v>
      </c>
      <c r="B168" s="42" t="s">
        <v>5</v>
      </c>
      <c r="C168" s="41" t="s">
        <v>1611</v>
      </c>
      <c r="D168" s="41" t="s">
        <v>4598</v>
      </c>
      <c r="E168" s="218" t="s">
        <v>857</v>
      </c>
      <c r="F168" s="218" t="s">
        <v>4430</v>
      </c>
      <c r="G168" s="263" t="s">
        <v>3385</v>
      </c>
      <c r="H168" s="42" t="s">
        <v>1599</v>
      </c>
      <c r="I168" s="266" t="s">
        <v>3392</v>
      </c>
      <c r="J168" s="251" t="s">
        <v>4270</v>
      </c>
      <c r="K168" s="165" t="s">
        <v>4600</v>
      </c>
      <c r="L168" s="260" t="s">
        <v>4824</v>
      </c>
      <c r="M168" s="260" t="s">
        <v>4825</v>
      </c>
      <c r="N168" s="164" t="s">
        <v>4650</v>
      </c>
      <c r="O168" s="139" t="s">
        <v>393</v>
      </c>
      <c r="P168" s="40" t="s">
        <v>4599</v>
      </c>
      <c r="Q168" s="247" t="s">
        <v>3601</v>
      </c>
      <c r="R168" s="219" t="s">
        <v>3331</v>
      </c>
      <c r="S168" s="141" t="s">
        <v>395</v>
      </c>
      <c r="T168" s="261"/>
    </row>
    <row r="169" spans="1:20" ht="58" customHeight="1">
      <c r="A169" s="249" t="s">
        <v>2659</v>
      </c>
      <c r="B169" s="42" t="s">
        <v>5</v>
      </c>
      <c r="C169" s="41" t="s">
        <v>1611</v>
      </c>
      <c r="D169" s="41" t="s">
        <v>4645</v>
      </c>
      <c r="E169" s="218" t="s">
        <v>857</v>
      </c>
      <c r="F169" s="218" t="s">
        <v>4430</v>
      </c>
      <c r="G169" s="263" t="s">
        <v>3385</v>
      </c>
      <c r="H169" s="42" t="s">
        <v>1599</v>
      </c>
      <c r="I169" s="266" t="s">
        <v>3392</v>
      </c>
      <c r="J169" s="251" t="s">
        <v>4270</v>
      </c>
      <c r="K169" s="165" t="s">
        <v>4639</v>
      </c>
      <c r="L169" s="260" t="s">
        <v>4846</v>
      </c>
      <c r="M169" s="260" t="s">
        <v>4847</v>
      </c>
      <c r="N169" s="164" t="s">
        <v>4651</v>
      </c>
      <c r="O169" s="139" t="s">
        <v>393</v>
      </c>
      <c r="P169" s="40" t="s">
        <v>4646</v>
      </c>
      <c r="Q169" s="247" t="s">
        <v>3601</v>
      </c>
      <c r="R169" s="219" t="s">
        <v>3331</v>
      </c>
      <c r="S169" s="141" t="s">
        <v>395</v>
      </c>
      <c r="T169" s="261"/>
    </row>
    <row r="170" spans="1:20" ht="58" customHeight="1">
      <c r="A170" s="249" t="s">
        <v>2659</v>
      </c>
      <c r="B170" s="42" t="s">
        <v>5</v>
      </c>
      <c r="C170" s="41" t="s">
        <v>1611</v>
      </c>
      <c r="D170" s="41" t="s">
        <v>392</v>
      </c>
      <c r="E170" s="218" t="s">
        <v>4159</v>
      </c>
      <c r="F170" s="218" t="s">
        <v>4431</v>
      </c>
      <c r="G170" s="263" t="s">
        <v>3386</v>
      </c>
      <c r="H170" s="42" t="s">
        <v>1599</v>
      </c>
      <c r="I170" s="266" t="s">
        <v>3392</v>
      </c>
      <c r="J170" s="251" t="s">
        <v>4271</v>
      </c>
      <c r="K170" s="165" t="s">
        <v>4928</v>
      </c>
      <c r="L170" s="260"/>
      <c r="M170" s="260"/>
      <c r="N170" s="164"/>
      <c r="O170" s="139" t="s">
        <v>382</v>
      </c>
      <c r="P170" s="40" t="s">
        <v>391</v>
      </c>
      <c r="Q170" s="247" t="s">
        <v>3601</v>
      </c>
      <c r="R170" s="219" t="s">
        <v>3330</v>
      </c>
      <c r="S170" s="141" t="s">
        <v>385</v>
      </c>
      <c r="T170" s="261"/>
    </row>
    <row r="171" spans="1:20" ht="58" customHeight="1">
      <c r="A171" s="249" t="s">
        <v>2659</v>
      </c>
      <c r="B171" s="42" t="s">
        <v>5</v>
      </c>
      <c r="C171" s="41" t="s">
        <v>1611</v>
      </c>
      <c r="D171" s="41" t="s">
        <v>397</v>
      </c>
      <c r="E171" s="218" t="s">
        <v>4160</v>
      </c>
      <c r="F171" s="218" t="s">
        <v>3689</v>
      </c>
      <c r="G171" s="263" t="s">
        <v>4943</v>
      </c>
      <c r="H171" s="42" t="s">
        <v>2</v>
      </c>
      <c r="I171" s="266" t="s">
        <v>3390</v>
      </c>
      <c r="J171" s="251" t="s">
        <v>3599</v>
      </c>
      <c r="K171" s="165"/>
      <c r="L171" s="260"/>
      <c r="M171" s="260"/>
      <c r="N171" s="164"/>
      <c r="O171" s="139" t="s">
        <v>393</v>
      </c>
      <c r="P171" s="40" t="s">
        <v>396</v>
      </c>
      <c r="Q171" s="247" t="s">
        <v>3601</v>
      </c>
      <c r="R171" s="219" t="s">
        <v>3343</v>
      </c>
      <c r="S171" s="141" t="s">
        <v>395</v>
      </c>
      <c r="T171" s="261"/>
    </row>
    <row r="172" spans="1:20" ht="58" customHeight="1">
      <c r="A172" s="249" t="s">
        <v>2659</v>
      </c>
      <c r="B172" s="42" t="s">
        <v>5</v>
      </c>
      <c r="C172" s="41" t="s">
        <v>1610</v>
      </c>
      <c r="D172" s="41" t="s">
        <v>349</v>
      </c>
      <c r="E172" s="218" t="s">
        <v>843</v>
      </c>
      <c r="F172" s="218" t="s">
        <v>4432</v>
      </c>
      <c r="G172" s="263" t="s">
        <v>3386</v>
      </c>
      <c r="H172" s="42" t="s">
        <v>1599</v>
      </c>
      <c r="I172" s="266" t="s">
        <v>3392</v>
      </c>
      <c r="J172" s="251" t="s">
        <v>4272</v>
      </c>
      <c r="K172" s="165" t="s">
        <v>4928</v>
      </c>
      <c r="L172" s="260"/>
      <c r="M172" s="260"/>
      <c r="N172" s="164"/>
      <c r="O172" s="139" t="s">
        <v>347</v>
      </c>
      <c r="P172" s="40" t="s">
        <v>348</v>
      </c>
      <c r="Q172" s="247" t="s">
        <v>3601</v>
      </c>
      <c r="R172" s="219" t="s">
        <v>3300</v>
      </c>
      <c r="S172" s="141" t="s">
        <v>350</v>
      </c>
      <c r="T172" s="261"/>
    </row>
    <row r="173" spans="1:20" ht="58" customHeight="1">
      <c r="A173" s="249" t="s">
        <v>2659</v>
      </c>
      <c r="B173" s="42" t="s">
        <v>5</v>
      </c>
      <c r="C173" s="41" t="s">
        <v>1610</v>
      </c>
      <c r="D173" s="41" t="s">
        <v>352</v>
      </c>
      <c r="E173" s="218" t="s">
        <v>844</v>
      </c>
      <c r="F173" s="218" t="s">
        <v>4433</v>
      </c>
      <c r="G173" s="263" t="s">
        <v>3386</v>
      </c>
      <c r="H173" s="42" t="s">
        <v>1599</v>
      </c>
      <c r="I173" s="266" t="s">
        <v>3392</v>
      </c>
      <c r="J173" s="251" t="s">
        <v>4273</v>
      </c>
      <c r="K173" s="165" t="s">
        <v>4928</v>
      </c>
      <c r="L173" s="260"/>
      <c r="M173" s="260"/>
      <c r="N173" s="164"/>
      <c r="O173" s="139" t="s">
        <v>347</v>
      </c>
      <c r="P173" s="40" t="s">
        <v>351</v>
      </c>
      <c r="Q173" s="247" t="s">
        <v>3601</v>
      </c>
      <c r="R173" s="219" t="s">
        <v>3300</v>
      </c>
      <c r="S173" s="141" t="s">
        <v>350</v>
      </c>
      <c r="T173" s="261"/>
    </row>
    <row r="174" spans="1:20" ht="58" customHeight="1">
      <c r="A174" s="249" t="s">
        <v>2659</v>
      </c>
      <c r="B174" s="42" t="s">
        <v>5</v>
      </c>
      <c r="C174" s="41" t="s">
        <v>1610</v>
      </c>
      <c r="D174" s="41" t="s">
        <v>354</v>
      </c>
      <c r="E174" s="218" t="s">
        <v>845</v>
      </c>
      <c r="F174" s="218" t="s">
        <v>355</v>
      </c>
      <c r="G174" s="263" t="s">
        <v>3386</v>
      </c>
      <c r="H174" s="42" t="s">
        <v>1599</v>
      </c>
      <c r="I174" s="266" t="s">
        <v>3392</v>
      </c>
      <c r="J174" s="251" t="s">
        <v>4274</v>
      </c>
      <c r="K174" s="165" t="s">
        <v>4928</v>
      </c>
      <c r="L174" s="260"/>
      <c r="M174" s="260"/>
      <c r="N174" s="164"/>
      <c r="O174" s="139" t="s">
        <v>347</v>
      </c>
      <c r="P174" s="40" t="s">
        <v>353</v>
      </c>
      <c r="Q174" s="247" t="s">
        <v>3601</v>
      </c>
      <c r="R174" s="219" t="s">
        <v>3300</v>
      </c>
      <c r="S174" s="141" t="s">
        <v>350</v>
      </c>
      <c r="T174" s="261"/>
    </row>
    <row r="175" spans="1:20" ht="58" customHeight="1">
      <c r="A175" s="249" t="s">
        <v>2659</v>
      </c>
      <c r="B175" s="42" t="s">
        <v>5</v>
      </c>
      <c r="C175" s="41" t="s">
        <v>1610</v>
      </c>
      <c r="D175" s="41" t="s">
        <v>357</v>
      </c>
      <c r="E175" s="218" t="s">
        <v>846</v>
      </c>
      <c r="F175" s="218" t="s">
        <v>4434</v>
      </c>
      <c r="G175" s="263" t="s">
        <v>3386</v>
      </c>
      <c r="H175" s="42" t="s">
        <v>1599</v>
      </c>
      <c r="I175" s="266" t="s">
        <v>3392</v>
      </c>
      <c r="J175" s="251" t="s">
        <v>4275</v>
      </c>
      <c r="K175" s="165" t="s">
        <v>4928</v>
      </c>
      <c r="L175" s="260"/>
      <c r="M175" s="260"/>
      <c r="N175" s="164"/>
      <c r="O175" s="139" t="s">
        <v>347</v>
      </c>
      <c r="P175" s="40" t="s">
        <v>356</v>
      </c>
      <c r="Q175" s="247" t="s">
        <v>3601</v>
      </c>
      <c r="R175" s="219" t="s">
        <v>3300</v>
      </c>
      <c r="S175" s="141" t="s">
        <v>350</v>
      </c>
      <c r="T175" s="261"/>
    </row>
    <row r="176" spans="1:20" ht="58" customHeight="1">
      <c r="A176" s="249" t="s">
        <v>2659</v>
      </c>
      <c r="B176" s="42" t="s">
        <v>5</v>
      </c>
      <c r="C176" s="41" t="s">
        <v>1610</v>
      </c>
      <c r="D176" s="41" t="s">
        <v>360</v>
      </c>
      <c r="E176" s="218" t="s">
        <v>847</v>
      </c>
      <c r="F176" s="218" t="s">
        <v>4435</v>
      </c>
      <c r="G176" s="263" t="s">
        <v>3386</v>
      </c>
      <c r="H176" s="42" t="s">
        <v>1599</v>
      </c>
      <c r="I176" s="266" t="s">
        <v>3392</v>
      </c>
      <c r="J176" s="251" t="s">
        <v>4276</v>
      </c>
      <c r="K176" s="165" t="s">
        <v>4928</v>
      </c>
      <c r="L176" s="260"/>
      <c r="M176" s="260"/>
      <c r="N176" s="164"/>
      <c r="O176" s="139" t="s">
        <v>358</v>
      </c>
      <c r="P176" s="40" t="s">
        <v>359</v>
      </c>
      <c r="Q176" s="247" t="s">
        <v>3601</v>
      </c>
      <c r="R176" s="219" t="s">
        <v>3300</v>
      </c>
      <c r="S176" s="141" t="s">
        <v>361</v>
      </c>
      <c r="T176" s="261"/>
    </row>
    <row r="177" spans="1:20" ht="58" customHeight="1">
      <c r="A177" s="249" t="s">
        <v>2659</v>
      </c>
      <c r="B177" s="42" t="s">
        <v>5</v>
      </c>
      <c r="C177" s="41" t="s">
        <v>1610</v>
      </c>
      <c r="D177" s="41" t="s">
        <v>4602</v>
      </c>
      <c r="E177" s="218" t="s">
        <v>848</v>
      </c>
      <c r="F177" s="218" t="s">
        <v>4436</v>
      </c>
      <c r="G177" s="263" t="s">
        <v>3385</v>
      </c>
      <c r="H177" s="42" t="s">
        <v>1599</v>
      </c>
      <c r="I177" s="266" t="s">
        <v>4484</v>
      </c>
      <c r="J177" s="251" t="s">
        <v>4277</v>
      </c>
      <c r="K177" s="165" t="s">
        <v>4603</v>
      </c>
      <c r="L177" s="260" t="s">
        <v>4826</v>
      </c>
      <c r="M177" s="260" t="s">
        <v>4827</v>
      </c>
      <c r="N177" s="164" t="s">
        <v>4650</v>
      </c>
      <c r="O177" s="139" t="s">
        <v>358</v>
      </c>
      <c r="P177" s="40" t="s">
        <v>4601</v>
      </c>
      <c r="Q177" s="247" t="s">
        <v>3601</v>
      </c>
      <c r="R177" s="219" t="s">
        <v>3299</v>
      </c>
      <c r="S177" s="141" t="s">
        <v>361</v>
      </c>
      <c r="T177" s="261"/>
    </row>
    <row r="178" spans="1:20" ht="58" customHeight="1">
      <c r="A178" s="249" t="s">
        <v>2659</v>
      </c>
      <c r="B178" s="42" t="s">
        <v>5</v>
      </c>
      <c r="C178" s="41" t="s">
        <v>1610</v>
      </c>
      <c r="D178" s="41" t="s">
        <v>4604</v>
      </c>
      <c r="E178" s="218" t="s">
        <v>848</v>
      </c>
      <c r="F178" s="218" t="s">
        <v>4436</v>
      </c>
      <c r="G178" s="263" t="s">
        <v>3385</v>
      </c>
      <c r="H178" s="42" t="s">
        <v>1599</v>
      </c>
      <c r="I178" s="266" t="s">
        <v>4484</v>
      </c>
      <c r="J178" s="251" t="s">
        <v>4277</v>
      </c>
      <c r="K178" s="165" t="s">
        <v>4606</v>
      </c>
      <c r="L178" s="260" t="s">
        <v>4828</v>
      </c>
      <c r="M178" s="260" t="s">
        <v>4829</v>
      </c>
      <c r="N178" s="164" t="s">
        <v>4650</v>
      </c>
      <c r="O178" s="139" t="s">
        <v>358</v>
      </c>
      <c r="P178" s="40" t="s">
        <v>4605</v>
      </c>
      <c r="Q178" s="247" t="s">
        <v>3601</v>
      </c>
      <c r="R178" s="219" t="s">
        <v>3299</v>
      </c>
      <c r="S178" s="141" t="s">
        <v>361</v>
      </c>
      <c r="T178" s="261"/>
    </row>
    <row r="179" spans="1:20" ht="58" customHeight="1">
      <c r="A179" s="249" t="s">
        <v>2659</v>
      </c>
      <c r="B179" s="42" t="s">
        <v>5</v>
      </c>
      <c r="C179" s="41" t="s">
        <v>1610</v>
      </c>
      <c r="D179" s="41" t="s">
        <v>4608</v>
      </c>
      <c r="E179" s="218" t="s">
        <v>849</v>
      </c>
      <c r="F179" s="218" t="s">
        <v>364</v>
      </c>
      <c r="G179" s="263" t="s">
        <v>3385</v>
      </c>
      <c r="H179" s="42" t="s">
        <v>1599</v>
      </c>
      <c r="I179" s="266" t="s">
        <v>4484</v>
      </c>
      <c r="J179" s="251" t="s">
        <v>4278</v>
      </c>
      <c r="K179" s="165" t="s">
        <v>4609</v>
      </c>
      <c r="L179" s="260" t="s">
        <v>4830</v>
      </c>
      <c r="M179" s="260" t="s">
        <v>4831</v>
      </c>
      <c r="N179" s="164" t="s">
        <v>4650</v>
      </c>
      <c r="O179" s="139" t="s">
        <v>358</v>
      </c>
      <c r="P179" s="40" t="s">
        <v>4607</v>
      </c>
      <c r="Q179" s="247" t="s">
        <v>3601</v>
      </c>
      <c r="R179" s="219" t="s">
        <v>3299</v>
      </c>
      <c r="S179" s="141" t="s">
        <v>361</v>
      </c>
      <c r="T179" s="261"/>
    </row>
    <row r="180" spans="1:20" ht="58" customHeight="1">
      <c r="A180" s="249" t="s">
        <v>2659</v>
      </c>
      <c r="B180" s="42" t="s">
        <v>5</v>
      </c>
      <c r="C180" s="41" t="s">
        <v>1610</v>
      </c>
      <c r="D180" s="41" t="s">
        <v>4610</v>
      </c>
      <c r="E180" s="218" t="s">
        <v>849</v>
      </c>
      <c r="F180" s="218" t="s">
        <v>364</v>
      </c>
      <c r="G180" s="263" t="s">
        <v>3385</v>
      </c>
      <c r="H180" s="42" t="s">
        <v>1599</v>
      </c>
      <c r="I180" s="266" t="s">
        <v>4484</v>
      </c>
      <c r="J180" s="251" t="s">
        <v>4278</v>
      </c>
      <c r="K180" s="165" t="s">
        <v>4612</v>
      </c>
      <c r="L180" s="260" t="s">
        <v>4832</v>
      </c>
      <c r="M180" s="260" t="s">
        <v>4833</v>
      </c>
      <c r="N180" s="164" t="s">
        <v>4650</v>
      </c>
      <c r="O180" s="139" t="s">
        <v>358</v>
      </c>
      <c r="P180" s="40" t="s">
        <v>4611</v>
      </c>
      <c r="Q180" s="247" t="s">
        <v>3601</v>
      </c>
      <c r="R180" s="219" t="s">
        <v>3299</v>
      </c>
      <c r="S180" s="141" t="s">
        <v>361</v>
      </c>
      <c r="T180" s="261"/>
    </row>
    <row r="181" spans="1:20" ht="58" customHeight="1">
      <c r="A181" s="249" t="s">
        <v>2659</v>
      </c>
      <c r="B181" s="42" t="s">
        <v>5</v>
      </c>
      <c r="C181" s="41" t="s">
        <v>1610</v>
      </c>
      <c r="D181" s="41" t="s">
        <v>4563</v>
      </c>
      <c r="E181" s="218" t="s">
        <v>851</v>
      </c>
      <c r="F181" s="218" t="s">
        <v>4437</v>
      </c>
      <c r="G181" s="263" t="s">
        <v>3385</v>
      </c>
      <c r="H181" s="42" t="s">
        <v>1599</v>
      </c>
      <c r="I181" s="266" t="s">
        <v>3392</v>
      </c>
      <c r="J181" s="251" t="s">
        <v>4279</v>
      </c>
      <c r="K181" s="165" t="s">
        <v>4564</v>
      </c>
      <c r="L181" s="260" t="s">
        <v>4808</v>
      </c>
      <c r="M181" s="260" t="s">
        <v>4809</v>
      </c>
      <c r="N181" s="164" t="s">
        <v>4649</v>
      </c>
      <c r="O181" s="139" t="s">
        <v>367</v>
      </c>
      <c r="P181" s="40" t="s">
        <v>4562</v>
      </c>
      <c r="Q181" s="247" t="s">
        <v>3601</v>
      </c>
      <c r="R181" s="219" t="s">
        <v>3299</v>
      </c>
      <c r="S181" s="141" t="s">
        <v>369</v>
      </c>
      <c r="T181" s="261"/>
    </row>
    <row r="182" spans="1:20" ht="58" customHeight="1">
      <c r="A182" s="249" t="s">
        <v>2659</v>
      </c>
      <c r="B182" s="42" t="s">
        <v>5</v>
      </c>
      <c r="C182" s="41" t="s">
        <v>1610</v>
      </c>
      <c r="D182" s="41" t="s">
        <v>4565</v>
      </c>
      <c r="E182" s="218" t="s">
        <v>851</v>
      </c>
      <c r="F182" s="218" t="s">
        <v>4437</v>
      </c>
      <c r="G182" s="263" t="s">
        <v>3385</v>
      </c>
      <c r="H182" s="42" t="s">
        <v>1599</v>
      </c>
      <c r="I182" s="266" t="s">
        <v>3392</v>
      </c>
      <c r="J182" s="251" t="s">
        <v>4279</v>
      </c>
      <c r="K182" s="165" t="s">
        <v>4567</v>
      </c>
      <c r="L182" s="260" t="s">
        <v>4834</v>
      </c>
      <c r="M182" s="260" t="s">
        <v>4835</v>
      </c>
      <c r="N182" s="164" t="s">
        <v>4650</v>
      </c>
      <c r="O182" s="139" t="s">
        <v>367</v>
      </c>
      <c r="P182" s="40" t="s">
        <v>4566</v>
      </c>
      <c r="Q182" s="247" t="s">
        <v>3601</v>
      </c>
      <c r="R182" s="219" t="s">
        <v>3299</v>
      </c>
      <c r="S182" s="141" t="s">
        <v>369</v>
      </c>
      <c r="T182" s="261"/>
    </row>
    <row r="183" spans="1:20" ht="58" customHeight="1">
      <c r="A183" s="249" t="s">
        <v>2659</v>
      </c>
      <c r="B183" s="42" t="s">
        <v>5</v>
      </c>
      <c r="C183" s="41" t="s">
        <v>1610</v>
      </c>
      <c r="D183" s="41" t="s">
        <v>371</v>
      </c>
      <c r="E183" s="218" t="s">
        <v>852</v>
      </c>
      <c r="F183" s="218" t="s">
        <v>4438</v>
      </c>
      <c r="G183" s="263" t="s">
        <v>3386</v>
      </c>
      <c r="H183" s="42" t="s">
        <v>1599</v>
      </c>
      <c r="I183" s="266" t="s">
        <v>3392</v>
      </c>
      <c r="J183" s="251" t="s">
        <v>4280</v>
      </c>
      <c r="K183" s="165" t="s">
        <v>4905</v>
      </c>
      <c r="L183" s="260" t="s">
        <v>4906</v>
      </c>
      <c r="M183" s="260" t="s">
        <v>4907</v>
      </c>
      <c r="N183" s="164" t="s">
        <v>4651</v>
      </c>
      <c r="O183" s="139" t="s">
        <v>367</v>
      </c>
      <c r="P183" s="40" t="s">
        <v>370</v>
      </c>
      <c r="Q183" s="247" t="s">
        <v>3601</v>
      </c>
      <c r="R183" s="219" t="s">
        <v>3300</v>
      </c>
      <c r="S183" s="141" t="s">
        <v>369</v>
      </c>
      <c r="T183" s="261"/>
    </row>
    <row r="184" spans="1:20" ht="58" customHeight="1">
      <c r="A184" s="249" t="s">
        <v>2659</v>
      </c>
      <c r="B184" s="42" t="s">
        <v>5</v>
      </c>
      <c r="C184" s="41" t="s">
        <v>1610</v>
      </c>
      <c r="D184" s="41" t="s">
        <v>366</v>
      </c>
      <c r="E184" s="218" t="s">
        <v>850</v>
      </c>
      <c r="F184" s="218" t="s">
        <v>5007</v>
      </c>
      <c r="G184" s="263" t="s">
        <v>5008</v>
      </c>
      <c r="H184" s="42" t="s">
        <v>3</v>
      </c>
      <c r="I184" s="266" t="s">
        <v>3394</v>
      </c>
      <c r="J184" s="251" t="s">
        <v>4281</v>
      </c>
      <c r="K184" s="165" t="s">
        <v>1025</v>
      </c>
      <c r="L184" s="260"/>
      <c r="M184" s="260"/>
      <c r="N184" s="164"/>
      <c r="O184" s="139" t="s">
        <v>358</v>
      </c>
      <c r="P184" s="40" t="s">
        <v>365</v>
      </c>
      <c r="Q184" s="247" t="s">
        <v>3601</v>
      </c>
      <c r="R184" s="219" t="s">
        <v>3300</v>
      </c>
      <c r="S184" s="141" t="s">
        <v>361</v>
      </c>
      <c r="T184" s="261" t="s">
        <v>5009</v>
      </c>
    </row>
    <row r="185" spans="1:20" ht="58" customHeight="1">
      <c r="A185" s="249" t="s">
        <v>2659</v>
      </c>
      <c r="B185" s="42" t="s">
        <v>5</v>
      </c>
      <c r="C185" s="41" t="s">
        <v>1610</v>
      </c>
      <c r="D185" s="41" t="s">
        <v>373</v>
      </c>
      <c r="E185" s="218" t="s">
        <v>3325</v>
      </c>
      <c r="F185" s="218" t="s">
        <v>4439</v>
      </c>
      <c r="G185" s="263" t="s">
        <v>3386</v>
      </c>
      <c r="H185" s="42" t="s">
        <v>1599</v>
      </c>
      <c r="I185" s="266" t="s">
        <v>3392</v>
      </c>
      <c r="J185" s="251" t="s">
        <v>4282</v>
      </c>
      <c r="K185" s="165" t="s">
        <v>4910</v>
      </c>
      <c r="L185" s="260" t="s">
        <v>4912</v>
      </c>
      <c r="M185" s="260"/>
      <c r="N185" s="164" t="s">
        <v>4650</v>
      </c>
      <c r="O185" s="139" t="s">
        <v>367</v>
      </c>
      <c r="P185" s="40" t="s">
        <v>372</v>
      </c>
      <c r="Q185" s="247" t="s">
        <v>3601</v>
      </c>
      <c r="R185" s="219" t="s">
        <v>3300</v>
      </c>
      <c r="S185" s="141" t="s">
        <v>369</v>
      </c>
      <c r="T185" s="261"/>
    </row>
    <row r="186" spans="1:20" ht="58" customHeight="1">
      <c r="A186" s="249" t="s">
        <v>2659</v>
      </c>
      <c r="B186" s="42" t="s">
        <v>5</v>
      </c>
      <c r="C186" s="41" t="s">
        <v>1612</v>
      </c>
      <c r="D186" s="41" t="s">
        <v>400</v>
      </c>
      <c r="E186" s="218" t="s">
        <v>4161</v>
      </c>
      <c r="F186" s="218" t="s">
        <v>4440</v>
      </c>
      <c r="G186" s="263" t="s">
        <v>4944</v>
      </c>
      <c r="H186" s="42" t="s">
        <v>3</v>
      </c>
      <c r="I186" s="266" t="s">
        <v>1616</v>
      </c>
      <c r="J186" s="251" t="s">
        <v>3599</v>
      </c>
      <c r="K186" s="165"/>
      <c r="L186" s="260"/>
      <c r="M186" s="260"/>
      <c r="N186" s="164"/>
      <c r="O186" s="139" t="s">
        <v>398</v>
      </c>
      <c r="P186" s="40" t="s">
        <v>399</v>
      </c>
      <c r="Q186" s="247" t="s">
        <v>3601</v>
      </c>
      <c r="R186" s="219" t="s">
        <v>3345</v>
      </c>
      <c r="S186" s="141" t="s">
        <v>401</v>
      </c>
      <c r="T186" s="261"/>
    </row>
    <row r="187" spans="1:20" ht="58" customHeight="1">
      <c r="A187" s="249" t="s">
        <v>2659</v>
      </c>
      <c r="B187" s="42" t="s">
        <v>5</v>
      </c>
      <c r="C187" s="41" t="s">
        <v>1612</v>
      </c>
      <c r="D187" s="41" t="s">
        <v>403</v>
      </c>
      <c r="E187" s="218" t="s">
        <v>4162</v>
      </c>
      <c r="F187" s="218" t="s">
        <v>3690</v>
      </c>
      <c r="G187" s="263" t="s">
        <v>4945</v>
      </c>
      <c r="H187" s="42" t="s">
        <v>3</v>
      </c>
      <c r="I187" s="266" t="s">
        <v>3394</v>
      </c>
      <c r="J187" s="251" t="s">
        <v>3599</v>
      </c>
      <c r="K187" s="165"/>
      <c r="L187" s="260"/>
      <c r="M187" s="260"/>
      <c r="N187" s="164"/>
      <c r="O187" s="139" t="s">
        <v>398</v>
      </c>
      <c r="P187" s="40" t="s">
        <v>402</v>
      </c>
      <c r="Q187" s="247" t="s">
        <v>3601</v>
      </c>
      <c r="R187" s="219" t="s">
        <v>3344</v>
      </c>
      <c r="S187" s="141" t="s">
        <v>401</v>
      </c>
      <c r="T187" s="261"/>
    </row>
    <row r="188" spans="1:20" ht="58" customHeight="1">
      <c r="A188" s="249" t="s">
        <v>2659</v>
      </c>
      <c r="B188" s="42" t="s">
        <v>5</v>
      </c>
      <c r="C188" s="41" t="s">
        <v>1612</v>
      </c>
      <c r="D188" s="41" t="s">
        <v>405</v>
      </c>
      <c r="E188" s="218" t="s">
        <v>858</v>
      </c>
      <c r="F188" s="218" t="s">
        <v>3665</v>
      </c>
      <c r="G188" s="263" t="s">
        <v>3666</v>
      </c>
      <c r="H188" s="42" t="s">
        <v>2</v>
      </c>
      <c r="I188" s="266" t="s">
        <v>3390</v>
      </c>
      <c r="J188" s="251" t="s">
        <v>3599</v>
      </c>
      <c r="K188" s="165"/>
      <c r="L188" s="260"/>
      <c r="M188" s="260"/>
      <c r="N188" s="164"/>
      <c r="O188" s="139" t="s">
        <v>398</v>
      </c>
      <c r="P188" s="40" t="s">
        <v>404</v>
      </c>
      <c r="Q188" s="247" t="s">
        <v>3601</v>
      </c>
      <c r="R188" s="219" t="s">
        <v>445</v>
      </c>
      <c r="S188" s="141" t="s">
        <v>401</v>
      </c>
      <c r="T188" s="261"/>
    </row>
    <row r="189" spans="1:20" ht="58" customHeight="1">
      <c r="A189" s="249" t="s">
        <v>2659</v>
      </c>
      <c r="B189" s="42" t="s">
        <v>5</v>
      </c>
      <c r="C189" s="41" t="s">
        <v>1612</v>
      </c>
      <c r="D189" s="41" t="s">
        <v>407</v>
      </c>
      <c r="E189" s="218" t="s">
        <v>4163</v>
      </c>
      <c r="F189" s="218" t="s">
        <v>4454</v>
      </c>
      <c r="G189" s="263" t="s">
        <v>3667</v>
      </c>
      <c r="H189" s="42" t="s">
        <v>1025</v>
      </c>
      <c r="I189" s="266" t="s">
        <v>3391</v>
      </c>
      <c r="J189" s="251" t="s">
        <v>3599</v>
      </c>
      <c r="K189" s="165"/>
      <c r="L189" s="260"/>
      <c r="M189" s="260"/>
      <c r="N189" s="164"/>
      <c r="O189" s="139" t="s">
        <v>398</v>
      </c>
      <c r="P189" s="40" t="s">
        <v>406</v>
      </c>
      <c r="Q189" s="247" t="s">
        <v>3601</v>
      </c>
      <c r="R189" s="219" t="s">
        <v>3346</v>
      </c>
      <c r="S189" s="141" t="s">
        <v>401</v>
      </c>
      <c r="T189" s="261"/>
    </row>
    <row r="190" spans="1:20" ht="58" customHeight="1">
      <c r="A190" s="249" t="s">
        <v>2659</v>
      </c>
      <c r="B190" s="42" t="s">
        <v>5</v>
      </c>
      <c r="C190" s="41" t="s">
        <v>1612</v>
      </c>
      <c r="D190" s="41" t="s">
        <v>409</v>
      </c>
      <c r="E190" s="218" t="s">
        <v>4164</v>
      </c>
      <c r="F190" s="218" t="s">
        <v>3691</v>
      </c>
      <c r="G190" s="263" t="s">
        <v>4946</v>
      </c>
      <c r="H190" s="42" t="s">
        <v>3</v>
      </c>
      <c r="I190" s="266" t="s">
        <v>3394</v>
      </c>
      <c r="J190" s="251" t="s">
        <v>3599</v>
      </c>
      <c r="K190" s="165"/>
      <c r="L190" s="260"/>
      <c r="M190" s="260"/>
      <c r="N190" s="164"/>
      <c r="O190" s="139" t="s">
        <v>398</v>
      </c>
      <c r="P190" s="40" t="s">
        <v>408</v>
      </c>
      <c r="Q190" s="247" t="s">
        <v>3601</v>
      </c>
      <c r="R190" s="219" t="s">
        <v>3347</v>
      </c>
      <c r="S190" s="141" t="s">
        <v>401</v>
      </c>
      <c r="T190" s="261"/>
    </row>
    <row r="191" spans="1:20" ht="58" customHeight="1">
      <c r="A191" s="249" t="s">
        <v>2659</v>
      </c>
      <c r="B191" s="42" t="s">
        <v>5</v>
      </c>
      <c r="C191" s="41" t="s">
        <v>1612</v>
      </c>
      <c r="D191" s="41" t="s">
        <v>411</v>
      </c>
      <c r="E191" s="218" t="s">
        <v>4165</v>
      </c>
      <c r="F191" s="218" t="s">
        <v>3692</v>
      </c>
      <c r="G191" s="263" t="s">
        <v>3693</v>
      </c>
      <c r="H191" s="42" t="s">
        <v>3</v>
      </c>
      <c r="I191" s="266" t="s">
        <v>3394</v>
      </c>
      <c r="J191" s="251" t="s">
        <v>3599</v>
      </c>
      <c r="K191" s="165"/>
      <c r="L191" s="260"/>
      <c r="M191" s="260"/>
      <c r="N191" s="164"/>
      <c r="O191" s="139" t="s">
        <v>398</v>
      </c>
      <c r="P191" s="40" t="s">
        <v>410</v>
      </c>
      <c r="Q191" s="247" t="s">
        <v>3601</v>
      </c>
      <c r="R191" s="219" t="s">
        <v>3348</v>
      </c>
      <c r="S191" s="141" t="s">
        <v>401</v>
      </c>
      <c r="T191" s="261"/>
    </row>
    <row r="192" spans="1:20" ht="58" customHeight="1">
      <c r="A192" s="249" t="s">
        <v>2659</v>
      </c>
      <c r="B192" s="42" t="s">
        <v>5</v>
      </c>
      <c r="C192" s="41" t="s">
        <v>1612</v>
      </c>
      <c r="D192" s="41" t="s">
        <v>413</v>
      </c>
      <c r="E192" s="218" t="s">
        <v>4166</v>
      </c>
      <c r="F192" s="218" t="s">
        <v>3668</v>
      </c>
      <c r="G192" s="263" t="s">
        <v>4947</v>
      </c>
      <c r="H192" s="42" t="s">
        <v>2</v>
      </c>
      <c r="I192" s="266" t="s">
        <v>3390</v>
      </c>
      <c r="J192" s="251" t="s">
        <v>3599</v>
      </c>
      <c r="K192" s="165"/>
      <c r="L192" s="260"/>
      <c r="M192" s="260"/>
      <c r="N192" s="164"/>
      <c r="O192" s="139" t="s">
        <v>398</v>
      </c>
      <c r="P192" s="40" t="s">
        <v>412</v>
      </c>
      <c r="Q192" s="247" t="s">
        <v>3601</v>
      </c>
      <c r="R192" s="219" t="s">
        <v>3349</v>
      </c>
      <c r="S192" s="141" t="s">
        <v>401</v>
      </c>
      <c r="T192" s="261"/>
    </row>
    <row r="193" spans="1:20" ht="58" customHeight="1">
      <c r="A193" s="249" t="s">
        <v>2659</v>
      </c>
      <c r="B193" s="42" t="s">
        <v>5</v>
      </c>
      <c r="C193" s="41" t="s">
        <v>1612</v>
      </c>
      <c r="D193" s="41" t="s">
        <v>415</v>
      </c>
      <c r="E193" s="218" t="s">
        <v>4167</v>
      </c>
      <c r="F193" s="218" t="s">
        <v>416</v>
      </c>
      <c r="G193" s="263" t="s">
        <v>3382</v>
      </c>
      <c r="H193" s="42" t="s">
        <v>2</v>
      </c>
      <c r="I193" s="266" t="s">
        <v>3390</v>
      </c>
      <c r="J193" s="251" t="s">
        <v>3599</v>
      </c>
      <c r="K193" s="165"/>
      <c r="L193" s="260"/>
      <c r="M193" s="260"/>
      <c r="N193" s="164"/>
      <c r="O193" s="139" t="s">
        <v>398</v>
      </c>
      <c r="P193" s="40" t="s">
        <v>414</v>
      </c>
      <c r="Q193" s="247" t="s">
        <v>3601</v>
      </c>
      <c r="R193" s="219" t="s">
        <v>3350</v>
      </c>
      <c r="S193" s="141" t="s">
        <v>401</v>
      </c>
      <c r="T193" s="261"/>
    </row>
    <row r="194" spans="1:20" ht="58" customHeight="1">
      <c r="A194" s="249" t="s">
        <v>2659</v>
      </c>
      <c r="B194" s="42" t="s">
        <v>5</v>
      </c>
      <c r="C194" s="41" t="s">
        <v>1612</v>
      </c>
      <c r="D194" s="41" t="s">
        <v>418</v>
      </c>
      <c r="E194" s="218" t="s">
        <v>4168</v>
      </c>
      <c r="F194" s="218" t="s">
        <v>419</v>
      </c>
      <c r="G194" s="263" t="s">
        <v>3382</v>
      </c>
      <c r="H194" s="42" t="s">
        <v>2</v>
      </c>
      <c r="I194" s="266" t="s">
        <v>3390</v>
      </c>
      <c r="J194" s="251" t="s">
        <v>3599</v>
      </c>
      <c r="K194" s="165"/>
      <c r="L194" s="260"/>
      <c r="M194" s="260"/>
      <c r="N194" s="164"/>
      <c r="O194" s="139" t="s">
        <v>398</v>
      </c>
      <c r="P194" s="40" t="s">
        <v>417</v>
      </c>
      <c r="Q194" s="247" t="s">
        <v>3601</v>
      </c>
      <c r="R194" s="219" t="s">
        <v>3350</v>
      </c>
      <c r="S194" s="141" t="s">
        <v>401</v>
      </c>
      <c r="T194" s="261"/>
    </row>
    <row r="195" spans="1:20" ht="58" customHeight="1">
      <c r="A195" s="249" t="s">
        <v>2659</v>
      </c>
      <c r="B195" s="42" t="s">
        <v>5</v>
      </c>
      <c r="C195" s="41" t="s">
        <v>1612</v>
      </c>
      <c r="D195" s="41" t="s">
        <v>421</v>
      </c>
      <c r="E195" s="218" t="s">
        <v>4169</v>
      </c>
      <c r="F195" s="218" t="s">
        <v>4441</v>
      </c>
      <c r="G195" s="263" t="s">
        <v>4948</v>
      </c>
      <c r="H195" s="42" t="s">
        <v>3</v>
      </c>
      <c r="I195" s="266" t="s">
        <v>3394</v>
      </c>
      <c r="J195" s="251" t="s">
        <v>3599</v>
      </c>
      <c r="K195" s="165"/>
      <c r="L195" s="260"/>
      <c r="M195" s="260"/>
      <c r="N195" s="164"/>
      <c r="O195" s="139" t="s">
        <v>398</v>
      </c>
      <c r="P195" s="40" t="s">
        <v>420</v>
      </c>
      <c r="Q195" s="247" t="s">
        <v>3601</v>
      </c>
      <c r="R195" s="219" t="s">
        <v>3346</v>
      </c>
      <c r="S195" s="141" t="s">
        <v>401</v>
      </c>
      <c r="T195" s="261"/>
    </row>
    <row r="196" spans="1:20" ht="58" customHeight="1">
      <c r="A196" s="249" t="s">
        <v>2659</v>
      </c>
      <c r="B196" s="42" t="s">
        <v>5</v>
      </c>
      <c r="C196" s="41" t="s">
        <v>1612</v>
      </c>
      <c r="D196" s="41" t="s">
        <v>423</v>
      </c>
      <c r="E196" s="218" t="s">
        <v>4170</v>
      </c>
      <c r="F196" s="218" t="s">
        <v>3669</v>
      </c>
      <c r="G196" s="263" t="s">
        <v>3670</v>
      </c>
      <c r="H196" s="42" t="s">
        <v>3</v>
      </c>
      <c r="I196" s="266" t="s">
        <v>3394</v>
      </c>
      <c r="J196" s="251" t="s">
        <v>3599</v>
      </c>
      <c r="K196" s="165"/>
      <c r="L196" s="260"/>
      <c r="M196" s="260"/>
      <c r="N196" s="164"/>
      <c r="O196" s="139" t="s">
        <v>398</v>
      </c>
      <c r="P196" s="40" t="s">
        <v>422</v>
      </c>
      <c r="Q196" s="247" t="s">
        <v>3601</v>
      </c>
      <c r="R196" s="219" t="s">
        <v>3346</v>
      </c>
      <c r="S196" s="141" t="s">
        <v>401</v>
      </c>
      <c r="T196" s="261"/>
    </row>
    <row r="197" spans="1:20" ht="58" customHeight="1">
      <c r="A197" s="249" t="s">
        <v>2659</v>
      </c>
      <c r="B197" s="42" t="s">
        <v>5</v>
      </c>
      <c r="C197" s="41" t="s">
        <v>1613</v>
      </c>
      <c r="D197" s="41" t="s">
        <v>426</v>
      </c>
      <c r="E197" s="218" t="s">
        <v>859</v>
      </c>
      <c r="F197" s="218" t="s">
        <v>4442</v>
      </c>
      <c r="G197" s="263" t="s">
        <v>3383</v>
      </c>
      <c r="H197" s="42" t="s">
        <v>1025</v>
      </c>
      <c r="I197" s="266" t="s">
        <v>3391</v>
      </c>
      <c r="J197" s="251" t="s">
        <v>3599</v>
      </c>
      <c r="K197" s="165"/>
      <c r="L197" s="260"/>
      <c r="M197" s="260"/>
      <c r="N197" s="164"/>
      <c r="O197" s="139" t="s">
        <v>424</v>
      </c>
      <c r="P197" s="40" t="s">
        <v>425</v>
      </c>
      <c r="Q197" s="247" t="s">
        <v>3601</v>
      </c>
      <c r="R197" s="219" t="s">
        <v>3351</v>
      </c>
      <c r="S197" s="141" t="s">
        <v>427</v>
      </c>
      <c r="T197" s="261"/>
    </row>
    <row r="198" spans="1:20" ht="58" customHeight="1">
      <c r="A198" s="249" t="s">
        <v>2659</v>
      </c>
      <c r="B198" s="42" t="s">
        <v>5</v>
      </c>
      <c r="C198" s="41" t="s">
        <v>1613</v>
      </c>
      <c r="D198" s="41" t="s">
        <v>429</v>
      </c>
      <c r="E198" s="218" t="s">
        <v>4461</v>
      </c>
      <c r="F198" s="218" t="s">
        <v>4462</v>
      </c>
      <c r="G198" s="263" t="s">
        <v>4463</v>
      </c>
      <c r="H198" s="42" t="s">
        <v>1599</v>
      </c>
      <c r="I198" s="266" t="s">
        <v>4871</v>
      </c>
      <c r="J198" s="251" t="s">
        <v>4464</v>
      </c>
      <c r="K198" s="165" t="s">
        <v>1025</v>
      </c>
      <c r="L198" s="260"/>
      <c r="M198" s="260"/>
      <c r="N198" s="164"/>
      <c r="O198" s="139" t="s">
        <v>424</v>
      </c>
      <c r="P198" s="40" t="s">
        <v>428</v>
      </c>
      <c r="Q198" s="247" t="s">
        <v>3601</v>
      </c>
      <c r="R198" s="219" t="s">
        <v>4465</v>
      </c>
      <c r="S198" s="141" t="s">
        <v>427</v>
      </c>
      <c r="T198" s="261"/>
    </row>
    <row r="199" spans="1:20" ht="58" customHeight="1">
      <c r="A199" s="249" t="s">
        <v>2659</v>
      </c>
      <c r="B199" s="42" t="s">
        <v>5</v>
      </c>
      <c r="C199" s="41" t="s">
        <v>1613</v>
      </c>
      <c r="D199" s="41" t="s">
        <v>431</v>
      </c>
      <c r="E199" s="218" t="s">
        <v>860</v>
      </c>
      <c r="F199" s="218" t="s">
        <v>4443</v>
      </c>
      <c r="G199" s="263" t="s">
        <v>3382</v>
      </c>
      <c r="H199" s="42" t="s">
        <v>2</v>
      </c>
      <c r="I199" s="266" t="s">
        <v>3390</v>
      </c>
      <c r="J199" s="251" t="s">
        <v>3599</v>
      </c>
      <c r="K199" s="165"/>
      <c r="L199" s="260"/>
      <c r="M199" s="260"/>
      <c r="N199" s="164"/>
      <c r="O199" s="139" t="s">
        <v>424</v>
      </c>
      <c r="P199" s="40" t="s">
        <v>430</v>
      </c>
      <c r="Q199" s="247" t="s">
        <v>3601</v>
      </c>
      <c r="R199" s="219" t="s">
        <v>3324</v>
      </c>
      <c r="S199" s="141" t="s">
        <v>427</v>
      </c>
      <c r="T199" s="261"/>
    </row>
    <row r="200" spans="1:20" ht="58" customHeight="1">
      <c r="A200" s="249" t="s">
        <v>2659</v>
      </c>
      <c r="B200" s="42" t="s">
        <v>5</v>
      </c>
      <c r="C200" s="41" t="s">
        <v>1613</v>
      </c>
      <c r="D200" s="41" t="s">
        <v>433</v>
      </c>
      <c r="E200" s="218" t="s">
        <v>4171</v>
      </c>
      <c r="F200" s="218" t="s">
        <v>3694</v>
      </c>
      <c r="G200" s="263" t="s">
        <v>3695</v>
      </c>
      <c r="H200" s="42" t="s">
        <v>3</v>
      </c>
      <c r="I200" s="266" t="s">
        <v>3394</v>
      </c>
      <c r="J200" s="251" t="s">
        <v>3599</v>
      </c>
      <c r="K200" s="165"/>
      <c r="L200" s="260"/>
      <c r="M200" s="260"/>
      <c r="N200" s="164"/>
      <c r="O200" s="139" t="s">
        <v>424</v>
      </c>
      <c r="P200" s="40" t="s">
        <v>432</v>
      </c>
      <c r="Q200" s="247" t="s">
        <v>3601</v>
      </c>
      <c r="R200" s="219" t="s">
        <v>3352</v>
      </c>
      <c r="S200" s="141" t="s">
        <v>427</v>
      </c>
      <c r="T200" s="261"/>
    </row>
    <row r="201" spans="1:20" ht="58" customHeight="1">
      <c r="A201" s="249" t="s">
        <v>2659</v>
      </c>
      <c r="B201" s="42" t="s">
        <v>5</v>
      </c>
      <c r="C201" s="41" t="s">
        <v>1613</v>
      </c>
      <c r="D201" s="41" t="s">
        <v>435</v>
      </c>
      <c r="E201" s="218" t="s">
        <v>4172</v>
      </c>
      <c r="F201" s="218" t="s">
        <v>3671</v>
      </c>
      <c r="G201" s="263" t="s">
        <v>4949</v>
      </c>
      <c r="H201" s="42" t="s">
        <v>2</v>
      </c>
      <c r="I201" s="266" t="s">
        <v>3390</v>
      </c>
      <c r="J201" s="251" t="s">
        <v>3599</v>
      </c>
      <c r="K201" s="165"/>
      <c r="L201" s="260"/>
      <c r="M201" s="260"/>
      <c r="N201" s="164"/>
      <c r="O201" s="139" t="s">
        <v>424</v>
      </c>
      <c r="P201" s="40" t="s">
        <v>434</v>
      </c>
      <c r="Q201" s="247" t="s">
        <v>3601</v>
      </c>
      <c r="R201" s="219" t="s">
        <v>3353</v>
      </c>
      <c r="S201" s="141" t="s">
        <v>427</v>
      </c>
      <c r="T201" s="261"/>
    </row>
    <row r="202" spans="1:20" ht="58" customHeight="1">
      <c r="A202" s="249" t="s">
        <v>2659</v>
      </c>
      <c r="B202" s="42" t="s">
        <v>1618</v>
      </c>
      <c r="C202" s="41" t="s">
        <v>1597</v>
      </c>
      <c r="D202" s="41" t="s">
        <v>1590</v>
      </c>
      <c r="E202" s="218" t="s">
        <v>4174</v>
      </c>
      <c r="F202" s="218" t="s">
        <v>3703</v>
      </c>
      <c r="G202" s="263" t="s">
        <v>3704</v>
      </c>
      <c r="H202" s="42" t="s">
        <v>3</v>
      </c>
      <c r="I202" s="266" t="s">
        <v>3394</v>
      </c>
      <c r="J202" s="251" t="s">
        <v>3599</v>
      </c>
      <c r="K202" s="165" t="s">
        <v>1025</v>
      </c>
      <c r="L202" s="260"/>
      <c r="M202" s="260"/>
      <c r="N202" s="164"/>
      <c r="O202" s="139" t="s">
        <v>1584</v>
      </c>
      <c r="P202" s="40" t="s">
        <v>1589</v>
      </c>
      <c r="Q202" s="247" t="s">
        <v>3602</v>
      </c>
      <c r="R202" s="219" t="s">
        <v>3373</v>
      </c>
      <c r="S202" s="141" t="s">
        <v>1533</v>
      </c>
      <c r="T202" s="261" t="s">
        <v>5002</v>
      </c>
    </row>
    <row r="203" spans="1:20" ht="58" customHeight="1">
      <c r="A203" s="249" t="s">
        <v>2659</v>
      </c>
      <c r="B203" s="42" t="s">
        <v>1618</v>
      </c>
      <c r="C203" s="41" t="s">
        <v>1600</v>
      </c>
      <c r="D203" s="41" t="s">
        <v>4872</v>
      </c>
      <c r="E203" s="218" t="s">
        <v>4873</v>
      </c>
      <c r="F203" s="218" t="s">
        <v>4874</v>
      </c>
      <c r="G203" s="263" t="s">
        <v>4875</v>
      </c>
      <c r="H203" s="42" t="s">
        <v>1599</v>
      </c>
      <c r="I203" s="266" t="s">
        <v>3392</v>
      </c>
      <c r="J203" s="251" t="s">
        <v>4876</v>
      </c>
      <c r="K203" s="165" t="s">
        <v>4877</v>
      </c>
      <c r="L203" s="260" t="s">
        <v>4878</v>
      </c>
      <c r="M203" s="260" t="s">
        <v>4879</v>
      </c>
      <c r="N203" s="164" t="s">
        <v>4649</v>
      </c>
      <c r="O203" s="139" t="s">
        <v>59</v>
      </c>
      <c r="P203" s="40" t="s">
        <v>4880</v>
      </c>
      <c r="Q203" s="247" t="s">
        <v>3602</v>
      </c>
      <c r="R203" s="219" t="s">
        <v>4881</v>
      </c>
      <c r="S203" s="141" t="s">
        <v>4882</v>
      </c>
      <c r="T203" s="261" t="s">
        <v>5618</v>
      </c>
    </row>
    <row r="204" spans="1:20" ht="58" customHeight="1">
      <c r="A204" s="249" t="s">
        <v>2659</v>
      </c>
      <c r="B204" s="42" t="s">
        <v>1618</v>
      </c>
      <c r="C204" s="41" t="s">
        <v>1601</v>
      </c>
      <c r="D204" s="41" t="s">
        <v>1567</v>
      </c>
      <c r="E204" s="218" t="s">
        <v>4183</v>
      </c>
      <c r="F204" s="218" t="s">
        <v>1569</v>
      </c>
      <c r="G204" s="263" t="s">
        <v>3386</v>
      </c>
      <c r="H204" s="42" t="s">
        <v>1599</v>
      </c>
      <c r="I204" s="266" t="s">
        <v>3392</v>
      </c>
      <c r="J204" s="251" t="s">
        <v>4283</v>
      </c>
      <c r="K204" s="165" t="s">
        <v>4928</v>
      </c>
      <c r="L204" s="260"/>
      <c r="M204" s="260"/>
      <c r="N204" s="164"/>
      <c r="O204" s="139" t="s">
        <v>1565</v>
      </c>
      <c r="P204" s="40" t="s">
        <v>1566</v>
      </c>
      <c r="Q204" s="247" t="s">
        <v>3602</v>
      </c>
      <c r="R204" s="219" t="s">
        <v>3369</v>
      </c>
      <c r="S204" s="141" t="s">
        <v>1533</v>
      </c>
      <c r="T204" s="261"/>
    </row>
    <row r="205" spans="1:20" ht="58" customHeight="1">
      <c r="A205" s="249" t="s">
        <v>2659</v>
      </c>
      <c r="B205" s="42" t="s">
        <v>1618</v>
      </c>
      <c r="C205" s="41" t="s">
        <v>1601</v>
      </c>
      <c r="D205" s="41" t="s">
        <v>1572</v>
      </c>
      <c r="E205" s="218" t="s">
        <v>4184</v>
      </c>
      <c r="F205" s="218" t="s">
        <v>1574</v>
      </c>
      <c r="G205" s="263" t="s">
        <v>3386</v>
      </c>
      <c r="H205" s="42" t="s">
        <v>1599</v>
      </c>
      <c r="I205" s="266" t="s">
        <v>3392</v>
      </c>
      <c r="J205" s="251" t="s">
        <v>4284</v>
      </c>
      <c r="K205" s="165" t="s">
        <v>4928</v>
      </c>
      <c r="L205" s="260"/>
      <c r="M205" s="260"/>
      <c r="N205" s="164"/>
      <c r="O205" s="139" t="s">
        <v>1570</v>
      </c>
      <c r="P205" s="40" t="s">
        <v>1571</v>
      </c>
      <c r="Q205" s="247" t="s">
        <v>3602</v>
      </c>
      <c r="R205" s="219" t="s">
        <v>3370</v>
      </c>
      <c r="S205" s="141" t="s">
        <v>1533</v>
      </c>
      <c r="T205" s="261"/>
    </row>
    <row r="206" spans="1:20" ht="58" customHeight="1">
      <c r="A206" s="249" t="s">
        <v>2659</v>
      </c>
      <c r="B206" s="42" t="s">
        <v>1618</v>
      </c>
      <c r="C206" s="41" t="s">
        <v>1602</v>
      </c>
      <c r="D206" s="41" t="s">
        <v>1531</v>
      </c>
      <c r="E206" s="218" t="s">
        <v>4179</v>
      </c>
      <c r="F206" s="218" t="s">
        <v>3378</v>
      </c>
      <c r="G206" s="263" t="s">
        <v>3386</v>
      </c>
      <c r="H206" s="42" t="s">
        <v>1599</v>
      </c>
      <c r="I206" s="266" t="s">
        <v>3392</v>
      </c>
      <c r="J206" s="251" t="s">
        <v>4285</v>
      </c>
      <c r="K206" s="165" t="s">
        <v>4928</v>
      </c>
      <c r="L206" s="260"/>
      <c r="M206" s="260"/>
      <c r="N206" s="164"/>
      <c r="O206" s="139" t="s">
        <v>1529</v>
      </c>
      <c r="P206" s="40" t="s">
        <v>1530</v>
      </c>
      <c r="Q206" s="247" t="s">
        <v>3602</v>
      </c>
      <c r="R206" s="219" t="s">
        <v>3379</v>
      </c>
      <c r="S206" s="141" t="s">
        <v>1533</v>
      </c>
      <c r="T206" s="261"/>
    </row>
    <row r="207" spans="1:20" ht="58" customHeight="1">
      <c r="A207" s="249" t="s">
        <v>2659</v>
      </c>
      <c r="B207" s="42" t="s">
        <v>1618</v>
      </c>
      <c r="C207" s="41" t="s">
        <v>1602</v>
      </c>
      <c r="D207" s="41" t="s">
        <v>1545</v>
      </c>
      <c r="E207" s="218" t="s">
        <v>1546</v>
      </c>
      <c r="F207" s="218" t="s">
        <v>1547</v>
      </c>
      <c r="G207" s="263" t="s">
        <v>3386</v>
      </c>
      <c r="H207" s="42" t="s">
        <v>1599</v>
      </c>
      <c r="I207" s="266" t="s">
        <v>3392</v>
      </c>
      <c r="J207" s="251" t="s">
        <v>4286</v>
      </c>
      <c r="K207" s="165" t="s">
        <v>4928</v>
      </c>
      <c r="L207" s="260"/>
      <c r="M207" s="260"/>
      <c r="N207" s="164"/>
      <c r="O207" s="139" t="s">
        <v>1543</v>
      </c>
      <c r="P207" s="40" t="s">
        <v>1544</v>
      </c>
      <c r="Q207" s="247" t="s">
        <v>3602</v>
      </c>
      <c r="R207" s="219" t="s">
        <v>3300</v>
      </c>
      <c r="S207" s="141" t="s">
        <v>1533</v>
      </c>
      <c r="T207" s="261"/>
    </row>
    <row r="208" spans="1:20" ht="58" customHeight="1">
      <c r="A208" s="249" t="s">
        <v>2659</v>
      </c>
      <c r="B208" s="42" t="s">
        <v>1618</v>
      </c>
      <c r="C208" s="41" t="s">
        <v>1602</v>
      </c>
      <c r="D208" s="41" t="s">
        <v>1549</v>
      </c>
      <c r="E208" s="218" t="s">
        <v>1550</v>
      </c>
      <c r="F208" s="218" t="s">
        <v>1551</v>
      </c>
      <c r="G208" s="263" t="s">
        <v>3386</v>
      </c>
      <c r="H208" s="42" t="s">
        <v>1599</v>
      </c>
      <c r="I208" s="266" t="s">
        <v>3392</v>
      </c>
      <c r="J208" s="251" t="s">
        <v>4287</v>
      </c>
      <c r="K208" s="165" t="s">
        <v>4928</v>
      </c>
      <c r="L208" s="260"/>
      <c r="M208" s="260"/>
      <c r="N208" s="164"/>
      <c r="O208" s="139" t="s">
        <v>1543</v>
      </c>
      <c r="P208" s="40" t="s">
        <v>1548</v>
      </c>
      <c r="Q208" s="247" t="s">
        <v>3602</v>
      </c>
      <c r="R208" s="219" t="s">
        <v>3300</v>
      </c>
      <c r="S208" s="141" t="s">
        <v>1533</v>
      </c>
      <c r="T208" s="261"/>
    </row>
    <row r="209" spans="1:20" ht="58" customHeight="1">
      <c r="A209" s="249" t="s">
        <v>2659</v>
      </c>
      <c r="B209" s="42" t="s">
        <v>1618</v>
      </c>
      <c r="C209" s="41" t="s">
        <v>1603</v>
      </c>
      <c r="D209" s="41" t="s">
        <v>1559</v>
      </c>
      <c r="E209" s="218" t="s">
        <v>4180</v>
      </c>
      <c r="F209" s="218" t="s">
        <v>4677</v>
      </c>
      <c r="G209" s="263" t="s">
        <v>4678</v>
      </c>
      <c r="H209" s="42" t="s">
        <v>1599</v>
      </c>
      <c r="I209" s="266" t="s">
        <v>3392</v>
      </c>
      <c r="J209" s="251" t="s">
        <v>3599</v>
      </c>
      <c r="K209" s="165" t="s">
        <v>4986</v>
      </c>
      <c r="L209" s="260" t="s">
        <v>4987</v>
      </c>
      <c r="M209" s="260"/>
      <c r="N209" s="164" t="s">
        <v>4650</v>
      </c>
      <c r="O209" s="139" t="s">
        <v>1557</v>
      </c>
      <c r="P209" s="40" t="s">
        <v>1558</v>
      </c>
      <c r="Q209" s="247" t="s">
        <v>3602</v>
      </c>
      <c r="R209" s="219" t="s">
        <v>3367</v>
      </c>
      <c r="S209" s="141" t="s">
        <v>1533</v>
      </c>
      <c r="T209" s="261"/>
    </row>
    <row r="210" spans="1:20" ht="58" customHeight="1">
      <c r="A210" s="249" t="s">
        <v>2659</v>
      </c>
      <c r="B210" s="42" t="s">
        <v>1618</v>
      </c>
      <c r="C210" s="41" t="s">
        <v>1603</v>
      </c>
      <c r="D210" s="41" t="s">
        <v>1536</v>
      </c>
      <c r="E210" s="218" t="s">
        <v>4181</v>
      </c>
      <c r="F210" s="218" t="s">
        <v>3645</v>
      </c>
      <c r="G210" s="263" t="s">
        <v>3646</v>
      </c>
      <c r="H210" s="42" t="s">
        <v>1599</v>
      </c>
      <c r="I210" s="266" t="s">
        <v>3392</v>
      </c>
      <c r="J210" s="251" t="s">
        <v>4311</v>
      </c>
      <c r="K210" s="165" t="s">
        <v>4908</v>
      </c>
      <c r="L210" s="260" t="s">
        <v>4909</v>
      </c>
      <c r="M210" s="260"/>
      <c r="N210" s="164" t="s">
        <v>4649</v>
      </c>
      <c r="O210" s="139" t="s">
        <v>1534</v>
      </c>
      <c r="P210" s="40" t="s">
        <v>1535</v>
      </c>
      <c r="Q210" s="247" t="s">
        <v>3602</v>
      </c>
      <c r="R210" s="219" t="s">
        <v>3365</v>
      </c>
      <c r="S210" s="141" t="s">
        <v>1533</v>
      </c>
      <c r="T210" s="261"/>
    </row>
    <row r="211" spans="1:20" ht="58" customHeight="1">
      <c r="A211" s="249" t="s">
        <v>2659</v>
      </c>
      <c r="B211" s="42" t="s">
        <v>1618</v>
      </c>
      <c r="C211" s="41" t="s">
        <v>1605</v>
      </c>
      <c r="D211" s="41" t="s">
        <v>3054</v>
      </c>
      <c r="E211" s="218" t="s">
        <v>4182</v>
      </c>
      <c r="F211" s="218" t="s">
        <v>3055</v>
      </c>
      <c r="G211" s="263" t="s">
        <v>3382</v>
      </c>
      <c r="H211" s="42" t="s">
        <v>2</v>
      </c>
      <c r="I211" s="266" t="s">
        <v>3390</v>
      </c>
      <c r="J211" s="251" t="s">
        <v>4296</v>
      </c>
      <c r="K211" s="165" t="s">
        <v>1025</v>
      </c>
      <c r="L211" s="260"/>
      <c r="M211" s="260"/>
      <c r="N211" s="164"/>
      <c r="O211" s="139" t="s">
        <v>3056</v>
      </c>
      <c r="P211" s="40" t="s">
        <v>3057</v>
      </c>
      <c r="Q211" s="247" t="s">
        <v>4327</v>
      </c>
      <c r="R211" s="219" t="s">
        <v>3374</v>
      </c>
      <c r="S211" s="141" t="s">
        <v>3058</v>
      </c>
      <c r="T211" s="261" t="s">
        <v>4328</v>
      </c>
    </row>
    <row r="212" spans="1:20" ht="58" customHeight="1">
      <c r="A212" s="249" t="s">
        <v>2659</v>
      </c>
      <c r="B212" s="42" t="s">
        <v>1618</v>
      </c>
      <c r="C212" s="41" t="s">
        <v>1606</v>
      </c>
      <c r="D212" s="41" t="s">
        <v>1593</v>
      </c>
      <c r="E212" s="218" t="s">
        <v>4175</v>
      </c>
      <c r="F212" s="218" t="s">
        <v>3705</v>
      </c>
      <c r="G212" s="263" t="s">
        <v>3706</v>
      </c>
      <c r="H212" s="42" t="s">
        <v>3</v>
      </c>
      <c r="I212" s="266" t="s">
        <v>3394</v>
      </c>
      <c r="J212" s="251" t="s">
        <v>3599</v>
      </c>
      <c r="K212" s="165" t="s">
        <v>1025</v>
      </c>
      <c r="L212" s="260"/>
      <c r="M212" s="260"/>
      <c r="N212" s="164"/>
      <c r="O212" s="139" t="s">
        <v>1584</v>
      </c>
      <c r="P212" s="40" t="s">
        <v>1592</v>
      </c>
      <c r="Q212" s="247" t="s">
        <v>3602</v>
      </c>
      <c r="R212" s="219" t="s">
        <v>3373</v>
      </c>
      <c r="S212" s="141" t="s">
        <v>1533</v>
      </c>
      <c r="T212" s="261" t="s">
        <v>5003</v>
      </c>
    </row>
    <row r="213" spans="1:20" ht="58" customHeight="1">
      <c r="A213" s="249" t="s">
        <v>2659</v>
      </c>
      <c r="B213" s="42" t="s">
        <v>1618</v>
      </c>
      <c r="C213" s="41" t="s">
        <v>1608</v>
      </c>
      <c r="D213" s="41" t="s">
        <v>3793</v>
      </c>
      <c r="E213" s="218" t="s">
        <v>3794</v>
      </c>
      <c r="F213" s="218" t="s">
        <v>3795</v>
      </c>
      <c r="G213" s="263" t="s">
        <v>3796</v>
      </c>
      <c r="H213" s="42" t="s">
        <v>1599</v>
      </c>
      <c r="I213" s="266" t="s">
        <v>3392</v>
      </c>
      <c r="J213" s="251" t="s">
        <v>4307</v>
      </c>
      <c r="K213" s="165" t="s">
        <v>4916</v>
      </c>
      <c r="L213" s="260" t="s">
        <v>4917</v>
      </c>
      <c r="M213" s="260"/>
      <c r="N213" s="164" t="s">
        <v>4649</v>
      </c>
      <c r="O213" s="139" t="s">
        <v>3797</v>
      </c>
      <c r="P213" s="40" t="s">
        <v>539</v>
      </c>
      <c r="Q213" s="247" t="s">
        <v>3602</v>
      </c>
      <c r="R213" s="219" t="s">
        <v>3798</v>
      </c>
      <c r="S213" s="141" t="s">
        <v>3799</v>
      </c>
      <c r="T213" s="261"/>
    </row>
    <row r="214" spans="1:20" ht="58" customHeight="1">
      <c r="A214" s="249" t="s">
        <v>2659</v>
      </c>
      <c r="B214" s="42" t="s">
        <v>1618</v>
      </c>
      <c r="C214" s="41" t="s">
        <v>1609</v>
      </c>
      <c r="D214" s="41" t="s">
        <v>1586</v>
      </c>
      <c r="E214" s="218" t="s">
        <v>4176</v>
      </c>
      <c r="F214" s="218" t="s">
        <v>1588</v>
      </c>
      <c r="G214" s="263" t="s">
        <v>3386</v>
      </c>
      <c r="H214" s="42" t="s">
        <v>1599</v>
      </c>
      <c r="I214" s="266" t="s">
        <v>3392</v>
      </c>
      <c r="J214" s="251" t="s">
        <v>4288</v>
      </c>
      <c r="K214" s="165" t="s">
        <v>4928</v>
      </c>
      <c r="L214" s="260"/>
      <c r="M214" s="260"/>
      <c r="N214" s="164"/>
      <c r="O214" s="139" t="s">
        <v>1584</v>
      </c>
      <c r="P214" s="40" t="s">
        <v>1585</v>
      </c>
      <c r="Q214" s="247" t="s">
        <v>3602</v>
      </c>
      <c r="R214" s="219" t="s">
        <v>3372</v>
      </c>
      <c r="S214" s="141" t="s">
        <v>1533</v>
      </c>
      <c r="T214" s="261"/>
    </row>
    <row r="215" spans="1:20" ht="58" customHeight="1">
      <c r="A215" s="249" t="s">
        <v>2659</v>
      </c>
      <c r="B215" s="42" t="s">
        <v>1618</v>
      </c>
      <c r="C215" s="41" t="s">
        <v>1609</v>
      </c>
      <c r="D215" s="41" t="s">
        <v>3624</v>
      </c>
      <c r="E215" s="218" t="s">
        <v>3625</v>
      </c>
      <c r="F215" s="218" t="s">
        <v>3626</v>
      </c>
      <c r="G215" s="263" t="s">
        <v>3627</v>
      </c>
      <c r="H215" s="42" t="s">
        <v>1599</v>
      </c>
      <c r="I215" s="266" t="s">
        <v>3392</v>
      </c>
      <c r="J215" s="251" t="s">
        <v>4289</v>
      </c>
      <c r="K215" s="165" t="s">
        <v>4885</v>
      </c>
      <c r="L215" s="260" t="s">
        <v>4886</v>
      </c>
      <c r="M215" s="260" t="s">
        <v>4887</v>
      </c>
      <c r="N215" s="164" t="s">
        <v>4650</v>
      </c>
      <c r="O215" s="139" t="s">
        <v>3628</v>
      </c>
      <c r="P215" s="40" t="s">
        <v>3629</v>
      </c>
      <c r="Q215" s="247" t="s">
        <v>3602</v>
      </c>
      <c r="R215" s="219" t="s">
        <v>3630</v>
      </c>
      <c r="S215" s="141" t="s">
        <v>3616</v>
      </c>
      <c r="T215" s="261"/>
    </row>
    <row r="216" spans="1:20" ht="58" customHeight="1">
      <c r="A216" s="249" t="s">
        <v>2659</v>
      </c>
      <c r="B216" s="42" t="s">
        <v>1618</v>
      </c>
      <c r="C216" s="41" t="s">
        <v>1609</v>
      </c>
      <c r="D216" s="41" t="s">
        <v>3637</v>
      </c>
      <c r="E216" s="218" t="s">
        <v>3638</v>
      </c>
      <c r="F216" s="218" t="s">
        <v>3639</v>
      </c>
      <c r="G216" s="263" t="s">
        <v>3640</v>
      </c>
      <c r="H216" s="42" t="s">
        <v>1599</v>
      </c>
      <c r="I216" s="266" t="s">
        <v>3392</v>
      </c>
      <c r="J216" s="251" t="s">
        <v>4290</v>
      </c>
      <c r="K216" s="165" t="s">
        <v>4899</v>
      </c>
      <c r="L216" s="260" t="s">
        <v>4900</v>
      </c>
      <c r="M216" s="260" t="s">
        <v>4901</v>
      </c>
      <c r="N216" s="164" t="s">
        <v>4650</v>
      </c>
      <c r="O216" s="139" t="s">
        <v>3641</v>
      </c>
      <c r="P216" s="40" t="s">
        <v>3642</v>
      </c>
      <c r="Q216" s="247" t="s">
        <v>3602</v>
      </c>
      <c r="R216" s="219" t="s">
        <v>3630</v>
      </c>
      <c r="S216" s="141" t="s">
        <v>3616</v>
      </c>
      <c r="T216" s="261"/>
    </row>
    <row r="217" spans="1:20" ht="58" customHeight="1">
      <c r="A217" s="249" t="s">
        <v>2659</v>
      </c>
      <c r="B217" s="42" t="s">
        <v>1618</v>
      </c>
      <c r="C217" s="41" t="s">
        <v>1609</v>
      </c>
      <c r="D217" s="41" t="s">
        <v>1540</v>
      </c>
      <c r="E217" s="218" t="s">
        <v>4177</v>
      </c>
      <c r="F217" s="218" t="s">
        <v>1542</v>
      </c>
      <c r="G217" s="263" t="s">
        <v>3383</v>
      </c>
      <c r="H217" s="42" t="s">
        <v>1025</v>
      </c>
      <c r="I217" s="266" t="s">
        <v>3391</v>
      </c>
      <c r="J217" s="251" t="s">
        <v>3599</v>
      </c>
      <c r="K217" s="165"/>
      <c r="L217" s="260"/>
      <c r="M217" s="260"/>
      <c r="N217" s="164"/>
      <c r="O217" s="139" t="s">
        <v>1538</v>
      </c>
      <c r="P217" s="40" t="s">
        <v>1539</v>
      </c>
      <c r="Q217" s="247" t="s">
        <v>3602</v>
      </c>
      <c r="R217" s="219" t="s">
        <v>3366</v>
      </c>
      <c r="S217" s="141" t="s">
        <v>1533</v>
      </c>
      <c r="T217" s="261"/>
    </row>
    <row r="218" spans="1:20" ht="58" customHeight="1">
      <c r="A218" s="249" t="s">
        <v>2659</v>
      </c>
      <c r="B218" s="42" t="s">
        <v>1618</v>
      </c>
      <c r="C218" s="41" t="s">
        <v>1611</v>
      </c>
      <c r="D218" s="41" t="s">
        <v>3801</v>
      </c>
      <c r="E218" s="218" t="s">
        <v>3802</v>
      </c>
      <c r="F218" s="218" t="s">
        <v>3803</v>
      </c>
      <c r="G218" s="263" t="s">
        <v>3804</v>
      </c>
      <c r="H218" s="42" t="s">
        <v>1599</v>
      </c>
      <c r="I218" s="266" t="s">
        <v>3392</v>
      </c>
      <c r="J218" s="251" t="s">
        <v>4308</v>
      </c>
      <c r="K218" s="165" t="s">
        <v>4918</v>
      </c>
      <c r="L218" s="260" t="s">
        <v>4919</v>
      </c>
      <c r="M218" s="260"/>
      <c r="N218" s="164" t="s">
        <v>4649</v>
      </c>
      <c r="O218" s="139" t="s">
        <v>3800</v>
      </c>
      <c r="P218" s="40" t="s">
        <v>546</v>
      </c>
      <c r="Q218" s="247" t="s">
        <v>3602</v>
      </c>
      <c r="R218" s="219" t="s">
        <v>3798</v>
      </c>
      <c r="S218" s="141" t="s">
        <v>3799</v>
      </c>
      <c r="T218" s="261"/>
    </row>
    <row r="219" spans="1:20" ht="58" customHeight="1">
      <c r="A219" s="249" t="s">
        <v>2659</v>
      </c>
      <c r="B219" s="42" t="s">
        <v>1618</v>
      </c>
      <c r="C219" s="41" t="s">
        <v>1611</v>
      </c>
      <c r="D219" s="41" t="s">
        <v>3609</v>
      </c>
      <c r="E219" s="218" t="s">
        <v>3610</v>
      </c>
      <c r="F219" s="218" t="s">
        <v>3611</v>
      </c>
      <c r="G219" s="263" t="s">
        <v>3612</v>
      </c>
      <c r="H219" s="42" t="s">
        <v>1599</v>
      </c>
      <c r="I219" s="266" t="s">
        <v>3392</v>
      </c>
      <c r="J219" s="251" t="s">
        <v>4291</v>
      </c>
      <c r="K219" s="165" t="s">
        <v>4647</v>
      </c>
      <c r="L219" s="260" t="s">
        <v>4848</v>
      </c>
      <c r="M219" s="260"/>
      <c r="N219" s="164" t="s">
        <v>4651</v>
      </c>
      <c r="O219" s="139" t="s">
        <v>3613</v>
      </c>
      <c r="P219" s="40" t="s">
        <v>3614</v>
      </c>
      <c r="Q219" s="247" t="s">
        <v>3602</v>
      </c>
      <c r="R219" s="219" t="s">
        <v>3615</v>
      </c>
      <c r="S219" s="141" t="s">
        <v>3616</v>
      </c>
      <c r="T219" s="261"/>
    </row>
    <row r="220" spans="1:20" ht="58" customHeight="1">
      <c r="A220" s="249" t="s">
        <v>2659</v>
      </c>
      <c r="B220" s="42" t="s">
        <v>1618</v>
      </c>
      <c r="C220" s="41" t="s">
        <v>1611</v>
      </c>
      <c r="D220" s="41" t="s">
        <v>1577</v>
      </c>
      <c r="E220" s="218" t="s">
        <v>4178</v>
      </c>
      <c r="F220" s="218" t="s">
        <v>5019</v>
      </c>
      <c r="G220" s="263" t="s">
        <v>5020</v>
      </c>
      <c r="H220" s="42" t="s">
        <v>3</v>
      </c>
      <c r="I220" s="266" t="s">
        <v>3394</v>
      </c>
      <c r="J220" s="251" t="s">
        <v>3599</v>
      </c>
      <c r="K220" s="165" t="s">
        <v>1025</v>
      </c>
      <c r="L220" s="260"/>
      <c r="M220" s="260"/>
      <c r="N220" s="164"/>
      <c r="O220" s="139" t="s">
        <v>1575</v>
      </c>
      <c r="P220" s="40" t="s">
        <v>1576</v>
      </c>
      <c r="Q220" s="247" t="s">
        <v>3602</v>
      </c>
      <c r="R220" s="219" t="s">
        <v>3371</v>
      </c>
      <c r="S220" s="141" t="s">
        <v>1533</v>
      </c>
      <c r="T220" s="261"/>
    </row>
    <row r="221" spans="1:20" ht="58" customHeight="1">
      <c r="A221" s="249" t="s">
        <v>2659</v>
      </c>
      <c r="B221" s="42" t="s">
        <v>1618</v>
      </c>
      <c r="C221" s="41" t="s">
        <v>1611</v>
      </c>
      <c r="D221" s="41" t="s">
        <v>3617</v>
      </c>
      <c r="E221" s="218" t="s">
        <v>3618</v>
      </c>
      <c r="F221" s="218" t="s">
        <v>3619</v>
      </c>
      <c r="G221" s="263" t="s">
        <v>3620</v>
      </c>
      <c r="H221" s="42" t="s">
        <v>1599</v>
      </c>
      <c r="I221" s="266" t="s">
        <v>3392</v>
      </c>
      <c r="J221" s="251" t="s">
        <v>4292</v>
      </c>
      <c r="K221" s="165" t="s">
        <v>4922</v>
      </c>
      <c r="L221" s="260" t="s">
        <v>4923</v>
      </c>
      <c r="M221" s="260"/>
      <c r="N221" s="164" t="s">
        <v>4649</v>
      </c>
      <c r="O221" s="139" t="s">
        <v>3621</v>
      </c>
      <c r="P221" s="40" t="s">
        <v>3622</v>
      </c>
      <c r="Q221" s="247" t="s">
        <v>3602</v>
      </c>
      <c r="R221" s="219" t="s">
        <v>3623</v>
      </c>
      <c r="S221" s="141" t="s">
        <v>3616</v>
      </c>
      <c r="T221" s="261"/>
    </row>
    <row r="222" spans="1:20" ht="58" customHeight="1">
      <c r="A222" s="249" t="s">
        <v>2659</v>
      </c>
      <c r="B222" s="42" t="s">
        <v>1618</v>
      </c>
      <c r="C222" s="41" t="s">
        <v>1611</v>
      </c>
      <c r="D222" s="41" t="s">
        <v>1581</v>
      </c>
      <c r="E222" s="218" t="s">
        <v>1582</v>
      </c>
      <c r="F222" s="218" t="s">
        <v>1583</v>
      </c>
      <c r="G222" s="263" t="s">
        <v>3386</v>
      </c>
      <c r="H222" s="42" t="s">
        <v>1599</v>
      </c>
      <c r="I222" s="266" t="s">
        <v>3392</v>
      </c>
      <c r="J222" s="251" t="s">
        <v>4293</v>
      </c>
      <c r="K222" s="165" t="s">
        <v>4928</v>
      </c>
      <c r="L222" s="260"/>
      <c r="M222" s="260"/>
      <c r="N222" s="164"/>
      <c r="O222" s="139" t="s">
        <v>1579</v>
      </c>
      <c r="P222" s="40" t="s">
        <v>1580</v>
      </c>
      <c r="Q222" s="247" t="s">
        <v>3602</v>
      </c>
      <c r="R222" s="219" t="s">
        <v>3300</v>
      </c>
      <c r="S222" s="141" t="s">
        <v>1533</v>
      </c>
      <c r="T222" s="261"/>
    </row>
    <row r="223" spans="1:20" ht="58" customHeight="1">
      <c r="A223" s="249" t="s">
        <v>2659</v>
      </c>
      <c r="B223" s="42" t="s">
        <v>1618</v>
      </c>
      <c r="C223" s="41" t="s">
        <v>1610</v>
      </c>
      <c r="D223" s="41" t="s">
        <v>3805</v>
      </c>
      <c r="E223" s="218" t="s">
        <v>3806</v>
      </c>
      <c r="F223" s="218" t="s">
        <v>3807</v>
      </c>
      <c r="G223" s="263" t="s">
        <v>4950</v>
      </c>
      <c r="H223" s="42" t="s">
        <v>1599</v>
      </c>
      <c r="I223" s="266" t="s">
        <v>3392</v>
      </c>
      <c r="J223" s="251" t="s">
        <v>4309</v>
      </c>
      <c r="K223" s="165" t="s">
        <v>4910</v>
      </c>
      <c r="L223" s="260" t="s">
        <v>4911</v>
      </c>
      <c r="M223" s="260"/>
      <c r="N223" s="164" t="s">
        <v>4650</v>
      </c>
      <c r="O223" s="139" t="s">
        <v>3563</v>
      </c>
      <c r="P223" s="40" t="s">
        <v>555</v>
      </c>
      <c r="Q223" s="247" t="s">
        <v>3602</v>
      </c>
      <c r="R223" s="219" t="s">
        <v>3798</v>
      </c>
      <c r="S223" s="141" t="s">
        <v>3799</v>
      </c>
      <c r="T223" s="261"/>
    </row>
    <row r="224" spans="1:20" ht="58" customHeight="1">
      <c r="A224" s="249" t="s">
        <v>2659</v>
      </c>
      <c r="B224" s="42" t="s">
        <v>1618</v>
      </c>
      <c r="C224" s="41" t="s">
        <v>1610</v>
      </c>
      <c r="D224" s="41" t="s">
        <v>1563</v>
      </c>
      <c r="E224" s="218" t="s">
        <v>4173</v>
      </c>
      <c r="F224" s="218" t="s">
        <v>3707</v>
      </c>
      <c r="G224" s="263" t="s">
        <v>4951</v>
      </c>
      <c r="H224" s="42" t="s">
        <v>1599</v>
      </c>
      <c r="I224" s="266" t="s">
        <v>3392</v>
      </c>
      <c r="J224" s="251" t="s">
        <v>4456</v>
      </c>
      <c r="K224" s="165" t="s">
        <v>4896</v>
      </c>
      <c r="L224" s="260" t="s">
        <v>4897</v>
      </c>
      <c r="M224" s="260" t="s">
        <v>4898</v>
      </c>
      <c r="N224" s="164" t="s">
        <v>4650</v>
      </c>
      <c r="O224" s="139" t="s">
        <v>1561</v>
      </c>
      <c r="P224" s="40" t="s">
        <v>1562</v>
      </c>
      <c r="Q224" s="247" t="s">
        <v>3602</v>
      </c>
      <c r="R224" s="219" t="s">
        <v>3368</v>
      </c>
      <c r="S224" s="141" t="s">
        <v>1533</v>
      </c>
      <c r="T224" s="261"/>
    </row>
    <row r="225" spans="1:20" ht="58" customHeight="1">
      <c r="A225" s="249" t="s">
        <v>2659</v>
      </c>
      <c r="B225" s="42" t="s">
        <v>1618</v>
      </c>
      <c r="C225" s="41" t="s">
        <v>1610</v>
      </c>
      <c r="D225" s="41" t="s">
        <v>3631</v>
      </c>
      <c r="E225" s="218" t="s">
        <v>3632</v>
      </c>
      <c r="F225" s="218" t="s">
        <v>3633</v>
      </c>
      <c r="G225" s="263" t="s">
        <v>3634</v>
      </c>
      <c r="H225" s="42" t="s">
        <v>1599</v>
      </c>
      <c r="I225" s="266" t="s">
        <v>4871</v>
      </c>
      <c r="J225" s="251" t="s">
        <v>4294</v>
      </c>
      <c r="K225" s="165" t="s">
        <v>4664</v>
      </c>
      <c r="L225" s="260" t="s">
        <v>4793</v>
      </c>
      <c r="M225" s="260" t="s">
        <v>4794</v>
      </c>
      <c r="N225" s="164" t="s">
        <v>4650</v>
      </c>
      <c r="O225" s="139" t="s">
        <v>3635</v>
      </c>
      <c r="P225" s="40" t="s">
        <v>3636</v>
      </c>
      <c r="Q225" s="247" t="s">
        <v>3602</v>
      </c>
      <c r="R225" s="219" t="s">
        <v>3630</v>
      </c>
      <c r="S225" s="141" t="s">
        <v>3616</v>
      </c>
      <c r="T225" s="261"/>
    </row>
    <row r="226" spans="1:20" ht="58" customHeight="1">
      <c r="A226" s="249" t="s">
        <v>2659</v>
      </c>
      <c r="B226" s="42" t="s">
        <v>1618</v>
      </c>
      <c r="C226" s="41" t="s">
        <v>1610</v>
      </c>
      <c r="D226" s="41" t="s">
        <v>1554</v>
      </c>
      <c r="E226" s="218" t="s">
        <v>1555</v>
      </c>
      <c r="F226" s="218" t="s">
        <v>1556</v>
      </c>
      <c r="G226" s="263" t="s">
        <v>3386</v>
      </c>
      <c r="H226" s="42" t="s">
        <v>1599</v>
      </c>
      <c r="I226" s="266" t="s">
        <v>3392</v>
      </c>
      <c r="J226" s="251" t="s">
        <v>4295</v>
      </c>
      <c r="K226" s="165" t="s">
        <v>4928</v>
      </c>
      <c r="L226" s="260"/>
      <c r="M226" s="260"/>
      <c r="N226" s="164"/>
      <c r="O226" s="139" t="s">
        <v>1552</v>
      </c>
      <c r="P226" s="40" t="s">
        <v>1553</v>
      </c>
      <c r="Q226" s="247" t="s">
        <v>3602</v>
      </c>
      <c r="R226" s="219" t="s">
        <v>3300</v>
      </c>
      <c r="S226" s="141" t="s">
        <v>1533</v>
      </c>
      <c r="T226" s="261"/>
    </row>
    <row r="227" spans="1:20" ht="58" customHeight="1">
      <c r="A227" s="249" t="s">
        <v>2659</v>
      </c>
      <c r="B227" s="42" t="s">
        <v>1618</v>
      </c>
      <c r="C227" s="41" t="s">
        <v>1613</v>
      </c>
      <c r="D227" s="41" t="s">
        <v>4466</v>
      </c>
      <c r="E227" s="218" t="s">
        <v>4467</v>
      </c>
      <c r="F227" s="218" t="s">
        <v>4468</v>
      </c>
      <c r="G227" s="263" t="s">
        <v>4952</v>
      </c>
      <c r="H227" s="42" t="s">
        <v>1599</v>
      </c>
      <c r="I227" s="266" t="s">
        <v>4871</v>
      </c>
      <c r="J227" s="251" t="s">
        <v>4469</v>
      </c>
      <c r="K227" s="165" t="s">
        <v>4638</v>
      </c>
      <c r="L227" s="260" t="s">
        <v>4765</v>
      </c>
      <c r="M227" s="260" t="s">
        <v>4766</v>
      </c>
      <c r="N227" s="164" t="s">
        <v>4649</v>
      </c>
      <c r="O227" s="139" t="s">
        <v>4470</v>
      </c>
      <c r="P227" s="40" t="s">
        <v>4471</v>
      </c>
      <c r="Q227" s="247" t="s">
        <v>3602</v>
      </c>
      <c r="R227" s="219" t="s">
        <v>4472</v>
      </c>
      <c r="S227" s="141" t="s">
        <v>4473</v>
      </c>
      <c r="T227" s="261"/>
    </row>
    <row r="228" spans="1:20" ht="58" customHeight="1">
      <c r="A228" s="249" t="s">
        <v>2659</v>
      </c>
      <c r="B228" s="42" t="s">
        <v>1618</v>
      </c>
      <c r="C228" s="41" t="s">
        <v>1613</v>
      </c>
      <c r="D228" s="41" t="s">
        <v>4474</v>
      </c>
      <c r="E228" s="218" t="s">
        <v>4475</v>
      </c>
      <c r="F228" s="218" t="s">
        <v>4476</v>
      </c>
      <c r="G228" s="263" t="s">
        <v>4953</v>
      </c>
      <c r="H228" s="42" t="s">
        <v>1599</v>
      </c>
      <c r="I228" s="266" t="s">
        <v>4484</v>
      </c>
      <c r="J228" s="251" t="s">
        <v>4477</v>
      </c>
      <c r="K228" s="165" t="s">
        <v>4641</v>
      </c>
      <c r="L228" s="260" t="s">
        <v>4767</v>
      </c>
      <c r="M228" s="260" t="s">
        <v>4768</v>
      </c>
      <c r="N228" s="164" t="s">
        <v>4649</v>
      </c>
      <c r="O228" s="139" t="s">
        <v>4470</v>
      </c>
      <c r="P228" s="40" t="s">
        <v>4478</v>
      </c>
      <c r="Q228" s="247" t="s">
        <v>3602</v>
      </c>
      <c r="R228" s="219" t="s">
        <v>4479</v>
      </c>
      <c r="S228" s="141" t="s">
        <v>4473</v>
      </c>
      <c r="T228" s="261"/>
    </row>
    <row r="229" spans="1:20" ht="58" customHeight="1">
      <c r="A229" s="249" t="s">
        <v>2660</v>
      </c>
      <c r="B229" s="42" t="s">
        <v>1490</v>
      </c>
      <c r="C229" s="41" t="s">
        <v>1602</v>
      </c>
      <c r="D229" s="41" t="s">
        <v>466</v>
      </c>
      <c r="E229" s="218" t="s">
        <v>866</v>
      </c>
      <c r="F229" s="218" t="s">
        <v>467</v>
      </c>
      <c r="G229" s="263" t="s">
        <v>3386</v>
      </c>
      <c r="H229" s="42" t="s">
        <v>1599</v>
      </c>
      <c r="I229" s="266" t="s">
        <v>4484</v>
      </c>
      <c r="J229" s="251" t="s">
        <v>4298</v>
      </c>
      <c r="K229" s="165" t="s">
        <v>4653</v>
      </c>
      <c r="L229" s="260" t="s">
        <v>4771</v>
      </c>
      <c r="M229" s="260" t="s">
        <v>4772</v>
      </c>
      <c r="N229" s="164" t="s">
        <v>4649</v>
      </c>
      <c r="O229" s="139" t="s">
        <v>464</v>
      </c>
      <c r="P229" s="40" t="s">
        <v>465</v>
      </c>
      <c r="Q229" s="247" t="s">
        <v>3604</v>
      </c>
      <c r="R229" s="219" t="s">
        <v>3300</v>
      </c>
      <c r="S229" s="141" t="s">
        <v>439</v>
      </c>
      <c r="T229" s="261"/>
    </row>
    <row r="230" spans="1:20" ht="58" customHeight="1">
      <c r="A230" s="249" t="s">
        <v>2660</v>
      </c>
      <c r="B230" s="42" t="s">
        <v>1490</v>
      </c>
      <c r="C230" s="41" t="s">
        <v>1602</v>
      </c>
      <c r="D230" s="41" t="s">
        <v>474</v>
      </c>
      <c r="E230" s="218" t="s">
        <v>868</v>
      </c>
      <c r="F230" s="218" t="s">
        <v>475</v>
      </c>
      <c r="G230" s="263" t="s">
        <v>3386</v>
      </c>
      <c r="H230" s="42" t="s">
        <v>1599</v>
      </c>
      <c r="I230" s="266" t="s">
        <v>4484</v>
      </c>
      <c r="J230" s="251" t="s">
        <v>4300</v>
      </c>
      <c r="K230" s="165" t="s">
        <v>4665</v>
      </c>
      <c r="L230" s="260" t="s">
        <v>4795</v>
      </c>
      <c r="M230" s="260" t="s">
        <v>4796</v>
      </c>
      <c r="N230" s="164" t="s">
        <v>4650</v>
      </c>
      <c r="O230" s="139" t="s">
        <v>472</v>
      </c>
      <c r="P230" s="40" t="s">
        <v>473</v>
      </c>
      <c r="Q230" s="247" t="s">
        <v>3604</v>
      </c>
      <c r="R230" s="219" t="s">
        <v>3300</v>
      </c>
      <c r="S230" s="141" t="s">
        <v>439</v>
      </c>
      <c r="T230" s="261"/>
    </row>
    <row r="231" spans="1:20" ht="58" customHeight="1">
      <c r="A231" s="249" t="s">
        <v>2660</v>
      </c>
      <c r="B231" s="42" t="s">
        <v>1490</v>
      </c>
      <c r="C231" s="41" t="s">
        <v>1603</v>
      </c>
      <c r="D231" s="41" t="s">
        <v>456</v>
      </c>
      <c r="E231" s="218" t="s">
        <v>863</v>
      </c>
      <c r="F231" s="218" t="s">
        <v>457</v>
      </c>
      <c r="G231" s="263" t="s">
        <v>3382</v>
      </c>
      <c r="H231" s="42" t="s">
        <v>2</v>
      </c>
      <c r="I231" s="266" t="s">
        <v>3390</v>
      </c>
      <c r="J231" s="251" t="s">
        <v>3599</v>
      </c>
      <c r="K231" s="165"/>
      <c r="L231" s="260"/>
      <c r="M231" s="260"/>
      <c r="N231" s="164"/>
      <c r="O231" s="139" t="s">
        <v>454</v>
      </c>
      <c r="P231" s="40" t="s">
        <v>455</v>
      </c>
      <c r="Q231" s="247" t="s">
        <v>3604</v>
      </c>
      <c r="R231" s="219" t="s">
        <v>3358</v>
      </c>
      <c r="S231" s="141" t="s">
        <v>439</v>
      </c>
      <c r="T231" s="261"/>
    </row>
    <row r="232" spans="1:20" ht="58" customHeight="1">
      <c r="A232" s="249" t="s">
        <v>2660</v>
      </c>
      <c r="B232" s="42" t="s">
        <v>1490</v>
      </c>
      <c r="C232" s="41" t="s">
        <v>1603</v>
      </c>
      <c r="D232" s="41" t="s">
        <v>470</v>
      </c>
      <c r="E232" s="218" t="s">
        <v>867</v>
      </c>
      <c r="F232" s="218" t="s">
        <v>471</v>
      </c>
      <c r="G232" s="263" t="s">
        <v>3386</v>
      </c>
      <c r="H232" s="42" t="s">
        <v>1599</v>
      </c>
      <c r="I232" s="266" t="s">
        <v>3392</v>
      </c>
      <c r="J232" s="251" t="s">
        <v>4299</v>
      </c>
      <c r="K232" s="165" t="s">
        <v>4928</v>
      </c>
      <c r="L232" s="260"/>
      <c r="M232" s="260"/>
      <c r="N232" s="164"/>
      <c r="O232" s="139" t="s">
        <v>468</v>
      </c>
      <c r="P232" s="40" t="s">
        <v>469</v>
      </c>
      <c r="Q232" s="247" t="s">
        <v>3604</v>
      </c>
      <c r="R232" s="219" t="s">
        <v>3300</v>
      </c>
      <c r="S232" s="141" t="s">
        <v>439</v>
      </c>
      <c r="T232" s="261"/>
    </row>
    <row r="233" spans="1:20" ht="58" customHeight="1">
      <c r="A233" s="249" t="s">
        <v>2660</v>
      </c>
      <c r="B233" s="42" t="s">
        <v>1490</v>
      </c>
      <c r="C233" s="41" t="s">
        <v>1604</v>
      </c>
      <c r="D233" s="41" t="s">
        <v>3050</v>
      </c>
      <c r="E233" s="218" t="s">
        <v>3049</v>
      </c>
      <c r="F233" s="218" t="s">
        <v>4867</v>
      </c>
      <c r="G233" s="263" t="s">
        <v>4954</v>
      </c>
      <c r="H233" s="42" t="s">
        <v>2</v>
      </c>
      <c r="I233" s="266" t="s">
        <v>1616</v>
      </c>
      <c r="J233" s="251" t="s">
        <v>3599</v>
      </c>
      <c r="K233" s="165"/>
      <c r="L233" s="260"/>
      <c r="M233" s="260"/>
      <c r="N233" s="164"/>
      <c r="O233" s="139" t="s">
        <v>3051</v>
      </c>
      <c r="P233" s="40" t="s">
        <v>3052</v>
      </c>
      <c r="Q233" s="247" t="s">
        <v>3605</v>
      </c>
      <c r="R233" s="219" t="s">
        <v>4868</v>
      </c>
      <c r="S233" s="141" t="s">
        <v>2783</v>
      </c>
      <c r="T233" s="261"/>
    </row>
    <row r="234" spans="1:20" ht="58" customHeight="1">
      <c r="A234" s="249" t="s">
        <v>2660</v>
      </c>
      <c r="B234" s="42" t="s">
        <v>1490</v>
      </c>
      <c r="C234" s="41" t="s">
        <v>1604</v>
      </c>
      <c r="D234" s="41" t="s">
        <v>460</v>
      </c>
      <c r="E234" s="218" t="s">
        <v>864</v>
      </c>
      <c r="F234" s="218" t="s">
        <v>461</v>
      </c>
      <c r="G234" s="263" t="s">
        <v>3382</v>
      </c>
      <c r="H234" s="42" t="s">
        <v>2</v>
      </c>
      <c r="I234" s="266" t="s">
        <v>3390</v>
      </c>
      <c r="J234" s="251" t="s">
        <v>3599</v>
      </c>
      <c r="K234" s="165"/>
      <c r="L234" s="260"/>
      <c r="M234" s="260"/>
      <c r="N234" s="164"/>
      <c r="O234" s="139" t="s">
        <v>458</v>
      </c>
      <c r="P234" s="40" t="s">
        <v>459</v>
      </c>
      <c r="Q234" s="247" t="s">
        <v>3604</v>
      </c>
      <c r="R234" s="219" t="s">
        <v>3358</v>
      </c>
      <c r="S234" s="141" t="s">
        <v>446</v>
      </c>
      <c r="T234" s="261"/>
    </row>
    <row r="235" spans="1:20" ht="58" customHeight="1">
      <c r="A235" s="249" t="s">
        <v>2660</v>
      </c>
      <c r="B235" s="42" t="s">
        <v>1490</v>
      </c>
      <c r="C235" s="41" t="s">
        <v>1604</v>
      </c>
      <c r="D235" s="41" t="s">
        <v>4569</v>
      </c>
      <c r="E235" s="218" t="s">
        <v>865</v>
      </c>
      <c r="F235" s="218" t="s">
        <v>463</v>
      </c>
      <c r="G235" s="263" t="s">
        <v>3388</v>
      </c>
      <c r="H235" s="42" t="s">
        <v>1599</v>
      </c>
      <c r="I235" s="266" t="s">
        <v>4484</v>
      </c>
      <c r="J235" s="251" t="s">
        <v>4297</v>
      </c>
      <c r="K235" s="165" t="s">
        <v>4570</v>
      </c>
      <c r="L235" s="260" t="s">
        <v>4836</v>
      </c>
      <c r="M235" s="260" t="s">
        <v>4837</v>
      </c>
      <c r="N235" s="164" t="s">
        <v>4650</v>
      </c>
      <c r="O235" s="139" t="s">
        <v>462</v>
      </c>
      <c r="P235" s="40" t="s">
        <v>4568</v>
      </c>
      <c r="Q235" s="247" t="s">
        <v>3604</v>
      </c>
      <c r="R235" s="219" t="s">
        <v>3359</v>
      </c>
      <c r="S235" s="141" t="s">
        <v>439</v>
      </c>
      <c r="T235" s="261"/>
    </row>
    <row r="236" spans="1:20" ht="58" customHeight="1">
      <c r="A236" s="249" t="s">
        <v>2660</v>
      </c>
      <c r="B236" s="42" t="s">
        <v>1490</v>
      </c>
      <c r="C236" s="41" t="s">
        <v>1604</v>
      </c>
      <c r="D236" s="41" t="s">
        <v>4571</v>
      </c>
      <c r="E236" s="218" t="s">
        <v>865</v>
      </c>
      <c r="F236" s="218" t="s">
        <v>463</v>
      </c>
      <c r="G236" s="263" t="s">
        <v>3388</v>
      </c>
      <c r="H236" s="42" t="s">
        <v>1599</v>
      </c>
      <c r="I236" s="266" t="s">
        <v>4484</v>
      </c>
      <c r="J236" s="251" t="s">
        <v>4297</v>
      </c>
      <c r="K236" s="165" t="s">
        <v>4573</v>
      </c>
      <c r="L236" s="260" t="s">
        <v>4810</v>
      </c>
      <c r="M236" s="260" t="s">
        <v>4811</v>
      </c>
      <c r="N236" s="164" t="s">
        <v>4649</v>
      </c>
      <c r="O236" s="139" t="s">
        <v>462</v>
      </c>
      <c r="P236" s="40" t="s">
        <v>4572</v>
      </c>
      <c r="Q236" s="247" t="s">
        <v>3604</v>
      </c>
      <c r="R236" s="219" t="s">
        <v>3359</v>
      </c>
      <c r="S236" s="141" t="s">
        <v>439</v>
      </c>
      <c r="T236" s="261"/>
    </row>
    <row r="237" spans="1:20" ht="58" customHeight="1">
      <c r="A237" s="249" t="s">
        <v>2660</v>
      </c>
      <c r="B237" s="42" t="s">
        <v>1490</v>
      </c>
      <c r="C237" s="41" t="s">
        <v>1604</v>
      </c>
      <c r="D237" s="41" t="s">
        <v>478</v>
      </c>
      <c r="E237" s="218" t="s">
        <v>869</v>
      </c>
      <c r="F237" s="218" t="s">
        <v>479</v>
      </c>
      <c r="G237" s="263" t="s">
        <v>3382</v>
      </c>
      <c r="H237" s="42" t="s">
        <v>2</v>
      </c>
      <c r="I237" s="266" t="s">
        <v>3390</v>
      </c>
      <c r="J237" s="251" t="s">
        <v>3599</v>
      </c>
      <c r="K237" s="165"/>
      <c r="L237" s="260"/>
      <c r="M237" s="260"/>
      <c r="N237" s="164"/>
      <c r="O237" s="139" t="s">
        <v>476</v>
      </c>
      <c r="P237" s="40" t="s">
        <v>477</v>
      </c>
      <c r="Q237" s="247" t="s">
        <v>3604</v>
      </c>
      <c r="R237" s="219" t="s">
        <v>3358</v>
      </c>
      <c r="S237" s="141" t="s">
        <v>439</v>
      </c>
      <c r="T237" s="261"/>
    </row>
    <row r="238" spans="1:20" ht="58" customHeight="1">
      <c r="A238" s="249" t="s">
        <v>2660</v>
      </c>
      <c r="B238" s="42" t="s">
        <v>1490</v>
      </c>
      <c r="C238" s="41" t="s">
        <v>1606</v>
      </c>
      <c r="D238" s="41" t="s">
        <v>482</v>
      </c>
      <c r="E238" s="218" t="s">
        <v>870</v>
      </c>
      <c r="F238" s="218" t="s">
        <v>483</v>
      </c>
      <c r="G238" s="263" t="s">
        <v>3382</v>
      </c>
      <c r="H238" s="42" t="s">
        <v>2</v>
      </c>
      <c r="I238" s="266" t="s">
        <v>3390</v>
      </c>
      <c r="J238" s="251" t="s">
        <v>3599</v>
      </c>
      <c r="K238" s="165"/>
      <c r="L238" s="260"/>
      <c r="M238" s="260"/>
      <c r="N238" s="164"/>
      <c r="O238" s="139" t="s">
        <v>480</v>
      </c>
      <c r="P238" s="40" t="s">
        <v>481</v>
      </c>
      <c r="Q238" s="247" t="s">
        <v>3604</v>
      </c>
      <c r="R238" s="219" t="s">
        <v>3358</v>
      </c>
      <c r="S238" s="141" t="s">
        <v>439</v>
      </c>
      <c r="T238" s="261"/>
    </row>
    <row r="239" spans="1:20" ht="58" customHeight="1">
      <c r="A239" s="249" t="s">
        <v>2660</v>
      </c>
      <c r="B239" s="42" t="s">
        <v>1490</v>
      </c>
      <c r="C239" s="41" t="s">
        <v>1606</v>
      </c>
      <c r="D239" s="41" t="s">
        <v>486</v>
      </c>
      <c r="E239" s="218" t="s">
        <v>871</v>
      </c>
      <c r="F239" s="218" t="s">
        <v>487</v>
      </c>
      <c r="G239" s="263" t="s">
        <v>3388</v>
      </c>
      <c r="H239" s="42" t="s">
        <v>1599</v>
      </c>
      <c r="I239" s="266" t="s">
        <v>4871</v>
      </c>
      <c r="J239" s="251" t="s">
        <v>4301</v>
      </c>
      <c r="K239" s="165" t="s">
        <v>4624</v>
      </c>
      <c r="L239" s="260" t="s">
        <v>4713</v>
      </c>
      <c r="M239" s="260" t="s">
        <v>4714</v>
      </c>
      <c r="N239" s="164" t="s">
        <v>4649</v>
      </c>
      <c r="O239" s="139" t="s">
        <v>484</v>
      </c>
      <c r="P239" s="40" t="s">
        <v>485</v>
      </c>
      <c r="Q239" s="247" t="s">
        <v>3604</v>
      </c>
      <c r="R239" s="219" t="s">
        <v>3359</v>
      </c>
      <c r="S239" s="141" t="s">
        <v>439</v>
      </c>
      <c r="T239" s="261"/>
    </row>
    <row r="240" spans="1:20" ht="58" customHeight="1">
      <c r="A240" s="249" t="s">
        <v>2660</v>
      </c>
      <c r="B240" s="42" t="s">
        <v>1490</v>
      </c>
      <c r="C240" s="41" t="s">
        <v>1606</v>
      </c>
      <c r="D240" s="41" t="s">
        <v>4861</v>
      </c>
      <c r="E240" s="218" t="s">
        <v>4862</v>
      </c>
      <c r="F240" s="218" t="s">
        <v>4863</v>
      </c>
      <c r="G240" s="263" t="s">
        <v>4955</v>
      </c>
      <c r="H240" s="42" t="s">
        <v>2</v>
      </c>
      <c r="I240" s="266" t="s">
        <v>1616</v>
      </c>
      <c r="J240" s="251" t="s">
        <v>3599</v>
      </c>
      <c r="K240" s="165"/>
      <c r="L240" s="260"/>
      <c r="M240" s="260"/>
      <c r="N240" s="164"/>
      <c r="O240" s="139" t="s">
        <v>3048</v>
      </c>
      <c r="P240" s="40" t="s">
        <v>4864</v>
      </c>
      <c r="Q240" s="247" t="s">
        <v>3604</v>
      </c>
      <c r="R240" s="219" t="s">
        <v>4865</v>
      </c>
      <c r="S240" s="141" t="s">
        <v>4866</v>
      </c>
      <c r="T240" s="261"/>
    </row>
    <row r="241" spans="1:20" ht="58" customHeight="1">
      <c r="A241" s="249" t="s">
        <v>2660</v>
      </c>
      <c r="B241" s="42" t="s">
        <v>1490</v>
      </c>
      <c r="C241" s="41" t="s">
        <v>1614</v>
      </c>
      <c r="D241" s="41" t="s">
        <v>438</v>
      </c>
      <c r="E241" s="218" t="s">
        <v>861</v>
      </c>
      <c r="F241" s="218" t="s">
        <v>3672</v>
      </c>
      <c r="G241" s="263" t="s">
        <v>3673</v>
      </c>
      <c r="H241" s="42" t="s">
        <v>1598</v>
      </c>
      <c r="I241" s="266" t="s">
        <v>3394</v>
      </c>
      <c r="J241" s="251" t="s">
        <v>3599</v>
      </c>
      <c r="K241" s="165"/>
      <c r="L241" s="260"/>
      <c r="M241" s="260"/>
      <c r="N241" s="164"/>
      <c r="O241" s="139" t="s">
        <v>436</v>
      </c>
      <c r="P241" s="40" t="s">
        <v>437</v>
      </c>
      <c r="Q241" s="247" t="s">
        <v>3604</v>
      </c>
      <c r="R241" s="219" t="s">
        <v>3355</v>
      </c>
      <c r="S241" s="141" t="s">
        <v>439</v>
      </c>
      <c r="T241" s="261"/>
    </row>
    <row r="242" spans="1:20" ht="58" customHeight="1">
      <c r="A242" s="249" t="s">
        <v>2660</v>
      </c>
      <c r="B242" s="42" t="s">
        <v>1490</v>
      </c>
      <c r="C242" s="41" t="s">
        <v>1614</v>
      </c>
      <c r="D242" s="41" t="s">
        <v>497</v>
      </c>
      <c r="E242" s="218" t="s">
        <v>4187</v>
      </c>
      <c r="F242" s="218" t="s">
        <v>4670</v>
      </c>
      <c r="G242" s="263" t="s">
        <v>4956</v>
      </c>
      <c r="H242" s="42" t="s">
        <v>3</v>
      </c>
      <c r="I242" s="266" t="s">
        <v>3394</v>
      </c>
      <c r="J242" s="251" t="s">
        <v>3599</v>
      </c>
      <c r="K242" s="165"/>
      <c r="L242" s="260"/>
      <c r="M242" s="260"/>
      <c r="N242" s="164"/>
      <c r="O242" s="139" t="s">
        <v>495</v>
      </c>
      <c r="P242" s="40" t="s">
        <v>496</v>
      </c>
      <c r="Q242" s="247" t="s">
        <v>3604</v>
      </c>
      <c r="R242" s="219" t="s">
        <v>3361</v>
      </c>
      <c r="S242" s="141" t="s">
        <v>498</v>
      </c>
      <c r="T242" s="261"/>
    </row>
    <row r="243" spans="1:20" ht="58" customHeight="1">
      <c r="A243" s="249" t="s">
        <v>2660</v>
      </c>
      <c r="B243" s="42" t="s">
        <v>1490</v>
      </c>
      <c r="C243" s="41" t="s">
        <v>1614</v>
      </c>
      <c r="D243" s="41" t="s">
        <v>501</v>
      </c>
      <c r="E243" s="218" t="s">
        <v>874</v>
      </c>
      <c r="F243" s="218" t="s">
        <v>4856</v>
      </c>
      <c r="G243" s="263" t="s">
        <v>4957</v>
      </c>
      <c r="H243" s="42" t="s">
        <v>1599</v>
      </c>
      <c r="I243" s="266" t="s">
        <v>4855</v>
      </c>
      <c r="J243" s="251" t="s">
        <v>4302</v>
      </c>
      <c r="K243" s="165" t="s">
        <v>1025</v>
      </c>
      <c r="L243" s="260"/>
      <c r="M243" s="260"/>
      <c r="N243" s="164"/>
      <c r="O243" s="139" t="s">
        <v>499</v>
      </c>
      <c r="P243" s="40" t="s">
        <v>500</v>
      </c>
      <c r="Q243" s="247" t="s">
        <v>3604</v>
      </c>
      <c r="R243" s="219" t="s">
        <v>3300</v>
      </c>
      <c r="S243" s="141" t="s">
        <v>439</v>
      </c>
      <c r="T243" s="261" t="s">
        <v>4857</v>
      </c>
    </row>
    <row r="244" spans="1:20" ht="58" customHeight="1">
      <c r="A244" s="249" t="s">
        <v>2660</v>
      </c>
      <c r="B244" s="42" t="s">
        <v>1490</v>
      </c>
      <c r="C244" s="41" t="s">
        <v>1614</v>
      </c>
      <c r="D244" s="41" t="s">
        <v>3045</v>
      </c>
      <c r="E244" s="218" t="s">
        <v>3044</v>
      </c>
      <c r="F244" s="218" t="s">
        <v>4849</v>
      </c>
      <c r="G244" s="263" t="s">
        <v>4850</v>
      </c>
      <c r="H244" s="42" t="s">
        <v>2</v>
      </c>
      <c r="I244" s="266" t="s">
        <v>1616</v>
      </c>
      <c r="J244" s="251" t="s">
        <v>3599</v>
      </c>
      <c r="K244" s="165"/>
      <c r="L244" s="260"/>
      <c r="M244" s="260"/>
      <c r="N244" s="164"/>
      <c r="O244" s="139" t="s">
        <v>3046</v>
      </c>
      <c r="P244" s="40" t="s">
        <v>4851</v>
      </c>
      <c r="Q244" s="247" t="s">
        <v>3604</v>
      </c>
      <c r="R244" s="219" t="s">
        <v>4852</v>
      </c>
      <c r="S244" s="141" t="s">
        <v>3047</v>
      </c>
      <c r="T244" s="261"/>
    </row>
    <row r="245" spans="1:20" ht="58" customHeight="1">
      <c r="A245" s="249" t="s">
        <v>2660</v>
      </c>
      <c r="B245" s="42" t="s">
        <v>1490</v>
      </c>
      <c r="C245" s="41" t="s">
        <v>1608</v>
      </c>
      <c r="D245" s="41" t="s">
        <v>442</v>
      </c>
      <c r="E245" s="218" t="s">
        <v>4188</v>
      </c>
      <c r="F245" s="218" t="s">
        <v>4312</v>
      </c>
      <c r="G245" s="263" t="s">
        <v>4958</v>
      </c>
      <c r="H245" s="42" t="s">
        <v>2</v>
      </c>
      <c r="I245" s="266" t="s">
        <v>3390</v>
      </c>
      <c r="J245" s="251" t="s">
        <v>3599</v>
      </c>
      <c r="K245" s="165"/>
      <c r="L245" s="260"/>
      <c r="M245" s="260"/>
      <c r="N245" s="164"/>
      <c r="O245" s="139" t="s">
        <v>440</v>
      </c>
      <c r="P245" s="40" t="s">
        <v>441</v>
      </c>
      <c r="Q245" s="247" t="s">
        <v>3604</v>
      </c>
      <c r="R245" s="219" t="s">
        <v>3356</v>
      </c>
      <c r="S245" s="141" t="s">
        <v>439</v>
      </c>
      <c r="T245" s="261"/>
    </row>
    <row r="246" spans="1:20" ht="58" customHeight="1">
      <c r="A246" s="249" t="s">
        <v>2660</v>
      </c>
      <c r="B246" s="42" t="s">
        <v>1490</v>
      </c>
      <c r="C246" s="41" t="s">
        <v>1608</v>
      </c>
      <c r="D246" s="41" t="s">
        <v>494</v>
      </c>
      <c r="E246" s="218" t="s">
        <v>873</v>
      </c>
      <c r="F246" s="218" t="s">
        <v>3701</v>
      </c>
      <c r="G246" s="263" t="s">
        <v>3702</v>
      </c>
      <c r="H246" s="42" t="s">
        <v>1598</v>
      </c>
      <c r="I246" s="266" t="s">
        <v>3394</v>
      </c>
      <c r="J246" s="251" t="s">
        <v>3599</v>
      </c>
      <c r="K246" s="165"/>
      <c r="L246" s="260"/>
      <c r="M246" s="260"/>
      <c r="N246" s="164"/>
      <c r="O246" s="139" t="s">
        <v>492</v>
      </c>
      <c r="P246" s="40" t="s">
        <v>493</v>
      </c>
      <c r="Q246" s="247" t="s">
        <v>3604</v>
      </c>
      <c r="R246" s="219" t="s">
        <v>3360</v>
      </c>
      <c r="S246" s="141" t="s">
        <v>439</v>
      </c>
      <c r="T246" s="261"/>
    </row>
    <row r="247" spans="1:20" ht="58" customHeight="1">
      <c r="A247" s="249" t="s">
        <v>2660</v>
      </c>
      <c r="B247" s="42" t="s">
        <v>1490</v>
      </c>
      <c r="C247" s="41" t="s">
        <v>1607</v>
      </c>
      <c r="D247" s="41" t="s">
        <v>449</v>
      </c>
      <c r="E247" s="218" t="s">
        <v>862</v>
      </c>
      <c r="F247" s="218" t="s">
        <v>450</v>
      </c>
      <c r="G247" s="263" t="s">
        <v>3385</v>
      </c>
      <c r="H247" s="42" t="s">
        <v>1599</v>
      </c>
      <c r="I247" s="266" t="s">
        <v>3392</v>
      </c>
      <c r="J247" s="251" t="s">
        <v>4303</v>
      </c>
      <c r="K247" s="165" t="s">
        <v>4615</v>
      </c>
      <c r="L247" s="260" t="s">
        <v>4687</v>
      </c>
      <c r="M247" s="260" t="s">
        <v>4688</v>
      </c>
      <c r="N247" s="164" t="s">
        <v>4649</v>
      </c>
      <c r="O247" s="139" t="s">
        <v>447</v>
      </c>
      <c r="P247" s="40" t="s">
        <v>448</v>
      </c>
      <c r="Q247" s="247" t="s">
        <v>3604</v>
      </c>
      <c r="R247" s="219" t="s">
        <v>3299</v>
      </c>
      <c r="S247" s="141" t="s">
        <v>439</v>
      </c>
      <c r="T247" s="261"/>
    </row>
    <row r="248" spans="1:20" ht="58" customHeight="1">
      <c r="A248" s="249" t="s">
        <v>2660</v>
      </c>
      <c r="B248" s="42" t="s">
        <v>1490</v>
      </c>
      <c r="C248" s="41" t="s">
        <v>1607</v>
      </c>
      <c r="D248" s="41" t="s">
        <v>453</v>
      </c>
      <c r="E248" s="218" t="s">
        <v>4189</v>
      </c>
      <c r="F248" s="218" t="s">
        <v>3700</v>
      </c>
      <c r="G248" s="263" t="s">
        <v>4959</v>
      </c>
      <c r="H248" s="42" t="s">
        <v>1599</v>
      </c>
      <c r="I248" s="266" t="s">
        <v>3392</v>
      </c>
      <c r="J248" s="251" t="s">
        <v>4324</v>
      </c>
      <c r="K248" s="165" t="s">
        <v>4640</v>
      </c>
      <c r="L248" s="260" t="s">
        <v>5034</v>
      </c>
      <c r="M248" s="260"/>
      <c r="N248" s="164" t="s">
        <v>4649</v>
      </c>
      <c r="O248" s="139" t="s">
        <v>451</v>
      </c>
      <c r="P248" s="40" t="s">
        <v>452</v>
      </c>
      <c r="Q248" s="247" t="s">
        <v>3604</v>
      </c>
      <c r="R248" s="219" t="s">
        <v>3357</v>
      </c>
      <c r="S248" s="141" t="s">
        <v>446</v>
      </c>
      <c r="T248" s="261" t="s">
        <v>4190</v>
      </c>
    </row>
    <row r="249" spans="1:20" ht="58" customHeight="1">
      <c r="A249" s="249" t="s">
        <v>2660</v>
      </c>
      <c r="B249" s="42" t="s">
        <v>1490</v>
      </c>
      <c r="C249" s="41" t="s">
        <v>1607</v>
      </c>
      <c r="D249" s="41" t="s">
        <v>490</v>
      </c>
      <c r="E249" s="218" t="s">
        <v>872</v>
      </c>
      <c r="F249" s="218" t="s">
        <v>491</v>
      </c>
      <c r="G249" s="263" t="s">
        <v>3382</v>
      </c>
      <c r="H249" s="42" t="s">
        <v>2</v>
      </c>
      <c r="I249" s="266" t="s">
        <v>3390</v>
      </c>
      <c r="J249" s="251" t="s">
        <v>3599</v>
      </c>
      <c r="K249" s="165"/>
      <c r="L249" s="260"/>
      <c r="M249" s="260"/>
      <c r="N249" s="164"/>
      <c r="O249" s="139" t="s">
        <v>488</v>
      </c>
      <c r="P249" s="40" t="s">
        <v>489</v>
      </c>
      <c r="Q249" s="247" t="s">
        <v>3604</v>
      </c>
      <c r="R249" s="219" t="s">
        <v>3358</v>
      </c>
      <c r="S249" s="141" t="s">
        <v>439</v>
      </c>
      <c r="T249" s="261"/>
    </row>
    <row r="250" spans="1:20" ht="58" customHeight="1">
      <c r="A250" s="249" t="s">
        <v>2660</v>
      </c>
      <c r="B250" s="42" t="s">
        <v>1490</v>
      </c>
      <c r="C250" s="41" t="s">
        <v>1611</v>
      </c>
      <c r="D250" s="41" t="s">
        <v>445</v>
      </c>
      <c r="E250" s="218" t="s">
        <v>3608</v>
      </c>
      <c r="F250" s="218" t="s">
        <v>4668</v>
      </c>
      <c r="G250" s="263" t="s">
        <v>4669</v>
      </c>
      <c r="H250" s="42" t="s">
        <v>1599</v>
      </c>
      <c r="I250" s="266" t="s">
        <v>3392</v>
      </c>
      <c r="J250" s="251" t="s">
        <v>3599</v>
      </c>
      <c r="K250" s="165" t="s">
        <v>4982</v>
      </c>
      <c r="L250" s="260" t="s">
        <v>4983</v>
      </c>
      <c r="M250" s="260"/>
      <c r="N250" s="164" t="s">
        <v>4651</v>
      </c>
      <c r="O250" s="139" t="s">
        <v>443</v>
      </c>
      <c r="P250" s="40" t="s">
        <v>444</v>
      </c>
      <c r="Q250" s="247" t="s">
        <v>3604</v>
      </c>
      <c r="R250" s="219" t="s">
        <v>3381</v>
      </c>
      <c r="S250" s="141" t="s">
        <v>446</v>
      </c>
      <c r="T250" s="261"/>
    </row>
    <row r="251" spans="1:20" ht="58" customHeight="1">
      <c r="A251" s="249" t="s">
        <v>2660</v>
      </c>
      <c r="B251" s="42" t="s">
        <v>1615</v>
      </c>
      <c r="C251" s="41" t="s">
        <v>1604</v>
      </c>
      <c r="D251" s="41" t="s">
        <v>513</v>
      </c>
      <c r="E251" s="218" t="s">
        <v>878</v>
      </c>
      <c r="F251" s="218" t="s">
        <v>3696</v>
      </c>
      <c r="G251" s="263" t="s">
        <v>4960</v>
      </c>
      <c r="H251" s="42" t="s">
        <v>3</v>
      </c>
      <c r="I251" s="266" t="s">
        <v>1616</v>
      </c>
      <c r="J251" s="251" t="s">
        <v>3599</v>
      </c>
      <c r="K251" s="165"/>
      <c r="L251" s="260"/>
      <c r="M251" s="260"/>
      <c r="N251" s="164"/>
      <c r="O251" s="139" t="s">
        <v>511</v>
      </c>
      <c r="P251" s="40" t="s">
        <v>512</v>
      </c>
      <c r="Q251" s="247" t="s">
        <v>3606</v>
      </c>
      <c r="R251" s="219" t="s">
        <v>3360</v>
      </c>
      <c r="S251" s="141" t="s">
        <v>505</v>
      </c>
      <c r="T251" s="261"/>
    </row>
    <row r="252" spans="1:20" ht="58" customHeight="1">
      <c r="A252" s="249" t="s">
        <v>2660</v>
      </c>
      <c r="B252" s="42" t="s">
        <v>1615</v>
      </c>
      <c r="C252" s="41" t="s">
        <v>1604</v>
      </c>
      <c r="D252" s="41" t="s">
        <v>510</v>
      </c>
      <c r="E252" s="218" t="s">
        <v>877</v>
      </c>
      <c r="F252" s="218" t="s">
        <v>3697</v>
      </c>
      <c r="G252" s="263" t="s">
        <v>3698</v>
      </c>
      <c r="H252" s="42" t="s">
        <v>3</v>
      </c>
      <c r="I252" s="266" t="s">
        <v>1616</v>
      </c>
      <c r="J252" s="251" t="s">
        <v>3599</v>
      </c>
      <c r="K252" s="165"/>
      <c r="L252" s="260"/>
      <c r="M252" s="260"/>
      <c r="N252" s="164"/>
      <c r="O252" s="139" t="s">
        <v>502</v>
      </c>
      <c r="P252" s="40" t="s">
        <v>509</v>
      </c>
      <c r="Q252" s="247" t="s">
        <v>3606</v>
      </c>
      <c r="R252" s="219" t="s">
        <v>3360</v>
      </c>
      <c r="S252" s="141" t="s">
        <v>505</v>
      </c>
      <c r="T252" s="261"/>
    </row>
    <row r="253" spans="1:20" ht="58" customHeight="1">
      <c r="A253" s="249" t="s">
        <v>2660</v>
      </c>
      <c r="B253" s="42" t="s">
        <v>1615</v>
      </c>
      <c r="C253" s="41" t="s">
        <v>1614</v>
      </c>
      <c r="D253" s="41" t="s">
        <v>519</v>
      </c>
      <c r="E253" s="218" t="s">
        <v>880</v>
      </c>
      <c r="F253" s="218" t="s">
        <v>4858</v>
      </c>
      <c r="G253" s="263" t="s">
        <v>4961</v>
      </c>
      <c r="H253" s="42" t="s">
        <v>1599</v>
      </c>
      <c r="I253" s="266" t="s">
        <v>4855</v>
      </c>
      <c r="J253" s="251" t="s">
        <v>4304</v>
      </c>
      <c r="K253" s="165" t="s">
        <v>1025</v>
      </c>
      <c r="L253" s="260"/>
      <c r="M253" s="260"/>
      <c r="N253" s="164"/>
      <c r="O253" s="139" t="s">
        <v>517</v>
      </c>
      <c r="P253" s="40" t="s">
        <v>518</v>
      </c>
      <c r="Q253" s="247" t="s">
        <v>3606</v>
      </c>
      <c r="R253" s="219" t="s">
        <v>3300</v>
      </c>
      <c r="S253" s="141" t="s">
        <v>508</v>
      </c>
      <c r="T253" s="261" t="s">
        <v>4859</v>
      </c>
    </row>
    <row r="254" spans="1:20" ht="58" customHeight="1">
      <c r="A254" s="249" t="s">
        <v>2660</v>
      </c>
      <c r="B254" s="42" t="s">
        <v>1615</v>
      </c>
      <c r="C254" s="41" t="s">
        <v>1608</v>
      </c>
      <c r="D254" s="41" t="s">
        <v>504</v>
      </c>
      <c r="E254" s="218" t="s">
        <v>4186</v>
      </c>
      <c r="F254" s="218" t="s">
        <v>3699</v>
      </c>
      <c r="G254" s="263" t="s">
        <v>4962</v>
      </c>
      <c r="H254" s="42" t="s">
        <v>1598</v>
      </c>
      <c r="I254" s="266" t="s">
        <v>1616</v>
      </c>
      <c r="J254" s="251" t="s">
        <v>3599</v>
      </c>
      <c r="K254" s="165"/>
      <c r="L254" s="260"/>
      <c r="M254" s="260"/>
      <c r="N254" s="164"/>
      <c r="O254" s="139" t="s">
        <v>502</v>
      </c>
      <c r="P254" s="40" t="s">
        <v>503</v>
      </c>
      <c r="Q254" s="247" t="s">
        <v>3606</v>
      </c>
      <c r="R254" s="219" t="s">
        <v>3362</v>
      </c>
      <c r="S254" s="141" t="s">
        <v>505</v>
      </c>
      <c r="T254" s="261"/>
    </row>
    <row r="255" spans="1:20" ht="58" customHeight="1">
      <c r="A255" s="249" t="s">
        <v>2660</v>
      </c>
      <c r="B255" s="42" t="s">
        <v>1615</v>
      </c>
      <c r="C255" s="41" t="s">
        <v>1607</v>
      </c>
      <c r="D255" s="41" t="s">
        <v>526</v>
      </c>
      <c r="E255" s="218" t="s">
        <v>4191</v>
      </c>
      <c r="F255" s="218" t="s">
        <v>527</v>
      </c>
      <c r="G255" s="263" t="s">
        <v>4963</v>
      </c>
      <c r="H255" s="42" t="s">
        <v>1599</v>
      </c>
      <c r="I255" s="266" t="s">
        <v>3392</v>
      </c>
      <c r="J255" s="251" t="s">
        <v>3599</v>
      </c>
      <c r="K255" s="165" t="s">
        <v>4640</v>
      </c>
      <c r="L255" s="260" t="s">
        <v>4985</v>
      </c>
      <c r="M255" s="260"/>
      <c r="N255" s="164" t="s">
        <v>4649</v>
      </c>
      <c r="O255" s="139" t="s">
        <v>524</v>
      </c>
      <c r="P255" s="40" t="s">
        <v>525</v>
      </c>
      <c r="Q255" s="247" t="s">
        <v>3606</v>
      </c>
      <c r="R255" s="219" t="s">
        <v>3364</v>
      </c>
      <c r="S255" s="141" t="s">
        <v>508</v>
      </c>
      <c r="T255" s="261" t="s">
        <v>4460</v>
      </c>
    </row>
    <row r="256" spans="1:20" ht="58" customHeight="1">
      <c r="A256" s="249" t="s">
        <v>2660</v>
      </c>
      <c r="B256" s="42" t="s">
        <v>1615</v>
      </c>
      <c r="C256" s="41" t="s">
        <v>1611</v>
      </c>
      <c r="D256" s="41" t="s">
        <v>4575</v>
      </c>
      <c r="E256" s="218" t="s">
        <v>4185</v>
      </c>
      <c r="F256" s="218" t="s">
        <v>523</v>
      </c>
      <c r="G256" s="263" t="s">
        <v>3385</v>
      </c>
      <c r="H256" s="42" t="s">
        <v>1599</v>
      </c>
      <c r="I256" s="266" t="s">
        <v>3392</v>
      </c>
      <c r="J256" s="251" t="s">
        <v>4305</v>
      </c>
      <c r="K256" s="165" t="s">
        <v>4576</v>
      </c>
      <c r="L256" s="260" t="s">
        <v>4812</v>
      </c>
      <c r="M256" s="260" t="s">
        <v>4813</v>
      </c>
      <c r="N256" s="164" t="s">
        <v>4649</v>
      </c>
      <c r="O256" s="139" t="s">
        <v>520</v>
      </c>
      <c r="P256" s="40" t="s">
        <v>4574</v>
      </c>
      <c r="Q256" s="247" t="s">
        <v>3606</v>
      </c>
      <c r="R256" s="219" t="s">
        <v>3363</v>
      </c>
      <c r="S256" s="141" t="s">
        <v>508</v>
      </c>
      <c r="T256" s="261"/>
    </row>
    <row r="257" spans="1:20" ht="58" customHeight="1">
      <c r="A257" s="249" t="s">
        <v>2660</v>
      </c>
      <c r="B257" s="42" t="s">
        <v>1615</v>
      </c>
      <c r="C257" s="41" t="s">
        <v>1611</v>
      </c>
      <c r="D257" s="41" t="s">
        <v>4577</v>
      </c>
      <c r="E257" s="218" t="s">
        <v>4185</v>
      </c>
      <c r="F257" s="218" t="s">
        <v>523</v>
      </c>
      <c r="G257" s="263" t="s">
        <v>3385</v>
      </c>
      <c r="H257" s="42" t="s">
        <v>1599</v>
      </c>
      <c r="I257" s="266" t="s">
        <v>3392</v>
      </c>
      <c r="J257" s="251" t="s">
        <v>4305</v>
      </c>
      <c r="K257" s="165" t="s">
        <v>4579</v>
      </c>
      <c r="L257" s="260" t="s">
        <v>4838</v>
      </c>
      <c r="M257" s="260" t="s">
        <v>4839</v>
      </c>
      <c r="N257" s="164" t="s">
        <v>4650</v>
      </c>
      <c r="O257" s="139" t="s">
        <v>520</v>
      </c>
      <c r="P257" s="40" t="s">
        <v>4578</v>
      </c>
      <c r="Q257" s="247" t="s">
        <v>3606</v>
      </c>
      <c r="R257" s="219" t="s">
        <v>3363</v>
      </c>
      <c r="S257" s="141" t="s">
        <v>508</v>
      </c>
      <c r="T257" s="261"/>
    </row>
    <row r="258" spans="1:20" ht="58" customHeight="1">
      <c r="A258" s="249" t="s">
        <v>2660</v>
      </c>
      <c r="B258" s="42" t="s">
        <v>1615</v>
      </c>
      <c r="C258" s="41" t="s">
        <v>1611</v>
      </c>
      <c r="D258" s="41" t="s">
        <v>4580</v>
      </c>
      <c r="E258" s="218" t="s">
        <v>4185</v>
      </c>
      <c r="F258" s="218" t="s">
        <v>523</v>
      </c>
      <c r="G258" s="263" t="s">
        <v>3385</v>
      </c>
      <c r="H258" s="42" t="s">
        <v>1599</v>
      </c>
      <c r="I258" s="266" t="s">
        <v>3392</v>
      </c>
      <c r="J258" s="251" t="s">
        <v>4305</v>
      </c>
      <c r="K258" s="165" t="s">
        <v>4582</v>
      </c>
      <c r="L258" s="260" t="s">
        <v>4840</v>
      </c>
      <c r="M258" s="260" t="s">
        <v>4841</v>
      </c>
      <c r="N258" s="164" t="s">
        <v>4650</v>
      </c>
      <c r="O258" s="139" t="s">
        <v>520</v>
      </c>
      <c r="P258" s="40" t="s">
        <v>4581</v>
      </c>
      <c r="Q258" s="247" t="s">
        <v>3606</v>
      </c>
      <c r="R258" s="219" t="s">
        <v>3363</v>
      </c>
      <c r="S258" s="141" t="s">
        <v>508</v>
      </c>
      <c r="T258" s="261"/>
    </row>
    <row r="259" spans="1:20" ht="58" customHeight="1">
      <c r="A259" s="249" t="s">
        <v>2660</v>
      </c>
      <c r="B259" s="42" t="s">
        <v>1615</v>
      </c>
      <c r="C259" s="41" t="s">
        <v>1611</v>
      </c>
      <c r="D259" s="41" t="s">
        <v>532</v>
      </c>
      <c r="E259" s="218" t="s">
        <v>884</v>
      </c>
      <c r="F259" s="218" t="s">
        <v>533</v>
      </c>
      <c r="G259" s="263" t="s">
        <v>3383</v>
      </c>
      <c r="H259" s="42" t="s">
        <v>1025</v>
      </c>
      <c r="I259" s="266" t="s">
        <v>3391</v>
      </c>
      <c r="J259" s="251" t="s">
        <v>3599</v>
      </c>
      <c r="K259" s="165"/>
      <c r="L259" s="260"/>
      <c r="M259" s="260"/>
      <c r="N259" s="164"/>
      <c r="O259" s="139" t="s">
        <v>528</v>
      </c>
      <c r="P259" s="40" t="s">
        <v>531</v>
      </c>
      <c r="Q259" s="247" t="s">
        <v>3606</v>
      </c>
      <c r="R259" s="219" t="s">
        <v>1025</v>
      </c>
      <c r="S259" s="141" t="s">
        <v>508</v>
      </c>
      <c r="T259" s="261"/>
    </row>
    <row r="260" spans="1:20" ht="58" customHeight="1">
      <c r="A260" s="249" t="s">
        <v>2660</v>
      </c>
      <c r="B260" s="42" t="s">
        <v>1616</v>
      </c>
      <c r="C260" s="41" t="s">
        <v>1597</v>
      </c>
      <c r="D260" s="41" t="s">
        <v>540</v>
      </c>
      <c r="E260" s="218" t="s">
        <v>886</v>
      </c>
      <c r="F260" s="218" t="s">
        <v>3711</v>
      </c>
      <c r="G260" s="263" t="s">
        <v>3712</v>
      </c>
      <c r="H260" s="42" t="s">
        <v>3</v>
      </c>
      <c r="I260" s="266" t="s">
        <v>1616</v>
      </c>
      <c r="J260" s="251" t="s">
        <v>3599</v>
      </c>
      <c r="K260" s="165"/>
      <c r="L260" s="260"/>
      <c r="M260" s="260"/>
      <c r="N260" s="164"/>
      <c r="O260" s="139" t="s">
        <v>534</v>
      </c>
      <c r="P260" s="40" t="s">
        <v>539</v>
      </c>
      <c r="Q260" s="247" t="s">
        <v>3603</v>
      </c>
      <c r="R260" s="219" t="s">
        <v>3375</v>
      </c>
      <c r="S260" s="141" t="s">
        <v>542</v>
      </c>
      <c r="T260" s="261"/>
    </row>
    <row r="261" spans="1:20" ht="58" customHeight="1">
      <c r="A261" s="249" t="s">
        <v>2660</v>
      </c>
      <c r="B261" s="42" t="s">
        <v>1616</v>
      </c>
      <c r="C261" s="41" t="s">
        <v>1600</v>
      </c>
      <c r="D261" s="41" t="s">
        <v>547</v>
      </c>
      <c r="E261" s="218" t="s">
        <v>888</v>
      </c>
      <c r="F261" s="218" t="s">
        <v>3715</v>
      </c>
      <c r="G261" s="263" t="s">
        <v>3716</v>
      </c>
      <c r="H261" s="42" t="s">
        <v>1025</v>
      </c>
      <c r="I261" s="266" t="s">
        <v>1616</v>
      </c>
      <c r="J261" s="251" t="s">
        <v>3599</v>
      </c>
      <c r="K261" s="165"/>
      <c r="L261" s="260"/>
      <c r="M261" s="260"/>
      <c r="N261" s="164"/>
      <c r="O261" s="139" t="s">
        <v>534</v>
      </c>
      <c r="P261" s="40" t="s">
        <v>546</v>
      </c>
      <c r="Q261" s="247" t="s">
        <v>3603</v>
      </c>
      <c r="R261" s="219" t="s">
        <v>3376</v>
      </c>
      <c r="S261" s="141" t="s">
        <v>538</v>
      </c>
      <c r="T261" s="261"/>
    </row>
    <row r="262" spans="1:20" ht="58" customHeight="1">
      <c r="A262" s="249" t="s">
        <v>2660</v>
      </c>
      <c r="B262" s="42" t="s">
        <v>1616</v>
      </c>
      <c r="C262" s="41" t="s">
        <v>1600</v>
      </c>
      <c r="D262" s="41" t="s">
        <v>550</v>
      </c>
      <c r="E262" s="218" t="s">
        <v>889</v>
      </c>
      <c r="F262" s="218" t="s">
        <v>3717</v>
      </c>
      <c r="G262" s="263" t="s">
        <v>4964</v>
      </c>
      <c r="H262" s="42" t="s">
        <v>3</v>
      </c>
      <c r="I262" s="266" t="s">
        <v>1616</v>
      </c>
      <c r="J262" s="251" t="s">
        <v>3599</v>
      </c>
      <c r="K262" s="165"/>
      <c r="L262" s="260"/>
      <c r="M262" s="260"/>
      <c r="N262" s="164"/>
      <c r="O262" s="139" t="s">
        <v>534</v>
      </c>
      <c r="P262" s="40" t="s">
        <v>549</v>
      </c>
      <c r="Q262" s="247" t="s">
        <v>3603</v>
      </c>
      <c r="R262" s="219"/>
      <c r="S262" s="141" t="s">
        <v>538</v>
      </c>
      <c r="T262" s="261"/>
    </row>
    <row r="263" spans="1:20" ht="58" customHeight="1">
      <c r="A263" s="249" t="s">
        <v>2660</v>
      </c>
      <c r="B263" s="42" t="s">
        <v>1616</v>
      </c>
      <c r="C263" s="41" t="s">
        <v>1600</v>
      </c>
      <c r="D263" s="41" t="s">
        <v>553</v>
      </c>
      <c r="E263" s="218" t="s">
        <v>890</v>
      </c>
      <c r="F263" s="218" t="s">
        <v>3718</v>
      </c>
      <c r="G263" s="263" t="s">
        <v>4965</v>
      </c>
      <c r="H263" s="42" t="s">
        <v>3</v>
      </c>
      <c r="I263" s="266" t="s">
        <v>1616</v>
      </c>
      <c r="J263" s="251" t="s">
        <v>3599</v>
      </c>
      <c r="K263" s="165"/>
      <c r="L263" s="260"/>
      <c r="M263" s="260"/>
      <c r="N263" s="164"/>
      <c r="O263" s="139" t="s">
        <v>534</v>
      </c>
      <c r="P263" s="40" t="s">
        <v>552</v>
      </c>
      <c r="Q263" s="247" t="s">
        <v>3603</v>
      </c>
      <c r="R263" s="219"/>
      <c r="S263" s="141" t="s">
        <v>538</v>
      </c>
      <c r="T263" s="261"/>
    </row>
    <row r="264" spans="1:20" ht="58" customHeight="1">
      <c r="A264" s="249" t="s">
        <v>2660</v>
      </c>
      <c r="B264" s="42" t="s">
        <v>1616</v>
      </c>
      <c r="C264" s="41" t="s">
        <v>1600</v>
      </c>
      <c r="D264" s="41" t="s">
        <v>615</v>
      </c>
      <c r="E264" s="218" t="s">
        <v>909</v>
      </c>
      <c r="F264" s="218" t="s">
        <v>3742</v>
      </c>
      <c r="G264" s="263" t="s">
        <v>3735</v>
      </c>
      <c r="H264" s="42" t="s">
        <v>3</v>
      </c>
      <c r="I264" s="266" t="s">
        <v>1616</v>
      </c>
      <c r="J264" s="251" t="s">
        <v>3599</v>
      </c>
      <c r="K264" s="165"/>
      <c r="L264" s="260"/>
      <c r="M264" s="260"/>
      <c r="N264" s="164"/>
      <c r="O264" s="139" t="s">
        <v>591</v>
      </c>
      <c r="P264" s="40" t="s">
        <v>614</v>
      </c>
      <c r="Q264" s="247" t="s">
        <v>3603</v>
      </c>
      <c r="R264" s="219"/>
      <c r="S264" s="141" t="s">
        <v>595</v>
      </c>
      <c r="T264" s="261"/>
    </row>
    <row r="265" spans="1:20" ht="58" customHeight="1">
      <c r="A265" s="249" t="s">
        <v>2660</v>
      </c>
      <c r="B265" s="42" t="s">
        <v>1616</v>
      </c>
      <c r="C265" s="41" t="s">
        <v>1600</v>
      </c>
      <c r="D265" s="41" t="s">
        <v>619</v>
      </c>
      <c r="E265" s="218" t="s">
        <v>910</v>
      </c>
      <c r="F265" s="218" t="s">
        <v>3743</v>
      </c>
      <c r="G265" s="263" t="s">
        <v>3735</v>
      </c>
      <c r="H265" s="42" t="s">
        <v>3</v>
      </c>
      <c r="I265" s="266" t="s">
        <v>1616</v>
      </c>
      <c r="J265" s="251" t="s">
        <v>3599</v>
      </c>
      <c r="K265" s="165"/>
      <c r="L265" s="260"/>
      <c r="M265" s="260"/>
      <c r="N265" s="164"/>
      <c r="O265" s="139" t="s">
        <v>617</v>
      </c>
      <c r="P265" s="40" t="s">
        <v>618</v>
      </c>
      <c r="Q265" s="247" t="s">
        <v>3603</v>
      </c>
      <c r="R265" s="219"/>
      <c r="S265" s="141" t="s">
        <v>621</v>
      </c>
      <c r="T265" s="261"/>
    </row>
    <row r="266" spans="1:20" ht="58" customHeight="1">
      <c r="A266" s="249" t="s">
        <v>2660</v>
      </c>
      <c r="B266" s="42" t="s">
        <v>1616</v>
      </c>
      <c r="C266" s="41" t="s">
        <v>1600</v>
      </c>
      <c r="D266" s="41" t="s">
        <v>646</v>
      </c>
      <c r="E266" s="218" t="s">
        <v>919</v>
      </c>
      <c r="F266" s="218" t="s">
        <v>3757</v>
      </c>
      <c r="G266" s="263" t="s">
        <v>3758</v>
      </c>
      <c r="H266" s="42" t="s">
        <v>1025</v>
      </c>
      <c r="I266" s="266" t="s">
        <v>1616</v>
      </c>
      <c r="J266" s="251" t="s">
        <v>3599</v>
      </c>
      <c r="K266" s="165"/>
      <c r="L266" s="260"/>
      <c r="M266" s="260"/>
      <c r="N266" s="164"/>
      <c r="O266" s="139" t="s">
        <v>617</v>
      </c>
      <c r="P266" s="40" t="s">
        <v>645</v>
      </c>
      <c r="Q266" s="247" t="s">
        <v>3603</v>
      </c>
      <c r="R266" s="219"/>
      <c r="S266" s="141" t="s">
        <v>621</v>
      </c>
      <c r="T266" s="261"/>
    </row>
    <row r="267" spans="1:20" ht="58" customHeight="1">
      <c r="A267" s="249" t="s">
        <v>2660</v>
      </c>
      <c r="B267" s="42" t="s">
        <v>1616</v>
      </c>
      <c r="C267" s="41" t="s">
        <v>1600</v>
      </c>
      <c r="D267" s="41" t="s">
        <v>649</v>
      </c>
      <c r="E267" s="218" t="s">
        <v>920</v>
      </c>
      <c r="F267" s="218" t="s">
        <v>3759</v>
      </c>
      <c r="G267" s="263" t="s">
        <v>4966</v>
      </c>
      <c r="H267" s="42" t="s">
        <v>3</v>
      </c>
      <c r="I267" s="266" t="s">
        <v>1616</v>
      </c>
      <c r="J267" s="251" t="s">
        <v>3599</v>
      </c>
      <c r="K267" s="165"/>
      <c r="L267" s="260"/>
      <c r="M267" s="260"/>
      <c r="N267" s="164"/>
      <c r="O267" s="139" t="s">
        <v>617</v>
      </c>
      <c r="P267" s="40" t="s">
        <v>648</v>
      </c>
      <c r="Q267" s="247" t="s">
        <v>3603</v>
      </c>
      <c r="R267" s="219"/>
      <c r="S267" s="141" t="s">
        <v>621</v>
      </c>
      <c r="T267" s="261"/>
    </row>
    <row r="268" spans="1:20" ht="58" customHeight="1">
      <c r="A268" s="249" t="s">
        <v>2660</v>
      </c>
      <c r="B268" s="42" t="s">
        <v>1616</v>
      </c>
      <c r="C268" s="41" t="s">
        <v>1601</v>
      </c>
      <c r="D268" s="41" t="s">
        <v>623</v>
      </c>
      <c r="E268" s="218" t="s">
        <v>911</v>
      </c>
      <c r="F268" s="218" t="s">
        <v>3744</v>
      </c>
      <c r="G268" s="263" t="s">
        <v>3745</v>
      </c>
      <c r="H268" s="42" t="s">
        <v>3</v>
      </c>
      <c r="I268" s="266" t="s">
        <v>1616</v>
      </c>
      <c r="J268" s="251" t="s">
        <v>3599</v>
      </c>
      <c r="K268" s="165"/>
      <c r="L268" s="260"/>
      <c r="M268" s="260"/>
      <c r="N268" s="164"/>
      <c r="O268" s="139" t="s">
        <v>617</v>
      </c>
      <c r="P268" s="40" t="s">
        <v>622</v>
      </c>
      <c r="Q268" s="247" t="s">
        <v>3603</v>
      </c>
      <c r="R268" s="219"/>
      <c r="S268" s="141" t="s">
        <v>621</v>
      </c>
      <c r="T268" s="261"/>
    </row>
    <row r="269" spans="1:20" ht="58" customHeight="1">
      <c r="A269" s="249" t="s">
        <v>2660</v>
      </c>
      <c r="B269" s="42" t="s">
        <v>1616</v>
      </c>
      <c r="C269" s="41" t="s">
        <v>1603</v>
      </c>
      <c r="D269" s="41" t="s">
        <v>661</v>
      </c>
      <c r="E269" s="218" t="s">
        <v>924</v>
      </c>
      <c r="F269" s="218" t="s">
        <v>3763</v>
      </c>
      <c r="G269" s="263" t="s">
        <v>4967</v>
      </c>
      <c r="H269" s="42" t="s">
        <v>3</v>
      </c>
      <c r="I269" s="266" t="s">
        <v>1616</v>
      </c>
      <c r="J269" s="251" t="s">
        <v>3599</v>
      </c>
      <c r="K269" s="165"/>
      <c r="L269" s="260"/>
      <c r="M269" s="260"/>
      <c r="N269" s="164"/>
      <c r="O269" s="139" t="s">
        <v>617</v>
      </c>
      <c r="P269" s="40" t="s">
        <v>660</v>
      </c>
      <c r="Q269" s="247" t="s">
        <v>3603</v>
      </c>
      <c r="R269" s="219"/>
      <c r="S269" s="141" t="s">
        <v>621</v>
      </c>
      <c r="T269" s="261"/>
    </row>
    <row r="270" spans="1:20" ht="58" customHeight="1">
      <c r="A270" s="249" t="s">
        <v>2660</v>
      </c>
      <c r="B270" s="42" t="s">
        <v>1616</v>
      </c>
      <c r="C270" s="41" t="s">
        <v>1604</v>
      </c>
      <c r="D270" s="41" t="s">
        <v>544</v>
      </c>
      <c r="E270" s="218" t="s">
        <v>887</v>
      </c>
      <c r="F270" s="218" t="s">
        <v>3713</v>
      </c>
      <c r="G270" s="263" t="s">
        <v>3714</v>
      </c>
      <c r="H270" s="42" t="s">
        <v>3</v>
      </c>
      <c r="I270" s="266" t="s">
        <v>1616</v>
      </c>
      <c r="J270" s="251" t="s">
        <v>3599</v>
      </c>
      <c r="K270" s="165"/>
      <c r="L270" s="260"/>
      <c r="M270" s="260"/>
      <c r="N270" s="164"/>
      <c r="O270" s="139" t="s">
        <v>534</v>
      </c>
      <c r="P270" s="40" t="s">
        <v>543</v>
      </c>
      <c r="Q270" s="247" t="s">
        <v>3603</v>
      </c>
      <c r="R270" s="219"/>
      <c r="S270" s="141" t="s">
        <v>538</v>
      </c>
      <c r="T270" s="261"/>
    </row>
    <row r="271" spans="1:20" ht="58" customHeight="1">
      <c r="A271" s="249" t="s">
        <v>2660</v>
      </c>
      <c r="B271" s="42" t="s">
        <v>1616</v>
      </c>
      <c r="C271" s="41" t="s">
        <v>1604</v>
      </c>
      <c r="D271" s="41" t="s">
        <v>626</v>
      </c>
      <c r="E271" s="218" t="s">
        <v>912</v>
      </c>
      <c r="F271" s="218" t="s">
        <v>3746</v>
      </c>
      <c r="G271" s="263" t="s">
        <v>3735</v>
      </c>
      <c r="H271" s="42" t="s">
        <v>3</v>
      </c>
      <c r="I271" s="266" t="s">
        <v>1616</v>
      </c>
      <c r="J271" s="251" t="s">
        <v>3599</v>
      </c>
      <c r="K271" s="165"/>
      <c r="L271" s="260"/>
      <c r="M271" s="260"/>
      <c r="N271" s="164"/>
      <c r="O271" s="139" t="s">
        <v>617</v>
      </c>
      <c r="P271" s="40" t="s">
        <v>625</v>
      </c>
      <c r="Q271" s="247" t="s">
        <v>3603</v>
      </c>
      <c r="R271" s="219"/>
      <c r="S271" s="141" t="s">
        <v>621</v>
      </c>
      <c r="T271" s="261"/>
    </row>
    <row r="272" spans="1:20" ht="58" customHeight="1">
      <c r="A272" s="249" t="s">
        <v>2660</v>
      </c>
      <c r="B272" s="42" t="s">
        <v>1616</v>
      </c>
      <c r="C272" s="41" t="s">
        <v>1604</v>
      </c>
      <c r="D272" s="41" t="s">
        <v>629</v>
      </c>
      <c r="E272" s="218" t="s">
        <v>913</v>
      </c>
      <c r="F272" s="218" t="s">
        <v>3747</v>
      </c>
      <c r="G272" s="263" t="s">
        <v>4968</v>
      </c>
      <c r="H272" s="42" t="s">
        <v>3</v>
      </c>
      <c r="I272" s="266" t="s">
        <v>1616</v>
      </c>
      <c r="J272" s="251" t="s">
        <v>3599</v>
      </c>
      <c r="K272" s="165"/>
      <c r="L272" s="260"/>
      <c r="M272" s="260"/>
      <c r="N272" s="164"/>
      <c r="O272" s="139" t="s">
        <v>617</v>
      </c>
      <c r="P272" s="40" t="s">
        <v>628</v>
      </c>
      <c r="Q272" s="247" t="s">
        <v>3603</v>
      </c>
      <c r="R272" s="219"/>
      <c r="S272" s="141" t="s">
        <v>621</v>
      </c>
      <c r="T272" s="261"/>
    </row>
    <row r="273" spans="1:20" ht="58" customHeight="1">
      <c r="A273" s="249" t="s">
        <v>2660</v>
      </c>
      <c r="B273" s="42" t="s">
        <v>1616</v>
      </c>
      <c r="C273" s="41" t="s">
        <v>1604</v>
      </c>
      <c r="D273" s="41" t="s">
        <v>640</v>
      </c>
      <c r="E273" s="218" t="s">
        <v>917</v>
      </c>
      <c r="F273" s="218" t="s">
        <v>3753</v>
      </c>
      <c r="G273" s="263" t="s">
        <v>3754</v>
      </c>
      <c r="H273" s="42" t="s">
        <v>3</v>
      </c>
      <c r="I273" s="266" t="s">
        <v>1616</v>
      </c>
      <c r="J273" s="251" t="s">
        <v>3599</v>
      </c>
      <c r="K273" s="165"/>
      <c r="L273" s="260"/>
      <c r="M273" s="260"/>
      <c r="N273" s="164"/>
      <c r="O273" s="139" t="s">
        <v>617</v>
      </c>
      <c r="P273" s="40" t="s">
        <v>639</v>
      </c>
      <c r="Q273" s="247" t="s">
        <v>3603</v>
      </c>
      <c r="R273" s="219"/>
      <c r="S273" s="141" t="s">
        <v>621</v>
      </c>
      <c r="T273" s="261"/>
    </row>
    <row r="274" spans="1:20" ht="58" customHeight="1">
      <c r="A274" s="249" t="s">
        <v>2660</v>
      </c>
      <c r="B274" s="42" t="s">
        <v>1616</v>
      </c>
      <c r="C274" s="41" t="s">
        <v>1604</v>
      </c>
      <c r="D274" s="41" t="s">
        <v>667</v>
      </c>
      <c r="E274" s="218" t="s">
        <v>926</v>
      </c>
      <c r="F274" s="218" t="s">
        <v>3766</v>
      </c>
      <c r="G274" s="263" t="s">
        <v>3767</v>
      </c>
      <c r="H274" s="42" t="s">
        <v>3</v>
      </c>
      <c r="I274" s="266" t="s">
        <v>1616</v>
      </c>
      <c r="J274" s="251" t="s">
        <v>3599</v>
      </c>
      <c r="K274" s="165"/>
      <c r="L274" s="260"/>
      <c r="M274" s="260"/>
      <c r="N274" s="164"/>
      <c r="O274" s="139" t="s">
        <v>617</v>
      </c>
      <c r="P274" s="40" t="s">
        <v>666</v>
      </c>
      <c r="Q274" s="247" t="s">
        <v>3603</v>
      </c>
      <c r="R274" s="219"/>
      <c r="S274" s="141" t="s">
        <v>621</v>
      </c>
      <c r="T274" s="261"/>
    </row>
    <row r="275" spans="1:20" ht="58" customHeight="1">
      <c r="A275" s="249" t="s">
        <v>2660</v>
      </c>
      <c r="B275" s="42" t="s">
        <v>1616</v>
      </c>
      <c r="C275" s="41" t="s">
        <v>1606</v>
      </c>
      <c r="D275" s="41" t="s">
        <v>562</v>
      </c>
      <c r="E275" s="218" t="s">
        <v>893</v>
      </c>
      <c r="F275" s="218" t="s">
        <v>3722</v>
      </c>
      <c r="G275" s="263" t="s">
        <v>4969</v>
      </c>
      <c r="H275" s="42" t="s">
        <v>3</v>
      </c>
      <c r="I275" s="266" t="s">
        <v>1616</v>
      </c>
      <c r="J275" s="251" t="s">
        <v>3599</v>
      </c>
      <c r="K275" s="165"/>
      <c r="L275" s="260"/>
      <c r="M275" s="260"/>
      <c r="N275" s="164"/>
      <c r="O275" s="139" t="s">
        <v>534</v>
      </c>
      <c r="P275" s="40" t="s">
        <v>561</v>
      </c>
      <c r="Q275" s="247" t="s">
        <v>3603</v>
      </c>
      <c r="R275" s="219"/>
      <c r="S275" s="141" t="s">
        <v>538</v>
      </c>
      <c r="T275" s="261"/>
    </row>
    <row r="276" spans="1:20" ht="58" customHeight="1">
      <c r="A276" s="249" t="s">
        <v>2660</v>
      </c>
      <c r="B276" s="42" t="s">
        <v>1616</v>
      </c>
      <c r="C276" s="41" t="s">
        <v>1606</v>
      </c>
      <c r="D276" s="41" t="s">
        <v>571</v>
      </c>
      <c r="E276" s="218" t="s">
        <v>896</v>
      </c>
      <c r="F276" s="218" t="s">
        <v>3725</v>
      </c>
      <c r="G276" s="263" t="s">
        <v>3726</v>
      </c>
      <c r="H276" s="42" t="s">
        <v>3</v>
      </c>
      <c r="I276" s="266" t="s">
        <v>1616</v>
      </c>
      <c r="J276" s="251" t="s">
        <v>3599</v>
      </c>
      <c r="K276" s="165"/>
      <c r="L276" s="260"/>
      <c r="M276" s="260"/>
      <c r="N276" s="164"/>
      <c r="O276" s="139" t="s">
        <v>534</v>
      </c>
      <c r="P276" s="40" t="s">
        <v>570</v>
      </c>
      <c r="Q276" s="247" t="s">
        <v>3603</v>
      </c>
      <c r="R276" s="219"/>
      <c r="S276" s="141" t="s">
        <v>573</v>
      </c>
      <c r="T276" s="261"/>
    </row>
    <row r="277" spans="1:20" ht="58" customHeight="1">
      <c r="A277" s="249" t="s">
        <v>2660</v>
      </c>
      <c r="B277" s="42" t="s">
        <v>1616</v>
      </c>
      <c r="C277" s="41" t="s">
        <v>1606</v>
      </c>
      <c r="D277" s="41" t="s">
        <v>632</v>
      </c>
      <c r="E277" s="218" t="s">
        <v>914</v>
      </c>
      <c r="F277" s="218" t="s">
        <v>3748</v>
      </c>
      <c r="G277" s="263" t="s">
        <v>3749</v>
      </c>
      <c r="H277" s="42" t="s">
        <v>3</v>
      </c>
      <c r="I277" s="266" t="s">
        <v>1616</v>
      </c>
      <c r="J277" s="251" t="s">
        <v>3599</v>
      </c>
      <c r="K277" s="165"/>
      <c r="L277" s="260"/>
      <c r="M277" s="260"/>
      <c r="N277" s="164"/>
      <c r="O277" s="139" t="s">
        <v>617</v>
      </c>
      <c r="P277" s="40" t="s">
        <v>631</v>
      </c>
      <c r="Q277" s="247" t="s">
        <v>3603</v>
      </c>
      <c r="R277" s="219"/>
      <c r="S277" s="141" t="s">
        <v>621</v>
      </c>
      <c r="T277" s="261"/>
    </row>
    <row r="278" spans="1:20" ht="58" customHeight="1">
      <c r="A278" s="249" t="s">
        <v>2660</v>
      </c>
      <c r="B278" s="42" t="s">
        <v>1616</v>
      </c>
      <c r="C278" s="41" t="s">
        <v>1606</v>
      </c>
      <c r="D278" s="41" t="s">
        <v>643</v>
      </c>
      <c r="E278" s="218" t="s">
        <v>918</v>
      </c>
      <c r="F278" s="218" t="s">
        <v>3755</v>
      </c>
      <c r="G278" s="263" t="s">
        <v>3756</v>
      </c>
      <c r="H278" s="42" t="s">
        <v>3</v>
      </c>
      <c r="I278" s="266" t="s">
        <v>1616</v>
      </c>
      <c r="J278" s="251" t="s">
        <v>3599</v>
      </c>
      <c r="K278" s="165"/>
      <c r="L278" s="260"/>
      <c r="M278" s="260"/>
      <c r="N278" s="164"/>
      <c r="O278" s="139" t="s">
        <v>617</v>
      </c>
      <c r="P278" s="40" t="s">
        <v>642</v>
      </c>
      <c r="Q278" s="247" t="s">
        <v>3603</v>
      </c>
      <c r="R278" s="219"/>
      <c r="S278" s="141" t="s">
        <v>621</v>
      </c>
      <c r="T278" s="261"/>
    </row>
    <row r="279" spans="1:20" ht="58" customHeight="1">
      <c r="A279" s="249" t="s">
        <v>2660</v>
      </c>
      <c r="B279" s="42" t="s">
        <v>1616</v>
      </c>
      <c r="C279" s="41" t="s">
        <v>1606</v>
      </c>
      <c r="D279" s="41" t="s">
        <v>664</v>
      </c>
      <c r="E279" s="218" t="s">
        <v>925</v>
      </c>
      <c r="F279" s="218" t="s">
        <v>3764</v>
      </c>
      <c r="G279" s="263" t="s">
        <v>3765</v>
      </c>
      <c r="H279" s="42" t="s">
        <v>3</v>
      </c>
      <c r="I279" s="266" t="s">
        <v>1616</v>
      </c>
      <c r="J279" s="251" t="s">
        <v>3599</v>
      </c>
      <c r="K279" s="165"/>
      <c r="L279" s="260"/>
      <c r="M279" s="260"/>
      <c r="N279" s="164"/>
      <c r="O279" s="139" t="s">
        <v>617</v>
      </c>
      <c r="P279" s="40" t="s">
        <v>663</v>
      </c>
      <c r="Q279" s="247" t="s">
        <v>3603</v>
      </c>
      <c r="R279" s="219"/>
      <c r="S279" s="141" t="s">
        <v>665</v>
      </c>
      <c r="T279" s="261"/>
    </row>
    <row r="280" spans="1:20" ht="58" customHeight="1">
      <c r="A280" s="249" t="s">
        <v>2660</v>
      </c>
      <c r="B280" s="42" t="s">
        <v>1616</v>
      </c>
      <c r="C280" s="41" t="s">
        <v>1614</v>
      </c>
      <c r="D280" s="41" t="s">
        <v>576</v>
      </c>
      <c r="E280" s="218" t="s">
        <v>897</v>
      </c>
      <c r="F280" s="218" t="s">
        <v>3727</v>
      </c>
      <c r="G280" s="263" t="s">
        <v>5010</v>
      </c>
      <c r="H280" s="42" t="s">
        <v>3</v>
      </c>
      <c r="I280" s="266" t="s">
        <v>1616</v>
      </c>
      <c r="J280" s="251" t="s">
        <v>3599</v>
      </c>
      <c r="K280" s="165"/>
      <c r="L280" s="260"/>
      <c r="M280" s="260"/>
      <c r="N280" s="164"/>
      <c r="O280" s="139" t="s">
        <v>574</v>
      </c>
      <c r="P280" s="40" t="s">
        <v>575</v>
      </c>
      <c r="Q280" s="247" t="s">
        <v>3603</v>
      </c>
      <c r="R280" s="219"/>
      <c r="S280" s="141" t="s">
        <v>578</v>
      </c>
      <c r="T280" s="261" t="s">
        <v>5011</v>
      </c>
    </row>
    <row r="281" spans="1:20" ht="58" customHeight="1">
      <c r="A281" s="249" t="s">
        <v>2660</v>
      </c>
      <c r="B281" s="42" t="s">
        <v>1616</v>
      </c>
      <c r="C281" s="41" t="s">
        <v>1614</v>
      </c>
      <c r="D281" s="41" t="s">
        <v>580</v>
      </c>
      <c r="E281" s="218" t="s">
        <v>898</v>
      </c>
      <c r="F281" s="218" t="s">
        <v>3728</v>
      </c>
      <c r="G281" s="263" t="s">
        <v>4970</v>
      </c>
      <c r="H281" s="42" t="s">
        <v>3</v>
      </c>
      <c r="I281" s="266" t="s">
        <v>1616</v>
      </c>
      <c r="J281" s="251" t="s">
        <v>3599</v>
      </c>
      <c r="K281" s="165"/>
      <c r="L281" s="260"/>
      <c r="M281" s="260"/>
      <c r="N281" s="164"/>
      <c r="O281" s="139" t="s">
        <v>574</v>
      </c>
      <c r="P281" s="40" t="s">
        <v>579</v>
      </c>
      <c r="Q281" s="247" t="s">
        <v>3603</v>
      </c>
      <c r="R281" s="219"/>
      <c r="S281" s="141" t="s">
        <v>578</v>
      </c>
      <c r="T281" s="261"/>
    </row>
    <row r="282" spans="1:20" ht="58" customHeight="1">
      <c r="A282" s="249" t="s">
        <v>2660</v>
      </c>
      <c r="B282" s="42" t="s">
        <v>1616</v>
      </c>
      <c r="C282" s="41" t="s">
        <v>1614</v>
      </c>
      <c r="D282" s="41" t="s">
        <v>583</v>
      </c>
      <c r="E282" s="218" t="s">
        <v>899</v>
      </c>
      <c r="F282" s="218" t="s">
        <v>3729</v>
      </c>
      <c r="G282" s="263" t="s">
        <v>5012</v>
      </c>
      <c r="H282" s="42" t="s">
        <v>3</v>
      </c>
      <c r="I282" s="266" t="s">
        <v>1616</v>
      </c>
      <c r="J282" s="251" t="s">
        <v>3599</v>
      </c>
      <c r="K282" s="165"/>
      <c r="L282" s="260"/>
      <c r="M282" s="260"/>
      <c r="N282" s="164"/>
      <c r="O282" s="139" t="s">
        <v>574</v>
      </c>
      <c r="P282" s="40" t="s">
        <v>582</v>
      </c>
      <c r="Q282" s="247" t="s">
        <v>3603</v>
      </c>
      <c r="R282" s="219"/>
      <c r="S282" s="141" t="s">
        <v>578</v>
      </c>
      <c r="T282" s="261" t="s">
        <v>5013</v>
      </c>
    </row>
    <row r="283" spans="1:20" ht="58" customHeight="1">
      <c r="A283" s="249" t="s">
        <v>2660</v>
      </c>
      <c r="B283" s="42" t="s">
        <v>1616</v>
      </c>
      <c r="C283" s="41" t="s">
        <v>1614</v>
      </c>
      <c r="D283" s="41" t="s">
        <v>586</v>
      </c>
      <c r="E283" s="218" t="s">
        <v>900</v>
      </c>
      <c r="F283" s="218" t="s">
        <v>3730</v>
      </c>
      <c r="G283" s="263" t="s">
        <v>4971</v>
      </c>
      <c r="H283" s="42" t="s">
        <v>3</v>
      </c>
      <c r="I283" s="266" t="s">
        <v>1616</v>
      </c>
      <c r="J283" s="251" t="s">
        <v>3599</v>
      </c>
      <c r="K283" s="165"/>
      <c r="L283" s="260"/>
      <c r="M283" s="260"/>
      <c r="N283" s="164"/>
      <c r="O283" s="139" t="s">
        <v>574</v>
      </c>
      <c r="P283" s="40" t="s">
        <v>585</v>
      </c>
      <c r="Q283" s="247" t="s">
        <v>3603</v>
      </c>
      <c r="R283" s="219"/>
      <c r="S283" s="141" t="s">
        <v>578</v>
      </c>
      <c r="T283" s="261"/>
    </row>
    <row r="284" spans="1:20" ht="58" customHeight="1">
      <c r="A284" s="250" t="s">
        <v>2660</v>
      </c>
      <c r="B284" s="46" t="s">
        <v>1616</v>
      </c>
      <c r="C284" s="45" t="s">
        <v>1614</v>
      </c>
      <c r="D284" s="45" t="s">
        <v>589</v>
      </c>
      <c r="E284" s="264" t="s">
        <v>901</v>
      </c>
      <c r="F284" s="264" t="s">
        <v>3731</v>
      </c>
      <c r="G284" s="265" t="s">
        <v>4972</v>
      </c>
      <c r="H284" s="46" t="s">
        <v>3</v>
      </c>
      <c r="I284" s="267" t="s">
        <v>1616</v>
      </c>
      <c r="J284" s="252" t="s">
        <v>3599</v>
      </c>
      <c r="K284" s="165"/>
      <c r="L284" s="260"/>
      <c r="M284" s="260"/>
      <c r="N284" s="164"/>
      <c r="O284" s="140" t="s">
        <v>574</v>
      </c>
      <c r="P284" s="44" t="s">
        <v>588</v>
      </c>
      <c r="Q284" s="248" t="s">
        <v>3603</v>
      </c>
      <c r="R284" s="220"/>
      <c r="S284" s="142" t="s">
        <v>578</v>
      </c>
      <c r="T284" s="262"/>
    </row>
    <row r="285" spans="1:20" ht="58" customHeight="1">
      <c r="A285" s="250" t="s">
        <v>2660</v>
      </c>
      <c r="B285" s="46" t="s">
        <v>1616</v>
      </c>
      <c r="C285" s="45" t="s">
        <v>1614</v>
      </c>
      <c r="D285" s="45" t="s">
        <v>690</v>
      </c>
      <c r="E285" s="264" t="s">
        <v>933</v>
      </c>
      <c r="F285" s="264" t="s">
        <v>3776</v>
      </c>
      <c r="G285" s="265" t="s">
        <v>3735</v>
      </c>
      <c r="H285" s="46" t="s">
        <v>3</v>
      </c>
      <c r="I285" s="267" t="s">
        <v>1616</v>
      </c>
      <c r="J285" s="252" t="s">
        <v>3599</v>
      </c>
      <c r="K285" s="165"/>
      <c r="L285" s="260"/>
      <c r="M285" s="260"/>
      <c r="N285" s="164"/>
      <c r="O285" s="140" t="s">
        <v>671</v>
      </c>
      <c r="P285" s="44" t="s">
        <v>689</v>
      </c>
      <c r="Q285" s="248" t="s">
        <v>3603</v>
      </c>
      <c r="R285" s="220"/>
      <c r="S285" s="142" t="s">
        <v>675</v>
      </c>
      <c r="T285" s="262"/>
    </row>
    <row r="286" spans="1:20" ht="58" customHeight="1">
      <c r="A286" s="250" t="s">
        <v>2660</v>
      </c>
      <c r="B286" s="46" t="s">
        <v>1616</v>
      </c>
      <c r="C286" s="45" t="s">
        <v>1608</v>
      </c>
      <c r="D286" s="45" t="s">
        <v>536</v>
      </c>
      <c r="E286" s="264" t="s">
        <v>885</v>
      </c>
      <c r="F286" s="264" t="s">
        <v>3710</v>
      </c>
      <c r="G286" s="265" t="s">
        <v>4973</v>
      </c>
      <c r="H286" s="46" t="s">
        <v>3</v>
      </c>
      <c r="I286" s="267" t="s">
        <v>1616</v>
      </c>
      <c r="J286" s="252" t="s">
        <v>3599</v>
      </c>
      <c r="K286" s="165"/>
      <c r="L286" s="260"/>
      <c r="M286" s="260"/>
      <c r="N286" s="164"/>
      <c r="O286" s="140" t="s">
        <v>534</v>
      </c>
      <c r="P286" s="44" t="s">
        <v>535</v>
      </c>
      <c r="Q286" s="248" t="s">
        <v>3603</v>
      </c>
      <c r="R286" s="220"/>
      <c r="S286" s="142" t="s">
        <v>538</v>
      </c>
      <c r="T286" s="262"/>
    </row>
    <row r="287" spans="1:20" ht="58" customHeight="1">
      <c r="A287" s="250" t="s">
        <v>2660</v>
      </c>
      <c r="B287" s="46" t="s">
        <v>1616</v>
      </c>
      <c r="C287" s="45" t="s">
        <v>1608</v>
      </c>
      <c r="D287" s="45" t="s">
        <v>559</v>
      </c>
      <c r="E287" s="264" t="s">
        <v>892</v>
      </c>
      <c r="F287" s="264" t="s">
        <v>3721</v>
      </c>
      <c r="G287" s="265" t="s">
        <v>4974</v>
      </c>
      <c r="H287" s="46" t="s">
        <v>3</v>
      </c>
      <c r="I287" s="267" t="s">
        <v>1616</v>
      </c>
      <c r="J287" s="252" t="s">
        <v>3599</v>
      </c>
      <c r="K287" s="165"/>
      <c r="L287" s="260"/>
      <c r="M287" s="260"/>
      <c r="N287" s="164"/>
      <c r="O287" s="140" t="s">
        <v>534</v>
      </c>
      <c r="P287" s="44" t="s">
        <v>558</v>
      </c>
      <c r="Q287" s="248" t="s">
        <v>3603</v>
      </c>
      <c r="R287" s="220"/>
      <c r="S287" s="142" t="s">
        <v>538</v>
      </c>
      <c r="T287" s="262"/>
    </row>
    <row r="288" spans="1:20" ht="58" customHeight="1">
      <c r="A288" s="250" t="s">
        <v>2660</v>
      </c>
      <c r="B288" s="46" t="s">
        <v>1616</v>
      </c>
      <c r="C288" s="45" t="s">
        <v>1608</v>
      </c>
      <c r="D288" s="45" t="s">
        <v>565</v>
      </c>
      <c r="E288" s="264" t="s">
        <v>894</v>
      </c>
      <c r="F288" s="264" t="s">
        <v>3723</v>
      </c>
      <c r="G288" s="265" t="s">
        <v>4975</v>
      </c>
      <c r="H288" s="46" t="s">
        <v>3</v>
      </c>
      <c r="I288" s="267" t="s">
        <v>1616</v>
      </c>
      <c r="J288" s="252" t="s">
        <v>3599</v>
      </c>
      <c r="K288" s="165"/>
      <c r="L288" s="260"/>
      <c r="M288" s="260"/>
      <c r="N288" s="164"/>
      <c r="O288" s="140" t="s">
        <v>534</v>
      </c>
      <c r="P288" s="44" t="s">
        <v>564</v>
      </c>
      <c r="Q288" s="248" t="s">
        <v>3603</v>
      </c>
      <c r="R288" s="220"/>
      <c r="S288" s="142" t="s">
        <v>538</v>
      </c>
      <c r="T288" s="262"/>
    </row>
    <row r="289" spans="1:20" ht="58" customHeight="1">
      <c r="A289" s="250" t="s">
        <v>2660</v>
      </c>
      <c r="B289" s="46" t="s">
        <v>1616</v>
      </c>
      <c r="C289" s="45" t="s">
        <v>1608</v>
      </c>
      <c r="D289" s="45" t="s">
        <v>593</v>
      </c>
      <c r="E289" s="264" t="s">
        <v>902</v>
      </c>
      <c r="F289" s="264" t="s">
        <v>3732</v>
      </c>
      <c r="G289" s="265" t="s">
        <v>3733</v>
      </c>
      <c r="H289" s="46" t="s">
        <v>3</v>
      </c>
      <c r="I289" s="267" t="s">
        <v>1616</v>
      </c>
      <c r="J289" s="252" t="s">
        <v>3599</v>
      </c>
      <c r="K289" s="165"/>
      <c r="L289" s="260"/>
      <c r="M289" s="260"/>
      <c r="N289" s="164"/>
      <c r="O289" s="140" t="s">
        <v>591</v>
      </c>
      <c r="P289" s="44" t="s">
        <v>592</v>
      </c>
      <c r="Q289" s="248" t="s">
        <v>3603</v>
      </c>
      <c r="R289" s="220"/>
      <c r="S289" s="142" t="s">
        <v>595</v>
      </c>
      <c r="T289" s="262"/>
    </row>
    <row r="290" spans="1:20" ht="58" customHeight="1">
      <c r="A290" s="250" t="s">
        <v>2660</v>
      </c>
      <c r="B290" s="46" t="s">
        <v>1616</v>
      </c>
      <c r="C290" s="45" t="s">
        <v>1608</v>
      </c>
      <c r="D290" s="45" t="s">
        <v>677</v>
      </c>
      <c r="E290" s="264" t="s">
        <v>929</v>
      </c>
      <c r="F290" s="264" t="s">
        <v>3771</v>
      </c>
      <c r="G290" s="265" t="s">
        <v>4976</v>
      </c>
      <c r="H290" s="46" t="s">
        <v>3</v>
      </c>
      <c r="I290" s="267" t="s">
        <v>1616</v>
      </c>
      <c r="J290" s="252" t="s">
        <v>3599</v>
      </c>
      <c r="K290" s="165"/>
      <c r="L290" s="260"/>
      <c r="M290" s="260"/>
      <c r="N290" s="164"/>
      <c r="O290" s="140" t="s">
        <v>671</v>
      </c>
      <c r="P290" s="44" t="s">
        <v>676</v>
      </c>
      <c r="Q290" s="248" t="s">
        <v>3603</v>
      </c>
      <c r="R290" s="220"/>
      <c r="S290" s="142" t="s">
        <v>679</v>
      </c>
      <c r="T290" s="262"/>
    </row>
    <row r="291" spans="1:20" ht="58" customHeight="1">
      <c r="A291" s="250" t="s">
        <v>2660</v>
      </c>
      <c r="B291" s="46" t="s">
        <v>1616</v>
      </c>
      <c r="C291" s="45" t="s">
        <v>1608</v>
      </c>
      <c r="D291" s="45" t="s">
        <v>684</v>
      </c>
      <c r="E291" s="264" t="s">
        <v>931</v>
      </c>
      <c r="F291" s="264" t="s">
        <v>3774</v>
      </c>
      <c r="G291" s="265" t="s">
        <v>3735</v>
      </c>
      <c r="H291" s="46" t="s">
        <v>3</v>
      </c>
      <c r="I291" s="267" t="s">
        <v>1616</v>
      </c>
      <c r="J291" s="252" t="s">
        <v>3599</v>
      </c>
      <c r="K291" s="165"/>
      <c r="L291" s="260"/>
      <c r="M291" s="260"/>
      <c r="N291" s="164"/>
      <c r="O291" s="140" t="s">
        <v>671</v>
      </c>
      <c r="P291" s="44" t="s">
        <v>683</v>
      </c>
      <c r="Q291" s="248" t="s">
        <v>3603</v>
      </c>
      <c r="R291" s="220"/>
      <c r="S291" s="142" t="s">
        <v>675</v>
      </c>
      <c r="T291" s="262"/>
    </row>
    <row r="292" spans="1:20" ht="58" customHeight="1">
      <c r="A292" s="250" t="s">
        <v>2660</v>
      </c>
      <c r="B292" s="46" t="s">
        <v>1616</v>
      </c>
      <c r="C292" s="45" t="s">
        <v>1607</v>
      </c>
      <c r="D292" s="45" t="s">
        <v>556</v>
      </c>
      <c r="E292" s="264" t="s">
        <v>891</v>
      </c>
      <c r="F292" s="264" t="s">
        <v>3719</v>
      </c>
      <c r="G292" s="265" t="s">
        <v>3720</v>
      </c>
      <c r="H292" s="46" t="s">
        <v>3</v>
      </c>
      <c r="I292" s="267" t="s">
        <v>1616</v>
      </c>
      <c r="J292" s="252" t="s">
        <v>3599</v>
      </c>
      <c r="K292" s="165"/>
      <c r="L292" s="260"/>
      <c r="M292" s="260"/>
      <c r="N292" s="164"/>
      <c r="O292" s="140" t="s">
        <v>534</v>
      </c>
      <c r="P292" s="44" t="s">
        <v>555</v>
      </c>
      <c r="Q292" s="248" t="s">
        <v>3603</v>
      </c>
      <c r="R292" s="220" t="s">
        <v>3377</v>
      </c>
      <c r="S292" s="142" t="s">
        <v>538</v>
      </c>
      <c r="T292" s="262"/>
    </row>
    <row r="293" spans="1:20" ht="58" customHeight="1">
      <c r="A293" s="250" t="s">
        <v>2660</v>
      </c>
      <c r="B293" s="46" t="s">
        <v>1616</v>
      </c>
      <c r="C293" s="45" t="s">
        <v>1607</v>
      </c>
      <c r="D293" s="45" t="s">
        <v>670</v>
      </c>
      <c r="E293" s="264" t="s">
        <v>4192</v>
      </c>
      <c r="F293" s="264" t="s">
        <v>3768</v>
      </c>
      <c r="G293" s="265" t="s">
        <v>4193</v>
      </c>
      <c r="H293" s="46" t="s">
        <v>3</v>
      </c>
      <c r="I293" s="267" t="s">
        <v>1616</v>
      </c>
      <c r="J293" s="252" t="s">
        <v>3599</v>
      </c>
      <c r="K293" s="165"/>
      <c r="L293" s="260"/>
      <c r="M293" s="260"/>
      <c r="N293" s="164"/>
      <c r="O293" s="140" t="s">
        <v>617</v>
      </c>
      <c r="P293" s="44" t="s">
        <v>669</v>
      </c>
      <c r="Q293" s="248" t="s">
        <v>3603</v>
      </c>
      <c r="R293" s="220"/>
      <c r="S293" s="142" t="s">
        <v>621</v>
      </c>
      <c r="T293" s="262" t="s">
        <v>4194</v>
      </c>
    </row>
    <row r="294" spans="1:20" ht="58" customHeight="1">
      <c r="A294" s="250" t="s">
        <v>2660</v>
      </c>
      <c r="B294" s="46" t="s">
        <v>1616</v>
      </c>
      <c r="C294" s="45" t="s">
        <v>1609</v>
      </c>
      <c r="D294" s="45" t="s">
        <v>637</v>
      </c>
      <c r="E294" s="264" t="s">
        <v>916</v>
      </c>
      <c r="F294" s="264" t="s">
        <v>3751</v>
      </c>
      <c r="G294" s="265" t="s">
        <v>3752</v>
      </c>
      <c r="H294" s="46" t="s">
        <v>3</v>
      </c>
      <c r="I294" s="267" t="s">
        <v>1616</v>
      </c>
      <c r="J294" s="252" t="s">
        <v>3599</v>
      </c>
      <c r="K294" s="165"/>
      <c r="L294" s="260"/>
      <c r="M294" s="260"/>
      <c r="N294" s="164"/>
      <c r="O294" s="140" t="s">
        <v>617</v>
      </c>
      <c r="P294" s="44" t="s">
        <v>636</v>
      </c>
      <c r="Q294" s="248" t="s">
        <v>3603</v>
      </c>
      <c r="R294" s="220"/>
      <c r="S294" s="142" t="s">
        <v>621</v>
      </c>
      <c r="T294" s="262"/>
    </row>
    <row r="295" spans="1:20" ht="58" customHeight="1">
      <c r="A295" s="250" t="s">
        <v>2660</v>
      </c>
      <c r="B295" s="46" t="s">
        <v>1616</v>
      </c>
      <c r="C295" s="45" t="s">
        <v>1609</v>
      </c>
      <c r="D295" s="45" t="s">
        <v>652</v>
      </c>
      <c r="E295" s="264" t="s">
        <v>921</v>
      </c>
      <c r="F295" s="264" t="s">
        <v>3760</v>
      </c>
      <c r="G295" s="265" t="s">
        <v>4977</v>
      </c>
      <c r="H295" s="46" t="s">
        <v>3</v>
      </c>
      <c r="I295" s="267" t="s">
        <v>1616</v>
      </c>
      <c r="J295" s="252" t="s">
        <v>3599</v>
      </c>
      <c r="K295" s="165"/>
      <c r="L295" s="260"/>
      <c r="M295" s="260"/>
      <c r="N295" s="164"/>
      <c r="O295" s="140" t="s">
        <v>617</v>
      </c>
      <c r="P295" s="44" t="s">
        <v>651</v>
      </c>
      <c r="Q295" s="248" t="s">
        <v>3603</v>
      </c>
      <c r="R295" s="220"/>
      <c r="S295" s="142" t="s">
        <v>621</v>
      </c>
      <c r="T295" s="262"/>
    </row>
    <row r="296" spans="1:20" ht="58" customHeight="1">
      <c r="A296" s="250" t="s">
        <v>2660</v>
      </c>
      <c r="B296" s="46" t="s">
        <v>1616</v>
      </c>
      <c r="C296" s="45" t="s">
        <v>1609</v>
      </c>
      <c r="D296" s="45" t="s">
        <v>655</v>
      </c>
      <c r="E296" s="264" t="s">
        <v>922</v>
      </c>
      <c r="F296" s="264" t="s">
        <v>3761</v>
      </c>
      <c r="G296" s="265" t="s">
        <v>3735</v>
      </c>
      <c r="H296" s="46" t="s">
        <v>3</v>
      </c>
      <c r="I296" s="267" t="s">
        <v>1616</v>
      </c>
      <c r="J296" s="252" t="s">
        <v>3599</v>
      </c>
      <c r="K296" s="165"/>
      <c r="L296" s="260"/>
      <c r="M296" s="260"/>
      <c r="N296" s="164"/>
      <c r="O296" s="140" t="s">
        <v>617</v>
      </c>
      <c r="P296" s="44" t="s">
        <v>654</v>
      </c>
      <c r="Q296" s="248" t="s">
        <v>3603</v>
      </c>
      <c r="R296" s="220"/>
      <c r="S296" s="142" t="s">
        <v>621</v>
      </c>
      <c r="T296" s="262"/>
    </row>
    <row r="297" spans="1:20" ht="58" customHeight="1">
      <c r="A297" s="250" t="s">
        <v>2660</v>
      </c>
      <c r="B297" s="46" t="s">
        <v>1616</v>
      </c>
      <c r="C297" s="45" t="s">
        <v>1609</v>
      </c>
      <c r="D297" s="45" t="s">
        <v>658</v>
      </c>
      <c r="E297" s="264" t="s">
        <v>923</v>
      </c>
      <c r="F297" s="264" t="s">
        <v>3762</v>
      </c>
      <c r="G297" s="265" t="s">
        <v>3735</v>
      </c>
      <c r="H297" s="46" t="s">
        <v>3</v>
      </c>
      <c r="I297" s="267" t="s">
        <v>1616</v>
      </c>
      <c r="J297" s="252" t="s">
        <v>3599</v>
      </c>
      <c r="K297" s="165"/>
      <c r="L297" s="260"/>
      <c r="M297" s="260"/>
      <c r="N297" s="164"/>
      <c r="O297" s="140" t="s">
        <v>617</v>
      </c>
      <c r="P297" s="44" t="s">
        <v>657</v>
      </c>
      <c r="Q297" s="248" t="s">
        <v>3603</v>
      </c>
      <c r="R297" s="220"/>
      <c r="S297" s="142" t="s">
        <v>621</v>
      </c>
      <c r="T297" s="262"/>
    </row>
    <row r="298" spans="1:20" ht="58" customHeight="1">
      <c r="A298" s="250" t="s">
        <v>2660</v>
      </c>
      <c r="B298" s="46" t="s">
        <v>1616</v>
      </c>
      <c r="C298" s="45" t="s">
        <v>1609</v>
      </c>
      <c r="D298" s="45" t="s">
        <v>696</v>
      </c>
      <c r="E298" s="264" t="s">
        <v>935</v>
      </c>
      <c r="F298" s="264" t="s">
        <v>3779</v>
      </c>
      <c r="G298" s="265" t="s">
        <v>3735</v>
      </c>
      <c r="H298" s="46" t="s">
        <v>3</v>
      </c>
      <c r="I298" s="267" t="s">
        <v>1616</v>
      </c>
      <c r="J298" s="252" t="s">
        <v>3599</v>
      </c>
      <c r="K298" s="165"/>
      <c r="L298" s="260"/>
      <c r="M298" s="260"/>
      <c r="N298" s="164"/>
      <c r="O298" s="140" t="s">
        <v>671</v>
      </c>
      <c r="P298" s="44" t="s">
        <v>695</v>
      </c>
      <c r="Q298" s="248" t="s">
        <v>3603</v>
      </c>
      <c r="R298" s="220"/>
      <c r="S298" s="142" t="s">
        <v>675</v>
      </c>
      <c r="T298" s="262"/>
    </row>
    <row r="299" spans="1:20" ht="58" customHeight="1">
      <c r="A299" s="250" t="s">
        <v>2660</v>
      </c>
      <c r="B299" s="46" t="s">
        <v>1616</v>
      </c>
      <c r="C299" s="45" t="s">
        <v>1609</v>
      </c>
      <c r="D299" s="45" t="s">
        <v>712</v>
      </c>
      <c r="E299" s="264" t="s">
        <v>939</v>
      </c>
      <c r="F299" s="264" t="s">
        <v>3785</v>
      </c>
      <c r="G299" s="265" t="s">
        <v>5014</v>
      </c>
      <c r="H299" s="46" t="s">
        <v>3</v>
      </c>
      <c r="I299" s="267" t="s">
        <v>1616</v>
      </c>
      <c r="J299" s="252" t="s">
        <v>3599</v>
      </c>
      <c r="K299" s="165"/>
      <c r="L299" s="260"/>
      <c r="M299" s="260"/>
      <c r="N299" s="164"/>
      <c r="O299" s="140" t="s">
        <v>698</v>
      </c>
      <c r="P299" s="44" t="s">
        <v>711</v>
      </c>
      <c r="Q299" s="248" t="s">
        <v>3603</v>
      </c>
      <c r="R299" s="220"/>
      <c r="S299" s="142" t="s">
        <v>706</v>
      </c>
      <c r="T299" s="262" t="s">
        <v>5015</v>
      </c>
    </row>
    <row r="300" spans="1:20" ht="58" customHeight="1">
      <c r="A300" s="250" t="s">
        <v>2660</v>
      </c>
      <c r="B300" s="46" t="s">
        <v>1616</v>
      </c>
      <c r="C300" s="45" t="s">
        <v>1611</v>
      </c>
      <c r="D300" s="45" t="s">
        <v>612</v>
      </c>
      <c r="E300" s="264" t="s">
        <v>908</v>
      </c>
      <c r="F300" s="264" t="s">
        <v>3740</v>
      </c>
      <c r="G300" s="265" t="s">
        <v>3741</v>
      </c>
      <c r="H300" s="46" t="s">
        <v>3</v>
      </c>
      <c r="I300" s="267" t="s">
        <v>1616</v>
      </c>
      <c r="J300" s="252" t="s">
        <v>3599</v>
      </c>
      <c r="K300" s="165"/>
      <c r="L300" s="260"/>
      <c r="M300" s="260"/>
      <c r="N300" s="164"/>
      <c r="O300" s="140" t="s">
        <v>591</v>
      </c>
      <c r="P300" s="44" t="s">
        <v>611</v>
      </c>
      <c r="Q300" s="248" t="s">
        <v>3603</v>
      </c>
      <c r="R300" s="220"/>
      <c r="S300" s="142" t="s">
        <v>595</v>
      </c>
      <c r="T300" s="262"/>
    </row>
    <row r="301" spans="1:20" ht="58" customHeight="1">
      <c r="A301" s="250" t="s">
        <v>2660</v>
      </c>
      <c r="B301" s="46" t="s">
        <v>1616</v>
      </c>
      <c r="C301" s="45" t="s">
        <v>1611</v>
      </c>
      <c r="D301" s="45" t="s">
        <v>708</v>
      </c>
      <c r="E301" s="264" t="s">
        <v>938</v>
      </c>
      <c r="F301" s="264" t="s">
        <v>3784</v>
      </c>
      <c r="G301" s="265" t="s">
        <v>5016</v>
      </c>
      <c r="H301" s="46" t="s">
        <v>3</v>
      </c>
      <c r="I301" s="267" t="s">
        <v>1616</v>
      </c>
      <c r="J301" s="252" t="s">
        <v>3599</v>
      </c>
      <c r="K301" s="165"/>
      <c r="L301" s="260"/>
      <c r="M301" s="260"/>
      <c r="N301" s="164"/>
      <c r="O301" s="140" t="s">
        <v>698</v>
      </c>
      <c r="P301" s="44" t="s">
        <v>707</v>
      </c>
      <c r="Q301" s="248" t="s">
        <v>3603</v>
      </c>
      <c r="R301" s="220"/>
      <c r="S301" s="142" t="s">
        <v>710</v>
      </c>
      <c r="T301" s="262" t="s">
        <v>5017</v>
      </c>
    </row>
    <row r="302" spans="1:20" ht="58" customHeight="1">
      <c r="A302" s="250" t="s">
        <v>2660</v>
      </c>
      <c r="B302" s="46" t="s">
        <v>1616</v>
      </c>
      <c r="C302" s="45" t="s">
        <v>1610</v>
      </c>
      <c r="D302" s="45" t="s">
        <v>568</v>
      </c>
      <c r="E302" s="264" t="s">
        <v>895</v>
      </c>
      <c r="F302" s="264" t="s">
        <v>3724</v>
      </c>
      <c r="G302" s="265" t="s">
        <v>4978</v>
      </c>
      <c r="H302" s="46" t="s">
        <v>3</v>
      </c>
      <c r="I302" s="267" t="s">
        <v>1616</v>
      </c>
      <c r="J302" s="252" t="s">
        <v>3599</v>
      </c>
      <c r="K302" s="165"/>
      <c r="L302" s="260"/>
      <c r="M302" s="260"/>
      <c r="N302" s="164"/>
      <c r="O302" s="140" t="s">
        <v>534</v>
      </c>
      <c r="P302" s="44" t="s">
        <v>567</v>
      </c>
      <c r="Q302" s="248" t="s">
        <v>3603</v>
      </c>
      <c r="R302" s="220"/>
      <c r="S302" s="142" t="s">
        <v>538</v>
      </c>
      <c r="T302" s="262"/>
    </row>
    <row r="303" spans="1:20" ht="58" customHeight="1">
      <c r="A303" s="250" t="s">
        <v>2660</v>
      </c>
      <c r="B303" s="46" t="s">
        <v>1616</v>
      </c>
      <c r="C303" s="45" t="s">
        <v>1610</v>
      </c>
      <c r="D303" s="45" t="s">
        <v>634</v>
      </c>
      <c r="E303" s="264" t="s">
        <v>915</v>
      </c>
      <c r="F303" s="264" t="s">
        <v>3750</v>
      </c>
      <c r="G303" s="265" t="s">
        <v>4979</v>
      </c>
      <c r="H303" s="46" t="s">
        <v>3</v>
      </c>
      <c r="I303" s="267" t="s">
        <v>1616</v>
      </c>
      <c r="J303" s="252" t="s">
        <v>3599</v>
      </c>
      <c r="K303" s="165"/>
      <c r="L303" s="260"/>
      <c r="M303" s="260"/>
      <c r="N303" s="164"/>
      <c r="O303" s="140" t="s">
        <v>617</v>
      </c>
      <c r="P303" s="44" t="s">
        <v>633</v>
      </c>
      <c r="Q303" s="248" t="s">
        <v>3603</v>
      </c>
      <c r="R303" s="220"/>
      <c r="S303" s="142" t="s">
        <v>621</v>
      </c>
      <c r="T303" s="262"/>
    </row>
    <row r="304" spans="1:20" ht="58" customHeight="1">
      <c r="A304" s="250" t="s">
        <v>2660</v>
      </c>
      <c r="B304" s="46" t="s">
        <v>1616</v>
      </c>
      <c r="C304" s="45" t="s">
        <v>1610</v>
      </c>
      <c r="D304" s="45" t="s">
        <v>673</v>
      </c>
      <c r="E304" s="264" t="s">
        <v>928</v>
      </c>
      <c r="F304" s="264" t="s">
        <v>3769</v>
      </c>
      <c r="G304" s="265" t="s">
        <v>3770</v>
      </c>
      <c r="H304" s="46" t="s">
        <v>3</v>
      </c>
      <c r="I304" s="267" t="s">
        <v>1616</v>
      </c>
      <c r="J304" s="252" t="s">
        <v>3599</v>
      </c>
      <c r="K304" s="165"/>
      <c r="L304" s="260"/>
      <c r="M304" s="260"/>
      <c r="N304" s="164"/>
      <c r="O304" s="140" t="s">
        <v>671</v>
      </c>
      <c r="P304" s="44" t="s">
        <v>672</v>
      </c>
      <c r="Q304" s="248" t="s">
        <v>3603</v>
      </c>
      <c r="R304" s="220"/>
      <c r="S304" s="142" t="s">
        <v>675</v>
      </c>
      <c r="T304" s="262"/>
    </row>
    <row r="305" spans="1:20" ht="58" customHeight="1">
      <c r="A305" s="250" t="s">
        <v>2660</v>
      </c>
      <c r="B305" s="46" t="s">
        <v>1616</v>
      </c>
      <c r="C305" s="45" t="s">
        <v>1610</v>
      </c>
      <c r="D305" s="45" t="s">
        <v>687</v>
      </c>
      <c r="E305" s="264" t="s">
        <v>932</v>
      </c>
      <c r="F305" s="264" t="s">
        <v>3775</v>
      </c>
      <c r="G305" s="265" t="s">
        <v>4980</v>
      </c>
      <c r="H305" s="46" t="s">
        <v>3</v>
      </c>
      <c r="I305" s="267" t="s">
        <v>1616</v>
      </c>
      <c r="J305" s="252" t="s">
        <v>3599</v>
      </c>
      <c r="K305" s="165"/>
      <c r="L305" s="260"/>
      <c r="M305" s="260"/>
      <c r="N305" s="164"/>
      <c r="O305" s="140" t="s">
        <v>671</v>
      </c>
      <c r="P305" s="44" t="s">
        <v>686</v>
      </c>
      <c r="Q305" s="248" t="s">
        <v>3603</v>
      </c>
      <c r="R305" s="220"/>
      <c r="S305" s="142" t="s">
        <v>675</v>
      </c>
      <c r="T305" s="262"/>
    </row>
    <row r="306" spans="1:20" ht="58" customHeight="1">
      <c r="A306" s="250" t="s">
        <v>2660</v>
      </c>
      <c r="B306" s="46" t="s">
        <v>1616</v>
      </c>
      <c r="C306" s="45" t="s">
        <v>1610</v>
      </c>
      <c r="D306" s="45" t="s">
        <v>693</v>
      </c>
      <c r="E306" s="264" t="s">
        <v>934</v>
      </c>
      <c r="F306" s="264" t="s">
        <v>3777</v>
      </c>
      <c r="G306" s="265" t="s">
        <v>3778</v>
      </c>
      <c r="H306" s="46" t="s">
        <v>3</v>
      </c>
      <c r="I306" s="267" t="s">
        <v>1616</v>
      </c>
      <c r="J306" s="252" t="s">
        <v>3599</v>
      </c>
      <c r="K306" s="165"/>
      <c r="L306" s="260"/>
      <c r="M306" s="260"/>
      <c r="N306" s="164"/>
      <c r="O306" s="140" t="s">
        <v>671</v>
      </c>
      <c r="P306" s="44" t="s">
        <v>692</v>
      </c>
      <c r="Q306" s="248" t="s">
        <v>3603</v>
      </c>
      <c r="R306" s="220"/>
      <c r="S306" s="142" t="s">
        <v>675</v>
      </c>
      <c r="T306" s="262"/>
    </row>
    <row r="307" spans="1:20" ht="58" customHeight="1">
      <c r="A307" s="250" t="s">
        <v>2660</v>
      </c>
      <c r="B307" s="46" t="s">
        <v>1616</v>
      </c>
      <c r="C307" s="45" t="s">
        <v>1610</v>
      </c>
      <c r="D307" s="45" t="s">
        <v>716</v>
      </c>
      <c r="E307" s="264" t="s">
        <v>940</v>
      </c>
      <c r="F307" s="264" t="s">
        <v>3786</v>
      </c>
      <c r="G307" s="265" t="s">
        <v>3787</v>
      </c>
      <c r="H307" s="46" t="s">
        <v>3</v>
      </c>
      <c r="I307" s="267" t="s">
        <v>1616</v>
      </c>
      <c r="J307" s="252" t="s">
        <v>3599</v>
      </c>
      <c r="K307" s="165"/>
      <c r="L307" s="260"/>
      <c r="M307" s="260"/>
      <c r="N307" s="164"/>
      <c r="O307" s="140" t="s">
        <v>714</v>
      </c>
      <c r="P307" s="44" t="s">
        <v>715</v>
      </c>
      <c r="Q307" s="248" t="s">
        <v>3603</v>
      </c>
      <c r="R307" s="220"/>
      <c r="S307" s="142" t="s">
        <v>718</v>
      </c>
      <c r="T307" s="262"/>
    </row>
    <row r="308" spans="1:20" ht="58" customHeight="1">
      <c r="A308" s="250" t="s">
        <v>2660</v>
      </c>
      <c r="B308" s="46" t="s">
        <v>1616</v>
      </c>
      <c r="C308" s="45" t="s">
        <v>1610</v>
      </c>
      <c r="D308" s="45" t="s">
        <v>720</v>
      </c>
      <c r="E308" s="264" t="s">
        <v>941</v>
      </c>
      <c r="F308" s="264" t="s">
        <v>3788</v>
      </c>
      <c r="G308" s="265" t="s">
        <v>3789</v>
      </c>
      <c r="H308" s="46" t="s">
        <v>1025</v>
      </c>
      <c r="I308" s="267" t="s">
        <v>1616</v>
      </c>
      <c r="J308" s="252" t="s">
        <v>3599</v>
      </c>
      <c r="K308" s="165"/>
      <c r="L308" s="260"/>
      <c r="M308" s="260"/>
      <c r="N308" s="164"/>
      <c r="O308" s="140" t="s">
        <v>714</v>
      </c>
      <c r="P308" s="44" t="s">
        <v>719</v>
      </c>
      <c r="Q308" s="248" t="s">
        <v>3603</v>
      </c>
      <c r="R308" s="220"/>
      <c r="S308" s="142" t="s">
        <v>718</v>
      </c>
      <c r="T308" s="262"/>
    </row>
    <row r="309" spans="1:20" ht="58" customHeight="1">
      <c r="A309" s="250" t="s">
        <v>2660</v>
      </c>
      <c r="B309" s="46" t="s">
        <v>1616</v>
      </c>
      <c r="C309" s="45" t="s">
        <v>1610</v>
      </c>
      <c r="D309" s="45" t="s">
        <v>723</v>
      </c>
      <c r="E309" s="264" t="s">
        <v>942</v>
      </c>
      <c r="F309" s="264" t="s">
        <v>3790</v>
      </c>
      <c r="G309" s="265" t="s">
        <v>3791</v>
      </c>
      <c r="H309" s="46" t="s">
        <v>3</v>
      </c>
      <c r="I309" s="267" t="s">
        <v>1616</v>
      </c>
      <c r="J309" s="252" t="s">
        <v>3599</v>
      </c>
      <c r="K309" s="165"/>
      <c r="L309" s="260"/>
      <c r="M309" s="260"/>
      <c r="N309" s="164"/>
      <c r="O309" s="140" t="s">
        <v>714</v>
      </c>
      <c r="P309" s="44" t="s">
        <v>722</v>
      </c>
      <c r="Q309" s="248" t="s">
        <v>3603</v>
      </c>
      <c r="R309" s="220"/>
      <c r="S309" s="142" t="s">
        <v>718</v>
      </c>
      <c r="T309" s="262"/>
    </row>
    <row r="310" spans="1:20" ht="58" customHeight="1">
      <c r="A310" s="250" t="s">
        <v>2660</v>
      </c>
      <c r="B310" s="46" t="s">
        <v>1616</v>
      </c>
      <c r="C310" s="45" t="s">
        <v>1612</v>
      </c>
      <c r="D310" s="45" t="s">
        <v>681</v>
      </c>
      <c r="E310" s="264" t="s">
        <v>930</v>
      </c>
      <c r="F310" s="264" t="s">
        <v>3772</v>
      </c>
      <c r="G310" s="265" t="s">
        <v>3773</v>
      </c>
      <c r="H310" s="46" t="s">
        <v>3</v>
      </c>
      <c r="I310" s="267" t="s">
        <v>1616</v>
      </c>
      <c r="J310" s="252" t="s">
        <v>3599</v>
      </c>
      <c r="K310" s="165"/>
      <c r="L310" s="260"/>
      <c r="M310" s="260"/>
      <c r="N310" s="164"/>
      <c r="O310" s="140" t="s">
        <v>671</v>
      </c>
      <c r="P310" s="44" t="s">
        <v>680</v>
      </c>
      <c r="Q310" s="248" t="s">
        <v>3603</v>
      </c>
      <c r="R310" s="220"/>
      <c r="S310" s="142" t="s">
        <v>675</v>
      </c>
      <c r="T310" s="262"/>
    </row>
    <row r="311" spans="1:20" ht="58" customHeight="1">
      <c r="A311" s="250" t="s">
        <v>2660</v>
      </c>
      <c r="B311" s="46" t="s">
        <v>1616</v>
      </c>
      <c r="C311" s="45" t="s">
        <v>1617</v>
      </c>
      <c r="D311" s="45" t="s">
        <v>597</v>
      </c>
      <c r="E311" s="264" t="s">
        <v>903</v>
      </c>
      <c r="F311" s="264" t="s">
        <v>3734</v>
      </c>
      <c r="G311" s="265" t="s">
        <v>3735</v>
      </c>
      <c r="H311" s="46" t="s">
        <v>3</v>
      </c>
      <c r="I311" s="267" t="s">
        <v>1616</v>
      </c>
      <c r="J311" s="252" t="s">
        <v>3599</v>
      </c>
      <c r="K311" s="165"/>
      <c r="L311" s="260"/>
      <c r="M311" s="260"/>
      <c r="N311" s="164"/>
      <c r="O311" s="140" t="s">
        <v>591</v>
      </c>
      <c r="P311" s="44" t="s">
        <v>596</v>
      </c>
      <c r="Q311" s="248" t="s">
        <v>3603</v>
      </c>
      <c r="R311" s="220"/>
      <c r="S311" s="142" t="s">
        <v>595</v>
      </c>
      <c r="T311" s="262"/>
    </row>
    <row r="312" spans="1:20" ht="58" customHeight="1">
      <c r="A312" s="250" t="s">
        <v>2660</v>
      </c>
      <c r="B312" s="46" t="s">
        <v>1616</v>
      </c>
      <c r="C312" s="45" t="s">
        <v>1617</v>
      </c>
      <c r="D312" s="45" t="s">
        <v>600</v>
      </c>
      <c r="E312" s="264" t="s">
        <v>904</v>
      </c>
      <c r="F312" s="264" t="s">
        <v>3736</v>
      </c>
      <c r="G312" s="265" t="s">
        <v>4981</v>
      </c>
      <c r="H312" s="46" t="s">
        <v>3</v>
      </c>
      <c r="I312" s="267" t="s">
        <v>1616</v>
      </c>
      <c r="J312" s="252" t="s">
        <v>3599</v>
      </c>
      <c r="K312" s="165"/>
      <c r="L312" s="260"/>
      <c r="M312" s="260"/>
      <c r="N312" s="164"/>
      <c r="O312" s="140" t="s">
        <v>591</v>
      </c>
      <c r="P312" s="44" t="s">
        <v>599</v>
      </c>
      <c r="Q312" s="248" t="s">
        <v>3603</v>
      </c>
      <c r="R312" s="220"/>
      <c r="S312" s="142" t="s">
        <v>595</v>
      </c>
      <c r="T312" s="262"/>
    </row>
    <row r="313" spans="1:20" ht="58" customHeight="1">
      <c r="A313" s="250" t="s">
        <v>2660</v>
      </c>
      <c r="B313" s="46" t="s">
        <v>1616</v>
      </c>
      <c r="C313" s="45" t="s">
        <v>1617</v>
      </c>
      <c r="D313" s="45" t="s">
        <v>603</v>
      </c>
      <c r="E313" s="264" t="s">
        <v>905</v>
      </c>
      <c r="F313" s="264" t="s">
        <v>3737</v>
      </c>
      <c r="G313" s="265" t="s">
        <v>3735</v>
      </c>
      <c r="H313" s="46" t="s">
        <v>3</v>
      </c>
      <c r="I313" s="267" t="s">
        <v>1616</v>
      </c>
      <c r="J313" s="252" t="s">
        <v>3599</v>
      </c>
      <c r="K313" s="165"/>
      <c r="L313" s="260"/>
      <c r="M313" s="260"/>
      <c r="N313" s="164"/>
      <c r="O313" s="140" t="s">
        <v>591</v>
      </c>
      <c r="P313" s="44" t="s">
        <v>602</v>
      </c>
      <c r="Q313" s="248" t="s">
        <v>3603</v>
      </c>
      <c r="R313" s="220"/>
      <c r="S313" s="142" t="s">
        <v>595</v>
      </c>
      <c r="T313" s="262"/>
    </row>
    <row r="314" spans="1:20" ht="58" customHeight="1">
      <c r="A314" s="250" t="s">
        <v>2660</v>
      </c>
      <c r="B314" s="46" t="s">
        <v>1616</v>
      </c>
      <c r="C314" s="45" t="s">
        <v>1617</v>
      </c>
      <c r="D314" s="45" t="s">
        <v>606</v>
      </c>
      <c r="E314" s="264" t="s">
        <v>906</v>
      </c>
      <c r="F314" s="264" t="s">
        <v>3738</v>
      </c>
      <c r="G314" s="265" t="s">
        <v>3735</v>
      </c>
      <c r="H314" s="46" t="s">
        <v>3</v>
      </c>
      <c r="I314" s="267" t="s">
        <v>1616</v>
      </c>
      <c r="J314" s="252" t="s">
        <v>3599</v>
      </c>
      <c r="K314" s="165"/>
      <c r="L314" s="260"/>
      <c r="M314" s="260"/>
      <c r="N314" s="164"/>
      <c r="O314" s="140" t="s">
        <v>591</v>
      </c>
      <c r="P314" s="44" t="s">
        <v>605</v>
      </c>
      <c r="Q314" s="248" t="s">
        <v>3603</v>
      </c>
      <c r="R314" s="220"/>
      <c r="S314" s="142" t="s">
        <v>595</v>
      </c>
      <c r="T314" s="262"/>
    </row>
    <row r="315" spans="1:20" ht="58" customHeight="1">
      <c r="A315" s="250" t="s">
        <v>2660</v>
      </c>
      <c r="B315" s="46" t="s">
        <v>1616</v>
      </c>
      <c r="C315" s="45" t="s">
        <v>1617</v>
      </c>
      <c r="D315" s="45" t="s">
        <v>609</v>
      </c>
      <c r="E315" s="264" t="s">
        <v>907</v>
      </c>
      <c r="F315" s="264" t="s">
        <v>3739</v>
      </c>
      <c r="G315" s="265" t="s">
        <v>3735</v>
      </c>
      <c r="H315" s="46" t="s">
        <v>3</v>
      </c>
      <c r="I315" s="267" t="s">
        <v>1616</v>
      </c>
      <c r="J315" s="252" t="s">
        <v>3599</v>
      </c>
      <c r="K315" s="165"/>
      <c r="L315" s="260"/>
      <c r="M315" s="260"/>
      <c r="N315" s="164"/>
      <c r="O315" s="140" t="s">
        <v>591</v>
      </c>
      <c r="P315" s="44" t="s">
        <v>608</v>
      </c>
      <c r="Q315" s="248" t="s">
        <v>3603</v>
      </c>
      <c r="R315" s="220"/>
      <c r="S315" s="142" t="s">
        <v>595</v>
      </c>
      <c r="T315" s="262"/>
    </row>
    <row r="316" spans="1:20" ht="58" customHeight="1">
      <c r="A316" s="250" t="s">
        <v>2660</v>
      </c>
      <c r="B316" s="46" t="s">
        <v>1616</v>
      </c>
      <c r="C316" s="45" t="s">
        <v>1617</v>
      </c>
      <c r="D316" s="45" t="s">
        <v>700</v>
      </c>
      <c r="E316" s="264" t="s">
        <v>936</v>
      </c>
      <c r="F316" s="264" t="s">
        <v>3780</v>
      </c>
      <c r="G316" s="265" t="s">
        <v>3781</v>
      </c>
      <c r="H316" s="46" t="s">
        <v>3</v>
      </c>
      <c r="I316" s="267" t="s">
        <v>1616</v>
      </c>
      <c r="J316" s="252" t="s">
        <v>3599</v>
      </c>
      <c r="K316" s="165"/>
      <c r="L316" s="260"/>
      <c r="M316" s="260"/>
      <c r="N316" s="164"/>
      <c r="O316" s="140" t="s">
        <v>698</v>
      </c>
      <c r="P316" s="44" t="s">
        <v>699</v>
      </c>
      <c r="Q316" s="248" t="s">
        <v>3603</v>
      </c>
      <c r="R316" s="220"/>
      <c r="S316" s="142" t="s">
        <v>702</v>
      </c>
      <c r="T316" s="262"/>
    </row>
    <row r="317" spans="1:20" ht="58" customHeight="1">
      <c r="A317" s="250" t="s">
        <v>2660</v>
      </c>
      <c r="B317" s="46" t="s">
        <v>1616</v>
      </c>
      <c r="C317" s="45" t="s">
        <v>1617</v>
      </c>
      <c r="D317" s="45" t="s">
        <v>704</v>
      </c>
      <c r="E317" s="264" t="s">
        <v>937</v>
      </c>
      <c r="F317" s="264" t="s">
        <v>3782</v>
      </c>
      <c r="G317" s="265" t="s">
        <v>3783</v>
      </c>
      <c r="H317" s="46" t="s">
        <v>1599</v>
      </c>
      <c r="I317" s="267" t="s">
        <v>1616</v>
      </c>
      <c r="J317" s="252" t="s">
        <v>3599</v>
      </c>
      <c r="K317" s="165"/>
      <c r="L317" s="260"/>
      <c r="M317" s="260"/>
      <c r="N317" s="164"/>
      <c r="O317" s="140" t="s">
        <v>698</v>
      </c>
      <c r="P317" s="44" t="s">
        <v>703</v>
      </c>
      <c r="Q317" s="248" t="s">
        <v>3603</v>
      </c>
      <c r="R317" s="220"/>
      <c r="S317" s="142" t="s">
        <v>706</v>
      </c>
      <c r="T317" s="262" t="s">
        <v>5018</v>
      </c>
    </row>
    <row r="318" spans="1:20" ht="58" customHeight="1">
      <c r="A318" s="250" t="s">
        <v>2660</v>
      </c>
      <c r="B318" s="46" t="s">
        <v>1616</v>
      </c>
      <c r="C318" s="45" t="s">
        <v>1617</v>
      </c>
      <c r="D318" s="45" t="s">
        <v>726</v>
      </c>
      <c r="E318" s="264" t="s">
        <v>943</v>
      </c>
      <c r="F318" s="264" t="s">
        <v>3792</v>
      </c>
      <c r="G318" s="265" t="s">
        <v>3735</v>
      </c>
      <c r="H318" s="46" t="s">
        <v>3</v>
      </c>
      <c r="I318" s="267" t="s">
        <v>1616</v>
      </c>
      <c r="J318" s="252" t="s">
        <v>3599</v>
      </c>
      <c r="K318" s="165"/>
      <c r="L318" s="260"/>
      <c r="M318" s="260"/>
      <c r="N318" s="164"/>
      <c r="O318" s="140" t="s">
        <v>714</v>
      </c>
      <c r="P318" s="44" t="s">
        <v>725</v>
      </c>
      <c r="Q318" s="248" t="s">
        <v>3603</v>
      </c>
      <c r="R318" s="220"/>
      <c r="S318" s="142" t="s">
        <v>718</v>
      </c>
      <c r="T318" s="262"/>
    </row>
    <row r="319" spans="1:20" ht="58" customHeight="1">
      <c r="A319" s="250" t="s">
        <v>2660</v>
      </c>
      <c r="B319" s="46" t="s">
        <v>1616</v>
      </c>
      <c r="C319" s="45" t="s">
        <v>1607</v>
      </c>
      <c r="D319" s="45" t="s">
        <v>5189</v>
      </c>
      <c r="E319" s="264" t="s">
        <v>5190</v>
      </c>
      <c r="F319" s="264" t="s">
        <v>5191</v>
      </c>
      <c r="G319" s="265" t="s">
        <v>5192</v>
      </c>
      <c r="H319" s="46" t="s">
        <v>2</v>
      </c>
      <c r="I319" s="267" t="s">
        <v>1616</v>
      </c>
      <c r="J319" s="252" t="s">
        <v>3599</v>
      </c>
      <c r="K319" s="165" t="s">
        <v>1025</v>
      </c>
      <c r="L319" s="260"/>
      <c r="M319" s="260"/>
      <c r="N319" s="164"/>
      <c r="O319" s="140" t="s">
        <v>5193</v>
      </c>
      <c r="P319" s="44" t="s">
        <v>5194</v>
      </c>
      <c r="Q319" s="248" t="s">
        <v>5195</v>
      </c>
      <c r="R319" s="220" t="s">
        <v>5196</v>
      </c>
      <c r="S319" s="142" t="s">
        <v>5197</v>
      </c>
      <c r="T319" s="262"/>
    </row>
    <row r="320" spans="1:20" ht="58" customHeight="1">
      <c r="A320" s="250" t="s">
        <v>2660</v>
      </c>
      <c r="B320" s="46" t="s">
        <v>1616</v>
      </c>
      <c r="C320" s="45" t="s">
        <v>1610</v>
      </c>
      <c r="D320" s="45" t="s">
        <v>5198</v>
      </c>
      <c r="E320" s="264" t="s">
        <v>5199</v>
      </c>
      <c r="F320" s="264" t="s">
        <v>5200</v>
      </c>
      <c r="G320" s="265" t="s">
        <v>5201</v>
      </c>
      <c r="H320" s="46" t="s">
        <v>2</v>
      </c>
      <c r="I320" s="267" t="s">
        <v>1616</v>
      </c>
      <c r="J320" s="252" t="s">
        <v>3599</v>
      </c>
      <c r="K320" s="165" t="s">
        <v>1025</v>
      </c>
      <c r="L320" s="260"/>
      <c r="M320" s="260"/>
      <c r="N320" s="164"/>
      <c r="O320" s="140" t="s">
        <v>5193</v>
      </c>
      <c r="P320" s="44" t="s">
        <v>5202</v>
      </c>
      <c r="Q320" s="248" t="s">
        <v>5195</v>
      </c>
      <c r="R320" s="220" t="s">
        <v>5196</v>
      </c>
      <c r="S320" s="142" t="s">
        <v>5203</v>
      </c>
      <c r="T320" s="262"/>
    </row>
    <row r="321" spans="1:20" ht="58" customHeight="1">
      <c r="A321" s="250" t="s">
        <v>2660</v>
      </c>
      <c r="B321" s="46" t="s">
        <v>1616</v>
      </c>
      <c r="C321" s="45" t="s">
        <v>1610</v>
      </c>
      <c r="D321" s="45" t="s">
        <v>5204</v>
      </c>
      <c r="E321" s="264" t="s">
        <v>5205</v>
      </c>
      <c r="F321" s="264" t="s">
        <v>5206</v>
      </c>
      <c r="G321" s="265" t="s">
        <v>5207</v>
      </c>
      <c r="H321" s="46" t="s">
        <v>2</v>
      </c>
      <c r="I321" s="267" t="s">
        <v>1616</v>
      </c>
      <c r="J321" s="252" t="s">
        <v>3599</v>
      </c>
      <c r="K321" s="165" t="s">
        <v>1025</v>
      </c>
      <c r="L321" s="260"/>
      <c r="M321" s="260"/>
      <c r="N321" s="164"/>
      <c r="O321" s="140" t="s">
        <v>5193</v>
      </c>
      <c r="P321" s="44" t="s">
        <v>5208</v>
      </c>
      <c r="Q321" s="248" t="s">
        <v>5195</v>
      </c>
      <c r="R321" s="220" t="s">
        <v>5196</v>
      </c>
      <c r="S321" s="142" t="s">
        <v>5203</v>
      </c>
      <c r="T321" s="262"/>
    </row>
    <row r="322" spans="1:20" ht="58" customHeight="1">
      <c r="A322" s="250" t="s">
        <v>2660</v>
      </c>
      <c r="B322" s="46" t="s">
        <v>1616</v>
      </c>
      <c r="C322" s="45" t="s">
        <v>1610</v>
      </c>
      <c r="D322" s="45" t="s">
        <v>5209</v>
      </c>
      <c r="E322" s="264" t="s">
        <v>5210</v>
      </c>
      <c r="F322" s="264" t="s">
        <v>5211</v>
      </c>
      <c r="G322" s="265" t="s">
        <v>5212</v>
      </c>
      <c r="H322" s="46" t="s">
        <v>2</v>
      </c>
      <c r="I322" s="267" t="s">
        <v>1616</v>
      </c>
      <c r="J322" s="252" t="s">
        <v>3599</v>
      </c>
      <c r="K322" s="165" t="s">
        <v>1025</v>
      </c>
      <c r="L322" s="260"/>
      <c r="M322" s="260"/>
      <c r="N322" s="164"/>
      <c r="O322" s="140" t="s">
        <v>5193</v>
      </c>
      <c r="P322" s="44" t="s">
        <v>5213</v>
      </c>
      <c r="Q322" s="248" t="s">
        <v>5195</v>
      </c>
      <c r="R322" s="220" t="s">
        <v>5196</v>
      </c>
      <c r="S322" s="142" t="s">
        <v>5203</v>
      </c>
      <c r="T322" s="262"/>
    </row>
    <row r="323" spans="1:20" ht="58" customHeight="1">
      <c r="A323" s="250" t="s">
        <v>2660</v>
      </c>
      <c r="B323" s="46" t="s">
        <v>1616</v>
      </c>
      <c r="C323" s="45" t="s">
        <v>1614</v>
      </c>
      <c r="D323" s="45" t="s">
        <v>5214</v>
      </c>
      <c r="E323" s="264" t="s">
        <v>5215</v>
      </c>
      <c r="F323" s="264" t="s">
        <v>5216</v>
      </c>
      <c r="G323" s="265" t="s">
        <v>5217</v>
      </c>
      <c r="H323" s="46" t="s">
        <v>2</v>
      </c>
      <c r="I323" s="267" t="s">
        <v>1616</v>
      </c>
      <c r="J323" s="252" t="s">
        <v>3599</v>
      </c>
      <c r="K323" s="165" t="s">
        <v>1025</v>
      </c>
      <c r="L323" s="260"/>
      <c r="M323" s="260"/>
      <c r="N323" s="164"/>
      <c r="O323" s="140" t="s">
        <v>5193</v>
      </c>
      <c r="P323" s="44" t="s">
        <v>5218</v>
      </c>
      <c r="Q323" s="248" t="s">
        <v>5195</v>
      </c>
      <c r="R323" s="220" t="s">
        <v>5196</v>
      </c>
      <c r="S323" s="142" t="s">
        <v>5219</v>
      </c>
      <c r="T323" s="262"/>
    </row>
    <row r="324" spans="1:20" ht="58" customHeight="1">
      <c r="A324" s="250" t="s">
        <v>2660</v>
      </c>
      <c r="B324" s="46" t="s">
        <v>1616</v>
      </c>
      <c r="C324" s="45" t="s">
        <v>1614</v>
      </c>
      <c r="D324" s="45" t="s">
        <v>5220</v>
      </c>
      <c r="E324" s="264" t="s">
        <v>5221</v>
      </c>
      <c r="F324" s="264" t="s">
        <v>5222</v>
      </c>
      <c r="G324" s="265" t="s">
        <v>5223</v>
      </c>
      <c r="H324" s="46" t="s">
        <v>2</v>
      </c>
      <c r="I324" s="267" t="s">
        <v>1616</v>
      </c>
      <c r="J324" s="252" t="s">
        <v>3599</v>
      </c>
      <c r="K324" s="165" t="s">
        <v>1025</v>
      </c>
      <c r="L324" s="260"/>
      <c r="M324" s="260"/>
      <c r="N324" s="164"/>
      <c r="O324" s="140" t="s">
        <v>5193</v>
      </c>
      <c r="P324" s="44" t="s">
        <v>5224</v>
      </c>
      <c r="Q324" s="248" t="s">
        <v>5195</v>
      </c>
      <c r="R324" s="220" t="s">
        <v>5196</v>
      </c>
      <c r="S324" s="142" t="s">
        <v>5225</v>
      </c>
      <c r="T324" s="262"/>
    </row>
    <row r="325" spans="1:20" ht="58" customHeight="1">
      <c r="A325" s="250" t="s">
        <v>2660</v>
      </c>
      <c r="B325" s="46" t="s">
        <v>1616</v>
      </c>
      <c r="C325" s="45" t="s">
        <v>1610</v>
      </c>
      <c r="D325" s="45" t="s">
        <v>5226</v>
      </c>
      <c r="E325" s="264" t="s">
        <v>5227</v>
      </c>
      <c r="F325" s="264" t="s">
        <v>5228</v>
      </c>
      <c r="G325" s="265" t="s">
        <v>5229</v>
      </c>
      <c r="H325" s="46" t="s">
        <v>2</v>
      </c>
      <c r="I325" s="267" t="s">
        <v>1616</v>
      </c>
      <c r="J325" s="252" t="s">
        <v>3599</v>
      </c>
      <c r="K325" s="165" t="s">
        <v>1025</v>
      </c>
      <c r="L325" s="260"/>
      <c r="M325" s="260"/>
      <c r="N325" s="164"/>
      <c r="O325" s="140" t="s">
        <v>5193</v>
      </c>
      <c r="P325" s="44" t="s">
        <v>5230</v>
      </c>
      <c r="Q325" s="248" t="s">
        <v>5195</v>
      </c>
      <c r="R325" s="220" t="s">
        <v>5196</v>
      </c>
      <c r="S325" s="142" t="s">
        <v>5195</v>
      </c>
      <c r="T325" s="262"/>
    </row>
    <row r="326" spans="1:20" ht="58" customHeight="1">
      <c r="A326" s="250" t="s">
        <v>2660</v>
      </c>
      <c r="B326" s="46" t="s">
        <v>1616</v>
      </c>
      <c r="C326" s="45" t="s">
        <v>1617</v>
      </c>
      <c r="D326" s="45" t="s">
        <v>5231</v>
      </c>
      <c r="E326" s="264" t="s">
        <v>5232</v>
      </c>
      <c r="F326" s="264" t="s">
        <v>5233</v>
      </c>
      <c r="G326" s="265" t="s">
        <v>5234</v>
      </c>
      <c r="H326" s="46" t="s">
        <v>2</v>
      </c>
      <c r="I326" s="267" t="s">
        <v>1616</v>
      </c>
      <c r="J326" s="252" t="s">
        <v>3599</v>
      </c>
      <c r="K326" s="165" t="s">
        <v>1025</v>
      </c>
      <c r="L326" s="260"/>
      <c r="M326" s="260"/>
      <c r="N326" s="164"/>
      <c r="O326" s="140" t="s">
        <v>5193</v>
      </c>
      <c r="P326" s="44" t="s">
        <v>5235</v>
      </c>
      <c r="Q326" s="248" t="s">
        <v>5195</v>
      </c>
      <c r="R326" s="220" t="s">
        <v>5196</v>
      </c>
      <c r="S326" s="142" t="s">
        <v>5236</v>
      </c>
      <c r="T326" s="262"/>
    </row>
  </sheetData>
  <autoFilter ref="A3:T326" xr:uid="{4F6F187A-C144-EF41-838F-8FD30632C19C}"/>
  <phoneticPr fontId="2"/>
  <conditionalFormatting sqref="A4:S1000">
    <cfRule type="expression" dxfId="24" priority="1">
      <formula>AND($P4&lt;&gt;"",$H4="確定")</formula>
    </cfRule>
  </conditionalFormatting>
  <conditionalFormatting sqref="A4:S1000">
    <cfRule type="expression" dxfId="23" priority="2">
      <formula>AND($P4&lt;&gt;"",$H4="方向性確定（条件付き）")</formula>
    </cfRule>
  </conditionalFormatting>
  <conditionalFormatting sqref="A4:S1000">
    <cfRule type="expression" dxfId="22" priority="3">
      <formula>AND($P4&lt;&gt;"",$H4="検討中")</formula>
    </cfRule>
  </conditionalFormatting>
  <conditionalFormatting sqref="A4:S1000">
    <cfRule type="expression" dxfId="21" priority="4">
      <formula>AND($P4&lt;&gt;"",$H4="外部待ち")</formula>
    </cfRule>
  </conditionalFormatting>
  <conditionalFormatting sqref="A4:S1000">
    <cfRule type="expression" dxfId="20" priority="5">
      <formula>AND($P4&lt;&gt;"",$H4="対象外")</formula>
    </cfRule>
  </conditionalFormatting>
  <conditionalFormatting sqref="I4:I1000">
    <cfRule type="expression" dxfId="19" priority="6">
      <formula>$I4="顧客ヒアリング"</formula>
    </cfRule>
  </conditionalFormatting>
  <conditionalFormatting sqref="I4:I1000">
    <cfRule type="expression" dxfId="18" priority="7">
      <formula>$I4="顧客ヒアリング（アプリチーム）"</formula>
    </cfRule>
  </conditionalFormatting>
  <conditionalFormatting sqref="I4:I1000">
    <cfRule type="expression" dxfId="17" priority="8">
      <formula>$I4="顧客ヒアリング→アプリ確認"</formula>
    </cfRule>
  </conditionalFormatting>
  <conditionalFormatting sqref="I4:I1000">
    <cfRule type="expression" dxfId="16" priority="9">
      <formula>$I4="他組織ヒアリング（要求仕様）"</formula>
    </cfRule>
  </conditionalFormatting>
  <conditionalFormatting sqref="I4:I1000">
    <cfRule type="expression" dxfId="15" priority="10">
      <formula>$I4="社内判断待ち"</formula>
    </cfRule>
  </conditionalFormatting>
  <conditionalFormatting sqref="I4:I1000">
    <cfRule type="expression" dxfId="14" priority="11">
      <formula>$I4="設計タスク"</formula>
    </cfRule>
  </conditionalFormatting>
  <conditionalFormatting sqref="I4:I1000">
    <cfRule type="expression" dxfId="13" priority="12">
      <formula>$I4="確定（反映のみ）"</formula>
    </cfRule>
  </conditionalFormatting>
  <conditionalFormatting sqref="I4:I1000">
    <cfRule type="expression" dxfId="12" priority="13">
      <formula>$I4="スコープ外"</formula>
    </cfRule>
  </conditionalFormatting>
  <conditionalFormatting sqref="T4:T1000">
    <cfRule type="expression" dxfId="11" priority="14">
      <formula>$T4&lt;&gt;""</formula>
    </cfRule>
  </conditionalFormatting>
  <conditionalFormatting sqref="N4:N1000">
    <cfRule type="expression" dxfId="10" priority="15">
      <formula>$N4="最優先"</formula>
    </cfRule>
  </conditionalFormatting>
  <conditionalFormatting sqref="N4:N1000">
    <cfRule type="expression" dxfId="9" priority="16">
      <formula>$N4="通常"</formula>
    </cfRule>
  </conditionalFormatting>
  <conditionalFormatting sqref="N4:N1000">
    <cfRule type="expression" dxfId="8"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1595</v>
      </c>
    </row>
    <row r="4" spans="1:5" ht="22" customHeight="1">
      <c r="A4" s="37" t="s">
        <v>1622</v>
      </c>
      <c r="B4" s="38" t="s">
        <v>1623</v>
      </c>
      <c r="C4" s="38" t="s">
        <v>1624</v>
      </c>
      <c r="D4" s="38" t="s">
        <v>1625</v>
      </c>
      <c r="E4" s="39" t="s">
        <v>1626</v>
      </c>
    </row>
    <row r="5" spans="1:5">
      <c r="A5" s="130" t="s">
        <v>1627</v>
      </c>
      <c r="B5" s="68" t="s">
        <v>1628</v>
      </c>
      <c r="C5" s="68" t="s">
        <v>1629</v>
      </c>
      <c r="D5" s="133" t="s">
        <v>1630</v>
      </c>
      <c r="E5" s="43" t="s">
        <v>1631</v>
      </c>
    </row>
    <row r="6" spans="1:5">
      <c r="A6" s="130" t="s">
        <v>1632</v>
      </c>
      <c r="B6" s="68" t="s">
        <v>1628</v>
      </c>
      <c r="C6" s="68" t="s">
        <v>1633</v>
      </c>
      <c r="D6" s="133" t="s">
        <v>1634</v>
      </c>
      <c r="E6" s="43" t="s">
        <v>1631</v>
      </c>
    </row>
    <row r="7" spans="1:5">
      <c r="A7" s="130" t="s">
        <v>1635</v>
      </c>
      <c r="B7" s="68" t="s">
        <v>1628</v>
      </c>
      <c r="C7" s="68" t="s">
        <v>1636</v>
      </c>
      <c r="D7" s="133" t="s">
        <v>1637</v>
      </c>
      <c r="E7" s="43" t="s">
        <v>1631</v>
      </c>
    </row>
    <row r="8" spans="1:5">
      <c r="A8" s="130" t="s">
        <v>1638</v>
      </c>
      <c r="B8" s="68" t="s">
        <v>1628</v>
      </c>
      <c r="C8" s="68" t="s">
        <v>1639</v>
      </c>
      <c r="D8" s="133" t="s">
        <v>1640</v>
      </c>
      <c r="E8" s="43" t="s">
        <v>1631</v>
      </c>
    </row>
    <row r="9" spans="1:5">
      <c r="A9" s="130" t="s">
        <v>1641</v>
      </c>
      <c r="B9" s="68" t="s">
        <v>1628</v>
      </c>
      <c r="C9" s="68" t="s">
        <v>1642</v>
      </c>
      <c r="D9" s="133" t="s">
        <v>1643</v>
      </c>
      <c r="E9" s="43" t="s">
        <v>1631</v>
      </c>
    </row>
    <row r="10" spans="1:5">
      <c r="A10" s="130" t="s">
        <v>1644</v>
      </c>
      <c r="B10" s="68" t="s">
        <v>1628</v>
      </c>
      <c r="C10" s="68" t="s">
        <v>1645</v>
      </c>
      <c r="D10" s="133" t="s">
        <v>1646</v>
      </c>
      <c r="E10" s="43" t="s">
        <v>1631</v>
      </c>
    </row>
    <row r="11" spans="1:5">
      <c r="A11" s="130" t="s">
        <v>1647</v>
      </c>
      <c r="B11" s="68" t="s">
        <v>1628</v>
      </c>
      <c r="C11" s="68" t="s">
        <v>1648</v>
      </c>
      <c r="D11" s="133" t="s">
        <v>1649</v>
      </c>
      <c r="E11" s="43" t="s">
        <v>1631</v>
      </c>
    </row>
    <row r="12" spans="1:5">
      <c r="A12" s="130" t="s">
        <v>1650</v>
      </c>
      <c r="B12" s="68" t="s">
        <v>1628</v>
      </c>
      <c r="C12" s="68" t="s">
        <v>1651</v>
      </c>
      <c r="D12" s="133" t="s">
        <v>1652</v>
      </c>
      <c r="E12" s="43" t="s">
        <v>1631</v>
      </c>
    </row>
    <row r="13" spans="1:5">
      <c r="A13" s="130" t="s">
        <v>1653</v>
      </c>
      <c r="B13" s="68" t="s">
        <v>1628</v>
      </c>
      <c r="C13" s="68" t="s">
        <v>1654</v>
      </c>
      <c r="D13" s="133" t="s">
        <v>1655</v>
      </c>
      <c r="E13" s="43" t="s">
        <v>1631</v>
      </c>
    </row>
    <row r="14" spans="1:5">
      <c r="A14" s="130" t="s">
        <v>1656</v>
      </c>
      <c r="B14" s="68" t="s">
        <v>1628</v>
      </c>
      <c r="C14" s="68" t="s">
        <v>1657</v>
      </c>
      <c r="D14" s="133" t="s">
        <v>1658</v>
      </c>
      <c r="E14" s="43" t="s">
        <v>1631</v>
      </c>
    </row>
    <row r="15" spans="1:5">
      <c r="A15" s="130" t="s">
        <v>1659</v>
      </c>
      <c r="B15" s="68" t="s">
        <v>1628</v>
      </c>
      <c r="C15" s="68" t="s">
        <v>1660</v>
      </c>
      <c r="D15" s="133" t="s">
        <v>1661</v>
      </c>
      <c r="E15" s="43" t="s">
        <v>1631</v>
      </c>
    </row>
    <row r="16" spans="1:5">
      <c r="A16" s="130" t="s">
        <v>1662</v>
      </c>
      <c r="B16" s="68" t="s">
        <v>1628</v>
      </c>
      <c r="C16" s="68" t="s">
        <v>1663</v>
      </c>
      <c r="D16" s="133" t="s">
        <v>1664</v>
      </c>
      <c r="E16" s="43" t="s">
        <v>1631</v>
      </c>
    </row>
    <row r="17" spans="1:5">
      <c r="A17" s="130" t="s">
        <v>1665</v>
      </c>
      <c r="B17" s="68" t="s">
        <v>1628</v>
      </c>
      <c r="C17" s="68" t="s">
        <v>1666</v>
      </c>
      <c r="D17" s="133" t="s">
        <v>1667</v>
      </c>
      <c r="E17" s="43" t="s">
        <v>1631</v>
      </c>
    </row>
    <row r="18" spans="1:5">
      <c r="A18" s="130" t="s">
        <v>1668</v>
      </c>
      <c r="B18" s="68" t="s">
        <v>1628</v>
      </c>
      <c r="C18" s="68" t="s">
        <v>1669</v>
      </c>
      <c r="D18" s="133" t="s">
        <v>1670</v>
      </c>
      <c r="E18" s="43" t="s">
        <v>1631</v>
      </c>
    </row>
    <row r="19" spans="1:5">
      <c r="A19" s="130" t="s">
        <v>1671</v>
      </c>
      <c r="B19" s="68" t="s">
        <v>1628</v>
      </c>
      <c r="C19" s="68" t="s">
        <v>1672</v>
      </c>
      <c r="D19" s="133" t="s">
        <v>1673</v>
      </c>
      <c r="E19" s="43" t="s">
        <v>1631</v>
      </c>
    </row>
    <row r="20" spans="1:5">
      <c r="A20" s="130" t="s">
        <v>1674</v>
      </c>
      <c r="B20" s="68" t="s">
        <v>1628</v>
      </c>
      <c r="C20" s="68" t="s">
        <v>1675</v>
      </c>
      <c r="D20" s="133" t="s">
        <v>1676</v>
      </c>
      <c r="E20" s="43" t="s">
        <v>1631</v>
      </c>
    </row>
    <row r="21" spans="1:5">
      <c r="A21" s="130" t="s">
        <v>1677</v>
      </c>
      <c r="B21" s="68" t="s">
        <v>1628</v>
      </c>
      <c r="C21" s="68" t="s">
        <v>1678</v>
      </c>
      <c r="D21" s="133" t="s">
        <v>1679</v>
      </c>
      <c r="E21" s="43" t="s">
        <v>1631</v>
      </c>
    </row>
    <row r="22" spans="1:5">
      <c r="A22" s="130" t="s">
        <v>1680</v>
      </c>
      <c r="B22" s="68" t="s">
        <v>1628</v>
      </c>
      <c r="C22" s="68" t="s">
        <v>1681</v>
      </c>
      <c r="D22" s="133" t="s">
        <v>1682</v>
      </c>
      <c r="E22" s="43" t="s">
        <v>1631</v>
      </c>
    </row>
    <row r="23" spans="1:5">
      <c r="A23" s="130" t="s">
        <v>1683</v>
      </c>
      <c r="B23" s="68" t="s">
        <v>1628</v>
      </c>
      <c r="C23" s="68" t="s">
        <v>1684</v>
      </c>
      <c r="D23" s="133" t="s">
        <v>1685</v>
      </c>
      <c r="E23" s="43" t="s">
        <v>1631</v>
      </c>
    </row>
    <row r="24" spans="1:5">
      <c r="A24" s="130" t="s">
        <v>1686</v>
      </c>
      <c r="B24" s="68" t="s">
        <v>1628</v>
      </c>
      <c r="C24" s="68" t="s">
        <v>1687</v>
      </c>
      <c r="D24" s="133" t="s">
        <v>1688</v>
      </c>
      <c r="E24" s="43" t="s">
        <v>1631</v>
      </c>
    </row>
    <row r="25" spans="1:5">
      <c r="A25" s="130" t="s">
        <v>1689</v>
      </c>
      <c r="B25" s="68" t="s">
        <v>1628</v>
      </c>
      <c r="C25" s="68" t="s">
        <v>1690</v>
      </c>
      <c r="D25" s="133" t="s">
        <v>1691</v>
      </c>
      <c r="E25" s="43" t="s">
        <v>1631</v>
      </c>
    </row>
    <row r="26" spans="1:5">
      <c r="A26" s="130" t="s">
        <v>1692</v>
      </c>
      <c r="B26" s="68" t="s">
        <v>1628</v>
      </c>
      <c r="C26" s="68" t="s">
        <v>1693</v>
      </c>
      <c r="D26" s="133" t="s">
        <v>1694</v>
      </c>
      <c r="E26" s="43" t="s">
        <v>1631</v>
      </c>
    </row>
    <row r="27" spans="1:5">
      <c r="A27" s="130" t="s">
        <v>1695</v>
      </c>
      <c r="B27" s="68" t="s">
        <v>1628</v>
      </c>
      <c r="C27" s="68" t="s">
        <v>1696</v>
      </c>
      <c r="D27" s="133" t="s">
        <v>1697</v>
      </c>
      <c r="E27" s="43" t="s">
        <v>1631</v>
      </c>
    </row>
    <row r="28" spans="1:5">
      <c r="A28" s="130" t="s">
        <v>1698</v>
      </c>
      <c r="B28" s="68" t="s">
        <v>1628</v>
      </c>
      <c r="C28" s="68" t="s">
        <v>1699</v>
      </c>
      <c r="D28" s="133" t="s">
        <v>1700</v>
      </c>
      <c r="E28" s="43" t="s">
        <v>1631</v>
      </c>
    </row>
    <row r="29" spans="1:5">
      <c r="A29" s="130" t="s">
        <v>1701</v>
      </c>
      <c r="B29" s="68" t="s">
        <v>1628</v>
      </c>
      <c r="C29" s="68" t="s">
        <v>1702</v>
      </c>
      <c r="D29" s="133" t="s">
        <v>1703</v>
      </c>
      <c r="E29" s="43" t="s">
        <v>1631</v>
      </c>
    </row>
    <row r="30" spans="1:5">
      <c r="A30" s="130" t="s">
        <v>1704</v>
      </c>
      <c r="B30" s="68" t="s">
        <v>1628</v>
      </c>
      <c r="C30" s="68" t="s">
        <v>1705</v>
      </c>
      <c r="D30" s="133" t="s">
        <v>1706</v>
      </c>
      <c r="E30" s="43" t="s">
        <v>1631</v>
      </c>
    </row>
    <row r="31" spans="1:5">
      <c r="A31" s="130" t="s">
        <v>1707</v>
      </c>
      <c r="B31" s="68" t="s">
        <v>1628</v>
      </c>
      <c r="C31" s="68" t="s">
        <v>1708</v>
      </c>
      <c r="D31" s="133" t="s">
        <v>1709</v>
      </c>
      <c r="E31" s="43" t="s">
        <v>1631</v>
      </c>
    </row>
    <row r="32" spans="1:5">
      <c r="A32" s="130" t="s">
        <v>1710</v>
      </c>
      <c r="B32" s="68" t="s">
        <v>1628</v>
      </c>
      <c r="C32" s="68" t="s">
        <v>1711</v>
      </c>
      <c r="D32" s="133" t="s">
        <v>1712</v>
      </c>
      <c r="E32" s="43" t="s">
        <v>1631</v>
      </c>
    </row>
    <row r="33" spans="1:5">
      <c r="A33" s="130" t="s">
        <v>1713</v>
      </c>
      <c r="B33" s="68" t="s">
        <v>1628</v>
      </c>
      <c r="C33" s="68" t="s">
        <v>1714</v>
      </c>
      <c r="D33" s="133" t="s">
        <v>1715</v>
      </c>
      <c r="E33" s="43" t="s">
        <v>1631</v>
      </c>
    </row>
    <row r="34" spans="1:5">
      <c r="A34" s="130" t="s">
        <v>1716</v>
      </c>
      <c r="B34" s="68" t="s">
        <v>1628</v>
      </c>
      <c r="C34" s="68" t="s">
        <v>1717</v>
      </c>
      <c r="D34" s="133" t="s">
        <v>1718</v>
      </c>
      <c r="E34" s="43" t="s">
        <v>1631</v>
      </c>
    </row>
    <row r="35" spans="1:5">
      <c r="A35" s="130" t="s">
        <v>1719</v>
      </c>
      <c r="B35" s="68" t="s">
        <v>1628</v>
      </c>
      <c r="C35" s="68" t="s">
        <v>1720</v>
      </c>
      <c r="D35" s="133" t="s">
        <v>1721</v>
      </c>
      <c r="E35" s="43" t="s">
        <v>1631</v>
      </c>
    </row>
    <row r="36" spans="1:5">
      <c r="A36" s="130" t="s">
        <v>1722</v>
      </c>
      <c r="B36" s="68" t="s">
        <v>1628</v>
      </c>
      <c r="C36" s="68" t="s">
        <v>1723</v>
      </c>
      <c r="D36" s="133" t="s">
        <v>1724</v>
      </c>
      <c r="E36" s="43" t="s">
        <v>1631</v>
      </c>
    </row>
    <row r="37" spans="1:5">
      <c r="A37" s="130" t="s">
        <v>1725</v>
      </c>
      <c r="B37" s="68" t="s">
        <v>1628</v>
      </c>
      <c r="C37" s="68" t="s">
        <v>1726</v>
      </c>
      <c r="D37" s="133" t="s">
        <v>1727</v>
      </c>
      <c r="E37" s="43" t="s">
        <v>1631</v>
      </c>
    </row>
    <row r="38" spans="1:5">
      <c r="A38" s="130" t="s">
        <v>1728</v>
      </c>
      <c r="B38" s="68" t="s">
        <v>1628</v>
      </c>
      <c r="C38" s="68" t="s">
        <v>1729</v>
      </c>
      <c r="D38" s="133" t="s">
        <v>1730</v>
      </c>
      <c r="E38" s="43" t="s">
        <v>1631</v>
      </c>
    </row>
    <row r="39" spans="1:5">
      <c r="A39" s="130" t="s">
        <v>1731</v>
      </c>
      <c r="B39" s="68" t="s">
        <v>1628</v>
      </c>
      <c r="C39" s="68" t="s">
        <v>1732</v>
      </c>
      <c r="D39" s="133" t="s">
        <v>1733</v>
      </c>
      <c r="E39" s="43" t="s">
        <v>1631</v>
      </c>
    </row>
    <row r="40" spans="1:5">
      <c r="A40" s="130" t="s">
        <v>1734</v>
      </c>
      <c r="B40" s="68" t="s">
        <v>1628</v>
      </c>
      <c r="C40" s="68" t="s">
        <v>1735</v>
      </c>
      <c r="D40" s="133" t="s">
        <v>1736</v>
      </c>
      <c r="E40" s="43" t="s">
        <v>1631</v>
      </c>
    </row>
    <row r="41" spans="1:5">
      <c r="A41" s="130" t="s">
        <v>1737</v>
      </c>
      <c r="B41" s="68" t="s">
        <v>1628</v>
      </c>
      <c r="C41" s="68" t="s">
        <v>1738</v>
      </c>
      <c r="D41" s="133" t="s">
        <v>1739</v>
      </c>
      <c r="E41" s="43" t="s">
        <v>1631</v>
      </c>
    </row>
    <row r="42" spans="1:5">
      <c r="A42" s="130" t="s">
        <v>1740</v>
      </c>
      <c r="B42" s="68" t="s">
        <v>1741</v>
      </c>
      <c r="C42" s="68" t="s">
        <v>1742</v>
      </c>
      <c r="D42" s="133" t="s">
        <v>1743</v>
      </c>
      <c r="E42" s="43" t="s">
        <v>1744</v>
      </c>
    </row>
    <row r="43" spans="1:5">
      <c r="A43" s="130" t="s">
        <v>1745</v>
      </c>
      <c r="B43" s="68" t="s">
        <v>1741</v>
      </c>
      <c r="C43" s="68" t="s">
        <v>1746</v>
      </c>
      <c r="D43" s="133" t="s">
        <v>1747</v>
      </c>
      <c r="E43" s="43" t="s">
        <v>1744</v>
      </c>
    </row>
    <row r="44" spans="1:5">
      <c r="A44" s="130" t="s">
        <v>1748</v>
      </c>
      <c r="B44" s="68" t="s">
        <v>1741</v>
      </c>
      <c r="C44" s="68" t="s">
        <v>1749</v>
      </c>
      <c r="D44" s="133" t="s">
        <v>1750</v>
      </c>
      <c r="E44" s="43" t="s">
        <v>1744</v>
      </c>
    </row>
    <row r="45" spans="1:5">
      <c r="A45" s="130" t="s">
        <v>1751</v>
      </c>
      <c r="B45" s="68" t="s">
        <v>1741</v>
      </c>
      <c r="C45" s="68" t="s">
        <v>1752</v>
      </c>
      <c r="D45" s="133" t="s">
        <v>1753</v>
      </c>
      <c r="E45" s="43" t="s">
        <v>1754</v>
      </c>
    </row>
    <row r="46" spans="1:5">
      <c r="A46" s="130" t="s">
        <v>1755</v>
      </c>
      <c r="B46" s="68" t="s">
        <v>1741</v>
      </c>
      <c r="C46" s="68" t="s">
        <v>1756</v>
      </c>
      <c r="D46" s="133" t="s">
        <v>1757</v>
      </c>
      <c r="E46" s="43" t="s">
        <v>1754</v>
      </c>
    </row>
    <row r="47" spans="1:5">
      <c r="A47" s="130" t="s">
        <v>1758</v>
      </c>
      <c r="B47" s="68" t="s">
        <v>1741</v>
      </c>
      <c r="C47" s="68" t="s">
        <v>1759</v>
      </c>
      <c r="D47" s="133" t="s">
        <v>1760</v>
      </c>
      <c r="E47" s="43" t="s">
        <v>1754</v>
      </c>
    </row>
    <row r="48" spans="1:5">
      <c r="A48" s="130" t="s">
        <v>1761</v>
      </c>
      <c r="B48" s="68" t="s">
        <v>1741</v>
      </c>
      <c r="C48" s="68" t="s">
        <v>1762</v>
      </c>
      <c r="D48" s="133" t="s">
        <v>1763</v>
      </c>
      <c r="E48" s="43" t="s">
        <v>1764</v>
      </c>
    </row>
    <row r="49" spans="1:5">
      <c r="A49" s="130" t="s">
        <v>1765</v>
      </c>
      <c r="B49" s="68" t="s">
        <v>1741</v>
      </c>
      <c r="C49" s="68" t="s">
        <v>1766</v>
      </c>
      <c r="D49" s="133" t="s">
        <v>1767</v>
      </c>
      <c r="E49" s="43" t="s">
        <v>1764</v>
      </c>
    </row>
    <row r="50" spans="1:5">
      <c r="A50" s="130" t="s">
        <v>1768</v>
      </c>
      <c r="B50" s="68" t="s">
        <v>1741</v>
      </c>
      <c r="C50" s="68" t="s">
        <v>1769</v>
      </c>
      <c r="D50" s="133" t="s">
        <v>1770</v>
      </c>
      <c r="E50" s="43" t="s">
        <v>1771</v>
      </c>
    </row>
    <row r="51" spans="1:5">
      <c r="A51" s="130" t="s">
        <v>1772</v>
      </c>
      <c r="B51" s="68" t="s">
        <v>1741</v>
      </c>
      <c r="C51" s="68" t="s">
        <v>1773</v>
      </c>
      <c r="D51" s="133" t="s">
        <v>1774</v>
      </c>
      <c r="E51" s="43" t="s">
        <v>1771</v>
      </c>
    </row>
    <row r="52" spans="1:5">
      <c r="A52" s="130" t="s">
        <v>1775</v>
      </c>
      <c r="B52" s="68" t="s">
        <v>1741</v>
      </c>
      <c r="C52" s="68" t="s">
        <v>1776</v>
      </c>
      <c r="D52" s="133" t="s">
        <v>1777</v>
      </c>
      <c r="E52" s="43" t="s">
        <v>1778</v>
      </c>
    </row>
    <row r="53" spans="1:5">
      <c r="A53" s="130" t="s">
        <v>1779</v>
      </c>
      <c r="B53" s="68" t="s">
        <v>1741</v>
      </c>
      <c r="C53" s="68" t="s">
        <v>1780</v>
      </c>
      <c r="D53" s="133" t="s">
        <v>1781</v>
      </c>
      <c r="E53" s="43" t="s">
        <v>1771</v>
      </c>
    </row>
    <row r="54" spans="1:5">
      <c r="A54" s="130" t="s">
        <v>1782</v>
      </c>
      <c r="B54" s="68" t="s">
        <v>1741</v>
      </c>
      <c r="C54" s="68" t="s">
        <v>1783</v>
      </c>
      <c r="D54" s="133" t="s">
        <v>1784</v>
      </c>
      <c r="E54" s="43" t="s">
        <v>1785</v>
      </c>
    </row>
    <row r="55" spans="1:5">
      <c r="A55" s="130" t="s">
        <v>1786</v>
      </c>
      <c r="B55" s="68" t="s">
        <v>1741</v>
      </c>
      <c r="C55" s="68" t="s">
        <v>1787</v>
      </c>
      <c r="D55" s="133" t="s">
        <v>1788</v>
      </c>
      <c r="E55" s="43" t="s">
        <v>1789</v>
      </c>
    </row>
    <row r="56" spans="1:5">
      <c r="A56" s="130" t="s">
        <v>1790</v>
      </c>
      <c r="B56" s="68" t="s">
        <v>1741</v>
      </c>
      <c r="C56" s="68" t="s">
        <v>1791</v>
      </c>
      <c r="D56" s="133" t="s">
        <v>1792</v>
      </c>
      <c r="E56" s="43" t="s">
        <v>1789</v>
      </c>
    </row>
    <row r="57" spans="1:5">
      <c r="A57" s="130" t="s">
        <v>1793</v>
      </c>
      <c r="B57" s="68" t="s">
        <v>1741</v>
      </c>
      <c r="C57" s="68" t="s">
        <v>1794</v>
      </c>
      <c r="D57" s="133" t="s">
        <v>1795</v>
      </c>
      <c r="E57" s="43" t="s">
        <v>1789</v>
      </c>
    </row>
    <row r="58" spans="1:5">
      <c r="A58" s="130" t="s">
        <v>1796</v>
      </c>
      <c r="B58" s="68" t="s">
        <v>1741</v>
      </c>
      <c r="C58" s="68" t="s">
        <v>1797</v>
      </c>
      <c r="D58" s="133" t="s">
        <v>1798</v>
      </c>
      <c r="E58" s="43" t="s">
        <v>1789</v>
      </c>
    </row>
    <row r="59" spans="1:5">
      <c r="A59" s="130" t="s">
        <v>1799</v>
      </c>
      <c r="B59" s="68" t="s">
        <v>1800</v>
      </c>
      <c r="C59" s="68" t="s">
        <v>1801</v>
      </c>
      <c r="D59" s="133" t="s">
        <v>1802</v>
      </c>
      <c r="E59" s="43" t="s">
        <v>1803</v>
      </c>
    </row>
    <row r="60" spans="1:5">
      <c r="A60" s="130" t="s">
        <v>1804</v>
      </c>
      <c r="B60" s="68" t="s">
        <v>1800</v>
      </c>
      <c r="C60" s="68" t="s">
        <v>1805</v>
      </c>
      <c r="D60" s="133" t="s">
        <v>1806</v>
      </c>
      <c r="E60" s="43" t="s">
        <v>1803</v>
      </c>
    </row>
    <row r="61" spans="1:5">
      <c r="A61" s="130" t="s">
        <v>1807</v>
      </c>
      <c r="B61" s="68" t="s">
        <v>1800</v>
      </c>
      <c r="C61" s="68" t="s">
        <v>1808</v>
      </c>
      <c r="D61" s="133" t="s">
        <v>1809</v>
      </c>
      <c r="E61" s="43" t="s">
        <v>1803</v>
      </c>
    </row>
    <row r="62" spans="1:5">
      <c r="A62" s="130" t="s">
        <v>1810</v>
      </c>
      <c r="B62" s="68" t="s">
        <v>1800</v>
      </c>
      <c r="C62" s="68" t="s">
        <v>1811</v>
      </c>
      <c r="D62" s="133" t="s">
        <v>1812</v>
      </c>
      <c r="E62" s="43" t="s">
        <v>1803</v>
      </c>
    </row>
    <row r="63" spans="1:5">
      <c r="A63" s="130" t="s">
        <v>1813</v>
      </c>
      <c r="B63" s="68" t="s">
        <v>1800</v>
      </c>
      <c r="C63" s="68" t="s">
        <v>1814</v>
      </c>
      <c r="D63" s="133" t="s">
        <v>1815</v>
      </c>
      <c r="E63" s="43" t="s">
        <v>1803</v>
      </c>
    </row>
    <row r="64" spans="1:5">
      <c r="A64" s="130" t="s">
        <v>1816</v>
      </c>
      <c r="B64" s="68" t="s">
        <v>1800</v>
      </c>
      <c r="C64" s="68" t="s">
        <v>1817</v>
      </c>
      <c r="D64" s="133" t="s">
        <v>1818</v>
      </c>
      <c r="E64" s="43" t="s">
        <v>1803</v>
      </c>
    </row>
    <row r="65" spans="1:5">
      <c r="A65" s="130" t="s">
        <v>1819</v>
      </c>
      <c r="B65" s="68" t="s">
        <v>1800</v>
      </c>
      <c r="C65" s="68" t="s">
        <v>1820</v>
      </c>
      <c r="D65" s="133" t="s">
        <v>1821</v>
      </c>
      <c r="E65" s="43" t="s">
        <v>1803</v>
      </c>
    </row>
    <row r="66" spans="1:5">
      <c r="A66" s="130" t="s">
        <v>1822</v>
      </c>
      <c r="B66" s="68" t="s">
        <v>1800</v>
      </c>
      <c r="C66" s="68" t="s">
        <v>1823</v>
      </c>
      <c r="D66" s="133" t="s">
        <v>1824</v>
      </c>
      <c r="E66" s="43" t="s">
        <v>1803</v>
      </c>
    </row>
    <row r="67" spans="1:5">
      <c r="A67" s="130" t="s">
        <v>1825</v>
      </c>
      <c r="B67" s="68" t="s">
        <v>1800</v>
      </c>
      <c r="C67" s="68" t="s">
        <v>1826</v>
      </c>
      <c r="D67" s="133" t="s">
        <v>1827</v>
      </c>
      <c r="E67" s="43" t="s">
        <v>1803</v>
      </c>
    </row>
    <row r="68" spans="1:5">
      <c r="A68" s="130" t="s">
        <v>1828</v>
      </c>
      <c r="B68" s="68" t="s">
        <v>1800</v>
      </c>
      <c r="C68" s="68" t="s">
        <v>1829</v>
      </c>
      <c r="D68" s="133" t="s">
        <v>1830</v>
      </c>
      <c r="E68" s="43" t="s">
        <v>1803</v>
      </c>
    </row>
    <row r="69" spans="1:5">
      <c r="A69" s="130" t="s">
        <v>1831</v>
      </c>
      <c r="B69" s="68" t="s">
        <v>1800</v>
      </c>
      <c r="C69" s="68" t="s">
        <v>1832</v>
      </c>
      <c r="D69" s="133" t="s">
        <v>1833</v>
      </c>
      <c r="E69" s="43" t="s">
        <v>1803</v>
      </c>
    </row>
    <row r="70" spans="1:5">
      <c r="A70" s="130" t="s">
        <v>1834</v>
      </c>
      <c r="B70" s="68" t="s">
        <v>1800</v>
      </c>
      <c r="C70" s="68" t="s">
        <v>1835</v>
      </c>
      <c r="D70" s="133" t="s">
        <v>1836</v>
      </c>
      <c r="E70" s="43" t="s">
        <v>1803</v>
      </c>
    </row>
    <row r="71" spans="1:5">
      <c r="A71" s="130" t="s">
        <v>1837</v>
      </c>
      <c r="B71" s="68" t="s">
        <v>1800</v>
      </c>
      <c r="C71" s="68" t="s">
        <v>1838</v>
      </c>
      <c r="D71" s="133" t="s">
        <v>1839</v>
      </c>
      <c r="E71" s="43" t="s">
        <v>1803</v>
      </c>
    </row>
    <row r="72" spans="1:5">
      <c r="A72" s="130" t="s">
        <v>1840</v>
      </c>
      <c r="B72" s="68" t="s">
        <v>1800</v>
      </c>
      <c r="C72" s="68" t="s">
        <v>1841</v>
      </c>
      <c r="D72" s="133" t="s">
        <v>1842</v>
      </c>
      <c r="E72" s="43" t="s">
        <v>1803</v>
      </c>
    </row>
    <row r="73" spans="1:5">
      <c r="A73" s="130" t="s">
        <v>1843</v>
      </c>
      <c r="B73" s="68" t="s">
        <v>1800</v>
      </c>
      <c r="C73" s="68" t="s">
        <v>1844</v>
      </c>
      <c r="D73" s="133" t="s">
        <v>1845</v>
      </c>
      <c r="E73" s="43" t="s">
        <v>1803</v>
      </c>
    </row>
    <row r="74" spans="1:5">
      <c r="A74" s="130" t="s">
        <v>1846</v>
      </c>
      <c r="B74" s="68" t="s">
        <v>1800</v>
      </c>
      <c r="C74" s="68" t="s">
        <v>1847</v>
      </c>
      <c r="D74" s="133" t="s">
        <v>1848</v>
      </c>
      <c r="E74" s="43" t="s">
        <v>1803</v>
      </c>
    </row>
    <row r="75" spans="1:5">
      <c r="A75" s="130" t="s">
        <v>1849</v>
      </c>
      <c r="B75" s="68" t="s">
        <v>1800</v>
      </c>
      <c r="C75" s="68" t="s">
        <v>1850</v>
      </c>
      <c r="D75" s="133" t="s">
        <v>1851</v>
      </c>
      <c r="E75" s="43" t="s">
        <v>1803</v>
      </c>
    </row>
    <row r="76" spans="1:5">
      <c r="A76" s="130" t="s">
        <v>1852</v>
      </c>
      <c r="B76" s="68" t="s">
        <v>1800</v>
      </c>
      <c r="C76" s="68" t="s">
        <v>1853</v>
      </c>
      <c r="D76" s="133" t="s">
        <v>1854</v>
      </c>
      <c r="E76" s="43" t="s">
        <v>1803</v>
      </c>
    </row>
    <row r="77" spans="1:5">
      <c r="A77" s="130" t="s">
        <v>1855</v>
      </c>
      <c r="B77" s="68" t="s">
        <v>1800</v>
      </c>
      <c r="C77" s="68" t="s">
        <v>1856</v>
      </c>
      <c r="D77" s="133" t="s">
        <v>1857</v>
      </c>
      <c r="E77" s="43" t="s">
        <v>1803</v>
      </c>
    </row>
    <row r="78" spans="1:5">
      <c r="A78" s="130" t="s">
        <v>1858</v>
      </c>
      <c r="B78" s="68" t="s">
        <v>1800</v>
      </c>
      <c r="C78" s="68" t="s">
        <v>1859</v>
      </c>
      <c r="D78" s="133" t="s">
        <v>1860</v>
      </c>
      <c r="E78" s="43" t="s">
        <v>1803</v>
      </c>
    </row>
    <row r="79" spans="1:5">
      <c r="A79" s="130" t="s">
        <v>1492</v>
      </c>
      <c r="B79" s="68" t="s">
        <v>1800</v>
      </c>
      <c r="C79" s="68" t="s">
        <v>1493</v>
      </c>
      <c r="D79" s="133" t="s">
        <v>1861</v>
      </c>
      <c r="E79" s="43" t="s">
        <v>1803</v>
      </c>
    </row>
    <row r="80" spans="1:5">
      <c r="A80" s="130" t="s">
        <v>1862</v>
      </c>
      <c r="B80" s="68" t="s">
        <v>1800</v>
      </c>
      <c r="C80" s="68" t="s">
        <v>1863</v>
      </c>
      <c r="D80" s="133" t="s">
        <v>1864</v>
      </c>
      <c r="E80" s="43" t="s">
        <v>1803</v>
      </c>
    </row>
    <row r="81" spans="1:5">
      <c r="A81" s="130" t="s">
        <v>1865</v>
      </c>
      <c r="B81" s="68" t="s">
        <v>1800</v>
      </c>
      <c r="C81" s="68" t="s">
        <v>1866</v>
      </c>
      <c r="D81" s="133" t="s">
        <v>1867</v>
      </c>
      <c r="E81" s="43" t="s">
        <v>1803</v>
      </c>
    </row>
    <row r="82" spans="1:5">
      <c r="A82" s="130" t="s">
        <v>1868</v>
      </c>
      <c r="B82" s="68" t="s">
        <v>1800</v>
      </c>
      <c r="C82" s="68" t="s">
        <v>1869</v>
      </c>
      <c r="D82" s="133" t="s">
        <v>1870</v>
      </c>
      <c r="E82" s="43" t="s">
        <v>1803</v>
      </c>
    </row>
    <row r="83" spans="1:5">
      <c r="A83" s="130" t="s">
        <v>1871</v>
      </c>
      <c r="B83" s="68" t="s">
        <v>1800</v>
      </c>
      <c r="C83" s="68" t="s">
        <v>1872</v>
      </c>
      <c r="D83" s="133" t="s">
        <v>1873</v>
      </c>
      <c r="E83" s="43" t="s">
        <v>1803</v>
      </c>
    </row>
    <row r="84" spans="1:5">
      <c r="A84" s="131" t="s">
        <v>1874</v>
      </c>
      <c r="B84" s="72" t="s">
        <v>1800</v>
      </c>
      <c r="C84" s="72" t="s">
        <v>1875</v>
      </c>
      <c r="D84" s="134" t="s">
        <v>1876</v>
      </c>
      <c r="E84" s="47" t="s">
        <v>1803</v>
      </c>
    </row>
    <row r="85" spans="1:5">
      <c r="A85" s="132" t="s">
        <v>1877</v>
      </c>
      <c r="B85" s="65" t="s">
        <v>1878</v>
      </c>
      <c r="C85" s="65" t="s">
        <v>1879</v>
      </c>
      <c r="D85" s="135" t="s">
        <v>1880</v>
      </c>
      <c r="E85" s="136" t="s">
        <v>1881</v>
      </c>
    </row>
    <row r="86" spans="1:5">
      <c r="A86" s="132" t="s">
        <v>1882</v>
      </c>
      <c r="B86" s="65" t="s">
        <v>1878</v>
      </c>
      <c r="C86" s="65" t="s">
        <v>1883</v>
      </c>
      <c r="D86" s="135" t="s">
        <v>1884</v>
      </c>
      <c r="E86" s="136" t="s">
        <v>1885</v>
      </c>
    </row>
    <row r="87" spans="1:5">
      <c r="A87" s="132" t="s">
        <v>1886</v>
      </c>
      <c r="B87" s="65" t="s">
        <v>1878</v>
      </c>
      <c r="C87" s="65" t="s">
        <v>1887</v>
      </c>
      <c r="D87" s="135" t="s">
        <v>1128</v>
      </c>
      <c r="E87" s="136" t="s">
        <v>1888</v>
      </c>
    </row>
    <row r="88" spans="1:5">
      <c r="A88" s="132" t="s">
        <v>1889</v>
      </c>
      <c r="B88" s="65" t="s">
        <v>1878</v>
      </c>
      <c r="C88" s="65" t="s">
        <v>1890</v>
      </c>
      <c r="D88" s="135" t="s">
        <v>1138</v>
      </c>
      <c r="E88" s="136" t="s">
        <v>1891</v>
      </c>
    </row>
    <row r="89" spans="1:5">
      <c r="A89" s="132" t="s">
        <v>1892</v>
      </c>
      <c r="B89" s="65" t="s">
        <v>1878</v>
      </c>
      <c r="C89" s="65" t="s">
        <v>1893</v>
      </c>
      <c r="D89" s="135" t="s">
        <v>1894</v>
      </c>
      <c r="E89" s="136" t="s">
        <v>1895</v>
      </c>
    </row>
    <row r="90" spans="1:5">
      <c r="A90" s="132" t="s">
        <v>1896</v>
      </c>
      <c r="B90" s="65" t="s">
        <v>1878</v>
      </c>
      <c r="C90" s="65" t="s">
        <v>1897</v>
      </c>
      <c r="D90" s="135" t="s">
        <v>1122</v>
      </c>
      <c r="E90" s="136" t="s">
        <v>1898</v>
      </c>
    </row>
    <row r="91" spans="1:5">
      <c r="A91" s="132" t="s">
        <v>1899</v>
      </c>
      <c r="B91" s="65" t="s">
        <v>1878</v>
      </c>
      <c r="C91" s="65" t="s">
        <v>1900</v>
      </c>
      <c r="D91" s="135" t="s">
        <v>1901</v>
      </c>
      <c r="E91" s="136" t="s">
        <v>1902</v>
      </c>
    </row>
    <row r="92" spans="1:5">
      <c r="A92" s="132" t="s">
        <v>1903</v>
      </c>
      <c r="B92" s="65" t="s">
        <v>1878</v>
      </c>
      <c r="C92" s="65" t="s">
        <v>1904</v>
      </c>
      <c r="D92" s="135" t="s">
        <v>1905</v>
      </c>
      <c r="E92" s="136" t="s">
        <v>1906</v>
      </c>
    </row>
    <row r="93" spans="1:5">
      <c r="A93" s="132" t="s">
        <v>1907</v>
      </c>
      <c r="B93" s="65" t="s">
        <v>1878</v>
      </c>
      <c r="C93" s="65" t="s">
        <v>1908</v>
      </c>
      <c r="D93" s="135" t="s">
        <v>1909</v>
      </c>
      <c r="E93" s="136" t="s">
        <v>1910</v>
      </c>
    </row>
    <row r="94" spans="1:5">
      <c r="A94" s="132" t="s">
        <v>1911</v>
      </c>
      <c r="B94" s="65" t="s">
        <v>1878</v>
      </c>
      <c r="C94" s="65" t="s">
        <v>1912</v>
      </c>
      <c r="D94" s="135" t="s">
        <v>1913</v>
      </c>
      <c r="E94" s="136" t="s">
        <v>1914</v>
      </c>
    </row>
    <row r="95" spans="1:5">
      <c r="A95" s="132" t="s">
        <v>1915</v>
      </c>
      <c r="B95" s="65" t="s">
        <v>1878</v>
      </c>
      <c r="C95" s="65" t="s">
        <v>1916</v>
      </c>
      <c r="D95" s="135" t="s">
        <v>1148</v>
      </c>
      <c r="E95" s="136" t="s">
        <v>1917</v>
      </c>
    </row>
    <row r="96" spans="1:5">
      <c r="A96" s="132" t="s">
        <v>1918</v>
      </c>
      <c r="B96" s="65" t="s">
        <v>1878</v>
      </c>
      <c r="C96" s="65" t="s">
        <v>1919</v>
      </c>
      <c r="D96" s="135" t="s">
        <v>1146</v>
      </c>
      <c r="E96" s="136" t="s">
        <v>1920</v>
      </c>
    </row>
    <row r="97" spans="1:5">
      <c r="A97" s="132" t="s">
        <v>1921</v>
      </c>
      <c r="B97" s="65" t="s">
        <v>1922</v>
      </c>
      <c r="C97" s="65" t="s">
        <v>1923</v>
      </c>
      <c r="D97" s="135" t="s">
        <v>1924</v>
      </c>
      <c r="E97" s="136" t="s">
        <v>1925</v>
      </c>
    </row>
    <row r="98" spans="1:5">
      <c r="A98" s="132" t="s">
        <v>1926</v>
      </c>
      <c r="B98" s="65" t="s">
        <v>1922</v>
      </c>
      <c r="C98" s="65" t="s">
        <v>1927</v>
      </c>
      <c r="D98" s="135" t="s">
        <v>1928</v>
      </c>
      <c r="E98" s="136" t="s">
        <v>1929</v>
      </c>
    </row>
    <row r="99" spans="1:5">
      <c r="A99" s="132" t="s">
        <v>1930</v>
      </c>
      <c r="B99" s="65" t="s">
        <v>1922</v>
      </c>
      <c r="C99" s="65" t="s">
        <v>1931</v>
      </c>
      <c r="D99" s="135" t="s">
        <v>1932</v>
      </c>
      <c r="E99" s="136" t="s">
        <v>1933</v>
      </c>
    </row>
    <row r="100" spans="1:5">
      <c r="A100" s="132" t="s">
        <v>1934</v>
      </c>
      <c r="B100" s="65" t="s">
        <v>1922</v>
      </c>
      <c r="C100" s="65" t="s">
        <v>1935</v>
      </c>
      <c r="D100" s="135" t="s">
        <v>1936</v>
      </c>
      <c r="E100" s="136" t="s">
        <v>1937</v>
      </c>
    </row>
    <row r="101" spans="1:5">
      <c r="A101" s="132" t="s">
        <v>1938</v>
      </c>
      <c r="B101" s="65" t="s">
        <v>1922</v>
      </c>
      <c r="C101" s="65" t="s">
        <v>1939</v>
      </c>
      <c r="D101" s="135" t="s">
        <v>1183</v>
      </c>
      <c r="E101" s="136" t="s">
        <v>1940</v>
      </c>
    </row>
    <row r="102" spans="1:5">
      <c r="A102" s="132" t="s">
        <v>1941</v>
      </c>
      <c r="B102" s="65" t="s">
        <v>1922</v>
      </c>
      <c r="C102" s="65" t="s">
        <v>1942</v>
      </c>
      <c r="D102" s="135" t="s">
        <v>1943</v>
      </c>
      <c r="E102" s="136" t="s">
        <v>1944</v>
      </c>
    </row>
    <row r="103" spans="1:5">
      <c r="A103" s="132" t="s">
        <v>1945</v>
      </c>
      <c r="B103" s="65" t="s">
        <v>1922</v>
      </c>
      <c r="C103" s="65" t="s">
        <v>1946</v>
      </c>
      <c r="D103" s="135" t="s">
        <v>1947</v>
      </c>
      <c r="E103" s="136" t="s">
        <v>1948</v>
      </c>
    </row>
    <row r="104" spans="1:5">
      <c r="A104" s="132" t="s">
        <v>1949</v>
      </c>
      <c r="B104" s="65" t="s">
        <v>1922</v>
      </c>
      <c r="C104" s="65" t="s">
        <v>1950</v>
      </c>
      <c r="D104" s="135" t="s">
        <v>1951</v>
      </c>
      <c r="E104" s="136" t="s">
        <v>1952</v>
      </c>
    </row>
    <row r="105" spans="1:5">
      <c r="A105" s="132" t="s">
        <v>1953</v>
      </c>
      <c r="B105" s="65" t="s">
        <v>1922</v>
      </c>
      <c r="C105" s="65" t="s">
        <v>1954</v>
      </c>
      <c r="D105" s="135" t="s">
        <v>1955</v>
      </c>
      <c r="E105" s="136" t="s">
        <v>1956</v>
      </c>
    </row>
    <row r="106" spans="1:5">
      <c r="A106" s="132" t="s">
        <v>1957</v>
      </c>
      <c r="B106" s="65" t="s">
        <v>1922</v>
      </c>
      <c r="C106" s="65" t="s">
        <v>1958</v>
      </c>
      <c r="D106" s="135" t="s">
        <v>1959</v>
      </c>
      <c r="E106" s="136" t="s">
        <v>1960</v>
      </c>
    </row>
    <row r="107" spans="1:5">
      <c r="A107" s="132" t="s">
        <v>1961</v>
      </c>
      <c r="B107" s="65" t="s">
        <v>1922</v>
      </c>
      <c r="C107" s="65" t="s">
        <v>1962</v>
      </c>
      <c r="D107" s="135" t="s">
        <v>1963</v>
      </c>
      <c r="E107" s="136" t="s">
        <v>1964</v>
      </c>
    </row>
    <row r="108" spans="1:5">
      <c r="A108" s="132" t="s">
        <v>1965</v>
      </c>
      <c r="B108" s="65" t="s">
        <v>1922</v>
      </c>
      <c r="C108" s="65" t="s">
        <v>1966</v>
      </c>
      <c r="D108" s="135" t="s">
        <v>1967</v>
      </c>
      <c r="E108" s="136" t="s">
        <v>1968</v>
      </c>
    </row>
    <row r="109" spans="1:5">
      <c r="A109" s="132" t="s">
        <v>1969</v>
      </c>
      <c r="B109" s="65" t="s">
        <v>1922</v>
      </c>
      <c r="C109" s="65" t="s">
        <v>1970</v>
      </c>
      <c r="D109" s="135" t="s">
        <v>1971</v>
      </c>
      <c r="E109" s="136" t="s">
        <v>1972</v>
      </c>
    </row>
    <row r="110" spans="1:5">
      <c r="A110" s="132" t="s">
        <v>1973</v>
      </c>
      <c r="B110" s="65" t="s">
        <v>1922</v>
      </c>
      <c r="C110" s="65" t="s">
        <v>1974</v>
      </c>
      <c r="D110" s="135" t="s">
        <v>1188</v>
      </c>
      <c r="E110" s="136" t="s">
        <v>1975</v>
      </c>
    </row>
    <row r="111" spans="1:5">
      <c r="A111" s="132" t="s">
        <v>1976</v>
      </c>
      <c r="B111" s="65" t="s">
        <v>1922</v>
      </c>
      <c r="C111" s="65" t="s">
        <v>1977</v>
      </c>
      <c r="D111" s="135" t="s">
        <v>1173</v>
      </c>
      <c r="E111" s="136" t="s">
        <v>1978</v>
      </c>
    </row>
    <row r="112" spans="1:5">
      <c r="A112" s="132" t="s">
        <v>1979</v>
      </c>
      <c r="B112" s="65" t="s">
        <v>1922</v>
      </c>
      <c r="C112" s="65" t="s">
        <v>1980</v>
      </c>
      <c r="D112" s="135" t="s">
        <v>1161</v>
      </c>
      <c r="E112" s="136" t="s">
        <v>1981</v>
      </c>
    </row>
    <row r="113" spans="1:5">
      <c r="A113" s="132" t="s">
        <v>1982</v>
      </c>
      <c r="B113" s="65" t="s">
        <v>1922</v>
      </c>
      <c r="C113" s="65" t="s">
        <v>1983</v>
      </c>
      <c r="D113" s="135" t="s">
        <v>1984</v>
      </c>
      <c r="E113" s="136" t="s">
        <v>1985</v>
      </c>
    </row>
    <row r="114" spans="1:5">
      <c r="A114" s="132" t="s">
        <v>1986</v>
      </c>
      <c r="B114" s="65" t="s">
        <v>1922</v>
      </c>
      <c r="C114" s="65" t="s">
        <v>1987</v>
      </c>
      <c r="D114" s="135" t="s">
        <v>1179</v>
      </c>
      <c r="E114" s="136" t="s">
        <v>1988</v>
      </c>
    </row>
    <row r="115" spans="1:5">
      <c r="A115" s="132" t="s">
        <v>1989</v>
      </c>
      <c r="B115" s="65" t="s">
        <v>1922</v>
      </c>
      <c r="C115" s="65" t="s">
        <v>1990</v>
      </c>
      <c r="D115" s="135" t="s">
        <v>1174</v>
      </c>
      <c r="E115" s="136" t="s">
        <v>1991</v>
      </c>
    </row>
    <row r="116" spans="1:5">
      <c r="A116" s="132" t="s">
        <v>1992</v>
      </c>
      <c r="B116" s="65" t="s">
        <v>1922</v>
      </c>
      <c r="C116" s="65" t="s">
        <v>1993</v>
      </c>
      <c r="D116" s="135" t="s">
        <v>1155</v>
      </c>
      <c r="E116" s="136" t="s">
        <v>1994</v>
      </c>
    </row>
    <row r="117" spans="1:5">
      <c r="A117" s="132" t="s">
        <v>1995</v>
      </c>
      <c r="B117" s="65" t="s">
        <v>1996</v>
      </c>
      <c r="C117" s="65" t="s">
        <v>1997</v>
      </c>
      <c r="D117" s="135" t="s">
        <v>1202</v>
      </c>
      <c r="E117" s="136" t="s">
        <v>1998</v>
      </c>
    </row>
    <row r="118" spans="1:5">
      <c r="A118" s="132" t="s">
        <v>1999</v>
      </c>
      <c r="B118" s="65" t="s">
        <v>1996</v>
      </c>
      <c r="C118" s="65" t="s">
        <v>2000</v>
      </c>
      <c r="D118" s="135" t="s">
        <v>1207</v>
      </c>
      <c r="E118" s="136" t="s">
        <v>2001</v>
      </c>
    </row>
    <row r="119" spans="1:5">
      <c r="A119" s="132" t="s">
        <v>2002</v>
      </c>
      <c r="B119" s="65" t="s">
        <v>1996</v>
      </c>
      <c r="C119" s="65" t="s">
        <v>2003</v>
      </c>
      <c r="D119" s="135" t="s">
        <v>2004</v>
      </c>
      <c r="E119" s="136" t="s">
        <v>2005</v>
      </c>
    </row>
    <row r="120" spans="1:5">
      <c r="A120" s="132" t="s">
        <v>2006</v>
      </c>
      <c r="B120" s="65" t="s">
        <v>1996</v>
      </c>
      <c r="C120" s="65" t="s">
        <v>2007</v>
      </c>
      <c r="D120" s="135" t="s">
        <v>1212</v>
      </c>
      <c r="E120" s="136" t="s">
        <v>2008</v>
      </c>
    </row>
    <row r="121" spans="1:5">
      <c r="A121" s="132" t="s">
        <v>2009</v>
      </c>
      <c r="B121" s="65" t="s">
        <v>1996</v>
      </c>
      <c r="C121" s="65" t="s">
        <v>2010</v>
      </c>
      <c r="D121" s="135" t="s">
        <v>2011</v>
      </c>
      <c r="E121" s="136" t="s">
        <v>2012</v>
      </c>
    </row>
    <row r="122" spans="1:5">
      <c r="A122" s="132" t="s">
        <v>2013</v>
      </c>
      <c r="B122" s="65" t="s">
        <v>1996</v>
      </c>
      <c r="C122" s="65" t="s">
        <v>2014</v>
      </c>
      <c r="D122" s="135" t="s">
        <v>2015</v>
      </c>
      <c r="E122" s="136" t="s">
        <v>2016</v>
      </c>
    </row>
    <row r="123" spans="1:5">
      <c r="A123" s="132" t="s">
        <v>2017</v>
      </c>
      <c r="B123" s="65" t="s">
        <v>1996</v>
      </c>
      <c r="C123" s="65" t="s">
        <v>2018</v>
      </c>
      <c r="D123" s="135" t="s">
        <v>1220</v>
      </c>
      <c r="E123" s="136" t="s">
        <v>2019</v>
      </c>
    </row>
    <row r="124" spans="1:5">
      <c r="A124" s="132" t="s">
        <v>2020</v>
      </c>
      <c r="B124" s="65" t="s">
        <v>1996</v>
      </c>
      <c r="C124" s="65" t="s">
        <v>2021</v>
      </c>
      <c r="D124" s="135" t="s">
        <v>2022</v>
      </c>
      <c r="E124" s="136" t="s">
        <v>2019</v>
      </c>
    </row>
    <row r="125" spans="1:5">
      <c r="A125" s="132" t="s">
        <v>2023</v>
      </c>
      <c r="B125" s="65" t="s">
        <v>1996</v>
      </c>
      <c r="C125" s="65" t="s">
        <v>2024</v>
      </c>
      <c r="D125" s="135" t="s">
        <v>2025</v>
      </c>
      <c r="E125" s="136" t="s">
        <v>2026</v>
      </c>
    </row>
    <row r="126" spans="1:5">
      <c r="A126" s="132" t="s">
        <v>2027</v>
      </c>
      <c r="B126" s="65" t="s">
        <v>1996</v>
      </c>
      <c r="C126" s="65" t="s">
        <v>2028</v>
      </c>
      <c r="D126" s="135" t="s">
        <v>2029</v>
      </c>
      <c r="E126" s="136" t="s">
        <v>2030</v>
      </c>
    </row>
    <row r="127" spans="1:5">
      <c r="A127" s="132" t="s">
        <v>2031</v>
      </c>
      <c r="B127" s="65" t="s">
        <v>1996</v>
      </c>
      <c r="C127" s="65" t="s">
        <v>2032</v>
      </c>
      <c r="D127" s="135" t="s">
        <v>1227</v>
      </c>
      <c r="E127" s="136" t="s">
        <v>2033</v>
      </c>
    </row>
    <row r="128" spans="1:5">
      <c r="A128" s="132" t="s">
        <v>2034</v>
      </c>
      <c r="B128" s="65" t="s">
        <v>1996</v>
      </c>
      <c r="C128" s="65" t="s">
        <v>2035</v>
      </c>
      <c r="D128" s="135" t="s">
        <v>2036</v>
      </c>
      <c r="E128" s="136" t="s">
        <v>2037</v>
      </c>
    </row>
    <row r="129" spans="1:5">
      <c r="A129" s="132" t="s">
        <v>2038</v>
      </c>
      <c r="B129" s="65" t="s">
        <v>1996</v>
      </c>
      <c r="C129" s="65" t="s">
        <v>2039</v>
      </c>
      <c r="D129" s="135" t="s">
        <v>1225</v>
      </c>
      <c r="E129" s="136" t="s">
        <v>2040</v>
      </c>
    </row>
    <row r="130" spans="1:5">
      <c r="A130" s="132" t="s">
        <v>2041</v>
      </c>
      <c r="B130" s="65" t="s">
        <v>1996</v>
      </c>
      <c r="C130" s="65" t="s">
        <v>2042</v>
      </c>
      <c r="D130" s="135" t="s">
        <v>2043</v>
      </c>
      <c r="E130" s="136" t="s">
        <v>2044</v>
      </c>
    </row>
    <row r="131" spans="1:5">
      <c r="A131" s="132" t="s">
        <v>2045</v>
      </c>
      <c r="B131" s="65" t="s">
        <v>2046</v>
      </c>
      <c r="C131" s="65" t="s">
        <v>2047</v>
      </c>
      <c r="D131" s="135" t="s">
        <v>2048</v>
      </c>
      <c r="E131" s="136" t="s">
        <v>2049</v>
      </c>
    </row>
    <row r="132" spans="1:5">
      <c r="A132" s="132" t="s">
        <v>2050</v>
      </c>
      <c r="B132" s="65" t="s">
        <v>2046</v>
      </c>
      <c r="C132" s="65" t="s">
        <v>2051</v>
      </c>
      <c r="D132" s="135" t="s">
        <v>2052</v>
      </c>
      <c r="E132" s="136" t="s">
        <v>2053</v>
      </c>
    </row>
    <row r="133" spans="1:5">
      <c r="A133" s="132" t="s">
        <v>2054</v>
      </c>
      <c r="B133" s="65" t="s">
        <v>2046</v>
      </c>
      <c r="C133" s="65" t="s">
        <v>2055</v>
      </c>
      <c r="D133" s="135" t="s">
        <v>2056</v>
      </c>
      <c r="E133" s="136" t="s">
        <v>2057</v>
      </c>
    </row>
    <row r="134" spans="1:5">
      <c r="A134" s="132" t="s">
        <v>2058</v>
      </c>
      <c r="B134" s="65" t="s">
        <v>2046</v>
      </c>
      <c r="C134" s="65" t="s">
        <v>2059</v>
      </c>
      <c r="D134" s="135" t="s">
        <v>1253</v>
      </c>
      <c r="E134" s="136" t="s">
        <v>2060</v>
      </c>
    </row>
    <row r="135" spans="1:5">
      <c r="A135" s="132" t="s">
        <v>2061</v>
      </c>
      <c r="B135" s="65" t="s">
        <v>2046</v>
      </c>
      <c r="C135" s="65" t="s">
        <v>2062</v>
      </c>
      <c r="D135" s="135" t="s">
        <v>1269</v>
      </c>
      <c r="E135" s="136" t="s">
        <v>2063</v>
      </c>
    </row>
    <row r="136" spans="1:5">
      <c r="A136" s="132" t="s">
        <v>2064</v>
      </c>
      <c r="B136" s="65" t="s">
        <v>2046</v>
      </c>
      <c r="C136" s="65" t="s">
        <v>2065</v>
      </c>
      <c r="D136" s="135" t="s">
        <v>2066</v>
      </c>
      <c r="E136" s="136" t="s">
        <v>2067</v>
      </c>
    </row>
    <row r="137" spans="1:5">
      <c r="A137" s="132" t="s">
        <v>2068</v>
      </c>
      <c r="B137" s="65" t="s">
        <v>2046</v>
      </c>
      <c r="C137" s="65" t="s">
        <v>2069</v>
      </c>
      <c r="D137" s="135" t="s">
        <v>2070</v>
      </c>
      <c r="E137" s="136" t="s">
        <v>2071</v>
      </c>
    </row>
    <row r="138" spans="1:5">
      <c r="A138" s="132" t="s">
        <v>2072</v>
      </c>
      <c r="B138" s="65" t="s">
        <v>2046</v>
      </c>
      <c r="C138" s="65" t="s">
        <v>2073</v>
      </c>
      <c r="D138" s="135" t="s">
        <v>2074</v>
      </c>
      <c r="E138" s="136" t="s">
        <v>2075</v>
      </c>
    </row>
    <row r="139" spans="1:5">
      <c r="A139" s="132" t="s">
        <v>2076</v>
      </c>
      <c r="B139" s="65" t="s">
        <v>2046</v>
      </c>
      <c r="C139" s="65" t="s">
        <v>2077</v>
      </c>
      <c r="D139" s="135" t="s">
        <v>2078</v>
      </c>
      <c r="E139" s="136" t="s">
        <v>2079</v>
      </c>
    </row>
    <row r="140" spans="1:5">
      <c r="A140" s="132" t="s">
        <v>2080</v>
      </c>
      <c r="B140" s="65" t="s">
        <v>2046</v>
      </c>
      <c r="C140" s="65" t="s">
        <v>2081</v>
      </c>
      <c r="D140" s="135" t="s">
        <v>1257</v>
      </c>
      <c r="E140" s="136" t="s">
        <v>2082</v>
      </c>
    </row>
    <row r="141" spans="1:5">
      <c r="A141" s="132" t="s">
        <v>2083</v>
      </c>
      <c r="B141" s="65" t="s">
        <v>2046</v>
      </c>
      <c r="C141" s="65" t="s">
        <v>2084</v>
      </c>
      <c r="D141" s="135" t="s">
        <v>2085</v>
      </c>
      <c r="E141" s="136" t="s">
        <v>2086</v>
      </c>
    </row>
    <row r="142" spans="1:5">
      <c r="A142" s="132" t="s">
        <v>2087</v>
      </c>
      <c r="B142" s="65" t="s">
        <v>2046</v>
      </c>
      <c r="C142" s="65" t="s">
        <v>2088</v>
      </c>
      <c r="D142" s="135" t="s">
        <v>2089</v>
      </c>
      <c r="E142" s="136" t="s">
        <v>2090</v>
      </c>
    </row>
    <row r="143" spans="1:5">
      <c r="A143" s="132" t="s">
        <v>2091</v>
      </c>
      <c r="B143" s="65" t="s">
        <v>2046</v>
      </c>
      <c r="C143" s="65" t="s">
        <v>2092</v>
      </c>
      <c r="D143" s="135" t="s">
        <v>1251</v>
      </c>
      <c r="E143" s="136" t="s">
        <v>2093</v>
      </c>
    </row>
    <row r="144" spans="1:5">
      <c r="A144" s="132" t="s">
        <v>2094</v>
      </c>
      <c r="B144" s="65" t="s">
        <v>2095</v>
      </c>
      <c r="C144" s="65" t="s">
        <v>2096</v>
      </c>
      <c r="D144" s="135" t="s">
        <v>2097</v>
      </c>
      <c r="E144" s="136" t="s">
        <v>2098</v>
      </c>
    </row>
    <row r="145" spans="1:5">
      <c r="A145" s="132" t="s">
        <v>2099</v>
      </c>
      <c r="B145" s="65" t="s">
        <v>2095</v>
      </c>
      <c r="C145" s="65" t="s">
        <v>2100</v>
      </c>
      <c r="D145" s="135" t="s">
        <v>2101</v>
      </c>
      <c r="E145" s="136" t="s">
        <v>2102</v>
      </c>
    </row>
    <row r="146" spans="1:5">
      <c r="A146" s="132" t="s">
        <v>2103</v>
      </c>
      <c r="B146" s="65" t="s">
        <v>2095</v>
      </c>
      <c r="C146" s="65" t="s">
        <v>2104</v>
      </c>
      <c r="D146" s="135" t="s">
        <v>2105</v>
      </c>
      <c r="E146" s="136" t="s">
        <v>2106</v>
      </c>
    </row>
    <row r="147" spans="1:5">
      <c r="A147" s="132" t="s">
        <v>2107</v>
      </c>
      <c r="B147" s="65" t="s">
        <v>2095</v>
      </c>
      <c r="C147" s="65" t="s">
        <v>2108</v>
      </c>
      <c r="D147" s="135" t="s">
        <v>1463</v>
      </c>
      <c r="E147" s="136" t="s">
        <v>2109</v>
      </c>
    </row>
    <row r="148" spans="1:5">
      <c r="A148" s="132" t="s">
        <v>2110</v>
      </c>
      <c r="B148" s="65" t="s">
        <v>2095</v>
      </c>
      <c r="C148" s="65" t="s">
        <v>2111</v>
      </c>
      <c r="D148" s="135" t="s">
        <v>1286</v>
      </c>
      <c r="E148" s="136" t="s">
        <v>2112</v>
      </c>
    </row>
    <row r="149" spans="1:5">
      <c r="A149" s="132" t="s">
        <v>2113</v>
      </c>
      <c r="B149" s="65" t="s">
        <v>2095</v>
      </c>
      <c r="C149" s="65" t="s">
        <v>2114</v>
      </c>
      <c r="D149" s="135" t="s">
        <v>1288</v>
      </c>
      <c r="E149" s="136" t="s">
        <v>2115</v>
      </c>
    </row>
    <row r="150" spans="1:5">
      <c r="A150" s="132" t="s">
        <v>2116</v>
      </c>
      <c r="B150" s="65" t="s">
        <v>2095</v>
      </c>
      <c r="C150" s="65" t="s">
        <v>2117</v>
      </c>
      <c r="D150" s="135" t="s">
        <v>2118</v>
      </c>
      <c r="E150" s="136" t="s">
        <v>2119</v>
      </c>
    </row>
    <row r="151" spans="1:5">
      <c r="A151" s="132" t="s">
        <v>2120</v>
      </c>
      <c r="B151" s="65" t="s">
        <v>2095</v>
      </c>
      <c r="C151" s="65" t="s">
        <v>2121</v>
      </c>
      <c r="D151" s="135" t="s">
        <v>2122</v>
      </c>
      <c r="E151" s="136" t="s">
        <v>2123</v>
      </c>
    </row>
    <row r="152" spans="1:5">
      <c r="A152" s="132" t="s">
        <v>2124</v>
      </c>
      <c r="B152" s="65" t="s">
        <v>2095</v>
      </c>
      <c r="C152" s="65" t="s">
        <v>2125</v>
      </c>
      <c r="D152" s="135" t="s">
        <v>2126</v>
      </c>
      <c r="E152" s="136" t="s">
        <v>2127</v>
      </c>
    </row>
    <row r="153" spans="1:5">
      <c r="A153" s="132" t="s">
        <v>2128</v>
      </c>
      <c r="B153" s="65" t="s">
        <v>2095</v>
      </c>
      <c r="C153" s="65" t="s">
        <v>2129</v>
      </c>
      <c r="D153" s="135" t="s">
        <v>2130</v>
      </c>
      <c r="E153" s="136" t="s">
        <v>2131</v>
      </c>
    </row>
    <row r="154" spans="1:5">
      <c r="A154" s="132" t="s">
        <v>2132</v>
      </c>
      <c r="B154" s="65" t="s">
        <v>2095</v>
      </c>
      <c r="C154" s="65" t="s">
        <v>2133</v>
      </c>
      <c r="D154" s="135" t="s">
        <v>2134</v>
      </c>
      <c r="E154" s="136" t="s">
        <v>2135</v>
      </c>
    </row>
    <row r="155" spans="1:5">
      <c r="A155" s="132" t="s">
        <v>2136</v>
      </c>
      <c r="B155" s="65" t="s">
        <v>2095</v>
      </c>
      <c r="C155" s="65" t="s">
        <v>2137</v>
      </c>
      <c r="D155" s="135" t="s">
        <v>2138</v>
      </c>
      <c r="E155" s="136" t="s">
        <v>2139</v>
      </c>
    </row>
    <row r="156" spans="1:5">
      <c r="A156" s="132" t="s">
        <v>2140</v>
      </c>
      <c r="B156" s="65" t="s">
        <v>2095</v>
      </c>
      <c r="C156" s="65" t="s">
        <v>2141</v>
      </c>
      <c r="D156" s="135" t="s">
        <v>2142</v>
      </c>
      <c r="E156" s="136" t="s">
        <v>2143</v>
      </c>
    </row>
    <row r="157" spans="1:5">
      <c r="A157" s="132" t="s">
        <v>2144</v>
      </c>
      <c r="B157" s="65" t="s">
        <v>2095</v>
      </c>
      <c r="C157" s="65" t="s">
        <v>2145</v>
      </c>
      <c r="D157" s="135" t="s">
        <v>2146</v>
      </c>
      <c r="E157" s="136" t="s">
        <v>2147</v>
      </c>
    </row>
    <row r="158" spans="1:5">
      <c r="A158" s="132" t="s">
        <v>2148</v>
      </c>
      <c r="B158" s="65" t="s">
        <v>2095</v>
      </c>
      <c r="C158" s="65" t="s">
        <v>2149</v>
      </c>
      <c r="D158" s="135" t="s">
        <v>2150</v>
      </c>
      <c r="E158" s="136" t="s">
        <v>2151</v>
      </c>
    </row>
    <row r="159" spans="1:5">
      <c r="A159" s="132" t="s">
        <v>2152</v>
      </c>
      <c r="B159" s="65" t="s">
        <v>2095</v>
      </c>
      <c r="C159" s="65" t="s">
        <v>2153</v>
      </c>
      <c r="D159" s="135" t="s">
        <v>2154</v>
      </c>
      <c r="E159" s="136" t="s">
        <v>2155</v>
      </c>
    </row>
    <row r="160" spans="1:5">
      <c r="A160" s="132" t="s">
        <v>2156</v>
      </c>
      <c r="B160" s="65" t="s">
        <v>2095</v>
      </c>
      <c r="C160" s="65" t="s">
        <v>2157</v>
      </c>
      <c r="D160" s="135" t="s">
        <v>1304</v>
      </c>
      <c r="E160" s="136" t="s">
        <v>2158</v>
      </c>
    </row>
    <row r="161" spans="1:5">
      <c r="A161" s="132" t="s">
        <v>2159</v>
      </c>
      <c r="B161" s="65" t="s">
        <v>2095</v>
      </c>
      <c r="C161" s="65" t="s">
        <v>2160</v>
      </c>
      <c r="D161" s="135" t="s">
        <v>2161</v>
      </c>
      <c r="E161" s="136" t="s">
        <v>2162</v>
      </c>
    </row>
    <row r="162" spans="1:5">
      <c r="A162" s="132" t="s">
        <v>2163</v>
      </c>
      <c r="B162" s="65" t="s">
        <v>2164</v>
      </c>
      <c r="C162" s="65" t="s">
        <v>2165</v>
      </c>
      <c r="D162" s="135" t="s">
        <v>2166</v>
      </c>
      <c r="E162" s="136" t="s">
        <v>2167</v>
      </c>
    </row>
    <row r="163" spans="1:5">
      <c r="A163" s="132" t="s">
        <v>2168</v>
      </c>
      <c r="B163" s="65" t="s">
        <v>2164</v>
      </c>
      <c r="C163" s="65" t="s">
        <v>2169</v>
      </c>
      <c r="D163" s="135" t="s">
        <v>1335</v>
      </c>
      <c r="E163" s="136" t="s">
        <v>2170</v>
      </c>
    </row>
    <row r="164" spans="1:5">
      <c r="A164" s="132" t="s">
        <v>2171</v>
      </c>
      <c r="B164" s="65" t="s">
        <v>2164</v>
      </c>
      <c r="C164" s="65" t="s">
        <v>2172</v>
      </c>
      <c r="D164" s="135" t="s">
        <v>2173</v>
      </c>
      <c r="E164" s="136" t="s">
        <v>2174</v>
      </c>
    </row>
    <row r="165" spans="1:5">
      <c r="A165" s="132" t="s">
        <v>2175</v>
      </c>
      <c r="B165" s="65" t="s">
        <v>2164</v>
      </c>
      <c r="C165" s="65" t="s">
        <v>2176</v>
      </c>
      <c r="D165" s="135" t="s">
        <v>2177</v>
      </c>
      <c r="E165" s="136" t="s">
        <v>2178</v>
      </c>
    </row>
    <row r="166" spans="1:5">
      <c r="A166" s="132" t="s">
        <v>2179</v>
      </c>
      <c r="B166" s="65" t="s">
        <v>2164</v>
      </c>
      <c r="C166" s="65" t="s">
        <v>2180</v>
      </c>
      <c r="D166" s="135" t="s">
        <v>2181</v>
      </c>
      <c r="E166" s="136" t="s">
        <v>2182</v>
      </c>
    </row>
    <row r="167" spans="1:5">
      <c r="A167" s="132" t="s">
        <v>2183</v>
      </c>
      <c r="B167" s="65" t="s">
        <v>2164</v>
      </c>
      <c r="C167" s="65" t="s">
        <v>2184</v>
      </c>
      <c r="D167" s="135" t="s">
        <v>2185</v>
      </c>
      <c r="E167" s="136" t="s">
        <v>2186</v>
      </c>
    </row>
    <row r="168" spans="1:5">
      <c r="A168" s="132" t="s">
        <v>2187</v>
      </c>
      <c r="B168" s="65" t="s">
        <v>2164</v>
      </c>
      <c r="C168" s="65" t="s">
        <v>2188</v>
      </c>
      <c r="D168" s="135" t="s">
        <v>2189</v>
      </c>
      <c r="E168" s="136" t="s">
        <v>2190</v>
      </c>
    </row>
    <row r="169" spans="1:5">
      <c r="A169" s="132" t="s">
        <v>2191</v>
      </c>
      <c r="B169" s="65" t="s">
        <v>2164</v>
      </c>
      <c r="C169" s="65" t="s">
        <v>2192</v>
      </c>
      <c r="D169" s="135" t="s">
        <v>2193</v>
      </c>
      <c r="E169" s="136" t="s">
        <v>2194</v>
      </c>
    </row>
    <row r="170" spans="1:5">
      <c r="A170" s="132" t="s">
        <v>2195</v>
      </c>
      <c r="B170" s="65" t="s">
        <v>2164</v>
      </c>
      <c r="C170" s="65" t="s">
        <v>2196</v>
      </c>
      <c r="D170" s="135" t="s">
        <v>2197</v>
      </c>
      <c r="E170" s="136" t="s">
        <v>2198</v>
      </c>
    </row>
    <row r="171" spans="1:5">
      <c r="A171" s="132" t="s">
        <v>2199</v>
      </c>
      <c r="B171" s="65" t="s">
        <v>2164</v>
      </c>
      <c r="C171" s="65" t="s">
        <v>2200</v>
      </c>
      <c r="D171" s="135" t="s">
        <v>2201</v>
      </c>
      <c r="E171" s="136" t="s">
        <v>2202</v>
      </c>
    </row>
    <row r="172" spans="1:5">
      <c r="A172" s="132" t="s">
        <v>2203</v>
      </c>
      <c r="B172" s="65" t="s">
        <v>2164</v>
      </c>
      <c r="C172" s="65" t="s">
        <v>2204</v>
      </c>
      <c r="D172" s="135" t="s">
        <v>2205</v>
      </c>
      <c r="E172" s="136" t="s">
        <v>2206</v>
      </c>
    </row>
    <row r="173" spans="1:5">
      <c r="A173" s="132" t="s">
        <v>2207</v>
      </c>
      <c r="B173" s="65" t="s">
        <v>2164</v>
      </c>
      <c r="C173" s="65" t="s">
        <v>2208</v>
      </c>
      <c r="D173" s="135" t="s">
        <v>1342</v>
      </c>
      <c r="E173" s="136" t="s">
        <v>2209</v>
      </c>
    </row>
    <row r="174" spans="1:5">
      <c r="A174" s="132" t="s">
        <v>2210</v>
      </c>
      <c r="B174" s="65" t="s">
        <v>2164</v>
      </c>
      <c r="C174" s="65" t="s">
        <v>2211</v>
      </c>
      <c r="D174" s="135" t="s">
        <v>2212</v>
      </c>
      <c r="E174" s="136" t="s">
        <v>2213</v>
      </c>
    </row>
    <row r="175" spans="1:5">
      <c r="A175" s="132" t="s">
        <v>2214</v>
      </c>
      <c r="B175" s="65" t="s">
        <v>1800</v>
      </c>
      <c r="C175" s="65" t="s">
        <v>2215</v>
      </c>
      <c r="D175" s="135" t="s">
        <v>2216</v>
      </c>
      <c r="E175" s="136" t="s">
        <v>2217</v>
      </c>
    </row>
    <row r="176" spans="1:5">
      <c r="A176" s="132" t="s">
        <v>2218</v>
      </c>
      <c r="B176" s="65" t="s">
        <v>1800</v>
      </c>
      <c r="C176" s="65" t="s">
        <v>2219</v>
      </c>
      <c r="D176" s="135" t="s">
        <v>2220</v>
      </c>
      <c r="E176" s="136" t="s">
        <v>2221</v>
      </c>
    </row>
    <row r="177" spans="1:5">
      <c r="A177" s="132" t="s">
        <v>2222</v>
      </c>
      <c r="B177" s="65" t="s">
        <v>1800</v>
      </c>
      <c r="C177" s="65" t="s">
        <v>2223</v>
      </c>
      <c r="D177" s="135" t="s">
        <v>2224</v>
      </c>
      <c r="E177" s="136" t="s">
        <v>2225</v>
      </c>
    </row>
    <row r="178" spans="1:5">
      <c r="A178" s="132" t="s">
        <v>2226</v>
      </c>
      <c r="B178" s="65" t="s">
        <v>1800</v>
      </c>
      <c r="C178" s="65" t="s">
        <v>2227</v>
      </c>
      <c r="D178" s="135" t="s">
        <v>2228</v>
      </c>
      <c r="E178" s="136" t="s">
        <v>2229</v>
      </c>
    </row>
    <row r="179" spans="1:5">
      <c r="A179" s="132" t="s">
        <v>2230</v>
      </c>
      <c r="B179" s="65" t="s">
        <v>1800</v>
      </c>
      <c r="C179" s="65" t="s">
        <v>2231</v>
      </c>
      <c r="D179" s="135" t="s">
        <v>2232</v>
      </c>
      <c r="E179" s="136" t="s">
        <v>2233</v>
      </c>
    </row>
    <row r="180" spans="1:5">
      <c r="A180" s="132" t="s">
        <v>2234</v>
      </c>
      <c r="B180" s="65" t="s">
        <v>1800</v>
      </c>
      <c r="C180" s="65" t="s">
        <v>2235</v>
      </c>
      <c r="D180" s="135" t="s">
        <v>2236</v>
      </c>
      <c r="E180" s="136" t="s">
        <v>2237</v>
      </c>
    </row>
    <row r="181" spans="1:5">
      <c r="A181" s="132" t="s">
        <v>2238</v>
      </c>
      <c r="B181" s="65" t="s">
        <v>1878</v>
      </c>
      <c r="C181" s="65" t="s">
        <v>2239</v>
      </c>
      <c r="D181" s="135" t="s">
        <v>2240</v>
      </c>
      <c r="E181" s="136" t="s">
        <v>2241</v>
      </c>
    </row>
    <row r="182" spans="1:5">
      <c r="A182" s="132" t="s">
        <v>2242</v>
      </c>
      <c r="B182" s="65" t="s">
        <v>1878</v>
      </c>
      <c r="C182" s="65" t="s">
        <v>2243</v>
      </c>
      <c r="D182" s="135" t="s">
        <v>2244</v>
      </c>
      <c r="E182" s="136" t="s">
        <v>1895</v>
      </c>
    </row>
    <row r="183" spans="1:5">
      <c r="A183" s="132" t="s">
        <v>2245</v>
      </c>
      <c r="B183" s="65" t="s">
        <v>1878</v>
      </c>
      <c r="C183" s="65" t="s">
        <v>2246</v>
      </c>
      <c r="D183" s="135" t="s">
        <v>2247</v>
      </c>
      <c r="E183" s="136" t="s">
        <v>1898</v>
      </c>
    </row>
    <row r="184" spans="1:5">
      <c r="A184" s="132" t="s">
        <v>2248</v>
      </c>
      <c r="B184" s="65" t="s">
        <v>1922</v>
      </c>
      <c r="C184" s="65" t="s">
        <v>2249</v>
      </c>
      <c r="D184" s="135" t="s">
        <v>2250</v>
      </c>
      <c r="E184" s="136" t="s">
        <v>2251</v>
      </c>
    </row>
    <row r="185" spans="1:5">
      <c r="A185" s="132" t="s">
        <v>2252</v>
      </c>
      <c r="B185" s="65" t="s">
        <v>1922</v>
      </c>
      <c r="C185" s="65" t="s">
        <v>2253</v>
      </c>
      <c r="D185" s="135" t="s">
        <v>2254</v>
      </c>
      <c r="E185" s="136" t="s">
        <v>2255</v>
      </c>
    </row>
    <row r="186" spans="1:5">
      <c r="A186" s="132" t="s">
        <v>2256</v>
      </c>
      <c r="B186" s="65" t="s">
        <v>2095</v>
      </c>
      <c r="C186" s="65" t="s">
        <v>2257</v>
      </c>
      <c r="D186" s="135" t="s">
        <v>2258</v>
      </c>
      <c r="E186" s="136" t="s">
        <v>2259</v>
      </c>
    </row>
    <row r="187" spans="1:5">
      <c r="A187" s="132" t="s">
        <v>2260</v>
      </c>
      <c r="B187" s="65" t="s">
        <v>2095</v>
      </c>
      <c r="C187" s="65" t="s">
        <v>2261</v>
      </c>
      <c r="D187" s="135" t="s">
        <v>2262</v>
      </c>
      <c r="E187" s="136" t="s">
        <v>2263</v>
      </c>
    </row>
    <row r="188" spans="1:5">
      <c r="A188" s="132" t="s">
        <v>2264</v>
      </c>
      <c r="B188" s="65" t="s">
        <v>2046</v>
      </c>
      <c r="C188" s="65" t="s">
        <v>2265</v>
      </c>
      <c r="D188" s="135" t="s">
        <v>2266</v>
      </c>
      <c r="E188" s="136" t="s">
        <v>2267</v>
      </c>
    </row>
    <row r="189" spans="1:5">
      <c r="A189" s="132" t="s">
        <v>2268</v>
      </c>
      <c r="B189" s="65" t="s">
        <v>2164</v>
      </c>
      <c r="C189" s="65" t="s">
        <v>2269</v>
      </c>
      <c r="D189" s="135" t="s">
        <v>2270</v>
      </c>
      <c r="E189" s="136" t="s">
        <v>2213</v>
      </c>
    </row>
  </sheetData>
  <autoFilter ref="A4:E189" xr:uid="{310581F7-ECDF-C64A-A7B0-C540D55B3FA1}"/>
  <phoneticPr fontId="2"/>
  <conditionalFormatting sqref="A5:E189">
    <cfRule type="expression" dxfId="63" priority="1">
      <formula>$B5="U2 Keycloak論理"</formula>
    </cfRule>
  </conditionalFormatting>
  <conditionalFormatting sqref="A5:E189">
    <cfRule type="expression" dxfId="62" priority="2">
      <formula>$B5="U3 ID・プロビジョニング"</formula>
    </cfRule>
  </conditionalFormatting>
  <conditionalFormatting sqref="A5:E189">
    <cfRule type="expression" dxfId="61" priority="3">
      <formula>$B5="U5 トークン・認可"</formula>
    </cfRule>
  </conditionalFormatting>
  <conditionalFormatting sqref="A5:E189">
    <cfRule type="expression" dxfId="60" priority="4">
      <formula>$B5="U4 認証体験・UX"</formula>
    </cfRule>
  </conditionalFormatting>
  <conditionalFormatting sqref="A5:E189">
    <cfRule type="expression" dxfId="59" priority="5">
      <formula>$B5="U7 セキュリティ"</formula>
    </cfRule>
  </conditionalFormatting>
  <conditionalFormatting sqref="A5:E189">
    <cfRule type="expression" dxfId="58" priority="6">
      <formula>$B5="U8 可用性・DR"</formula>
    </cfRule>
  </conditionalFormatting>
  <conditionalFormatting sqref="A5:E189">
    <cfRule type="expression" dxfId="57" priority="7">
      <formula>$B5="U6 インフラ・NW"</formula>
    </cfRule>
  </conditionalFormatting>
  <conditionalFormatting sqref="A5:E189">
    <cfRule type="expression" dxfId="56" priority="8">
      <formula>$B5="U9 運用・監視・IaC"</formula>
    </cfRule>
  </conditionalFormatting>
  <conditionalFormatting sqref="A5:E189">
    <cfRule type="expression" dxfId="55"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2279</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1300</v>
      </c>
      <c r="F153" s="70" t="s">
        <v>1284</v>
      </c>
      <c r="G153" s="70" t="s">
        <v>1132</v>
      </c>
      <c r="H153" s="78" t="s">
        <v>1301</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1523</v>
      </c>
      <c r="F159" s="70" t="s">
        <v>1156</v>
      </c>
      <c r="G159" s="70" t="s">
        <v>1124</v>
      </c>
      <c r="H159" s="78" t="s">
        <v>1524</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1342</v>
      </c>
      <c r="F180" s="70" t="s">
        <v>1331</v>
      </c>
      <c r="G180" s="70" t="s">
        <v>1132</v>
      </c>
      <c r="H180" s="78" t="s">
        <v>1344</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54" priority="1">
      <formula>$G5="未対応"</formula>
    </cfRule>
  </conditionalFormatting>
  <conditionalFormatting sqref="A5:H183">
    <cfRule type="expression" dxfId="53" priority="2">
      <formula>$G5="単元未取込"</formula>
    </cfRule>
  </conditionalFormatting>
  <conditionalFormatting sqref="A5:H183">
    <cfRule type="expression" dxfId="52" priority="3">
      <formula>$G5="部分"</formula>
    </cfRule>
  </conditionalFormatting>
  <conditionalFormatting sqref="A5:H183">
    <cfRule type="expression" dxfId="51" priority="4">
      <formula>$G5="設計済"</formula>
    </cfRule>
  </conditionalFormatting>
  <conditionalFormatting sqref="A5:H183">
    <cfRule type="expression" dxfId="50"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1596</v>
      </c>
    </row>
    <row r="3" spans="1:6">
      <c r="A3" s="82" t="s">
        <v>1354</v>
      </c>
    </row>
    <row r="5" spans="1:6" ht="22" customHeight="1">
      <c r="A5" s="83" t="s">
        <v>945</v>
      </c>
      <c r="B5" s="84" t="s">
        <v>946</v>
      </c>
      <c r="C5" s="84" t="s">
        <v>947</v>
      </c>
      <c r="D5" s="84" t="s">
        <v>1355</v>
      </c>
      <c r="E5" s="84" t="s">
        <v>1356</v>
      </c>
      <c r="F5" s="85"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520</v>
      </c>
      <c r="C12" s="68" t="s">
        <v>1152</v>
      </c>
      <c r="D12" s="70" t="s">
        <v>1358</v>
      </c>
      <c r="E12" s="69" t="s">
        <v>1367</v>
      </c>
      <c r="F12" s="78" t="s">
        <v>1368</v>
      </c>
    </row>
    <row r="13" spans="1:6" ht="16">
      <c r="A13" s="75" t="s">
        <v>982</v>
      </c>
      <c r="B13" s="68" t="s">
        <v>511</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959</v>
      </c>
      <c r="B27" s="68" t="s">
        <v>502</v>
      </c>
      <c r="C27" s="68" t="s">
        <v>1398</v>
      </c>
      <c r="D27" s="70" t="s">
        <v>1375</v>
      </c>
      <c r="E27" s="69" t="s">
        <v>1399</v>
      </c>
      <c r="F27" s="78" t="s">
        <v>88</v>
      </c>
    </row>
    <row r="28" spans="1:6" ht="16">
      <c r="A28" s="75" t="s">
        <v>1200</v>
      </c>
      <c r="B28" s="68" t="s">
        <v>524</v>
      </c>
      <c r="C28" s="68" t="s">
        <v>1201</v>
      </c>
      <c r="D28" s="70" t="s">
        <v>1375</v>
      </c>
      <c r="E28" s="69" t="s">
        <v>1400</v>
      </c>
      <c r="F28" s="78" t="s">
        <v>334</v>
      </c>
    </row>
    <row r="29" spans="1:6" ht="16">
      <c r="A29" s="75" t="s">
        <v>1239</v>
      </c>
      <c r="B29" s="68" t="s">
        <v>514</v>
      </c>
      <c r="C29" s="68" t="s">
        <v>1240</v>
      </c>
      <c r="D29" s="70" t="s">
        <v>1375</v>
      </c>
      <c r="E29" s="69" t="s">
        <v>1401</v>
      </c>
      <c r="F29" s="78" t="s">
        <v>1402</v>
      </c>
    </row>
    <row r="30" spans="1:6" ht="32">
      <c r="A30" s="75" t="s">
        <v>976</v>
      </c>
      <c r="B30" s="68" t="s">
        <v>511</v>
      </c>
      <c r="C30" s="68" t="s">
        <v>1403</v>
      </c>
      <c r="D30" s="70" t="s">
        <v>1375</v>
      </c>
      <c r="E30" s="69" t="s">
        <v>1404</v>
      </c>
      <c r="F30" s="78" t="s">
        <v>1405</v>
      </c>
    </row>
    <row r="31" spans="1:6" ht="16">
      <c r="A31" s="75" t="s">
        <v>1237</v>
      </c>
      <c r="B31" s="68" t="s">
        <v>514</v>
      </c>
      <c r="C31" s="68" t="s">
        <v>1238</v>
      </c>
      <c r="D31" s="70" t="s">
        <v>1406</v>
      </c>
      <c r="E31" s="69" t="s">
        <v>1407</v>
      </c>
      <c r="F31" s="78" t="s">
        <v>1408</v>
      </c>
    </row>
    <row r="32" spans="1:6" ht="16">
      <c r="A32" s="75" t="s">
        <v>1197</v>
      </c>
      <c r="B32" s="68" t="s">
        <v>524</v>
      </c>
      <c r="C32" s="68" t="s">
        <v>1198</v>
      </c>
      <c r="D32" s="70" t="s">
        <v>1409</v>
      </c>
      <c r="E32" s="69" t="s">
        <v>1410</v>
      </c>
      <c r="F32" s="78" t="s">
        <v>329</v>
      </c>
    </row>
    <row r="33" spans="1:6" ht="16">
      <c r="A33" s="75" t="s">
        <v>955</v>
      </c>
      <c r="B33" s="68" t="s">
        <v>502</v>
      </c>
      <c r="C33" s="68" t="s">
        <v>1411</v>
      </c>
      <c r="D33" s="70" t="s">
        <v>1412</v>
      </c>
      <c r="E33" s="69" t="s">
        <v>1413</v>
      </c>
      <c r="F33" s="78" t="s">
        <v>1014</v>
      </c>
    </row>
    <row r="34" spans="1:6" ht="16">
      <c r="A34" s="75" t="s">
        <v>956</v>
      </c>
      <c r="B34" s="68" t="s">
        <v>502</v>
      </c>
      <c r="C34" s="68" t="s">
        <v>1414</v>
      </c>
      <c r="D34" s="70" t="s">
        <v>1412</v>
      </c>
      <c r="E34" s="69" t="s">
        <v>1415</v>
      </c>
      <c r="F34" s="78" t="s">
        <v>1014</v>
      </c>
    </row>
    <row r="35" spans="1:6" ht="16">
      <c r="A35" s="75" t="s">
        <v>957</v>
      </c>
      <c r="B35" s="68" t="s">
        <v>502</v>
      </c>
      <c r="C35" s="68" t="s">
        <v>1416</v>
      </c>
      <c r="D35" s="70" t="s">
        <v>1412</v>
      </c>
      <c r="E35" s="69" t="s">
        <v>1417</v>
      </c>
      <c r="F35" s="78" t="s">
        <v>1014</v>
      </c>
    </row>
    <row r="36" spans="1:6" ht="16">
      <c r="A36" s="75" t="s">
        <v>958</v>
      </c>
      <c r="B36" s="68" t="s">
        <v>502</v>
      </c>
      <c r="C36" s="68" t="s">
        <v>1418</v>
      </c>
      <c r="D36" s="70" t="s">
        <v>1412</v>
      </c>
      <c r="E36" s="69" t="s">
        <v>1419</v>
      </c>
      <c r="F36" s="78" t="s">
        <v>1014</v>
      </c>
    </row>
    <row r="37" spans="1:6" ht="16">
      <c r="A37" s="75" t="s">
        <v>960</v>
      </c>
      <c r="B37" s="68" t="s">
        <v>502</v>
      </c>
      <c r="C37" s="68" t="s">
        <v>1420</v>
      </c>
      <c r="D37" s="70" t="s">
        <v>1412</v>
      </c>
      <c r="E37" s="69" t="s">
        <v>1421</v>
      </c>
      <c r="F37" s="78" t="s">
        <v>1014</v>
      </c>
    </row>
    <row r="38" spans="1:6" ht="16">
      <c r="A38" s="75" t="s">
        <v>961</v>
      </c>
      <c r="B38" s="68" t="s">
        <v>502</v>
      </c>
      <c r="C38" s="68" t="s">
        <v>1422</v>
      </c>
      <c r="D38" s="70" t="s">
        <v>1412</v>
      </c>
      <c r="E38" s="69" t="s">
        <v>1423</v>
      </c>
      <c r="F38" s="78" t="s">
        <v>1014</v>
      </c>
    </row>
    <row r="39" spans="1:6" ht="16">
      <c r="A39" s="75" t="s">
        <v>962</v>
      </c>
      <c r="B39" s="68" t="s">
        <v>502</v>
      </c>
      <c r="C39" s="68" t="s">
        <v>1424</v>
      </c>
      <c r="D39" s="70" t="s">
        <v>1412</v>
      </c>
      <c r="E39" s="69" t="s">
        <v>1425</v>
      </c>
      <c r="F39" s="78" t="s">
        <v>1014</v>
      </c>
    </row>
    <row r="40" spans="1:6" ht="16">
      <c r="A40" s="75" t="s">
        <v>965</v>
      </c>
      <c r="B40" s="68" t="s">
        <v>502</v>
      </c>
      <c r="C40" s="68" t="s">
        <v>1426</v>
      </c>
      <c r="D40" s="70" t="s">
        <v>1412</v>
      </c>
      <c r="E40" s="69" t="s">
        <v>1427</v>
      </c>
      <c r="F40" s="78" t="s">
        <v>1014</v>
      </c>
    </row>
    <row r="41" spans="1:6" ht="16">
      <c r="A41" s="75" t="s">
        <v>966</v>
      </c>
      <c r="B41" s="68" t="s">
        <v>502</v>
      </c>
      <c r="C41" s="68" t="s">
        <v>1428</v>
      </c>
      <c r="D41" s="70" t="s">
        <v>1412</v>
      </c>
      <c r="E41" s="69" t="s">
        <v>1429</v>
      </c>
      <c r="F41" s="78" t="s">
        <v>1014</v>
      </c>
    </row>
    <row r="42" spans="1:6" ht="16">
      <c r="A42" s="75" t="s">
        <v>967</v>
      </c>
      <c r="B42" s="68" t="s">
        <v>502</v>
      </c>
      <c r="C42" s="68" t="s">
        <v>1430</v>
      </c>
      <c r="D42" s="70" t="s">
        <v>1412</v>
      </c>
      <c r="E42" s="69" t="s">
        <v>1431</v>
      </c>
      <c r="F42" s="78" t="s">
        <v>1014</v>
      </c>
    </row>
    <row r="43" spans="1:6" ht="16">
      <c r="A43" s="75" t="s">
        <v>969</v>
      </c>
      <c r="B43" s="68" t="s">
        <v>502</v>
      </c>
      <c r="C43" s="68" t="s">
        <v>1432</v>
      </c>
      <c r="D43" s="70" t="s">
        <v>1412</v>
      </c>
      <c r="E43" s="69" t="s">
        <v>1433</v>
      </c>
      <c r="F43" s="78" t="s">
        <v>1014</v>
      </c>
    </row>
    <row r="44" spans="1:6" ht="16">
      <c r="A44" s="75" t="s">
        <v>970</v>
      </c>
      <c r="B44" s="68" t="s">
        <v>502</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511</v>
      </c>
      <c r="C49" s="68" t="s">
        <v>1444</v>
      </c>
      <c r="D49" s="70" t="s">
        <v>1412</v>
      </c>
      <c r="E49" s="69" t="s">
        <v>1445</v>
      </c>
      <c r="F49" s="78" t="s">
        <v>1014</v>
      </c>
    </row>
    <row r="50" spans="1:6" ht="16">
      <c r="A50" s="75" t="s">
        <v>978</v>
      </c>
      <c r="B50" s="68" t="s">
        <v>511</v>
      </c>
      <c r="C50" s="68" t="s">
        <v>1446</v>
      </c>
      <c r="D50" s="70" t="s">
        <v>1412</v>
      </c>
      <c r="E50" s="69" t="s">
        <v>1447</v>
      </c>
      <c r="F50" s="78" t="s">
        <v>1014</v>
      </c>
    </row>
    <row r="51" spans="1:6" ht="16">
      <c r="A51" s="75" t="s">
        <v>979</v>
      </c>
      <c r="B51" s="68" t="s">
        <v>511</v>
      </c>
      <c r="C51" s="68" t="s">
        <v>1448</v>
      </c>
      <c r="D51" s="70" t="s">
        <v>1412</v>
      </c>
      <c r="E51" s="69" t="s">
        <v>1449</v>
      </c>
      <c r="F51" s="78" t="s">
        <v>1014</v>
      </c>
    </row>
    <row r="52" spans="1:6" ht="16">
      <c r="A52" s="75" t="s">
        <v>1233</v>
      </c>
      <c r="B52" s="68" t="s">
        <v>514</v>
      </c>
      <c r="C52" s="68" t="s">
        <v>1234</v>
      </c>
      <c r="D52" s="70" t="s">
        <v>1412</v>
      </c>
      <c r="E52" s="69" t="s">
        <v>1450</v>
      </c>
      <c r="F52" s="78" t="s">
        <v>1014</v>
      </c>
    </row>
    <row r="53" spans="1:6" ht="16">
      <c r="A53" s="75" t="s">
        <v>1235</v>
      </c>
      <c r="B53" s="68" t="s">
        <v>514</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49" priority="1">
      <formula>$D6="スコープ増"</formula>
    </cfRule>
  </conditionalFormatting>
  <conditionalFormatting sqref="A6:F55">
    <cfRule type="expression" dxfId="48" priority="2">
      <formula>$D6="要件側の書き漏れ"</formula>
    </cfRule>
  </conditionalFormatting>
  <conditionalFormatting sqref="A6:F55">
    <cfRule type="expression" dxfId="47" priority="3">
      <formula>$D6="参照漏れ"</formula>
    </cfRule>
  </conditionalFormatting>
  <conditionalFormatting sqref="A6:F55">
    <cfRule type="expression" dxfId="46" priority="4">
      <formula>$D6="内部技術判断"</formula>
    </cfRule>
  </conditionalFormatting>
  <conditionalFormatting sqref="A6:F55">
    <cfRule type="expression" dxfId="45"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2854</v>
      </c>
    </row>
    <row r="2" spans="1:9">
      <c r="A2" s="3" t="s">
        <v>2855</v>
      </c>
    </row>
    <row r="3" spans="1:9">
      <c r="A3" s="54" t="s">
        <v>5244</v>
      </c>
    </row>
    <row r="4" spans="1:9" ht="22" customHeight="1"/>
    <row r="5" spans="1:9" ht="22" customHeight="1">
      <c r="A5" s="9" t="s">
        <v>1497</v>
      </c>
      <c r="B5" s="10" t="s">
        <v>1498</v>
      </c>
      <c r="C5" s="10" t="s">
        <v>1499</v>
      </c>
      <c r="D5" s="10" t="s">
        <v>2856</v>
      </c>
      <c r="E5" s="11" t="s">
        <v>2857</v>
      </c>
      <c r="G5" s="161" t="s">
        <v>3023</v>
      </c>
    </row>
    <row r="6" spans="1:9">
      <c r="A6" s="50" t="s">
        <v>2858</v>
      </c>
      <c r="B6" s="6" t="s">
        <v>2859</v>
      </c>
      <c r="C6" s="12" t="s">
        <v>2860</v>
      </c>
      <c r="D6" s="187" t="s">
        <v>3024</v>
      </c>
      <c r="E6" s="185"/>
      <c r="G6" s="20" t="s">
        <v>1499</v>
      </c>
      <c r="H6" s="22" t="s">
        <v>1113</v>
      </c>
    </row>
    <row r="7" spans="1:9">
      <c r="A7" s="50" t="s">
        <v>2861</v>
      </c>
      <c r="B7" s="6" t="s">
        <v>2862</v>
      </c>
      <c r="C7" s="12" t="s">
        <v>2860</v>
      </c>
      <c r="D7" s="187" t="s">
        <v>3024</v>
      </c>
      <c r="E7" s="185"/>
      <c r="G7" s="23" t="s">
        <v>2871</v>
      </c>
      <c r="H7" s="162">
        <f>COUNTIF($C$6:$C$72,$G7)</f>
        <v>48</v>
      </c>
    </row>
    <row r="8" spans="1:9">
      <c r="A8" s="50" t="s">
        <v>2863</v>
      </c>
      <c r="B8" s="6" t="s">
        <v>2864</v>
      </c>
      <c r="C8" s="12" t="s">
        <v>2860</v>
      </c>
      <c r="D8" s="187" t="s">
        <v>3024</v>
      </c>
      <c r="E8" s="185"/>
      <c r="G8" s="23" t="s">
        <v>2860</v>
      </c>
      <c r="H8" s="162">
        <f>COUNTIF($C$6:$C$72,$G8)</f>
        <v>12</v>
      </c>
    </row>
    <row r="9" spans="1:9">
      <c r="A9" s="50" t="s">
        <v>2865</v>
      </c>
      <c r="B9" s="6" t="s">
        <v>2866</v>
      </c>
      <c r="C9" s="12" t="s">
        <v>2860</v>
      </c>
      <c r="D9" s="187" t="s">
        <v>3024</v>
      </c>
      <c r="E9" s="185"/>
      <c r="G9" s="23" t="s">
        <v>2988</v>
      </c>
      <c r="H9" s="162">
        <f>COUNTIF($C$6:$C$72,$G9)</f>
        <v>1</v>
      </c>
    </row>
    <row r="10" spans="1:9">
      <c r="A10" s="50" t="s">
        <v>2867</v>
      </c>
      <c r="B10" s="6" t="s">
        <v>2868</v>
      </c>
      <c r="C10" s="12" t="s">
        <v>2860</v>
      </c>
      <c r="D10" s="187" t="s">
        <v>3024</v>
      </c>
      <c r="E10" s="185"/>
      <c r="G10" s="23" t="s">
        <v>2992</v>
      </c>
      <c r="H10" s="162">
        <f>COUNTIF($C$6:$C$72,$G10)</f>
        <v>1</v>
      </c>
    </row>
    <row r="11" spans="1:9">
      <c r="A11" s="50" t="s">
        <v>2869</v>
      </c>
      <c r="B11" s="6" t="s">
        <v>2870</v>
      </c>
      <c r="C11" s="12" t="s">
        <v>2871</v>
      </c>
      <c r="D11" s="187" t="s">
        <v>3024</v>
      </c>
      <c r="E11" s="185"/>
      <c r="G11" s="23" t="s">
        <v>2940</v>
      </c>
      <c r="H11" s="162">
        <f>COUNTIF($C$6:$C$72,$G11)</f>
        <v>2</v>
      </c>
    </row>
    <row r="12" spans="1:9">
      <c r="A12" s="50" t="s">
        <v>2872</v>
      </c>
      <c r="B12" s="6" t="s">
        <v>2873</v>
      </c>
      <c r="C12" s="12" t="s">
        <v>2860</v>
      </c>
      <c r="D12" s="187" t="s">
        <v>3025</v>
      </c>
      <c r="E12" s="185"/>
      <c r="G12" s="23" t="s">
        <v>2952</v>
      </c>
      <c r="H12" s="162">
        <f>COUNTIF($C$6:$C$72,$G12)</f>
        <v>1</v>
      </c>
    </row>
    <row r="13" spans="1:9">
      <c r="A13" s="50" t="s">
        <v>2874</v>
      </c>
      <c r="B13" s="6" t="s">
        <v>2875</v>
      </c>
      <c r="C13" s="12" t="s">
        <v>2860</v>
      </c>
      <c r="D13" s="187" t="s">
        <v>3026</v>
      </c>
      <c r="E13" s="185"/>
      <c r="G13" s="25" t="s">
        <v>6</v>
      </c>
      <c r="H13" s="163">
        <f>SUM(H7:H12)</f>
        <v>65</v>
      </c>
      <c r="I13" s="49" t="str">
        <f>IF(H13=COUNTA($A$6:$A$72),"✓ 明細行数と一致","⚠ 不一致")</f>
        <v>⚠ 不一致</v>
      </c>
    </row>
    <row r="14" spans="1:9">
      <c r="A14" s="50" t="s">
        <v>2876</v>
      </c>
      <c r="B14" s="6" t="s">
        <v>2877</v>
      </c>
      <c r="C14" s="12" t="s">
        <v>2860</v>
      </c>
      <c r="D14" s="187" t="s">
        <v>3027</v>
      </c>
      <c r="E14" s="185"/>
    </row>
    <row r="15" spans="1:9">
      <c r="A15" s="50" t="s">
        <v>2878</v>
      </c>
      <c r="B15" s="6" t="s">
        <v>2879</v>
      </c>
      <c r="C15" s="12" t="s">
        <v>2860</v>
      </c>
      <c r="D15" s="187" t="s">
        <v>3028</v>
      </c>
      <c r="E15" s="185"/>
    </row>
    <row r="16" spans="1:9">
      <c r="A16" s="50" t="s">
        <v>2880</v>
      </c>
      <c r="B16" s="6" t="s">
        <v>2881</v>
      </c>
      <c r="C16" s="12" t="s">
        <v>2871</v>
      </c>
      <c r="D16" s="187" t="s">
        <v>3028</v>
      </c>
      <c r="E16" s="185" t="s">
        <v>2882</v>
      </c>
    </row>
    <row r="17" spans="1:5">
      <c r="A17" s="50" t="s">
        <v>2883</v>
      </c>
      <c r="B17" s="6" t="s">
        <v>2884</v>
      </c>
      <c r="C17" s="12" t="s">
        <v>2860</v>
      </c>
      <c r="D17" s="187" t="s">
        <v>3029</v>
      </c>
      <c r="E17" s="185"/>
    </row>
    <row r="18" spans="1:5">
      <c r="A18" s="50" t="s">
        <v>2885</v>
      </c>
      <c r="B18" s="6" t="s">
        <v>2886</v>
      </c>
      <c r="C18" s="12" t="s">
        <v>2871</v>
      </c>
      <c r="D18" s="187" t="s">
        <v>3030</v>
      </c>
      <c r="E18" s="185"/>
    </row>
    <row r="19" spans="1:5">
      <c r="A19" s="50" t="s">
        <v>2887</v>
      </c>
      <c r="B19" s="6" t="s">
        <v>2888</v>
      </c>
      <c r="C19" s="12" t="s">
        <v>2871</v>
      </c>
      <c r="D19" s="187" t="s">
        <v>3030</v>
      </c>
      <c r="E19" s="185"/>
    </row>
    <row r="20" spans="1:5">
      <c r="A20" s="50" t="s">
        <v>2889</v>
      </c>
      <c r="B20" s="6" t="s">
        <v>2890</v>
      </c>
      <c r="C20" s="12" t="s">
        <v>2871</v>
      </c>
      <c r="D20" s="187" t="s">
        <v>3030</v>
      </c>
      <c r="E20" s="185"/>
    </row>
    <row r="21" spans="1:5">
      <c r="A21" s="50" t="s">
        <v>2891</v>
      </c>
      <c r="B21" s="6" t="s">
        <v>2892</v>
      </c>
      <c r="C21" s="12" t="s">
        <v>2871</v>
      </c>
      <c r="D21" s="187" t="s">
        <v>3031</v>
      </c>
      <c r="E21" s="185" t="s">
        <v>2893</v>
      </c>
    </row>
    <row r="22" spans="1:5">
      <c r="A22" s="50" t="s">
        <v>2894</v>
      </c>
      <c r="B22" s="6" t="s">
        <v>2895</v>
      </c>
      <c r="C22" s="12" t="s">
        <v>2871</v>
      </c>
      <c r="D22" s="187" t="s">
        <v>2896</v>
      </c>
      <c r="E22" s="185" t="s">
        <v>2897</v>
      </c>
    </row>
    <row r="23" spans="1:5">
      <c r="A23" s="50" t="s">
        <v>2898</v>
      </c>
      <c r="B23" s="6" t="s">
        <v>2899</v>
      </c>
      <c r="C23" s="12" t="s">
        <v>2871</v>
      </c>
      <c r="D23" s="187" t="s">
        <v>3032</v>
      </c>
      <c r="E23" s="185"/>
    </row>
    <row r="24" spans="1:5">
      <c r="A24" s="50" t="s">
        <v>2900</v>
      </c>
      <c r="B24" s="6" t="s">
        <v>2901</v>
      </c>
      <c r="C24" s="12" t="s">
        <v>2871</v>
      </c>
      <c r="D24" s="187" t="s">
        <v>3032</v>
      </c>
      <c r="E24" s="185"/>
    </row>
    <row r="25" spans="1:5">
      <c r="A25" s="50" t="s">
        <v>2902</v>
      </c>
      <c r="B25" s="6" t="s">
        <v>2903</v>
      </c>
      <c r="C25" s="12" t="s">
        <v>2871</v>
      </c>
      <c r="D25" s="187" t="s">
        <v>3032</v>
      </c>
      <c r="E25" s="185"/>
    </row>
    <row r="26" spans="1:5">
      <c r="A26" s="50" t="s">
        <v>2904</v>
      </c>
      <c r="B26" s="6" t="s">
        <v>2905</v>
      </c>
      <c r="C26" s="12" t="s">
        <v>2871</v>
      </c>
      <c r="D26" s="187" t="s">
        <v>3032</v>
      </c>
      <c r="E26" s="185"/>
    </row>
    <row r="27" spans="1:5">
      <c r="A27" s="50" t="s">
        <v>2906</v>
      </c>
      <c r="B27" s="6" t="s">
        <v>2907</v>
      </c>
      <c r="C27" s="12" t="s">
        <v>2871</v>
      </c>
      <c r="D27" s="187" t="s">
        <v>3032</v>
      </c>
      <c r="E27" s="185"/>
    </row>
    <row r="28" spans="1:5">
      <c r="A28" s="50" t="s">
        <v>2908</v>
      </c>
      <c r="B28" s="6" t="s">
        <v>2909</v>
      </c>
      <c r="C28" s="12" t="s">
        <v>2871</v>
      </c>
      <c r="D28" s="187" t="s">
        <v>3033</v>
      </c>
      <c r="E28" s="185" t="s">
        <v>2910</v>
      </c>
    </row>
    <row r="29" spans="1:5">
      <c r="A29" s="50" t="s">
        <v>2911</v>
      </c>
      <c r="B29" s="6" t="s">
        <v>2912</v>
      </c>
      <c r="C29" s="12" t="s">
        <v>2871</v>
      </c>
      <c r="D29" s="187" t="s">
        <v>3033</v>
      </c>
      <c r="E29" s="185"/>
    </row>
    <row r="30" spans="1:5">
      <c r="A30" s="50" t="s">
        <v>2913</v>
      </c>
      <c r="B30" s="6" t="s">
        <v>2914</v>
      </c>
      <c r="C30" s="12" t="s">
        <v>2871</v>
      </c>
      <c r="D30" s="187" t="s">
        <v>3033</v>
      </c>
      <c r="E30" s="185" t="s">
        <v>2915</v>
      </c>
    </row>
    <row r="31" spans="1:5">
      <c r="A31" s="50" t="s">
        <v>2916</v>
      </c>
      <c r="B31" s="6" t="s">
        <v>2917</v>
      </c>
      <c r="C31" s="12" t="s">
        <v>2871</v>
      </c>
      <c r="D31" s="187" t="s">
        <v>3033</v>
      </c>
      <c r="E31" s="185"/>
    </row>
    <row r="32" spans="1:5">
      <c r="A32" s="50" t="s">
        <v>2918</v>
      </c>
      <c r="B32" s="6" t="s">
        <v>2919</v>
      </c>
      <c r="C32" s="12" t="s">
        <v>2871</v>
      </c>
      <c r="D32" s="187" t="s">
        <v>3033</v>
      </c>
      <c r="E32" s="185"/>
    </row>
    <row r="33" spans="1:9">
      <c r="A33" s="301" t="s">
        <v>2920</v>
      </c>
      <c r="B33" s="302" t="s">
        <v>2921</v>
      </c>
      <c r="C33" s="303" t="s">
        <v>5240</v>
      </c>
      <c r="D33" s="304" t="s">
        <v>3033</v>
      </c>
      <c r="E33" s="305" t="s">
        <v>5241</v>
      </c>
      <c r="F33" s="253"/>
      <c r="G33" s="253"/>
      <c r="H33" s="253"/>
      <c r="I33" s="253"/>
    </row>
    <row r="34" spans="1:9">
      <c r="A34" s="301" t="s">
        <v>2922</v>
      </c>
      <c r="B34" s="302" t="s">
        <v>2923</v>
      </c>
      <c r="C34" s="303" t="s">
        <v>5240</v>
      </c>
      <c r="D34" s="304" t="s">
        <v>3033</v>
      </c>
      <c r="E34" s="305" t="s">
        <v>5242</v>
      </c>
      <c r="F34" s="253"/>
      <c r="G34" s="253"/>
      <c r="H34" s="253"/>
      <c r="I34" s="253"/>
    </row>
    <row r="35" spans="1:9">
      <c r="A35" s="50" t="s">
        <v>2924</v>
      </c>
      <c r="B35" s="6" t="s">
        <v>2925</v>
      </c>
      <c r="C35" s="12" t="s">
        <v>2871</v>
      </c>
      <c r="D35" s="187" t="s">
        <v>3033</v>
      </c>
      <c r="E35" s="185"/>
    </row>
    <row r="36" spans="1:9">
      <c r="A36" s="50" t="s">
        <v>2926</v>
      </c>
      <c r="B36" s="6" t="s">
        <v>2927</v>
      </c>
      <c r="C36" s="12" t="s">
        <v>2871</v>
      </c>
      <c r="D36" s="187" t="s">
        <v>3033</v>
      </c>
      <c r="E36" s="185"/>
    </row>
    <row r="37" spans="1:9">
      <c r="A37" s="50" t="s">
        <v>2928</v>
      </c>
      <c r="B37" s="6" t="s">
        <v>2929</v>
      </c>
      <c r="C37" s="12" t="s">
        <v>2871</v>
      </c>
      <c r="D37" s="187" t="s">
        <v>3032</v>
      </c>
      <c r="E37" s="185"/>
    </row>
    <row r="38" spans="1:9">
      <c r="A38" s="50" t="s">
        <v>2930</v>
      </c>
      <c r="B38" s="6" t="s">
        <v>2931</v>
      </c>
      <c r="C38" s="12" t="s">
        <v>2871</v>
      </c>
      <c r="D38" s="187" t="s">
        <v>2932</v>
      </c>
      <c r="E38" s="185" t="s">
        <v>2933</v>
      </c>
    </row>
    <row r="39" spans="1:9">
      <c r="A39" s="50" t="s">
        <v>2934</v>
      </c>
      <c r="B39" s="6" t="s">
        <v>2935</v>
      </c>
      <c r="C39" s="12" t="s">
        <v>2871</v>
      </c>
      <c r="D39" s="187" t="s">
        <v>3034</v>
      </c>
      <c r="E39" s="185"/>
    </row>
    <row r="40" spans="1:9">
      <c r="A40" s="50" t="s">
        <v>2936</v>
      </c>
      <c r="B40" s="6" t="s">
        <v>2937</v>
      </c>
      <c r="C40" s="12" t="s">
        <v>2871</v>
      </c>
      <c r="D40" s="187" t="s">
        <v>3034</v>
      </c>
      <c r="E40" s="185"/>
    </row>
    <row r="41" spans="1:9">
      <c r="A41" s="50" t="s">
        <v>2938</v>
      </c>
      <c r="B41" s="6" t="s">
        <v>2939</v>
      </c>
      <c r="C41" s="12" t="s">
        <v>2940</v>
      </c>
      <c r="D41" s="187" t="s">
        <v>3034</v>
      </c>
      <c r="E41" s="185" t="s">
        <v>2941</v>
      </c>
    </row>
    <row r="42" spans="1:9">
      <c r="A42" s="50" t="s">
        <v>2942</v>
      </c>
      <c r="B42" s="6" t="s">
        <v>2943</v>
      </c>
      <c r="C42" s="12" t="s">
        <v>2871</v>
      </c>
      <c r="D42" s="187" t="s">
        <v>3034</v>
      </c>
      <c r="E42" s="185"/>
    </row>
    <row r="43" spans="1:9">
      <c r="A43" s="50" t="s">
        <v>2944</v>
      </c>
      <c r="B43" s="6" t="s">
        <v>2945</v>
      </c>
      <c r="C43" s="12" t="s">
        <v>2871</v>
      </c>
      <c r="D43" s="187" t="s">
        <v>3034</v>
      </c>
      <c r="E43" s="185"/>
    </row>
    <row r="44" spans="1:9">
      <c r="A44" s="50" t="s">
        <v>2946</v>
      </c>
      <c r="B44" s="6" t="s">
        <v>2947</v>
      </c>
      <c r="C44" s="12" t="s">
        <v>2871</v>
      </c>
      <c r="D44" s="187" t="s">
        <v>2948</v>
      </c>
      <c r="E44" s="185" t="s">
        <v>2949</v>
      </c>
    </row>
    <row r="45" spans="1:9">
      <c r="A45" s="50" t="s">
        <v>2950</v>
      </c>
      <c r="B45" s="6" t="s">
        <v>2951</v>
      </c>
      <c r="C45" s="12" t="s">
        <v>2952</v>
      </c>
      <c r="D45" s="187" t="s">
        <v>3035</v>
      </c>
      <c r="E45" s="185" t="s">
        <v>2953</v>
      </c>
    </row>
    <row r="46" spans="1:9">
      <c r="A46" s="50" t="s">
        <v>2954</v>
      </c>
      <c r="B46" s="6" t="s">
        <v>2955</v>
      </c>
      <c r="C46" s="12" t="s">
        <v>2871</v>
      </c>
      <c r="D46" s="187" t="s">
        <v>2948</v>
      </c>
      <c r="E46" s="185" t="s">
        <v>2956</v>
      </c>
    </row>
    <row r="47" spans="1:9">
      <c r="A47" s="50" t="s">
        <v>2957</v>
      </c>
      <c r="B47" s="6" t="s">
        <v>2958</v>
      </c>
      <c r="C47" s="12" t="s">
        <v>2871</v>
      </c>
      <c r="D47" s="187" t="s">
        <v>3035</v>
      </c>
      <c r="E47" s="185"/>
    </row>
    <row r="48" spans="1:9">
      <c r="A48" s="50" t="s">
        <v>2959</v>
      </c>
      <c r="B48" s="6" t="s">
        <v>2960</v>
      </c>
      <c r="C48" s="12" t="s">
        <v>2871</v>
      </c>
      <c r="D48" s="187" t="s">
        <v>3035</v>
      </c>
      <c r="E48" s="185" t="s">
        <v>2961</v>
      </c>
    </row>
    <row r="49" spans="1:9">
      <c r="A49" s="50" t="s">
        <v>2962</v>
      </c>
      <c r="B49" s="6" t="s">
        <v>2963</v>
      </c>
      <c r="C49" s="12" t="s">
        <v>2871</v>
      </c>
      <c r="D49" s="187" t="s">
        <v>3035</v>
      </c>
      <c r="E49" s="185"/>
    </row>
    <row r="50" spans="1:9">
      <c r="A50" s="50" t="s">
        <v>2964</v>
      </c>
      <c r="B50" s="6" t="s">
        <v>2965</v>
      </c>
      <c r="C50" s="12" t="s">
        <v>2871</v>
      </c>
      <c r="D50" s="187" t="s">
        <v>3035</v>
      </c>
      <c r="E50" s="185"/>
    </row>
    <row r="51" spans="1:9">
      <c r="A51" s="50" t="s">
        <v>2966</v>
      </c>
      <c r="B51" s="6" t="s">
        <v>2967</v>
      </c>
      <c r="C51" s="12" t="s">
        <v>2871</v>
      </c>
      <c r="D51" s="187" t="s">
        <v>3035</v>
      </c>
      <c r="E51" s="185"/>
    </row>
    <row r="52" spans="1:9">
      <c r="A52" s="50" t="s">
        <v>2968</v>
      </c>
      <c r="B52" s="6" t="s">
        <v>2969</v>
      </c>
      <c r="C52" s="12" t="s">
        <v>2871</v>
      </c>
      <c r="D52" s="187" t="s">
        <v>3035</v>
      </c>
      <c r="E52" s="185"/>
    </row>
    <row r="53" spans="1:9">
      <c r="A53" s="50" t="s">
        <v>2970</v>
      </c>
      <c r="B53" s="6" t="s">
        <v>2971</v>
      </c>
      <c r="C53" s="12" t="s">
        <v>2871</v>
      </c>
      <c r="D53" s="187" t="s">
        <v>3035</v>
      </c>
      <c r="E53" s="185"/>
    </row>
    <row r="54" spans="1:9">
      <c r="A54" s="50" t="s">
        <v>2972</v>
      </c>
      <c r="B54" s="6" t="s">
        <v>2973</v>
      </c>
      <c r="C54" s="12" t="s">
        <v>2871</v>
      </c>
      <c r="D54" s="187" t="s">
        <v>3035</v>
      </c>
      <c r="E54" s="185"/>
    </row>
    <row r="55" spans="1:9">
      <c r="A55" s="50" t="s">
        <v>2974</v>
      </c>
      <c r="B55" s="6" t="s">
        <v>2975</v>
      </c>
      <c r="C55" s="12" t="s">
        <v>2871</v>
      </c>
      <c r="D55" s="187" t="s">
        <v>3035</v>
      </c>
      <c r="E55" s="185"/>
    </row>
    <row r="56" spans="1:9">
      <c r="A56" s="50" t="s">
        <v>2976</v>
      </c>
      <c r="B56" s="6" t="s">
        <v>2977</v>
      </c>
      <c r="C56" s="12" t="s">
        <v>2871</v>
      </c>
      <c r="D56" s="187" t="s">
        <v>2948</v>
      </c>
      <c r="E56" s="185" t="s">
        <v>2978</v>
      </c>
    </row>
    <row r="57" spans="1:9">
      <c r="A57" s="306" t="s">
        <v>2979</v>
      </c>
      <c r="B57" s="294" t="s">
        <v>2980</v>
      </c>
      <c r="C57" s="297" t="s">
        <v>2940</v>
      </c>
      <c r="D57" s="307" t="s">
        <v>3035</v>
      </c>
      <c r="E57" s="308" t="s">
        <v>5243</v>
      </c>
      <c r="F57" s="246"/>
      <c r="G57" s="246"/>
      <c r="H57" s="246"/>
      <c r="I57" s="246"/>
    </row>
    <row r="58" spans="1:9">
      <c r="A58" s="50" t="s">
        <v>2981</v>
      </c>
      <c r="B58" s="6" t="s">
        <v>2982</v>
      </c>
      <c r="C58" s="12" t="s">
        <v>2871</v>
      </c>
      <c r="D58" s="187" t="s">
        <v>3035</v>
      </c>
      <c r="E58" s="185"/>
    </row>
    <row r="59" spans="1:9">
      <c r="A59" s="50" t="s">
        <v>2983</v>
      </c>
      <c r="B59" s="6" t="s">
        <v>2984</v>
      </c>
      <c r="C59" s="12" t="s">
        <v>2871</v>
      </c>
      <c r="D59" s="187" t="s">
        <v>3036</v>
      </c>
      <c r="E59" s="185" t="s">
        <v>2985</v>
      </c>
    </row>
    <row r="60" spans="1:9">
      <c r="A60" s="50" t="s">
        <v>2986</v>
      </c>
      <c r="B60" s="6" t="s">
        <v>2987</v>
      </c>
      <c r="C60" s="12" t="s">
        <v>2988</v>
      </c>
      <c r="D60" s="187" t="s">
        <v>3037</v>
      </c>
      <c r="E60" s="185" t="s">
        <v>2989</v>
      </c>
    </row>
    <row r="61" spans="1:9">
      <c r="A61" s="50" t="s">
        <v>2990</v>
      </c>
      <c r="B61" s="6" t="s">
        <v>2991</v>
      </c>
      <c r="C61" s="12" t="s">
        <v>2992</v>
      </c>
      <c r="D61" s="187" t="s">
        <v>2993</v>
      </c>
      <c r="E61" s="185" t="s">
        <v>2994</v>
      </c>
    </row>
    <row r="62" spans="1:9">
      <c r="A62" s="50" t="s">
        <v>2995</v>
      </c>
      <c r="B62" s="6" t="s">
        <v>2996</v>
      </c>
      <c r="C62" s="12" t="s">
        <v>2871</v>
      </c>
      <c r="D62" s="187" t="s">
        <v>3038</v>
      </c>
      <c r="E62" s="185" t="s">
        <v>2997</v>
      </c>
    </row>
    <row r="63" spans="1:9">
      <c r="A63" s="50" t="s">
        <v>2998</v>
      </c>
      <c r="B63" s="6" t="s">
        <v>2999</v>
      </c>
      <c r="C63" s="12" t="s">
        <v>2860</v>
      </c>
      <c r="D63" s="187" t="s">
        <v>3039</v>
      </c>
      <c r="E63" s="185" t="s">
        <v>3000</v>
      </c>
    </row>
    <row r="64" spans="1:9">
      <c r="A64" s="50" t="s">
        <v>3001</v>
      </c>
      <c r="B64" s="6" t="s">
        <v>3002</v>
      </c>
      <c r="C64" s="12" t="s">
        <v>2871</v>
      </c>
      <c r="D64" s="187" t="s">
        <v>3038</v>
      </c>
      <c r="E64" s="185" t="s">
        <v>3003</v>
      </c>
    </row>
    <row r="65" spans="1:5">
      <c r="A65" s="50" t="s">
        <v>3004</v>
      </c>
      <c r="B65" s="6" t="s">
        <v>3005</v>
      </c>
      <c r="C65" s="12" t="s">
        <v>2871</v>
      </c>
      <c r="D65" s="187" t="s">
        <v>3040</v>
      </c>
      <c r="E65" s="185" t="s">
        <v>3006</v>
      </c>
    </row>
    <row r="66" spans="1:5">
      <c r="A66" s="50" t="s">
        <v>3007</v>
      </c>
      <c r="B66" s="6" t="s">
        <v>3008</v>
      </c>
      <c r="C66" s="12" t="s">
        <v>2860</v>
      </c>
      <c r="D66" s="187" t="s">
        <v>3009</v>
      </c>
      <c r="E66" s="185" t="s">
        <v>3010</v>
      </c>
    </row>
    <row r="67" spans="1:5">
      <c r="A67" s="50" t="s">
        <v>3011</v>
      </c>
      <c r="B67" s="6" t="s">
        <v>3012</v>
      </c>
      <c r="C67" s="12" t="s">
        <v>2871</v>
      </c>
      <c r="D67" s="187" t="s">
        <v>3013</v>
      </c>
      <c r="E67" s="185" t="s">
        <v>3014</v>
      </c>
    </row>
    <row r="68" spans="1:5">
      <c r="A68" s="50" t="s">
        <v>3015</v>
      </c>
      <c r="B68" s="6" t="s">
        <v>3016</v>
      </c>
      <c r="C68" s="12" t="s">
        <v>2871</v>
      </c>
      <c r="D68" s="187" t="s">
        <v>3041</v>
      </c>
      <c r="E68" s="185" t="s">
        <v>3017</v>
      </c>
    </row>
    <row r="69" spans="1:5">
      <c r="A69" s="50" t="s">
        <v>2783</v>
      </c>
      <c r="B69" s="6" t="s">
        <v>3018</v>
      </c>
      <c r="C69" s="12" t="s">
        <v>2871</v>
      </c>
      <c r="D69" s="187" t="s">
        <v>3042</v>
      </c>
      <c r="E69" s="185" t="s">
        <v>3019</v>
      </c>
    </row>
    <row r="70" spans="1:5">
      <c r="A70" s="50" t="s">
        <v>1500</v>
      </c>
      <c r="B70" s="6" t="s">
        <v>1529</v>
      </c>
      <c r="C70" s="12" t="s">
        <v>2871</v>
      </c>
      <c r="D70" s="187" t="s">
        <v>3043</v>
      </c>
      <c r="E70" s="185" t="s">
        <v>3020</v>
      </c>
    </row>
    <row r="71" spans="1:5">
      <c r="A71" s="50" t="s">
        <v>1501</v>
      </c>
      <c r="B71" s="6" t="s">
        <v>1502</v>
      </c>
      <c r="C71" s="12" t="s">
        <v>2871</v>
      </c>
      <c r="D71" s="187" t="s">
        <v>3043</v>
      </c>
      <c r="E71" s="185" t="s">
        <v>3021</v>
      </c>
    </row>
    <row r="72" spans="1:5">
      <c r="A72" s="51" t="s">
        <v>1503</v>
      </c>
      <c r="B72" s="8" t="s">
        <v>1504</v>
      </c>
      <c r="C72" s="13" t="s">
        <v>2871</v>
      </c>
      <c r="D72" s="188" t="s">
        <v>3043</v>
      </c>
      <c r="E72" s="186" t="s">
        <v>3022</v>
      </c>
    </row>
  </sheetData>
  <autoFilter ref="A5:E72" xr:uid="{A4DEADF9-EFAE-A14D-BC4F-3F04ADDCB1E4}"/>
  <phoneticPr fontId="2"/>
  <conditionalFormatting sqref="A6:E72">
    <cfRule type="expression" dxfId="44" priority="1">
      <formula>$C6="Accepted"</formula>
    </cfRule>
  </conditionalFormatting>
  <conditionalFormatting sqref="A6:E72">
    <cfRule type="expression" dxfId="43" priority="2">
      <formula>$C6="Accepted (Phase 1)"</formula>
    </cfRule>
  </conditionalFormatting>
  <conditionalFormatting sqref="A6:E72">
    <cfRule type="expression" dxfId="42" priority="3">
      <formula>$C6="Accepted（条件付き）"</formula>
    </cfRule>
  </conditionalFormatting>
  <conditionalFormatting sqref="A6:E72">
    <cfRule type="expression" dxfId="41" priority="4">
      <formula>$C6="Scope Reduced"</formula>
    </cfRule>
  </conditionalFormatting>
  <conditionalFormatting sqref="A6:E72">
    <cfRule type="expression" dxfId="40" priority="5">
      <formula>$C6="Out of Scope"</formula>
    </cfRule>
  </conditionalFormatting>
  <conditionalFormatting sqref="A6:E72">
    <cfRule type="expression" dxfId="39"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6" activePane="bottomLeft" state="frozen"/>
      <selection pane="bottomLeft" activeCell="D5" sqref="D5"/>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3061</v>
      </c>
    </row>
    <row r="2" spans="1:16">
      <c r="A2" s="3" t="s">
        <v>3062</v>
      </c>
    </row>
    <row r="3" spans="1:16">
      <c r="A3" s="55" t="s">
        <v>3063</v>
      </c>
    </row>
    <row r="4" spans="1:16">
      <c r="K4" s="178" t="s">
        <v>3078</v>
      </c>
    </row>
    <row r="5" spans="1:16" ht="24" customHeight="1">
      <c r="A5" s="189" t="s">
        <v>3064</v>
      </c>
      <c r="B5" s="190" t="s">
        <v>8</v>
      </c>
      <c r="C5" s="190" t="s">
        <v>3065</v>
      </c>
      <c r="D5" s="190" t="s">
        <v>1620</v>
      </c>
      <c r="E5" s="190" t="s">
        <v>2829</v>
      </c>
      <c r="F5" s="190" t="s">
        <v>3066</v>
      </c>
      <c r="G5" s="190" t="s">
        <v>3067</v>
      </c>
      <c r="H5" s="190" t="s">
        <v>3068</v>
      </c>
      <c r="I5" s="191" t="s">
        <v>11</v>
      </c>
      <c r="K5" s="197" t="s">
        <v>3064</v>
      </c>
      <c r="L5" s="198" t="s">
        <v>3079</v>
      </c>
      <c r="M5" s="198" t="s">
        <v>3080</v>
      </c>
      <c r="N5" s="198" t="s">
        <v>3081</v>
      </c>
      <c r="O5" s="199" t="s">
        <v>3082</v>
      </c>
      <c r="P5" s="1"/>
    </row>
    <row r="6" spans="1:16">
      <c r="A6" s="5" t="s">
        <v>534</v>
      </c>
      <c r="B6" s="192" t="s">
        <v>535</v>
      </c>
      <c r="C6" s="6" t="s">
        <v>885</v>
      </c>
      <c r="D6" s="12" t="s">
        <v>3069</v>
      </c>
      <c r="E6" s="172">
        <v>25</v>
      </c>
      <c r="F6" s="6" t="s">
        <v>3290</v>
      </c>
      <c r="G6" s="194" t="s">
        <v>537</v>
      </c>
      <c r="H6" s="12" t="s">
        <v>3</v>
      </c>
      <c r="I6" s="14" t="s">
        <v>538</v>
      </c>
      <c r="K6" s="23" t="s">
        <v>534</v>
      </c>
      <c r="L6" s="31">
        <f>COUNTIF($A$6:$A$91,$K6)</f>
        <v>12</v>
      </c>
      <c r="M6" s="31">
        <f>SUMIF($A$6:$A$91,$K6,$E$6:$E$91)</f>
        <v>87</v>
      </c>
      <c r="N6" s="31">
        <v>87</v>
      </c>
      <c r="O6" s="162">
        <f>M6-N6</f>
        <v>0</v>
      </c>
      <c r="P6" s="1"/>
    </row>
    <row r="7" spans="1:16">
      <c r="A7" s="5" t="s">
        <v>534</v>
      </c>
      <c r="B7" s="192" t="s">
        <v>539</v>
      </c>
      <c r="C7" s="6" t="s">
        <v>886</v>
      </c>
      <c r="D7" s="12" t="s">
        <v>3069</v>
      </c>
      <c r="E7" s="172">
        <v>10</v>
      </c>
      <c r="F7" s="6" t="s">
        <v>3281</v>
      </c>
      <c r="G7" s="194" t="s">
        <v>541</v>
      </c>
      <c r="H7" s="12" t="s">
        <v>3</v>
      </c>
      <c r="I7" s="14" t="s">
        <v>542</v>
      </c>
      <c r="K7" s="23" t="s">
        <v>574</v>
      </c>
      <c r="L7" s="31">
        <f>COUNTIF($A$6:$A$91,$K7)</f>
        <v>5</v>
      </c>
      <c r="M7" s="31">
        <f>SUMIF($A$6:$A$91,$K7,$E$6:$E$91)</f>
        <v>24</v>
      </c>
      <c r="N7" s="31">
        <v>22</v>
      </c>
      <c r="O7" s="162">
        <f>M7-N7</f>
        <v>2</v>
      </c>
      <c r="P7" s="1"/>
    </row>
    <row r="8" spans="1:16">
      <c r="A8" s="5" t="s">
        <v>534</v>
      </c>
      <c r="B8" s="192" t="s">
        <v>543</v>
      </c>
      <c r="C8" s="6" t="s">
        <v>887</v>
      </c>
      <c r="D8" s="12" t="s">
        <v>3069</v>
      </c>
      <c r="E8" s="172">
        <v>20</v>
      </c>
      <c r="F8" s="6" t="s">
        <v>544</v>
      </c>
      <c r="G8" s="194" t="s">
        <v>545</v>
      </c>
      <c r="H8" s="12" t="s">
        <v>3</v>
      </c>
      <c r="I8" s="14" t="s">
        <v>538</v>
      </c>
      <c r="K8" s="23" t="s">
        <v>591</v>
      </c>
      <c r="L8" s="31">
        <f>COUNTIF($A$6:$A$91,$K8)</f>
        <v>8</v>
      </c>
      <c r="M8" s="31">
        <f>SUMIF($A$6:$A$91,$K8,$E$6:$E$91)</f>
        <v>17</v>
      </c>
      <c r="N8" s="31">
        <v>17</v>
      </c>
      <c r="O8" s="162">
        <f>M8-N8</f>
        <v>0</v>
      </c>
      <c r="P8" s="1"/>
    </row>
    <row r="9" spans="1:16">
      <c r="A9" s="5" t="s">
        <v>534</v>
      </c>
      <c r="B9" s="192" t="s">
        <v>546</v>
      </c>
      <c r="C9" s="6" t="s">
        <v>888</v>
      </c>
      <c r="D9" s="12" t="s">
        <v>2312</v>
      </c>
      <c r="E9" s="172">
        <v>0</v>
      </c>
      <c r="F9" s="6" t="s">
        <v>547</v>
      </c>
      <c r="G9" s="194" t="s">
        <v>548</v>
      </c>
      <c r="H9" s="12" t="s">
        <v>1025</v>
      </c>
      <c r="I9" s="14" t="s">
        <v>538</v>
      </c>
      <c r="K9" s="23" t="s">
        <v>617</v>
      </c>
      <c r="L9" s="31">
        <f>COUNTIF($A$6:$A$91,$K9)</f>
        <v>18</v>
      </c>
      <c r="M9" s="31">
        <f>SUMIF($A$6:$A$91,$K9,$E$6:$E$91)</f>
        <v>53</v>
      </c>
      <c r="N9" s="31">
        <v>50</v>
      </c>
      <c r="O9" s="162">
        <f>M9-N9</f>
        <v>3</v>
      </c>
      <c r="P9" s="1"/>
    </row>
    <row r="10" spans="1:16">
      <c r="A10" s="5" t="s">
        <v>534</v>
      </c>
      <c r="B10" s="192" t="s">
        <v>549</v>
      </c>
      <c r="C10" s="6" t="s">
        <v>889</v>
      </c>
      <c r="D10" s="12" t="s">
        <v>3069</v>
      </c>
      <c r="E10" s="172">
        <v>4</v>
      </c>
      <c r="F10" s="6" t="s">
        <v>550</v>
      </c>
      <c r="G10" s="194" t="s">
        <v>551</v>
      </c>
      <c r="H10" s="12" t="s">
        <v>3</v>
      </c>
      <c r="I10" s="14" t="s">
        <v>538</v>
      </c>
      <c r="K10" s="23" t="s">
        <v>671</v>
      </c>
      <c r="L10" s="31">
        <f>COUNTIF($A$6:$A$91,$K10)</f>
        <v>8</v>
      </c>
      <c r="M10" s="31">
        <f>SUMIF($A$6:$A$91,$K10,$E$6:$E$91)</f>
        <v>33</v>
      </c>
      <c r="N10" s="31">
        <v>33</v>
      </c>
      <c r="O10" s="162">
        <f>M10-N10</f>
        <v>0</v>
      </c>
      <c r="P10" s="1"/>
    </row>
    <row r="11" spans="1:16">
      <c r="A11" s="5" t="s">
        <v>534</v>
      </c>
      <c r="B11" s="192" t="s">
        <v>552</v>
      </c>
      <c r="C11" s="6" t="s">
        <v>890</v>
      </c>
      <c r="D11" s="12" t="s">
        <v>3069</v>
      </c>
      <c r="E11" s="172">
        <v>8</v>
      </c>
      <c r="F11" s="6" t="s">
        <v>553</v>
      </c>
      <c r="G11" s="194" t="s">
        <v>554</v>
      </c>
      <c r="H11" s="12" t="s">
        <v>3</v>
      </c>
      <c r="I11" s="14" t="s">
        <v>538</v>
      </c>
      <c r="K11" s="23" t="s">
        <v>698</v>
      </c>
      <c r="L11" s="31">
        <f>COUNTIF($A$6:$A$91,$K11)</f>
        <v>4</v>
      </c>
      <c r="M11" s="31">
        <f>SUMIF($A$6:$A$91,$K11,$E$6:$E$91)</f>
        <v>14</v>
      </c>
      <c r="N11" s="31">
        <v>13</v>
      </c>
      <c r="O11" s="162">
        <f>M11-N11</f>
        <v>1</v>
      </c>
      <c r="P11" s="1"/>
    </row>
    <row r="12" spans="1:16">
      <c r="A12" s="5" t="s">
        <v>534</v>
      </c>
      <c r="B12" s="192" t="s">
        <v>555</v>
      </c>
      <c r="C12" s="6" t="s">
        <v>891</v>
      </c>
      <c r="D12" s="12" t="s">
        <v>3069</v>
      </c>
      <c r="E12" s="172">
        <v>3</v>
      </c>
      <c r="F12" s="6" t="s">
        <v>556</v>
      </c>
      <c r="G12" s="194" t="s">
        <v>557</v>
      </c>
      <c r="H12" s="12" t="s">
        <v>3</v>
      </c>
      <c r="I12" s="14" t="s">
        <v>538</v>
      </c>
      <c r="K12" s="23" t="s">
        <v>714</v>
      </c>
      <c r="L12" s="31">
        <f>COUNTIF($A$6:$A$91,$K12)</f>
        <v>4</v>
      </c>
      <c r="M12" s="31">
        <f>SUMIF($A$6:$A$91,$K12,$E$6:$E$91)</f>
        <v>42</v>
      </c>
      <c r="N12" s="31">
        <v>22</v>
      </c>
      <c r="O12" s="162">
        <f>M12-N12</f>
        <v>20</v>
      </c>
      <c r="P12" s="1"/>
    </row>
    <row r="13" spans="1:16">
      <c r="A13" s="5" t="s">
        <v>534</v>
      </c>
      <c r="B13" s="192" t="s">
        <v>558</v>
      </c>
      <c r="C13" s="6" t="s">
        <v>892</v>
      </c>
      <c r="D13" s="12" t="s">
        <v>3069</v>
      </c>
      <c r="E13" s="172">
        <v>2</v>
      </c>
      <c r="F13" s="6" t="s">
        <v>559</v>
      </c>
      <c r="G13" s="194" t="s">
        <v>560</v>
      </c>
      <c r="H13" s="12" t="s">
        <v>3</v>
      </c>
      <c r="I13" s="14" t="s">
        <v>538</v>
      </c>
      <c r="K13" s="179" t="s">
        <v>3083</v>
      </c>
      <c r="L13" s="166">
        <f>SUM(L6:L12)</f>
        <v>59</v>
      </c>
      <c r="M13" s="166">
        <f>SUM(M6:M12)</f>
        <v>270</v>
      </c>
      <c r="N13" s="166">
        <f>SUM(N6:N12)</f>
        <v>244</v>
      </c>
      <c r="O13" s="196">
        <f>SUM(O6:O12)</f>
        <v>26</v>
      </c>
      <c r="P13" s="1"/>
    </row>
    <row r="14" spans="1:16">
      <c r="A14" s="5" t="s">
        <v>534</v>
      </c>
      <c r="B14" s="192" t="s">
        <v>561</v>
      </c>
      <c r="C14" s="6" t="s">
        <v>893</v>
      </c>
      <c r="D14" s="12" t="s">
        <v>3069</v>
      </c>
      <c r="E14" s="172">
        <v>2</v>
      </c>
      <c r="F14" s="6" t="s">
        <v>562</v>
      </c>
      <c r="G14" s="194" t="s">
        <v>563</v>
      </c>
      <c r="H14" s="12" t="s">
        <v>3</v>
      </c>
      <c r="I14" s="14" t="s">
        <v>538</v>
      </c>
      <c r="K14" s="179" t="s">
        <v>3073</v>
      </c>
      <c r="L14" s="166">
        <f>COUNTIF($A$6:$A$91,"（検証ゲート）")</f>
        <v>11</v>
      </c>
      <c r="M14" s="166">
        <v>0</v>
      </c>
      <c r="N14" s="166">
        <v>0</v>
      </c>
      <c r="O14" s="196">
        <v>0</v>
      </c>
      <c r="P14" s="1"/>
    </row>
    <row r="15" spans="1:16">
      <c r="A15" s="5" t="s">
        <v>534</v>
      </c>
      <c r="B15" s="192" t="s">
        <v>564</v>
      </c>
      <c r="C15" s="6" t="s">
        <v>894</v>
      </c>
      <c r="D15" s="12" t="s">
        <v>3069</v>
      </c>
      <c r="E15" s="172">
        <v>5</v>
      </c>
      <c r="F15" s="6" t="s">
        <v>565</v>
      </c>
      <c r="G15" s="194" t="s">
        <v>566</v>
      </c>
      <c r="H15" s="12" t="s">
        <v>3</v>
      </c>
      <c r="I15" s="14" t="s">
        <v>538</v>
      </c>
      <c r="K15" s="179" t="s">
        <v>3076</v>
      </c>
      <c r="L15" s="166">
        <f>COUNTIF($A$6:$A$91,"（顧客確認）")</f>
        <v>16</v>
      </c>
      <c r="M15" s="166">
        <v>0</v>
      </c>
      <c r="N15" s="166">
        <v>0</v>
      </c>
      <c r="O15" s="196">
        <v>0</v>
      </c>
      <c r="P15" s="1"/>
    </row>
    <row r="16" spans="1:16">
      <c r="A16" s="5" t="s">
        <v>534</v>
      </c>
      <c r="B16" s="192" t="s">
        <v>567</v>
      </c>
      <c r="C16" s="6" t="s">
        <v>895</v>
      </c>
      <c r="D16" s="12" t="s">
        <v>3069</v>
      </c>
      <c r="E16" s="172">
        <v>2</v>
      </c>
      <c r="F16" s="6" t="s">
        <v>568</v>
      </c>
      <c r="G16" s="194" t="s">
        <v>569</v>
      </c>
      <c r="H16" s="12" t="s">
        <v>3</v>
      </c>
      <c r="I16" s="14" t="s">
        <v>538</v>
      </c>
      <c r="K16" s="25" t="s">
        <v>6</v>
      </c>
      <c r="L16" s="32">
        <f>SUM(L13:L15)</f>
        <v>86</v>
      </c>
      <c r="M16" s="32">
        <f>SUM(M13:M15)</f>
        <v>270</v>
      </c>
      <c r="N16" s="32">
        <f>SUM(N13:N15)</f>
        <v>244</v>
      </c>
      <c r="O16" s="163">
        <f>SUM(O13:O15)</f>
        <v>26</v>
      </c>
      <c r="P16" s="16" t="str">
        <f>IF(L16=COUNTA($B$6:$B$91),"✓ 明細行数と一致","⚠ 不一致")</f>
        <v>✓ 明細行数と一致</v>
      </c>
    </row>
    <row r="17" spans="1:12">
      <c r="A17" s="5" t="s">
        <v>534</v>
      </c>
      <c r="B17" s="192" t="s">
        <v>570</v>
      </c>
      <c r="C17" s="6" t="s">
        <v>896</v>
      </c>
      <c r="D17" s="12" t="s">
        <v>3069</v>
      </c>
      <c r="E17" s="172">
        <v>6</v>
      </c>
      <c r="F17" s="6" t="s">
        <v>571</v>
      </c>
      <c r="G17" s="194" t="s">
        <v>572</v>
      </c>
      <c r="H17" s="12" t="s">
        <v>3</v>
      </c>
      <c r="I17" s="14" t="s">
        <v>573</v>
      </c>
    </row>
    <row r="18" spans="1:12">
      <c r="A18" s="5" t="s">
        <v>574</v>
      </c>
      <c r="B18" s="192" t="s">
        <v>575</v>
      </c>
      <c r="C18" s="6" t="s">
        <v>897</v>
      </c>
      <c r="D18" s="12" t="s">
        <v>1599</v>
      </c>
      <c r="E18" s="172">
        <v>12</v>
      </c>
      <c r="F18" s="6" t="s">
        <v>576</v>
      </c>
      <c r="G18" s="194" t="s">
        <v>577</v>
      </c>
      <c r="H18" s="12" t="s">
        <v>1599</v>
      </c>
      <c r="I18" s="14" t="s">
        <v>578</v>
      </c>
      <c r="K18" s="200" t="s">
        <v>3084</v>
      </c>
    </row>
    <row r="19" spans="1:12">
      <c r="A19" s="5" t="s">
        <v>574</v>
      </c>
      <c r="B19" s="192" t="s">
        <v>579</v>
      </c>
      <c r="C19" s="6" t="s">
        <v>898</v>
      </c>
      <c r="D19" s="12" t="s">
        <v>1599</v>
      </c>
      <c r="E19" s="172">
        <v>5</v>
      </c>
      <c r="F19" s="6" t="s">
        <v>580</v>
      </c>
      <c r="G19" s="194" t="s">
        <v>581</v>
      </c>
      <c r="H19" s="12" t="s">
        <v>1599</v>
      </c>
      <c r="I19" s="14" t="s">
        <v>578</v>
      </c>
      <c r="K19" s="57" t="s">
        <v>3085</v>
      </c>
      <c r="L19" s="56" t="s">
        <v>3086</v>
      </c>
    </row>
    <row r="20" spans="1:12">
      <c r="A20" s="5" t="s">
        <v>574</v>
      </c>
      <c r="B20" s="192" t="s">
        <v>582</v>
      </c>
      <c r="C20" s="6" t="s">
        <v>899</v>
      </c>
      <c r="D20" s="12" t="s">
        <v>1599</v>
      </c>
      <c r="E20" s="172">
        <v>2</v>
      </c>
      <c r="F20" s="6" t="s">
        <v>583</v>
      </c>
      <c r="G20" s="194" t="s">
        <v>584</v>
      </c>
      <c r="H20" s="12" t="s">
        <v>1599</v>
      </c>
      <c r="I20" s="14" t="s">
        <v>578</v>
      </c>
      <c r="K20" s="57" t="s">
        <v>3087</v>
      </c>
      <c r="L20" s="54" t="s">
        <v>3088</v>
      </c>
    </row>
    <row r="21" spans="1:12">
      <c r="A21" s="5" t="s">
        <v>574</v>
      </c>
      <c r="B21" s="192" t="s">
        <v>585</v>
      </c>
      <c r="C21" s="6" t="s">
        <v>900</v>
      </c>
      <c r="D21" s="12" t="s">
        <v>1599</v>
      </c>
      <c r="E21" s="172">
        <v>4</v>
      </c>
      <c r="F21" s="6" t="s">
        <v>586</v>
      </c>
      <c r="G21" s="194" t="s">
        <v>587</v>
      </c>
      <c r="H21" s="12" t="s">
        <v>1599</v>
      </c>
      <c r="I21" s="14" t="s">
        <v>578</v>
      </c>
      <c r="K21" s="57" t="s">
        <v>3089</v>
      </c>
      <c r="L21" s="1" t="s">
        <v>3090</v>
      </c>
    </row>
    <row r="22" spans="1:12">
      <c r="A22" s="5" t="s">
        <v>574</v>
      </c>
      <c r="B22" s="192" t="s">
        <v>588</v>
      </c>
      <c r="C22" s="6" t="s">
        <v>901</v>
      </c>
      <c r="D22" s="12" t="s">
        <v>1599</v>
      </c>
      <c r="E22" s="172">
        <v>1</v>
      </c>
      <c r="F22" s="6" t="s">
        <v>589</v>
      </c>
      <c r="G22" s="194" t="s">
        <v>590</v>
      </c>
      <c r="H22" s="12" t="s">
        <v>1599</v>
      </c>
      <c r="I22" s="14" t="s">
        <v>578</v>
      </c>
    </row>
    <row r="23" spans="1:12">
      <c r="A23" s="5" t="s">
        <v>591</v>
      </c>
      <c r="B23" s="192" t="s">
        <v>592</v>
      </c>
      <c r="C23" s="6" t="s">
        <v>902</v>
      </c>
      <c r="D23" s="12" t="s">
        <v>3070</v>
      </c>
      <c r="E23" s="172">
        <v>4</v>
      </c>
      <c r="F23" s="6" t="s">
        <v>593</v>
      </c>
      <c r="G23" s="194" t="s">
        <v>594</v>
      </c>
      <c r="H23" s="12" t="s">
        <v>3</v>
      </c>
      <c r="I23" s="14" t="s">
        <v>595</v>
      </c>
    </row>
    <row r="24" spans="1:12">
      <c r="A24" s="5" t="s">
        <v>591</v>
      </c>
      <c r="B24" s="192" t="s">
        <v>596</v>
      </c>
      <c r="C24" s="6" t="s">
        <v>903</v>
      </c>
      <c r="D24" s="12" t="s">
        <v>3070</v>
      </c>
      <c r="E24" s="172">
        <v>2</v>
      </c>
      <c r="F24" s="6" t="s">
        <v>597</v>
      </c>
      <c r="G24" s="194" t="s">
        <v>598</v>
      </c>
      <c r="H24" s="12" t="s">
        <v>3</v>
      </c>
      <c r="I24" s="14" t="s">
        <v>595</v>
      </c>
    </row>
    <row r="25" spans="1:12">
      <c r="A25" s="5" t="s">
        <v>591</v>
      </c>
      <c r="B25" s="192" t="s">
        <v>599</v>
      </c>
      <c r="C25" s="6" t="s">
        <v>904</v>
      </c>
      <c r="D25" s="12" t="s">
        <v>3070</v>
      </c>
      <c r="E25" s="172">
        <v>4</v>
      </c>
      <c r="F25" s="6" t="s">
        <v>600</v>
      </c>
      <c r="G25" s="194" t="s">
        <v>601</v>
      </c>
      <c r="H25" s="12" t="s">
        <v>3</v>
      </c>
      <c r="I25" s="14" t="s">
        <v>595</v>
      </c>
    </row>
    <row r="26" spans="1:12">
      <c r="A26" s="5" t="s">
        <v>591</v>
      </c>
      <c r="B26" s="192" t="s">
        <v>602</v>
      </c>
      <c r="C26" s="6" t="s">
        <v>905</v>
      </c>
      <c r="D26" s="12" t="s">
        <v>3070</v>
      </c>
      <c r="E26" s="172">
        <v>1</v>
      </c>
      <c r="F26" s="6" t="s">
        <v>603</v>
      </c>
      <c r="G26" s="194" t="s">
        <v>604</v>
      </c>
      <c r="H26" s="12" t="s">
        <v>3</v>
      </c>
      <c r="I26" s="14" t="s">
        <v>595</v>
      </c>
    </row>
    <row r="27" spans="1:12">
      <c r="A27" s="5" t="s">
        <v>591</v>
      </c>
      <c r="B27" s="192" t="s">
        <v>605</v>
      </c>
      <c r="C27" s="6" t="s">
        <v>906</v>
      </c>
      <c r="D27" s="12" t="s">
        <v>3070</v>
      </c>
      <c r="E27" s="172">
        <v>2</v>
      </c>
      <c r="F27" s="6" t="s">
        <v>606</v>
      </c>
      <c r="G27" s="194" t="s">
        <v>607</v>
      </c>
      <c r="H27" s="12" t="s">
        <v>3</v>
      </c>
      <c r="I27" s="14" t="s">
        <v>595</v>
      </c>
    </row>
    <row r="28" spans="1:12">
      <c r="A28" s="5" t="s">
        <v>591</v>
      </c>
      <c r="B28" s="192" t="s">
        <v>608</v>
      </c>
      <c r="C28" s="6" t="s">
        <v>907</v>
      </c>
      <c r="D28" s="12" t="s">
        <v>3070</v>
      </c>
      <c r="E28" s="172">
        <v>1</v>
      </c>
      <c r="F28" s="6" t="s">
        <v>609</v>
      </c>
      <c r="G28" s="194" t="s">
        <v>610</v>
      </c>
      <c r="H28" s="12" t="s">
        <v>3</v>
      </c>
      <c r="I28" s="14" t="s">
        <v>595</v>
      </c>
    </row>
    <row r="29" spans="1:12">
      <c r="A29" s="5" t="s">
        <v>591</v>
      </c>
      <c r="B29" s="192" t="s">
        <v>611</v>
      </c>
      <c r="C29" s="6" t="s">
        <v>908</v>
      </c>
      <c r="D29" s="12" t="s">
        <v>3070</v>
      </c>
      <c r="E29" s="172">
        <v>2</v>
      </c>
      <c r="F29" s="6" t="s">
        <v>612</v>
      </c>
      <c r="G29" s="194" t="s">
        <v>613</v>
      </c>
      <c r="H29" s="12" t="s">
        <v>3</v>
      </c>
      <c r="I29" s="14" t="s">
        <v>595</v>
      </c>
    </row>
    <row r="30" spans="1:12">
      <c r="A30" s="5" t="s">
        <v>591</v>
      </c>
      <c r="B30" s="192" t="s">
        <v>614</v>
      </c>
      <c r="C30" s="6" t="s">
        <v>909</v>
      </c>
      <c r="D30" s="12" t="s">
        <v>3070</v>
      </c>
      <c r="E30" s="172">
        <v>1</v>
      </c>
      <c r="F30" s="6" t="s">
        <v>615</v>
      </c>
      <c r="G30" s="194" t="s">
        <v>616</v>
      </c>
      <c r="H30" s="12" t="s">
        <v>3</v>
      </c>
      <c r="I30" s="14" t="s">
        <v>595</v>
      </c>
    </row>
    <row r="31" spans="1:12">
      <c r="A31" s="5" t="s">
        <v>617</v>
      </c>
      <c r="B31" s="192" t="s">
        <v>618</v>
      </c>
      <c r="C31" s="6" t="s">
        <v>910</v>
      </c>
      <c r="D31" s="12" t="s">
        <v>3070</v>
      </c>
      <c r="E31" s="172">
        <v>2</v>
      </c>
      <c r="F31" s="6" t="s">
        <v>619</v>
      </c>
      <c r="G31" s="194" t="s">
        <v>620</v>
      </c>
      <c r="H31" s="12" t="s">
        <v>3</v>
      </c>
      <c r="I31" s="14" t="s">
        <v>621</v>
      </c>
    </row>
    <row r="32" spans="1:12">
      <c r="A32" s="5" t="s">
        <v>617</v>
      </c>
      <c r="B32" s="192" t="s">
        <v>622</v>
      </c>
      <c r="C32" s="6" t="s">
        <v>911</v>
      </c>
      <c r="D32" s="12" t="s">
        <v>3070</v>
      </c>
      <c r="E32" s="172">
        <v>3</v>
      </c>
      <c r="F32" s="6" t="s">
        <v>623</v>
      </c>
      <c r="G32" s="194" t="s">
        <v>624</v>
      </c>
      <c r="H32" s="12" t="s">
        <v>3</v>
      </c>
      <c r="I32" s="14" t="s">
        <v>621</v>
      </c>
    </row>
    <row r="33" spans="1:9">
      <c r="A33" s="5" t="s">
        <v>617</v>
      </c>
      <c r="B33" s="192" t="s">
        <v>625</v>
      </c>
      <c r="C33" s="6" t="s">
        <v>912</v>
      </c>
      <c r="D33" s="12" t="s">
        <v>3070</v>
      </c>
      <c r="E33" s="172">
        <v>2</v>
      </c>
      <c r="F33" s="6" t="s">
        <v>626</v>
      </c>
      <c r="G33" s="194" t="s">
        <v>627</v>
      </c>
      <c r="H33" s="12" t="s">
        <v>3</v>
      </c>
      <c r="I33" s="14" t="s">
        <v>621</v>
      </c>
    </row>
    <row r="34" spans="1:9">
      <c r="A34" s="5" t="s">
        <v>617</v>
      </c>
      <c r="B34" s="192" t="s">
        <v>628</v>
      </c>
      <c r="C34" s="6" t="s">
        <v>913</v>
      </c>
      <c r="D34" s="12" t="s">
        <v>3070</v>
      </c>
      <c r="E34" s="172">
        <v>3</v>
      </c>
      <c r="F34" s="6" t="s">
        <v>629</v>
      </c>
      <c r="G34" s="194" t="s">
        <v>630</v>
      </c>
      <c r="H34" s="12" t="s">
        <v>3</v>
      </c>
      <c r="I34" s="14" t="s">
        <v>621</v>
      </c>
    </row>
    <row r="35" spans="1:9">
      <c r="A35" s="5" t="s">
        <v>617</v>
      </c>
      <c r="B35" s="192" t="s">
        <v>631</v>
      </c>
      <c r="C35" s="6" t="s">
        <v>914</v>
      </c>
      <c r="D35" s="12" t="s">
        <v>3070</v>
      </c>
      <c r="E35" s="172">
        <v>3</v>
      </c>
      <c r="F35" s="6" t="s">
        <v>632</v>
      </c>
      <c r="G35" s="194" t="s">
        <v>3059</v>
      </c>
      <c r="H35" s="12" t="s">
        <v>1598</v>
      </c>
      <c r="I35" s="14" t="s">
        <v>621</v>
      </c>
    </row>
    <row r="36" spans="1:9">
      <c r="A36" s="5" t="s">
        <v>617</v>
      </c>
      <c r="B36" s="192" t="s">
        <v>633</v>
      </c>
      <c r="C36" s="6" t="s">
        <v>915</v>
      </c>
      <c r="D36" s="12" t="s">
        <v>3070</v>
      </c>
      <c r="E36" s="172">
        <v>3</v>
      </c>
      <c r="F36" s="6" t="s">
        <v>634</v>
      </c>
      <c r="G36" s="194" t="s">
        <v>635</v>
      </c>
      <c r="H36" s="12" t="s">
        <v>3</v>
      </c>
      <c r="I36" s="14" t="s">
        <v>621</v>
      </c>
    </row>
    <row r="37" spans="1:9">
      <c r="A37" s="5" t="s">
        <v>617</v>
      </c>
      <c r="B37" s="192" t="s">
        <v>636</v>
      </c>
      <c r="C37" s="6" t="s">
        <v>916</v>
      </c>
      <c r="D37" s="12" t="s">
        <v>3070</v>
      </c>
      <c r="E37" s="172">
        <v>3</v>
      </c>
      <c r="F37" s="6" t="s">
        <v>637</v>
      </c>
      <c r="G37" s="194" t="s">
        <v>638</v>
      </c>
      <c r="H37" s="12" t="s">
        <v>3</v>
      </c>
      <c r="I37" s="14" t="s">
        <v>621</v>
      </c>
    </row>
    <row r="38" spans="1:9">
      <c r="A38" s="5" t="s">
        <v>617</v>
      </c>
      <c r="B38" s="192" t="s">
        <v>639</v>
      </c>
      <c r="C38" s="6" t="s">
        <v>917</v>
      </c>
      <c r="D38" s="12" t="s">
        <v>3070</v>
      </c>
      <c r="E38" s="172">
        <v>2</v>
      </c>
      <c r="F38" s="6" t="s">
        <v>640</v>
      </c>
      <c r="G38" s="194" t="s">
        <v>641</v>
      </c>
      <c r="H38" s="12" t="s">
        <v>3</v>
      </c>
      <c r="I38" s="14" t="s">
        <v>621</v>
      </c>
    </row>
    <row r="39" spans="1:9">
      <c r="A39" s="5" t="s">
        <v>617</v>
      </c>
      <c r="B39" s="192" t="s">
        <v>642</v>
      </c>
      <c r="C39" s="6" t="s">
        <v>918</v>
      </c>
      <c r="D39" s="12" t="s">
        <v>3070</v>
      </c>
      <c r="E39" s="172">
        <v>5</v>
      </c>
      <c r="F39" s="6" t="s">
        <v>643</v>
      </c>
      <c r="G39" s="194" t="s">
        <v>644</v>
      </c>
      <c r="H39" s="12" t="s">
        <v>3</v>
      </c>
      <c r="I39" s="14" t="s">
        <v>621</v>
      </c>
    </row>
    <row r="40" spans="1:9">
      <c r="A40" s="5" t="s">
        <v>617</v>
      </c>
      <c r="B40" s="192" t="s">
        <v>645</v>
      </c>
      <c r="C40" s="6" t="s">
        <v>919</v>
      </c>
      <c r="D40" s="12" t="s">
        <v>2312</v>
      </c>
      <c r="E40" s="172">
        <v>0</v>
      </c>
      <c r="F40" s="6" t="s">
        <v>646</v>
      </c>
      <c r="G40" s="194" t="s">
        <v>647</v>
      </c>
      <c r="H40" s="12" t="s">
        <v>1025</v>
      </c>
      <c r="I40" s="14" t="s">
        <v>621</v>
      </c>
    </row>
    <row r="41" spans="1:9">
      <c r="A41" s="5" t="s">
        <v>617</v>
      </c>
      <c r="B41" s="192" t="s">
        <v>648</v>
      </c>
      <c r="C41" s="6" t="s">
        <v>920</v>
      </c>
      <c r="D41" s="12" t="s">
        <v>3070</v>
      </c>
      <c r="E41" s="172">
        <v>2</v>
      </c>
      <c r="F41" s="6" t="s">
        <v>649</v>
      </c>
      <c r="G41" s="194" t="s">
        <v>650</v>
      </c>
      <c r="H41" s="12" t="s">
        <v>3</v>
      </c>
      <c r="I41" s="14" t="s">
        <v>621</v>
      </c>
    </row>
    <row r="42" spans="1:9">
      <c r="A42" s="5" t="s">
        <v>617</v>
      </c>
      <c r="B42" s="192" t="s">
        <v>651</v>
      </c>
      <c r="C42" s="6" t="s">
        <v>921</v>
      </c>
      <c r="D42" s="12" t="s">
        <v>3070</v>
      </c>
      <c r="E42" s="172">
        <v>3</v>
      </c>
      <c r="F42" s="6" t="s">
        <v>652</v>
      </c>
      <c r="G42" s="194" t="s">
        <v>653</v>
      </c>
      <c r="H42" s="12" t="s">
        <v>3</v>
      </c>
      <c r="I42" s="14" t="s">
        <v>621</v>
      </c>
    </row>
    <row r="43" spans="1:9">
      <c r="A43" s="5" t="s">
        <v>617</v>
      </c>
      <c r="B43" s="192" t="s">
        <v>654</v>
      </c>
      <c r="C43" s="6" t="s">
        <v>922</v>
      </c>
      <c r="D43" s="12" t="s">
        <v>3070</v>
      </c>
      <c r="E43" s="172">
        <v>2</v>
      </c>
      <c r="F43" s="6" t="s">
        <v>655</v>
      </c>
      <c r="G43" s="194" t="s">
        <v>656</v>
      </c>
      <c r="H43" s="12" t="s">
        <v>3</v>
      </c>
      <c r="I43" s="14" t="s">
        <v>621</v>
      </c>
    </row>
    <row r="44" spans="1:9">
      <c r="A44" s="5" t="s">
        <v>617</v>
      </c>
      <c r="B44" s="192" t="s">
        <v>657</v>
      </c>
      <c r="C44" s="6" t="s">
        <v>923</v>
      </c>
      <c r="D44" s="12" t="s">
        <v>3070</v>
      </c>
      <c r="E44" s="172">
        <v>1</v>
      </c>
      <c r="F44" s="6" t="s">
        <v>658</v>
      </c>
      <c r="G44" s="194" t="s">
        <v>659</v>
      </c>
      <c r="H44" s="12" t="s">
        <v>3</v>
      </c>
      <c r="I44" s="14" t="s">
        <v>621</v>
      </c>
    </row>
    <row r="45" spans="1:9">
      <c r="A45" s="5" t="s">
        <v>617</v>
      </c>
      <c r="B45" s="192" t="s">
        <v>660</v>
      </c>
      <c r="C45" s="6" t="s">
        <v>924</v>
      </c>
      <c r="D45" s="12" t="s">
        <v>3070</v>
      </c>
      <c r="E45" s="172">
        <v>2</v>
      </c>
      <c r="F45" s="6" t="s">
        <v>661</v>
      </c>
      <c r="G45" s="194" t="s">
        <v>662</v>
      </c>
      <c r="H45" s="12" t="s">
        <v>3</v>
      </c>
      <c r="I45" s="14" t="s">
        <v>621</v>
      </c>
    </row>
    <row r="46" spans="1:9">
      <c r="A46" s="5" t="s">
        <v>617</v>
      </c>
      <c r="B46" s="192" t="s">
        <v>663</v>
      </c>
      <c r="C46" s="6" t="s">
        <v>925</v>
      </c>
      <c r="D46" s="12" t="s">
        <v>3070</v>
      </c>
      <c r="E46" s="172">
        <v>4</v>
      </c>
      <c r="F46" s="6" t="s">
        <v>664</v>
      </c>
      <c r="G46" s="194" t="s">
        <v>3060</v>
      </c>
      <c r="H46" s="12" t="s">
        <v>3</v>
      </c>
      <c r="I46" s="14" t="s">
        <v>665</v>
      </c>
    </row>
    <row r="47" spans="1:9">
      <c r="A47" s="5" t="s">
        <v>617</v>
      </c>
      <c r="B47" s="192" t="s">
        <v>666</v>
      </c>
      <c r="C47" s="6" t="s">
        <v>926</v>
      </c>
      <c r="D47" s="12" t="s">
        <v>3070</v>
      </c>
      <c r="E47" s="172">
        <v>5</v>
      </c>
      <c r="F47" s="6" t="s">
        <v>667</v>
      </c>
      <c r="G47" s="194" t="s">
        <v>668</v>
      </c>
      <c r="H47" s="12" t="s">
        <v>3</v>
      </c>
      <c r="I47" s="14" t="s">
        <v>621</v>
      </c>
    </row>
    <row r="48" spans="1:9">
      <c r="A48" s="5" t="s">
        <v>617</v>
      </c>
      <c r="B48" s="192" t="s">
        <v>669</v>
      </c>
      <c r="C48" s="6" t="s">
        <v>927</v>
      </c>
      <c r="D48" s="12" t="s">
        <v>3070</v>
      </c>
      <c r="E48" s="172">
        <v>8</v>
      </c>
      <c r="F48" s="6" t="s">
        <v>670</v>
      </c>
      <c r="G48" s="194" t="s">
        <v>3071</v>
      </c>
      <c r="H48" s="12" t="s">
        <v>3</v>
      </c>
      <c r="I48" s="14" t="s">
        <v>621</v>
      </c>
    </row>
    <row r="49" spans="1:9">
      <c r="A49" s="5" t="s">
        <v>671</v>
      </c>
      <c r="B49" s="192" t="s">
        <v>672</v>
      </c>
      <c r="C49" s="6" t="s">
        <v>928</v>
      </c>
      <c r="D49" s="12" t="s">
        <v>3072</v>
      </c>
      <c r="E49" s="172">
        <v>8</v>
      </c>
      <c r="F49" s="6" t="s">
        <v>673</v>
      </c>
      <c r="G49" s="194" t="s">
        <v>674</v>
      </c>
      <c r="H49" s="12" t="s">
        <v>3</v>
      </c>
      <c r="I49" s="14" t="s">
        <v>675</v>
      </c>
    </row>
    <row r="50" spans="1:9">
      <c r="A50" s="5" t="s">
        <v>671</v>
      </c>
      <c r="B50" s="192" t="s">
        <v>676</v>
      </c>
      <c r="C50" s="6" t="s">
        <v>929</v>
      </c>
      <c r="D50" s="12" t="s">
        <v>3070</v>
      </c>
      <c r="E50" s="172">
        <v>4</v>
      </c>
      <c r="F50" s="6" t="s">
        <v>677</v>
      </c>
      <c r="G50" s="194" t="s">
        <v>678</v>
      </c>
      <c r="H50" s="12" t="s">
        <v>3</v>
      </c>
      <c r="I50" s="14" t="s">
        <v>679</v>
      </c>
    </row>
    <row r="51" spans="1:9">
      <c r="A51" s="5" t="s">
        <v>671</v>
      </c>
      <c r="B51" s="192" t="s">
        <v>680</v>
      </c>
      <c r="C51" s="6" t="s">
        <v>930</v>
      </c>
      <c r="D51" s="12" t="s">
        <v>3070</v>
      </c>
      <c r="E51" s="172">
        <v>4</v>
      </c>
      <c r="F51" s="6" t="s">
        <v>681</v>
      </c>
      <c r="G51" s="194" t="s">
        <v>682</v>
      </c>
      <c r="H51" s="12" t="s">
        <v>3</v>
      </c>
      <c r="I51" s="14" t="s">
        <v>675</v>
      </c>
    </row>
    <row r="52" spans="1:9">
      <c r="A52" s="5" t="s">
        <v>671</v>
      </c>
      <c r="B52" s="192" t="s">
        <v>683</v>
      </c>
      <c r="C52" s="6" t="s">
        <v>931</v>
      </c>
      <c r="D52" s="12" t="s">
        <v>3072</v>
      </c>
      <c r="E52" s="172">
        <v>5</v>
      </c>
      <c r="F52" s="6" t="s">
        <v>684</v>
      </c>
      <c r="G52" s="194" t="s">
        <v>685</v>
      </c>
      <c r="H52" s="12" t="s">
        <v>3</v>
      </c>
      <c r="I52" s="14" t="s">
        <v>675</v>
      </c>
    </row>
    <row r="53" spans="1:9">
      <c r="A53" s="5" t="s">
        <v>671</v>
      </c>
      <c r="B53" s="192" t="s">
        <v>686</v>
      </c>
      <c r="C53" s="6" t="s">
        <v>932</v>
      </c>
      <c r="D53" s="12" t="s">
        <v>3072</v>
      </c>
      <c r="E53" s="172">
        <v>5</v>
      </c>
      <c r="F53" s="6" t="s">
        <v>687</v>
      </c>
      <c r="G53" s="194" t="s">
        <v>688</v>
      </c>
      <c r="H53" s="12" t="s">
        <v>3</v>
      </c>
      <c r="I53" s="14" t="s">
        <v>675</v>
      </c>
    </row>
    <row r="54" spans="1:9">
      <c r="A54" s="5" t="s">
        <v>671</v>
      </c>
      <c r="B54" s="192" t="s">
        <v>689</v>
      </c>
      <c r="C54" s="6" t="s">
        <v>933</v>
      </c>
      <c r="D54" s="12" t="s">
        <v>3072</v>
      </c>
      <c r="E54" s="172">
        <v>3</v>
      </c>
      <c r="F54" s="6" t="s">
        <v>690</v>
      </c>
      <c r="G54" s="194" t="s">
        <v>691</v>
      </c>
      <c r="H54" s="12" t="s">
        <v>3</v>
      </c>
      <c r="I54" s="14" t="s">
        <v>675</v>
      </c>
    </row>
    <row r="55" spans="1:9">
      <c r="A55" s="5" t="s">
        <v>671</v>
      </c>
      <c r="B55" s="192" t="s">
        <v>692</v>
      </c>
      <c r="C55" s="6" t="s">
        <v>934</v>
      </c>
      <c r="D55" s="12" t="s">
        <v>3072</v>
      </c>
      <c r="E55" s="172">
        <v>3</v>
      </c>
      <c r="F55" s="6" t="s">
        <v>693</v>
      </c>
      <c r="G55" s="194" t="s">
        <v>694</v>
      </c>
      <c r="H55" s="12" t="s">
        <v>3</v>
      </c>
      <c r="I55" s="14" t="s">
        <v>675</v>
      </c>
    </row>
    <row r="56" spans="1:9">
      <c r="A56" s="5" t="s">
        <v>671</v>
      </c>
      <c r="B56" s="192" t="s">
        <v>695</v>
      </c>
      <c r="C56" s="6" t="s">
        <v>935</v>
      </c>
      <c r="D56" s="12" t="s">
        <v>3070</v>
      </c>
      <c r="E56" s="172">
        <v>1</v>
      </c>
      <c r="F56" s="6" t="s">
        <v>696</v>
      </c>
      <c r="G56" s="194" t="s">
        <v>697</v>
      </c>
      <c r="H56" s="12" t="s">
        <v>3</v>
      </c>
      <c r="I56" s="14" t="s">
        <v>675</v>
      </c>
    </row>
    <row r="57" spans="1:9">
      <c r="A57" s="5" t="s">
        <v>698</v>
      </c>
      <c r="B57" s="192" t="s">
        <v>699</v>
      </c>
      <c r="C57" s="6" t="s">
        <v>936</v>
      </c>
      <c r="D57" s="12" t="s">
        <v>1599</v>
      </c>
      <c r="E57" s="172">
        <v>2</v>
      </c>
      <c r="F57" s="6" t="s">
        <v>700</v>
      </c>
      <c r="G57" s="194" t="s">
        <v>701</v>
      </c>
      <c r="H57" s="12" t="s">
        <v>1599</v>
      </c>
      <c r="I57" s="14" t="s">
        <v>702</v>
      </c>
    </row>
    <row r="58" spans="1:9">
      <c r="A58" s="5" t="s">
        <v>698</v>
      </c>
      <c r="B58" s="192" t="s">
        <v>703</v>
      </c>
      <c r="C58" s="6" t="s">
        <v>937</v>
      </c>
      <c r="D58" s="12" t="s">
        <v>1599</v>
      </c>
      <c r="E58" s="172">
        <v>8</v>
      </c>
      <c r="F58" s="6" t="s">
        <v>704</v>
      </c>
      <c r="G58" s="194" t="s">
        <v>705</v>
      </c>
      <c r="H58" s="12" t="s">
        <v>1599</v>
      </c>
      <c r="I58" s="14" t="s">
        <v>706</v>
      </c>
    </row>
    <row r="59" spans="1:9">
      <c r="A59" s="5" t="s">
        <v>698</v>
      </c>
      <c r="B59" s="192" t="s">
        <v>707</v>
      </c>
      <c r="C59" s="6" t="s">
        <v>938</v>
      </c>
      <c r="D59" s="12" t="s">
        <v>1599</v>
      </c>
      <c r="E59" s="172">
        <v>2</v>
      </c>
      <c r="F59" s="6" t="s">
        <v>708</v>
      </c>
      <c r="G59" s="194" t="s">
        <v>709</v>
      </c>
      <c r="H59" s="12" t="s">
        <v>1599</v>
      </c>
      <c r="I59" s="14" t="s">
        <v>710</v>
      </c>
    </row>
    <row r="60" spans="1:9">
      <c r="A60" s="5" t="s">
        <v>698</v>
      </c>
      <c r="B60" s="192" t="s">
        <v>711</v>
      </c>
      <c r="C60" s="6" t="s">
        <v>939</v>
      </c>
      <c r="D60" s="12" t="s">
        <v>3070</v>
      </c>
      <c r="E60" s="172">
        <v>2</v>
      </c>
      <c r="F60" s="6" t="s">
        <v>712</v>
      </c>
      <c r="G60" s="194" t="s">
        <v>713</v>
      </c>
      <c r="H60" s="12" t="s">
        <v>3</v>
      </c>
      <c r="I60" s="14" t="s">
        <v>706</v>
      </c>
    </row>
    <row r="61" spans="1:9">
      <c r="A61" s="5" t="s">
        <v>714</v>
      </c>
      <c r="B61" s="192" t="s">
        <v>715</v>
      </c>
      <c r="C61" s="6" t="s">
        <v>940</v>
      </c>
      <c r="D61" s="12" t="s">
        <v>3070</v>
      </c>
      <c r="E61" s="172">
        <v>16</v>
      </c>
      <c r="F61" s="6" t="s">
        <v>716</v>
      </c>
      <c r="G61" s="194" t="s">
        <v>717</v>
      </c>
      <c r="H61" s="12" t="s">
        <v>3</v>
      </c>
      <c r="I61" s="14" t="s">
        <v>718</v>
      </c>
    </row>
    <row r="62" spans="1:9">
      <c r="A62" s="5" t="s">
        <v>714</v>
      </c>
      <c r="B62" s="192" t="s">
        <v>719</v>
      </c>
      <c r="C62" s="6" t="s">
        <v>941</v>
      </c>
      <c r="D62" s="12" t="s">
        <v>3070</v>
      </c>
      <c r="E62" s="172">
        <v>20</v>
      </c>
      <c r="F62" s="6" t="s">
        <v>720</v>
      </c>
      <c r="G62" s="194" t="s">
        <v>721</v>
      </c>
      <c r="H62" s="12" t="s">
        <v>3</v>
      </c>
      <c r="I62" s="14" t="s">
        <v>718</v>
      </c>
    </row>
    <row r="63" spans="1:9">
      <c r="A63" s="5" t="s">
        <v>714</v>
      </c>
      <c r="B63" s="192" t="s">
        <v>722</v>
      </c>
      <c r="C63" s="6" t="s">
        <v>942</v>
      </c>
      <c r="D63" s="12" t="s">
        <v>3070</v>
      </c>
      <c r="E63" s="172">
        <v>2</v>
      </c>
      <c r="F63" s="6" t="s">
        <v>723</v>
      </c>
      <c r="G63" s="194" t="s">
        <v>724</v>
      </c>
      <c r="H63" s="12" t="s">
        <v>3</v>
      </c>
      <c r="I63" s="14" t="s">
        <v>718</v>
      </c>
    </row>
    <row r="64" spans="1:9">
      <c r="A64" s="5" t="s">
        <v>714</v>
      </c>
      <c r="B64" s="192" t="s">
        <v>725</v>
      </c>
      <c r="C64" s="6" t="s">
        <v>943</v>
      </c>
      <c r="D64" s="12" t="s">
        <v>3070</v>
      </c>
      <c r="E64" s="172">
        <v>4</v>
      </c>
      <c r="F64" s="6" t="s">
        <v>726</v>
      </c>
      <c r="G64" s="194" t="s">
        <v>727</v>
      </c>
      <c r="H64" s="12" t="s">
        <v>3</v>
      </c>
      <c r="I64" s="14" t="s">
        <v>718</v>
      </c>
    </row>
    <row r="65" spans="1:9">
      <c r="A65" s="5" t="s">
        <v>3073</v>
      </c>
      <c r="B65" s="192" t="s">
        <v>503</v>
      </c>
      <c r="C65" s="6" t="s">
        <v>875</v>
      </c>
      <c r="D65" s="12" t="s">
        <v>3074</v>
      </c>
      <c r="E65" s="172">
        <v>0</v>
      </c>
      <c r="F65" s="6" t="s">
        <v>504</v>
      </c>
      <c r="G65" s="194" t="s">
        <v>3075</v>
      </c>
      <c r="H65" s="12" t="s">
        <v>3</v>
      </c>
      <c r="I65" s="14" t="s">
        <v>505</v>
      </c>
    </row>
    <row r="66" spans="1:9">
      <c r="A66" s="5" t="s">
        <v>3073</v>
      </c>
      <c r="B66" s="192" t="s">
        <v>506</v>
      </c>
      <c r="C66" s="6" t="s">
        <v>876</v>
      </c>
      <c r="D66" s="12" t="s">
        <v>3074</v>
      </c>
      <c r="E66" s="172">
        <v>0</v>
      </c>
      <c r="F66" s="6" t="s">
        <v>507</v>
      </c>
      <c r="G66" s="194" t="s">
        <v>3075</v>
      </c>
      <c r="H66" s="12" t="s">
        <v>3</v>
      </c>
      <c r="I66" s="14" t="s">
        <v>508</v>
      </c>
    </row>
    <row r="67" spans="1:9">
      <c r="A67" s="5" t="s">
        <v>3073</v>
      </c>
      <c r="B67" s="192" t="s">
        <v>509</v>
      </c>
      <c r="C67" s="6" t="s">
        <v>877</v>
      </c>
      <c r="D67" s="12" t="s">
        <v>3074</v>
      </c>
      <c r="E67" s="172">
        <v>0</v>
      </c>
      <c r="F67" s="6" t="s">
        <v>510</v>
      </c>
      <c r="G67" s="194" t="s">
        <v>3075</v>
      </c>
      <c r="H67" s="12" t="s">
        <v>3</v>
      </c>
      <c r="I67" s="14" t="s">
        <v>505</v>
      </c>
    </row>
    <row r="68" spans="1:9">
      <c r="A68" s="5" t="s">
        <v>3073</v>
      </c>
      <c r="B68" s="192" t="s">
        <v>512</v>
      </c>
      <c r="C68" s="6" t="s">
        <v>878</v>
      </c>
      <c r="D68" s="12" t="s">
        <v>3074</v>
      </c>
      <c r="E68" s="172">
        <v>0</v>
      </c>
      <c r="F68" s="6" t="s">
        <v>513</v>
      </c>
      <c r="G68" s="194" t="s">
        <v>3075</v>
      </c>
      <c r="H68" s="12" t="s">
        <v>3</v>
      </c>
      <c r="I68" s="14" t="s">
        <v>505</v>
      </c>
    </row>
    <row r="69" spans="1:9">
      <c r="A69" s="5" t="s">
        <v>3073</v>
      </c>
      <c r="B69" s="192" t="s">
        <v>515</v>
      </c>
      <c r="C69" s="6" t="s">
        <v>879</v>
      </c>
      <c r="D69" s="12" t="s">
        <v>3074</v>
      </c>
      <c r="E69" s="172">
        <v>0</v>
      </c>
      <c r="F69" s="6" t="s">
        <v>516</v>
      </c>
      <c r="G69" s="194" t="s">
        <v>3075</v>
      </c>
      <c r="H69" s="12" t="s">
        <v>3</v>
      </c>
      <c r="I69" s="14" t="s">
        <v>505</v>
      </c>
    </row>
    <row r="70" spans="1:9">
      <c r="A70" s="5" t="s">
        <v>3073</v>
      </c>
      <c r="B70" s="192" t="s">
        <v>518</v>
      </c>
      <c r="C70" s="6" t="s">
        <v>880</v>
      </c>
      <c r="D70" s="12" t="s">
        <v>3074</v>
      </c>
      <c r="E70" s="172">
        <v>0</v>
      </c>
      <c r="F70" s="6" t="s">
        <v>519</v>
      </c>
      <c r="G70" s="194" t="s">
        <v>3075</v>
      </c>
      <c r="H70" s="12" t="s">
        <v>2</v>
      </c>
      <c r="I70" s="14" t="s">
        <v>508</v>
      </c>
    </row>
    <row r="71" spans="1:9">
      <c r="A71" s="5" t="s">
        <v>3073</v>
      </c>
      <c r="B71" s="192" t="s">
        <v>521</v>
      </c>
      <c r="C71" s="6" t="s">
        <v>881</v>
      </c>
      <c r="D71" s="12" t="s">
        <v>3074</v>
      </c>
      <c r="E71" s="172">
        <v>0</v>
      </c>
      <c r="F71" s="6" t="s">
        <v>522</v>
      </c>
      <c r="G71" s="194" t="s">
        <v>3075</v>
      </c>
      <c r="H71" s="12" t="s">
        <v>1599</v>
      </c>
      <c r="I71" s="14" t="s">
        <v>508</v>
      </c>
    </row>
    <row r="72" spans="1:9">
      <c r="A72" s="5" t="s">
        <v>3073</v>
      </c>
      <c r="B72" s="192" t="s">
        <v>525</v>
      </c>
      <c r="C72" s="6" t="s">
        <v>882</v>
      </c>
      <c r="D72" s="12" t="s">
        <v>3074</v>
      </c>
      <c r="E72" s="172">
        <v>0</v>
      </c>
      <c r="F72" s="6" t="s">
        <v>526</v>
      </c>
      <c r="G72" s="194" t="s">
        <v>3075</v>
      </c>
      <c r="H72" s="12" t="s">
        <v>2</v>
      </c>
      <c r="I72" s="14" t="s">
        <v>508</v>
      </c>
    </row>
    <row r="73" spans="1:9">
      <c r="A73" s="5" t="s">
        <v>3073</v>
      </c>
      <c r="B73" s="192" t="s">
        <v>529</v>
      </c>
      <c r="C73" s="6" t="s">
        <v>883</v>
      </c>
      <c r="D73" s="12" t="s">
        <v>3074</v>
      </c>
      <c r="E73" s="172">
        <v>0</v>
      </c>
      <c r="F73" s="6" t="s">
        <v>530</v>
      </c>
      <c r="G73" s="194" t="s">
        <v>3075</v>
      </c>
      <c r="H73" s="12" t="s">
        <v>1025</v>
      </c>
      <c r="I73" s="14" t="s">
        <v>508</v>
      </c>
    </row>
    <row r="74" spans="1:9">
      <c r="A74" s="5" t="s">
        <v>3073</v>
      </c>
      <c r="B74" s="192" t="s">
        <v>531</v>
      </c>
      <c r="C74" s="6" t="s">
        <v>884</v>
      </c>
      <c r="D74" s="12" t="s">
        <v>3074</v>
      </c>
      <c r="E74" s="172">
        <v>0</v>
      </c>
      <c r="F74" s="6" t="s">
        <v>532</v>
      </c>
      <c r="G74" s="194" t="s">
        <v>3075</v>
      </c>
      <c r="H74" s="12" t="s">
        <v>1025</v>
      </c>
      <c r="I74" s="14" t="s">
        <v>508</v>
      </c>
    </row>
    <row r="75" spans="1:9">
      <c r="A75" s="5" t="s">
        <v>3073</v>
      </c>
      <c r="B75" s="192" t="s">
        <v>1506</v>
      </c>
      <c r="C75" s="6" t="s">
        <v>1508</v>
      </c>
      <c r="D75" s="12" t="s">
        <v>3074</v>
      </c>
      <c r="E75" s="172">
        <v>0</v>
      </c>
      <c r="F75" s="6" t="s">
        <v>1507</v>
      </c>
      <c r="G75" s="194" t="s">
        <v>3075</v>
      </c>
      <c r="H75" s="12" t="s">
        <v>3</v>
      </c>
      <c r="I75" s="14" t="s">
        <v>505</v>
      </c>
    </row>
    <row r="76" spans="1:9">
      <c r="A76" s="5" t="s">
        <v>3076</v>
      </c>
      <c r="B76" s="192" t="s">
        <v>1530</v>
      </c>
      <c r="C76" s="6" t="s">
        <v>1532</v>
      </c>
      <c r="D76" s="12" t="s">
        <v>1599</v>
      </c>
      <c r="E76" s="172">
        <v>0</v>
      </c>
      <c r="F76" s="6" t="s">
        <v>1531</v>
      </c>
      <c r="G76" s="194" t="s">
        <v>3077</v>
      </c>
      <c r="H76" s="12" t="s">
        <v>1599</v>
      </c>
      <c r="I76" s="14" t="s">
        <v>1533</v>
      </c>
    </row>
    <row r="77" spans="1:9">
      <c r="A77" s="5" t="s">
        <v>3076</v>
      </c>
      <c r="B77" s="192" t="s">
        <v>1535</v>
      </c>
      <c r="C77" s="6" t="s">
        <v>1537</v>
      </c>
      <c r="D77" s="12" t="s">
        <v>1599</v>
      </c>
      <c r="E77" s="172">
        <v>0</v>
      </c>
      <c r="F77" s="6" t="s">
        <v>1536</v>
      </c>
      <c r="G77" s="194" t="s">
        <v>3077</v>
      </c>
      <c r="H77" s="12" t="s">
        <v>1599</v>
      </c>
      <c r="I77" s="14" t="s">
        <v>1533</v>
      </c>
    </row>
    <row r="78" spans="1:9">
      <c r="A78" s="5" t="s">
        <v>3076</v>
      </c>
      <c r="B78" s="192" t="s">
        <v>1539</v>
      </c>
      <c r="C78" s="6" t="s">
        <v>1541</v>
      </c>
      <c r="D78" s="12" t="s">
        <v>1599</v>
      </c>
      <c r="E78" s="172">
        <v>0</v>
      </c>
      <c r="F78" s="6" t="s">
        <v>1540</v>
      </c>
      <c r="G78" s="194" t="s">
        <v>3077</v>
      </c>
      <c r="H78" s="12" t="s">
        <v>1599</v>
      </c>
      <c r="I78" s="14" t="s">
        <v>1533</v>
      </c>
    </row>
    <row r="79" spans="1:9">
      <c r="A79" s="5" t="s">
        <v>3076</v>
      </c>
      <c r="B79" s="192" t="s">
        <v>1544</v>
      </c>
      <c r="C79" s="6" t="s">
        <v>1546</v>
      </c>
      <c r="D79" s="12" t="s">
        <v>1599</v>
      </c>
      <c r="E79" s="172">
        <v>0</v>
      </c>
      <c r="F79" s="6" t="s">
        <v>1545</v>
      </c>
      <c r="G79" s="194" t="s">
        <v>3077</v>
      </c>
      <c r="H79" s="12" t="s">
        <v>1599</v>
      </c>
      <c r="I79" s="14" t="s">
        <v>1533</v>
      </c>
    </row>
    <row r="80" spans="1:9">
      <c r="A80" s="5" t="s">
        <v>3076</v>
      </c>
      <c r="B80" s="192" t="s">
        <v>1548</v>
      </c>
      <c r="C80" s="6" t="s">
        <v>1550</v>
      </c>
      <c r="D80" s="12" t="s">
        <v>1599</v>
      </c>
      <c r="E80" s="172">
        <v>0</v>
      </c>
      <c r="F80" s="6" t="s">
        <v>1549</v>
      </c>
      <c r="G80" s="194" t="s">
        <v>3077</v>
      </c>
      <c r="H80" s="12" t="s">
        <v>1599</v>
      </c>
      <c r="I80" s="14" t="s">
        <v>1533</v>
      </c>
    </row>
    <row r="81" spans="1:9">
      <c r="A81" s="5" t="s">
        <v>3076</v>
      </c>
      <c r="B81" s="192" t="s">
        <v>1553</v>
      </c>
      <c r="C81" s="6" t="s">
        <v>1555</v>
      </c>
      <c r="D81" s="12" t="s">
        <v>1599</v>
      </c>
      <c r="E81" s="172">
        <v>0</v>
      </c>
      <c r="F81" s="6" t="s">
        <v>1554</v>
      </c>
      <c r="G81" s="194" t="s">
        <v>3077</v>
      </c>
      <c r="H81" s="12" t="s">
        <v>1599</v>
      </c>
      <c r="I81" s="14" t="s">
        <v>1533</v>
      </c>
    </row>
    <row r="82" spans="1:9">
      <c r="A82" s="5" t="s">
        <v>3076</v>
      </c>
      <c r="B82" s="192" t="s">
        <v>1558</v>
      </c>
      <c r="C82" s="6" t="s">
        <v>1560</v>
      </c>
      <c r="D82" s="12" t="s">
        <v>1599</v>
      </c>
      <c r="E82" s="172">
        <v>0</v>
      </c>
      <c r="F82" s="6" t="s">
        <v>1559</v>
      </c>
      <c r="G82" s="194" t="s">
        <v>3077</v>
      </c>
      <c r="H82" s="12" t="s">
        <v>1599</v>
      </c>
      <c r="I82" s="14" t="s">
        <v>1533</v>
      </c>
    </row>
    <row r="83" spans="1:9">
      <c r="A83" s="5" t="s">
        <v>3076</v>
      </c>
      <c r="B83" s="192" t="s">
        <v>1562</v>
      </c>
      <c r="C83" s="6" t="s">
        <v>1564</v>
      </c>
      <c r="D83" s="12" t="s">
        <v>1599</v>
      </c>
      <c r="E83" s="172">
        <v>0</v>
      </c>
      <c r="F83" s="6" t="s">
        <v>1563</v>
      </c>
      <c r="G83" s="194" t="s">
        <v>3077</v>
      </c>
      <c r="H83" s="12" t="s">
        <v>1599</v>
      </c>
      <c r="I83" s="14" t="s">
        <v>1533</v>
      </c>
    </row>
    <row r="84" spans="1:9">
      <c r="A84" s="5" t="s">
        <v>3076</v>
      </c>
      <c r="B84" s="192" t="s">
        <v>1566</v>
      </c>
      <c r="C84" s="6" t="s">
        <v>1568</v>
      </c>
      <c r="D84" s="12" t="s">
        <v>1599</v>
      </c>
      <c r="E84" s="172">
        <v>0</v>
      </c>
      <c r="F84" s="6" t="s">
        <v>1567</v>
      </c>
      <c r="G84" s="194" t="s">
        <v>3077</v>
      </c>
      <c r="H84" s="12" t="s">
        <v>1599</v>
      </c>
      <c r="I84" s="14" t="s">
        <v>1533</v>
      </c>
    </row>
    <row r="85" spans="1:9">
      <c r="A85" s="5" t="s">
        <v>3076</v>
      </c>
      <c r="B85" s="192" t="s">
        <v>1571</v>
      </c>
      <c r="C85" s="6" t="s">
        <v>1573</v>
      </c>
      <c r="D85" s="12" t="s">
        <v>1599</v>
      </c>
      <c r="E85" s="172">
        <v>0</v>
      </c>
      <c r="F85" s="6" t="s">
        <v>1572</v>
      </c>
      <c r="G85" s="194" t="s">
        <v>3077</v>
      </c>
      <c r="H85" s="12" t="s">
        <v>1599</v>
      </c>
      <c r="I85" s="14" t="s">
        <v>1533</v>
      </c>
    </row>
    <row r="86" spans="1:9">
      <c r="A86" s="5" t="s">
        <v>3076</v>
      </c>
      <c r="B86" s="192" t="s">
        <v>1576</v>
      </c>
      <c r="C86" s="6" t="s">
        <v>1578</v>
      </c>
      <c r="D86" s="12" t="s">
        <v>1599</v>
      </c>
      <c r="E86" s="172">
        <v>0</v>
      </c>
      <c r="F86" s="6" t="s">
        <v>1577</v>
      </c>
      <c r="G86" s="194" t="s">
        <v>3077</v>
      </c>
      <c r="H86" s="12" t="s">
        <v>1599</v>
      </c>
      <c r="I86" s="14" t="s">
        <v>1533</v>
      </c>
    </row>
    <row r="87" spans="1:9">
      <c r="A87" s="5" t="s">
        <v>3076</v>
      </c>
      <c r="B87" s="192" t="s">
        <v>1580</v>
      </c>
      <c r="C87" s="6" t="s">
        <v>1582</v>
      </c>
      <c r="D87" s="12" t="s">
        <v>1599</v>
      </c>
      <c r="E87" s="172">
        <v>0</v>
      </c>
      <c r="F87" s="6" t="s">
        <v>1581</v>
      </c>
      <c r="G87" s="194" t="s">
        <v>3077</v>
      </c>
      <c r="H87" s="12" t="s">
        <v>1599</v>
      </c>
      <c r="I87" s="14" t="s">
        <v>1533</v>
      </c>
    </row>
    <row r="88" spans="1:9">
      <c r="A88" s="5" t="s">
        <v>3076</v>
      </c>
      <c r="B88" s="192" t="s">
        <v>1585</v>
      </c>
      <c r="C88" s="6" t="s">
        <v>1587</v>
      </c>
      <c r="D88" s="12" t="s">
        <v>1599</v>
      </c>
      <c r="E88" s="172">
        <v>0</v>
      </c>
      <c r="F88" s="6" t="s">
        <v>1586</v>
      </c>
      <c r="G88" s="194" t="s">
        <v>3077</v>
      </c>
      <c r="H88" s="12" t="s">
        <v>1599</v>
      </c>
      <c r="I88" s="14" t="s">
        <v>1533</v>
      </c>
    </row>
    <row r="89" spans="1:9">
      <c r="A89" s="5" t="s">
        <v>3076</v>
      </c>
      <c r="B89" s="192" t="s">
        <v>1589</v>
      </c>
      <c r="C89" s="6" t="s">
        <v>1591</v>
      </c>
      <c r="D89" s="12" t="s">
        <v>1599</v>
      </c>
      <c r="E89" s="172">
        <v>0</v>
      </c>
      <c r="F89" s="6" t="s">
        <v>1590</v>
      </c>
      <c r="G89" s="194" t="s">
        <v>3077</v>
      </c>
      <c r="H89" s="12" t="s">
        <v>1599</v>
      </c>
      <c r="I89" s="14" t="s">
        <v>1533</v>
      </c>
    </row>
    <row r="90" spans="1:9">
      <c r="A90" s="5" t="s">
        <v>3076</v>
      </c>
      <c r="B90" s="192" t="s">
        <v>1592</v>
      </c>
      <c r="C90" s="6" t="s">
        <v>1594</v>
      </c>
      <c r="D90" s="12" t="s">
        <v>1599</v>
      </c>
      <c r="E90" s="172">
        <v>0</v>
      </c>
      <c r="F90" s="6" t="s">
        <v>1593</v>
      </c>
      <c r="G90" s="194" t="s">
        <v>3077</v>
      </c>
      <c r="H90" s="12" t="s">
        <v>1599</v>
      </c>
      <c r="I90" s="14" t="s">
        <v>1533</v>
      </c>
    </row>
    <row r="91" spans="1:9">
      <c r="A91" s="7" t="s">
        <v>3076</v>
      </c>
      <c r="B91" s="193" t="s">
        <v>3057</v>
      </c>
      <c r="C91" s="8" t="s">
        <v>3053</v>
      </c>
      <c r="D91" s="13" t="s">
        <v>1599</v>
      </c>
      <c r="E91" s="173">
        <v>0</v>
      </c>
      <c r="F91" s="8" t="s">
        <v>3054</v>
      </c>
      <c r="G91" s="195" t="s">
        <v>3077</v>
      </c>
      <c r="H91" s="13" t="s">
        <v>1599</v>
      </c>
      <c r="I91" s="15" t="s">
        <v>3058</v>
      </c>
    </row>
  </sheetData>
  <autoFilter ref="A5:I91" xr:uid="{66250CDA-FE4E-E74B-968F-00BE7CB94CEE}"/>
  <phoneticPr fontId="2"/>
  <conditionalFormatting sqref="A6:I91">
    <cfRule type="expression" dxfId="38" priority="1">
      <formula>$H6="確定"</formula>
    </cfRule>
  </conditionalFormatting>
  <conditionalFormatting sqref="A6:I91">
    <cfRule type="expression" dxfId="37" priority="2">
      <formula>$H6="方向性確定（条件付き）"</formula>
    </cfRule>
  </conditionalFormatting>
  <conditionalFormatting sqref="A6:I91">
    <cfRule type="expression" dxfId="36" priority="3">
      <formula>$H6="検討中"</formula>
    </cfRule>
  </conditionalFormatting>
  <conditionalFormatting sqref="A6:I91">
    <cfRule type="expression" dxfId="35" priority="4">
      <formula>$H6="外部待ち"</formula>
    </cfRule>
  </conditionalFormatting>
  <conditionalFormatting sqref="A6:I91">
    <cfRule type="expression" dxfId="34"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G1" zoomScale="150" workbookViewId="0">
      <pane ySplit="5" topLeftCell="A62" activePane="bottomLeft" state="frozen"/>
      <selection pane="bottomLeft" activeCell="F19" sqref="F19"/>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3095</v>
      </c>
    </row>
    <row r="2" spans="1:25">
      <c r="A2" s="3" t="s">
        <v>2821</v>
      </c>
    </row>
    <row r="3" spans="1:25">
      <c r="A3" s="55" t="s">
        <v>3289</v>
      </c>
    </row>
    <row r="4" spans="1:25">
      <c r="R4" s="178" t="s">
        <v>2822</v>
      </c>
    </row>
    <row r="5" spans="1:25" ht="26" customHeight="1">
      <c r="A5" s="9" t="s">
        <v>2664</v>
      </c>
      <c r="B5" s="10" t="s">
        <v>2665</v>
      </c>
      <c r="C5" s="10" t="s">
        <v>2666</v>
      </c>
      <c r="D5" s="10" t="s">
        <v>2667</v>
      </c>
      <c r="E5" s="10" t="s">
        <v>2668</v>
      </c>
      <c r="F5" s="10" t="s">
        <v>2669</v>
      </c>
      <c r="G5" s="10" t="s">
        <v>2670</v>
      </c>
      <c r="H5" s="10" t="s">
        <v>2671</v>
      </c>
      <c r="I5" s="10" t="s">
        <v>2672</v>
      </c>
      <c r="J5" s="10" t="s">
        <v>2673</v>
      </c>
      <c r="K5" s="10" t="s">
        <v>2675</v>
      </c>
      <c r="L5" s="10" t="s">
        <v>2677</v>
      </c>
      <c r="M5" s="10" t="s">
        <v>2678</v>
      </c>
      <c r="N5" s="10" t="s">
        <v>2679</v>
      </c>
      <c r="O5" s="10" t="s">
        <v>2680</v>
      </c>
      <c r="P5" s="11" t="s">
        <v>2681</v>
      </c>
      <c r="R5" s="20" t="s">
        <v>2823</v>
      </c>
      <c r="S5" s="21" t="s">
        <v>2657</v>
      </c>
      <c r="T5" s="21" t="s">
        <v>2824</v>
      </c>
      <c r="U5" s="21" t="s">
        <v>2674</v>
      </c>
      <c r="V5" s="21" t="s">
        <v>2676</v>
      </c>
      <c r="W5" s="21" t="s">
        <v>2825</v>
      </c>
      <c r="X5" s="22" t="s">
        <v>3286</v>
      </c>
      <c r="Y5" s="209" t="s">
        <v>3287</v>
      </c>
    </row>
    <row r="6" spans="1:25">
      <c r="A6" s="50" t="s">
        <v>2306</v>
      </c>
      <c r="B6" s="6" t="s">
        <v>502</v>
      </c>
      <c r="C6" s="6" t="s">
        <v>2307</v>
      </c>
      <c r="D6" s="12" t="s">
        <v>2308</v>
      </c>
      <c r="E6" s="6" t="s">
        <v>2309</v>
      </c>
      <c r="F6" s="6" t="s">
        <v>2310</v>
      </c>
      <c r="G6" s="157" t="s">
        <v>2311</v>
      </c>
      <c r="H6" s="12" t="s">
        <v>2312</v>
      </c>
      <c r="I6" s="12" t="s">
        <v>2313</v>
      </c>
      <c r="J6" s="176">
        <v>4</v>
      </c>
      <c r="K6" s="174">
        <v>1.6</v>
      </c>
      <c r="L6" s="174">
        <v>2.4</v>
      </c>
      <c r="M6" s="12" t="s">
        <v>2682</v>
      </c>
      <c r="N6" s="12" t="s">
        <v>2314</v>
      </c>
      <c r="O6" s="157" t="s">
        <v>2315</v>
      </c>
      <c r="P6" s="159" t="s">
        <v>2683</v>
      </c>
      <c r="R6" s="23" t="s">
        <v>502</v>
      </c>
      <c r="S6" s="31">
        <f>COUNTIF($B$6:$B$108,$R6)</f>
        <v>10</v>
      </c>
      <c r="T6" s="31">
        <f>SUMIF($B$6:$B$108,$R6,$J$6:$J$108)</f>
        <v>106</v>
      </c>
      <c r="U6" s="31">
        <f>SUMIF($B$6:$B$108,$R6,$K$6:$K$108)</f>
        <v>42.400000000000006</v>
      </c>
      <c r="V6" s="31">
        <f>SUMIF($B$6:$B$108,$R6,$L$6:$L$108)</f>
        <v>63.599999999999994</v>
      </c>
      <c r="W6" s="31" t="s">
        <v>3285</v>
      </c>
      <c r="X6" s="162">
        <f>U6+V6</f>
        <v>106</v>
      </c>
    </row>
    <row r="7" spans="1:25">
      <c r="A7" s="50" t="s">
        <v>2316</v>
      </c>
      <c r="B7" s="6" t="s">
        <v>502</v>
      </c>
      <c r="C7" s="6" t="s">
        <v>2317</v>
      </c>
      <c r="D7" s="12" t="s">
        <v>2308</v>
      </c>
      <c r="E7" s="6" t="s">
        <v>2318</v>
      </c>
      <c r="F7" s="6" t="s">
        <v>2684</v>
      </c>
      <c r="G7" s="157" t="s">
        <v>2319</v>
      </c>
      <c r="H7" s="12" t="s">
        <v>506</v>
      </c>
      <c r="I7" s="12" t="s">
        <v>2320</v>
      </c>
      <c r="J7" s="176">
        <v>10</v>
      </c>
      <c r="K7" s="174">
        <v>4</v>
      </c>
      <c r="L7" s="174">
        <v>6</v>
      </c>
      <c r="M7" s="12" t="s">
        <v>2682</v>
      </c>
      <c r="N7" s="12" t="s">
        <v>2321</v>
      </c>
      <c r="O7" s="157" t="s">
        <v>2315</v>
      </c>
      <c r="P7" s="159" t="s">
        <v>2683</v>
      </c>
      <c r="R7" s="23" t="s">
        <v>511</v>
      </c>
      <c r="S7" s="31">
        <f>COUNTIF($B$6:$B$108,$R7)</f>
        <v>11</v>
      </c>
      <c r="T7" s="31">
        <f>SUMIF($B$6:$B$108,$R7,$J$6:$J$108)</f>
        <v>134</v>
      </c>
      <c r="U7" s="31">
        <f>SUMIF($B$6:$B$108,$R7,$K$6:$K$108)</f>
        <v>53.6</v>
      </c>
      <c r="V7" s="31">
        <f>SUMIF($B$6:$B$108,$R7,$L$6:$L$108)</f>
        <v>80.400000000000006</v>
      </c>
      <c r="W7" s="31" t="s">
        <v>3285</v>
      </c>
      <c r="X7" s="162">
        <f>U7+V7</f>
        <v>134</v>
      </c>
    </row>
    <row r="8" spans="1:25">
      <c r="A8" s="50" t="s">
        <v>2322</v>
      </c>
      <c r="B8" s="6" t="s">
        <v>502</v>
      </c>
      <c r="C8" s="6" t="s">
        <v>2323</v>
      </c>
      <c r="D8" s="12" t="s">
        <v>2308</v>
      </c>
      <c r="E8" s="6" t="s">
        <v>2324</v>
      </c>
      <c r="F8" s="6" t="s">
        <v>2325</v>
      </c>
      <c r="G8" s="157" t="s">
        <v>2326</v>
      </c>
      <c r="H8" s="12" t="s">
        <v>506</v>
      </c>
      <c r="I8" s="12" t="s">
        <v>2320</v>
      </c>
      <c r="J8" s="176">
        <v>11</v>
      </c>
      <c r="K8" s="174">
        <v>4.4000000000000004</v>
      </c>
      <c r="L8" s="174">
        <v>6.6</v>
      </c>
      <c r="M8" s="12" t="s">
        <v>2682</v>
      </c>
      <c r="N8" s="12" t="s">
        <v>2321</v>
      </c>
      <c r="O8" s="157" t="s">
        <v>2315</v>
      </c>
      <c r="P8" s="159" t="s">
        <v>2683</v>
      </c>
      <c r="R8" s="23" t="s">
        <v>1114</v>
      </c>
      <c r="S8" s="31">
        <f>COUNTIF($B$6:$B$108,$R8)</f>
        <v>11</v>
      </c>
      <c r="T8" s="31">
        <f>SUMIF($B$6:$B$108,$R8,$J$6:$J$108)</f>
        <v>74</v>
      </c>
      <c r="U8" s="31">
        <f>SUMIF($B$6:$B$108,$R8,$K$6:$K$108)</f>
        <v>29.600000000000005</v>
      </c>
      <c r="V8" s="31">
        <f>SUMIF($B$6:$B$108,$R8,$L$6:$L$108)</f>
        <v>44.399999999999991</v>
      </c>
      <c r="W8" s="31" t="s">
        <v>3285</v>
      </c>
      <c r="X8" s="162">
        <f>U8+V8</f>
        <v>74</v>
      </c>
    </row>
    <row r="9" spans="1:25">
      <c r="A9" s="50" t="s">
        <v>2326</v>
      </c>
      <c r="B9" s="6" t="s">
        <v>502</v>
      </c>
      <c r="C9" s="6" t="s">
        <v>2327</v>
      </c>
      <c r="D9" s="12" t="s">
        <v>2328</v>
      </c>
      <c r="E9" s="6" t="s">
        <v>2329</v>
      </c>
      <c r="F9" s="6" t="s">
        <v>2330</v>
      </c>
      <c r="G9" s="157" t="s">
        <v>2322</v>
      </c>
      <c r="H9" s="12" t="s">
        <v>506</v>
      </c>
      <c r="I9" s="12" t="s">
        <v>2331</v>
      </c>
      <c r="J9" s="176">
        <v>24</v>
      </c>
      <c r="K9" s="174">
        <v>9.6</v>
      </c>
      <c r="L9" s="174">
        <v>14.4</v>
      </c>
      <c r="M9" s="12" t="s">
        <v>2682</v>
      </c>
      <c r="N9" s="12" t="s">
        <v>2321</v>
      </c>
      <c r="O9" s="157" t="s">
        <v>2315</v>
      </c>
      <c r="P9" s="159" t="s">
        <v>2683</v>
      </c>
      <c r="R9" s="23" t="s">
        <v>984</v>
      </c>
      <c r="S9" s="31">
        <f>COUNTIF($B$6:$B$108,$R9)</f>
        <v>8</v>
      </c>
      <c r="T9" s="31">
        <f>SUMIF($B$6:$B$108,$R9,$J$6:$J$108)</f>
        <v>74</v>
      </c>
      <c r="U9" s="31">
        <f>SUMIF($B$6:$B$108,$R9,$K$6:$K$108)</f>
        <v>29.6</v>
      </c>
      <c r="V9" s="31">
        <f>SUMIF($B$6:$B$108,$R9,$L$6:$L$108)</f>
        <v>44.4</v>
      </c>
      <c r="W9" s="31" t="s">
        <v>3285</v>
      </c>
      <c r="X9" s="162">
        <f>U9+V9</f>
        <v>74</v>
      </c>
    </row>
    <row r="10" spans="1:25">
      <c r="A10" s="50" t="s">
        <v>2332</v>
      </c>
      <c r="B10" s="6" t="s">
        <v>502</v>
      </c>
      <c r="C10" s="6" t="s">
        <v>2333</v>
      </c>
      <c r="D10" s="12" t="s">
        <v>2308</v>
      </c>
      <c r="E10" s="6" t="s">
        <v>2334</v>
      </c>
      <c r="F10" s="6" t="s">
        <v>2335</v>
      </c>
      <c r="G10" s="157" t="s">
        <v>2336</v>
      </c>
      <c r="H10" s="12" t="s">
        <v>2312</v>
      </c>
      <c r="I10" s="12" t="s">
        <v>2313</v>
      </c>
      <c r="J10" s="176">
        <v>4</v>
      </c>
      <c r="K10" s="174">
        <v>1.6</v>
      </c>
      <c r="L10" s="174">
        <v>2.4</v>
      </c>
      <c r="M10" s="12" t="s">
        <v>2682</v>
      </c>
      <c r="N10" s="12" t="s">
        <v>2314</v>
      </c>
      <c r="O10" s="157" t="s">
        <v>2315</v>
      </c>
      <c r="P10" s="159" t="s">
        <v>2683</v>
      </c>
      <c r="R10" s="23" t="s">
        <v>514</v>
      </c>
      <c r="S10" s="31">
        <f>COUNTIF($B$6:$B$108,$R10)</f>
        <v>13</v>
      </c>
      <c r="T10" s="31">
        <f>SUMIF($B$6:$B$108,$R10,$J$6:$J$108)</f>
        <v>138</v>
      </c>
      <c r="U10" s="31">
        <f>SUMIF($B$6:$B$108,$R10,$K$6:$K$108)</f>
        <v>55.2</v>
      </c>
      <c r="V10" s="31">
        <f>SUMIF($B$6:$B$108,$R10,$L$6:$L$108)</f>
        <v>82.8</v>
      </c>
      <c r="W10" s="31" t="s">
        <v>3285</v>
      </c>
      <c r="X10" s="162">
        <f>U10+V10</f>
        <v>138</v>
      </c>
    </row>
    <row r="11" spans="1:25">
      <c r="A11" s="50" t="s">
        <v>2337</v>
      </c>
      <c r="B11" s="6" t="s">
        <v>502</v>
      </c>
      <c r="C11" s="6" t="s">
        <v>2338</v>
      </c>
      <c r="D11" s="12" t="s">
        <v>2308</v>
      </c>
      <c r="E11" s="6" t="s">
        <v>2339</v>
      </c>
      <c r="F11" s="6" t="s">
        <v>2340</v>
      </c>
      <c r="G11" s="157" t="s">
        <v>2306</v>
      </c>
      <c r="H11" s="12" t="s">
        <v>509</v>
      </c>
      <c r="I11" s="12" t="s">
        <v>2320</v>
      </c>
      <c r="J11" s="176">
        <v>9</v>
      </c>
      <c r="K11" s="174">
        <v>3.6</v>
      </c>
      <c r="L11" s="174">
        <v>5.4</v>
      </c>
      <c r="M11" s="12" t="s">
        <v>2682</v>
      </c>
      <c r="N11" s="12" t="s">
        <v>2321</v>
      </c>
      <c r="O11" s="157" t="s">
        <v>2315</v>
      </c>
      <c r="P11" s="159" t="s">
        <v>2683</v>
      </c>
      <c r="R11" s="23" t="s">
        <v>520</v>
      </c>
      <c r="S11" s="31">
        <f>COUNTIF($B$6:$B$108,$R11)</f>
        <v>15</v>
      </c>
      <c r="T11" s="31">
        <f>SUMIF($B$6:$B$108,$R11,$J$6:$J$108)</f>
        <v>156</v>
      </c>
      <c r="U11" s="31">
        <f>SUMIF($B$6:$B$108,$R11,$K$6:$K$108)</f>
        <v>62.400000000000006</v>
      </c>
      <c r="V11" s="31">
        <f>SUMIF($B$6:$B$108,$R11,$L$6:$L$108)</f>
        <v>93.600000000000023</v>
      </c>
      <c r="W11" s="31" t="s">
        <v>3285</v>
      </c>
      <c r="X11" s="162">
        <f>U11+V11</f>
        <v>156.00000000000003</v>
      </c>
    </row>
    <row r="12" spans="1:25">
      <c r="A12" s="50" t="s">
        <v>2341</v>
      </c>
      <c r="B12" s="6" t="s">
        <v>502</v>
      </c>
      <c r="C12" s="6" t="s">
        <v>2342</v>
      </c>
      <c r="D12" s="12" t="s">
        <v>2308</v>
      </c>
      <c r="E12" s="6" t="s">
        <v>2343</v>
      </c>
      <c r="F12" s="6" t="s">
        <v>2344</v>
      </c>
      <c r="G12" s="157" t="s">
        <v>2306</v>
      </c>
      <c r="H12" s="12" t="s">
        <v>2312</v>
      </c>
      <c r="I12" s="12" t="s">
        <v>2313</v>
      </c>
      <c r="J12" s="176">
        <v>4</v>
      </c>
      <c r="K12" s="174">
        <v>1.6</v>
      </c>
      <c r="L12" s="174">
        <v>2.4</v>
      </c>
      <c r="M12" s="12" t="s">
        <v>2682</v>
      </c>
      <c r="N12" s="12" t="s">
        <v>2314</v>
      </c>
      <c r="O12" s="157" t="s">
        <v>2315</v>
      </c>
      <c r="P12" s="159" t="s">
        <v>2683</v>
      </c>
      <c r="R12" s="23" t="s">
        <v>524</v>
      </c>
      <c r="S12" s="31">
        <f>COUNTIF($B$6:$B$108,$R12)</f>
        <v>12</v>
      </c>
      <c r="T12" s="31">
        <f>SUMIF($B$6:$B$108,$R12,$J$6:$J$108)</f>
        <v>102</v>
      </c>
      <c r="U12" s="31">
        <f>SUMIF($B$6:$B$108,$R12,$K$6:$K$108)</f>
        <v>40.800000000000004</v>
      </c>
      <c r="V12" s="31">
        <f>SUMIF($B$6:$B$108,$R12,$L$6:$L$108)</f>
        <v>61.199999999999989</v>
      </c>
      <c r="W12" s="31" t="s">
        <v>3285</v>
      </c>
      <c r="X12" s="162">
        <f>U12+V12</f>
        <v>102</v>
      </c>
    </row>
    <row r="13" spans="1:25">
      <c r="A13" s="50" t="s">
        <v>2345</v>
      </c>
      <c r="B13" s="6" t="s">
        <v>502</v>
      </c>
      <c r="C13" s="6" t="s">
        <v>2346</v>
      </c>
      <c r="D13" s="12" t="s">
        <v>2347</v>
      </c>
      <c r="E13" s="6" t="s">
        <v>2348</v>
      </c>
      <c r="F13" s="6" t="s">
        <v>2349</v>
      </c>
      <c r="G13" s="157" t="s">
        <v>2350</v>
      </c>
      <c r="H13" s="12" t="s">
        <v>503</v>
      </c>
      <c r="I13" s="12" t="s">
        <v>2320</v>
      </c>
      <c r="J13" s="176">
        <v>12</v>
      </c>
      <c r="K13" s="174">
        <v>4.8</v>
      </c>
      <c r="L13" s="174">
        <v>7.2</v>
      </c>
      <c r="M13" s="12" t="s">
        <v>2682</v>
      </c>
      <c r="N13" s="12" t="s">
        <v>2321</v>
      </c>
      <c r="O13" s="157" t="s">
        <v>2315</v>
      </c>
      <c r="P13" s="159" t="s">
        <v>2683</v>
      </c>
      <c r="R13" s="23" t="s">
        <v>2588</v>
      </c>
      <c r="S13" s="31">
        <f>COUNTIF($B$6:$B$108,$R13)</f>
        <v>3</v>
      </c>
      <c r="T13" s="31">
        <f>SUMIF($B$6:$B$108,$R13,$J$6:$J$108)</f>
        <v>48</v>
      </c>
      <c r="U13" s="31">
        <f>SUMIF($B$6:$B$108,$R13,$K$6:$K$108)</f>
        <v>19.2</v>
      </c>
      <c r="V13" s="31">
        <f>SUMIF($B$6:$B$108,$R13,$L$6:$L$108)</f>
        <v>28.8</v>
      </c>
      <c r="W13" s="31" t="s">
        <v>3285</v>
      </c>
      <c r="X13" s="162">
        <f>U13+V13</f>
        <v>48</v>
      </c>
    </row>
    <row r="14" spans="1:25">
      <c r="A14" s="50" t="s">
        <v>2685</v>
      </c>
      <c r="B14" s="6" t="s">
        <v>502</v>
      </c>
      <c r="C14" s="6" t="s">
        <v>2686</v>
      </c>
      <c r="D14" s="12" t="s">
        <v>2426</v>
      </c>
      <c r="E14" s="6" t="s">
        <v>2687</v>
      </c>
      <c r="F14" s="6" t="s">
        <v>2688</v>
      </c>
      <c r="G14" s="157" t="s">
        <v>2306</v>
      </c>
      <c r="H14" s="12" t="s">
        <v>2312</v>
      </c>
      <c r="I14" s="12" t="s">
        <v>2331</v>
      </c>
      <c r="J14" s="176">
        <v>18</v>
      </c>
      <c r="K14" s="174">
        <v>7.2</v>
      </c>
      <c r="L14" s="174">
        <v>10.8</v>
      </c>
      <c r="M14" s="12" t="s">
        <v>2689</v>
      </c>
      <c r="N14" s="12" t="s">
        <v>2690</v>
      </c>
      <c r="O14" s="157" t="s">
        <v>2691</v>
      </c>
      <c r="P14" s="159" t="s">
        <v>2692</v>
      </c>
      <c r="R14" s="23" t="s">
        <v>2596</v>
      </c>
      <c r="S14" s="31">
        <f>COUNTIF($B$6:$B$108,$R14)</f>
        <v>9</v>
      </c>
      <c r="T14" s="31">
        <f>SUMIF($B$6:$B$108,$R14,$J$6:$J$108)</f>
        <v>102</v>
      </c>
      <c r="U14" s="31">
        <f>SUMIF($B$6:$B$108,$R14,$K$6:$K$108)</f>
        <v>40.800000000000004</v>
      </c>
      <c r="V14" s="31">
        <f>SUMIF($B$6:$B$108,$R14,$L$6:$L$108)</f>
        <v>61.2</v>
      </c>
      <c r="W14" s="31" t="s">
        <v>3285</v>
      </c>
      <c r="X14" s="162">
        <f>U14+V14</f>
        <v>102</v>
      </c>
    </row>
    <row r="15" spans="1:25">
      <c r="A15" s="50" t="s">
        <v>2693</v>
      </c>
      <c r="B15" s="6" t="s">
        <v>502</v>
      </c>
      <c r="C15" s="6" t="s">
        <v>2694</v>
      </c>
      <c r="D15" s="12" t="s">
        <v>2308</v>
      </c>
      <c r="E15" s="6" t="s">
        <v>2695</v>
      </c>
      <c r="F15" s="6" t="s">
        <v>2696</v>
      </c>
      <c r="G15" s="157" t="s">
        <v>2316</v>
      </c>
      <c r="H15" s="12" t="s">
        <v>2312</v>
      </c>
      <c r="I15" s="12" t="s">
        <v>2320</v>
      </c>
      <c r="J15" s="176">
        <v>10</v>
      </c>
      <c r="K15" s="174">
        <v>4</v>
      </c>
      <c r="L15" s="174">
        <v>6</v>
      </c>
      <c r="M15" s="12" t="s">
        <v>2682</v>
      </c>
      <c r="N15" s="12" t="s">
        <v>2314</v>
      </c>
      <c r="O15" s="157" t="s">
        <v>2691</v>
      </c>
      <c r="P15" s="159" t="s">
        <v>2697</v>
      </c>
      <c r="R15" s="23" t="s">
        <v>1307</v>
      </c>
      <c r="S15" s="31">
        <f>COUNTIF($B$6:$B$108,$R15)</f>
        <v>11</v>
      </c>
      <c r="T15" s="31">
        <f>SUMIF($B$6:$B$108,$R15,$J$6:$J$108)</f>
        <v>110</v>
      </c>
      <c r="U15" s="31">
        <f>SUMIF($B$6:$B$108,$R15,$K$6:$K$108)</f>
        <v>44</v>
      </c>
      <c r="V15" s="31">
        <f>SUMIF($B$6:$B$108,$R15,$L$6:$L$108)</f>
        <v>66</v>
      </c>
      <c r="W15" s="31" t="s">
        <v>3285</v>
      </c>
      <c r="X15" s="162">
        <f>U15+V15</f>
        <v>110</v>
      </c>
    </row>
    <row r="16" spans="1:25">
      <c r="A16" s="50" t="s">
        <v>2351</v>
      </c>
      <c r="B16" s="6" t="s">
        <v>511</v>
      </c>
      <c r="C16" s="6" t="s">
        <v>2352</v>
      </c>
      <c r="D16" s="12" t="s">
        <v>2353</v>
      </c>
      <c r="E16" s="6" t="s">
        <v>2354</v>
      </c>
      <c r="F16" s="6" t="s">
        <v>2355</v>
      </c>
      <c r="G16" s="157" t="s">
        <v>2356</v>
      </c>
      <c r="H16" s="12" t="s">
        <v>2312</v>
      </c>
      <c r="I16" s="12" t="s">
        <v>2320</v>
      </c>
      <c r="J16" s="176">
        <v>10</v>
      </c>
      <c r="K16" s="174">
        <v>4</v>
      </c>
      <c r="L16" s="174">
        <v>6</v>
      </c>
      <c r="M16" s="12" t="s">
        <v>2682</v>
      </c>
      <c r="N16" s="12" t="s">
        <v>2314</v>
      </c>
      <c r="O16" s="157" t="s">
        <v>2315</v>
      </c>
      <c r="P16" s="159" t="s">
        <v>2683</v>
      </c>
      <c r="R16" s="23" t="s">
        <v>2826</v>
      </c>
      <c r="S16" s="31" t="s">
        <v>2312</v>
      </c>
      <c r="T16" s="31">
        <v>0</v>
      </c>
      <c r="U16" s="31">
        <v>0</v>
      </c>
      <c r="V16" s="31">
        <v>0</v>
      </c>
      <c r="W16" s="31" t="s">
        <v>3285</v>
      </c>
      <c r="X16" s="162">
        <f>U16+V16</f>
        <v>0</v>
      </c>
    </row>
    <row r="17" spans="1:24">
      <c r="A17" s="50" t="s">
        <v>2357</v>
      </c>
      <c r="B17" s="6" t="s">
        <v>511</v>
      </c>
      <c r="C17" s="6" t="s">
        <v>2358</v>
      </c>
      <c r="D17" s="12" t="s">
        <v>2359</v>
      </c>
      <c r="E17" s="6" t="s">
        <v>2360</v>
      </c>
      <c r="F17" s="6" t="s">
        <v>2361</v>
      </c>
      <c r="G17" s="157" t="s">
        <v>2326</v>
      </c>
      <c r="H17" s="12" t="s">
        <v>506</v>
      </c>
      <c r="I17" s="12" t="s">
        <v>2320</v>
      </c>
      <c r="J17" s="176">
        <v>11</v>
      </c>
      <c r="K17" s="174">
        <v>4.4000000000000004</v>
      </c>
      <c r="L17" s="174">
        <v>6.6</v>
      </c>
      <c r="M17" s="12" t="s">
        <v>2682</v>
      </c>
      <c r="N17" s="12" t="s">
        <v>2321</v>
      </c>
      <c r="O17" s="157" t="s">
        <v>2315</v>
      </c>
      <c r="P17" s="159" t="s">
        <v>2683</v>
      </c>
      <c r="R17" s="25" t="s">
        <v>6</v>
      </c>
      <c r="S17" s="32">
        <f>SUM(S6:S16)</f>
        <v>103</v>
      </c>
      <c r="T17" s="32">
        <f>SUM(T6:T16)</f>
        <v>1044</v>
      </c>
      <c r="U17" s="32">
        <f>SUM(U6:U16)</f>
        <v>417.60000000000008</v>
      </c>
      <c r="V17" s="32">
        <f>SUM(V6:V16)</f>
        <v>626.4</v>
      </c>
      <c r="W17" s="32">
        <f>'WBS(テスト)'!$C$60</f>
        <v>363</v>
      </c>
      <c r="X17" s="163">
        <f>SUM(X6:X16)</f>
        <v>1044</v>
      </c>
    </row>
    <row r="18" spans="1:24">
      <c r="A18" s="50" t="s">
        <v>2362</v>
      </c>
      <c r="B18" s="6" t="s">
        <v>511</v>
      </c>
      <c r="C18" s="6" t="s">
        <v>2363</v>
      </c>
      <c r="D18" s="12" t="s">
        <v>2364</v>
      </c>
      <c r="E18" s="6" t="s">
        <v>2365</v>
      </c>
      <c r="F18" s="6" t="s">
        <v>2366</v>
      </c>
      <c r="G18" s="157" t="s">
        <v>2351</v>
      </c>
      <c r="H18" s="12" t="s">
        <v>512</v>
      </c>
      <c r="I18" s="12" t="s">
        <v>2331</v>
      </c>
      <c r="J18" s="176">
        <v>22</v>
      </c>
      <c r="K18" s="174">
        <v>8.8000000000000007</v>
      </c>
      <c r="L18" s="174">
        <v>13.2</v>
      </c>
      <c r="M18" s="12" t="s">
        <v>2682</v>
      </c>
      <c r="N18" s="12" t="s">
        <v>2321</v>
      </c>
      <c r="O18" s="157" t="s">
        <v>2315</v>
      </c>
      <c r="P18" s="159" t="s">
        <v>2683</v>
      </c>
      <c r="R18" s="1"/>
      <c r="S18" s="1"/>
      <c r="T18" s="1"/>
      <c r="U18" s="1"/>
      <c r="V18" s="1"/>
      <c r="W18" s="1"/>
      <c r="X18" s="1"/>
    </row>
    <row r="19" spans="1:24">
      <c r="A19" s="50" t="s">
        <v>2367</v>
      </c>
      <c r="B19" s="6" t="s">
        <v>511</v>
      </c>
      <c r="C19" s="6" t="s">
        <v>2368</v>
      </c>
      <c r="D19" s="12" t="s">
        <v>2369</v>
      </c>
      <c r="E19" s="6" t="s">
        <v>2370</v>
      </c>
      <c r="F19" s="6" t="s">
        <v>2371</v>
      </c>
      <c r="G19" s="157" t="s">
        <v>2372</v>
      </c>
      <c r="H19" s="12" t="s">
        <v>512</v>
      </c>
      <c r="I19" s="12" t="s">
        <v>2331</v>
      </c>
      <c r="J19" s="176">
        <v>22</v>
      </c>
      <c r="K19" s="174">
        <v>8.8000000000000007</v>
      </c>
      <c r="L19" s="174">
        <v>13.2</v>
      </c>
      <c r="M19" s="12" t="s">
        <v>2682</v>
      </c>
      <c r="N19" s="12" t="s">
        <v>2321</v>
      </c>
      <c r="O19" s="157" t="s">
        <v>2315</v>
      </c>
      <c r="P19" s="159" t="s">
        <v>2683</v>
      </c>
      <c r="R19" s="2" t="s">
        <v>2827</v>
      </c>
      <c r="S19" s="1"/>
      <c r="T19" s="1"/>
      <c r="U19" s="1"/>
      <c r="V19" s="1"/>
      <c r="W19" s="1"/>
      <c r="X19" s="1"/>
    </row>
    <row r="20" spans="1:24">
      <c r="A20" s="50" t="s">
        <v>2373</v>
      </c>
      <c r="B20" s="6" t="s">
        <v>511</v>
      </c>
      <c r="C20" s="6" t="s">
        <v>2374</v>
      </c>
      <c r="D20" s="12" t="s">
        <v>2364</v>
      </c>
      <c r="E20" s="6" t="s">
        <v>2375</v>
      </c>
      <c r="F20" s="6" t="s">
        <v>2376</v>
      </c>
      <c r="G20" s="157" t="s">
        <v>2377</v>
      </c>
      <c r="H20" s="12" t="s">
        <v>2312</v>
      </c>
      <c r="I20" s="12" t="s">
        <v>2320</v>
      </c>
      <c r="J20" s="176">
        <v>12</v>
      </c>
      <c r="K20" s="174">
        <v>4.8</v>
      </c>
      <c r="L20" s="174">
        <v>7.2</v>
      </c>
      <c r="M20" s="12" t="s">
        <v>2682</v>
      </c>
      <c r="N20" s="12" t="s">
        <v>2314</v>
      </c>
      <c r="O20" s="157" t="s">
        <v>2315</v>
      </c>
      <c r="P20" s="159" t="s">
        <v>2683</v>
      </c>
      <c r="R20" s="181" t="s">
        <v>2828</v>
      </c>
      <c r="S20" s="182" t="s">
        <v>2829</v>
      </c>
      <c r="T20" s="183" t="s">
        <v>2830</v>
      </c>
      <c r="U20" s="1"/>
      <c r="V20" s="1"/>
      <c r="W20" s="1"/>
      <c r="X20" s="1"/>
    </row>
    <row r="21" spans="1:24">
      <c r="A21" s="50" t="s">
        <v>2378</v>
      </c>
      <c r="B21" s="6" t="s">
        <v>511</v>
      </c>
      <c r="C21" s="6" t="s">
        <v>2379</v>
      </c>
      <c r="D21" s="12" t="s">
        <v>2380</v>
      </c>
      <c r="E21" s="6" t="s">
        <v>2381</v>
      </c>
      <c r="F21" s="6" t="s">
        <v>2382</v>
      </c>
      <c r="G21" s="157" t="s">
        <v>2373</v>
      </c>
      <c r="H21" s="12" t="s">
        <v>2312</v>
      </c>
      <c r="I21" s="12" t="s">
        <v>2320</v>
      </c>
      <c r="J21" s="176">
        <v>10</v>
      </c>
      <c r="K21" s="174">
        <v>4</v>
      </c>
      <c r="L21" s="174">
        <v>6</v>
      </c>
      <c r="M21" s="169" t="s">
        <v>2682</v>
      </c>
      <c r="N21" s="12" t="s">
        <v>2314</v>
      </c>
      <c r="O21" s="157" t="s">
        <v>2315</v>
      </c>
      <c r="P21" s="159" t="s">
        <v>2683</v>
      </c>
      <c r="R21" s="23" t="s">
        <v>2831</v>
      </c>
      <c r="S21" s="31">
        <v>244</v>
      </c>
      <c r="T21" s="29" t="s">
        <v>3096</v>
      </c>
      <c r="U21" s="1"/>
      <c r="V21" s="1"/>
      <c r="W21" s="1"/>
      <c r="X21" s="1"/>
    </row>
    <row r="22" spans="1:24">
      <c r="A22" s="50" t="s">
        <v>2383</v>
      </c>
      <c r="B22" s="6" t="s">
        <v>511</v>
      </c>
      <c r="C22" s="6" t="s">
        <v>2384</v>
      </c>
      <c r="D22" s="12" t="s">
        <v>2328</v>
      </c>
      <c r="E22" s="6" t="s">
        <v>2385</v>
      </c>
      <c r="F22" s="6" t="s">
        <v>2386</v>
      </c>
      <c r="G22" s="157" t="s">
        <v>2387</v>
      </c>
      <c r="H22" s="12" t="s">
        <v>506</v>
      </c>
      <c r="I22" s="12" t="s">
        <v>2320</v>
      </c>
      <c r="J22" s="176">
        <v>11</v>
      </c>
      <c r="K22" s="174">
        <v>4.4000000000000004</v>
      </c>
      <c r="L22" s="174">
        <v>6.6</v>
      </c>
      <c r="M22" s="169" t="s">
        <v>2682</v>
      </c>
      <c r="N22" s="170" t="s">
        <v>2321</v>
      </c>
      <c r="O22" s="157" t="s">
        <v>2315</v>
      </c>
      <c r="P22" s="159" t="s">
        <v>2683</v>
      </c>
      <c r="R22" s="23" t="s">
        <v>2832</v>
      </c>
      <c r="S22" s="31">
        <f>U17</f>
        <v>417.60000000000008</v>
      </c>
      <c r="T22" s="29" t="s">
        <v>2852</v>
      </c>
      <c r="U22" s="1"/>
      <c r="V22" s="1"/>
      <c r="W22" s="1"/>
      <c r="X22" s="1"/>
    </row>
    <row r="23" spans="1:24">
      <c r="A23" s="50" t="s">
        <v>2388</v>
      </c>
      <c r="B23" s="6" t="s">
        <v>511</v>
      </c>
      <c r="C23" s="6" t="s">
        <v>2389</v>
      </c>
      <c r="D23" s="12" t="s">
        <v>2364</v>
      </c>
      <c r="E23" s="6" t="s">
        <v>2390</v>
      </c>
      <c r="F23" s="6" t="s">
        <v>2391</v>
      </c>
      <c r="G23" s="157" t="s">
        <v>2392</v>
      </c>
      <c r="H23" s="12" t="s">
        <v>2312</v>
      </c>
      <c r="I23" s="12" t="s">
        <v>2320</v>
      </c>
      <c r="J23" s="176">
        <v>12</v>
      </c>
      <c r="K23" s="174">
        <v>4.8</v>
      </c>
      <c r="L23" s="174">
        <v>7.2</v>
      </c>
      <c r="M23" s="169" t="s">
        <v>2682</v>
      </c>
      <c r="N23" s="170" t="s">
        <v>2314</v>
      </c>
      <c r="O23" s="157" t="s">
        <v>2315</v>
      </c>
      <c r="P23" s="159" t="s">
        <v>2683</v>
      </c>
      <c r="R23" s="23" t="s">
        <v>2833</v>
      </c>
      <c r="S23" s="31">
        <f>V17</f>
        <v>626.4</v>
      </c>
      <c r="T23" s="29" t="s">
        <v>2853</v>
      </c>
      <c r="U23" s="1"/>
      <c r="V23" s="1"/>
      <c r="W23" s="1"/>
      <c r="X23" s="1"/>
    </row>
    <row r="24" spans="1:24">
      <c r="A24" s="50" t="s">
        <v>2698</v>
      </c>
      <c r="B24" s="6" t="s">
        <v>511</v>
      </c>
      <c r="C24" s="6" t="s">
        <v>2699</v>
      </c>
      <c r="D24" s="12" t="s">
        <v>2364</v>
      </c>
      <c r="E24" s="6" t="s">
        <v>2700</v>
      </c>
      <c r="F24" s="6" t="s">
        <v>2701</v>
      </c>
      <c r="G24" s="157" t="s">
        <v>2373</v>
      </c>
      <c r="H24" s="12" t="s">
        <v>2312</v>
      </c>
      <c r="I24" s="12" t="s">
        <v>2320</v>
      </c>
      <c r="J24" s="176">
        <v>9</v>
      </c>
      <c r="K24" s="174">
        <v>3.6</v>
      </c>
      <c r="L24" s="174">
        <v>5.4</v>
      </c>
      <c r="M24" s="169" t="s">
        <v>2682</v>
      </c>
      <c r="N24" s="171" t="s">
        <v>2314</v>
      </c>
      <c r="O24" s="157" t="s">
        <v>2691</v>
      </c>
      <c r="P24" s="159" t="s">
        <v>983</v>
      </c>
      <c r="R24" s="23" t="s">
        <v>2834</v>
      </c>
      <c r="S24" s="31">
        <f>'WBS(テスト)'!$C$60</f>
        <v>363</v>
      </c>
      <c r="T24" s="29" t="s">
        <v>3288</v>
      </c>
      <c r="U24" s="1"/>
      <c r="V24" s="1"/>
      <c r="W24" s="1"/>
      <c r="X24" s="1"/>
    </row>
    <row r="25" spans="1:24">
      <c r="A25" s="50" t="s">
        <v>2702</v>
      </c>
      <c r="B25" s="6" t="s">
        <v>511</v>
      </c>
      <c r="C25" s="6" t="s">
        <v>2703</v>
      </c>
      <c r="D25" s="12" t="s">
        <v>2364</v>
      </c>
      <c r="E25" s="6" t="s">
        <v>2704</v>
      </c>
      <c r="F25" s="6" t="s">
        <v>2705</v>
      </c>
      <c r="G25" s="157" t="s">
        <v>2367</v>
      </c>
      <c r="H25" s="12" t="s">
        <v>2312</v>
      </c>
      <c r="I25" s="12" t="s">
        <v>2320</v>
      </c>
      <c r="J25" s="176">
        <v>9</v>
      </c>
      <c r="K25" s="174">
        <v>3.6</v>
      </c>
      <c r="L25" s="174">
        <v>5.4</v>
      </c>
      <c r="M25" s="169" t="s">
        <v>2682</v>
      </c>
      <c r="N25" s="171" t="s">
        <v>2314</v>
      </c>
      <c r="O25" s="157" t="s">
        <v>2691</v>
      </c>
      <c r="P25" s="159" t="s">
        <v>982</v>
      </c>
      <c r="R25" s="179" t="s">
        <v>2835</v>
      </c>
      <c r="S25" s="166">
        <f>S22+S23+S24</f>
        <v>1407</v>
      </c>
      <c r="T25" s="180"/>
      <c r="U25" s="1"/>
      <c r="V25" s="1"/>
      <c r="W25" s="1"/>
      <c r="X25" s="1"/>
    </row>
    <row r="26" spans="1:24">
      <c r="A26" s="50" t="s">
        <v>2706</v>
      </c>
      <c r="B26" s="6" t="s">
        <v>511</v>
      </c>
      <c r="C26" s="6" t="s">
        <v>2707</v>
      </c>
      <c r="D26" s="12" t="s">
        <v>2426</v>
      </c>
      <c r="E26" s="6" t="s">
        <v>2708</v>
      </c>
      <c r="F26" s="6" t="s">
        <v>2709</v>
      </c>
      <c r="G26" s="157" t="s">
        <v>2362</v>
      </c>
      <c r="H26" s="12" t="s">
        <v>2312</v>
      </c>
      <c r="I26" s="12" t="s">
        <v>2313</v>
      </c>
      <c r="J26" s="176">
        <v>6</v>
      </c>
      <c r="K26" s="174">
        <v>2.4</v>
      </c>
      <c r="L26" s="174">
        <v>3.6</v>
      </c>
      <c r="M26" s="169" t="s">
        <v>2682</v>
      </c>
      <c r="N26" s="171" t="s">
        <v>2314</v>
      </c>
      <c r="O26" s="157" t="s">
        <v>2691</v>
      </c>
      <c r="P26" s="159" t="s">
        <v>981</v>
      </c>
      <c r="R26" s="25" t="s">
        <v>2836</v>
      </c>
      <c r="S26" s="32">
        <f>S21+S25</f>
        <v>1651</v>
      </c>
      <c r="T26" s="184"/>
      <c r="U26" s="1" t="str">
        <f>IF(AND(ROUND(S25,0)=1244,ROUND(S26,0)=1488),"✓ レポート§9と一致","⚠ 不一致")</f>
        <v>⚠ 不一致</v>
      </c>
      <c r="V26" s="1"/>
      <c r="W26" s="1"/>
      <c r="X26" s="1"/>
    </row>
    <row r="27" spans="1:24">
      <c r="A27" s="50" t="s">
        <v>2393</v>
      </c>
      <c r="B27" s="6" t="s">
        <v>1114</v>
      </c>
      <c r="C27" s="6" t="s">
        <v>2394</v>
      </c>
      <c r="D27" s="12" t="s">
        <v>2395</v>
      </c>
      <c r="E27" s="6" t="s">
        <v>2396</v>
      </c>
      <c r="F27" s="6" t="s">
        <v>2397</v>
      </c>
      <c r="G27" s="157" t="s">
        <v>2322</v>
      </c>
      <c r="H27" s="12" t="s">
        <v>2312</v>
      </c>
      <c r="I27" s="12" t="s">
        <v>2320</v>
      </c>
      <c r="J27" s="176">
        <v>10</v>
      </c>
      <c r="K27" s="174">
        <v>4</v>
      </c>
      <c r="L27" s="174">
        <v>6</v>
      </c>
      <c r="M27" s="169" t="s">
        <v>2682</v>
      </c>
      <c r="N27" s="171" t="s">
        <v>2314</v>
      </c>
      <c r="O27" s="157" t="s">
        <v>2315</v>
      </c>
      <c r="P27" s="159" t="s">
        <v>2683</v>
      </c>
    </row>
    <row r="28" spans="1:24">
      <c r="A28" s="50" t="s">
        <v>2398</v>
      </c>
      <c r="B28" s="6" t="s">
        <v>1114</v>
      </c>
      <c r="C28" s="6" t="s">
        <v>2399</v>
      </c>
      <c r="D28" s="12" t="s">
        <v>2400</v>
      </c>
      <c r="E28" s="6" t="s">
        <v>2401</v>
      </c>
      <c r="F28" s="6" t="s">
        <v>2710</v>
      </c>
      <c r="G28" s="157" t="s">
        <v>2393</v>
      </c>
      <c r="H28" s="12" t="s">
        <v>2312</v>
      </c>
      <c r="I28" s="12" t="s">
        <v>2313</v>
      </c>
      <c r="J28" s="176">
        <v>5</v>
      </c>
      <c r="K28" s="174">
        <v>2</v>
      </c>
      <c r="L28" s="174">
        <v>3</v>
      </c>
      <c r="M28" s="12" t="s">
        <v>2682</v>
      </c>
      <c r="N28" s="12" t="s">
        <v>2314</v>
      </c>
      <c r="O28" s="157" t="s">
        <v>2315</v>
      </c>
      <c r="P28" s="159" t="s">
        <v>2683</v>
      </c>
      <c r="R28" s="178" t="s">
        <v>2837</v>
      </c>
    </row>
    <row r="29" spans="1:24">
      <c r="A29" s="50" t="s">
        <v>2402</v>
      </c>
      <c r="B29" s="6" t="s">
        <v>1114</v>
      </c>
      <c r="C29" s="6" t="s">
        <v>2403</v>
      </c>
      <c r="D29" s="12" t="s">
        <v>2404</v>
      </c>
      <c r="E29" s="6" t="s">
        <v>2405</v>
      </c>
      <c r="F29" s="6" t="s">
        <v>2711</v>
      </c>
      <c r="G29" s="157" t="s">
        <v>2406</v>
      </c>
      <c r="H29" s="12" t="s">
        <v>2312</v>
      </c>
      <c r="I29" s="12" t="s">
        <v>2320</v>
      </c>
      <c r="J29" s="176">
        <v>12</v>
      </c>
      <c r="K29" s="174">
        <v>4.8</v>
      </c>
      <c r="L29" s="174">
        <v>7.2</v>
      </c>
      <c r="M29" s="12" t="s">
        <v>2682</v>
      </c>
      <c r="N29" s="12" t="s">
        <v>2314</v>
      </c>
      <c r="O29" s="157" t="s">
        <v>2315</v>
      </c>
      <c r="P29" s="159" t="s">
        <v>2683</v>
      </c>
      <c r="R29" s="58" t="s">
        <v>2838</v>
      </c>
      <c r="S29" s="59" t="s">
        <v>2839</v>
      </c>
    </row>
    <row r="30" spans="1:24">
      <c r="A30" s="50" t="s">
        <v>2407</v>
      </c>
      <c r="B30" s="6" t="s">
        <v>1114</v>
      </c>
      <c r="C30" s="6" t="s">
        <v>2408</v>
      </c>
      <c r="D30" s="12" t="s">
        <v>2364</v>
      </c>
      <c r="E30" s="6" t="s">
        <v>2409</v>
      </c>
      <c r="F30" s="6" t="s">
        <v>2410</v>
      </c>
      <c r="G30" s="157" t="s">
        <v>2411</v>
      </c>
      <c r="H30" s="12" t="s">
        <v>2312</v>
      </c>
      <c r="I30" s="12" t="s">
        <v>2320</v>
      </c>
      <c r="J30" s="176">
        <v>12</v>
      </c>
      <c r="K30" s="174">
        <v>4.8</v>
      </c>
      <c r="L30" s="174">
        <v>7.2</v>
      </c>
      <c r="M30" s="12" t="s">
        <v>2682</v>
      </c>
      <c r="N30" s="12" t="s">
        <v>2314</v>
      </c>
      <c r="O30" s="157" t="s">
        <v>2315</v>
      </c>
      <c r="P30" s="159" t="s">
        <v>2683</v>
      </c>
      <c r="R30" s="58" t="s">
        <v>2840</v>
      </c>
      <c r="S30" s="59" t="s">
        <v>2841</v>
      </c>
    </row>
    <row r="31" spans="1:24" ht="34">
      <c r="A31" s="50" t="s">
        <v>2412</v>
      </c>
      <c r="B31" s="6" t="s">
        <v>1114</v>
      </c>
      <c r="C31" s="6" t="s">
        <v>2413</v>
      </c>
      <c r="D31" s="12" t="s">
        <v>2364</v>
      </c>
      <c r="E31" s="6" t="s">
        <v>2414</v>
      </c>
      <c r="F31" s="6" t="s">
        <v>2415</v>
      </c>
      <c r="G31" s="157" t="s">
        <v>2416</v>
      </c>
      <c r="H31" s="12" t="s">
        <v>2312</v>
      </c>
      <c r="I31" s="12" t="s">
        <v>2313</v>
      </c>
      <c r="J31" s="176">
        <v>5</v>
      </c>
      <c r="K31" s="174">
        <v>2</v>
      </c>
      <c r="L31" s="174">
        <v>3</v>
      </c>
      <c r="M31" s="12" t="s">
        <v>2682</v>
      </c>
      <c r="N31" s="12" t="s">
        <v>2314</v>
      </c>
      <c r="O31" s="157" t="s">
        <v>2315</v>
      </c>
      <c r="P31" s="159" t="s">
        <v>2683</v>
      </c>
      <c r="R31" s="58" t="s">
        <v>2842</v>
      </c>
      <c r="S31" s="59" t="s">
        <v>2843</v>
      </c>
    </row>
    <row r="32" spans="1:24" ht="34">
      <c r="A32" s="50" t="s">
        <v>2417</v>
      </c>
      <c r="B32" s="6" t="s">
        <v>1114</v>
      </c>
      <c r="C32" s="6" t="s">
        <v>2418</v>
      </c>
      <c r="D32" s="12" t="s">
        <v>2419</v>
      </c>
      <c r="E32" s="6" t="s">
        <v>2420</v>
      </c>
      <c r="F32" s="6" t="s">
        <v>2421</v>
      </c>
      <c r="G32" s="157" t="s">
        <v>2422</v>
      </c>
      <c r="H32" s="12" t="s">
        <v>2312</v>
      </c>
      <c r="I32" s="12" t="s">
        <v>2320</v>
      </c>
      <c r="J32" s="176">
        <v>10</v>
      </c>
      <c r="K32" s="174">
        <v>4</v>
      </c>
      <c r="L32" s="174">
        <v>6</v>
      </c>
      <c r="M32" s="12" t="s">
        <v>2682</v>
      </c>
      <c r="N32" s="12" t="s">
        <v>2423</v>
      </c>
      <c r="O32" s="157" t="s">
        <v>2315</v>
      </c>
      <c r="P32" s="159" t="s">
        <v>2683</v>
      </c>
      <c r="R32" s="58" t="s">
        <v>2844</v>
      </c>
      <c r="S32" s="59" t="s">
        <v>2845</v>
      </c>
    </row>
    <row r="33" spans="1:19">
      <c r="A33" s="50" t="s">
        <v>2424</v>
      </c>
      <c r="B33" s="6" t="s">
        <v>1114</v>
      </c>
      <c r="C33" s="6" t="s">
        <v>2425</v>
      </c>
      <c r="D33" s="12" t="s">
        <v>2426</v>
      </c>
      <c r="E33" s="6" t="s">
        <v>2427</v>
      </c>
      <c r="F33" s="6" t="s">
        <v>2428</v>
      </c>
      <c r="G33" s="157" t="s">
        <v>2398</v>
      </c>
      <c r="H33" s="12" t="s">
        <v>2312</v>
      </c>
      <c r="I33" s="12" t="s">
        <v>2313</v>
      </c>
      <c r="J33" s="176">
        <v>3</v>
      </c>
      <c r="K33" s="174">
        <v>1.2</v>
      </c>
      <c r="L33" s="174">
        <v>1.8</v>
      </c>
      <c r="M33" s="12" t="s">
        <v>2682</v>
      </c>
      <c r="N33" s="12" t="s">
        <v>2429</v>
      </c>
      <c r="O33" s="157" t="s">
        <v>2315</v>
      </c>
      <c r="P33" s="159" t="s">
        <v>2683</v>
      </c>
      <c r="R33" s="58" t="s">
        <v>2846</v>
      </c>
      <c r="S33" s="59" t="s">
        <v>2847</v>
      </c>
    </row>
    <row r="34" spans="1:19">
      <c r="A34" s="50" t="s">
        <v>2430</v>
      </c>
      <c r="B34" s="6" t="s">
        <v>1114</v>
      </c>
      <c r="C34" s="6" t="s">
        <v>2431</v>
      </c>
      <c r="D34" s="12" t="s">
        <v>2400</v>
      </c>
      <c r="E34" s="6" t="s">
        <v>2432</v>
      </c>
      <c r="F34" s="6" t="s">
        <v>2433</v>
      </c>
      <c r="G34" s="157" t="s">
        <v>2406</v>
      </c>
      <c r="H34" s="12" t="s">
        <v>2312</v>
      </c>
      <c r="I34" s="12" t="s">
        <v>2313</v>
      </c>
      <c r="J34" s="176">
        <v>4</v>
      </c>
      <c r="K34" s="174">
        <v>1.6</v>
      </c>
      <c r="L34" s="174">
        <v>2.4</v>
      </c>
      <c r="M34" s="12" t="s">
        <v>2682</v>
      </c>
      <c r="N34" s="12" t="s">
        <v>2321</v>
      </c>
      <c r="O34" s="157" t="s">
        <v>2315</v>
      </c>
      <c r="P34" s="159" t="s">
        <v>2683</v>
      </c>
      <c r="R34" s="58" t="s">
        <v>2848</v>
      </c>
      <c r="S34" s="59" t="s">
        <v>2849</v>
      </c>
    </row>
    <row r="35" spans="1:19">
      <c r="A35" s="50" t="s">
        <v>2434</v>
      </c>
      <c r="B35" s="6" t="s">
        <v>1114</v>
      </c>
      <c r="C35" s="6" t="s">
        <v>1494</v>
      </c>
      <c r="D35" s="12" t="s">
        <v>2435</v>
      </c>
      <c r="E35" s="6" t="s">
        <v>2436</v>
      </c>
      <c r="F35" s="6" t="s">
        <v>2437</v>
      </c>
      <c r="G35" s="157" t="s">
        <v>2393</v>
      </c>
      <c r="H35" s="12" t="s">
        <v>2312</v>
      </c>
      <c r="I35" s="12" t="s">
        <v>2313</v>
      </c>
      <c r="J35" s="176">
        <v>5</v>
      </c>
      <c r="K35" s="174">
        <v>2</v>
      </c>
      <c r="L35" s="174">
        <v>3</v>
      </c>
      <c r="M35" s="12" t="s">
        <v>2682</v>
      </c>
      <c r="N35" s="12" t="s">
        <v>2314</v>
      </c>
      <c r="O35" s="157" t="s">
        <v>2438</v>
      </c>
      <c r="P35" s="159" t="s">
        <v>2683</v>
      </c>
      <c r="R35" s="58" t="s">
        <v>2850</v>
      </c>
      <c r="S35" s="59" t="s">
        <v>2851</v>
      </c>
    </row>
    <row r="36" spans="1:19">
      <c r="A36" s="50" t="s">
        <v>2439</v>
      </c>
      <c r="B36" s="6" t="s">
        <v>1114</v>
      </c>
      <c r="C36" s="6" t="s">
        <v>1495</v>
      </c>
      <c r="D36" s="12" t="s">
        <v>2308</v>
      </c>
      <c r="E36" s="6" t="s">
        <v>2440</v>
      </c>
      <c r="F36" s="6" t="s">
        <v>2441</v>
      </c>
      <c r="G36" s="157" t="s">
        <v>2402</v>
      </c>
      <c r="H36" s="12" t="s">
        <v>2312</v>
      </c>
      <c r="I36" s="12" t="s">
        <v>2313</v>
      </c>
      <c r="J36" s="176">
        <v>4</v>
      </c>
      <c r="K36" s="174">
        <v>1.6</v>
      </c>
      <c r="L36" s="174">
        <v>2.4</v>
      </c>
      <c r="M36" s="12" t="s">
        <v>2682</v>
      </c>
      <c r="N36" s="12" t="s">
        <v>2314</v>
      </c>
      <c r="O36" s="157" t="s">
        <v>2438</v>
      </c>
      <c r="P36" s="159" t="s">
        <v>2683</v>
      </c>
    </row>
    <row r="37" spans="1:19">
      <c r="A37" s="50" t="s">
        <v>2712</v>
      </c>
      <c r="B37" s="6" t="s">
        <v>1114</v>
      </c>
      <c r="C37" s="6" t="s">
        <v>2713</v>
      </c>
      <c r="D37" s="12" t="s">
        <v>2426</v>
      </c>
      <c r="E37" s="6" t="s">
        <v>2714</v>
      </c>
      <c r="F37" s="6" t="s">
        <v>2715</v>
      </c>
      <c r="G37" s="157" t="s">
        <v>2439</v>
      </c>
      <c r="H37" s="12" t="s">
        <v>2312</v>
      </c>
      <c r="I37" s="12" t="s">
        <v>2313</v>
      </c>
      <c r="J37" s="176">
        <v>4</v>
      </c>
      <c r="K37" s="174">
        <v>1.6</v>
      </c>
      <c r="L37" s="174">
        <v>2.4</v>
      </c>
      <c r="M37" s="12" t="s">
        <v>2682</v>
      </c>
      <c r="N37" s="12" t="s">
        <v>2314</v>
      </c>
      <c r="O37" s="157" t="s">
        <v>2691</v>
      </c>
      <c r="P37" s="159" t="s">
        <v>1496</v>
      </c>
    </row>
    <row r="38" spans="1:19">
      <c r="A38" s="50" t="s">
        <v>2442</v>
      </c>
      <c r="B38" s="6" t="s">
        <v>984</v>
      </c>
      <c r="C38" s="6" t="s">
        <v>2443</v>
      </c>
      <c r="D38" s="12" t="s">
        <v>2308</v>
      </c>
      <c r="E38" s="6" t="s">
        <v>2444</v>
      </c>
      <c r="F38" s="6" t="s">
        <v>2445</v>
      </c>
      <c r="G38" s="157" t="s">
        <v>2332</v>
      </c>
      <c r="H38" s="12" t="s">
        <v>2312</v>
      </c>
      <c r="I38" s="12" t="s">
        <v>2313</v>
      </c>
      <c r="J38" s="176">
        <v>5</v>
      </c>
      <c r="K38" s="174">
        <v>2</v>
      </c>
      <c r="L38" s="174">
        <v>3</v>
      </c>
      <c r="M38" s="12" t="s">
        <v>2682</v>
      </c>
      <c r="N38" s="12" t="s">
        <v>2314</v>
      </c>
      <c r="O38" s="157" t="s">
        <v>2315</v>
      </c>
      <c r="P38" s="159" t="s">
        <v>2683</v>
      </c>
    </row>
    <row r="39" spans="1:19">
      <c r="A39" s="50" t="s">
        <v>2446</v>
      </c>
      <c r="B39" s="6" t="s">
        <v>984</v>
      </c>
      <c r="C39" s="6" t="s">
        <v>2447</v>
      </c>
      <c r="D39" s="12" t="s">
        <v>2308</v>
      </c>
      <c r="E39" s="6" t="s">
        <v>2448</v>
      </c>
      <c r="F39" s="6" t="s">
        <v>2449</v>
      </c>
      <c r="G39" s="157" t="s">
        <v>2442</v>
      </c>
      <c r="H39" s="12" t="s">
        <v>2312</v>
      </c>
      <c r="I39" s="12" t="s">
        <v>2320</v>
      </c>
      <c r="J39" s="176">
        <v>8</v>
      </c>
      <c r="K39" s="174">
        <v>3.2</v>
      </c>
      <c r="L39" s="174">
        <v>4.8</v>
      </c>
      <c r="M39" s="12" t="s">
        <v>2682</v>
      </c>
      <c r="N39" s="12" t="s">
        <v>2314</v>
      </c>
      <c r="O39" s="157" t="s">
        <v>2315</v>
      </c>
      <c r="P39" s="159" t="s">
        <v>2683</v>
      </c>
    </row>
    <row r="40" spans="1:19">
      <c r="A40" s="50" t="s">
        <v>2450</v>
      </c>
      <c r="B40" s="6" t="s">
        <v>984</v>
      </c>
      <c r="C40" s="6" t="s">
        <v>2451</v>
      </c>
      <c r="D40" s="12" t="s">
        <v>2380</v>
      </c>
      <c r="E40" s="6" t="s">
        <v>2452</v>
      </c>
      <c r="F40" s="6" t="s">
        <v>2453</v>
      </c>
      <c r="G40" s="157" t="s">
        <v>2454</v>
      </c>
      <c r="H40" s="12" t="s">
        <v>2312</v>
      </c>
      <c r="I40" s="12" t="s">
        <v>2320</v>
      </c>
      <c r="J40" s="176">
        <v>12</v>
      </c>
      <c r="K40" s="174">
        <v>4.8</v>
      </c>
      <c r="L40" s="174">
        <v>7.2</v>
      </c>
      <c r="M40" s="12" t="s">
        <v>2682</v>
      </c>
      <c r="N40" s="12" t="s">
        <v>2314</v>
      </c>
      <c r="O40" s="157" t="s">
        <v>2315</v>
      </c>
      <c r="P40" s="159" t="s">
        <v>2683</v>
      </c>
    </row>
    <row r="41" spans="1:19">
      <c r="A41" s="50" t="s">
        <v>2455</v>
      </c>
      <c r="B41" s="6" t="s">
        <v>984</v>
      </c>
      <c r="C41" s="6" t="s">
        <v>2456</v>
      </c>
      <c r="D41" s="12" t="s">
        <v>2308</v>
      </c>
      <c r="E41" s="6" t="s">
        <v>2457</v>
      </c>
      <c r="F41" s="6" t="s">
        <v>2458</v>
      </c>
      <c r="G41" s="157" t="s">
        <v>2459</v>
      </c>
      <c r="H41" s="12" t="s">
        <v>2312</v>
      </c>
      <c r="I41" s="12" t="s">
        <v>2313</v>
      </c>
      <c r="J41" s="176">
        <v>5</v>
      </c>
      <c r="K41" s="174">
        <v>2</v>
      </c>
      <c r="L41" s="174">
        <v>3</v>
      </c>
      <c r="M41" s="12" t="s">
        <v>2682</v>
      </c>
      <c r="N41" s="12" t="s">
        <v>2314</v>
      </c>
      <c r="O41" s="157" t="s">
        <v>2315</v>
      </c>
      <c r="P41" s="159" t="s">
        <v>2683</v>
      </c>
    </row>
    <row r="42" spans="1:19">
      <c r="A42" s="50" t="s">
        <v>2416</v>
      </c>
      <c r="B42" s="6" t="s">
        <v>984</v>
      </c>
      <c r="C42" s="6" t="s">
        <v>2460</v>
      </c>
      <c r="D42" s="12" t="s">
        <v>2461</v>
      </c>
      <c r="E42" s="6" t="s">
        <v>2462</v>
      </c>
      <c r="F42" s="6" t="s">
        <v>2463</v>
      </c>
      <c r="G42" s="157" t="s">
        <v>2442</v>
      </c>
      <c r="H42" s="12" t="s">
        <v>2312</v>
      </c>
      <c r="I42" s="12" t="s">
        <v>2320</v>
      </c>
      <c r="J42" s="176">
        <v>10</v>
      </c>
      <c r="K42" s="174">
        <v>4</v>
      </c>
      <c r="L42" s="174">
        <v>6</v>
      </c>
      <c r="M42" s="12" t="s">
        <v>2682</v>
      </c>
      <c r="N42" s="12" t="s">
        <v>2314</v>
      </c>
      <c r="O42" s="157" t="s">
        <v>2315</v>
      </c>
      <c r="P42" s="159" t="s">
        <v>2683</v>
      </c>
    </row>
    <row r="43" spans="1:19">
      <c r="A43" s="50" t="s">
        <v>2464</v>
      </c>
      <c r="B43" s="6" t="s">
        <v>984</v>
      </c>
      <c r="C43" s="6" t="s">
        <v>1529</v>
      </c>
      <c r="D43" s="12" t="s">
        <v>2364</v>
      </c>
      <c r="E43" s="6" t="s">
        <v>2465</v>
      </c>
      <c r="F43" s="6" t="s">
        <v>2466</v>
      </c>
      <c r="G43" s="157" t="s">
        <v>2467</v>
      </c>
      <c r="H43" s="12" t="s">
        <v>1506</v>
      </c>
      <c r="I43" s="12" t="s">
        <v>2331</v>
      </c>
      <c r="J43" s="176">
        <v>20</v>
      </c>
      <c r="K43" s="174">
        <v>8</v>
      </c>
      <c r="L43" s="174">
        <v>12</v>
      </c>
      <c r="M43" s="12" t="s">
        <v>2682</v>
      </c>
      <c r="N43" s="12" t="s">
        <v>2321</v>
      </c>
      <c r="O43" s="157" t="s">
        <v>2438</v>
      </c>
      <c r="P43" s="159" t="s">
        <v>2683</v>
      </c>
    </row>
    <row r="44" spans="1:19">
      <c r="A44" s="50" t="s">
        <v>2468</v>
      </c>
      <c r="B44" s="6" t="s">
        <v>984</v>
      </c>
      <c r="C44" s="6" t="s">
        <v>2469</v>
      </c>
      <c r="D44" s="12" t="s">
        <v>2308</v>
      </c>
      <c r="E44" s="6" t="s">
        <v>2470</v>
      </c>
      <c r="F44" s="6" t="s">
        <v>3291</v>
      </c>
      <c r="G44" s="157" t="s">
        <v>2471</v>
      </c>
      <c r="H44" s="12" t="s">
        <v>2312</v>
      </c>
      <c r="I44" s="12" t="s">
        <v>2320</v>
      </c>
      <c r="J44" s="176">
        <v>10</v>
      </c>
      <c r="K44" s="174">
        <v>4</v>
      </c>
      <c r="L44" s="174">
        <v>6</v>
      </c>
      <c r="M44" s="12" t="s">
        <v>2682</v>
      </c>
      <c r="N44" s="12" t="s">
        <v>2314</v>
      </c>
      <c r="O44" s="157" t="s">
        <v>2438</v>
      </c>
      <c r="P44" s="159" t="s">
        <v>2683</v>
      </c>
    </row>
    <row r="45" spans="1:19">
      <c r="A45" s="50" t="s">
        <v>2716</v>
      </c>
      <c r="B45" s="6" t="s">
        <v>984</v>
      </c>
      <c r="C45" s="6" t="s">
        <v>2717</v>
      </c>
      <c r="D45" s="12" t="s">
        <v>2496</v>
      </c>
      <c r="E45" s="6" t="s">
        <v>2718</v>
      </c>
      <c r="F45" s="6" t="s">
        <v>2719</v>
      </c>
      <c r="G45" s="157" t="s">
        <v>2442</v>
      </c>
      <c r="H45" s="12" t="s">
        <v>2312</v>
      </c>
      <c r="I45" s="12" t="s">
        <v>2313</v>
      </c>
      <c r="J45" s="176">
        <v>4</v>
      </c>
      <c r="K45" s="174">
        <v>1.6</v>
      </c>
      <c r="L45" s="174">
        <v>2.4</v>
      </c>
      <c r="M45" s="12" t="s">
        <v>2689</v>
      </c>
      <c r="N45" s="12" t="s">
        <v>2720</v>
      </c>
      <c r="O45" s="157" t="s">
        <v>2691</v>
      </c>
      <c r="P45" s="159" t="s">
        <v>1491</v>
      </c>
    </row>
    <row r="46" spans="1:19">
      <c r="A46" s="50" t="s">
        <v>2311</v>
      </c>
      <c r="B46" s="6" t="s">
        <v>514</v>
      </c>
      <c r="C46" s="6" t="s">
        <v>2472</v>
      </c>
      <c r="D46" s="12" t="s">
        <v>2353</v>
      </c>
      <c r="E46" s="6" t="s">
        <v>2473</v>
      </c>
      <c r="F46" s="6" t="s">
        <v>2474</v>
      </c>
      <c r="G46" s="157" t="s">
        <v>2475</v>
      </c>
      <c r="H46" s="12" t="s">
        <v>2312</v>
      </c>
      <c r="I46" s="12" t="s">
        <v>2320</v>
      </c>
      <c r="J46" s="176">
        <v>12</v>
      </c>
      <c r="K46" s="174">
        <v>4.8</v>
      </c>
      <c r="L46" s="174">
        <v>7.2</v>
      </c>
      <c r="M46" s="12" t="s">
        <v>2682</v>
      </c>
      <c r="N46" s="12" t="s">
        <v>2314</v>
      </c>
      <c r="O46" s="157" t="s">
        <v>2315</v>
      </c>
      <c r="P46" s="159" t="s">
        <v>2683</v>
      </c>
    </row>
    <row r="47" spans="1:19">
      <c r="A47" s="50" t="s">
        <v>2350</v>
      </c>
      <c r="B47" s="6" t="s">
        <v>514</v>
      </c>
      <c r="C47" s="6" t="s">
        <v>2476</v>
      </c>
      <c r="D47" s="12" t="s">
        <v>2353</v>
      </c>
      <c r="E47" s="6" t="s">
        <v>2477</v>
      </c>
      <c r="F47" s="6" t="s">
        <v>2478</v>
      </c>
      <c r="G47" s="157" t="s">
        <v>2311</v>
      </c>
      <c r="H47" s="12" t="s">
        <v>503</v>
      </c>
      <c r="I47" s="12" t="s">
        <v>2331</v>
      </c>
      <c r="J47" s="176">
        <v>24</v>
      </c>
      <c r="K47" s="174">
        <v>9.6</v>
      </c>
      <c r="L47" s="174">
        <v>14.4</v>
      </c>
      <c r="M47" s="12" t="s">
        <v>2682</v>
      </c>
      <c r="N47" s="12" t="s">
        <v>2321</v>
      </c>
      <c r="O47" s="157" t="s">
        <v>2315</v>
      </c>
      <c r="P47" s="159" t="s">
        <v>2683</v>
      </c>
    </row>
    <row r="48" spans="1:19">
      <c r="A48" s="50" t="s">
        <v>2356</v>
      </c>
      <c r="B48" s="6" t="s">
        <v>514</v>
      </c>
      <c r="C48" s="6" t="s">
        <v>2479</v>
      </c>
      <c r="D48" s="12" t="s">
        <v>2353</v>
      </c>
      <c r="E48" s="6" t="s">
        <v>2480</v>
      </c>
      <c r="F48" s="6" t="s">
        <v>2721</v>
      </c>
      <c r="G48" s="157" t="s">
        <v>2481</v>
      </c>
      <c r="H48" s="12" t="s">
        <v>2312</v>
      </c>
      <c r="I48" s="12" t="s">
        <v>2320</v>
      </c>
      <c r="J48" s="176">
        <v>12</v>
      </c>
      <c r="K48" s="174">
        <v>4.8</v>
      </c>
      <c r="L48" s="174">
        <v>7.2</v>
      </c>
      <c r="M48" s="12" t="s">
        <v>2682</v>
      </c>
      <c r="N48" s="12" t="s">
        <v>2314</v>
      </c>
      <c r="O48" s="157" t="s">
        <v>2315</v>
      </c>
      <c r="P48" s="159" t="s">
        <v>2683</v>
      </c>
    </row>
    <row r="49" spans="1:16">
      <c r="A49" s="50" t="s">
        <v>2482</v>
      </c>
      <c r="B49" s="6" t="s">
        <v>514</v>
      </c>
      <c r="C49" s="6" t="s">
        <v>2483</v>
      </c>
      <c r="D49" s="12" t="s">
        <v>2353</v>
      </c>
      <c r="E49" s="6" t="s">
        <v>2484</v>
      </c>
      <c r="F49" s="6" t="s">
        <v>2485</v>
      </c>
      <c r="G49" s="157" t="s">
        <v>2311</v>
      </c>
      <c r="H49" s="12" t="s">
        <v>518</v>
      </c>
      <c r="I49" s="12" t="s">
        <v>2320</v>
      </c>
      <c r="J49" s="176">
        <v>13</v>
      </c>
      <c r="K49" s="174">
        <v>5.2</v>
      </c>
      <c r="L49" s="174">
        <v>7.8</v>
      </c>
      <c r="M49" s="12" t="s">
        <v>2682</v>
      </c>
      <c r="N49" s="12" t="s">
        <v>2321</v>
      </c>
      <c r="O49" s="157" t="s">
        <v>2315</v>
      </c>
      <c r="P49" s="159" t="s">
        <v>2683</v>
      </c>
    </row>
    <row r="50" spans="1:16">
      <c r="A50" s="50" t="s">
        <v>2486</v>
      </c>
      <c r="B50" s="6" t="s">
        <v>514</v>
      </c>
      <c r="C50" s="6" t="s">
        <v>2487</v>
      </c>
      <c r="D50" s="12" t="s">
        <v>2353</v>
      </c>
      <c r="E50" s="6" t="s">
        <v>2488</v>
      </c>
      <c r="F50" s="6" t="s">
        <v>2722</v>
      </c>
      <c r="G50" s="157" t="s">
        <v>2350</v>
      </c>
      <c r="H50" s="12" t="s">
        <v>2312</v>
      </c>
      <c r="I50" s="12" t="s">
        <v>2320</v>
      </c>
      <c r="J50" s="176">
        <v>12</v>
      </c>
      <c r="K50" s="174">
        <v>4.8</v>
      </c>
      <c r="L50" s="174">
        <v>7.2</v>
      </c>
      <c r="M50" s="12" t="s">
        <v>2682</v>
      </c>
      <c r="N50" s="12" t="s">
        <v>2314</v>
      </c>
      <c r="O50" s="157" t="s">
        <v>2315</v>
      </c>
      <c r="P50" s="159" t="s">
        <v>2683</v>
      </c>
    </row>
    <row r="51" spans="1:16">
      <c r="A51" s="50" t="s">
        <v>2489</v>
      </c>
      <c r="B51" s="6" t="s">
        <v>514</v>
      </c>
      <c r="C51" s="6" t="s">
        <v>2490</v>
      </c>
      <c r="D51" s="12" t="s">
        <v>2353</v>
      </c>
      <c r="E51" s="6" t="s">
        <v>2491</v>
      </c>
      <c r="F51" s="6" t="s">
        <v>2492</v>
      </c>
      <c r="G51" s="157" t="s">
        <v>2493</v>
      </c>
      <c r="H51" s="12" t="s">
        <v>2312</v>
      </c>
      <c r="I51" s="12" t="s">
        <v>2320</v>
      </c>
      <c r="J51" s="176">
        <v>10</v>
      </c>
      <c r="K51" s="174">
        <v>4</v>
      </c>
      <c r="L51" s="174">
        <v>6</v>
      </c>
      <c r="M51" s="12" t="s">
        <v>2682</v>
      </c>
      <c r="N51" s="12" t="s">
        <v>2314</v>
      </c>
      <c r="O51" s="157" t="s">
        <v>2315</v>
      </c>
      <c r="P51" s="159" t="s">
        <v>2683</v>
      </c>
    </row>
    <row r="52" spans="1:16">
      <c r="A52" s="50" t="s">
        <v>2494</v>
      </c>
      <c r="B52" s="6" t="s">
        <v>514</v>
      </c>
      <c r="C52" s="6" t="s">
        <v>2495</v>
      </c>
      <c r="D52" s="12" t="s">
        <v>2496</v>
      </c>
      <c r="E52" s="6" t="s">
        <v>2497</v>
      </c>
      <c r="F52" s="6" t="s">
        <v>2498</v>
      </c>
      <c r="G52" s="157" t="s">
        <v>2311</v>
      </c>
      <c r="H52" s="12" t="s">
        <v>518</v>
      </c>
      <c r="I52" s="12" t="s">
        <v>2320</v>
      </c>
      <c r="J52" s="176">
        <v>12</v>
      </c>
      <c r="K52" s="174">
        <v>4.8</v>
      </c>
      <c r="L52" s="174">
        <v>7.2</v>
      </c>
      <c r="M52" s="12" t="s">
        <v>2682</v>
      </c>
      <c r="N52" s="12" t="s">
        <v>2321</v>
      </c>
      <c r="O52" s="157" t="s">
        <v>2315</v>
      </c>
      <c r="P52" s="159" t="s">
        <v>2683</v>
      </c>
    </row>
    <row r="53" spans="1:16">
      <c r="A53" s="50" t="s">
        <v>2499</v>
      </c>
      <c r="B53" s="6" t="s">
        <v>514</v>
      </c>
      <c r="C53" s="6" t="s">
        <v>2500</v>
      </c>
      <c r="D53" s="12" t="s">
        <v>2501</v>
      </c>
      <c r="E53" s="6" t="s">
        <v>2502</v>
      </c>
      <c r="F53" s="6" t="s">
        <v>2503</v>
      </c>
      <c r="G53" s="157" t="s">
        <v>2482</v>
      </c>
      <c r="H53" s="12" t="s">
        <v>2312</v>
      </c>
      <c r="I53" s="12" t="s">
        <v>2313</v>
      </c>
      <c r="J53" s="176">
        <v>5</v>
      </c>
      <c r="K53" s="174">
        <v>2</v>
      </c>
      <c r="L53" s="174">
        <v>3</v>
      </c>
      <c r="M53" s="12" t="s">
        <v>2682</v>
      </c>
      <c r="N53" s="12" t="s">
        <v>2314</v>
      </c>
      <c r="O53" s="157" t="s">
        <v>2315</v>
      </c>
      <c r="P53" s="159" t="s">
        <v>2683</v>
      </c>
    </row>
    <row r="54" spans="1:16">
      <c r="A54" s="50" t="s">
        <v>2504</v>
      </c>
      <c r="B54" s="6" t="s">
        <v>514</v>
      </c>
      <c r="C54" s="6" t="s">
        <v>2505</v>
      </c>
      <c r="D54" s="12" t="s">
        <v>2506</v>
      </c>
      <c r="E54" s="6" t="s">
        <v>2507</v>
      </c>
      <c r="F54" s="6" t="s">
        <v>2508</v>
      </c>
      <c r="G54" s="157" t="s">
        <v>2311</v>
      </c>
      <c r="H54" s="12" t="s">
        <v>2312</v>
      </c>
      <c r="I54" s="12" t="s">
        <v>2313</v>
      </c>
      <c r="J54" s="176">
        <v>5</v>
      </c>
      <c r="K54" s="174">
        <v>2</v>
      </c>
      <c r="L54" s="174">
        <v>3</v>
      </c>
      <c r="M54" s="12" t="s">
        <v>2682</v>
      </c>
      <c r="N54" s="12" t="s">
        <v>2314</v>
      </c>
      <c r="O54" s="157" t="s">
        <v>2315</v>
      </c>
      <c r="P54" s="159" t="s">
        <v>2683</v>
      </c>
    </row>
    <row r="55" spans="1:16">
      <c r="A55" s="50" t="s">
        <v>2509</v>
      </c>
      <c r="B55" s="6" t="s">
        <v>514</v>
      </c>
      <c r="C55" s="6" t="s">
        <v>2510</v>
      </c>
      <c r="D55" s="12" t="s">
        <v>2501</v>
      </c>
      <c r="E55" s="6" t="s">
        <v>2511</v>
      </c>
      <c r="F55" s="6" t="s">
        <v>2512</v>
      </c>
      <c r="G55" s="157" t="s">
        <v>2513</v>
      </c>
      <c r="H55" s="12" t="s">
        <v>2312</v>
      </c>
      <c r="I55" s="12" t="s">
        <v>2320</v>
      </c>
      <c r="J55" s="176">
        <v>9</v>
      </c>
      <c r="K55" s="174">
        <v>3.6</v>
      </c>
      <c r="L55" s="174">
        <v>5.4</v>
      </c>
      <c r="M55" s="12" t="s">
        <v>2682</v>
      </c>
      <c r="N55" s="12" t="s">
        <v>2321</v>
      </c>
      <c r="O55" s="157" t="s">
        <v>2438</v>
      </c>
      <c r="P55" s="159" t="s">
        <v>2683</v>
      </c>
    </row>
    <row r="56" spans="1:16">
      <c r="A56" s="50" t="s">
        <v>2723</v>
      </c>
      <c r="B56" s="6" t="s">
        <v>514</v>
      </c>
      <c r="C56" s="6" t="s">
        <v>2724</v>
      </c>
      <c r="D56" s="12" t="s">
        <v>2353</v>
      </c>
      <c r="E56" s="6" t="s">
        <v>2725</v>
      </c>
      <c r="F56" s="6" t="s">
        <v>2726</v>
      </c>
      <c r="G56" s="157" t="s">
        <v>2486</v>
      </c>
      <c r="H56" s="12" t="s">
        <v>2312</v>
      </c>
      <c r="I56" s="12" t="s">
        <v>2320</v>
      </c>
      <c r="J56" s="176">
        <v>10</v>
      </c>
      <c r="K56" s="174">
        <v>4</v>
      </c>
      <c r="L56" s="174">
        <v>6</v>
      </c>
      <c r="M56" s="12" t="s">
        <v>2682</v>
      </c>
      <c r="N56" s="12" t="s">
        <v>2314</v>
      </c>
      <c r="O56" s="157" t="s">
        <v>2691</v>
      </c>
      <c r="P56" s="159" t="s">
        <v>2727</v>
      </c>
    </row>
    <row r="57" spans="1:16">
      <c r="A57" s="50" t="s">
        <v>2728</v>
      </c>
      <c r="B57" s="6" t="s">
        <v>514</v>
      </c>
      <c r="C57" s="6" t="s">
        <v>2729</v>
      </c>
      <c r="D57" s="12" t="s">
        <v>2353</v>
      </c>
      <c r="E57" s="6" t="s">
        <v>2730</v>
      </c>
      <c r="F57" s="6" t="s">
        <v>2731</v>
      </c>
      <c r="G57" s="157" t="s">
        <v>2311</v>
      </c>
      <c r="H57" s="12" t="s">
        <v>2312</v>
      </c>
      <c r="I57" s="12" t="s">
        <v>2313</v>
      </c>
      <c r="J57" s="176">
        <v>6</v>
      </c>
      <c r="K57" s="174">
        <v>2.4</v>
      </c>
      <c r="L57" s="174">
        <v>3.6</v>
      </c>
      <c r="M57" s="12" t="s">
        <v>2682</v>
      </c>
      <c r="N57" s="12" t="s">
        <v>2314</v>
      </c>
      <c r="O57" s="157" t="s">
        <v>2691</v>
      </c>
      <c r="P57" s="159" t="s">
        <v>2732</v>
      </c>
    </row>
    <row r="58" spans="1:16">
      <c r="A58" s="50" t="s">
        <v>2733</v>
      </c>
      <c r="B58" s="6" t="s">
        <v>514</v>
      </c>
      <c r="C58" s="6" t="s">
        <v>2734</v>
      </c>
      <c r="D58" s="12" t="s">
        <v>2353</v>
      </c>
      <c r="E58" s="6" t="s">
        <v>2735</v>
      </c>
      <c r="F58" s="6" t="s">
        <v>2736</v>
      </c>
      <c r="G58" s="157" t="s">
        <v>2311</v>
      </c>
      <c r="H58" s="12" t="s">
        <v>2312</v>
      </c>
      <c r="I58" s="12" t="s">
        <v>2313</v>
      </c>
      <c r="J58" s="176">
        <v>8</v>
      </c>
      <c r="K58" s="174">
        <v>3.2</v>
      </c>
      <c r="L58" s="174">
        <v>4.8</v>
      </c>
      <c r="M58" s="12" t="s">
        <v>2682</v>
      </c>
      <c r="N58" s="12" t="s">
        <v>2314</v>
      </c>
      <c r="O58" s="157" t="s">
        <v>2691</v>
      </c>
      <c r="P58" s="159" t="s">
        <v>2737</v>
      </c>
    </row>
    <row r="59" spans="1:16">
      <c r="A59" s="50" t="s">
        <v>2514</v>
      </c>
      <c r="B59" s="6" t="s">
        <v>520</v>
      </c>
      <c r="C59" s="6" t="s">
        <v>2515</v>
      </c>
      <c r="D59" s="12" t="s">
        <v>2353</v>
      </c>
      <c r="E59" s="6" t="s">
        <v>2516</v>
      </c>
      <c r="F59" s="6" t="s">
        <v>2517</v>
      </c>
      <c r="G59" s="157" t="s">
        <v>2311</v>
      </c>
      <c r="H59" s="12" t="s">
        <v>2312</v>
      </c>
      <c r="I59" s="12" t="s">
        <v>2320</v>
      </c>
      <c r="J59" s="176">
        <v>12</v>
      </c>
      <c r="K59" s="174">
        <v>4.8</v>
      </c>
      <c r="L59" s="174">
        <v>7.2</v>
      </c>
      <c r="M59" s="12" t="s">
        <v>2682</v>
      </c>
      <c r="N59" s="12" t="s">
        <v>2314</v>
      </c>
      <c r="O59" s="157" t="s">
        <v>2315</v>
      </c>
      <c r="P59" s="159" t="s">
        <v>2683</v>
      </c>
    </row>
    <row r="60" spans="1:16">
      <c r="A60" s="50" t="s">
        <v>2518</v>
      </c>
      <c r="B60" s="6" t="s">
        <v>520</v>
      </c>
      <c r="C60" s="6" t="s">
        <v>2519</v>
      </c>
      <c r="D60" s="12" t="s">
        <v>2380</v>
      </c>
      <c r="E60" s="6" t="s">
        <v>2520</v>
      </c>
      <c r="F60" s="6" t="s">
        <v>2521</v>
      </c>
      <c r="G60" s="157" t="s">
        <v>2522</v>
      </c>
      <c r="H60" s="12" t="s">
        <v>2312</v>
      </c>
      <c r="I60" s="12" t="s">
        <v>2313</v>
      </c>
      <c r="J60" s="176">
        <v>6</v>
      </c>
      <c r="K60" s="174">
        <v>2.4</v>
      </c>
      <c r="L60" s="174">
        <v>3.6</v>
      </c>
      <c r="M60" s="12" t="s">
        <v>2682</v>
      </c>
      <c r="N60" s="12" t="s">
        <v>2314</v>
      </c>
      <c r="O60" s="157" t="s">
        <v>2315</v>
      </c>
      <c r="P60" s="159" t="s">
        <v>2683</v>
      </c>
    </row>
    <row r="61" spans="1:16">
      <c r="A61" s="50" t="s">
        <v>2523</v>
      </c>
      <c r="B61" s="6" t="s">
        <v>520</v>
      </c>
      <c r="C61" s="6" t="s">
        <v>2524</v>
      </c>
      <c r="D61" s="12" t="s">
        <v>2364</v>
      </c>
      <c r="E61" s="6" t="s">
        <v>2525</v>
      </c>
      <c r="F61" s="6" t="s">
        <v>2526</v>
      </c>
      <c r="G61" s="157" t="s">
        <v>2527</v>
      </c>
      <c r="H61" s="12" t="s">
        <v>2312</v>
      </c>
      <c r="I61" s="12" t="s">
        <v>2331</v>
      </c>
      <c r="J61" s="176">
        <v>22</v>
      </c>
      <c r="K61" s="174">
        <v>8.8000000000000007</v>
      </c>
      <c r="L61" s="174">
        <v>13.2</v>
      </c>
      <c r="M61" s="12" t="s">
        <v>2682</v>
      </c>
      <c r="N61" s="12" t="s">
        <v>2314</v>
      </c>
      <c r="O61" s="157" t="s">
        <v>2315</v>
      </c>
      <c r="P61" s="159" t="s">
        <v>2683</v>
      </c>
    </row>
    <row r="62" spans="1:16">
      <c r="A62" s="50" t="s">
        <v>2528</v>
      </c>
      <c r="B62" s="6" t="s">
        <v>520</v>
      </c>
      <c r="C62" s="6" t="s">
        <v>2529</v>
      </c>
      <c r="D62" s="12" t="s">
        <v>2530</v>
      </c>
      <c r="E62" s="6" t="s">
        <v>2531</v>
      </c>
      <c r="F62" s="6" t="s">
        <v>2532</v>
      </c>
      <c r="G62" s="157" t="s">
        <v>2533</v>
      </c>
      <c r="H62" s="12" t="s">
        <v>2312</v>
      </c>
      <c r="I62" s="12" t="s">
        <v>2320</v>
      </c>
      <c r="J62" s="176">
        <v>12</v>
      </c>
      <c r="K62" s="174">
        <v>4.8</v>
      </c>
      <c r="L62" s="174">
        <v>7.2</v>
      </c>
      <c r="M62" s="12" t="s">
        <v>2682</v>
      </c>
      <c r="N62" s="12" t="s">
        <v>2314</v>
      </c>
      <c r="O62" s="157" t="s">
        <v>2315</v>
      </c>
      <c r="P62" s="159" t="s">
        <v>2683</v>
      </c>
    </row>
    <row r="63" spans="1:16">
      <c r="A63" s="50" t="s">
        <v>2534</v>
      </c>
      <c r="B63" s="6" t="s">
        <v>520</v>
      </c>
      <c r="C63" s="6" t="s">
        <v>2535</v>
      </c>
      <c r="D63" s="12" t="s">
        <v>2353</v>
      </c>
      <c r="E63" s="6" t="s">
        <v>2536</v>
      </c>
      <c r="F63" s="6" t="s">
        <v>2537</v>
      </c>
      <c r="G63" s="157" t="s">
        <v>2538</v>
      </c>
      <c r="H63" s="12" t="s">
        <v>2312</v>
      </c>
      <c r="I63" s="12" t="s">
        <v>2313</v>
      </c>
      <c r="J63" s="176">
        <v>5</v>
      </c>
      <c r="K63" s="174">
        <v>2</v>
      </c>
      <c r="L63" s="174">
        <v>3</v>
      </c>
      <c r="M63" s="12" t="s">
        <v>2682</v>
      </c>
      <c r="N63" s="12" t="s">
        <v>2314</v>
      </c>
      <c r="O63" s="157" t="s">
        <v>2315</v>
      </c>
      <c r="P63" s="159" t="s">
        <v>2683</v>
      </c>
    </row>
    <row r="64" spans="1:16">
      <c r="A64" s="50" t="s">
        <v>2539</v>
      </c>
      <c r="B64" s="6" t="s">
        <v>520</v>
      </c>
      <c r="C64" s="6" t="s">
        <v>2540</v>
      </c>
      <c r="D64" s="12" t="s">
        <v>2496</v>
      </c>
      <c r="E64" s="6" t="s">
        <v>2541</v>
      </c>
      <c r="F64" s="6" t="s">
        <v>2542</v>
      </c>
      <c r="G64" s="157" t="s">
        <v>2543</v>
      </c>
      <c r="H64" s="12" t="s">
        <v>2312</v>
      </c>
      <c r="I64" s="12" t="s">
        <v>2331</v>
      </c>
      <c r="J64" s="176">
        <v>22</v>
      </c>
      <c r="K64" s="174">
        <v>8.8000000000000007</v>
      </c>
      <c r="L64" s="174">
        <v>13.2</v>
      </c>
      <c r="M64" s="12" t="s">
        <v>2682</v>
      </c>
      <c r="N64" s="12" t="s">
        <v>2314</v>
      </c>
      <c r="O64" s="157" t="s">
        <v>2315</v>
      </c>
      <c r="P64" s="159" t="s">
        <v>2683</v>
      </c>
    </row>
    <row r="65" spans="1:16">
      <c r="A65" s="50" t="s">
        <v>2544</v>
      </c>
      <c r="B65" s="6" t="s">
        <v>520</v>
      </c>
      <c r="C65" s="6" t="s">
        <v>2545</v>
      </c>
      <c r="D65" s="12" t="s">
        <v>2353</v>
      </c>
      <c r="E65" s="6" t="s">
        <v>2546</v>
      </c>
      <c r="F65" s="6" t="s">
        <v>2547</v>
      </c>
      <c r="G65" s="157" t="s">
        <v>2356</v>
      </c>
      <c r="H65" s="12" t="s">
        <v>2312</v>
      </c>
      <c r="I65" s="12" t="s">
        <v>2320</v>
      </c>
      <c r="J65" s="176">
        <v>10</v>
      </c>
      <c r="K65" s="174">
        <v>4</v>
      </c>
      <c r="L65" s="174">
        <v>6</v>
      </c>
      <c r="M65" s="12" t="s">
        <v>2682</v>
      </c>
      <c r="N65" s="12" t="s">
        <v>2314</v>
      </c>
      <c r="O65" s="157" t="s">
        <v>2315</v>
      </c>
      <c r="P65" s="159" t="s">
        <v>2683</v>
      </c>
    </row>
    <row r="66" spans="1:16">
      <c r="A66" s="50" t="s">
        <v>2548</v>
      </c>
      <c r="B66" s="6" t="s">
        <v>520</v>
      </c>
      <c r="C66" s="6" t="s">
        <v>2549</v>
      </c>
      <c r="D66" s="12" t="s">
        <v>2308</v>
      </c>
      <c r="E66" s="6" t="s">
        <v>2550</v>
      </c>
      <c r="F66" s="6" t="s">
        <v>2551</v>
      </c>
      <c r="G66" s="157" t="s">
        <v>2306</v>
      </c>
      <c r="H66" s="12" t="s">
        <v>2312</v>
      </c>
      <c r="I66" s="12" t="s">
        <v>2313</v>
      </c>
      <c r="J66" s="176">
        <v>5</v>
      </c>
      <c r="K66" s="174">
        <v>2</v>
      </c>
      <c r="L66" s="174">
        <v>3</v>
      </c>
      <c r="M66" s="12" t="s">
        <v>2682</v>
      </c>
      <c r="N66" s="12" t="s">
        <v>2314</v>
      </c>
      <c r="O66" s="157" t="s">
        <v>2315</v>
      </c>
      <c r="P66" s="159" t="s">
        <v>2683</v>
      </c>
    </row>
    <row r="67" spans="1:16">
      <c r="A67" s="50" t="s">
        <v>2552</v>
      </c>
      <c r="B67" s="6" t="s">
        <v>520</v>
      </c>
      <c r="C67" s="6" t="s">
        <v>2553</v>
      </c>
      <c r="D67" s="12" t="s">
        <v>2554</v>
      </c>
      <c r="E67" s="6" t="s">
        <v>2555</v>
      </c>
      <c r="F67" s="6" t="s">
        <v>2556</v>
      </c>
      <c r="G67" s="157" t="s">
        <v>2482</v>
      </c>
      <c r="H67" s="12" t="s">
        <v>2312</v>
      </c>
      <c r="I67" s="12" t="s">
        <v>2320</v>
      </c>
      <c r="J67" s="176">
        <v>9</v>
      </c>
      <c r="K67" s="174">
        <v>3.6</v>
      </c>
      <c r="L67" s="174">
        <v>5.4</v>
      </c>
      <c r="M67" s="12" t="s">
        <v>2682</v>
      </c>
      <c r="N67" s="12" t="s">
        <v>2314</v>
      </c>
      <c r="O67" s="157" t="s">
        <v>2315</v>
      </c>
      <c r="P67" s="159" t="s">
        <v>2683</v>
      </c>
    </row>
    <row r="68" spans="1:16">
      <c r="A68" s="50" t="s">
        <v>2557</v>
      </c>
      <c r="B68" s="6" t="s">
        <v>520</v>
      </c>
      <c r="C68" s="6" t="s">
        <v>2558</v>
      </c>
      <c r="D68" s="12" t="s">
        <v>2369</v>
      </c>
      <c r="E68" s="6" t="s">
        <v>2559</v>
      </c>
      <c r="F68" s="6" t="s">
        <v>2560</v>
      </c>
      <c r="G68" s="157" t="s">
        <v>2561</v>
      </c>
      <c r="H68" s="12" t="s">
        <v>2312</v>
      </c>
      <c r="I68" s="12" t="s">
        <v>2320</v>
      </c>
      <c r="J68" s="176">
        <v>10</v>
      </c>
      <c r="K68" s="174">
        <v>4</v>
      </c>
      <c r="L68" s="174">
        <v>6</v>
      </c>
      <c r="M68" s="12" t="s">
        <v>2682</v>
      </c>
      <c r="N68" s="12" t="s">
        <v>2314</v>
      </c>
      <c r="O68" s="157" t="s">
        <v>2438</v>
      </c>
      <c r="P68" s="159" t="s">
        <v>2683</v>
      </c>
    </row>
    <row r="69" spans="1:16">
      <c r="A69" s="50" t="s">
        <v>2562</v>
      </c>
      <c r="B69" s="6" t="s">
        <v>520</v>
      </c>
      <c r="C69" s="6" t="s">
        <v>1505</v>
      </c>
      <c r="D69" s="12" t="s">
        <v>2563</v>
      </c>
      <c r="E69" s="6" t="s">
        <v>2564</v>
      </c>
      <c r="F69" s="6" t="s">
        <v>2565</v>
      </c>
      <c r="G69" s="157" t="s">
        <v>2411</v>
      </c>
      <c r="H69" s="12" t="s">
        <v>2312</v>
      </c>
      <c r="I69" s="12" t="s">
        <v>2313</v>
      </c>
      <c r="J69" s="176">
        <v>5</v>
      </c>
      <c r="K69" s="174">
        <v>2</v>
      </c>
      <c r="L69" s="174">
        <v>3</v>
      </c>
      <c r="M69" s="12" t="s">
        <v>2682</v>
      </c>
      <c r="N69" s="12" t="s">
        <v>2321</v>
      </c>
      <c r="O69" s="157" t="s">
        <v>2438</v>
      </c>
      <c r="P69" s="159" t="s">
        <v>2683</v>
      </c>
    </row>
    <row r="70" spans="1:16">
      <c r="A70" s="50" t="s">
        <v>2738</v>
      </c>
      <c r="B70" s="6" t="s">
        <v>520</v>
      </c>
      <c r="C70" s="6" t="s">
        <v>2739</v>
      </c>
      <c r="D70" s="12" t="s">
        <v>2369</v>
      </c>
      <c r="E70" s="6" t="s">
        <v>2740</v>
      </c>
      <c r="F70" s="6" t="s">
        <v>2741</v>
      </c>
      <c r="G70" s="157" t="s">
        <v>2514</v>
      </c>
      <c r="H70" s="12" t="s">
        <v>2312</v>
      </c>
      <c r="I70" s="12" t="s">
        <v>2320</v>
      </c>
      <c r="J70" s="176">
        <v>10</v>
      </c>
      <c r="K70" s="174">
        <v>4</v>
      </c>
      <c r="L70" s="174">
        <v>6</v>
      </c>
      <c r="M70" s="12" t="s">
        <v>2682</v>
      </c>
      <c r="N70" s="12" t="s">
        <v>2314</v>
      </c>
      <c r="O70" s="157" t="s">
        <v>2691</v>
      </c>
      <c r="P70" s="159" t="s">
        <v>1153</v>
      </c>
    </row>
    <row r="71" spans="1:16">
      <c r="A71" s="50" t="s">
        <v>2742</v>
      </c>
      <c r="B71" s="6" t="s">
        <v>520</v>
      </c>
      <c r="C71" s="6" t="s">
        <v>2743</v>
      </c>
      <c r="D71" s="12" t="s">
        <v>2624</v>
      </c>
      <c r="E71" s="6" t="s">
        <v>2744</v>
      </c>
      <c r="F71" s="6" t="s">
        <v>2745</v>
      </c>
      <c r="G71" s="157" t="s">
        <v>2592</v>
      </c>
      <c r="H71" s="12" t="s">
        <v>2312</v>
      </c>
      <c r="I71" s="12" t="s">
        <v>2320</v>
      </c>
      <c r="J71" s="176">
        <v>9</v>
      </c>
      <c r="K71" s="174">
        <v>3.6</v>
      </c>
      <c r="L71" s="174">
        <v>5.4</v>
      </c>
      <c r="M71" s="12" t="s">
        <v>2682</v>
      </c>
      <c r="N71" s="12" t="s">
        <v>2314</v>
      </c>
      <c r="O71" s="157" t="s">
        <v>2691</v>
      </c>
      <c r="P71" s="159" t="s">
        <v>2746</v>
      </c>
    </row>
    <row r="72" spans="1:16">
      <c r="A72" s="50" t="s">
        <v>2747</v>
      </c>
      <c r="B72" s="6" t="s">
        <v>520</v>
      </c>
      <c r="C72" s="6" t="s">
        <v>2748</v>
      </c>
      <c r="D72" s="12" t="s">
        <v>2461</v>
      </c>
      <c r="E72" s="6" t="s">
        <v>2749</v>
      </c>
      <c r="F72" s="6" t="s">
        <v>2750</v>
      </c>
      <c r="G72" s="157" t="s">
        <v>2539</v>
      </c>
      <c r="H72" s="12" t="s">
        <v>2312</v>
      </c>
      <c r="I72" s="12" t="s">
        <v>2320</v>
      </c>
      <c r="J72" s="176">
        <v>9</v>
      </c>
      <c r="K72" s="174">
        <v>3.6</v>
      </c>
      <c r="L72" s="174">
        <v>5.4</v>
      </c>
      <c r="M72" s="12" t="s">
        <v>2682</v>
      </c>
      <c r="N72" s="12" t="s">
        <v>2314</v>
      </c>
      <c r="O72" s="157" t="s">
        <v>2691</v>
      </c>
      <c r="P72" s="159" t="s">
        <v>2751</v>
      </c>
    </row>
    <row r="73" spans="1:16">
      <c r="A73" s="50" t="s">
        <v>2752</v>
      </c>
      <c r="B73" s="6" t="s">
        <v>520</v>
      </c>
      <c r="C73" s="6" t="s">
        <v>2753</v>
      </c>
      <c r="D73" s="12" t="s">
        <v>2347</v>
      </c>
      <c r="E73" s="6" t="s">
        <v>2754</v>
      </c>
      <c r="F73" s="6" t="s">
        <v>2755</v>
      </c>
      <c r="G73" s="157" t="s">
        <v>2544</v>
      </c>
      <c r="H73" s="12" t="s">
        <v>2312</v>
      </c>
      <c r="I73" s="12" t="s">
        <v>2320</v>
      </c>
      <c r="J73" s="176">
        <v>10</v>
      </c>
      <c r="K73" s="174">
        <v>4</v>
      </c>
      <c r="L73" s="174">
        <v>6</v>
      </c>
      <c r="M73" s="12" t="s">
        <v>2682</v>
      </c>
      <c r="N73" s="12" t="s">
        <v>2314</v>
      </c>
      <c r="O73" s="157" t="s">
        <v>2691</v>
      </c>
      <c r="P73" s="159" t="s">
        <v>1154</v>
      </c>
    </row>
    <row r="74" spans="1:16">
      <c r="A74" s="50" t="s">
        <v>2566</v>
      </c>
      <c r="B74" s="6" t="s">
        <v>524</v>
      </c>
      <c r="C74" s="6" t="s">
        <v>2567</v>
      </c>
      <c r="D74" s="12" t="s">
        <v>2501</v>
      </c>
      <c r="E74" s="6" t="s">
        <v>2568</v>
      </c>
      <c r="F74" s="6" t="s">
        <v>2569</v>
      </c>
      <c r="G74" s="157" t="s">
        <v>2570</v>
      </c>
      <c r="H74" s="12" t="s">
        <v>2312</v>
      </c>
      <c r="I74" s="12" t="s">
        <v>2320</v>
      </c>
      <c r="J74" s="176">
        <v>10</v>
      </c>
      <c r="K74" s="174">
        <v>4</v>
      </c>
      <c r="L74" s="174">
        <v>6</v>
      </c>
      <c r="M74" s="12" t="s">
        <v>2682</v>
      </c>
      <c r="N74" s="12" t="s">
        <v>2314</v>
      </c>
      <c r="O74" s="157" t="s">
        <v>2315</v>
      </c>
      <c r="P74" s="159" t="s">
        <v>2683</v>
      </c>
    </row>
    <row r="75" spans="1:16">
      <c r="A75" s="50" t="s">
        <v>2571</v>
      </c>
      <c r="B75" s="6" t="s">
        <v>524</v>
      </c>
      <c r="C75" s="6" t="s">
        <v>2572</v>
      </c>
      <c r="D75" s="12" t="s">
        <v>2496</v>
      </c>
      <c r="E75" s="6" t="s">
        <v>2573</v>
      </c>
      <c r="F75" s="6" t="s">
        <v>2574</v>
      </c>
      <c r="G75" s="157" t="s">
        <v>2350</v>
      </c>
      <c r="H75" s="12" t="s">
        <v>525</v>
      </c>
      <c r="I75" s="12" t="s">
        <v>2320</v>
      </c>
      <c r="J75" s="176">
        <v>12</v>
      </c>
      <c r="K75" s="174">
        <v>4.8</v>
      </c>
      <c r="L75" s="174">
        <v>7.2</v>
      </c>
      <c r="M75" s="12" t="s">
        <v>2682</v>
      </c>
      <c r="N75" s="12" t="s">
        <v>2321</v>
      </c>
      <c r="O75" s="157" t="s">
        <v>2315</v>
      </c>
      <c r="P75" s="159" t="s">
        <v>2683</v>
      </c>
    </row>
    <row r="76" spans="1:16">
      <c r="A76" s="50" t="s">
        <v>2575</v>
      </c>
      <c r="B76" s="6" t="s">
        <v>524</v>
      </c>
      <c r="C76" s="6" t="s">
        <v>2576</v>
      </c>
      <c r="D76" s="12" t="s">
        <v>2353</v>
      </c>
      <c r="E76" s="6" t="s">
        <v>2577</v>
      </c>
      <c r="F76" s="6" t="s">
        <v>2578</v>
      </c>
      <c r="G76" s="157" t="s">
        <v>2356</v>
      </c>
      <c r="H76" s="12" t="s">
        <v>2312</v>
      </c>
      <c r="I76" s="12" t="s">
        <v>2320</v>
      </c>
      <c r="J76" s="176">
        <v>12</v>
      </c>
      <c r="K76" s="174">
        <v>4.8</v>
      </c>
      <c r="L76" s="174">
        <v>7.2</v>
      </c>
      <c r="M76" s="12" t="s">
        <v>2682</v>
      </c>
      <c r="N76" s="12" t="s">
        <v>2314</v>
      </c>
      <c r="O76" s="157" t="s">
        <v>2315</v>
      </c>
      <c r="P76" s="159" t="s">
        <v>2683</v>
      </c>
    </row>
    <row r="77" spans="1:16">
      <c r="A77" s="50" t="s">
        <v>2579</v>
      </c>
      <c r="B77" s="6" t="s">
        <v>524</v>
      </c>
      <c r="C77" s="6" t="s">
        <v>2580</v>
      </c>
      <c r="D77" s="12" t="s">
        <v>2419</v>
      </c>
      <c r="E77" s="6" t="s">
        <v>2581</v>
      </c>
      <c r="F77" s="6" t="s">
        <v>2756</v>
      </c>
      <c r="G77" s="157" t="s">
        <v>2582</v>
      </c>
      <c r="H77" s="12" t="s">
        <v>2312</v>
      </c>
      <c r="I77" s="12" t="s">
        <v>2320</v>
      </c>
      <c r="J77" s="176">
        <v>15</v>
      </c>
      <c r="K77" s="174">
        <v>6</v>
      </c>
      <c r="L77" s="174">
        <v>9</v>
      </c>
      <c r="M77" s="12" t="s">
        <v>2682</v>
      </c>
      <c r="N77" s="12" t="s">
        <v>2314</v>
      </c>
      <c r="O77" s="157" t="s">
        <v>2315</v>
      </c>
      <c r="P77" s="159" t="s">
        <v>2683</v>
      </c>
    </row>
    <row r="78" spans="1:16">
      <c r="A78" s="50" t="s">
        <v>2583</v>
      </c>
      <c r="B78" s="6" t="s">
        <v>524</v>
      </c>
      <c r="C78" s="6" t="s">
        <v>2584</v>
      </c>
      <c r="D78" s="12" t="s">
        <v>2496</v>
      </c>
      <c r="E78" s="6" t="s">
        <v>2585</v>
      </c>
      <c r="F78" s="6" t="s">
        <v>2586</v>
      </c>
      <c r="G78" s="157" t="s">
        <v>2587</v>
      </c>
      <c r="H78" s="12" t="s">
        <v>2312</v>
      </c>
      <c r="I78" s="12" t="s">
        <v>2313</v>
      </c>
      <c r="J78" s="176">
        <v>5</v>
      </c>
      <c r="K78" s="174">
        <v>2</v>
      </c>
      <c r="L78" s="174">
        <v>3</v>
      </c>
      <c r="M78" s="12" t="s">
        <v>2682</v>
      </c>
      <c r="N78" s="12" t="s">
        <v>2314</v>
      </c>
      <c r="O78" s="157" t="s">
        <v>2315</v>
      </c>
      <c r="P78" s="159" t="s">
        <v>2683</v>
      </c>
    </row>
    <row r="79" spans="1:16">
      <c r="A79" s="50" t="s">
        <v>2757</v>
      </c>
      <c r="B79" s="6" t="s">
        <v>524</v>
      </c>
      <c r="C79" s="6" t="s">
        <v>2758</v>
      </c>
      <c r="D79" s="12" t="s">
        <v>2353</v>
      </c>
      <c r="E79" s="6" t="s">
        <v>2759</v>
      </c>
      <c r="F79" s="6" t="s">
        <v>2760</v>
      </c>
      <c r="G79" s="157" t="s">
        <v>2350</v>
      </c>
      <c r="H79" s="12" t="s">
        <v>2312</v>
      </c>
      <c r="I79" s="12" t="s">
        <v>2313</v>
      </c>
      <c r="J79" s="176">
        <v>5</v>
      </c>
      <c r="K79" s="174">
        <v>2</v>
      </c>
      <c r="L79" s="174">
        <v>3</v>
      </c>
      <c r="M79" s="12" t="s">
        <v>2682</v>
      </c>
      <c r="N79" s="12" t="s">
        <v>2314</v>
      </c>
      <c r="O79" s="157" t="s">
        <v>2691</v>
      </c>
      <c r="P79" s="159" t="s">
        <v>1194</v>
      </c>
    </row>
    <row r="80" spans="1:16">
      <c r="A80" s="50" t="s">
        <v>2761</v>
      </c>
      <c r="B80" s="6" t="s">
        <v>524</v>
      </c>
      <c r="C80" s="6" t="s">
        <v>2762</v>
      </c>
      <c r="D80" s="12" t="s">
        <v>2501</v>
      </c>
      <c r="E80" s="6" t="s">
        <v>2763</v>
      </c>
      <c r="F80" s="6" t="s">
        <v>2764</v>
      </c>
      <c r="G80" s="157" t="s">
        <v>2356</v>
      </c>
      <c r="H80" s="12" t="s">
        <v>2312</v>
      </c>
      <c r="I80" s="12" t="s">
        <v>2313</v>
      </c>
      <c r="J80" s="176">
        <v>8</v>
      </c>
      <c r="K80" s="174">
        <v>3.2</v>
      </c>
      <c r="L80" s="174">
        <v>4.8</v>
      </c>
      <c r="M80" s="12" t="s">
        <v>2682</v>
      </c>
      <c r="N80" s="12" t="s">
        <v>2314</v>
      </c>
      <c r="O80" s="157" t="s">
        <v>2691</v>
      </c>
      <c r="P80" s="159" t="s">
        <v>1195</v>
      </c>
    </row>
    <row r="81" spans="1:16">
      <c r="A81" s="50" t="s">
        <v>2765</v>
      </c>
      <c r="B81" s="6" t="s">
        <v>524</v>
      </c>
      <c r="C81" s="6" t="s">
        <v>2766</v>
      </c>
      <c r="D81" s="12" t="s">
        <v>2496</v>
      </c>
      <c r="E81" s="6" t="s">
        <v>2767</v>
      </c>
      <c r="F81" s="6" t="s">
        <v>2768</v>
      </c>
      <c r="G81" s="157" t="s">
        <v>2592</v>
      </c>
      <c r="H81" s="12" t="s">
        <v>2312</v>
      </c>
      <c r="I81" s="12" t="s">
        <v>2313</v>
      </c>
      <c r="J81" s="176">
        <v>8</v>
      </c>
      <c r="K81" s="174">
        <v>3.2</v>
      </c>
      <c r="L81" s="174">
        <v>4.8</v>
      </c>
      <c r="M81" s="12" t="s">
        <v>2682</v>
      </c>
      <c r="N81" s="12" t="s">
        <v>2314</v>
      </c>
      <c r="O81" s="157" t="s">
        <v>2691</v>
      </c>
      <c r="P81" s="159" t="s">
        <v>1196</v>
      </c>
    </row>
    <row r="82" spans="1:16">
      <c r="A82" s="50" t="s">
        <v>2769</v>
      </c>
      <c r="B82" s="6" t="s">
        <v>524</v>
      </c>
      <c r="C82" s="6" t="s">
        <v>2770</v>
      </c>
      <c r="D82" s="12" t="s">
        <v>2461</v>
      </c>
      <c r="E82" s="6" t="s">
        <v>2771</v>
      </c>
      <c r="F82" s="6" t="s">
        <v>2772</v>
      </c>
      <c r="G82" s="157" t="s">
        <v>2571</v>
      </c>
      <c r="H82" s="12" t="s">
        <v>2312</v>
      </c>
      <c r="I82" s="12" t="s">
        <v>2313</v>
      </c>
      <c r="J82" s="176">
        <v>6</v>
      </c>
      <c r="K82" s="174">
        <v>2.4</v>
      </c>
      <c r="L82" s="174">
        <v>3.6</v>
      </c>
      <c r="M82" s="12" t="s">
        <v>2682</v>
      </c>
      <c r="N82" s="12" t="s">
        <v>2314</v>
      </c>
      <c r="O82" s="157" t="s">
        <v>2691</v>
      </c>
      <c r="P82" s="159" t="s">
        <v>1199</v>
      </c>
    </row>
    <row r="83" spans="1:16">
      <c r="A83" s="50" t="s">
        <v>2773</v>
      </c>
      <c r="B83" s="6" t="s">
        <v>524</v>
      </c>
      <c r="C83" s="6" t="s">
        <v>2774</v>
      </c>
      <c r="D83" s="12" t="s">
        <v>2353</v>
      </c>
      <c r="E83" s="6" t="s">
        <v>2775</v>
      </c>
      <c r="F83" s="6" t="s">
        <v>2776</v>
      </c>
      <c r="G83" s="157" t="s">
        <v>2575</v>
      </c>
      <c r="H83" s="12" t="s">
        <v>2312</v>
      </c>
      <c r="I83" s="12" t="s">
        <v>2320</v>
      </c>
      <c r="J83" s="176">
        <v>10</v>
      </c>
      <c r="K83" s="174">
        <v>4</v>
      </c>
      <c r="L83" s="174">
        <v>6</v>
      </c>
      <c r="M83" s="12" t="s">
        <v>2682</v>
      </c>
      <c r="N83" s="12" t="s">
        <v>2314</v>
      </c>
      <c r="O83" s="157" t="s">
        <v>2691</v>
      </c>
      <c r="P83" s="159" t="s">
        <v>2777</v>
      </c>
    </row>
    <row r="84" spans="1:16">
      <c r="A84" s="50" t="s">
        <v>2778</v>
      </c>
      <c r="B84" s="6" t="s">
        <v>524</v>
      </c>
      <c r="C84" s="6" t="s">
        <v>2779</v>
      </c>
      <c r="D84" s="12" t="s">
        <v>2364</v>
      </c>
      <c r="E84" s="6" t="s">
        <v>2780</v>
      </c>
      <c r="F84" s="6" t="s">
        <v>2781</v>
      </c>
      <c r="G84" s="157" t="s">
        <v>2782</v>
      </c>
      <c r="H84" s="12" t="s">
        <v>2312</v>
      </c>
      <c r="I84" s="12" t="s">
        <v>2313</v>
      </c>
      <c r="J84" s="176">
        <v>8</v>
      </c>
      <c r="K84" s="174">
        <v>3.2</v>
      </c>
      <c r="L84" s="174">
        <v>4.8</v>
      </c>
      <c r="M84" s="12" t="s">
        <v>2682</v>
      </c>
      <c r="N84" s="12" t="s">
        <v>2314</v>
      </c>
      <c r="O84" s="157" t="s">
        <v>2691</v>
      </c>
      <c r="P84" s="159" t="s">
        <v>2783</v>
      </c>
    </row>
    <row r="85" spans="1:16">
      <c r="A85" s="50" t="s">
        <v>2784</v>
      </c>
      <c r="B85" s="6" t="s">
        <v>524</v>
      </c>
      <c r="C85" s="6" t="s">
        <v>2785</v>
      </c>
      <c r="D85" s="12" t="s">
        <v>2461</v>
      </c>
      <c r="E85" s="6" t="s">
        <v>2786</v>
      </c>
      <c r="F85" s="6" t="s">
        <v>2787</v>
      </c>
      <c r="G85" s="157" t="s">
        <v>2571</v>
      </c>
      <c r="H85" s="12" t="s">
        <v>2312</v>
      </c>
      <c r="I85" s="12" t="s">
        <v>2313</v>
      </c>
      <c r="J85" s="176">
        <v>3</v>
      </c>
      <c r="K85" s="174">
        <v>1.2</v>
      </c>
      <c r="L85" s="174">
        <v>1.8</v>
      </c>
      <c r="M85" s="12" t="s">
        <v>2682</v>
      </c>
      <c r="N85" s="12" t="s">
        <v>2314</v>
      </c>
      <c r="O85" s="157" t="s">
        <v>2691</v>
      </c>
      <c r="P85" s="159" t="s">
        <v>2788</v>
      </c>
    </row>
    <row r="86" spans="1:16">
      <c r="A86" s="50" t="s">
        <v>2475</v>
      </c>
      <c r="B86" s="6" t="s">
        <v>2588</v>
      </c>
      <c r="C86" s="6" t="s">
        <v>2589</v>
      </c>
      <c r="D86" s="12" t="s">
        <v>2353</v>
      </c>
      <c r="E86" s="6" t="s">
        <v>2590</v>
      </c>
      <c r="F86" s="6" t="s">
        <v>2591</v>
      </c>
      <c r="G86" s="157" t="s">
        <v>2312</v>
      </c>
      <c r="H86" s="12" t="s">
        <v>2312</v>
      </c>
      <c r="I86" s="12" t="s">
        <v>2331</v>
      </c>
      <c r="J86" s="176">
        <v>22</v>
      </c>
      <c r="K86" s="174">
        <v>8.8000000000000007</v>
      </c>
      <c r="L86" s="174">
        <v>13.2</v>
      </c>
      <c r="M86" s="12" t="s">
        <v>2682</v>
      </c>
      <c r="N86" s="12" t="s">
        <v>2314</v>
      </c>
      <c r="O86" s="157" t="s">
        <v>2315</v>
      </c>
      <c r="P86" s="159" t="s">
        <v>2683</v>
      </c>
    </row>
    <row r="87" spans="1:16">
      <c r="A87" s="50" t="s">
        <v>2592</v>
      </c>
      <c r="B87" s="6" t="s">
        <v>2588</v>
      </c>
      <c r="C87" s="6" t="s">
        <v>2593</v>
      </c>
      <c r="D87" s="12" t="s">
        <v>2353</v>
      </c>
      <c r="E87" s="6" t="s">
        <v>2594</v>
      </c>
      <c r="F87" s="6" t="s">
        <v>2595</v>
      </c>
      <c r="G87" s="157" t="s">
        <v>2475</v>
      </c>
      <c r="H87" s="12" t="s">
        <v>2312</v>
      </c>
      <c r="I87" s="12" t="s">
        <v>2320</v>
      </c>
      <c r="J87" s="176">
        <v>14</v>
      </c>
      <c r="K87" s="174">
        <v>5.6</v>
      </c>
      <c r="L87" s="174">
        <v>8.4</v>
      </c>
      <c r="M87" s="12" t="s">
        <v>2682</v>
      </c>
      <c r="N87" s="12" t="s">
        <v>2314</v>
      </c>
      <c r="O87" s="157" t="s">
        <v>2315</v>
      </c>
      <c r="P87" s="159" t="s">
        <v>2683</v>
      </c>
    </row>
    <row r="88" spans="1:16">
      <c r="A88" s="50" t="s">
        <v>2789</v>
      </c>
      <c r="B88" s="6" t="s">
        <v>2588</v>
      </c>
      <c r="C88" s="6" t="s">
        <v>2790</v>
      </c>
      <c r="D88" s="12" t="s">
        <v>2353</v>
      </c>
      <c r="E88" s="6" t="s">
        <v>2791</v>
      </c>
      <c r="F88" s="6" t="s">
        <v>2792</v>
      </c>
      <c r="G88" s="157" t="s">
        <v>2592</v>
      </c>
      <c r="H88" s="12" t="s">
        <v>2312</v>
      </c>
      <c r="I88" s="12" t="s">
        <v>2320</v>
      </c>
      <c r="J88" s="176">
        <v>12</v>
      </c>
      <c r="K88" s="174">
        <v>4.8</v>
      </c>
      <c r="L88" s="174">
        <v>7.2</v>
      </c>
      <c r="M88" s="12" t="s">
        <v>2682</v>
      </c>
      <c r="N88" s="12" t="s">
        <v>2314</v>
      </c>
      <c r="O88" s="157" t="s">
        <v>2691</v>
      </c>
      <c r="P88" s="159" t="s">
        <v>1277</v>
      </c>
    </row>
    <row r="89" spans="1:16">
      <c r="A89" s="50" t="s">
        <v>2570</v>
      </c>
      <c r="B89" s="6" t="s">
        <v>2596</v>
      </c>
      <c r="C89" s="6" t="s">
        <v>2597</v>
      </c>
      <c r="D89" s="12" t="s">
        <v>2598</v>
      </c>
      <c r="E89" s="6" t="s">
        <v>2599</v>
      </c>
      <c r="F89" s="6" t="s">
        <v>2600</v>
      </c>
      <c r="G89" s="157" t="s">
        <v>2350</v>
      </c>
      <c r="H89" s="12" t="s">
        <v>2312</v>
      </c>
      <c r="I89" s="12" t="s">
        <v>2320</v>
      </c>
      <c r="J89" s="176">
        <v>13</v>
      </c>
      <c r="K89" s="174">
        <v>5.2</v>
      </c>
      <c r="L89" s="174">
        <v>7.8</v>
      </c>
      <c r="M89" s="12" t="s">
        <v>2682</v>
      </c>
      <c r="N89" s="12" t="s">
        <v>2314</v>
      </c>
      <c r="O89" s="157" t="s">
        <v>2315</v>
      </c>
      <c r="P89" s="159" t="s">
        <v>2683</v>
      </c>
    </row>
    <row r="90" spans="1:16">
      <c r="A90" s="50" t="s">
        <v>2533</v>
      </c>
      <c r="B90" s="6" t="s">
        <v>2596</v>
      </c>
      <c r="C90" s="6" t="s">
        <v>2601</v>
      </c>
      <c r="D90" s="12" t="s">
        <v>2353</v>
      </c>
      <c r="E90" s="6" t="s">
        <v>2602</v>
      </c>
      <c r="F90" s="6" t="s">
        <v>2603</v>
      </c>
      <c r="G90" s="157" t="s">
        <v>2604</v>
      </c>
      <c r="H90" s="12" t="s">
        <v>2312</v>
      </c>
      <c r="I90" s="12" t="s">
        <v>2320</v>
      </c>
      <c r="J90" s="176">
        <v>13</v>
      </c>
      <c r="K90" s="174">
        <v>5.2</v>
      </c>
      <c r="L90" s="174">
        <v>7.8</v>
      </c>
      <c r="M90" s="12" t="s">
        <v>2682</v>
      </c>
      <c r="N90" s="12" t="s">
        <v>2314</v>
      </c>
      <c r="O90" s="157" t="s">
        <v>2315</v>
      </c>
      <c r="P90" s="159" t="s">
        <v>2683</v>
      </c>
    </row>
    <row r="91" spans="1:16">
      <c r="A91" s="50" t="s">
        <v>2605</v>
      </c>
      <c r="B91" s="6" t="s">
        <v>2596</v>
      </c>
      <c r="C91" s="6" t="s">
        <v>2606</v>
      </c>
      <c r="D91" s="12" t="s">
        <v>2461</v>
      </c>
      <c r="E91" s="6" t="s">
        <v>2607</v>
      </c>
      <c r="F91" s="6" t="s">
        <v>2793</v>
      </c>
      <c r="G91" s="157" t="s">
        <v>2608</v>
      </c>
      <c r="H91" s="12" t="s">
        <v>2312</v>
      </c>
      <c r="I91" s="12" t="s">
        <v>2331</v>
      </c>
      <c r="J91" s="176">
        <v>25</v>
      </c>
      <c r="K91" s="174">
        <v>10</v>
      </c>
      <c r="L91" s="174">
        <v>15</v>
      </c>
      <c r="M91" s="12" t="s">
        <v>2682</v>
      </c>
      <c r="N91" s="12" t="s">
        <v>2314</v>
      </c>
      <c r="O91" s="157" t="s">
        <v>2315</v>
      </c>
      <c r="P91" s="159" t="s">
        <v>2683</v>
      </c>
    </row>
    <row r="92" spans="1:16">
      <c r="A92" s="50" t="s">
        <v>2609</v>
      </c>
      <c r="B92" s="6" t="s">
        <v>2596</v>
      </c>
      <c r="C92" s="6" t="s">
        <v>2610</v>
      </c>
      <c r="D92" s="12" t="s">
        <v>2369</v>
      </c>
      <c r="E92" s="6" t="s">
        <v>2611</v>
      </c>
      <c r="F92" s="6" t="s">
        <v>2612</v>
      </c>
      <c r="G92" s="157" t="s">
        <v>2613</v>
      </c>
      <c r="H92" s="12" t="s">
        <v>2312</v>
      </c>
      <c r="I92" s="12" t="s">
        <v>2320</v>
      </c>
      <c r="J92" s="176">
        <v>12</v>
      </c>
      <c r="K92" s="174">
        <v>4.8</v>
      </c>
      <c r="L92" s="174">
        <v>7.2</v>
      </c>
      <c r="M92" s="12" t="s">
        <v>2682</v>
      </c>
      <c r="N92" s="12" t="s">
        <v>2314</v>
      </c>
      <c r="O92" s="157" t="s">
        <v>2315</v>
      </c>
      <c r="P92" s="159" t="s">
        <v>2683</v>
      </c>
    </row>
    <row r="93" spans="1:16">
      <c r="A93" s="50" t="s">
        <v>2614</v>
      </c>
      <c r="B93" s="6" t="s">
        <v>2596</v>
      </c>
      <c r="C93" s="6" t="s">
        <v>2615</v>
      </c>
      <c r="D93" s="12" t="s">
        <v>2369</v>
      </c>
      <c r="E93" s="6" t="s">
        <v>2616</v>
      </c>
      <c r="F93" s="6" t="s">
        <v>2617</v>
      </c>
      <c r="G93" s="157" t="s">
        <v>2570</v>
      </c>
      <c r="H93" s="12" t="s">
        <v>2312</v>
      </c>
      <c r="I93" s="12" t="s">
        <v>2320</v>
      </c>
      <c r="J93" s="176">
        <v>11</v>
      </c>
      <c r="K93" s="174">
        <v>4.4000000000000004</v>
      </c>
      <c r="L93" s="174">
        <v>6.6</v>
      </c>
      <c r="M93" s="12" t="s">
        <v>2682</v>
      </c>
      <c r="N93" s="12" t="s">
        <v>2314</v>
      </c>
      <c r="O93" s="157" t="s">
        <v>2315</v>
      </c>
      <c r="P93" s="159" t="s">
        <v>2683</v>
      </c>
    </row>
    <row r="94" spans="1:16">
      <c r="A94" s="50" t="s">
        <v>2618</v>
      </c>
      <c r="B94" s="6" t="s">
        <v>2596</v>
      </c>
      <c r="C94" s="6" t="s">
        <v>1504</v>
      </c>
      <c r="D94" s="12" t="s">
        <v>2563</v>
      </c>
      <c r="E94" s="6" t="s">
        <v>2619</v>
      </c>
      <c r="F94" s="6" t="s">
        <v>2620</v>
      </c>
      <c r="G94" s="157" t="s">
        <v>2621</v>
      </c>
      <c r="H94" s="12" t="s">
        <v>2312</v>
      </c>
      <c r="I94" s="12" t="s">
        <v>2320</v>
      </c>
      <c r="J94" s="176">
        <v>10</v>
      </c>
      <c r="K94" s="174">
        <v>4</v>
      </c>
      <c r="L94" s="174">
        <v>6</v>
      </c>
      <c r="M94" s="12" t="s">
        <v>2682</v>
      </c>
      <c r="N94" s="12" t="s">
        <v>2314</v>
      </c>
      <c r="O94" s="157" t="s">
        <v>2438</v>
      </c>
      <c r="P94" s="159" t="s">
        <v>2683</v>
      </c>
    </row>
    <row r="95" spans="1:16">
      <c r="A95" s="50" t="s">
        <v>2622</v>
      </c>
      <c r="B95" s="6" t="s">
        <v>2596</v>
      </c>
      <c r="C95" s="6" t="s">
        <v>2623</v>
      </c>
      <c r="D95" s="12" t="s">
        <v>2624</v>
      </c>
      <c r="E95" s="6" t="s">
        <v>2625</v>
      </c>
      <c r="F95" s="6" t="s">
        <v>2626</v>
      </c>
      <c r="G95" s="157" t="s">
        <v>2475</v>
      </c>
      <c r="H95" s="12" t="s">
        <v>2312</v>
      </c>
      <c r="I95" s="12" t="s">
        <v>2313</v>
      </c>
      <c r="J95" s="176">
        <v>5</v>
      </c>
      <c r="K95" s="174">
        <v>2</v>
      </c>
      <c r="L95" s="174">
        <v>3</v>
      </c>
      <c r="M95" s="12" t="s">
        <v>2682</v>
      </c>
      <c r="N95" s="12" t="s">
        <v>2314</v>
      </c>
      <c r="O95" s="157" t="s">
        <v>2438</v>
      </c>
      <c r="P95" s="159" t="s">
        <v>2683</v>
      </c>
    </row>
    <row r="96" spans="1:16">
      <c r="A96" s="50" t="s">
        <v>2794</v>
      </c>
      <c r="B96" s="6" t="s">
        <v>2596</v>
      </c>
      <c r="C96" s="6" t="s">
        <v>2795</v>
      </c>
      <c r="D96" s="12" t="s">
        <v>2598</v>
      </c>
      <c r="E96" s="6" t="s">
        <v>2796</v>
      </c>
      <c r="F96" s="6" t="s">
        <v>2797</v>
      </c>
      <c r="G96" s="157" t="s">
        <v>2570</v>
      </c>
      <c r="H96" s="12" t="s">
        <v>2312</v>
      </c>
      <c r="I96" s="12" t="s">
        <v>2313</v>
      </c>
      <c r="J96" s="176">
        <v>8</v>
      </c>
      <c r="K96" s="174">
        <v>3.2</v>
      </c>
      <c r="L96" s="174">
        <v>4.8</v>
      </c>
      <c r="M96" s="12" t="s">
        <v>2682</v>
      </c>
      <c r="N96" s="12" t="s">
        <v>2314</v>
      </c>
      <c r="O96" s="157" t="s">
        <v>2691</v>
      </c>
      <c r="P96" s="159" t="s">
        <v>2798</v>
      </c>
    </row>
    <row r="97" spans="1:16">
      <c r="A97" s="50" t="s">
        <v>2799</v>
      </c>
      <c r="B97" s="6" t="s">
        <v>2596</v>
      </c>
      <c r="C97" s="6" t="s">
        <v>2800</v>
      </c>
      <c r="D97" s="12" t="s">
        <v>2461</v>
      </c>
      <c r="E97" s="6" t="s">
        <v>2801</v>
      </c>
      <c r="F97" s="6" t="s">
        <v>2802</v>
      </c>
      <c r="G97" s="157" t="s">
        <v>2533</v>
      </c>
      <c r="H97" s="12" t="s">
        <v>2312</v>
      </c>
      <c r="I97" s="12" t="s">
        <v>2313</v>
      </c>
      <c r="J97" s="176">
        <v>5</v>
      </c>
      <c r="K97" s="174">
        <v>2</v>
      </c>
      <c r="L97" s="174">
        <v>3</v>
      </c>
      <c r="M97" s="12" t="s">
        <v>2682</v>
      </c>
      <c r="N97" s="12" t="s">
        <v>2803</v>
      </c>
      <c r="O97" s="157" t="s">
        <v>2691</v>
      </c>
      <c r="P97" s="159" t="s">
        <v>2804</v>
      </c>
    </row>
    <row r="98" spans="1:16">
      <c r="A98" s="50" t="s">
        <v>2627</v>
      </c>
      <c r="B98" s="6" t="s">
        <v>1307</v>
      </c>
      <c r="C98" s="6" t="s">
        <v>2628</v>
      </c>
      <c r="D98" s="12" t="s">
        <v>2629</v>
      </c>
      <c r="E98" s="6" t="s">
        <v>2630</v>
      </c>
      <c r="F98" s="6" t="s">
        <v>2631</v>
      </c>
      <c r="G98" s="157" t="s">
        <v>2632</v>
      </c>
      <c r="H98" s="12" t="s">
        <v>2312</v>
      </c>
      <c r="I98" s="12" t="s">
        <v>2320</v>
      </c>
      <c r="J98" s="176">
        <v>14</v>
      </c>
      <c r="K98" s="174">
        <v>5.6</v>
      </c>
      <c r="L98" s="174">
        <v>8.4</v>
      </c>
      <c r="M98" s="12" t="s">
        <v>2682</v>
      </c>
      <c r="N98" s="12" t="s">
        <v>2314</v>
      </c>
      <c r="O98" s="157" t="s">
        <v>2315</v>
      </c>
      <c r="P98" s="159" t="s">
        <v>2683</v>
      </c>
    </row>
    <row r="99" spans="1:16">
      <c r="A99" s="50" t="s">
        <v>2411</v>
      </c>
      <c r="B99" s="6" t="s">
        <v>1307</v>
      </c>
      <c r="C99" s="6" t="s">
        <v>2633</v>
      </c>
      <c r="D99" s="12" t="s">
        <v>2364</v>
      </c>
      <c r="E99" s="6" t="s">
        <v>2634</v>
      </c>
      <c r="F99" s="6" t="s">
        <v>2805</v>
      </c>
      <c r="G99" s="157" t="s">
        <v>2635</v>
      </c>
      <c r="H99" s="12" t="s">
        <v>2312</v>
      </c>
      <c r="I99" s="12" t="s">
        <v>2331</v>
      </c>
      <c r="J99" s="176">
        <v>24</v>
      </c>
      <c r="K99" s="174">
        <v>9.6</v>
      </c>
      <c r="L99" s="174">
        <v>14.4</v>
      </c>
      <c r="M99" s="12" t="s">
        <v>2682</v>
      </c>
      <c r="N99" s="12" t="s">
        <v>2314</v>
      </c>
      <c r="O99" s="157" t="s">
        <v>2315</v>
      </c>
      <c r="P99" s="159" t="s">
        <v>2683</v>
      </c>
    </row>
    <row r="100" spans="1:16">
      <c r="A100" s="50" t="s">
        <v>2636</v>
      </c>
      <c r="B100" s="6" t="s">
        <v>1307</v>
      </c>
      <c r="C100" s="6" t="s">
        <v>2637</v>
      </c>
      <c r="D100" s="12" t="s">
        <v>2364</v>
      </c>
      <c r="E100" s="6" t="s">
        <v>2638</v>
      </c>
      <c r="F100" s="6" t="s">
        <v>2639</v>
      </c>
      <c r="G100" s="157" t="s">
        <v>2411</v>
      </c>
      <c r="H100" s="12" t="s">
        <v>2312</v>
      </c>
      <c r="I100" s="12" t="s">
        <v>2320</v>
      </c>
      <c r="J100" s="176">
        <v>12</v>
      </c>
      <c r="K100" s="174">
        <v>4.8</v>
      </c>
      <c r="L100" s="174">
        <v>7.2</v>
      </c>
      <c r="M100" s="12" t="s">
        <v>2682</v>
      </c>
      <c r="N100" s="12" t="s">
        <v>2314</v>
      </c>
      <c r="O100" s="157" t="s">
        <v>2315</v>
      </c>
      <c r="P100" s="159" t="s">
        <v>2683</v>
      </c>
    </row>
    <row r="101" spans="1:16">
      <c r="A101" s="50" t="s">
        <v>2640</v>
      </c>
      <c r="B101" s="6" t="s">
        <v>1307</v>
      </c>
      <c r="C101" s="6" t="s">
        <v>2641</v>
      </c>
      <c r="D101" s="12" t="s">
        <v>2642</v>
      </c>
      <c r="E101" s="6" t="s">
        <v>2643</v>
      </c>
      <c r="F101" s="6" t="s">
        <v>2644</v>
      </c>
      <c r="G101" s="157" t="s">
        <v>2372</v>
      </c>
      <c r="H101" s="12" t="s">
        <v>2312</v>
      </c>
      <c r="I101" s="12" t="s">
        <v>2320</v>
      </c>
      <c r="J101" s="176">
        <v>14</v>
      </c>
      <c r="K101" s="174">
        <v>5.6</v>
      </c>
      <c r="L101" s="174">
        <v>8.4</v>
      </c>
      <c r="M101" s="12" t="s">
        <v>2682</v>
      </c>
      <c r="N101" s="12" t="s">
        <v>2321</v>
      </c>
      <c r="O101" s="157" t="s">
        <v>2315</v>
      </c>
      <c r="P101" s="159" t="s">
        <v>2683</v>
      </c>
    </row>
    <row r="102" spans="1:16">
      <c r="A102" s="50" t="s">
        <v>2645</v>
      </c>
      <c r="B102" s="6" t="s">
        <v>1307</v>
      </c>
      <c r="C102" s="6" t="s">
        <v>2646</v>
      </c>
      <c r="D102" s="12" t="s">
        <v>2461</v>
      </c>
      <c r="E102" s="6" t="s">
        <v>2647</v>
      </c>
      <c r="F102" s="6" t="s">
        <v>2648</v>
      </c>
      <c r="G102" s="157" t="s">
        <v>2378</v>
      </c>
      <c r="H102" s="12" t="s">
        <v>2312</v>
      </c>
      <c r="I102" s="12" t="s">
        <v>2313</v>
      </c>
      <c r="J102" s="176">
        <v>5</v>
      </c>
      <c r="K102" s="174">
        <v>2</v>
      </c>
      <c r="L102" s="174">
        <v>3</v>
      </c>
      <c r="M102" s="12" t="s">
        <v>2682</v>
      </c>
      <c r="N102" s="12" t="s">
        <v>2321</v>
      </c>
      <c r="O102" s="157" t="s">
        <v>2315</v>
      </c>
      <c r="P102" s="159" t="s">
        <v>2683</v>
      </c>
    </row>
    <row r="103" spans="1:16">
      <c r="A103" s="50" t="s">
        <v>2649</v>
      </c>
      <c r="B103" s="6" t="s">
        <v>1307</v>
      </c>
      <c r="C103" s="6" t="s">
        <v>2650</v>
      </c>
      <c r="D103" s="12" t="s">
        <v>2642</v>
      </c>
      <c r="E103" s="6" t="s">
        <v>2651</v>
      </c>
      <c r="F103" s="6" t="s">
        <v>2652</v>
      </c>
      <c r="G103" s="157" t="s">
        <v>2467</v>
      </c>
      <c r="H103" s="12" t="s">
        <v>2312</v>
      </c>
      <c r="I103" s="12" t="s">
        <v>2313</v>
      </c>
      <c r="J103" s="176">
        <v>6</v>
      </c>
      <c r="K103" s="174">
        <v>2.4</v>
      </c>
      <c r="L103" s="174">
        <v>3.6</v>
      </c>
      <c r="M103" s="12" t="s">
        <v>2682</v>
      </c>
      <c r="N103" s="12" t="s">
        <v>2314</v>
      </c>
      <c r="O103" s="157" t="s">
        <v>2315</v>
      </c>
      <c r="P103" s="159" t="s">
        <v>2683</v>
      </c>
    </row>
    <row r="104" spans="1:16">
      <c r="A104" s="50" t="s">
        <v>2653</v>
      </c>
      <c r="B104" s="6" t="s">
        <v>1307</v>
      </c>
      <c r="C104" s="6" t="s">
        <v>2654</v>
      </c>
      <c r="D104" s="12" t="s">
        <v>2461</v>
      </c>
      <c r="E104" s="6" t="s">
        <v>2655</v>
      </c>
      <c r="F104" s="6" t="s">
        <v>2656</v>
      </c>
      <c r="G104" s="157" t="s">
        <v>2378</v>
      </c>
      <c r="H104" s="12" t="s">
        <v>2312</v>
      </c>
      <c r="I104" s="12" t="s">
        <v>2313</v>
      </c>
      <c r="J104" s="176">
        <v>4</v>
      </c>
      <c r="K104" s="174">
        <v>1.6</v>
      </c>
      <c r="L104" s="174">
        <v>2.4</v>
      </c>
      <c r="M104" s="12" t="s">
        <v>2682</v>
      </c>
      <c r="N104" s="12" t="s">
        <v>2321</v>
      </c>
      <c r="O104" s="157" t="s">
        <v>2438</v>
      </c>
      <c r="P104" s="159" t="s">
        <v>2683</v>
      </c>
    </row>
    <row r="105" spans="1:16">
      <c r="A105" s="50" t="s">
        <v>2806</v>
      </c>
      <c r="B105" s="6" t="s">
        <v>1307</v>
      </c>
      <c r="C105" s="6" t="s">
        <v>2807</v>
      </c>
      <c r="D105" s="12" t="s">
        <v>2461</v>
      </c>
      <c r="E105" s="6" t="s">
        <v>2808</v>
      </c>
      <c r="F105" s="6" t="s">
        <v>2809</v>
      </c>
      <c r="G105" s="157" t="s">
        <v>2627</v>
      </c>
      <c r="H105" s="12" t="s">
        <v>2312</v>
      </c>
      <c r="I105" s="12" t="s">
        <v>2320</v>
      </c>
      <c r="J105" s="176">
        <v>12</v>
      </c>
      <c r="K105" s="174">
        <v>4.8</v>
      </c>
      <c r="L105" s="174">
        <v>7.2</v>
      </c>
      <c r="M105" s="12" t="s">
        <v>2682</v>
      </c>
      <c r="N105" s="12" t="s">
        <v>2314</v>
      </c>
      <c r="O105" s="157" t="s">
        <v>2691</v>
      </c>
      <c r="P105" s="159" t="s">
        <v>1311</v>
      </c>
    </row>
    <row r="106" spans="1:16">
      <c r="A106" s="50" t="s">
        <v>2810</v>
      </c>
      <c r="B106" s="6" t="s">
        <v>1307</v>
      </c>
      <c r="C106" s="6" t="s">
        <v>2811</v>
      </c>
      <c r="D106" s="12" t="s">
        <v>2426</v>
      </c>
      <c r="E106" s="6" t="s">
        <v>2812</v>
      </c>
      <c r="F106" s="6" t="s">
        <v>2813</v>
      </c>
      <c r="G106" s="157" t="s">
        <v>2627</v>
      </c>
      <c r="H106" s="12" t="s">
        <v>2312</v>
      </c>
      <c r="I106" s="12" t="s">
        <v>2313</v>
      </c>
      <c r="J106" s="176">
        <v>5</v>
      </c>
      <c r="K106" s="174">
        <v>2</v>
      </c>
      <c r="L106" s="174">
        <v>3</v>
      </c>
      <c r="M106" s="12" t="s">
        <v>2682</v>
      </c>
      <c r="N106" s="12" t="s">
        <v>2314</v>
      </c>
      <c r="O106" s="157" t="s">
        <v>2691</v>
      </c>
      <c r="P106" s="159" t="s">
        <v>1312</v>
      </c>
    </row>
    <row r="107" spans="1:16">
      <c r="A107" s="50" t="s">
        <v>2814</v>
      </c>
      <c r="B107" s="6" t="s">
        <v>1307</v>
      </c>
      <c r="C107" s="6" t="s">
        <v>2815</v>
      </c>
      <c r="D107" s="12" t="s">
        <v>2308</v>
      </c>
      <c r="E107" s="6" t="s">
        <v>2816</v>
      </c>
      <c r="F107" s="6" t="s">
        <v>2817</v>
      </c>
      <c r="G107" s="157" t="s">
        <v>2411</v>
      </c>
      <c r="H107" s="12" t="s">
        <v>2312</v>
      </c>
      <c r="I107" s="12" t="s">
        <v>2313</v>
      </c>
      <c r="J107" s="176">
        <v>6</v>
      </c>
      <c r="K107" s="174">
        <v>2.4</v>
      </c>
      <c r="L107" s="174">
        <v>3.6</v>
      </c>
      <c r="M107" s="12" t="s">
        <v>2682</v>
      </c>
      <c r="N107" s="12" t="s">
        <v>2314</v>
      </c>
      <c r="O107" s="157" t="s">
        <v>2691</v>
      </c>
      <c r="P107" s="159" t="s">
        <v>2818</v>
      </c>
    </row>
    <row r="108" spans="1:16">
      <c r="A108" s="259" t="s">
        <v>2819</v>
      </c>
      <c r="B108" s="8" t="s">
        <v>1307</v>
      </c>
      <c r="C108" s="8" t="s">
        <v>2820</v>
      </c>
      <c r="D108" s="13" t="s">
        <v>2328</v>
      </c>
      <c r="E108" s="8" t="s">
        <v>4482</v>
      </c>
      <c r="F108" s="8" t="s">
        <v>4483</v>
      </c>
      <c r="G108" s="158" t="s">
        <v>2640</v>
      </c>
      <c r="H108" s="13" t="s">
        <v>2312</v>
      </c>
      <c r="I108" s="13" t="s">
        <v>2313</v>
      </c>
      <c r="J108" s="177">
        <v>8</v>
      </c>
      <c r="K108" s="175">
        <v>3.2</v>
      </c>
      <c r="L108" s="175">
        <v>4.8</v>
      </c>
      <c r="M108" s="13" t="s">
        <v>2689</v>
      </c>
      <c r="N108" s="13" t="s">
        <v>4480</v>
      </c>
      <c r="O108" s="158" t="s">
        <v>2691</v>
      </c>
      <c r="P108" s="160" t="s">
        <v>4481</v>
      </c>
    </row>
  </sheetData>
  <autoFilter ref="A5:P108" xr:uid="{299E7693-5B40-0444-B227-D6033B94776C}"/>
  <phoneticPr fontId="2"/>
  <conditionalFormatting sqref="A6:P108">
    <cfRule type="expression" dxfId="33" priority="1">
      <formula>$M6="🟡 将来・条件付"</formula>
    </cfRule>
  </conditionalFormatting>
  <conditionalFormatting sqref="A6:P108">
    <cfRule type="expression" dxfId="32"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zoomScale="134" workbookViewId="0">
      <pane ySplit="5" topLeftCell="A6" activePane="bottomLeft" state="frozen"/>
      <selection activeCell="C1" sqref="C1"/>
      <selection pane="bottomLeft" activeCell="G19" sqref="G1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3097</v>
      </c>
    </row>
    <row r="2" spans="1:7">
      <c r="A2" s="3" t="s">
        <v>3098</v>
      </c>
    </row>
    <row r="3" spans="1:7">
      <c r="A3" s="55" t="s">
        <v>3099</v>
      </c>
    </row>
    <row r="5" spans="1:7" ht="24" customHeight="1">
      <c r="A5" s="201" t="s">
        <v>1</v>
      </c>
      <c r="B5" s="202" t="s">
        <v>8</v>
      </c>
      <c r="C5" s="202" t="s">
        <v>3091</v>
      </c>
      <c r="D5" s="202" t="s">
        <v>3100</v>
      </c>
      <c r="E5" s="202" t="s">
        <v>2829</v>
      </c>
      <c r="F5" s="202" t="s">
        <v>3101</v>
      </c>
      <c r="G5" s="203" t="s">
        <v>3068</v>
      </c>
    </row>
    <row r="6" spans="1:7">
      <c r="A6" s="5" t="s">
        <v>3102</v>
      </c>
      <c r="B6" s="192" t="s">
        <v>3103</v>
      </c>
      <c r="C6" s="6" t="s">
        <v>3104</v>
      </c>
      <c r="D6" s="214" t="s">
        <v>3105</v>
      </c>
      <c r="E6" s="172">
        <v>6</v>
      </c>
      <c r="F6" s="194" t="s">
        <v>3106</v>
      </c>
      <c r="G6" s="204" t="s">
        <v>3107</v>
      </c>
    </row>
    <row r="7" spans="1:7">
      <c r="A7" s="5" t="s">
        <v>3102</v>
      </c>
      <c r="B7" s="192" t="s">
        <v>3108</v>
      </c>
      <c r="C7" s="6" t="s">
        <v>3109</v>
      </c>
      <c r="D7" s="214" t="s">
        <v>3110</v>
      </c>
      <c r="E7" s="172">
        <v>6</v>
      </c>
      <c r="F7" s="194" t="s">
        <v>3111</v>
      </c>
      <c r="G7" s="204" t="s">
        <v>3107</v>
      </c>
    </row>
    <row r="8" spans="1:7">
      <c r="A8" s="5" t="s">
        <v>3102</v>
      </c>
      <c r="B8" s="192" t="s">
        <v>3112</v>
      </c>
      <c r="C8" s="6" t="s">
        <v>3113</v>
      </c>
      <c r="D8" s="214" t="s">
        <v>3114</v>
      </c>
      <c r="E8" s="172">
        <v>6</v>
      </c>
      <c r="F8" s="194" t="s">
        <v>3115</v>
      </c>
      <c r="G8" s="204" t="s">
        <v>3107</v>
      </c>
    </row>
    <row r="9" spans="1:7">
      <c r="A9" s="5" t="s">
        <v>3102</v>
      </c>
      <c r="B9" s="192" t="s">
        <v>3116</v>
      </c>
      <c r="C9" s="6" t="s">
        <v>3117</v>
      </c>
      <c r="D9" s="214" t="s">
        <v>3118</v>
      </c>
      <c r="E9" s="172">
        <v>5</v>
      </c>
      <c r="F9" s="194" t="s">
        <v>3119</v>
      </c>
      <c r="G9" s="204" t="s">
        <v>3107</v>
      </c>
    </row>
    <row r="10" spans="1:7">
      <c r="A10" s="5" t="s">
        <v>3102</v>
      </c>
      <c r="B10" s="192" t="s">
        <v>3120</v>
      </c>
      <c r="C10" s="6" t="s">
        <v>3121</v>
      </c>
      <c r="D10" s="214" t="s">
        <v>3122</v>
      </c>
      <c r="E10" s="172">
        <v>5</v>
      </c>
      <c r="F10" s="194" t="s">
        <v>3123</v>
      </c>
      <c r="G10" s="204" t="s">
        <v>3107</v>
      </c>
    </row>
    <row r="11" spans="1:7">
      <c r="A11" s="5" t="s">
        <v>3102</v>
      </c>
      <c r="B11" s="192" t="s">
        <v>3124</v>
      </c>
      <c r="C11" s="6" t="s">
        <v>3125</v>
      </c>
      <c r="D11" s="214" t="s">
        <v>3126</v>
      </c>
      <c r="E11" s="172">
        <v>6</v>
      </c>
      <c r="F11" s="194" t="s">
        <v>3127</v>
      </c>
      <c r="G11" s="204" t="s">
        <v>3107</v>
      </c>
    </row>
    <row r="12" spans="1:7">
      <c r="A12" s="5" t="s">
        <v>3102</v>
      </c>
      <c r="B12" s="192" t="s">
        <v>3128</v>
      </c>
      <c r="C12" s="6" t="s">
        <v>3129</v>
      </c>
      <c r="D12" s="214" t="s">
        <v>3130</v>
      </c>
      <c r="E12" s="172">
        <v>4</v>
      </c>
      <c r="F12" s="194" t="s">
        <v>3131</v>
      </c>
      <c r="G12" s="204" t="s">
        <v>3107</v>
      </c>
    </row>
    <row r="13" spans="1:7">
      <c r="A13" s="5" t="s">
        <v>3132</v>
      </c>
      <c r="B13" s="192" t="s">
        <v>3133</v>
      </c>
      <c r="C13" s="6" t="s">
        <v>3134</v>
      </c>
      <c r="D13" s="214" t="s">
        <v>3135</v>
      </c>
      <c r="E13" s="172">
        <v>12</v>
      </c>
      <c r="F13" s="194" t="s">
        <v>3136</v>
      </c>
      <c r="G13" s="204" t="s">
        <v>3107</v>
      </c>
    </row>
    <row r="14" spans="1:7">
      <c r="A14" s="5" t="s">
        <v>3132</v>
      </c>
      <c r="B14" s="192" t="s">
        <v>3137</v>
      </c>
      <c r="C14" s="6" t="s">
        <v>3138</v>
      </c>
      <c r="D14" s="214" t="s">
        <v>3139</v>
      </c>
      <c r="E14" s="172">
        <v>10</v>
      </c>
      <c r="F14" s="194" t="s">
        <v>3140</v>
      </c>
      <c r="G14" s="204" t="s">
        <v>3107</v>
      </c>
    </row>
    <row r="15" spans="1:7">
      <c r="A15" s="5" t="s">
        <v>3132</v>
      </c>
      <c r="B15" s="192" t="s">
        <v>3141</v>
      </c>
      <c r="C15" s="6" t="s">
        <v>3142</v>
      </c>
      <c r="D15" s="214" t="s">
        <v>3143</v>
      </c>
      <c r="E15" s="172">
        <v>12</v>
      </c>
      <c r="F15" s="194" t="s">
        <v>3144</v>
      </c>
      <c r="G15" s="204" t="s">
        <v>3107</v>
      </c>
    </row>
    <row r="16" spans="1:7">
      <c r="A16" s="5" t="s">
        <v>3132</v>
      </c>
      <c r="B16" s="192" t="s">
        <v>3145</v>
      </c>
      <c r="C16" s="6" t="s">
        <v>3146</v>
      </c>
      <c r="D16" s="214" t="s">
        <v>3147</v>
      </c>
      <c r="E16" s="172">
        <v>10</v>
      </c>
      <c r="F16" s="194" t="s">
        <v>3148</v>
      </c>
      <c r="G16" s="204" t="s">
        <v>3107</v>
      </c>
    </row>
    <row r="17" spans="1:7">
      <c r="A17" s="5" t="s">
        <v>3132</v>
      </c>
      <c r="B17" s="192" t="s">
        <v>3149</v>
      </c>
      <c r="C17" s="6" t="s">
        <v>3150</v>
      </c>
      <c r="D17" s="214" t="s">
        <v>3151</v>
      </c>
      <c r="E17" s="172">
        <v>12</v>
      </c>
      <c r="F17" s="194" t="s">
        <v>3092</v>
      </c>
      <c r="G17" s="204" t="s">
        <v>3107</v>
      </c>
    </row>
    <row r="18" spans="1:7">
      <c r="A18" s="5" t="s">
        <v>3132</v>
      </c>
      <c r="B18" s="192" t="s">
        <v>3152</v>
      </c>
      <c r="C18" s="6" t="s">
        <v>3153</v>
      </c>
      <c r="D18" s="214" t="s">
        <v>3154</v>
      </c>
      <c r="E18" s="172">
        <v>8</v>
      </c>
      <c r="F18" s="194" t="s">
        <v>3093</v>
      </c>
      <c r="G18" s="204" t="s">
        <v>3107</v>
      </c>
    </row>
    <row r="19" spans="1:7">
      <c r="A19" s="5" t="s">
        <v>3132</v>
      </c>
      <c r="B19" s="192" t="s">
        <v>3155</v>
      </c>
      <c r="C19" s="6" t="s">
        <v>3156</v>
      </c>
      <c r="D19" s="214" t="s">
        <v>3157</v>
      </c>
      <c r="E19" s="172">
        <v>12</v>
      </c>
      <c r="F19" s="194" t="s">
        <v>3158</v>
      </c>
      <c r="G19" s="204" t="s">
        <v>3107</v>
      </c>
    </row>
    <row r="20" spans="1:7">
      <c r="A20" s="5" t="s">
        <v>3132</v>
      </c>
      <c r="B20" s="192" t="s">
        <v>3159</v>
      </c>
      <c r="C20" s="6" t="s">
        <v>3160</v>
      </c>
      <c r="D20" s="214" t="s">
        <v>3161</v>
      </c>
      <c r="E20" s="172">
        <v>6</v>
      </c>
      <c r="F20" s="194" t="s">
        <v>3162</v>
      </c>
      <c r="G20" s="204" t="s">
        <v>3107</v>
      </c>
    </row>
    <row r="21" spans="1:7">
      <c r="A21" s="5" t="s">
        <v>3132</v>
      </c>
      <c r="B21" s="192" t="s">
        <v>3163</v>
      </c>
      <c r="C21" s="6" t="s">
        <v>3164</v>
      </c>
      <c r="D21" s="214" t="s">
        <v>3165</v>
      </c>
      <c r="E21" s="172">
        <v>5</v>
      </c>
      <c r="F21" s="194" t="s">
        <v>3166</v>
      </c>
      <c r="G21" s="204" t="s">
        <v>3107</v>
      </c>
    </row>
    <row r="22" spans="1:7">
      <c r="A22" s="5" t="s">
        <v>3167</v>
      </c>
      <c r="B22" s="192" t="s">
        <v>3168</v>
      </c>
      <c r="C22" s="6" t="s">
        <v>3169</v>
      </c>
      <c r="D22" s="214" t="s">
        <v>3170</v>
      </c>
      <c r="E22" s="172">
        <v>10</v>
      </c>
      <c r="F22" s="194" t="s">
        <v>3171</v>
      </c>
      <c r="G22" s="204" t="s">
        <v>1599</v>
      </c>
    </row>
    <row r="23" spans="1:7">
      <c r="A23" s="5" t="s">
        <v>3167</v>
      </c>
      <c r="B23" s="192" t="s">
        <v>3172</v>
      </c>
      <c r="C23" s="6" t="s">
        <v>3173</v>
      </c>
      <c r="D23" s="214" t="s">
        <v>3174</v>
      </c>
      <c r="E23" s="172">
        <v>8</v>
      </c>
      <c r="F23" s="194" t="s">
        <v>3175</v>
      </c>
      <c r="G23" s="204" t="s">
        <v>1599</v>
      </c>
    </row>
    <row r="24" spans="1:7">
      <c r="A24" s="5" t="s">
        <v>3167</v>
      </c>
      <c r="B24" s="192" t="s">
        <v>3176</v>
      </c>
      <c r="C24" s="6" t="s">
        <v>3177</v>
      </c>
      <c r="D24" s="214" t="s">
        <v>3178</v>
      </c>
      <c r="E24" s="172">
        <v>12</v>
      </c>
      <c r="F24" s="194" t="s">
        <v>3179</v>
      </c>
      <c r="G24" s="204" t="s">
        <v>1599</v>
      </c>
    </row>
    <row r="25" spans="1:7">
      <c r="A25" s="5" t="s">
        <v>3167</v>
      </c>
      <c r="B25" s="192" t="s">
        <v>3180</v>
      </c>
      <c r="C25" s="6" t="s">
        <v>3181</v>
      </c>
      <c r="D25" s="214" t="s">
        <v>3182</v>
      </c>
      <c r="E25" s="172">
        <v>8</v>
      </c>
      <c r="F25" s="194" t="s">
        <v>3183</v>
      </c>
      <c r="G25" s="204" t="s">
        <v>1599</v>
      </c>
    </row>
    <row r="26" spans="1:7">
      <c r="A26" s="5" t="s">
        <v>3184</v>
      </c>
      <c r="B26" s="192" t="s">
        <v>3185</v>
      </c>
      <c r="C26" s="6" t="s">
        <v>3186</v>
      </c>
      <c r="D26" s="214" t="s">
        <v>3187</v>
      </c>
      <c r="E26" s="172">
        <v>18</v>
      </c>
      <c r="F26" s="194" t="s">
        <v>3188</v>
      </c>
      <c r="G26" s="204" t="s">
        <v>3107</v>
      </c>
    </row>
    <row r="27" spans="1:7">
      <c r="A27" s="5" t="s">
        <v>3184</v>
      </c>
      <c r="B27" s="192" t="s">
        <v>3189</v>
      </c>
      <c r="C27" s="6" t="s">
        <v>3190</v>
      </c>
      <c r="D27" s="214" t="s">
        <v>3191</v>
      </c>
      <c r="E27" s="172">
        <v>14</v>
      </c>
      <c r="F27" s="194" t="s">
        <v>3192</v>
      </c>
      <c r="G27" s="204" t="s">
        <v>3107</v>
      </c>
    </row>
    <row r="28" spans="1:7">
      <c r="A28" s="5" t="s">
        <v>3184</v>
      </c>
      <c r="B28" s="192" t="s">
        <v>3193</v>
      </c>
      <c r="C28" s="6" t="s">
        <v>3194</v>
      </c>
      <c r="D28" s="214" t="s">
        <v>3195</v>
      </c>
      <c r="E28" s="172">
        <v>12</v>
      </c>
      <c r="F28" s="194" t="s">
        <v>3196</v>
      </c>
      <c r="G28" s="204" t="s">
        <v>3107</v>
      </c>
    </row>
    <row r="29" spans="1:7">
      <c r="A29" s="5" t="s">
        <v>3184</v>
      </c>
      <c r="B29" s="192" t="s">
        <v>3197</v>
      </c>
      <c r="C29" s="6" t="s">
        <v>3198</v>
      </c>
      <c r="D29" s="214" t="s">
        <v>3199</v>
      </c>
      <c r="E29" s="172">
        <v>8</v>
      </c>
      <c r="F29" s="194" t="s">
        <v>3200</v>
      </c>
      <c r="G29" s="204" t="s">
        <v>3107</v>
      </c>
    </row>
    <row r="30" spans="1:7">
      <c r="A30" s="5" t="s">
        <v>3184</v>
      </c>
      <c r="B30" s="192" t="s">
        <v>3201</v>
      </c>
      <c r="C30" s="6" t="s">
        <v>3202</v>
      </c>
      <c r="D30" s="214" t="s">
        <v>3203</v>
      </c>
      <c r="E30" s="172">
        <v>6</v>
      </c>
      <c r="F30" s="194" t="s">
        <v>3204</v>
      </c>
      <c r="G30" s="204" t="s">
        <v>3107</v>
      </c>
    </row>
    <row r="31" spans="1:7">
      <c r="A31" s="5" t="s">
        <v>3184</v>
      </c>
      <c r="B31" s="192" t="s">
        <v>3205</v>
      </c>
      <c r="C31" s="6" t="s">
        <v>3206</v>
      </c>
      <c r="D31" s="214" t="s">
        <v>3207</v>
      </c>
      <c r="E31" s="172">
        <v>6</v>
      </c>
      <c r="F31" s="194" t="s">
        <v>3208</v>
      </c>
      <c r="G31" s="204" t="s">
        <v>3107</v>
      </c>
    </row>
    <row r="32" spans="1:7">
      <c r="A32" s="5" t="s">
        <v>3209</v>
      </c>
      <c r="B32" s="192" t="s">
        <v>3210</v>
      </c>
      <c r="C32" s="6" t="s">
        <v>3211</v>
      </c>
      <c r="D32" s="214" t="s">
        <v>3212</v>
      </c>
      <c r="E32" s="172">
        <v>12</v>
      </c>
      <c r="F32" s="194" t="s">
        <v>3213</v>
      </c>
      <c r="G32" s="204" t="s">
        <v>3107</v>
      </c>
    </row>
    <row r="33" spans="1:7">
      <c r="A33" s="5" t="s">
        <v>3209</v>
      </c>
      <c r="B33" s="192" t="s">
        <v>3214</v>
      </c>
      <c r="C33" s="6" t="s">
        <v>3215</v>
      </c>
      <c r="D33" s="214" t="s">
        <v>3216</v>
      </c>
      <c r="E33" s="172">
        <v>8</v>
      </c>
      <c r="F33" s="194" t="s">
        <v>3217</v>
      </c>
      <c r="G33" s="204" t="s">
        <v>3107</v>
      </c>
    </row>
    <row r="34" spans="1:7">
      <c r="A34" s="5" t="s">
        <v>3209</v>
      </c>
      <c r="B34" s="192" t="s">
        <v>3218</v>
      </c>
      <c r="C34" s="6" t="s">
        <v>3219</v>
      </c>
      <c r="D34" s="214" t="s">
        <v>3220</v>
      </c>
      <c r="E34" s="172">
        <v>8</v>
      </c>
      <c r="F34" s="194" t="s">
        <v>3221</v>
      </c>
      <c r="G34" s="204" t="s">
        <v>3107</v>
      </c>
    </row>
    <row r="35" spans="1:7">
      <c r="A35" s="5" t="s">
        <v>3209</v>
      </c>
      <c r="B35" s="192" t="s">
        <v>3222</v>
      </c>
      <c r="C35" s="6" t="s">
        <v>3223</v>
      </c>
      <c r="D35" s="214" t="s">
        <v>3224</v>
      </c>
      <c r="E35" s="172">
        <v>6</v>
      </c>
      <c r="F35" s="194" t="s">
        <v>3225</v>
      </c>
      <c r="G35" s="204" t="s">
        <v>3107</v>
      </c>
    </row>
    <row r="36" spans="1:7">
      <c r="A36" s="5" t="s">
        <v>3209</v>
      </c>
      <c r="B36" s="192" t="s">
        <v>3226</v>
      </c>
      <c r="C36" s="6" t="s">
        <v>3227</v>
      </c>
      <c r="D36" s="214" t="s">
        <v>3228</v>
      </c>
      <c r="E36" s="172">
        <v>6</v>
      </c>
      <c r="F36" s="194" t="s">
        <v>3229</v>
      </c>
      <c r="G36" s="204" t="s">
        <v>3107</v>
      </c>
    </row>
    <row r="37" spans="1:7">
      <c r="A37" s="5" t="s">
        <v>3230</v>
      </c>
      <c r="B37" s="192" t="s">
        <v>3231</v>
      </c>
      <c r="C37" s="6" t="s">
        <v>3232</v>
      </c>
      <c r="D37" s="214" t="s">
        <v>3233</v>
      </c>
      <c r="E37" s="172">
        <v>15</v>
      </c>
      <c r="F37" s="194" t="s">
        <v>3234</v>
      </c>
      <c r="G37" s="204" t="s">
        <v>1599</v>
      </c>
    </row>
    <row r="38" spans="1:7">
      <c r="A38" s="5" t="s">
        <v>3230</v>
      </c>
      <c r="B38" s="192" t="s">
        <v>3235</v>
      </c>
      <c r="C38" s="6" t="s">
        <v>3236</v>
      </c>
      <c r="D38" s="214" t="s">
        <v>3237</v>
      </c>
      <c r="E38" s="172">
        <v>8</v>
      </c>
      <c r="F38" s="194" t="s">
        <v>3238</v>
      </c>
      <c r="G38" s="204" t="s">
        <v>3107</v>
      </c>
    </row>
    <row r="39" spans="1:7">
      <c r="A39" s="5" t="s">
        <v>3230</v>
      </c>
      <c r="B39" s="192" t="s">
        <v>3239</v>
      </c>
      <c r="C39" s="6" t="s">
        <v>3240</v>
      </c>
      <c r="D39" s="214" t="s">
        <v>3241</v>
      </c>
      <c r="E39" s="172">
        <v>6</v>
      </c>
      <c r="F39" s="194" t="s">
        <v>3242</v>
      </c>
      <c r="G39" s="204" t="s">
        <v>3107</v>
      </c>
    </row>
    <row r="40" spans="1:7">
      <c r="A40" s="5" t="s">
        <v>3230</v>
      </c>
      <c r="B40" s="192" t="s">
        <v>3243</v>
      </c>
      <c r="C40" s="6" t="s">
        <v>3244</v>
      </c>
      <c r="D40" s="214" t="s">
        <v>3245</v>
      </c>
      <c r="E40" s="172">
        <v>5</v>
      </c>
      <c r="F40" s="194" t="s">
        <v>3246</v>
      </c>
      <c r="G40" s="204" t="s">
        <v>3107</v>
      </c>
    </row>
    <row r="41" spans="1:7">
      <c r="A41" s="5" t="s">
        <v>3230</v>
      </c>
      <c r="B41" s="192" t="s">
        <v>3247</v>
      </c>
      <c r="C41" s="6" t="s">
        <v>3248</v>
      </c>
      <c r="D41" s="214" t="s">
        <v>3249</v>
      </c>
      <c r="E41" s="172">
        <v>4</v>
      </c>
      <c r="F41" s="194" t="s">
        <v>3250</v>
      </c>
      <c r="G41" s="204" t="s">
        <v>3107</v>
      </c>
    </row>
    <row r="42" spans="1:7">
      <c r="A42" s="5" t="s">
        <v>3251</v>
      </c>
      <c r="B42" s="192" t="s">
        <v>3252</v>
      </c>
      <c r="C42" s="6" t="s">
        <v>3253</v>
      </c>
      <c r="D42" s="214" t="s">
        <v>3254</v>
      </c>
      <c r="E42" s="172">
        <v>10</v>
      </c>
      <c r="F42" s="194" t="s">
        <v>3255</v>
      </c>
      <c r="G42" s="204" t="s">
        <v>3107</v>
      </c>
    </row>
    <row r="43" spans="1:7">
      <c r="A43" s="5" t="s">
        <v>3251</v>
      </c>
      <c r="B43" s="192" t="s">
        <v>3256</v>
      </c>
      <c r="C43" s="6" t="s">
        <v>3257</v>
      </c>
      <c r="D43" s="214" t="s">
        <v>3258</v>
      </c>
      <c r="E43" s="172">
        <v>12</v>
      </c>
      <c r="F43" s="194" t="s">
        <v>3259</v>
      </c>
      <c r="G43" s="204" t="s">
        <v>3107</v>
      </c>
    </row>
    <row r="44" spans="1:7">
      <c r="A44" s="5" t="s">
        <v>3251</v>
      </c>
      <c r="B44" s="192" t="s">
        <v>3260</v>
      </c>
      <c r="C44" s="6" t="s">
        <v>3261</v>
      </c>
      <c r="D44" s="214" t="s">
        <v>3262</v>
      </c>
      <c r="E44" s="172">
        <v>8</v>
      </c>
      <c r="F44" s="194" t="s">
        <v>3263</v>
      </c>
      <c r="G44" s="204" t="s">
        <v>3107</v>
      </c>
    </row>
    <row r="45" spans="1:7">
      <c r="A45" s="5" t="s">
        <v>3251</v>
      </c>
      <c r="B45" s="192" t="s">
        <v>3264</v>
      </c>
      <c r="C45" s="6" t="s">
        <v>3265</v>
      </c>
      <c r="D45" s="214" t="s">
        <v>3266</v>
      </c>
      <c r="E45" s="172">
        <v>6</v>
      </c>
      <c r="F45" s="194" t="s">
        <v>3267</v>
      </c>
      <c r="G45" s="204" t="s">
        <v>3107</v>
      </c>
    </row>
    <row r="46" spans="1:7">
      <c r="A46" s="5" t="s">
        <v>3268</v>
      </c>
      <c r="B46" s="192" t="s">
        <v>3269</v>
      </c>
      <c r="C46" s="6" t="s">
        <v>3270</v>
      </c>
      <c r="D46" s="214" t="s">
        <v>3271</v>
      </c>
      <c r="E46" s="172">
        <v>8</v>
      </c>
      <c r="F46" s="194" t="s">
        <v>3272</v>
      </c>
      <c r="G46" s="204" t="s">
        <v>3107</v>
      </c>
    </row>
    <row r="47" spans="1:7">
      <c r="A47" s="5" t="s">
        <v>3268</v>
      </c>
      <c r="B47" s="192" t="s">
        <v>3273</v>
      </c>
      <c r="C47" s="6" t="s">
        <v>3274</v>
      </c>
      <c r="D47" s="214" t="s">
        <v>3275</v>
      </c>
      <c r="E47" s="172">
        <v>6</v>
      </c>
      <c r="F47" s="194" t="s">
        <v>3276</v>
      </c>
      <c r="G47" s="204" t="s">
        <v>3107</v>
      </c>
    </row>
    <row r="48" spans="1:7">
      <c r="A48" s="7" t="s">
        <v>3268</v>
      </c>
      <c r="B48" s="193" t="s">
        <v>3277</v>
      </c>
      <c r="C48" s="8" t="s">
        <v>3278</v>
      </c>
      <c r="D48" s="215" t="s">
        <v>3279</v>
      </c>
      <c r="E48" s="173">
        <v>8</v>
      </c>
      <c r="F48" s="195" t="s">
        <v>3280</v>
      </c>
      <c r="G48" s="205" t="s">
        <v>3107</v>
      </c>
    </row>
    <row r="50" spans="1:6">
      <c r="A50" s="178" t="s">
        <v>3282</v>
      </c>
    </row>
    <row r="51" spans="1:6">
      <c r="A51" s="206" t="s">
        <v>1</v>
      </c>
      <c r="B51" s="207" t="s">
        <v>3094</v>
      </c>
      <c r="C51" s="207" t="s">
        <v>3283</v>
      </c>
      <c r="D51" s="207" t="s">
        <v>3284</v>
      </c>
      <c r="E51" s="208" t="s">
        <v>3082</v>
      </c>
    </row>
    <row r="52" spans="1:6">
      <c r="A52" s="23" t="s">
        <v>3102</v>
      </c>
      <c r="B52" s="31">
        <f>COUNTIF($A$6:$A$48,$A52)</f>
        <v>7</v>
      </c>
      <c r="C52" s="31">
        <f>SUMIF($A$6:$A$48,$A52,$E$6:$E$48)</f>
        <v>38</v>
      </c>
      <c r="D52" s="31">
        <v>38</v>
      </c>
      <c r="E52" s="162"/>
    </row>
    <row r="53" spans="1:6">
      <c r="A53" s="23" t="s">
        <v>3132</v>
      </c>
      <c r="B53" s="31">
        <f>COUNTIF($A$6:$A$48,$A53)</f>
        <v>9</v>
      </c>
      <c r="C53" s="31">
        <f>SUMIF($A$6:$A$48,$A53,$E$6:$E$48)</f>
        <v>87</v>
      </c>
      <c r="D53" s="31">
        <v>87</v>
      </c>
      <c r="E53" s="162"/>
    </row>
    <row r="54" spans="1:6">
      <c r="A54" s="23" t="s">
        <v>3167</v>
      </c>
      <c r="B54" s="31">
        <f>COUNTIF($A$6:$A$48,$A54)</f>
        <v>4</v>
      </c>
      <c r="C54" s="31">
        <f>SUMIF($A$6:$A$48,$A54,$E$6:$E$48)</f>
        <v>38</v>
      </c>
      <c r="D54" s="31">
        <v>38</v>
      </c>
      <c r="E54" s="162"/>
    </row>
    <row r="55" spans="1:6">
      <c r="A55" s="23" t="s">
        <v>3184</v>
      </c>
      <c r="B55" s="31">
        <f>COUNTIF($A$6:$A$48,$A55)</f>
        <v>6</v>
      </c>
      <c r="C55" s="31">
        <f>SUMIF($A$6:$A$48,$A55,$E$6:$E$48)</f>
        <v>64</v>
      </c>
      <c r="D55" s="31">
        <v>64</v>
      </c>
      <c r="E55" s="162"/>
    </row>
    <row r="56" spans="1:6">
      <c r="A56" s="23" t="s">
        <v>3209</v>
      </c>
      <c r="B56" s="31">
        <f>COUNTIF($A$6:$A$48,$A56)</f>
        <v>5</v>
      </c>
      <c r="C56" s="31">
        <f>SUMIF($A$6:$A$48,$A56,$E$6:$E$48)</f>
        <v>40</v>
      </c>
      <c r="D56" s="31">
        <v>40</v>
      </c>
      <c r="E56" s="162"/>
    </row>
    <row r="57" spans="1:6">
      <c r="A57" s="23" t="s">
        <v>3230</v>
      </c>
      <c r="B57" s="31">
        <f>COUNTIF($A$6:$A$48,$A57)</f>
        <v>5</v>
      </c>
      <c r="C57" s="31">
        <f>SUMIF($A$6:$A$48,$A57,$E$6:$E$48)</f>
        <v>38</v>
      </c>
      <c r="D57" s="31">
        <v>38</v>
      </c>
      <c r="E57" s="162"/>
    </row>
    <row r="58" spans="1:6">
      <c r="A58" s="23" t="s">
        <v>3251</v>
      </c>
      <c r="B58" s="31">
        <f>COUNTIF($A$6:$A$48,$A58)</f>
        <v>4</v>
      </c>
      <c r="C58" s="31">
        <f>SUMIF($A$6:$A$48,$A58,$E$6:$E$48)</f>
        <v>36</v>
      </c>
      <c r="D58" s="31">
        <v>36</v>
      </c>
      <c r="E58" s="162"/>
    </row>
    <row r="59" spans="1:6">
      <c r="A59" s="23" t="s">
        <v>3268</v>
      </c>
      <c r="B59" s="31">
        <f>COUNTIF($A$6:$A$48,$A59)</f>
        <v>3</v>
      </c>
      <c r="C59" s="31">
        <f>SUMIF($A$6:$A$48,$A59,$E$6:$E$48)</f>
        <v>22</v>
      </c>
      <c r="D59" s="31">
        <v>22</v>
      </c>
      <c r="E59" s="162"/>
    </row>
    <row r="60" spans="1:6">
      <c r="A60" s="25" t="s">
        <v>6</v>
      </c>
      <c r="B60" s="32">
        <f>SUM(B52:B59)</f>
        <v>43</v>
      </c>
      <c r="C60" s="32">
        <f>SUM(C52:C59)</f>
        <v>363</v>
      </c>
      <c r="D60" s="32">
        <f>SUM(D52:D59)</f>
        <v>363</v>
      </c>
      <c r="E60" s="163">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31"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5" t="s">
        <v>3982</v>
      </c>
    </row>
    <row r="2" spans="1:1">
      <c r="A2" s="34" t="s">
        <v>3983</v>
      </c>
    </row>
    <row r="3" spans="1:1">
      <c r="A3" s="34" t="s">
        <v>3984</v>
      </c>
    </row>
    <row r="4" spans="1:1">
      <c r="A4" s="34"/>
    </row>
    <row r="5" spans="1:1">
      <c r="A5" s="86" t="s">
        <v>3985</v>
      </c>
    </row>
    <row r="6" spans="1:1">
      <c r="A6" s="257" t="s">
        <v>3986</v>
      </c>
    </row>
    <row r="7" spans="1:1">
      <c r="A7" s="257" t="s">
        <v>3987</v>
      </c>
    </row>
    <row r="8" spans="1:1">
      <c r="A8" s="257" t="s">
        <v>3988</v>
      </c>
    </row>
    <row r="9" spans="1:1">
      <c r="A9" s="257" t="s">
        <v>3989</v>
      </c>
    </row>
    <row r="10" spans="1:1">
      <c r="A10" s="257"/>
    </row>
    <row r="11" spans="1:1">
      <c r="A11" s="257" t="s">
        <v>3990</v>
      </c>
    </row>
    <row r="12" spans="1:1">
      <c r="A12" s="257" t="s">
        <v>3991</v>
      </c>
    </row>
    <row r="13" spans="1:1">
      <c r="A13" s="257" t="s">
        <v>3992</v>
      </c>
    </row>
    <row r="14" spans="1:1">
      <c r="A14" s="257" t="s">
        <v>3993</v>
      </c>
    </row>
    <row r="15" spans="1:1">
      <c r="A15" s="257" t="s">
        <v>3994</v>
      </c>
    </row>
    <row r="16" spans="1:1">
      <c r="A16" s="257"/>
    </row>
    <row r="17" spans="1:1">
      <c r="A17" s="257" t="s">
        <v>3995</v>
      </c>
    </row>
    <row r="18" spans="1:1">
      <c r="A18" s="257" t="s">
        <v>3996</v>
      </c>
    </row>
    <row r="19" spans="1:1">
      <c r="A19" s="257"/>
    </row>
    <row r="20" spans="1:1">
      <c r="A20" s="257" t="s">
        <v>3997</v>
      </c>
    </row>
    <row r="21" spans="1:1">
      <c r="A21" s="257" t="s">
        <v>3988</v>
      </c>
    </row>
    <row r="22" spans="1:1">
      <c r="A22" s="257" t="s">
        <v>3998</v>
      </c>
    </row>
    <row r="23" spans="1:1">
      <c r="A23" s="257" t="s">
        <v>3999</v>
      </c>
    </row>
    <row r="24" spans="1:1">
      <c r="A24" s="257"/>
    </row>
    <row r="25" spans="1:1">
      <c r="A25" s="257" t="s">
        <v>4000</v>
      </c>
    </row>
    <row r="26" spans="1:1">
      <c r="A26" s="257"/>
    </row>
    <row r="27" spans="1:1">
      <c r="A27" s="257" t="s">
        <v>4001</v>
      </c>
    </row>
    <row r="28" spans="1:1">
      <c r="A28" s="257" t="s">
        <v>4002</v>
      </c>
    </row>
    <row r="29" spans="1:1">
      <c r="A29" s="257" t="s">
        <v>4003</v>
      </c>
    </row>
    <row r="30" spans="1:1">
      <c r="A30" s="257" t="s">
        <v>4004</v>
      </c>
    </row>
    <row r="31" spans="1:1">
      <c r="A31" s="257" t="s">
        <v>4005</v>
      </c>
    </row>
    <row r="32" spans="1:1">
      <c r="A32" s="257" t="s">
        <v>4006</v>
      </c>
    </row>
    <row r="33" spans="1:1">
      <c r="A33" s="257" t="s">
        <v>4007</v>
      </c>
    </row>
    <row r="34" spans="1:1">
      <c r="A34" s="257" t="s">
        <v>4008</v>
      </c>
    </row>
    <row r="35" spans="1:1">
      <c r="A35" s="257" t="s">
        <v>4009</v>
      </c>
    </row>
    <row r="36" spans="1:1">
      <c r="A36" s="257"/>
    </row>
    <row r="37" spans="1:1">
      <c r="A37" s="257" t="s">
        <v>4010</v>
      </c>
    </row>
    <row r="38" spans="1:1">
      <c r="A38" s="257" t="s">
        <v>4011</v>
      </c>
    </row>
    <row r="39" spans="1:1">
      <c r="A39" s="257" t="s">
        <v>4012</v>
      </c>
    </row>
    <row r="40" spans="1:1">
      <c r="A40" s="257" t="s">
        <v>4013</v>
      </c>
    </row>
    <row r="41" spans="1:1">
      <c r="A41" s="257" t="s">
        <v>4014</v>
      </c>
    </row>
    <row r="42" spans="1:1">
      <c r="A42" s="257" t="s">
        <v>4015</v>
      </c>
    </row>
    <row r="43" spans="1:1">
      <c r="A43" s="257" t="s">
        <v>4016</v>
      </c>
    </row>
    <row r="44" spans="1:1">
      <c r="A44" s="257" t="s">
        <v>4017</v>
      </c>
    </row>
    <row r="45" spans="1:1">
      <c r="A45" s="257"/>
    </row>
    <row r="46" spans="1:1">
      <c r="A46" s="257" t="s">
        <v>4018</v>
      </c>
    </row>
    <row r="47" spans="1:1">
      <c r="A47" s="257" t="s">
        <v>4019</v>
      </c>
    </row>
    <row r="48" spans="1:1">
      <c r="A48" s="257" t="s">
        <v>4020</v>
      </c>
    </row>
    <row r="49" spans="1:1">
      <c r="A49" s="257" t="s">
        <v>4021</v>
      </c>
    </row>
    <row r="50" spans="1:1">
      <c r="A50" s="257" t="s">
        <v>4022</v>
      </c>
    </row>
    <row r="51" spans="1:1">
      <c r="A51" s="257" t="s">
        <v>4023</v>
      </c>
    </row>
    <row r="52" spans="1:1">
      <c r="A52" s="257" t="s">
        <v>4024</v>
      </c>
    </row>
    <row r="53" spans="1:1">
      <c r="A53" s="257" t="s">
        <v>4025</v>
      </c>
    </row>
    <row r="54" spans="1:1">
      <c r="A54" s="257" t="s">
        <v>4026</v>
      </c>
    </row>
    <row r="55" spans="1:1">
      <c r="A55" s="257" t="s">
        <v>4027</v>
      </c>
    </row>
    <row r="56" spans="1:1">
      <c r="A56" s="257" t="s">
        <v>4028</v>
      </c>
    </row>
    <row r="57" spans="1:1">
      <c r="A57" s="257" t="s">
        <v>4029</v>
      </c>
    </row>
    <row r="58" spans="1:1">
      <c r="A58" s="257" t="s">
        <v>4030</v>
      </c>
    </row>
    <row r="59" spans="1:1">
      <c r="A59" s="257" t="s">
        <v>4031</v>
      </c>
    </row>
    <row r="60" spans="1:1">
      <c r="A60" s="257" t="s">
        <v>4032</v>
      </c>
    </row>
    <row r="61" spans="1:1">
      <c r="A61" s="257" t="s">
        <v>4033</v>
      </c>
    </row>
    <row r="62" spans="1:1">
      <c r="A62" s="257" t="s">
        <v>4034</v>
      </c>
    </row>
    <row r="63" spans="1:1">
      <c r="A63" s="257" t="s">
        <v>4027</v>
      </c>
    </row>
    <row r="64" spans="1:1">
      <c r="A64" s="257" t="s">
        <v>4035</v>
      </c>
    </row>
    <row r="65" spans="1:1">
      <c r="A65" s="257"/>
    </row>
    <row r="66" spans="1:1">
      <c r="A66" s="257" t="s">
        <v>4036</v>
      </c>
    </row>
    <row r="67" spans="1:1">
      <c r="A67" s="257" t="s">
        <v>4037</v>
      </c>
    </row>
    <row r="68" spans="1:1">
      <c r="A68" s="257" t="s">
        <v>4038</v>
      </c>
    </row>
    <row r="69" spans="1:1">
      <c r="A69" s="257" t="s">
        <v>4039</v>
      </c>
    </row>
    <row r="70" spans="1:1">
      <c r="A70" s="257" t="s">
        <v>4040</v>
      </c>
    </row>
    <row r="71" spans="1:1">
      <c r="A71" s="257" t="s">
        <v>4041</v>
      </c>
    </row>
    <row r="72" spans="1:1">
      <c r="A72" s="257" t="s">
        <v>4042</v>
      </c>
    </row>
    <row r="73" spans="1:1">
      <c r="A73" s="257" t="s">
        <v>4043</v>
      </c>
    </row>
    <row r="74" spans="1:1">
      <c r="A74" s="257" t="s">
        <v>4044</v>
      </c>
    </row>
    <row r="75" spans="1:1">
      <c r="A75" s="257"/>
    </row>
    <row r="76" spans="1:1">
      <c r="A76" s="257" t="s">
        <v>4045</v>
      </c>
    </row>
    <row r="77" spans="1:1">
      <c r="A77" s="257" t="s">
        <v>4046</v>
      </c>
    </row>
    <row r="78" spans="1:1">
      <c r="A78" s="257" t="s">
        <v>4047</v>
      </c>
    </row>
    <row r="79" spans="1:1">
      <c r="A79" s="257" t="s">
        <v>4048</v>
      </c>
    </row>
    <row r="80" spans="1:1">
      <c r="A80" s="257" t="s">
        <v>4049</v>
      </c>
    </row>
    <row r="81" spans="1:1">
      <c r="A81" s="257" t="s">
        <v>4050</v>
      </c>
    </row>
    <row r="82" spans="1:1">
      <c r="A82" s="257"/>
    </row>
    <row r="83" spans="1:1">
      <c r="A83" s="257" t="s">
        <v>4051</v>
      </c>
    </row>
    <row r="84" spans="1:1">
      <c r="A84" s="257" t="s">
        <v>4052</v>
      </c>
    </row>
    <row r="85" spans="1:1">
      <c r="A85" s="257"/>
    </row>
    <row r="86" spans="1:1">
      <c r="A86" s="257" t="s">
        <v>4053</v>
      </c>
    </row>
    <row r="87" spans="1:1">
      <c r="A87" s="257" t="s">
        <v>4054</v>
      </c>
    </row>
    <row r="88" spans="1:1">
      <c r="A88" s="257"/>
    </row>
    <row r="89" spans="1:1">
      <c r="A89" s="257" t="s">
        <v>4055</v>
      </c>
    </row>
    <row r="90" spans="1:1">
      <c r="A90" s="257" t="s">
        <v>4056</v>
      </c>
    </row>
    <row r="91" spans="1:1">
      <c r="A91" s="257" t="s">
        <v>4057</v>
      </c>
    </row>
    <row r="92" spans="1:1">
      <c r="A92" s="257" t="s">
        <v>4058</v>
      </c>
    </row>
    <row r="93" spans="1:1">
      <c r="A93" s="257" t="s">
        <v>4059</v>
      </c>
    </row>
    <row r="94" spans="1:1">
      <c r="A94" s="257" t="s">
        <v>4060</v>
      </c>
    </row>
    <row r="95" spans="1:1">
      <c r="A95" s="257" t="s">
        <v>4061</v>
      </c>
    </row>
    <row r="96" spans="1:1">
      <c r="A96" s="257" t="s">
        <v>4062</v>
      </c>
    </row>
    <row r="97" spans="1:1">
      <c r="A97" s="257" t="s">
        <v>4063</v>
      </c>
    </row>
    <row r="98" spans="1:1">
      <c r="A98" s="257" t="s">
        <v>4064</v>
      </c>
    </row>
    <row r="99" spans="1:1">
      <c r="A99" s="257" t="s">
        <v>4061</v>
      </c>
    </row>
    <row r="100" spans="1:1">
      <c r="A100" s="257" t="s">
        <v>4065</v>
      </c>
    </row>
    <row r="101" spans="1:1">
      <c r="A101" s="257" t="s">
        <v>4066</v>
      </c>
    </row>
    <row r="102" spans="1:1">
      <c r="A102" s="257" t="s">
        <v>4067</v>
      </c>
    </row>
    <row r="103" spans="1:1">
      <c r="A103" s="257" t="s">
        <v>4068</v>
      </c>
    </row>
    <row r="104" spans="1:1">
      <c r="A104" s="257" t="s">
        <v>4069</v>
      </c>
    </row>
    <row r="105" spans="1:1">
      <c r="A105" s="257" t="s">
        <v>4070</v>
      </c>
    </row>
    <row r="106" spans="1:1">
      <c r="A106" s="257" t="s">
        <v>4071</v>
      </c>
    </row>
    <row r="107" spans="1:1">
      <c r="A107" s="257" t="s">
        <v>4072</v>
      </c>
    </row>
    <row r="108" spans="1:1">
      <c r="A108" s="257" t="s">
        <v>4073</v>
      </c>
    </row>
    <row r="109" spans="1:1">
      <c r="A109" s="257"/>
    </row>
    <row r="110" spans="1:1">
      <c r="A110" s="257" t="s">
        <v>4074</v>
      </c>
    </row>
    <row r="111" spans="1:1">
      <c r="A111" s="257" t="s">
        <v>4075</v>
      </c>
    </row>
    <row r="112" spans="1:1">
      <c r="A112" s="257" t="s">
        <v>4076</v>
      </c>
    </row>
    <row r="113" spans="1:1">
      <c r="A113" s="257" t="s">
        <v>4077</v>
      </c>
    </row>
    <row r="114" spans="1:1">
      <c r="A114" s="257" t="s">
        <v>4078</v>
      </c>
    </row>
    <row r="115" spans="1:1">
      <c r="A115" s="257" t="s">
        <v>4079</v>
      </c>
    </row>
    <row r="116" spans="1:1">
      <c r="A116" s="257" t="s">
        <v>4080</v>
      </c>
    </row>
    <row r="117" spans="1:1">
      <c r="A117" s="257" t="s">
        <v>4081</v>
      </c>
    </row>
    <row r="118" spans="1:1">
      <c r="A118" s="257" t="s">
        <v>4082</v>
      </c>
    </row>
    <row r="119" spans="1:1">
      <c r="A119" s="257" t="s">
        <v>4083</v>
      </c>
    </row>
    <row r="120" spans="1:1">
      <c r="A120" s="257" t="s">
        <v>4084</v>
      </c>
    </row>
    <row r="121" spans="1:1">
      <c r="A121" s="257" t="s">
        <v>4085</v>
      </c>
    </row>
    <row r="122" spans="1:1">
      <c r="A122" s="257" t="s">
        <v>4086</v>
      </c>
    </row>
    <row r="123" spans="1:1">
      <c r="A123" s="257" t="s">
        <v>4087</v>
      </c>
    </row>
    <row r="124" spans="1:1">
      <c r="A124" s="257"/>
    </row>
    <row r="125" spans="1:1">
      <c r="A125" s="257" t="s">
        <v>4088</v>
      </c>
    </row>
    <row r="126" spans="1:1">
      <c r="A126" s="257" t="s">
        <v>4089</v>
      </c>
    </row>
    <row r="127" spans="1:1">
      <c r="A127" s="257"/>
    </row>
    <row r="128" spans="1:1">
      <c r="A128" s="257" t="s">
        <v>4090</v>
      </c>
    </row>
    <row r="129" spans="1:1">
      <c r="A129" s="257" t="s">
        <v>4091</v>
      </c>
    </row>
    <row r="131" spans="1:1">
      <c r="A131" s="258" t="s">
        <v>4092</v>
      </c>
    </row>
    <row r="133" spans="1:1">
      <c r="A133" s="256" t="s">
        <v>4093</v>
      </c>
    </row>
    <row r="134" spans="1:1">
      <c r="A134" s="256" t="s">
        <v>4094</v>
      </c>
    </row>
    <row r="135" spans="1:1">
      <c r="A135" s="256" t="s">
        <v>4095</v>
      </c>
    </row>
    <row r="136" spans="1:1">
      <c r="A136" s="256" t="s">
        <v>4096</v>
      </c>
    </row>
    <row r="137" spans="1:1">
      <c r="A137" s="256" t="s">
        <v>4097</v>
      </c>
    </row>
    <row r="138" spans="1:1">
      <c r="A138" s="256" t="s">
        <v>4098</v>
      </c>
    </row>
    <row r="139" spans="1:1">
      <c r="A139" s="256" t="s">
        <v>4099</v>
      </c>
    </row>
    <row r="140" spans="1:1">
      <c r="A140" s="256"/>
    </row>
    <row r="141" spans="1:1">
      <c r="A141" s="256" t="s">
        <v>4100</v>
      </c>
    </row>
    <row r="142" spans="1:1">
      <c r="A142" s="256" t="s">
        <v>4101</v>
      </c>
    </row>
    <row r="143" spans="1:1">
      <c r="A143" s="256" t="s">
        <v>4102</v>
      </c>
    </row>
    <row r="144" spans="1:1">
      <c r="A144" s="256" t="s">
        <v>4103</v>
      </c>
    </row>
    <row r="145" spans="1:1">
      <c r="A145" s="256" t="s">
        <v>4104</v>
      </c>
    </row>
    <row r="146" spans="1:1">
      <c r="A146" s="256" t="s">
        <v>4105</v>
      </c>
    </row>
    <row r="147" spans="1:1">
      <c r="A147" s="256" t="s">
        <v>4106</v>
      </c>
    </row>
    <row r="148" spans="1:1">
      <c r="A148" s="256" t="s">
        <v>4107</v>
      </c>
    </row>
    <row r="149" spans="1:1">
      <c r="A149" s="256" t="s">
        <v>4108</v>
      </c>
    </row>
    <row r="150" spans="1:1">
      <c r="A150" s="256" t="s">
        <v>4109</v>
      </c>
    </row>
    <row r="151" spans="1:1">
      <c r="A151" s="256" t="s">
        <v>4110</v>
      </c>
    </row>
    <row r="152" spans="1:1">
      <c r="A152" s="256" t="s">
        <v>4111</v>
      </c>
    </row>
    <row r="153" spans="1:1">
      <c r="A153" s="256" t="s">
        <v>4112</v>
      </c>
    </row>
    <row r="154" spans="1:1">
      <c r="A154" s="256" t="s">
        <v>4113</v>
      </c>
    </row>
    <row r="155" spans="1:1">
      <c r="A155" s="256" t="s">
        <v>4106</v>
      </c>
    </row>
    <row r="156" spans="1:1">
      <c r="A156" s="256" t="s">
        <v>4114</v>
      </c>
    </row>
    <row r="157" spans="1:1">
      <c r="A157" s="256" t="s">
        <v>4115</v>
      </c>
    </row>
    <row r="158" spans="1:1">
      <c r="A158" s="256" t="s">
        <v>4116</v>
      </c>
    </row>
    <row r="159" spans="1:1">
      <c r="A159" s="256" t="s">
        <v>4117</v>
      </c>
    </row>
    <row r="160" spans="1:1">
      <c r="A160" s="256" t="s">
        <v>4118</v>
      </c>
    </row>
    <row r="161" spans="1:1">
      <c r="A161" s="256" t="s">
        <v>4119</v>
      </c>
    </row>
    <row r="162" spans="1:1">
      <c r="A162" s="256" t="s">
        <v>4120</v>
      </c>
    </row>
    <row r="163" spans="1:1">
      <c r="A163" s="256" t="s">
        <v>4121</v>
      </c>
    </row>
    <row r="164" spans="1:1">
      <c r="A164" s="256" t="s">
        <v>4122</v>
      </c>
    </row>
    <row r="165" spans="1:1">
      <c r="A165" s="256" t="s">
        <v>4123</v>
      </c>
    </row>
    <row r="166" spans="1:1">
      <c r="A166" s="256" t="s">
        <v>4124</v>
      </c>
    </row>
    <row r="167" spans="1:1">
      <c r="A167" s="256" t="s">
        <v>4125</v>
      </c>
    </row>
    <row r="168" spans="1:1">
      <c r="A168" s="256" t="s">
        <v>4126</v>
      </c>
    </row>
    <row r="169" spans="1:1">
      <c r="A169" s="256" t="s">
        <v>4127</v>
      </c>
    </row>
    <row r="172" spans="1:1">
      <c r="A172" s="64" t="s">
        <v>4128</v>
      </c>
    </row>
    <row r="173" spans="1:1">
      <c r="A173" s="65" t="s">
        <v>4129</v>
      </c>
    </row>
    <row r="174" spans="1:1">
      <c r="A174" s="65" t="s">
        <v>4130</v>
      </c>
    </row>
    <row r="175" spans="1:1">
      <c r="A175" s="65" t="s">
        <v>4131</v>
      </c>
    </row>
    <row r="176" spans="1:1">
      <c r="A176" s="65" t="s">
        <v>4132</v>
      </c>
    </row>
    <row r="177" spans="1:1">
      <c r="A177" s="65" t="s">
        <v>4133</v>
      </c>
    </row>
    <row r="178" spans="1:1">
      <c r="A178" s="65" t="s">
        <v>4134</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55" t="s">
        <v>5087</v>
      </c>
      <c r="B1" s="34"/>
      <c r="C1" s="34"/>
      <c r="D1" s="34"/>
      <c r="E1" s="34"/>
      <c r="F1" s="34"/>
      <c r="G1" s="34"/>
      <c r="H1" s="34"/>
      <c r="I1" s="34"/>
      <c r="J1" s="34"/>
      <c r="K1" s="34"/>
      <c r="L1" s="34"/>
      <c r="M1" s="34"/>
      <c r="N1" s="34"/>
      <c r="O1" s="34"/>
      <c r="P1" s="34"/>
    </row>
    <row r="2" spans="1:16">
      <c r="A2" s="34" t="s">
        <v>5088</v>
      </c>
      <c r="B2" s="34"/>
      <c r="C2" s="34"/>
      <c r="D2" s="34"/>
      <c r="E2" s="34"/>
      <c r="F2" s="34"/>
      <c r="G2" s="34"/>
      <c r="H2" s="34"/>
      <c r="I2" s="34"/>
      <c r="J2" s="34"/>
      <c r="K2" s="34"/>
      <c r="L2" s="34"/>
      <c r="M2" s="34"/>
      <c r="N2" s="34"/>
      <c r="O2" s="34"/>
      <c r="P2" s="34"/>
    </row>
    <row r="3" spans="1:16">
      <c r="A3" s="34" t="s">
        <v>5089</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74" t="s">
        <v>1</v>
      </c>
      <c r="B5" s="275" t="s">
        <v>3448</v>
      </c>
      <c r="C5" s="275" t="s">
        <v>3449</v>
      </c>
      <c r="D5" s="275" t="s">
        <v>3450</v>
      </c>
      <c r="E5" s="275" t="s">
        <v>3451</v>
      </c>
      <c r="F5" s="275" t="s">
        <v>3452</v>
      </c>
      <c r="G5" s="275" t="s">
        <v>3453</v>
      </c>
      <c r="H5" s="275" t="s">
        <v>3416</v>
      </c>
      <c r="I5" s="275" t="s">
        <v>3454</v>
      </c>
      <c r="J5" s="275" t="s">
        <v>3455</v>
      </c>
      <c r="K5" s="275" t="s">
        <v>3456</v>
      </c>
      <c r="L5" s="275" t="s">
        <v>3457</v>
      </c>
      <c r="M5" s="275" t="s">
        <v>3458</v>
      </c>
      <c r="N5" s="275" t="s">
        <v>5090</v>
      </c>
      <c r="O5" s="275" t="s">
        <v>5091</v>
      </c>
      <c r="P5" s="276" t="s">
        <v>5092</v>
      </c>
    </row>
    <row r="6" spans="1:16">
      <c r="A6" s="277" t="s">
        <v>3481</v>
      </c>
      <c r="B6" s="278" t="s">
        <v>5093</v>
      </c>
      <c r="C6" s="278" t="s">
        <v>5094</v>
      </c>
      <c r="D6" s="278" t="s">
        <v>5095</v>
      </c>
      <c r="E6" s="279">
        <v>400</v>
      </c>
      <c r="F6" s="279">
        <v>2000</v>
      </c>
      <c r="G6" s="279">
        <v>4000</v>
      </c>
      <c r="H6" s="278" t="s">
        <v>3480</v>
      </c>
      <c r="I6" s="280">
        <v>2.3E-2</v>
      </c>
      <c r="J6" s="281">
        <f>E6*$I6</f>
        <v>9.1999999999999993</v>
      </c>
      <c r="K6" s="281">
        <f>F6*$I6</f>
        <v>46</v>
      </c>
      <c r="L6" s="281">
        <f>G6*$I6</f>
        <v>92</v>
      </c>
      <c r="M6" s="278" t="s">
        <v>5041</v>
      </c>
      <c r="N6" s="282" t="s">
        <v>5096</v>
      </c>
      <c r="O6" s="282" t="s">
        <v>5096</v>
      </c>
      <c r="P6" s="283" t="s">
        <v>5096</v>
      </c>
    </row>
    <row r="7" spans="1:16">
      <c r="A7" s="277" t="s">
        <v>1609</v>
      </c>
      <c r="B7" s="278" t="s">
        <v>5097</v>
      </c>
      <c r="C7" s="278" t="s">
        <v>5098</v>
      </c>
      <c r="D7" s="278" t="s">
        <v>5099</v>
      </c>
      <c r="E7" s="279">
        <v>400</v>
      </c>
      <c r="F7" s="279">
        <v>2000</v>
      </c>
      <c r="G7" s="279">
        <v>4000</v>
      </c>
      <c r="H7" s="278" t="s">
        <v>3480</v>
      </c>
      <c r="I7" s="280">
        <v>0.09</v>
      </c>
      <c r="J7" s="281">
        <f>E7*$I7</f>
        <v>36</v>
      </c>
      <c r="K7" s="281">
        <f>F7*$I7</f>
        <v>180</v>
      </c>
      <c r="L7" s="281">
        <f>G7*$I7</f>
        <v>360</v>
      </c>
      <c r="M7" s="278" t="s">
        <v>5076</v>
      </c>
      <c r="N7" s="282" t="s">
        <v>5096</v>
      </c>
      <c r="O7" s="282" t="s">
        <v>5096</v>
      </c>
      <c r="P7" s="283" t="s">
        <v>5096</v>
      </c>
    </row>
    <row r="8" spans="1:16">
      <c r="A8" s="277" t="s">
        <v>1609</v>
      </c>
      <c r="B8" s="278" t="s">
        <v>5100</v>
      </c>
      <c r="C8" s="278" t="s">
        <v>5101</v>
      </c>
      <c r="D8" s="278" t="s">
        <v>5102</v>
      </c>
      <c r="E8" s="279">
        <v>4</v>
      </c>
      <c r="F8" s="279">
        <v>4</v>
      </c>
      <c r="G8" s="279">
        <v>4</v>
      </c>
      <c r="H8" s="278" t="s">
        <v>3551</v>
      </c>
      <c r="I8" s="280">
        <v>1</v>
      </c>
      <c r="J8" s="281">
        <f>E8*$I8</f>
        <v>4</v>
      </c>
      <c r="K8" s="281">
        <f>F8*$I8</f>
        <v>4</v>
      </c>
      <c r="L8" s="281">
        <f>G8*$I8</f>
        <v>4</v>
      </c>
      <c r="M8" s="278" t="s">
        <v>5072</v>
      </c>
      <c r="N8" s="282" t="s">
        <v>5096</v>
      </c>
      <c r="O8" s="282" t="s">
        <v>5096</v>
      </c>
      <c r="P8" s="283" t="s">
        <v>5096</v>
      </c>
    </row>
    <row r="9" spans="1:16">
      <c r="A9" s="277" t="s">
        <v>3500</v>
      </c>
      <c r="B9" s="278" t="s">
        <v>5103</v>
      </c>
      <c r="C9" s="278" t="s">
        <v>5104</v>
      </c>
      <c r="D9" s="278" t="s">
        <v>5105</v>
      </c>
      <c r="E9" s="279">
        <v>100</v>
      </c>
      <c r="F9" s="279">
        <v>500</v>
      </c>
      <c r="G9" s="279">
        <v>1000</v>
      </c>
      <c r="H9" s="278" t="s">
        <v>3512</v>
      </c>
      <c r="I9" s="280">
        <v>0.09</v>
      </c>
      <c r="J9" s="281">
        <f>E9*$I9</f>
        <v>9</v>
      </c>
      <c r="K9" s="281">
        <f>F9*$I9</f>
        <v>45</v>
      </c>
      <c r="L9" s="281">
        <f>G9*$I9</f>
        <v>90</v>
      </c>
      <c r="M9" s="278" t="s">
        <v>5035</v>
      </c>
      <c r="N9" s="282" t="s">
        <v>5096</v>
      </c>
      <c r="O9" s="282" t="s">
        <v>5096</v>
      </c>
      <c r="P9" s="283" t="s">
        <v>5096</v>
      </c>
    </row>
    <row r="10" spans="1:16">
      <c r="A10" s="277" t="s">
        <v>3481</v>
      </c>
      <c r="B10" s="278" t="s">
        <v>5106</v>
      </c>
      <c r="C10" s="278" t="s">
        <v>5107</v>
      </c>
      <c r="D10" s="278" t="s">
        <v>5108</v>
      </c>
      <c r="E10" s="279">
        <v>200</v>
      </c>
      <c r="F10" s="279">
        <v>1000</v>
      </c>
      <c r="G10" s="279">
        <v>2000</v>
      </c>
      <c r="H10" s="278" t="s">
        <v>3480</v>
      </c>
      <c r="I10" s="280">
        <v>0.12</v>
      </c>
      <c r="J10" s="281">
        <f>E10*$I10</f>
        <v>24</v>
      </c>
      <c r="K10" s="281">
        <f>F10*$I10</f>
        <v>120</v>
      </c>
      <c r="L10" s="281">
        <f>G10*$I10</f>
        <v>240</v>
      </c>
      <c r="M10" s="278" t="s">
        <v>5041</v>
      </c>
      <c r="N10" s="282" t="s">
        <v>2312</v>
      </c>
      <c r="O10" s="282" t="s">
        <v>5096</v>
      </c>
      <c r="P10" s="283" t="s">
        <v>5096</v>
      </c>
    </row>
    <row r="11" spans="1:16">
      <c r="A11" s="277" t="s">
        <v>3481</v>
      </c>
      <c r="B11" s="278" t="s">
        <v>5109</v>
      </c>
      <c r="C11" s="278" t="s">
        <v>5110</v>
      </c>
      <c r="D11" s="278" t="s">
        <v>5111</v>
      </c>
      <c r="E11" s="279">
        <v>100</v>
      </c>
      <c r="F11" s="279">
        <v>500</v>
      </c>
      <c r="G11" s="279">
        <v>1000</v>
      </c>
      <c r="H11" s="278" t="s">
        <v>3480</v>
      </c>
      <c r="I11" s="280">
        <v>0.12</v>
      </c>
      <c r="J11" s="281">
        <f>E11*$I11</f>
        <v>12</v>
      </c>
      <c r="K11" s="281">
        <f>F11*$I11</f>
        <v>60</v>
      </c>
      <c r="L11" s="281">
        <f>G11*$I11</f>
        <v>120</v>
      </c>
      <c r="M11" s="278" t="s">
        <v>5041</v>
      </c>
      <c r="N11" s="282" t="s">
        <v>2312</v>
      </c>
      <c r="O11" s="282" t="s">
        <v>5096</v>
      </c>
      <c r="P11" s="283" t="s">
        <v>5096</v>
      </c>
    </row>
    <row r="12" spans="1:16">
      <c r="A12" s="277" t="s">
        <v>3481</v>
      </c>
      <c r="B12" s="278" t="s">
        <v>5112</v>
      </c>
      <c r="C12" s="278" t="s">
        <v>5113</v>
      </c>
      <c r="D12" s="278" t="s">
        <v>5114</v>
      </c>
      <c r="E12" s="279">
        <v>20000000</v>
      </c>
      <c r="F12" s="279">
        <v>100000000</v>
      </c>
      <c r="G12" s="279">
        <v>200000000</v>
      </c>
      <c r="H12" s="278" t="s">
        <v>5044</v>
      </c>
      <c r="I12" s="280">
        <v>2.3999999999999998E-7</v>
      </c>
      <c r="J12" s="281">
        <f>E12*$I12</f>
        <v>4.8</v>
      </c>
      <c r="K12" s="281">
        <f>F12*$I12</f>
        <v>23.999999999999996</v>
      </c>
      <c r="L12" s="281">
        <f>G12*$I12</f>
        <v>47.999999999999993</v>
      </c>
      <c r="M12" s="278" t="s">
        <v>5041</v>
      </c>
      <c r="N12" s="282" t="s">
        <v>2312</v>
      </c>
      <c r="O12" s="282" t="s">
        <v>5096</v>
      </c>
      <c r="P12" s="283" t="s">
        <v>5096</v>
      </c>
    </row>
    <row r="13" spans="1:16">
      <c r="A13" s="277" t="s">
        <v>3532</v>
      </c>
      <c r="B13" s="278" t="s">
        <v>5115</v>
      </c>
      <c r="C13" s="278" t="s">
        <v>5116</v>
      </c>
      <c r="D13" s="278" t="s">
        <v>5117</v>
      </c>
      <c r="E13" s="279">
        <v>5000000</v>
      </c>
      <c r="F13" s="279">
        <v>25000000</v>
      </c>
      <c r="G13" s="279">
        <v>50000000</v>
      </c>
      <c r="H13" s="278" t="s">
        <v>5118</v>
      </c>
      <c r="I13" s="280">
        <v>8.8999999999999995E-7</v>
      </c>
      <c r="J13" s="281">
        <f>E13*$I13</f>
        <v>4.45</v>
      </c>
      <c r="K13" s="281">
        <f>F13*$I13</f>
        <v>22.25</v>
      </c>
      <c r="L13" s="281">
        <f>G13*$I13</f>
        <v>44.5</v>
      </c>
      <c r="M13" s="278" t="s">
        <v>5070</v>
      </c>
      <c r="N13" s="282" t="s">
        <v>2312</v>
      </c>
      <c r="O13" s="282" t="s">
        <v>5096</v>
      </c>
      <c r="P13" s="283" t="s">
        <v>5096</v>
      </c>
    </row>
    <row r="14" spans="1:16">
      <c r="A14" s="277" t="s">
        <v>3563</v>
      </c>
      <c r="B14" s="278" t="s">
        <v>5119</v>
      </c>
      <c r="C14" s="278" t="s">
        <v>5120</v>
      </c>
      <c r="D14" s="278" t="s">
        <v>5121</v>
      </c>
      <c r="E14" s="279">
        <v>300</v>
      </c>
      <c r="F14" s="279">
        <v>1500</v>
      </c>
      <c r="G14" s="279">
        <v>3000</v>
      </c>
      <c r="H14" s="278" t="s">
        <v>3480</v>
      </c>
      <c r="I14" s="280">
        <v>2.5000000000000001E-2</v>
      </c>
      <c r="J14" s="281">
        <f>E14*$I14</f>
        <v>7.5</v>
      </c>
      <c r="K14" s="281">
        <f>F14*$I14</f>
        <v>37.5</v>
      </c>
      <c r="L14" s="281">
        <f>G14*$I14</f>
        <v>75</v>
      </c>
      <c r="M14" s="278" t="s">
        <v>5122</v>
      </c>
      <c r="N14" s="282" t="s">
        <v>2312</v>
      </c>
      <c r="O14" s="282" t="s">
        <v>5096</v>
      </c>
      <c r="P14" s="283" t="s">
        <v>5096</v>
      </c>
    </row>
    <row r="15" spans="1:16">
      <c r="A15" s="277" t="s">
        <v>3563</v>
      </c>
      <c r="B15" s="278" t="s">
        <v>5123</v>
      </c>
      <c r="C15" s="278" t="s">
        <v>5124</v>
      </c>
      <c r="D15" s="278" t="s">
        <v>5125</v>
      </c>
      <c r="E15" s="279">
        <v>50</v>
      </c>
      <c r="F15" s="279">
        <v>50</v>
      </c>
      <c r="G15" s="279">
        <v>50</v>
      </c>
      <c r="H15" s="278" t="s">
        <v>3480</v>
      </c>
      <c r="I15" s="280">
        <v>0.1</v>
      </c>
      <c r="J15" s="281">
        <f>E15*$I15</f>
        <v>5</v>
      </c>
      <c r="K15" s="281">
        <f>F15*$I15</f>
        <v>5</v>
      </c>
      <c r="L15" s="281">
        <f>G15*$I15</f>
        <v>5</v>
      </c>
      <c r="M15" s="278" t="s">
        <v>5126</v>
      </c>
      <c r="N15" s="282" t="s">
        <v>2312</v>
      </c>
      <c r="O15" s="282" t="s">
        <v>5096</v>
      </c>
      <c r="P15" s="283" t="s">
        <v>5096</v>
      </c>
    </row>
    <row r="16" spans="1:16">
      <c r="A16" s="277" t="s">
        <v>3459</v>
      </c>
      <c r="B16" s="278" t="s">
        <v>5127</v>
      </c>
      <c r="C16" s="278" t="s">
        <v>5128</v>
      </c>
      <c r="D16" s="278" t="s">
        <v>5129</v>
      </c>
      <c r="E16" s="279">
        <v>1460</v>
      </c>
      <c r="F16" s="279">
        <v>1460</v>
      </c>
      <c r="G16" s="279">
        <v>1460</v>
      </c>
      <c r="H16" s="278" t="s">
        <v>3473</v>
      </c>
      <c r="I16" s="280">
        <v>0.25</v>
      </c>
      <c r="J16" s="281">
        <f>E16*$I16</f>
        <v>365</v>
      </c>
      <c r="K16" s="281">
        <f>F16*$I16</f>
        <v>365</v>
      </c>
      <c r="L16" s="281">
        <f>G16*$I16</f>
        <v>365</v>
      </c>
      <c r="M16" s="278" t="s">
        <v>5038</v>
      </c>
      <c r="N16" s="282" t="s">
        <v>2312</v>
      </c>
      <c r="O16" s="282" t="s">
        <v>2312</v>
      </c>
      <c r="P16" s="283" t="s">
        <v>5096</v>
      </c>
    </row>
    <row r="17" spans="1:16">
      <c r="A17" s="277" t="s">
        <v>3459</v>
      </c>
      <c r="B17" s="278" t="s">
        <v>5130</v>
      </c>
      <c r="C17" s="278" t="s">
        <v>5131</v>
      </c>
      <c r="D17" s="278" t="s">
        <v>5132</v>
      </c>
      <c r="E17" s="279">
        <v>2920</v>
      </c>
      <c r="F17" s="279">
        <v>2920</v>
      </c>
      <c r="G17" s="279">
        <v>2920</v>
      </c>
      <c r="H17" s="278" t="s">
        <v>3463</v>
      </c>
      <c r="I17" s="280">
        <v>0.248</v>
      </c>
      <c r="J17" s="281">
        <f>E17*$I17</f>
        <v>724.16</v>
      </c>
      <c r="K17" s="281">
        <f>F17*$I17</f>
        <v>724.16</v>
      </c>
      <c r="L17" s="281">
        <f>G17*$I17</f>
        <v>724.16</v>
      </c>
      <c r="M17" s="278" t="s">
        <v>5035</v>
      </c>
      <c r="N17" s="282" t="s">
        <v>2312</v>
      </c>
      <c r="O17" s="282" t="s">
        <v>2312</v>
      </c>
      <c r="P17" s="283" t="s">
        <v>5096</v>
      </c>
    </row>
    <row r="18" spans="1:16">
      <c r="A18" s="277" t="s">
        <v>3459</v>
      </c>
      <c r="B18" s="278" t="s">
        <v>5133</v>
      </c>
      <c r="C18" s="278" t="s">
        <v>5134</v>
      </c>
      <c r="D18" s="278" t="s">
        <v>5135</v>
      </c>
      <c r="E18" s="279">
        <v>730</v>
      </c>
      <c r="F18" s="279">
        <v>730</v>
      </c>
      <c r="G18" s="279">
        <v>730</v>
      </c>
      <c r="H18" s="278" t="s">
        <v>3477</v>
      </c>
      <c r="I18" s="280">
        <v>0.17100000000000001</v>
      </c>
      <c r="J18" s="281">
        <f>E18*$I18</f>
        <v>124.83000000000001</v>
      </c>
      <c r="K18" s="281">
        <f>F18*$I18</f>
        <v>124.83000000000001</v>
      </c>
      <c r="L18" s="281">
        <f>G18*$I18</f>
        <v>124.83000000000001</v>
      </c>
      <c r="M18" s="278" t="s">
        <v>5038</v>
      </c>
      <c r="N18" s="282" t="s">
        <v>2312</v>
      </c>
      <c r="O18" s="282" t="s">
        <v>2312</v>
      </c>
      <c r="P18" s="283" t="s">
        <v>5096</v>
      </c>
    </row>
    <row r="19" spans="1:16">
      <c r="A19" s="277" t="s">
        <v>3459</v>
      </c>
      <c r="B19" s="278" t="s">
        <v>5136</v>
      </c>
      <c r="C19" s="278" t="s">
        <v>5137</v>
      </c>
      <c r="D19" s="278" t="s">
        <v>5138</v>
      </c>
      <c r="E19" s="279">
        <v>400</v>
      </c>
      <c r="F19" s="279">
        <v>400</v>
      </c>
      <c r="G19" s="279">
        <v>400</v>
      </c>
      <c r="H19" s="278" t="s">
        <v>3480</v>
      </c>
      <c r="I19" s="280">
        <v>9.6000000000000002E-2</v>
      </c>
      <c r="J19" s="281">
        <f>E19*$I19</f>
        <v>38.4</v>
      </c>
      <c r="K19" s="281">
        <f>F19*$I19</f>
        <v>38.4</v>
      </c>
      <c r="L19" s="281">
        <f>G19*$I19</f>
        <v>38.4</v>
      </c>
      <c r="M19" s="278" t="s">
        <v>5040</v>
      </c>
      <c r="N19" s="282" t="s">
        <v>2312</v>
      </c>
      <c r="O19" s="282" t="s">
        <v>2312</v>
      </c>
      <c r="P19" s="283" t="s">
        <v>5096</v>
      </c>
    </row>
    <row r="20" spans="1:16">
      <c r="A20" s="277" t="s">
        <v>3481</v>
      </c>
      <c r="B20" s="278" t="s">
        <v>5139</v>
      </c>
      <c r="C20" s="278" t="s">
        <v>5140</v>
      </c>
      <c r="D20" s="278" t="s">
        <v>5141</v>
      </c>
      <c r="E20" s="279">
        <v>730</v>
      </c>
      <c r="F20" s="279">
        <v>730</v>
      </c>
      <c r="G20" s="279">
        <v>730</v>
      </c>
      <c r="H20" s="278" t="s">
        <v>3463</v>
      </c>
      <c r="I20" s="280">
        <v>0.66400000000000003</v>
      </c>
      <c r="J20" s="281">
        <f>E20*$I20</f>
        <v>484.72</v>
      </c>
      <c r="K20" s="281">
        <f>F20*$I20</f>
        <v>484.72</v>
      </c>
      <c r="L20" s="281">
        <f>G20*$I20</f>
        <v>484.72</v>
      </c>
      <c r="M20" s="278" t="s">
        <v>5041</v>
      </c>
      <c r="N20" s="282" t="s">
        <v>2312</v>
      </c>
      <c r="O20" s="282" t="s">
        <v>2312</v>
      </c>
      <c r="P20" s="283" t="s">
        <v>5096</v>
      </c>
    </row>
    <row r="21" spans="1:16">
      <c r="A21" s="277" t="s">
        <v>3481</v>
      </c>
      <c r="B21" s="278" t="s">
        <v>5142</v>
      </c>
      <c r="C21" s="278" t="s">
        <v>5143</v>
      </c>
      <c r="D21" s="278" t="s">
        <v>5141</v>
      </c>
      <c r="E21" s="279">
        <v>730</v>
      </c>
      <c r="F21" s="279">
        <v>730</v>
      </c>
      <c r="G21" s="279">
        <v>730</v>
      </c>
      <c r="H21" s="278" t="s">
        <v>3463</v>
      </c>
      <c r="I21" s="280">
        <v>0.66400000000000003</v>
      </c>
      <c r="J21" s="281">
        <f>E21*$I21</f>
        <v>484.72</v>
      </c>
      <c r="K21" s="281">
        <f>F21*$I21</f>
        <v>484.72</v>
      </c>
      <c r="L21" s="281">
        <f>G21*$I21</f>
        <v>484.72</v>
      </c>
      <c r="M21" s="278" t="s">
        <v>5041</v>
      </c>
      <c r="N21" s="282" t="s">
        <v>2312</v>
      </c>
      <c r="O21" s="282" t="s">
        <v>2312</v>
      </c>
      <c r="P21" s="283" t="s">
        <v>5096</v>
      </c>
    </row>
    <row r="22" spans="1:16">
      <c r="A22" s="277" t="s">
        <v>3500</v>
      </c>
      <c r="B22" s="278" t="s">
        <v>5144</v>
      </c>
      <c r="C22" s="278" t="s">
        <v>5145</v>
      </c>
      <c r="D22" s="278" t="s">
        <v>5146</v>
      </c>
      <c r="E22" s="279">
        <v>1460</v>
      </c>
      <c r="F22" s="279">
        <v>1460</v>
      </c>
      <c r="G22" s="279">
        <v>1460</v>
      </c>
      <c r="H22" s="278" t="s">
        <v>3504</v>
      </c>
      <c r="I22" s="280">
        <v>2.4299999999999999E-2</v>
      </c>
      <c r="J22" s="281">
        <f>E22*$I22</f>
        <v>35.478000000000002</v>
      </c>
      <c r="K22" s="281">
        <f>F22*$I22</f>
        <v>35.478000000000002</v>
      </c>
      <c r="L22" s="281">
        <f>G22*$I22</f>
        <v>35.478000000000002</v>
      </c>
      <c r="M22" s="278" t="s">
        <v>5047</v>
      </c>
      <c r="N22" s="282" t="s">
        <v>2312</v>
      </c>
      <c r="O22" s="282" t="s">
        <v>2312</v>
      </c>
      <c r="P22" s="283" t="s">
        <v>5096</v>
      </c>
    </row>
    <row r="23" spans="1:16">
      <c r="A23" s="277" t="s">
        <v>3500</v>
      </c>
      <c r="B23" s="278" t="s">
        <v>5147</v>
      </c>
      <c r="C23" s="278" t="s">
        <v>5148</v>
      </c>
      <c r="D23" s="278" t="s">
        <v>5149</v>
      </c>
      <c r="E23" s="279">
        <v>730</v>
      </c>
      <c r="F23" s="279">
        <v>730</v>
      </c>
      <c r="G23" s="279">
        <v>730</v>
      </c>
      <c r="H23" s="278" t="s">
        <v>3508</v>
      </c>
      <c r="I23" s="280">
        <v>2.4299999999999999E-2</v>
      </c>
      <c r="J23" s="281">
        <f>E23*$I23</f>
        <v>17.739000000000001</v>
      </c>
      <c r="K23" s="281">
        <f>F23*$I23</f>
        <v>17.739000000000001</v>
      </c>
      <c r="L23" s="281">
        <f>G23*$I23</f>
        <v>17.739000000000001</v>
      </c>
      <c r="M23" s="278" t="s">
        <v>5047</v>
      </c>
      <c r="N23" s="282" t="s">
        <v>2312</v>
      </c>
      <c r="O23" s="282" t="s">
        <v>2312</v>
      </c>
      <c r="P23" s="283" t="s">
        <v>5096</v>
      </c>
    </row>
    <row r="24" spans="1:16">
      <c r="A24" s="277" t="s">
        <v>3500</v>
      </c>
      <c r="B24" s="278" t="s">
        <v>5150</v>
      </c>
      <c r="C24" s="278" t="s">
        <v>5151</v>
      </c>
      <c r="D24" s="278" t="s">
        <v>5152</v>
      </c>
      <c r="E24" s="279">
        <v>7300</v>
      </c>
      <c r="F24" s="279">
        <v>7300</v>
      </c>
      <c r="G24" s="279">
        <v>7300</v>
      </c>
      <c r="H24" s="278" t="s">
        <v>3519</v>
      </c>
      <c r="I24" s="280">
        <v>1.4E-2</v>
      </c>
      <c r="J24" s="281">
        <f>E24*$I24</f>
        <v>102.2</v>
      </c>
      <c r="K24" s="281">
        <f>F24*$I24</f>
        <v>102.2</v>
      </c>
      <c r="L24" s="281">
        <f>G24*$I24</f>
        <v>102.2</v>
      </c>
      <c r="M24" s="278" t="s">
        <v>5054</v>
      </c>
      <c r="N24" s="282" t="s">
        <v>2312</v>
      </c>
      <c r="O24" s="282" t="s">
        <v>2312</v>
      </c>
      <c r="P24" s="283" t="s">
        <v>5096</v>
      </c>
    </row>
    <row r="25" spans="1:16">
      <c r="A25" s="277" t="s">
        <v>3563</v>
      </c>
      <c r="B25" s="278" t="s">
        <v>5153</v>
      </c>
      <c r="C25" s="278" t="s">
        <v>5154</v>
      </c>
      <c r="D25" s="278" t="s">
        <v>5155</v>
      </c>
      <c r="E25" s="279">
        <v>43800</v>
      </c>
      <c r="F25" s="279">
        <v>43800</v>
      </c>
      <c r="G25" s="279">
        <v>43800</v>
      </c>
      <c r="H25" s="278" t="s">
        <v>3579</v>
      </c>
      <c r="I25" s="280">
        <v>1.1999999999999999E-3</v>
      </c>
      <c r="J25" s="281">
        <f>E25*$I25</f>
        <v>52.559999999999995</v>
      </c>
      <c r="K25" s="281">
        <f>F25*$I25</f>
        <v>52.559999999999995</v>
      </c>
      <c r="L25" s="281">
        <f>G25*$I25</f>
        <v>52.559999999999995</v>
      </c>
      <c r="M25" s="278" t="s">
        <v>5077</v>
      </c>
      <c r="N25" s="282" t="s">
        <v>2312</v>
      </c>
      <c r="O25" s="282" t="s">
        <v>2312</v>
      </c>
      <c r="P25" s="283" t="s">
        <v>5096</v>
      </c>
    </row>
    <row r="26" spans="1:16">
      <c r="A26" s="277" t="s">
        <v>1609</v>
      </c>
      <c r="B26" s="278" t="s">
        <v>5177</v>
      </c>
      <c r="C26" s="278" t="s">
        <v>5178</v>
      </c>
      <c r="D26" s="278" t="s">
        <v>5179</v>
      </c>
      <c r="E26" s="279">
        <v>30</v>
      </c>
      <c r="F26" s="279">
        <v>30</v>
      </c>
      <c r="G26" s="279">
        <v>30</v>
      </c>
      <c r="H26" s="278" t="s">
        <v>3555</v>
      </c>
      <c r="I26" s="280">
        <v>0.4</v>
      </c>
      <c r="J26" s="281">
        <f>E26*$I26</f>
        <v>12</v>
      </c>
      <c r="K26" s="281">
        <f>F26*$I26</f>
        <v>12</v>
      </c>
      <c r="L26" s="281">
        <f>G26*$I26</f>
        <v>12</v>
      </c>
      <c r="M26" s="278" t="s">
        <v>5074</v>
      </c>
      <c r="N26" s="282" t="s">
        <v>5096</v>
      </c>
      <c r="O26" s="282" t="s">
        <v>5096</v>
      </c>
      <c r="P26" s="283" t="s">
        <v>5096</v>
      </c>
    </row>
    <row r="27" spans="1:16">
      <c r="A27" s="277" t="s">
        <v>3817</v>
      </c>
      <c r="B27" s="278" t="s">
        <v>5180</v>
      </c>
      <c r="C27" s="278" t="s">
        <v>5181</v>
      </c>
      <c r="D27" s="278" t="s">
        <v>5182</v>
      </c>
      <c r="E27" s="279">
        <v>1</v>
      </c>
      <c r="F27" s="279">
        <v>1</v>
      </c>
      <c r="G27" s="279">
        <v>1</v>
      </c>
      <c r="H27" s="278" t="s">
        <v>5183</v>
      </c>
      <c r="I27" s="280">
        <v>400</v>
      </c>
      <c r="J27" s="281">
        <f>E27*$I27</f>
        <v>400</v>
      </c>
      <c r="K27" s="281">
        <f>F27*$I27</f>
        <v>400</v>
      </c>
      <c r="L27" s="281">
        <f>G27*$I27</f>
        <v>400</v>
      </c>
      <c r="M27" s="278" t="s">
        <v>5075</v>
      </c>
      <c r="N27" s="282" t="s">
        <v>2312</v>
      </c>
      <c r="O27" s="282" t="s">
        <v>2312</v>
      </c>
      <c r="P27" s="283" t="s">
        <v>5096</v>
      </c>
    </row>
    <row r="28" spans="1:16">
      <c r="A28" s="284" t="s">
        <v>5184</v>
      </c>
      <c r="B28" s="285" t="s">
        <v>5185</v>
      </c>
      <c r="C28" s="285" t="s">
        <v>5186</v>
      </c>
      <c r="D28" s="285" t="s">
        <v>5187</v>
      </c>
      <c r="E28" s="286">
        <v>5000000</v>
      </c>
      <c r="F28" s="286">
        <v>15000000</v>
      </c>
      <c r="G28" s="286">
        <v>25000000</v>
      </c>
      <c r="H28" s="285" t="s">
        <v>5188</v>
      </c>
      <c r="I28" s="287">
        <v>9.9999999999999995E-8</v>
      </c>
      <c r="J28" s="288">
        <f>E28*$I28</f>
        <v>0.5</v>
      </c>
      <c r="K28" s="288">
        <f>F28*$I28</f>
        <v>1.5</v>
      </c>
      <c r="L28" s="288">
        <f>G28*$I28</f>
        <v>2.5</v>
      </c>
      <c r="M28" s="285" t="s">
        <v>5067</v>
      </c>
      <c r="N28" s="289" t="s">
        <v>2312</v>
      </c>
      <c r="O28" s="289" t="s">
        <v>5096</v>
      </c>
      <c r="P28" s="290" t="s">
        <v>5096</v>
      </c>
    </row>
    <row r="29" spans="1:16">
      <c r="A29" s="34" t="s">
        <v>5157</v>
      </c>
      <c r="B29" s="34" t="s">
        <v>5158</v>
      </c>
      <c r="C29" s="34" t="s">
        <v>5159</v>
      </c>
      <c r="D29" s="272">
        <f>SUMIF($N$6:$N$28,"○",$J$6:$J$28)</f>
        <v>70.2</v>
      </c>
      <c r="E29" s="272">
        <f>SUMIF($N$6:$N$28,"○",$K$6:$K$28)</f>
        <v>287</v>
      </c>
      <c r="F29" s="272">
        <f>SUMIF($N$6:$N$28,"○",$L$6:$L$28)</f>
        <v>558</v>
      </c>
      <c r="G29" s="34"/>
      <c r="H29" s="34"/>
      <c r="I29" s="34"/>
      <c r="J29" s="34"/>
      <c r="K29" s="34"/>
      <c r="L29" s="34"/>
      <c r="M29" s="34"/>
      <c r="N29" s="34"/>
      <c r="O29" s="34"/>
      <c r="P29" s="34"/>
    </row>
    <row r="30" spans="1:16">
      <c r="A30" s="34" t="s">
        <v>5160</v>
      </c>
      <c r="B30" s="34" t="s">
        <v>5161</v>
      </c>
      <c r="C30" s="34" t="s">
        <v>5162</v>
      </c>
      <c r="D30" s="272">
        <f>SUMIF($O$6:$O$28,"○",$J$6:$J$28)</f>
        <v>128.44999999999999</v>
      </c>
      <c r="E30" s="272">
        <f>SUMIF($O$6:$O$28,"○",$K$6:$K$28)</f>
        <v>557.25</v>
      </c>
      <c r="F30" s="272">
        <f>SUMIF($O$6:$O$28,"○",$L$6:$L$28)</f>
        <v>1093</v>
      </c>
      <c r="G30" s="34"/>
      <c r="H30" s="34"/>
      <c r="I30" s="34"/>
      <c r="J30" s="34"/>
      <c r="K30" s="34"/>
      <c r="L30" s="34"/>
      <c r="M30" s="34"/>
      <c r="N30" s="34"/>
      <c r="O30" s="34"/>
      <c r="P30" s="34"/>
    </row>
    <row r="31" spans="1:16">
      <c r="A31" s="34" t="s">
        <v>5163</v>
      </c>
      <c r="B31" s="34" t="s">
        <v>5164</v>
      </c>
      <c r="C31" s="34" t="s">
        <v>5162</v>
      </c>
      <c r="D31" s="272">
        <f>SUMIF($P$6:$P$28,"○",$J$6:$J$28)</f>
        <v>2958.2569999999996</v>
      </c>
      <c r="E31" s="272">
        <f>SUMIF($P$6:$P$28,"○",$K$6:$K$28)</f>
        <v>3387.0569999999998</v>
      </c>
      <c r="F31" s="272">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71" t="s">
        <v>5165</v>
      </c>
      <c r="B33" s="34"/>
      <c r="C33" s="34"/>
      <c r="D33" s="34"/>
      <c r="E33" s="34"/>
      <c r="F33" s="34"/>
      <c r="G33" s="34"/>
      <c r="H33" s="34"/>
      <c r="I33" s="34"/>
      <c r="J33" s="34"/>
      <c r="K33" s="34"/>
      <c r="L33" s="34"/>
      <c r="M33" s="34"/>
      <c r="N33" s="34"/>
      <c r="O33" s="34"/>
      <c r="P33" s="34"/>
    </row>
    <row r="34" spans="1:16">
      <c r="A34" s="143" t="s">
        <v>5156</v>
      </c>
      <c r="B34" s="143" t="s">
        <v>5166</v>
      </c>
      <c r="C34" s="143" t="s">
        <v>5167</v>
      </c>
      <c r="D34" s="143" t="s">
        <v>5168</v>
      </c>
      <c r="E34" s="34"/>
      <c r="F34" s="34"/>
      <c r="G34" s="34"/>
      <c r="H34" s="34"/>
      <c r="I34" s="34"/>
      <c r="J34" s="34"/>
      <c r="K34" s="34"/>
      <c r="L34" s="34"/>
      <c r="M34" s="34"/>
      <c r="N34" s="34"/>
      <c r="O34" s="34"/>
      <c r="P34" s="34"/>
    </row>
    <row r="35" spans="1:16">
      <c r="A35" s="34" t="str">
        <f>A29</f>
        <v>① コールド（現行の設計）</v>
      </c>
      <c r="B35" s="273">
        <f>D29*コスト見積もり!$B$9</f>
        <v>10530</v>
      </c>
      <c r="C35" s="273">
        <f>E29*コスト見積もり!$B$9</f>
        <v>43050</v>
      </c>
      <c r="D35" s="273">
        <f>F29*コスト見積もり!$B$9</f>
        <v>83700</v>
      </c>
      <c r="E35" s="34"/>
      <c r="F35" s="34"/>
      <c r="G35" s="34"/>
      <c r="H35" s="34"/>
      <c r="I35" s="34"/>
      <c r="J35" s="34"/>
      <c r="K35" s="34"/>
      <c r="L35" s="34"/>
      <c r="M35" s="34"/>
      <c r="N35" s="34"/>
      <c r="O35" s="34"/>
      <c r="P35" s="34"/>
    </row>
    <row r="36" spans="1:16">
      <c r="A36" s="34" t="str">
        <f>A30</f>
        <v>② 複製のみ（弊社の推奨）</v>
      </c>
      <c r="B36" s="273">
        <f>D30*コスト見積もり!$B$9</f>
        <v>19267.5</v>
      </c>
      <c r="C36" s="273">
        <f>E30*コスト見積もり!$B$9</f>
        <v>83587.5</v>
      </c>
      <c r="D36" s="273">
        <f>F30*コスト見積もり!$B$9</f>
        <v>163950</v>
      </c>
      <c r="E36" s="34"/>
      <c r="F36" s="34"/>
      <c r="G36" s="34"/>
      <c r="H36" s="34"/>
      <c r="I36" s="34"/>
      <c r="J36" s="34"/>
      <c r="K36" s="34"/>
      <c r="L36" s="34"/>
      <c r="M36" s="34"/>
      <c r="N36" s="34"/>
      <c r="O36" s="34"/>
      <c r="P36" s="34"/>
    </row>
    <row r="37" spans="1:16">
      <c r="A37" s="34" t="str">
        <f>A31</f>
        <v>③ 常時稼働</v>
      </c>
      <c r="B37" s="273">
        <f>D31*コスト見積もり!$B$9</f>
        <v>443738.54999999993</v>
      </c>
      <c r="C37" s="273">
        <f>E31*コスト見積もり!$B$9</f>
        <v>508058.55</v>
      </c>
      <c r="D37" s="273">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71" t="s">
        <v>5169</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5170</v>
      </c>
      <c r="B42" s="34"/>
      <c r="C42" s="34"/>
      <c r="D42" s="34"/>
      <c r="E42" s="34"/>
      <c r="F42" s="34"/>
      <c r="G42" s="34"/>
      <c r="H42" s="34"/>
      <c r="I42" s="34"/>
      <c r="J42" s="34"/>
      <c r="K42" s="34"/>
      <c r="L42" s="34"/>
      <c r="M42" s="34"/>
      <c r="N42" s="34"/>
      <c r="O42" s="34"/>
      <c r="P42" s="34"/>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55" t="s">
        <v>5555</v>
      </c>
      <c r="B1" s="34"/>
      <c r="C1" s="34"/>
      <c r="D1" s="34"/>
      <c r="E1" s="34"/>
      <c r="F1" s="34"/>
      <c r="G1" s="34"/>
      <c r="H1" s="34"/>
      <c r="I1" s="34"/>
      <c r="J1" s="34"/>
      <c r="K1" s="34"/>
      <c r="L1" s="34"/>
      <c r="M1" s="34"/>
      <c r="N1" s="34"/>
    </row>
    <row r="2" spans="1:14">
      <c r="A2" s="309" t="s">
        <v>5556</v>
      </c>
      <c r="B2" s="34"/>
      <c r="C2" s="34"/>
      <c r="D2" s="34"/>
      <c r="E2" s="34"/>
      <c r="F2" s="34"/>
      <c r="G2" s="34"/>
      <c r="H2" s="34"/>
      <c r="I2" s="34"/>
      <c r="J2" s="34"/>
      <c r="K2" s="34"/>
      <c r="L2" s="34"/>
      <c r="M2" s="34"/>
      <c r="N2" s="34"/>
    </row>
    <row r="3" spans="1:14">
      <c r="A3" s="323" t="s">
        <v>5557</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310" t="s">
        <v>5514</v>
      </c>
      <c r="B5" s="311" t="s">
        <v>5245</v>
      </c>
      <c r="C5" s="311" t="s">
        <v>2823</v>
      </c>
      <c r="D5" s="311" t="s">
        <v>5246</v>
      </c>
      <c r="E5" s="311" t="s">
        <v>5247</v>
      </c>
      <c r="F5" s="311" t="s">
        <v>5248</v>
      </c>
      <c r="G5" s="312" t="s">
        <v>5249</v>
      </c>
      <c r="H5" s="312" t="s">
        <v>5250</v>
      </c>
      <c r="I5" s="312" t="s">
        <v>5251</v>
      </c>
      <c r="J5" s="312" t="s">
        <v>5252</v>
      </c>
      <c r="K5" s="313" t="s">
        <v>5253</v>
      </c>
      <c r="L5" s="313" t="s">
        <v>5254</v>
      </c>
      <c r="M5" s="313" t="s">
        <v>5255</v>
      </c>
      <c r="N5" s="314" t="s">
        <v>11</v>
      </c>
    </row>
    <row r="6" spans="1:14" ht="110" customHeight="1">
      <c r="A6" s="324">
        <v>7</v>
      </c>
      <c r="B6" s="315" t="s">
        <v>5256</v>
      </c>
      <c r="C6" s="315" t="s">
        <v>5257</v>
      </c>
      <c r="D6" s="316" t="s">
        <v>4649</v>
      </c>
      <c r="E6" s="315" t="s">
        <v>5258</v>
      </c>
      <c r="F6" s="315" t="s">
        <v>5259</v>
      </c>
      <c r="G6" s="315"/>
      <c r="H6" s="315"/>
      <c r="I6" s="315"/>
      <c r="J6" s="315"/>
      <c r="K6" s="315" t="s">
        <v>5260</v>
      </c>
      <c r="L6" s="315" t="s">
        <v>5261</v>
      </c>
      <c r="M6" s="315" t="s">
        <v>5262</v>
      </c>
      <c r="N6" s="317" t="s">
        <v>5263</v>
      </c>
    </row>
    <row r="7" spans="1:14" ht="110" customHeight="1">
      <c r="A7" s="324">
        <v>8</v>
      </c>
      <c r="B7" s="315" t="s">
        <v>5264</v>
      </c>
      <c r="C7" s="315" t="s">
        <v>5257</v>
      </c>
      <c r="D7" s="316" t="s">
        <v>4649</v>
      </c>
      <c r="E7" s="315" t="s">
        <v>5265</v>
      </c>
      <c r="F7" s="315" t="s">
        <v>5266</v>
      </c>
      <c r="G7" s="315"/>
      <c r="H7" s="315"/>
      <c r="I7" s="315"/>
      <c r="J7" s="315"/>
      <c r="K7" s="315" t="s">
        <v>5267</v>
      </c>
      <c r="L7" s="315" t="s">
        <v>5268</v>
      </c>
      <c r="M7" s="315" t="s">
        <v>5269</v>
      </c>
      <c r="N7" s="317" t="s">
        <v>5270</v>
      </c>
    </row>
    <row r="8" spans="1:14" ht="110" customHeight="1">
      <c r="A8" s="324">
        <v>9</v>
      </c>
      <c r="B8" s="315" t="s">
        <v>5271</v>
      </c>
      <c r="C8" s="315" t="s">
        <v>5257</v>
      </c>
      <c r="D8" s="316" t="s">
        <v>4649</v>
      </c>
      <c r="E8" s="315" t="s">
        <v>5272</v>
      </c>
      <c r="F8" s="315" t="s">
        <v>5273</v>
      </c>
      <c r="G8" s="315"/>
      <c r="H8" s="315"/>
      <c r="I8" s="315"/>
      <c r="J8" s="315"/>
      <c r="K8" s="315" t="s">
        <v>5274</v>
      </c>
      <c r="L8" s="315" t="s">
        <v>5275</v>
      </c>
      <c r="M8" s="315" t="s">
        <v>5276</v>
      </c>
      <c r="N8" s="317" t="s">
        <v>5277</v>
      </c>
    </row>
    <row r="9" spans="1:14" ht="110" customHeight="1">
      <c r="A9" s="324"/>
      <c r="B9" s="315" t="s">
        <v>5278</v>
      </c>
      <c r="C9" s="315" t="s">
        <v>5257</v>
      </c>
      <c r="D9" s="316" t="s">
        <v>4650</v>
      </c>
      <c r="E9" s="315" t="s">
        <v>5279</v>
      </c>
      <c r="F9" s="315" t="s">
        <v>5280</v>
      </c>
      <c r="G9" s="315"/>
      <c r="H9" s="315"/>
      <c r="I9" s="315"/>
      <c r="J9" s="315"/>
      <c r="K9" s="315" t="s">
        <v>5281</v>
      </c>
      <c r="L9" s="315" t="s">
        <v>5282</v>
      </c>
      <c r="M9" s="315" t="s">
        <v>5283</v>
      </c>
      <c r="N9" s="317" t="s">
        <v>5277</v>
      </c>
    </row>
    <row r="10" spans="1:14" ht="110" customHeight="1">
      <c r="A10" s="324"/>
      <c r="B10" s="315" t="s">
        <v>5284</v>
      </c>
      <c r="C10" s="315" t="s">
        <v>5257</v>
      </c>
      <c r="D10" s="316" t="s">
        <v>4650</v>
      </c>
      <c r="E10" s="315" t="s">
        <v>5285</v>
      </c>
      <c r="F10" s="315" t="s">
        <v>5286</v>
      </c>
      <c r="G10" s="315"/>
      <c r="H10" s="315"/>
      <c r="I10" s="315"/>
      <c r="J10" s="315"/>
      <c r="K10" s="315" t="s">
        <v>5287</v>
      </c>
      <c r="L10" s="315" t="s">
        <v>5288</v>
      </c>
      <c r="M10" s="315" t="s">
        <v>5289</v>
      </c>
      <c r="N10" s="317" t="s">
        <v>5290</v>
      </c>
    </row>
    <row r="11" spans="1:14" ht="110" customHeight="1">
      <c r="A11" s="324"/>
      <c r="B11" s="315" t="s">
        <v>5291</v>
      </c>
      <c r="C11" s="315" t="s">
        <v>5257</v>
      </c>
      <c r="D11" s="316" t="s">
        <v>4650</v>
      </c>
      <c r="E11" s="315" t="s">
        <v>5292</v>
      </c>
      <c r="F11" s="315" t="s">
        <v>5293</v>
      </c>
      <c r="G11" s="315"/>
      <c r="H11" s="315"/>
      <c r="I11" s="315"/>
      <c r="J11" s="315"/>
      <c r="K11" s="315" t="s">
        <v>5294</v>
      </c>
      <c r="L11" s="315" t="s">
        <v>5295</v>
      </c>
      <c r="M11" s="315" t="s">
        <v>5296</v>
      </c>
      <c r="N11" s="317" t="s">
        <v>5297</v>
      </c>
    </row>
    <row r="12" spans="1:14" ht="110" customHeight="1">
      <c r="A12" s="324"/>
      <c r="B12" s="315" t="s">
        <v>5298</v>
      </c>
      <c r="C12" s="315" t="s">
        <v>5257</v>
      </c>
      <c r="D12" s="316" t="s">
        <v>4650</v>
      </c>
      <c r="E12" s="315" t="s">
        <v>5299</v>
      </c>
      <c r="F12" s="315" t="s">
        <v>5300</v>
      </c>
      <c r="G12" s="315"/>
      <c r="H12" s="315"/>
      <c r="I12" s="315"/>
      <c r="J12" s="315"/>
      <c r="K12" s="315" t="s">
        <v>5301</v>
      </c>
      <c r="L12" s="315" t="s">
        <v>5302</v>
      </c>
      <c r="M12" s="315" t="s">
        <v>5303</v>
      </c>
      <c r="N12" s="317" t="s">
        <v>5304</v>
      </c>
    </row>
    <row r="13" spans="1:14" ht="110" customHeight="1">
      <c r="A13" s="324">
        <v>10</v>
      </c>
      <c r="B13" s="315" t="s">
        <v>5305</v>
      </c>
      <c r="C13" s="315" t="s">
        <v>5306</v>
      </c>
      <c r="D13" s="316" t="s">
        <v>4649</v>
      </c>
      <c r="E13" s="315" t="s">
        <v>5307</v>
      </c>
      <c r="F13" s="315" t="s">
        <v>5308</v>
      </c>
      <c r="G13" s="315"/>
      <c r="H13" s="315"/>
      <c r="I13" s="315"/>
      <c r="J13" s="315"/>
      <c r="K13" s="315" t="s">
        <v>5309</v>
      </c>
      <c r="L13" s="315" t="s">
        <v>5310</v>
      </c>
      <c r="M13" s="315" t="s">
        <v>5311</v>
      </c>
      <c r="N13" s="317" t="s">
        <v>5312</v>
      </c>
    </row>
    <row r="14" spans="1:14" ht="110" customHeight="1">
      <c r="A14" s="324">
        <v>11</v>
      </c>
      <c r="B14" s="315" t="s">
        <v>5313</v>
      </c>
      <c r="C14" s="315" t="s">
        <v>5306</v>
      </c>
      <c r="D14" s="316" t="s">
        <v>4649</v>
      </c>
      <c r="E14" s="315" t="s">
        <v>5314</v>
      </c>
      <c r="F14" s="315" t="s">
        <v>5315</v>
      </c>
      <c r="G14" s="315"/>
      <c r="H14" s="315"/>
      <c r="I14" s="315"/>
      <c r="J14" s="315"/>
      <c r="K14" s="315" t="s">
        <v>5316</v>
      </c>
      <c r="L14" s="315" t="s">
        <v>5317</v>
      </c>
      <c r="M14" s="315" t="s">
        <v>5318</v>
      </c>
      <c r="N14" s="317" t="s">
        <v>5319</v>
      </c>
    </row>
    <row r="15" spans="1:14" ht="110" customHeight="1">
      <c r="A15" s="324"/>
      <c r="B15" s="315" t="s">
        <v>5320</v>
      </c>
      <c r="C15" s="315" t="s">
        <v>5306</v>
      </c>
      <c r="D15" s="316" t="s">
        <v>4650</v>
      </c>
      <c r="E15" s="315" t="s">
        <v>5321</v>
      </c>
      <c r="F15" s="315" t="s">
        <v>5322</v>
      </c>
      <c r="G15" s="315"/>
      <c r="H15" s="315"/>
      <c r="I15" s="315"/>
      <c r="J15" s="315"/>
      <c r="K15" s="315" t="s">
        <v>5323</v>
      </c>
      <c r="L15" s="315" t="s">
        <v>5324</v>
      </c>
      <c r="M15" s="315" t="s">
        <v>5325</v>
      </c>
      <c r="N15" s="317" t="s">
        <v>971</v>
      </c>
    </row>
    <row r="16" spans="1:14" ht="110" customHeight="1">
      <c r="A16" s="324"/>
      <c r="B16" s="315" t="s">
        <v>5326</v>
      </c>
      <c r="C16" s="315" t="s">
        <v>5306</v>
      </c>
      <c r="D16" s="316" t="s">
        <v>4650</v>
      </c>
      <c r="E16" s="315" t="s">
        <v>5327</v>
      </c>
      <c r="F16" s="315" t="s">
        <v>5328</v>
      </c>
      <c r="G16" s="315"/>
      <c r="H16" s="315"/>
      <c r="I16" s="315"/>
      <c r="J16" s="315"/>
      <c r="K16" s="315" t="s">
        <v>5329</v>
      </c>
      <c r="L16" s="315" t="s">
        <v>5330</v>
      </c>
      <c r="M16" s="315" t="s">
        <v>5331</v>
      </c>
      <c r="N16" s="317" t="s">
        <v>5332</v>
      </c>
    </row>
    <row r="17" spans="1:14" ht="110" customHeight="1">
      <c r="A17" s="324"/>
      <c r="B17" s="315" t="s">
        <v>5333</v>
      </c>
      <c r="C17" s="315" t="s">
        <v>5306</v>
      </c>
      <c r="D17" s="316" t="s">
        <v>4650</v>
      </c>
      <c r="E17" s="315" t="s">
        <v>5334</v>
      </c>
      <c r="F17" s="315" t="s">
        <v>5335</v>
      </c>
      <c r="G17" s="315"/>
      <c r="H17" s="315"/>
      <c r="I17" s="315"/>
      <c r="J17" s="315"/>
      <c r="K17" s="315" t="s">
        <v>5336</v>
      </c>
      <c r="L17" s="315" t="s">
        <v>5337</v>
      </c>
      <c r="M17" s="315" t="s">
        <v>5338</v>
      </c>
      <c r="N17" s="317" t="s">
        <v>5297</v>
      </c>
    </row>
    <row r="18" spans="1:14" ht="110" customHeight="1">
      <c r="A18" s="324"/>
      <c r="B18" s="315" t="s">
        <v>5339</v>
      </c>
      <c r="C18" s="315" t="s">
        <v>5306</v>
      </c>
      <c r="D18" s="316" t="s">
        <v>4650</v>
      </c>
      <c r="E18" s="315" t="s">
        <v>5340</v>
      </c>
      <c r="F18" s="315" t="s">
        <v>5341</v>
      </c>
      <c r="G18" s="315"/>
      <c r="H18" s="315"/>
      <c r="I18" s="315"/>
      <c r="J18" s="315"/>
      <c r="K18" s="315" t="s">
        <v>5342</v>
      </c>
      <c r="L18" s="315" t="s">
        <v>5343</v>
      </c>
      <c r="M18" s="315" t="s">
        <v>5344</v>
      </c>
      <c r="N18" s="317" t="s">
        <v>5345</v>
      </c>
    </row>
    <row r="19" spans="1:14" ht="110" customHeight="1">
      <c r="A19" s="324"/>
      <c r="B19" s="315" t="s">
        <v>5346</v>
      </c>
      <c r="C19" s="315" t="s">
        <v>5306</v>
      </c>
      <c r="D19" s="316" t="s">
        <v>4651</v>
      </c>
      <c r="E19" s="315" t="s">
        <v>5347</v>
      </c>
      <c r="F19" s="315" t="s">
        <v>5348</v>
      </c>
      <c r="G19" s="315"/>
      <c r="H19" s="315"/>
      <c r="I19" s="315"/>
      <c r="J19" s="315"/>
      <c r="K19" s="315" t="s">
        <v>5349</v>
      </c>
      <c r="L19" s="315" t="s">
        <v>5350</v>
      </c>
      <c r="M19" s="315" t="s">
        <v>5351</v>
      </c>
      <c r="N19" s="317" t="s">
        <v>5352</v>
      </c>
    </row>
    <row r="20" spans="1:14" ht="110" customHeight="1">
      <c r="A20" s="324"/>
      <c r="B20" s="315" t="s">
        <v>5353</v>
      </c>
      <c r="C20" s="315" t="s">
        <v>5306</v>
      </c>
      <c r="D20" s="316" t="s">
        <v>4651</v>
      </c>
      <c r="E20" s="315" t="s">
        <v>5354</v>
      </c>
      <c r="F20" s="315" t="s">
        <v>5355</v>
      </c>
      <c r="G20" s="315"/>
      <c r="H20" s="315"/>
      <c r="I20" s="315"/>
      <c r="J20" s="315"/>
      <c r="K20" s="315" t="s">
        <v>5356</v>
      </c>
      <c r="L20" s="315" t="s">
        <v>5357</v>
      </c>
      <c r="M20" s="315" t="s">
        <v>5358</v>
      </c>
      <c r="N20" s="317" t="s">
        <v>5359</v>
      </c>
    </row>
    <row r="21" spans="1:14" ht="110" customHeight="1">
      <c r="A21" s="324">
        <v>12</v>
      </c>
      <c r="B21" s="315" t="s">
        <v>5360</v>
      </c>
      <c r="C21" s="315" t="s">
        <v>5361</v>
      </c>
      <c r="D21" s="316" t="s">
        <v>4649</v>
      </c>
      <c r="E21" s="315" t="s">
        <v>5362</v>
      </c>
      <c r="F21" s="315" t="s">
        <v>5363</v>
      </c>
      <c r="G21" s="315"/>
      <c r="H21" s="315"/>
      <c r="I21" s="315"/>
      <c r="J21" s="315"/>
      <c r="K21" s="315" t="s">
        <v>5364</v>
      </c>
      <c r="L21" s="315" t="s">
        <v>5365</v>
      </c>
      <c r="M21" s="315" t="s">
        <v>5366</v>
      </c>
      <c r="N21" s="317" t="s">
        <v>5270</v>
      </c>
    </row>
    <row r="22" spans="1:14" ht="110" customHeight="1">
      <c r="A22" s="324">
        <v>13</v>
      </c>
      <c r="B22" s="315" t="s">
        <v>5367</v>
      </c>
      <c r="C22" s="315" t="s">
        <v>5361</v>
      </c>
      <c r="D22" s="316" t="s">
        <v>4649</v>
      </c>
      <c r="E22" s="315" t="s">
        <v>5368</v>
      </c>
      <c r="F22" s="315" t="s">
        <v>5369</v>
      </c>
      <c r="G22" s="315"/>
      <c r="H22" s="315"/>
      <c r="I22" s="315"/>
      <c r="J22" s="315"/>
      <c r="K22" s="315" t="s">
        <v>5370</v>
      </c>
      <c r="L22" s="315" t="s">
        <v>5371</v>
      </c>
      <c r="M22" s="315" t="s">
        <v>5372</v>
      </c>
      <c r="N22" s="317" t="s">
        <v>5373</v>
      </c>
    </row>
    <row r="23" spans="1:14" ht="110" customHeight="1">
      <c r="A23" s="324"/>
      <c r="B23" s="315" t="s">
        <v>5374</v>
      </c>
      <c r="C23" s="315" t="s">
        <v>5361</v>
      </c>
      <c r="D23" s="316" t="s">
        <v>4650</v>
      </c>
      <c r="E23" s="315" t="s">
        <v>5375</v>
      </c>
      <c r="F23" s="315" t="s">
        <v>5376</v>
      </c>
      <c r="G23" s="315"/>
      <c r="H23" s="315"/>
      <c r="I23" s="315"/>
      <c r="J23" s="315"/>
      <c r="K23" s="315" t="s">
        <v>5377</v>
      </c>
      <c r="L23" s="315" t="s">
        <v>5378</v>
      </c>
      <c r="M23" s="315" t="s">
        <v>5379</v>
      </c>
      <c r="N23" s="317" t="s">
        <v>5380</v>
      </c>
    </row>
    <row r="24" spans="1:14" ht="110" customHeight="1">
      <c r="A24" s="324"/>
      <c r="B24" s="315" t="s">
        <v>5381</v>
      </c>
      <c r="C24" s="315" t="s">
        <v>5361</v>
      </c>
      <c r="D24" s="316" t="s">
        <v>4650</v>
      </c>
      <c r="E24" s="315" t="s">
        <v>5382</v>
      </c>
      <c r="F24" s="315" t="s">
        <v>5383</v>
      </c>
      <c r="G24" s="315"/>
      <c r="H24" s="315"/>
      <c r="I24" s="315"/>
      <c r="J24" s="315"/>
      <c r="K24" s="315" t="s">
        <v>5384</v>
      </c>
      <c r="L24" s="315" t="s">
        <v>5385</v>
      </c>
      <c r="M24" s="315" t="s">
        <v>5386</v>
      </c>
      <c r="N24" s="317" t="s">
        <v>5387</v>
      </c>
    </row>
    <row r="25" spans="1:14" ht="110" customHeight="1">
      <c r="A25" s="324"/>
      <c r="B25" s="315" t="s">
        <v>5388</v>
      </c>
      <c r="C25" s="315" t="s">
        <v>5361</v>
      </c>
      <c r="D25" s="316" t="s">
        <v>4650</v>
      </c>
      <c r="E25" s="315" t="s">
        <v>5389</v>
      </c>
      <c r="F25" s="315" t="s">
        <v>5390</v>
      </c>
      <c r="G25" s="315"/>
      <c r="H25" s="315"/>
      <c r="I25" s="315"/>
      <c r="J25" s="315"/>
      <c r="K25" s="315" t="s">
        <v>5391</v>
      </c>
      <c r="L25" s="315" t="s">
        <v>5392</v>
      </c>
      <c r="M25" s="315" t="s">
        <v>5393</v>
      </c>
      <c r="N25" s="317" t="s">
        <v>5394</v>
      </c>
    </row>
    <row r="26" spans="1:14" ht="110" customHeight="1">
      <c r="A26" s="324"/>
      <c r="B26" s="315" t="s">
        <v>5395</v>
      </c>
      <c r="C26" s="315" t="s">
        <v>5361</v>
      </c>
      <c r="D26" s="316" t="s">
        <v>4650</v>
      </c>
      <c r="E26" s="315" t="s">
        <v>5396</v>
      </c>
      <c r="F26" s="315" t="s">
        <v>5397</v>
      </c>
      <c r="G26" s="315"/>
      <c r="H26" s="315"/>
      <c r="I26" s="315"/>
      <c r="J26" s="315"/>
      <c r="K26" s="315" t="s">
        <v>5398</v>
      </c>
      <c r="L26" s="315" t="s">
        <v>5399</v>
      </c>
      <c r="M26" s="315" t="s">
        <v>5400</v>
      </c>
      <c r="N26" s="317" t="s">
        <v>5401</v>
      </c>
    </row>
    <row r="27" spans="1:14" ht="110" customHeight="1">
      <c r="A27" s="324">
        <v>2</v>
      </c>
      <c r="B27" s="315" t="s">
        <v>5402</v>
      </c>
      <c r="C27" s="315" t="s">
        <v>5403</v>
      </c>
      <c r="D27" s="316" t="s">
        <v>4649</v>
      </c>
      <c r="E27" s="315" t="s">
        <v>5404</v>
      </c>
      <c r="F27" s="315" t="s">
        <v>5405</v>
      </c>
      <c r="G27" s="315"/>
      <c r="H27" s="315"/>
      <c r="I27" s="315"/>
      <c r="J27" s="315"/>
      <c r="K27" s="315" t="s">
        <v>5406</v>
      </c>
      <c r="L27" s="315" t="s">
        <v>5407</v>
      </c>
      <c r="M27" s="315" t="s">
        <v>5408</v>
      </c>
      <c r="N27" s="317" t="s">
        <v>5409</v>
      </c>
    </row>
    <row r="28" spans="1:14" ht="110" customHeight="1">
      <c r="A28" s="324">
        <v>3</v>
      </c>
      <c r="B28" s="315" t="s">
        <v>5410</v>
      </c>
      <c r="C28" s="315" t="s">
        <v>5403</v>
      </c>
      <c r="D28" s="316" t="s">
        <v>4649</v>
      </c>
      <c r="E28" s="315" t="s">
        <v>5411</v>
      </c>
      <c r="F28" s="315" t="s">
        <v>5412</v>
      </c>
      <c r="G28" s="315"/>
      <c r="H28" s="315"/>
      <c r="I28" s="315"/>
      <c r="J28" s="315"/>
      <c r="K28" s="315" t="s">
        <v>5413</v>
      </c>
      <c r="L28" s="315" t="s">
        <v>5414</v>
      </c>
      <c r="M28" s="315" t="s">
        <v>5415</v>
      </c>
      <c r="N28" s="317" t="s">
        <v>5416</v>
      </c>
    </row>
    <row r="29" spans="1:14" ht="110" customHeight="1">
      <c r="A29" s="324">
        <v>4</v>
      </c>
      <c r="B29" s="315" t="s">
        <v>5417</v>
      </c>
      <c r="C29" s="315" t="s">
        <v>5403</v>
      </c>
      <c r="D29" s="316" t="s">
        <v>4649</v>
      </c>
      <c r="E29" s="315" t="s">
        <v>5418</v>
      </c>
      <c r="F29" s="315" t="s">
        <v>5419</v>
      </c>
      <c r="G29" s="315"/>
      <c r="H29" s="315"/>
      <c r="I29" s="315"/>
      <c r="J29" s="315"/>
      <c r="K29" s="315" t="s">
        <v>5420</v>
      </c>
      <c r="L29" s="315" t="s">
        <v>5421</v>
      </c>
      <c r="M29" s="315" t="s">
        <v>5422</v>
      </c>
      <c r="N29" s="317" t="s">
        <v>5270</v>
      </c>
    </row>
    <row r="30" spans="1:14" ht="110" customHeight="1">
      <c r="A30" s="324"/>
      <c r="B30" s="315" t="s">
        <v>5423</v>
      </c>
      <c r="C30" s="315" t="s">
        <v>5403</v>
      </c>
      <c r="D30" s="316" t="s">
        <v>4650</v>
      </c>
      <c r="E30" s="315" t="s">
        <v>5424</v>
      </c>
      <c r="F30" s="315" t="s">
        <v>5425</v>
      </c>
      <c r="G30" s="315"/>
      <c r="H30" s="315"/>
      <c r="I30" s="315"/>
      <c r="J30" s="315"/>
      <c r="K30" s="315" t="s">
        <v>5426</v>
      </c>
      <c r="L30" s="315" t="s">
        <v>5427</v>
      </c>
      <c r="M30" s="315" t="s">
        <v>5428</v>
      </c>
      <c r="N30" s="317" t="s">
        <v>5429</v>
      </c>
    </row>
    <row r="31" spans="1:14" ht="110" customHeight="1">
      <c r="A31" s="324"/>
      <c r="B31" s="315" t="s">
        <v>5430</v>
      </c>
      <c r="C31" s="315" t="s">
        <v>5403</v>
      </c>
      <c r="D31" s="316" t="s">
        <v>4650</v>
      </c>
      <c r="E31" s="315" t="s">
        <v>5431</v>
      </c>
      <c r="F31" s="315" t="s">
        <v>5432</v>
      </c>
      <c r="G31" s="315"/>
      <c r="H31" s="315"/>
      <c r="I31" s="315"/>
      <c r="J31" s="315"/>
      <c r="K31" s="315" t="s">
        <v>5433</v>
      </c>
      <c r="L31" s="315" t="s">
        <v>5434</v>
      </c>
      <c r="M31" s="315" t="s">
        <v>5435</v>
      </c>
      <c r="N31" s="317" t="s">
        <v>5436</v>
      </c>
    </row>
    <row r="32" spans="1:14" ht="110" customHeight="1">
      <c r="A32" s="324"/>
      <c r="B32" s="315" t="s">
        <v>5437</v>
      </c>
      <c r="C32" s="315" t="s">
        <v>5403</v>
      </c>
      <c r="D32" s="316" t="s">
        <v>4650</v>
      </c>
      <c r="E32" s="315" t="s">
        <v>5438</v>
      </c>
      <c r="F32" s="315" t="s">
        <v>5439</v>
      </c>
      <c r="G32" s="315"/>
      <c r="H32" s="315"/>
      <c r="I32" s="315"/>
      <c r="J32" s="315"/>
      <c r="K32" s="315" t="s">
        <v>5440</v>
      </c>
      <c r="L32" s="315" t="s">
        <v>5441</v>
      </c>
      <c r="M32" s="315" t="s">
        <v>5442</v>
      </c>
      <c r="N32" s="317" t="s">
        <v>5443</v>
      </c>
    </row>
    <row r="33" spans="1:14" ht="110" customHeight="1">
      <c r="A33" s="324"/>
      <c r="B33" s="315" t="s">
        <v>5444</v>
      </c>
      <c r="C33" s="315" t="s">
        <v>5403</v>
      </c>
      <c r="D33" s="316" t="s">
        <v>4651</v>
      </c>
      <c r="E33" s="315" t="s">
        <v>5445</v>
      </c>
      <c r="F33" s="315" t="s">
        <v>5446</v>
      </c>
      <c r="G33" s="315"/>
      <c r="H33" s="315"/>
      <c r="I33" s="315"/>
      <c r="J33" s="315"/>
      <c r="K33" s="315" t="s">
        <v>5447</v>
      </c>
      <c r="L33" s="315" t="s">
        <v>5448</v>
      </c>
      <c r="M33" s="315" t="s">
        <v>5449</v>
      </c>
      <c r="N33" s="317" t="s">
        <v>5450</v>
      </c>
    </row>
    <row r="34" spans="1:14" ht="110" customHeight="1">
      <c r="A34" s="324">
        <v>17</v>
      </c>
      <c r="B34" s="315" t="s">
        <v>5451</v>
      </c>
      <c r="C34" s="315" t="s">
        <v>5452</v>
      </c>
      <c r="D34" s="316" t="s">
        <v>4649</v>
      </c>
      <c r="E34" s="315" t="s">
        <v>5453</v>
      </c>
      <c r="F34" s="315" t="s">
        <v>5454</v>
      </c>
      <c r="G34" s="315"/>
      <c r="H34" s="315"/>
      <c r="I34" s="315"/>
      <c r="J34" s="315"/>
      <c r="K34" s="315" t="s">
        <v>5455</v>
      </c>
      <c r="L34" s="315" t="s">
        <v>5456</v>
      </c>
      <c r="M34" s="315" t="s">
        <v>5457</v>
      </c>
      <c r="N34" s="317" t="s">
        <v>5458</v>
      </c>
    </row>
    <row r="35" spans="1:14" ht="110" customHeight="1">
      <c r="A35" s="324"/>
      <c r="B35" s="315" t="s">
        <v>5459</v>
      </c>
      <c r="C35" s="315" t="s">
        <v>5452</v>
      </c>
      <c r="D35" s="316" t="s">
        <v>4650</v>
      </c>
      <c r="E35" s="315" t="s">
        <v>5460</v>
      </c>
      <c r="F35" s="315" t="s">
        <v>5461</v>
      </c>
      <c r="G35" s="315"/>
      <c r="H35" s="315"/>
      <c r="I35" s="315"/>
      <c r="J35" s="315"/>
      <c r="K35" s="315" t="s">
        <v>5462</v>
      </c>
      <c r="L35" s="315" t="s">
        <v>5463</v>
      </c>
      <c r="M35" s="315" t="s">
        <v>5464</v>
      </c>
      <c r="N35" s="317" t="s">
        <v>5277</v>
      </c>
    </row>
    <row r="36" spans="1:14" ht="110" customHeight="1">
      <c r="A36" s="324"/>
      <c r="B36" s="315" t="s">
        <v>5465</v>
      </c>
      <c r="C36" s="315" t="s">
        <v>5452</v>
      </c>
      <c r="D36" s="316" t="s">
        <v>4650</v>
      </c>
      <c r="E36" s="315" t="s">
        <v>5466</v>
      </c>
      <c r="F36" s="315" t="s">
        <v>5467</v>
      </c>
      <c r="G36" s="315"/>
      <c r="H36" s="315"/>
      <c r="I36" s="315"/>
      <c r="J36" s="315"/>
      <c r="K36" s="315" t="s">
        <v>5468</v>
      </c>
      <c r="L36" s="315" t="s">
        <v>5469</v>
      </c>
      <c r="M36" s="315" t="s">
        <v>5470</v>
      </c>
      <c r="N36" s="317" t="s">
        <v>2990</v>
      </c>
    </row>
    <row r="37" spans="1:14" ht="110" customHeight="1">
      <c r="A37" s="324"/>
      <c r="B37" s="315" t="s">
        <v>5471</v>
      </c>
      <c r="C37" s="315" t="s">
        <v>5452</v>
      </c>
      <c r="D37" s="316" t="s">
        <v>4650</v>
      </c>
      <c r="E37" s="315" t="s">
        <v>5472</v>
      </c>
      <c r="F37" s="315" t="s">
        <v>5473</v>
      </c>
      <c r="G37" s="315"/>
      <c r="H37" s="315"/>
      <c r="I37" s="315"/>
      <c r="J37" s="315"/>
      <c r="K37" s="315" t="s">
        <v>5474</v>
      </c>
      <c r="L37" s="315" t="s">
        <v>5475</v>
      </c>
      <c r="M37" s="315" t="s">
        <v>5476</v>
      </c>
      <c r="N37" s="317" t="s">
        <v>5477</v>
      </c>
    </row>
    <row r="38" spans="1:14" ht="110" customHeight="1">
      <c r="A38" s="324"/>
      <c r="B38" s="315" t="s">
        <v>5478</v>
      </c>
      <c r="C38" s="315" t="s">
        <v>5452</v>
      </c>
      <c r="D38" s="316" t="s">
        <v>4651</v>
      </c>
      <c r="E38" s="315" t="s">
        <v>5479</v>
      </c>
      <c r="F38" s="315" t="s">
        <v>5480</v>
      </c>
      <c r="G38" s="315"/>
      <c r="H38" s="315"/>
      <c r="I38" s="315"/>
      <c r="J38" s="315"/>
      <c r="K38" s="315" t="s">
        <v>5481</v>
      </c>
      <c r="L38" s="315" t="s">
        <v>5482</v>
      </c>
      <c r="M38" s="315" t="s">
        <v>5483</v>
      </c>
      <c r="N38" s="317" t="s">
        <v>5484</v>
      </c>
    </row>
    <row r="39" spans="1:14" ht="110" customHeight="1">
      <c r="A39" s="324">
        <v>18</v>
      </c>
      <c r="B39" s="315" t="s">
        <v>5485</v>
      </c>
      <c r="C39" s="315" t="s">
        <v>5486</v>
      </c>
      <c r="D39" s="316" t="s">
        <v>4649</v>
      </c>
      <c r="E39" s="315" t="s">
        <v>5487</v>
      </c>
      <c r="F39" s="315" t="s">
        <v>5488</v>
      </c>
      <c r="G39" s="315"/>
      <c r="H39" s="315"/>
      <c r="I39" s="315"/>
      <c r="J39" s="315"/>
      <c r="K39" s="315" t="s">
        <v>5489</v>
      </c>
      <c r="L39" s="315" t="s">
        <v>5490</v>
      </c>
      <c r="M39" s="315" t="s">
        <v>5491</v>
      </c>
      <c r="N39" s="317" t="s">
        <v>5492</v>
      </c>
    </row>
    <row r="40" spans="1:14" ht="110" customHeight="1">
      <c r="A40" s="324"/>
      <c r="B40" s="315" t="s">
        <v>5493</v>
      </c>
      <c r="C40" s="315" t="s">
        <v>5486</v>
      </c>
      <c r="D40" s="316" t="s">
        <v>4650</v>
      </c>
      <c r="E40" s="315" t="s">
        <v>5494</v>
      </c>
      <c r="F40" s="315" t="s">
        <v>5495</v>
      </c>
      <c r="G40" s="315"/>
      <c r="H40" s="315"/>
      <c r="I40" s="315"/>
      <c r="J40" s="315"/>
      <c r="K40" s="315" t="s">
        <v>5492</v>
      </c>
      <c r="L40" s="315" t="s">
        <v>5496</v>
      </c>
      <c r="M40" s="315" t="s">
        <v>5497</v>
      </c>
      <c r="N40" s="317" t="s">
        <v>5492</v>
      </c>
    </row>
    <row r="41" spans="1:14" ht="110" customHeight="1">
      <c r="A41" s="324"/>
      <c r="B41" s="315" t="s">
        <v>5498</v>
      </c>
      <c r="C41" s="315" t="s">
        <v>5486</v>
      </c>
      <c r="D41" s="316" t="s">
        <v>4650</v>
      </c>
      <c r="E41" s="315" t="s">
        <v>5499</v>
      </c>
      <c r="F41" s="315" t="s">
        <v>5500</v>
      </c>
      <c r="G41" s="315"/>
      <c r="H41" s="315"/>
      <c r="I41" s="315"/>
      <c r="J41" s="315"/>
      <c r="K41" s="315" t="s">
        <v>5501</v>
      </c>
      <c r="L41" s="315" t="s">
        <v>5502</v>
      </c>
      <c r="M41" s="315" t="s">
        <v>5503</v>
      </c>
      <c r="N41" s="317" t="s">
        <v>5504</v>
      </c>
    </row>
    <row r="42" spans="1:14" ht="110" customHeight="1">
      <c r="A42" s="325"/>
      <c r="B42" s="318" t="s">
        <v>5505</v>
      </c>
      <c r="C42" s="318" t="s">
        <v>5486</v>
      </c>
      <c r="D42" s="319" t="s">
        <v>4650</v>
      </c>
      <c r="E42" s="318" t="s">
        <v>5506</v>
      </c>
      <c r="F42" s="318" t="s">
        <v>5507</v>
      </c>
      <c r="G42" s="318"/>
      <c r="H42" s="318"/>
      <c r="I42" s="318"/>
      <c r="J42" s="318"/>
      <c r="K42" s="318" t="s">
        <v>5508</v>
      </c>
      <c r="L42" s="318" t="s">
        <v>5509</v>
      </c>
      <c r="M42" s="318" t="s">
        <v>5510</v>
      </c>
      <c r="N42" s="320" t="s">
        <v>5511</v>
      </c>
    </row>
    <row r="43" spans="1:14" ht="110" customHeight="1">
      <c r="A43" s="325">
        <v>1</v>
      </c>
      <c r="B43" s="318" t="s">
        <v>5515</v>
      </c>
      <c r="C43" s="318" t="s">
        <v>5516</v>
      </c>
      <c r="D43" s="319" t="s">
        <v>4649</v>
      </c>
      <c r="E43" s="318" t="s">
        <v>5517</v>
      </c>
      <c r="F43" s="318" t="s">
        <v>5518</v>
      </c>
      <c r="G43" s="318"/>
      <c r="H43" s="318"/>
      <c r="I43" s="318"/>
      <c r="J43" s="318"/>
      <c r="K43" s="318" t="s">
        <v>5519</v>
      </c>
      <c r="L43" s="318" t="s">
        <v>5520</v>
      </c>
      <c r="M43" s="318" t="s">
        <v>5521</v>
      </c>
      <c r="N43" s="320" t="s">
        <v>5522</v>
      </c>
    </row>
    <row r="44" spans="1:14" ht="110" customHeight="1">
      <c r="A44" s="325">
        <v>14</v>
      </c>
      <c r="B44" s="318" t="s">
        <v>5523</v>
      </c>
      <c r="C44" s="318" t="s">
        <v>5516</v>
      </c>
      <c r="D44" s="319" t="s">
        <v>4649</v>
      </c>
      <c r="E44" s="318" t="s">
        <v>5524</v>
      </c>
      <c r="F44" s="318" t="s">
        <v>5525</v>
      </c>
      <c r="G44" s="318"/>
      <c r="H44" s="318"/>
      <c r="I44" s="318"/>
      <c r="J44" s="318"/>
      <c r="K44" s="318" t="s">
        <v>5526</v>
      </c>
      <c r="L44" s="318" t="s">
        <v>5527</v>
      </c>
      <c r="M44" s="318" t="s">
        <v>5528</v>
      </c>
      <c r="N44" s="320" t="s">
        <v>5529</v>
      </c>
    </row>
    <row r="45" spans="1:14" ht="110" customHeight="1">
      <c r="A45" s="325">
        <v>5</v>
      </c>
      <c r="B45" s="318" t="s">
        <v>5530</v>
      </c>
      <c r="C45" s="318" t="s">
        <v>5516</v>
      </c>
      <c r="D45" s="319" t="s">
        <v>4649</v>
      </c>
      <c r="E45" s="318" t="s">
        <v>5531</v>
      </c>
      <c r="F45" s="318" t="s">
        <v>5532</v>
      </c>
      <c r="G45" s="318"/>
      <c r="H45" s="318"/>
      <c r="I45" s="318"/>
      <c r="J45" s="318"/>
      <c r="K45" s="318" t="s">
        <v>5533</v>
      </c>
      <c r="L45" s="318" t="s">
        <v>5534</v>
      </c>
      <c r="M45" s="318" t="s">
        <v>5535</v>
      </c>
      <c r="N45" s="320" t="s">
        <v>5536</v>
      </c>
    </row>
    <row r="46" spans="1:14" ht="110" customHeight="1">
      <c r="A46" s="325">
        <v>6</v>
      </c>
      <c r="B46" s="318" t="s">
        <v>5537</v>
      </c>
      <c r="C46" s="318" t="s">
        <v>5516</v>
      </c>
      <c r="D46" s="319" t="s">
        <v>4650</v>
      </c>
      <c r="E46" s="318" t="s">
        <v>5538</v>
      </c>
      <c r="F46" s="318" t="s">
        <v>5539</v>
      </c>
      <c r="G46" s="318"/>
      <c r="H46" s="318"/>
      <c r="I46" s="318"/>
      <c r="J46" s="318"/>
      <c r="K46" s="318" t="s">
        <v>5540</v>
      </c>
      <c r="L46" s="318" t="s">
        <v>5541</v>
      </c>
      <c r="M46" s="318" t="s">
        <v>5542</v>
      </c>
      <c r="N46" s="320" t="s">
        <v>5543</v>
      </c>
    </row>
    <row r="47" spans="1:14" ht="110" customHeight="1">
      <c r="A47" s="325">
        <v>15</v>
      </c>
      <c r="B47" s="318" t="s">
        <v>5544</v>
      </c>
      <c r="C47" s="318" t="s">
        <v>5516</v>
      </c>
      <c r="D47" s="319" t="s">
        <v>4650</v>
      </c>
      <c r="E47" s="318" t="s">
        <v>5545</v>
      </c>
      <c r="F47" s="318" t="s">
        <v>5546</v>
      </c>
      <c r="G47" s="318"/>
      <c r="H47" s="318"/>
      <c r="I47" s="318"/>
      <c r="J47" s="318"/>
      <c r="K47" s="318" t="s">
        <v>5547</v>
      </c>
      <c r="L47" s="318" t="s">
        <v>5548</v>
      </c>
      <c r="M47" s="318" t="s">
        <v>5476</v>
      </c>
      <c r="N47" s="320" t="s">
        <v>5477</v>
      </c>
    </row>
    <row r="48" spans="1:14" ht="110" customHeight="1">
      <c r="A48" s="325">
        <v>16</v>
      </c>
      <c r="B48" s="318" t="s">
        <v>5549</v>
      </c>
      <c r="C48" s="318" t="s">
        <v>5516</v>
      </c>
      <c r="D48" s="319" t="s">
        <v>4650</v>
      </c>
      <c r="E48" s="318" t="s">
        <v>5550</v>
      </c>
      <c r="F48" s="318" t="s">
        <v>5551</v>
      </c>
      <c r="G48" s="318"/>
      <c r="H48" s="318"/>
      <c r="I48" s="318"/>
      <c r="J48" s="318"/>
      <c r="K48" s="318" t="s">
        <v>5552</v>
      </c>
      <c r="L48" s="318" t="s">
        <v>5553</v>
      </c>
      <c r="M48" s="318" t="s">
        <v>5554</v>
      </c>
      <c r="N48" s="320" t="s">
        <v>5290</v>
      </c>
    </row>
  </sheetData>
  <autoFilter ref="A5:N48" xr:uid="{C47BDEA2-3270-2C42-9A1D-C11A5668D48E}"/>
  <phoneticPr fontId="2"/>
  <conditionalFormatting sqref="D6:D48">
    <cfRule type="expression" dxfId="7" priority="1">
      <formula>$D6="最優先"</formula>
    </cfRule>
  </conditionalFormatting>
  <conditionalFormatting sqref="D6:D48">
    <cfRule type="expression" dxfId="6" priority="2">
      <formula>$D6="通常"</formula>
    </cfRule>
  </conditionalFormatting>
  <conditionalFormatting sqref="D6:D48">
    <cfRule type="expression" dxfId="5" priority="3">
      <formula>$D6="後回し可"</formula>
    </cfRule>
  </conditionalFormatting>
  <conditionalFormatting sqref="A6:A48">
    <cfRule type="expression" dxfId="4" priority="4">
      <formula>$A6&lt;&gt;""</formula>
    </cfRule>
  </conditionalFormatting>
  <conditionalFormatting sqref="B6:C48">
    <cfRule type="expression" dxfId="3" priority="5">
      <formula>$C6="G 事例・構成レビュー"</formula>
    </cfRule>
  </conditionalFormatting>
  <conditionalFormatting sqref="B6:C48">
    <cfRule type="expression" dxfId="2" priority="6">
      <formula>$C6="B RHBK本体・SPI"</formula>
    </cfRule>
  </conditionalFormatting>
  <conditionalFormatting sqref="B6:C48">
    <cfRule type="expression" dxfId="1" priority="7">
      <formula>$C6="D セキュリティ"</formula>
    </cfRule>
  </conditionalFormatting>
  <conditionalFormatting sqref="B6:C48">
    <cfRule type="expression" dxfId="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55" t="s">
        <v>5555</v>
      </c>
      <c r="B1" s="34"/>
      <c r="C1" s="34"/>
    </row>
    <row r="2" spans="1:3">
      <c r="A2" s="63" t="s">
        <v>5558</v>
      </c>
      <c r="B2" s="34"/>
      <c r="C2" s="34"/>
    </row>
    <row r="3" spans="1:3">
      <c r="A3" s="34"/>
      <c r="B3" s="34"/>
      <c r="C3" s="34"/>
    </row>
    <row r="4" spans="1:3">
      <c r="A4" s="310" t="s">
        <v>5245</v>
      </c>
      <c r="B4" s="311" t="s">
        <v>5512</v>
      </c>
      <c r="C4" s="321" t="s">
        <v>5513</v>
      </c>
    </row>
    <row r="5" spans="1:3" ht="120" customHeight="1">
      <c r="A5" s="326" t="s">
        <v>5256</v>
      </c>
      <c r="B5" s="137" t="s">
        <v>5258</v>
      </c>
      <c r="C5" s="322" t="s">
        <v>5259</v>
      </c>
    </row>
    <row r="6" spans="1:3" ht="120" customHeight="1">
      <c r="A6" s="326" t="s">
        <v>5264</v>
      </c>
      <c r="B6" s="137" t="s">
        <v>5265</v>
      </c>
      <c r="C6" s="322" t="s">
        <v>5266</v>
      </c>
    </row>
    <row r="7" spans="1:3" ht="120" customHeight="1">
      <c r="A7" s="326" t="s">
        <v>5271</v>
      </c>
      <c r="B7" s="137" t="s">
        <v>5272</v>
      </c>
      <c r="C7" s="322" t="s">
        <v>5273</v>
      </c>
    </row>
    <row r="8" spans="1:3" ht="120" customHeight="1">
      <c r="A8" s="326" t="s">
        <v>5278</v>
      </c>
      <c r="B8" s="137" t="s">
        <v>5279</v>
      </c>
      <c r="C8" s="322" t="s">
        <v>5280</v>
      </c>
    </row>
    <row r="9" spans="1:3" ht="120" customHeight="1">
      <c r="A9" s="326" t="s">
        <v>5284</v>
      </c>
      <c r="B9" s="137" t="s">
        <v>5285</v>
      </c>
      <c r="C9" s="322" t="s">
        <v>5286</v>
      </c>
    </row>
    <row r="10" spans="1:3" ht="120" customHeight="1">
      <c r="A10" s="326" t="s">
        <v>5291</v>
      </c>
      <c r="B10" s="137" t="s">
        <v>5292</v>
      </c>
      <c r="C10" s="322" t="s">
        <v>5293</v>
      </c>
    </row>
    <row r="11" spans="1:3" ht="120" customHeight="1">
      <c r="A11" s="326" t="s">
        <v>5298</v>
      </c>
      <c r="B11" s="137" t="s">
        <v>5299</v>
      </c>
      <c r="C11" s="322" t="s">
        <v>5300</v>
      </c>
    </row>
    <row r="12" spans="1:3" ht="120" customHeight="1">
      <c r="A12" s="326" t="s">
        <v>5305</v>
      </c>
      <c r="B12" s="137" t="s">
        <v>5307</v>
      </c>
      <c r="C12" s="322" t="s">
        <v>5308</v>
      </c>
    </row>
    <row r="13" spans="1:3" ht="120" customHeight="1">
      <c r="A13" s="326" t="s">
        <v>5313</v>
      </c>
      <c r="B13" s="137" t="s">
        <v>5314</v>
      </c>
      <c r="C13" s="322" t="s">
        <v>5315</v>
      </c>
    </row>
    <row r="14" spans="1:3" ht="120" customHeight="1">
      <c r="A14" s="326" t="s">
        <v>5320</v>
      </c>
      <c r="B14" s="137" t="s">
        <v>5321</v>
      </c>
      <c r="C14" s="322" t="s">
        <v>5322</v>
      </c>
    </row>
    <row r="15" spans="1:3" ht="120" customHeight="1">
      <c r="A15" s="326" t="s">
        <v>5326</v>
      </c>
      <c r="B15" s="137" t="s">
        <v>5327</v>
      </c>
      <c r="C15" s="322" t="s">
        <v>5328</v>
      </c>
    </row>
    <row r="16" spans="1:3" ht="120" customHeight="1">
      <c r="A16" s="326" t="s">
        <v>5333</v>
      </c>
      <c r="B16" s="137" t="s">
        <v>5334</v>
      </c>
      <c r="C16" s="322" t="s">
        <v>5335</v>
      </c>
    </row>
    <row r="17" spans="1:3" ht="120" customHeight="1">
      <c r="A17" s="326" t="s">
        <v>5339</v>
      </c>
      <c r="B17" s="137" t="s">
        <v>5340</v>
      </c>
      <c r="C17" s="322" t="s">
        <v>5341</v>
      </c>
    </row>
    <row r="18" spans="1:3" ht="120" customHeight="1">
      <c r="A18" s="326" t="s">
        <v>5346</v>
      </c>
      <c r="B18" s="137" t="s">
        <v>5347</v>
      </c>
      <c r="C18" s="322" t="s">
        <v>5348</v>
      </c>
    </row>
    <row r="19" spans="1:3" ht="120" customHeight="1">
      <c r="A19" s="326" t="s">
        <v>5353</v>
      </c>
      <c r="B19" s="137" t="s">
        <v>5354</v>
      </c>
      <c r="C19" s="322" t="s">
        <v>5355</v>
      </c>
    </row>
    <row r="20" spans="1:3" ht="120" customHeight="1">
      <c r="A20" s="326" t="s">
        <v>5360</v>
      </c>
      <c r="B20" s="137" t="s">
        <v>5362</v>
      </c>
      <c r="C20" s="322" t="s">
        <v>5363</v>
      </c>
    </row>
    <row r="21" spans="1:3" ht="120" customHeight="1">
      <c r="A21" s="326" t="s">
        <v>5367</v>
      </c>
      <c r="B21" s="137" t="s">
        <v>5368</v>
      </c>
      <c r="C21" s="322" t="s">
        <v>5369</v>
      </c>
    </row>
    <row r="22" spans="1:3" ht="120" customHeight="1">
      <c r="A22" s="326" t="s">
        <v>5374</v>
      </c>
      <c r="B22" s="137" t="s">
        <v>5375</v>
      </c>
      <c r="C22" s="322" t="s">
        <v>5376</v>
      </c>
    </row>
    <row r="23" spans="1:3" ht="120" customHeight="1">
      <c r="A23" s="326" t="s">
        <v>5381</v>
      </c>
      <c r="B23" s="137" t="s">
        <v>5382</v>
      </c>
      <c r="C23" s="322" t="s">
        <v>5383</v>
      </c>
    </row>
    <row r="24" spans="1:3" ht="120" customHeight="1">
      <c r="A24" s="326" t="s">
        <v>5388</v>
      </c>
      <c r="B24" s="137" t="s">
        <v>5389</v>
      </c>
      <c r="C24" s="322" t="s">
        <v>5390</v>
      </c>
    </row>
    <row r="25" spans="1:3" ht="120" customHeight="1">
      <c r="A25" s="326" t="s">
        <v>5395</v>
      </c>
      <c r="B25" s="137" t="s">
        <v>5396</v>
      </c>
      <c r="C25" s="322" t="s">
        <v>5397</v>
      </c>
    </row>
    <row r="26" spans="1:3" ht="120" customHeight="1">
      <c r="A26" s="326" t="s">
        <v>5402</v>
      </c>
      <c r="B26" s="137" t="s">
        <v>5404</v>
      </c>
      <c r="C26" s="322" t="s">
        <v>5405</v>
      </c>
    </row>
    <row r="27" spans="1:3" ht="120" customHeight="1">
      <c r="A27" s="326" t="s">
        <v>5410</v>
      </c>
      <c r="B27" s="137" t="s">
        <v>5411</v>
      </c>
      <c r="C27" s="322" t="s">
        <v>5412</v>
      </c>
    </row>
    <row r="28" spans="1:3" ht="120" customHeight="1">
      <c r="A28" s="326" t="s">
        <v>5417</v>
      </c>
      <c r="B28" s="137" t="s">
        <v>5418</v>
      </c>
      <c r="C28" s="322" t="s">
        <v>5419</v>
      </c>
    </row>
    <row r="29" spans="1:3" ht="120" customHeight="1">
      <c r="A29" s="326" t="s">
        <v>5423</v>
      </c>
      <c r="B29" s="137" t="s">
        <v>5424</v>
      </c>
      <c r="C29" s="322" t="s">
        <v>5425</v>
      </c>
    </row>
    <row r="30" spans="1:3" ht="120" customHeight="1">
      <c r="A30" s="326" t="s">
        <v>5430</v>
      </c>
      <c r="B30" s="137" t="s">
        <v>5431</v>
      </c>
      <c r="C30" s="322" t="s">
        <v>5432</v>
      </c>
    </row>
    <row r="31" spans="1:3" ht="120" customHeight="1">
      <c r="A31" s="326" t="s">
        <v>5437</v>
      </c>
      <c r="B31" s="137" t="s">
        <v>5438</v>
      </c>
      <c r="C31" s="322" t="s">
        <v>5439</v>
      </c>
    </row>
    <row r="32" spans="1:3" ht="120" customHeight="1">
      <c r="A32" s="326" t="s">
        <v>5444</v>
      </c>
      <c r="B32" s="137" t="s">
        <v>5445</v>
      </c>
      <c r="C32" s="322" t="s">
        <v>5446</v>
      </c>
    </row>
    <row r="33" spans="1:3" ht="120" customHeight="1">
      <c r="A33" s="326" t="s">
        <v>5451</v>
      </c>
      <c r="B33" s="137" t="s">
        <v>5453</v>
      </c>
      <c r="C33" s="322" t="s">
        <v>5454</v>
      </c>
    </row>
    <row r="34" spans="1:3" ht="120" customHeight="1">
      <c r="A34" s="326" t="s">
        <v>5459</v>
      </c>
      <c r="B34" s="137" t="s">
        <v>5460</v>
      </c>
      <c r="C34" s="322" t="s">
        <v>5461</v>
      </c>
    </row>
    <row r="35" spans="1:3" ht="120" customHeight="1">
      <c r="A35" s="326" t="s">
        <v>5465</v>
      </c>
      <c r="B35" s="137" t="s">
        <v>5466</v>
      </c>
      <c r="C35" s="322" t="s">
        <v>5467</v>
      </c>
    </row>
    <row r="36" spans="1:3" ht="120" customHeight="1">
      <c r="A36" s="326" t="s">
        <v>5471</v>
      </c>
      <c r="B36" s="137" t="s">
        <v>5472</v>
      </c>
      <c r="C36" s="322" t="s">
        <v>5473</v>
      </c>
    </row>
    <row r="37" spans="1:3" ht="120" customHeight="1">
      <c r="A37" s="326" t="s">
        <v>5478</v>
      </c>
      <c r="B37" s="137" t="s">
        <v>5479</v>
      </c>
      <c r="C37" s="322" t="s">
        <v>5480</v>
      </c>
    </row>
    <row r="38" spans="1:3" ht="120" customHeight="1">
      <c r="A38" s="326" t="s">
        <v>5485</v>
      </c>
      <c r="B38" s="137" t="s">
        <v>5487</v>
      </c>
      <c r="C38" s="322" t="s">
        <v>5488</v>
      </c>
    </row>
    <row r="39" spans="1:3" ht="120" customHeight="1">
      <c r="A39" s="326" t="s">
        <v>5493</v>
      </c>
      <c r="B39" s="137" t="s">
        <v>5494</v>
      </c>
      <c r="C39" s="322" t="s">
        <v>5495</v>
      </c>
    </row>
    <row r="40" spans="1:3" ht="120" customHeight="1">
      <c r="A40" s="326" t="s">
        <v>5498</v>
      </c>
      <c r="B40" s="137" t="s">
        <v>5499</v>
      </c>
      <c r="C40" s="322" t="s">
        <v>5500</v>
      </c>
    </row>
    <row r="41" spans="1:3" ht="120" customHeight="1">
      <c r="A41" s="326" t="s">
        <v>5505</v>
      </c>
      <c r="B41" s="137" t="s">
        <v>5506</v>
      </c>
      <c r="C41" s="322" t="s">
        <v>5507</v>
      </c>
    </row>
    <row r="42" spans="1:3" ht="120" customHeight="1">
      <c r="A42" s="326" t="s">
        <v>5515</v>
      </c>
      <c r="B42" s="137" t="s">
        <v>5517</v>
      </c>
      <c r="C42" s="322" t="s">
        <v>5518</v>
      </c>
    </row>
    <row r="43" spans="1:3" ht="120" customHeight="1">
      <c r="A43" s="326" t="s">
        <v>5523</v>
      </c>
      <c r="B43" s="137" t="s">
        <v>5524</v>
      </c>
      <c r="C43" s="322" t="s">
        <v>5525</v>
      </c>
    </row>
    <row r="44" spans="1:3" ht="120" customHeight="1">
      <c r="A44" s="326" t="s">
        <v>5530</v>
      </c>
      <c r="B44" s="137" t="s">
        <v>5531</v>
      </c>
      <c r="C44" s="322" t="s">
        <v>5532</v>
      </c>
    </row>
    <row r="45" spans="1:3" ht="120" customHeight="1">
      <c r="A45" s="326" t="s">
        <v>5537</v>
      </c>
      <c r="B45" s="137" t="s">
        <v>5538</v>
      </c>
      <c r="C45" s="322" t="s">
        <v>5539</v>
      </c>
    </row>
    <row r="46" spans="1:3" ht="120" customHeight="1">
      <c r="A46" s="326" t="s">
        <v>5544</v>
      </c>
      <c r="B46" s="137" t="s">
        <v>5545</v>
      </c>
      <c r="C46" s="322" t="s">
        <v>5546</v>
      </c>
    </row>
    <row r="47" spans="1:3" ht="120" customHeight="1">
      <c r="A47" s="326" t="s">
        <v>5549</v>
      </c>
      <c r="B47" s="137" t="s">
        <v>5550</v>
      </c>
      <c r="C47" s="322" t="s">
        <v>5551</v>
      </c>
    </row>
  </sheetData>
  <phoneticPr fontId="2"/>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M13"/>
  <sheetViews>
    <sheetView tabSelected="1" zoomScale="131" workbookViewId="0">
      <selection activeCell="E9" sqref="E9"/>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s>
  <sheetData>
    <row r="1" spans="1:13">
      <c r="A1" s="255" t="s">
        <v>5559</v>
      </c>
      <c r="B1" s="34"/>
      <c r="C1" s="34"/>
      <c r="D1" s="34"/>
      <c r="E1" s="34"/>
      <c r="F1" s="34"/>
      <c r="G1" s="34"/>
      <c r="H1" s="34"/>
      <c r="I1" s="34"/>
      <c r="J1" s="34"/>
      <c r="K1" s="34"/>
      <c r="L1" s="34"/>
      <c r="M1" s="34"/>
    </row>
    <row r="2" spans="1:13">
      <c r="A2" s="309" t="s">
        <v>5560</v>
      </c>
      <c r="B2" s="34"/>
      <c r="C2" s="34"/>
      <c r="D2" s="34"/>
      <c r="E2" s="34"/>
      <c r="F2" s="34"/>
      <c r="G2" s="34"/>
      <c r="H2" s="34"/>
      <c r="I2" s="34"/>
      <c r="J2" s="34"/>
      <c r="K2" s="34"/>
      <c r="L2" s="34"/>
      <c r="M2" s="34"/>
    </row>
    <row r="3" spans="1:13">
      <c r="A3" s="323" t="s">
        <v>5561</v>
      </c>
      <c r="B3" s="34"/>
      <c r="C3" s="34"/>
      <c r="D3" s="34"/>
      <c r="E3" s="34"/>
      <c r="F3" s="34"/>
      <c r="G3" s="34"/>
      <c r="H3" s="34"/>
      <c r="I3" s="34"/>
      <c r="J3" s="34"/>
      <c r="K3" s="34"/>
      <c r="L3" s="34"/>
      <c r="M3" s="34"/>
    </row>
    <row r="4" spans="1:13">
      <c r="A4" s="80" t="s">
        <v>5562</v>
      </c>
      <c r="B4" s="34"/>
      <c r="C4" s="34"/>
      <c r="D4" s="34"/>
      <c r="E4" s="34"/>
      <c r="F4" s="34"/>
      <c r="G4" s="34"/>
      <c r="H4" s="34"/>
      <c r="I4" s="34"/>
      <c r="J4" s="34"/>
      <c r="K4" s="34"/>
      <c r="L4" s="34"/>
      <c r="M4" s="34"/>
    </row>
    <row r="5" spans="1:13">
      <c r="A5" s="34"/>
      <c r="B5" s="34"/>
      <c r="C5" s="34"/>
      <c r="D5" s="34"/>
      <c r="E5" s="34"/>
      <c r="F5" s="34"/>
      <c r="G5" s="34"/>
      <c r="H5" s="34"/>
      <c r="I5" s="34"/>
      <c r="J5" s="34"/>
      <c r="K5" s="34"/>
      <c r="L5" s="34"/>
      <c r="M5" s="34"/>
    </row>
    <row r="6" spans="1:13">
      <c r="A6" s="310" t="s">
        <v>5563</v>
      </c>
      <c r="B6" s="311" t="s">
        <v>5564</v>
      </c>
      <c r="C6" s="311" t="s">
        <v>5246</v>
      </c>
      <c r="D6" s="311" t="s">
        <v>5247</v>
      </c>
      <c r="E6" s="311" t="s">
        <v>5248</v>
      </c>
      <c r="F6" s="312" t="s">
        <v>5249</v>
      </c>
      <c r="G6" s="312" t="s">
        <v>5250</v>
      </c>
      <c r="H6" s="312" t="s">
        <v>5251</v>
      </c>
      <c r="I6" s="312" t="s">
        <v>5565</v>
      </c>
      <c r="J6" s="313" t="s">
        <v>5253</v>
      </c>
      <c r="K6" s="313" t="s">
        <v>5254</v>
      </c>
      <c r="L6" s="313" t="s">
        <v>5255</v>
      </c>
      <c r="M6" s="327" t="s">
        <v>5566</v>
      </c>
    </row>
    <row r="7" spans="1:13" ht="140" customHeight="1">
      <c r="A7" s="324" t="s">
        <v>5567</v>
      </c>
      <c r="B7" s="316" t="s">
        <v>5568</v>
      </c>
      <c r="C7" s="316" t="s">
        <v>4649</v>
      </c>
      <c r="D7" s="315" t="s">
        <v>5569</v>
      </c>
      <c r="E7" s="315" t="s">
        <v>5570</v>
      </c>
      <c r="F7" s="315"/>
      <c r="G7" s="315"/>
      <c r="H7" s="315"/>
      <c r="I7" s="316"/>
      <c r="J7" s="315" t="s">
        <v>5571</v>
      </c>
      <c r="K7" s="315" t="s">
        <v>5572</v>
      </c>
      <c r="L7" s="315" t="s">
        <v>5573</v>
      </c>
      <c r="M7" s="317" t="s">
        <v>5574</v>
      </c>
    </row>
    <row r="8" spans="1:13" ht="140" customHeight="1">
      <c r="A8" s="324" t="s">
        <v>5575</v>
      </c>
      <c r="B8" s="316" t="s">
        <v>5568</v>
      </c>
      <c r="C8" s="316" t="s">
        <v>4649</v>
      </c>
      <c r="D8" s="315" t="s">
        <v>5576</v>
      </c>
      <c r="E8" s="315" t="s">
        <v>5577</v>
      </c>
      <c r="F8" s="315"/>
      <c r="G8" s="315"/>
      <c r="H8" s="315"/>
      <c r="I8" s="316"/>
      <c r="J8" s="315" t="s">
        <v>5578</v>
      </c>
      <c r="K8" s="315" t="s">
        <v>5579</v>
      </c>
      <c r="L8" s="315" t="s">
        <v>5580</v>
      </c>
      <c r="M8" s="317" t="s">
        <v>5581</v>
      </c>
    </row>
    <row r="9" spans="1:13" ht="140" customHeight="1">
      <c r="A9" s="324" t="s">
        <v>5582</v>
      </c>
      <c r="B9" s="316" t="s">
        <v>5568</v>
      </c>
      <c r="C9" s="316" t="s">
        <v>4650</v>
      </c>
      <c r="D9" s="315" t="s">
        <v>5583</v>
      </c>
      <c r="E9" s="315" t="s">
        <v>5584</v>
      </c>
      <c r="F9" s="315"/>
      <c r="G9" s="315"/>
      <c r="H9" s="315"/>
      <c r="I9" s="316"/>
      <c r="J9" s="315" t="s">
        <v>5585</v>
      </c>
      <c r="K9" s="315" t="s">
        <v>5586</v>
      </c>
      <c r="L9" s="315" t="s">
        <v>5587</v>
      </c>
      <c r="M9" s="317" t="s">
        <v>5588</v>
      </c>
    </row>
    <row r="10" spans="1:13" ht="140" customHeight="1">
      <c r="A10" s="324" t="s">
        <v>5589</v>
      </c>
      <c r="B10" s="316" t="s">
        <v>5568</v>
      </c>
      <c r="C10" s="316" t="s">
        <v>4650</v>
      </c>
      <c r="D10" s="315" t="s">
        <v>5590</v>
      </c>
      <c r="E10" s="315" t="s">
        <v>5591</v>
      </c>
      <c r="F10" s="315"/>
      <c r="G10" s="315"/>
      <c r="H10" s="315"/>
      <c r="I10" s="316"/>
      <c r="J10" s="315" t="s">
        <v>5592</v>
      </c>
      <c r="K10" s="315" t="s">
        <v>5593</v>
      </c>
      <c r="L10" s="315" t="s">
        <v>5594</v>
      </c>
      <c r="M10" s="317" t="s">
        <v>5595</v>
      </c>
    </row>
    <row r="11" spans="1:13" ht="140" customHeight="1">
      <c r="A11" s="324" t="s">
        <v>5596</v>
      </c>
      <c r="B11" s="316" t="s">
        <v>5597</v>
      </c>
      <c r="C11" s="316" t="s">
        <v>4649</v>
      </c>
      <c r="D11" s="315" t="s">
        <v>5598</v>
      </c>
      <c r="E11" s="315" t="s">
        <v>5599</v>
      </c>
      <c r="F11" s="315"/>
      <c r="G11" s="315"/>
      <c r="H11" s="315"/>
      <c r="I11" s="316"/>
      <c r="J11" s="315" t="s">
        <v>5600</v>
      </c>
      <c r="K11" s="315" t="s">
        <v>5601</v>
      </c>
      <c r="L11" s="315" t="s">
        <v>5602</v>
      </c>
      <c r="M11" s="317" t="s">
        <v>5603</v>
      </c>
    </row>
    <row r="12" spans="1:13" ht="140" customHeight="1">
      <c r="A12" s="324" t="s">
        <v>5604</v>
      </c>
      <c r="B12" s="316" t="s">
        <v>5597</v>
      </c>
      <c r="C12" s="316" t="s">
        <v>4649</v>
      </c>
      <c r="D12" s="315" t="s">
        <v>5605</v>
      </c>
      <c r="E12" s="315" t="s">
        <v>5606</v>
      </c>
      <c r="F12" s="315"/>
      <c r="G12" s="315"/>
      <c r="H12" s="315"/>
      <c r="I12" s="316"/>
      <c r="J12" s="315" t="s">
        <v>5607</v>
      </c>
      <c r="K12" s="315" t="s">
        <v>5608</v>
      </c>
      <c r="L12" s="315" t="s">
        <v>5609</v>
      </c>
      <c r="M12" s="317" t="s">
        <v>5610</v>
      </c>
    </row>
    <row r="13" spans="1:13" ht="140" customHeight="1">
      <c r="A13" s="325" t="s">
        <v>5611</v>
      </c>
      <c r="B13" s="319" t="s">
        <v>5597</v>
      </c>
      <c r="C13" s="319" t="s">
        <v>4650</v>
      </c>
      <c r="D13" s="318" t="s">
        <v>5612</v>
      </c>
      <c r="E13" s="318" t="s">
        <v>5613</v>
      </c>
      <c r="F13" s="318"/>
      <c r="G13" s="318"/>
      <c r="H13" s="318"/>
      <c r="I13" s="319"/>
      <c r="J13" s="318" t="s">
        <v>5614</v>
      </c>
      <c r="K13" s="318" t="s">
        <v>5615</v>
      </c>
      <c r="L13" s="318" t="s">
        <v>5616</v>
      </c>
      <c r="M13" s="320" t="s">
        <v>5617</v>
      </c>
    </row>
  </sheetData>
  <autoFilter ref="A6:M13" xr:uid="{01578FE6-5AF7-D445-B4F3-9D8EB4ACAC69}"/>
  <phoneticPr fontId="2"/>
  <conditionalFormatting sqref="C7:C13">
    <cfRule type="expression" priority="1"/>
  </conditionalFormatting>
  <dataValidations count="1">
    <dataValidation type="list" allowBlank="1" showInputMessage="1" showErrorMessage="1" sqref="I7:I13" xr:uid="{07B80213-E5C0-5841-93AB-C3A3C1F6D983}">
      <formula1>"採用,現行維持,保留"</formula1>
    </dataValidation>
  </dataValidations>
  <pageMargins left="0.7" right="0.7" top="0.75" bottom="0.75" header="0.3" footer="0.3"/>
  <pageSetup paperSize="9" scale="45" fitToHeight="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17</vt:i4>
      </vt:variant>
      <vt:variant>
        <vt:lpstr>名前付き一覧</vt:lpstr>
      </vt:variant>
      <vt:variant>
        <vt:i4>6</vt:i4>
      </vt:variant>
    </vt:vector>
  </HeadingPairs>
  <TitlesOfParts>
    <vt:vector size="2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2026-08-21T04:45:03Z</dcterms:modified>
</cp:coreProperties>
</file>