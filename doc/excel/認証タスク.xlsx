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634A721-0542-E148-A5D8-5F6FE374329F}"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'WBS(テスト)'!$A$5:$N$59</definedName>
    <definedName name="_xlnm._FilterDatabase" localSheetId="9" hidden="1">'WBS(基本設計)'!$A$6:$T$456</definedName>
    <definedName name="_xlnm._FilterDatabase" localSheetId="10" hidden="1">'WBS(詳細設計_製造)'!$A$5:$U$222</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E2" i="10" s="1"/>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B52" i="25" s="1"/>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F31" i="14" s="1"/>
  <c r="D37" i="14" s="1"/>
  <c r="K7" i="14"/>
  <c r="E31" i="14" s="1"/>
  <c r="C37" i="14" s="1"/>
  <c r="J7" i="14"/>
  <c r="L6" i="14"/>
  <c r="K6" i="14"/>
  <c r="E30" i="14" s="1"/>
  <c r="C36" i="14" s="1"/>
  <c r="J6" i="14"/>
  <c r="D29" i="14" s="1"/>
  <c r="B35" i="14" s="1"/>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A85" i="12" s="1"/>
  <c r="L31" i="12"/>
  <c r="K31" i="12"/>
  <c r="J31" i="12"/>
  <c r="L30" i="12"/>
  <c r="K30" i="12"/>
  <c r="J30" i="12"/>
  <c r="L29" i="12"/>
  <c r="K29" i="12"/>
  <c r="J29" i="12"/>
  <c r="L28" i="12"/>
  <c r="K28" i="12"/>
  <c r="J28" i="12"/>
  <c r="L27" i="12"/>
  <c r="K27" i="12"/>
  <c r="J27" i="12"/>
  <c r="L26" i="12"/>
  <c r="K26" i="12"/>
  <c r="J26" i="12"/>
  <c r="L25" i="12"/>
  <c r="K25" i="12"/>
  <c r="J25" i="12"/>
  <c r="B33" i="7" l="1"/>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B70" i="12" s="1"/>
  <c r="F70" i="12" s="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<sst xmlns="http://schemas.openxmlformats.org/spreadsheetml/2006/main" count="23326" uniqueCount="8854">
  <si>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</si>
  <si>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</si>
  <si>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</si>
  <si>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</si>
  <si>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</si>
  <si>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</si>
  <si>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</si>
  <si>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</si>
  <si>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</si>
  <si>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</si>
  <si>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</si>
  <si>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</si>
  <si>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</si>
  <si>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</si>
  <si>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</si>
  <si>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</si>
  <si>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</si>
  <si>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</si>
  <si>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</si>
  <si>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</si>
  <si>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</si>
  <si>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</si>
  <si>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</si>
  <si>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</si>
  <si>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</si>
  <si>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</si>
  <si>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</si>
  <si>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</si>
  <si>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</si>
  <si>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</si>
  <si>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</si>
  <si>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</si>
  <si>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</si>
  <si>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</si>
  <si>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</si>
  <si>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</si>
  <si>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</si>
  <si>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</si>
  <si>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</si>
  <si>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</si>
  <si>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</si>
  <si>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</si>
  <si>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</si>
  <si>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</si>
  <si>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</si>
  <si>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</si>
  <si>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</si>
  <si>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</si>
  <si>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</si>
  <si>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</si>
  <si>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</si>
  <si>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</si>
  <si>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</si>
  <si>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</si>
  <si>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</si>
  <si>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</si>
  <si>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</si>
  <si>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</si>
  <si>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</si>
  <si>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</si>
  <si>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</si>
  <si>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</si>
  <si>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</si>
  <si>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</si>
  <si>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</si>
  <si>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</si>
  <si>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</si>
  <si>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</si>
  <si>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</si>
  <si>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</si>
  <si>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</si>
  <si>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</si>
  <si>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</si>
  <si>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</si>
  <si>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</si>
  <si>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</si>
  <si>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</si>
  <si>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</si>
  <si>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</si>
  <si>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</si>
  <si>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</si>
  <si>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</si>
  <si>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</si>
  <si>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</si>
  <si>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</si>
  <si>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</si>
  <si>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</si>
  <si>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</si>
  <si>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</si>
  <si>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</si>
  <si>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</si>
  <si>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</si>
  <si>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</si>
  <si>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</si>
  <si>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</si>
  <si>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</si>
  <si>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</si>
  <si>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</si>
  <si>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</si>
  <si>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</si>
  <si>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</si>
  <si>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</si>
  <si>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</si>
  <si>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</si>
  <si>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</si>
  <si>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</si>
  <si>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</si>
  <si>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</si>
  <si>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</si>
  <si>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</si>
  <si>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</si>
  <si>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</si>
  <si>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</si>
  <si>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</si>
  <si>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</si>
  <si>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</si>
  <si>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</si>
  <si>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</si>
  <si>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</si>
  <si>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</si>
  <si>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</si>
  <si>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</si>
  <si>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</si>
  <si>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</si>
  <si>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</si>
  <si>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</si>
  <si>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</si>
  <si>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</si>
  <si>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</si>
  <si>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</si>
  <si>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</si>
  <si>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</si>
  <si>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</si>
  <si>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</si>
  <si>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</si>
  <si>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</si>
  <si>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</si>
  <si>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</si>
  <si>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</si>
  <si>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</si>
  <si>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</si>
  <si>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</si>
  <si>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</si>
  <si>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</si>
  <si>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</si>
  <si>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</si>
  <si>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</si>
  <si>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</si>
  <si>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</si>
  <si>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</si>
  <si>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</si>
  <si>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</si>
  <si>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</si>
  <si>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</si>
  <si>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</si>
  <si>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</si>
  <si>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</si>
  <si>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</si>
  <si>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</si>
  <si>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</si>
  <si>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</si>
  <si>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</si>
  <si>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</si>
  <si>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</si>
  <si>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</si>
  <si>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</si>
  <si>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</si>
  <si>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</si>
  <si>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</si>
  <si>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</si>
  <si>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</si>
  <si>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</si>
  <si>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</si>
  <si>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</si>
  <si>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</si>
  <si>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</si>
  <si>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</si>
  <si>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</si>
  <si>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</si>
  <si>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</si>
  <si>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</si>
  <si>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</si>
  <si>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</si>
  <si>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</si>
  <si>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</si>
  <si>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</si>
  <si>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</si>
  <si>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</si>
  <si>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</si>
  <si>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</si>
  <si>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</si>
  <si>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</si>
  <si>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</si>
  <si>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</si>
  <si>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</si>
  <si>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</si>
  <si>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</si>
  <si>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</si>
  <si>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</si>
  <si>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</si>
  <si>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</si>
  <si>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</si>
  <si>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</si>
  <si>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</si>
  <si>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</si>
  <si>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</si>
  <si>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</si>
  <si>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</si>
  <si>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</si>
  <si>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</si>
  <si>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</si>
  <si>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</si>
  <si>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</si>
  <si>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</si>
  <si>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</si>
  <si>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</si>
  <si>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</si>
  <si>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</si>
  <si>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</si>
  <si>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</si>
  <si>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</si>
  <si>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</si>
  <si>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</si>
  <si>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</si>
  <si>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</si>
  <si>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</si>
  <si>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</si>
  <si>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</si>
  <si>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</si>
  <si>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</si>
  <si>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</si>
  <si>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</si>
  <si>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</si>
  <si>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</si>
  <si>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</si>
  <si>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</si>
  <si>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</si>
  <si>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</si>
  <si>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</si>
  <si>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</si>
  <si>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</si>
  <si>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</si>
  <si>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</si>
  <si>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</si>
  <si>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</si>
  <si>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</si>
  <si>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</si>
  <si>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</si>
  <si>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</si>
  <si>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</si>
  <si>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</si>
  <si>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</si>
  <si>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</si>
  <si>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</si>
  <si>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</si>
  <si>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</si>
  <si>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</si>
  <si>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</si>
  <si>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</si>
  <si>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</si>
  <si>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</si>
  <si>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</si>
  <si>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</si>
  <si>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</si>
  <si>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</si>
  <si>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</si>
  <si>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</si>
  <si>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</si>
  <si>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</si>
  <si>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</si>
  <si>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</si>
  <si>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</si>
  <si>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</si>
  <si>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</si>
  <si>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</si>
  <si>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</si>
  <si>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</si>
  <si>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</si>
  <si>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</si>
  <si>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</si>
  <si>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</si>
  <si>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</si>
  <si>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</si>
  <si>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</si>
  <si>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</si>
  <si>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</si>
  <si>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</si>
  <si>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</si>
  <si>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</si>
  <si>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</si>
  <si>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</si>
  <si>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</si>
  <si>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</si>
  <si>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</si>
  <si>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</si>
  <si>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</si>
  <si>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</si>
  <si>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</si>
  <si>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</si>
  <si>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</si>
  <si>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</si>
  <si>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</si>
  <si>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</si>
  <si>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</si>
  <si>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</si>
  <si>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</si>
  <si>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</si>
  <si>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</si>
  <si>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</si>
  <si>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</si>
  <si>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</si>
  <si>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</si>
  <si>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</si>
  <si>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</si>
  <si>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</si>
  <si>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</si>
  <si>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</si>
  <si>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</si>
  <si>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</si>
  <si>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</si>
  <si>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</si>
  <si>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</si>
  <si>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</si>
  <si>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</si>
  <si>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</si>
  <si>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</si>
  <si>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</si>
  <si>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</si>
  <si>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</si>
  <si>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</si>
  <si>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</si>
  <si>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</si>
  <si>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</si>
  <si>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</si>
  <si>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</si>
  <si>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</si>
  <si>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</si>
  <si>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</si>
  <si>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</si>
  <si>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</si>
  <si>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</si>
  <si>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</si>
  <si>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</si>
  <si>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</si>
  <si>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</si>
  <si>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</si>
  <si>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</si>
  <si>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</si>
  <si>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</si>
  <si>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</si>
  <si>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</si>
  <si>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</si>
  <si>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</si>
  <si>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</si>
  <si>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</si>
  <si>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</si>
  <si>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</si>
  <si>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</si>
  <si>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</si>
  <si>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</si>
  <si>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</si>
  <si>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</si>
  <si>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</si>
  <si>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</si>
  <si>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</si>
  <si>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</si>
  <si>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</si>
  <si>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</si>
  <si>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</si>
  <si>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</si>
  <si>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</si>
  <si>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</si>
  <si>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</si>
  <si>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</si>
  <si>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</si>
  <si>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</si>
  <si>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</si>
  <si>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</si>
  <si>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</si>
  <si>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</si>
  <si>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</si>
  <si>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</si>
  <si>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</si>
  <si>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</si>
  <si>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</si>
  <si>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</si>
  <si>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</si>
  <si>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</si>
  <si>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</si>
  <si>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</si>
  <si>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</si>
  <si>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</si>
  <si>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</si>
  <si>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</si>
  <si>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</si>
  <si>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</si>
  <si>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</si>
  <si>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</si>
  <si>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</si>
  <si>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</si>
  <si>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</si>
  <si>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</si>
  <si>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</si>
  <si>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</si>
  <si>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</si>
  <si>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</si>
  <si>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</si>
  <si>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</si>
  <si>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</si>
  <si>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</si>
  <si>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</si>
  <si>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</si>
  <si>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</si>
  <si>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</si>
  <si>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</si>
  <si>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</si>
  <si>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</si>
  <si>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</si>
  <si>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</si>
  <si>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</si>
  <si>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</si>
  <si>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</si>
  <si>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</si>
  <si>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</si>
  <si>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</si>
  <si>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</si>
  <si>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</si>
  <si>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</si>
  <si>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</si>
  <si>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</si>
  <si>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</si>
  <si>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</si>
  <si>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</si>
  <si>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</si>
  <si>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</si>
  <si>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</si>
  <si>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</si>
  <si>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</si>
  <si>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</si>
  <si>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</si>
  <si>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</si>
  <si>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</si>
  <si>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</si>
  <si>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</si>
  <si>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</si>
  <si>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</si>
  <si>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</si>
  <si>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</si>
  <si>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</si>
  <si>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</si>
  <si>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</si>
  <si>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</si>
  <si>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</si>
  <si>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</si>
  <si>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</si>
  <si>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</si>
  <si>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</si>
  <si>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</si>
  <si>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</si>
  <si>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</si>
  <si>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</si>
  <si>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</si>
  <si>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</si>
  <si>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</si>
  <si>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</si>
  <si>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</si>
  <si>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</si>
  <si>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</si>
  <si>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</si>
  <si>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</si>
  <si>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</si>
  <si>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</si>
  <si>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</si>
  <si>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</si>
  <si>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</si>
  <si>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</si>
  <si>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</si>
  <si>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</si>
  <si>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</si>
  <si>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</si>
  <si>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</si>
  <si>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</si>
  <si>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</si>
  <si>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</si>
  <si>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</si>
  <si>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</si>
  <si>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</si>
  <si>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</si>
  <si>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</si>
  <si>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</si>
  <si>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</si>
  <si>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</si>
  <si>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</si>
  <si>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</si>
  <si>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</si>
  <si>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</si>
  <si>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</si>
  <si>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</si>
  <si>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</si>
  <si>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</si>
  <si>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</si>
  <si>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</si>
  <si>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</si>
  <si>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</si>
  <si>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</si>
  <si>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</si>
  <si>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</si>
  <si>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</si>
  <si>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</si>
  <si>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</si>
  <si>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</si>
  <si>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</si>
  <si>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</si>
  <si>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</si>
  <si>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</si>
  <si>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</si>
  <si>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</si>
  <si>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</si>
  <si>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</si>
  <si>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</si>
  <si>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</si>
  <si>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</si>
  <si>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</si>
  <si>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</si>
  <si>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</si>
  <si>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</si>
  <si>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</si>
  <si>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</si>
  <si>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</si>
  <si>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</si>
  <si>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</si>
  <si>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</si>
  <si>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</si>
  <si>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</si>
  <si>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</si>
  <si>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</si>
  <si>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</si>
  <si>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</si>
  <si>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</si>
  <si>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</si>
  <si>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</si>
  <si>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</si>
  <si>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</si>
  <si>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</si>
  <si>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</si>
  <si>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</si>
  <si>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</si>
  <si>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</si>
  <si>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</si>
  <si>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</si>
  <si>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</si>
  <si>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</si>
  <si>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</si>
  <si>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</si>
  <si>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</si>
  <si>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</si>
  <si>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</si>
  <si>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</si>
  <si>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</si>
  <si>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</si>
  <si>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</si>
  <si>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</si>
  <si>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</si>
  <si>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</si>
  <si>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</si>
  <si>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</si>
  <si>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</si>
  <si>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</si>
  <si>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</si>
  <si>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</si>
  <si>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</si>
  <si>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</si>
  <si>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</si>
  <si>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</si>
  <si>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</si>
  <si>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</si>
  <si>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</si>
  <si>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</si>
  <si>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</si>
  <si>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</si>
  <si>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</si>
  <si>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</si>
  <si>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</si>
  <si>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</si>
  <si>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</si>
  <si>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</si>
  <si>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</si>
  <si>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</si>
  <si>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</si>
  <si>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</si>
  <si>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</si>
  <si>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</si>
  <si>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</si>
  <si>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</si>
  <si>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</si>
  <si>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</si>
  <si>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</si>
  <si>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</si>
  <si>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</si>
  <si>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</si>
  <si>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</si>
  <si>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</si>
  <si>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</si>
  <si>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</si>
  <si>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</si>
  <si>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</si>
  <si>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</si>
  <si>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</si>
  <si>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</si>
  <si>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</si>
  <si>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</si>
  <si>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</si>
  <si>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</si>
  <si>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</si>
  <si>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</si>
  <si>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</si>
  <si>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</si>
  <si>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</si>
  <si>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</si>
  <si>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</si>
  <si>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</si>
  <si>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</si>
  <si>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</si>
  <si>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</si>
  <si>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</si>
  <si>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</si>
  <si>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</si>
  <si>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</si>
  <si>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</si>
  <si>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</si>
  <si>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</si>
  <si>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</si>
  <si>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</si>
  <si>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</si>
  <si>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</si>
  <si>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</si>
  <si>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</si>
  <si>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</si>
  <si>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</si>
  <si>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</si>
  <si>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</si>
  <si>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</si>
  <si>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</si>
  <si>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</si>
  <si>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</si>
  <si>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</si>
  <si>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</si>
  <si>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</si>
  <si>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</si>
  <si>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</si>
  <si>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</si>
  <si>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</si>
  <si>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</si>
  <si>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</si>
  <si>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</si>
  <si>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</si>
  <si>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</si>
  <si>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</si>
  <si>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</si>
  <si>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</si>
  <si>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</si>
  <si>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</si>
  <si>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</si>
  <si>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</si>
  <si>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</si>
  <si>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</si>
  <si>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</si>
  <si>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</si>
  <si>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</si>
  <si>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</si>
  <si>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</si>
  <si>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</si>
  <si>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</si>
  <si>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</si>
  <si>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</si>
  <si>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</si>
  <si>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</si>
  <si>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</si>
  <si>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</si>
  <si>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</si>
  <si>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</si>
  <si>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</si>
  <si>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</si>
  <si>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</si>
  <si>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</si>
  <si>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</si>
  <si>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</si>
  <si>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</si>
  <si>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</si>
  <si>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</si>
  <si>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</si>
  <si>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</si>
  <si>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</si>
  <si>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</si>
  <si>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</si>
  <si>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</si>
  <si>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</si>
  <si>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</si>
  <si>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</si>
  <si>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</si>
  <si>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</si>
  <si>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</si>
  <si>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</si>
  <si>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</si>
  <si>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</si>
  <si>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</si>
  <si>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</si>
  <si>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</si>
  <si>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</si>
  <si>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</si>
  <si>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</si>
  <si>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</si>
  <si>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</si>
  <si>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</si>
  <si>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</si>
  <si>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</si>
  <si>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</si>
  <si>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</si>
  <si>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</si>
  <si>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</si>
  <si>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</si>
  <si>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</si>
  <si>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</si>
  <si>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</si>
  <si>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</si>
  <si>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</si>
  <si>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</si>
  <si>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</si>
  <si>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</si>
  <si>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</si>
  <si>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</si>
  <si>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</si>
  <si>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</si>
  <si>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</si>
  <si>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</si>
  <si>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</si>
  <si>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</si>
  <si>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</si>
  <si>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</si>
  <si>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</si>
  <si>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</si>
  <si>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</si>
  <si>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</si>
  <si>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</si>
  <si>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</si>
  <si>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</si>
  <si>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</si>
  <si>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</si>
  <si>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</si>
  <si>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</si>
  <si>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</si>
  <si>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</si>
  <si>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</si>
  <si>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</si>
  <si>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</si>
  <si>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</si>
  <si>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</si>
  <si>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</si>
  <si>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</si>
  <si>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</si>
  <si>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</si>
  <si>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</si>
  <si>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</si>
  <si>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</si>
  <si>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</si>
  <si>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</si>
  <si>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</si>
  <si>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</si>
  <si>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</si>
  <si>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</si>
  <si>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</si>
  <si>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</si>
  <si>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</si>
  <si>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</si>
  <si>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</si>
  <si>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</si>
  <si>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</si>
  <si>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</si>
  <si>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</si>
  <si>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</si>
  <si>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</si>
  <si>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</si>
  <si>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</si>
  <si>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</si>
  <si>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</si>
  <si>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</si>
  <si>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</si>
  <si>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</si>
  <si>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</si>
  <si>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</si>
  <si>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</si>
  <si>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</si>
  <si>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</si>
  <si>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</si>
  <si>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</si>
  <si>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</si>
  <si>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</si>
  <si>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</si>
  <si>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</si>
  <si>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</si>
  <si>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</si>
  <si>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</si>
  <si>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</si>
  <si>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</si>
  <si>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</si>
  <si>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</si>
  <si>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</si>
  <si>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</si>
  <si>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</si>
  <si>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</si>
  <si>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</si>
  <si>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</si>
  <si>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</si>
  <si>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</si>
  <si>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</si>
  <si>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</si>
  <si>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</si>
  <si>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</si>
  <si>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</si>
  <si>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</si>
  <si>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</si>
  <si>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</si>
  <si>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</si>
  <si>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</si>
  <si>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</si>
  <si>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</si>
  <si>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</si>
  <si>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</si>
  <si>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</si>
  <si>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</si>
  <si>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</si>
  <si>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</si>
  <si>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</si>
  <si>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</si>
  <si>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</si>
  <si>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</si>
  <si>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</si>
  <si>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</si>
  <si>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</si>
  <si>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</si>
  <si>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</si>
  <si>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</si>
  <si>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</si>
  <si>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</si>
  <si>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</si>
  <si>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</si>
  <si>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</si>
  <si>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</si>
  <si>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</si>
  <si>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</si>
  <si>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</si>
  <si>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</si>
  <si>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</si>
  <si>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</si>
  <si>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</si>
  <si>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</si>
  <si>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</si>
  <si>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</si>
  <si>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</si>
  <si>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</si>
  <si>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</si>
  <si>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</si>
  <si>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</si>
  <si>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</si>
  <si>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</si>
  <si>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</si>
  <si>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</si>
  <si>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</si>
  <si>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</si>
  <si>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</si>
  <si>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</si>
  <si>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</si>
  <si>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</si>
  <si>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</si>
  <si>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</si>
  <si>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</si>
  <si>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</si>
  <si>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</si>
  <si>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</si>
  <si>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</si>
  <si>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</si>
  <si>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</si>
  <si>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</si>
  <si>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</si>
  <si>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</si>
  <si>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</si>
  <si>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</si>
  <si>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</si>
  <si>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</si>
  <si>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</si>
  <si>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</si>
  <si>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</si>
  <si>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</si>
  <si>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</si>
  <si>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</si>
  <si>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</si>
  <si>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</si>
  <si>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</si>
  <si>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</si>
  <si>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</si>
  <si>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</si>
  <si>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</si>
  <si>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</si>
  <si>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</si>
  <si>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</si>
  <si>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</si>
  <si>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</si>
  <si>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</si>
  <si>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</si>
  <si>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</si>
  <si>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</si>
  <si>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</si>
  <si>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</si>
  <si>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</si>
  <si>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</si>
  <si>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</si>
  <si>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</si>
  <si>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</si>
  <si>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</si>
  <si>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</si>
  <si>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</si>
  <si>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</si>
  <si>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</si>
  <si>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</si>
  <si>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</si>
  <si>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</si>
  <si>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</si>
  <si>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</si>
  <si>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</si>
  <si>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</si>
  <si>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</si>
  <si>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</si>
  <si>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</si>
  <si>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</si>
  <si>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</si>
  <si>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</si>
  <si>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</si>
  <si>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</si>
  <si>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</si>
  <si>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</si>
  <si>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</si>
  <si>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</si>
  <si>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</si>
  <si>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</si>
  <si>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</si>
  <si>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</si>
  <si>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</si>
  <si>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</si>
  <si>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</si>
  <si>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</si>
  <si>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</si>
  <si>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</si>
  <si>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</si>
  <si>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</si>
  <si>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</si>
  <si>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</si>
  <si>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</si>
  <si>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</si>
  <si>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</si>
  <si>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</si>
  <si>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</si>
  <si>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</si>
  <si>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</si>
  <si>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</si>
  <si>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</si>
  <si>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</si>
  <si>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</si>
  <si>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</si>
  <si>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</si>
  <si>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</si>
  <si>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</si>
  <si>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</si>
  <si>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</si>
  <si>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</si>
  <si>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</si>
  <si>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</si>
  <si>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</si>
  <si>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</si>
  <si>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</si>
  <si>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</si>
  <si>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</si>
  <si>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</si>
  <si>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</si>
  <si>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</si>
  <si>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</si>
  <si>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</si>
  <si>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</si>
  <si>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</si>
  <si>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</si>
  <si>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</si>
  <si>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</si>
  <si>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</si>
  <si>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</si>
  <si>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</si>
  <si>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</si>
  <si>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</si>
  <si>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</si>
  <si>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</si>
  <si>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</si>
  <si>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</si>
  <si>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</si>
  <si>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</si>
  <si>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</si>
  <si>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</si>
  <si>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</si>
  <si>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</si>
  <si>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</si>
  <si>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</si>
  <si>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</si>
  <si>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</si>
  <si>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</si>
  <si>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</si>
  <si>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</si>
  <si>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</si>
  <si>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</si>
  <si>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</si>
  <si>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</si>
  <si>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</si>
  <si>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</si>
  <si>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</si>
  <si>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</si>
  <si>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</si>
  <si>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</si>
  <si>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</si>
  <si>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</si>
  <si>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</si>
  <si>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</si>
  <si>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</si>
  <si>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</si>
  <si>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</si>
  <si>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</si>
  <si>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</si>
  <si>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</si>
  <si>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</si>
  <si>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</si>
  <si>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</si>
  <si>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</si>
  <si>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</si>
  <si>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</si>
  <si>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</si>
  <si>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</si>
  <si>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</si>
  <si>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</si>
  <si>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</si>
  <si>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</si>
  <si>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</si>
  <si>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</si>
  <si>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</si>
  <si>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</si>
  <si>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</si>
  <si>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</si>
  <si>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</si>
  <si>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</si>
  <si>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</si>
  <si>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</si>
  <si>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</si>
  <si>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</si>
  <si>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</si>
  <si>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</si>
  <si>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</si>
  <si>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</si>
  <si>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</si>
  <si>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</si>
  <si>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</si>
  <si>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</si>
  <si>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</si>
  <si>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</si>
  <si>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</si>
  <si>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</si>
  <si>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</si>
  <si>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</si>
  <si>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</si>
  <si>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</si>
  <si>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</si>
  <si>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</si>
  <si>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</si>
  <si>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</si>
  <si>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</si>
  <si>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</si>
  <si>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</si>
  <si>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</si>
  <si>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</si>
  <si>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</si>
  <si>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</si>
  <si>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</si>
  <si>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</si>
  <si>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</si>
  <si>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</si>
  <si>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</si>
  <si>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</si>
  <si>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</si>
  <si>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</si>
  <si>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</si>
  <si>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</si>
  <si>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</si>
  <si>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</si>
  <si>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</si>
  <si>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</si>
  <si>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</si>
  <si>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</si>
  <si>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</si>
  <si>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</si>
  <si>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</si>
  <si>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</si>
  <si>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</si>
  <si>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</si>
  <si>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</si>
  <si>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</si>
  <si>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</si>
  <si>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</si>
  <si>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</si>
  <si>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</si>
  <si>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</si>
  <si>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</si>
  <si>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</si>
  <si>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</si>
  <si>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</si>
  <si>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</si>
  <si>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</si>
  <si>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</si>
  <si>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</si>
  <si>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</si>
  <si>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</si>
  <si>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</si>
  <si>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</si>
  <si>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</si>
  <si>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</si>
  <si>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</si>
  <si>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</si>
  <si>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</si>
  <si>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</si>
  <si>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</si>
  <si>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</si>
  <si>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</si>
  <si>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</si>
  <si>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</si>
  <si>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</si>
  <si>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</si>
  <si>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</si>
  <si>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</si>
  <si>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</si>
  <si>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</si>
  <si>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</si>
  <si>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</si>
  <si>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</si>
  <si>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</si>
  <si>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</si>
  <si>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</si>
  <si>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</si>
  <si>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</si>
  <si>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</si>
  <si>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</si>
  <si>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</si>
  <si>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</si>
  <si>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</si>
  <si>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</si>
  <si>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</si>
  <si>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</si>
  <si>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</si>
  <si>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</si>
  <si>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</si>
  <si>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</si>
  <si>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</si>
  <si>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</si>
  <si>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</si>
  <si>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</si>
  <si>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</si>
  <si>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</si>
  <si>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</si>
  <si>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</si>
  <si>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</si>
  <si>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</si>
  <si>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</si>
  <si>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</si>
  <si>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</si>
  <si>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</si>
  <si>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</si>
  <si>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</si>
  <si>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</si>
  <si>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</si>
  <si>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</si>
  <si>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</si>
  <si>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</si>
  <si>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</si>
  <si>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</si>
  <si>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</si>
  <si>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</si>
  <si>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</si>
  <si>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</si>
  <si>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</si>
  <si>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</si>
  <si>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</si>
  <si>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</si>
  <si>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</si>
  <si>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</si>
  <si>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</si>
  <si>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</si>
  <si>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</si>
  <si>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</si>
  <si>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</si>
  <si>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</si>
  <si>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</si>
  <si>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</si>
  <si>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</si>
  <si>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</si>
  <si>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</si>
  <si>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</si>
  <si>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</si>
  <si>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</si>
  <si>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</si>
  <si>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</si>
  <si>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</si>
  <si>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</si>
  <si>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</si>
  <si>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</si>
  <si>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</si>
  <si>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</si>
  <si>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</si>
  <si>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</si>
  <si>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</si>
  <si>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</si>
  <si>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</si>
  <si>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</si>
  <si>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</si>
  <si>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</si>
  <si>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</si>
  <si>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</si>
  <si>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</si>
  <si>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</si>
  <si>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</si>
  <si>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</si>
  <si>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</si>
  <si>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</si>
  <si>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</si>
  <si>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</si>
  <si>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</si>
  <si>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</si>
  <si>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</si>
  <si>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</si>
  <si>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</si>
  <si>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</si>
  <si>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</si>
  <si>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</si>
  <si>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</si>
  <si>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</si>
  <si>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</si>
  <si>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</si>
  <si>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</si>
  <si>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</si>
  <si>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</si>
  <si>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</si>
  <si>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</si>
  <si>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</si>
  <si>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</si>
  <si>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</si>
  <si>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</si>
  <si>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</si>
  <si>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</si>
  <si>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</si>
  <si>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</si>
  <si>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</si>
  <si>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</si>
  <si>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</si>
  <si>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</si>
  <si>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</si>
  <si>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</si>
  <si>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</si>
  <si>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</si>
  <si>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</si>
  <si>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</si>
  <si>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</si>
  <si>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</si>
  <si>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</si>
  <si>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</si>
  <si>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</si>
  <si>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</si>
  <si>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</si>
  <si>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</si>
  <si>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</si>
  <si>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</si>
  <si>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</si>
  <si>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</si>
  <si>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</si>
  <si>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</si>
  <si>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</si>
  <si>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</si>
  <si>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</si>
  <si>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</si>
  <si>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</si>
  <si>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</si>
  <si>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</si>
  <si>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</si>
  <si>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</si>
  <si>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</si>
  <si>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</si>
  <si>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</si>
  <si>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</si>
  <si>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</si>
  <si>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</si>
  <si>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</si>
  <si>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</si>
  <si>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</si>
  <si>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</si>
  <si>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</si>
  <si>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</si>
  <si>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</si>
  <si>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</si>
  <si>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</si>
  <si>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</si>
  <si>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</si>
  <si>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</si>
  <si>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</si>
  <si>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</si>
  <si>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</si>
  <si>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</si>
  <si>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</si>
  <si>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</si>
  <si>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</si>
  <si>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</si>
  <si>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</si>
  <si>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</si>
  <si>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</si>
  <si>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</si>
  <si>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</si>
  <si>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</si>
  <si>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</si>
  <si>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</si>
  <si>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</si>
  <si>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</si>
  <si>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</si>
  <si>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</si>
  <si>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</si>
  <si>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</si>
  <si>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</si>
  <si>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</si>
  <si>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</si>
  <si>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</si>
  <si>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</si>
  <si>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</si>
  <si>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</si>
  <si>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</si>
  <si>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</si>
  <si>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</si>
  <si>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</si>
  <si>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</si>
  <si>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</si>
  <si>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</si>
  <si>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</si>
  <si>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</si>
  <si>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</si>
  <si>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</si>
  <si>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</si>
  <si>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</si>
  <si>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</si>
  <si>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</si>
  <si>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</si>
  <si>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</si>
  <si>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</si>
  <si>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</si>
  <si>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</si>
  <si>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</si>
  <si>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</si>
  <si>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</si>
  <si>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</si>
  <si>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</si>
  <si>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</si>
  <si>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</si>
  <si>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</si>
  <si>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</si>
  <si>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</si>
  <si>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</si>
  <si>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</si>
  <si>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</si>
  <si>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</si>
  <si>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</si>
  <si>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</si>
  <si>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</si>
  <si>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</si>
  <si>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</si>
  <si>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</si>
  <si>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</si>
  <si>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</si>
  <si>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</si>
  <si>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</si>
  <si>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</si>
  <si>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</si>
  <si>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</si>
  <si>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</si>
  <si>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</si>
  <si>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</si>
  <si>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</si>
  <si>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</si>
  <si>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</si>
  <si>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</si>
  <si>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</si>
  <si>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</si>
  <si>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</si>
  <si>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</si>
  <si>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</si>
  <si>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</si>
  <si>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</si>
  <si>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</si>
  <si>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</si>
  <si>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</si>
  <si>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</si>
  <si>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</si>
  <si>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</si>
  <si>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</si>
  <si>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</si>
  <si>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</si>
  <si>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</si>
  <si>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</si>
  <si>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</si>
  <si>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</si>
  <si>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</si>
  <si>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</si>
  <si>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</si>
  <si>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</si>
  <si>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</si>
  <si>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</si>
  <si>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</si>
  <si>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</si>
  <si>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</si>
  <si>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</si>
  <si>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</si>
  <si>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</si>
  <si>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</si>
  <si>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</si>
  <si>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</si>
  <si>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</si>
  <si>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</si>
  <si>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</si>
  <si>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</si>
  <si>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</si>
  <si>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</si>
  <si>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</si>
  <si>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</si>
  <si>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</si>
  <si>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</si>
  <si>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</si>
  <si>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</si>
  <si>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</si>
  <si>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</si>
  <si>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</si>
  <si>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</si>
  <si>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</si>
  <si>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</si>
  <si>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</si>
  <si>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</si>
  <si>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</si>
  <si>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</si>
  <si>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</si>
  <si>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</si>
  <si>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</si>
  <si>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</si>
  <si>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</si>
  <si>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</si>
  <si>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</si>
  <si>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</si>
  <si>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</si>
  <si>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</si>
  <si>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</si>
  <si>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</si>
  <si>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</si>
  <si>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</si>
  <si>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</si>
  <si>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</si>
  <si>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</si>
  <si>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</si>
  <si>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</si>
  <si>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</si>
  <si>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</si>
  <si>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</si>
  <si>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</si>
  <si>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</si>
  <si>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</si>
  <si>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</si>
  <si>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</si>
  <si>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</si>
  <si>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</si>
  <si>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</si>
  <si>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</si>
  <si>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</si>
  <si>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</si>
  <si>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</si>
  <si>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</si>
  <si>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</si>
  <si>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</si>
  <si>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</si>
  <si>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</si>
  <si>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</si>
  <si>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</si>
  <si>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</si>
  <si>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</si>
  <si>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</si>
  <si>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</si>
  <si>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</si>
  <si>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</si>
  <si>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</si>
  <si>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</si>
  <si>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</si>
  <si>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</si>
  <si>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</si>
  <si>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</si>
  <si>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</si>
  <si>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</si>
  <si>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</si>
  <si>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</si>
  <si>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</si>
  <si>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</si>
  <si>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</si>
  <si>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</si>
  <si>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</si>
  <si>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</si>
  <si>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</si>
  <si>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</si>
  <si>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</si>
  <si>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</si>
  <si>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</si>
  <si>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</si>
  <si>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</si>
  <si>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</si>
  <si>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</si>
  <si>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</si>
  <si>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</si>
  <si>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</si>
  <si>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</si>
  <si>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</si>
  <si>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</si>
  <si>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</si>
  <si>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</si>
  <si>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</si>
  <si>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</si>
  <si>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</si>
  <si>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</si>
  <si>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</si>
  <si>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</si>
  <si>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</si>
  <si>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</si>
  <si>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</si>
  <si>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</si>
  <si>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</si>
  <si>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</si>
  <si>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</si>
  <si>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</si>
  <si>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</si>
  <si>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</si>
  <si>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</si>
  <si>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</si>
  <si>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</si>
  <si>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</si>
  <si>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</si>
  <si>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</si>
  <si>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</si>
  <si>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</si>
  <si>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</si>
  <si>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</si>
  <si>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</si>
  <si>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</si>
  <si>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</si>
  <si>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</si>
  <si>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</si>
  <si>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</si>
  <si>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</si>
  <si>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</si>
  <si>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</si>
  <si>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</si>
  <si>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</si>
  <si>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</si>
  <si>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</si>
  <si>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</si>
  <si>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</si>
  <si>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</si>
  <si>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</si>
  <si>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</si>
  <si>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</si>
  <si>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</si>
  <si>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</si>
  <si>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</si>
  <si>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</si>
  <si>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</si>
  <si>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</si>
  <si>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</si>
  <si>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</si>
  <si>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</si>
  <si>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</si>
  <si>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</si>
  <si>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</si>
  <si>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</si>
  <si>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</si>
  <si>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</si>
  <si>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</si>
  <si>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</si>
  <si>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</si>
  <si>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</si>
  <si>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</si>
  <si>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</si>
  <si>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</si>
  <si>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</si>
  <si>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</si>
  <si>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</si>
  <si>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</si>
  <si>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</si>
  <si>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</si>
  <si>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</si>
  <si>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</si>
  <si>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</si>
  <si>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</si>
  <si>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</si>
  <si>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</si>
  <si>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</si>
  <si>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</si>
  <si>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</si>
  <si>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</si>
  <si>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</si>
  <si>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</si>
  <si>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</si>
  <si>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</si>
  <si>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</si>
  <si>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</si>
  <si>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</si>
  <si>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</si>
  <si>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</si>
  <si>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</si>
  <si>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</si>
  <si>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</si>
  <si>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</si>
  <si>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</si>
  <si>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</si>
  <si>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</si>
  <si>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</si>
  <si>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</si>
  <si>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</si>
  <si>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</si>
  <si>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</si>
  <si>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</si>
  <si>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</si>
  <si>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</si>
  <si>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</si>
  <si>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</si>
  <si>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</si>
  <si>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</si>
  <si>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</si>
  <si>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</si>
  <si>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</si>
  <si>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</si>
  <si>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</si>
  <si>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</si>
  <si>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</si>
  <si>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</si>
  <si>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</si>
  <si>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</si>
  <si>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</si>
  <si>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</si>
  <si>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</si>
  <si>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</si>
  <si>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</si>
  <si>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</si>
  <si>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</si>
  <si>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</si>
  <si>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</si>
  <si>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</si>
  <si>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</si>
  <si>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</si>
  <si>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</si>
  <si>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</si>
  <si>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</si>
  <si>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</si>
  <si>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</si>
  <si>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</si>
  <si>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</si>
  <si>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</si>
  <si>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</si>
  <si>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</si>
  <si>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</si>
  <si>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</si>
  <si>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</si>
  <si>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</si>
  <si>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</si>
  <si>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</si>
  <si>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</si>
  <si>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</si>
  <si>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</si>
  <si>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</si>
  <si>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</si>
  <si>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</si>
  <si>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</si>
  <si>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</si>
  <si>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</si>
  <si>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</si>
  <si>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</si>
  <si>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</si>
  <si>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</si>
  <si>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</si>
  <si>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</si>
  <si>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</si>
  <si>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</si>
  <si>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</si>
  <si>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</si>
  <si>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</si>
  <si>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</si>
  <si>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</si>
  <si>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</si>
  <si>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</si>
  <si>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</si>
  <si>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</si>
  <si>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</si>
  <si>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</si>
  <si>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</si>
  <si>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</si>
  <si>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</si>
  <si>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</si>
  <si>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</si>
  <si>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</si>
  <si>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</si>
  <si>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</si>
  <si>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</si>
  <si>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</si>
  <si>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</si>
  <si>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</si>
  <si>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</si>
  <si>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</si>
  <si>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</si>
  <si>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</si>
  <si>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</si>
  <si>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</si>
  <si>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</si>
  <si>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</si>
  <si>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</si>
  <si>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</si>
  <si>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</si>
  <si>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</si>
  <si>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</si>
  <si>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</si>
  <si>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</si>
  <si>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</si>
  <si>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</si>
  <si>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</si>
  <si>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</si>
  <si>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</si>
  <si>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</si>
  <si>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</si>
  <si>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</si>
  <si>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</si>
  <si>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</si>
  <si>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</si>
  <si>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</si>
  <si>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</si>
  <si>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</si>
  <si>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</si>
  <si>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</si>
  <si>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</si>
  <si>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</si>
  <si>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</si>
  <si>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</si>
  <si>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</si>
  <si>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</si>
  <si>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</si>
  <si>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</si>
  <si>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</si>
  <si>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</si>
  <si>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</si>
  <si>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</si>
  <si>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</si>
  <si>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</si>
  <si>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</si>
  <si>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</si>
  <si>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</si>
  <si>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</si>
  <si>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</si>
  <si>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</si>
  <si>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</si>
  <si>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</si>
  <si>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</si>
  <si>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</si>
  <si>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</si>
  <si>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</si>
  <si>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</si>
  <si>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</si>
  <si>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</si>
  <si>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</si>
  <si>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</si>
  <si>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</si>
  <si>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</si>
  <si>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</si>
  <si>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</si>
  <si>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</si>
  <si>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</si>
  <si>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</si>
  <si>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</si>
  <si>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</si>
  <si>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</si>
  <si>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</si>
  <si>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</si>
  <si>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</si>
  <si>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</si>
  <si>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</si>
  <si>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</si>
  <si>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</si>
  <si>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</si>
  <si>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</si>
  <si>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</si>
  <si>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</si>
  <si>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</si>
  <si>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</si>
  <si>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</si>
  <si>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</si>
  <si>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</si>
  <si>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</si>
  <si>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</si>
  <si>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</si>
  <si>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</si>
  <si>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</si>
  <si>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</si>
  <si>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</si>
  <si>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</si>
  <si>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</si>
  <si>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</si>
  <si>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</si>
  <si>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</si>
  <si>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</si>
  <si>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</si>
  <si>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</si>
  <si>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</si>
  <si>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</si>
  <si>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</si>
  <si>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</si>
  <si>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</si>
  <si>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</si>
  <si>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</si>
  <si>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</si>
  <si>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</si>
  <si>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</si>
  <si>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</si>
  <si>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</si>
  <si>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</si>
  <si>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</si>
  <si>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</si>
  <si>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</si>
  <si>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</si>
  <si>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</si>
  <si>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</si>
  <si>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</si>
  <si>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</si>
  <si>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</si>
  <si>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</si>
  <si>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</si>
  <si>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</si>
  <si>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</si>
  <si>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</si>
  <si>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</si>
  <si>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</si>
  <si>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</si>
  <si>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</si>
  <si>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</si>
  <si>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</si>
  <si>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</si>
  <si>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</si>
  <si>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</si>
  <si>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</si>
  <si>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</si>
  <si>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</si>
  <si>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</si>
  <si>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</si>
  <si>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</si>
  <si>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</si>
  <si>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</si>
  <si>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</si>
  <si>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</si>
  <si>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</si>
  <si>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</si>
  <si>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</si>
  <si>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</si>
  <si>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</si>
  <si>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</si>
  <si>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</si>
  <si>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</si>
  <si>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</si>
  <si>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</si>
  <si>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</si>
  <si>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</si>
  <si>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</si>
  <si>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</si>
  <si>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</si>
  <si>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</si>
  <si>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</si>
  <si>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</si>
  <si>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</si>
  <si>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</si>
  <si>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</si>
  <si>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</si>
  <si>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</si>
  <si>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</si>
  <si>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</si>
  <si>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</si>
  <si>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</si>
  <si>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</si>
  <si>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</si>
  <si>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</si>
  <si>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</si>
  <si>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</si>
  <si>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</si>
  <si>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</si>
  <si>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</si>
  <si>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</si>
  <si>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</si>
  <si>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</si>
  <si>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</si>
  <si>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</si>
  <si>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</si>
  <si>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</si>
  <si>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</si>
  <si>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</si>
  <si>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</si>
  <si>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</si>
  <si>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</si>
  <si>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</si>
  <si>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</si>
  <si>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</si>
  <si>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</si>
  <si>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</si>
  <si>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</si>
  <si>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</si>
  <si>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</si>
  <si>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</si>
  <si>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</si>
  <si>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</si>
  <si>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</si>
  <si>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</si>
  <si>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</si>
  <si>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</si>
  <si>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</si>
  <si>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</si>
  <si>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</si>
  <si>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</si>
  <si>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</si>
  <si>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</si>
  <si>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</si>
  <si>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</si>
  <si>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</si>
  <si>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</si>
  <si>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</si>
  <si>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</si>
  <si>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</si>
  <si>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</si>
  <si>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</si>
  <si>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</si>
  <si>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</si>
  <si>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</si>
  <si>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</si>
  <si>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</si>
  <si>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</si>
  <si>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</si>
  <si>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</si>
  <si>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</si>
  <si>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</si>
  <si>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</si>
  <si>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</si>
  <si>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</si>
  <si>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</si>
  <si>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</si>
  <si>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</si>
  <si>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</si>
  <si>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</si>
  <si>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</si>
  <si>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</si>
  <si>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</si>
  <si>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</si>
  <si>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</si>
  <si>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</si>
  <si>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</si>
  <si>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</si>
  <si>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</si>
  <si>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</si>
  <si>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</si>
  <si>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</si>
  <si>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</si>
  <si>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</si>
  <si>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</si>
  <si>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</si>
  <si>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</si>
  <si>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</si>
  <si>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</si>
  <si>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</si>
  <si>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</si>
  <si>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</si>
  <si>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</si>
  <si>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</si>
  <si>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</si>
  <si>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</si>
  <si>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</si>
  <si>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</si>
  <si>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</si>
  <si>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</si>
  <si>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</si>
  <si>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</si>
  <si>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</si>
  <si>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</si>
  <si>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</si>
  <si>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</si>
  <si>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</si>
  <si>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</si>
  <si>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</si>
  <si>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</si>
  <si>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</si>
  <si>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</si>
  <si>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</si>
  <si>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</si>
  <si>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</si>
  <si>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</si>
  <si>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</si>
  <si>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</si>
  <si>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</si>
  <si>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</si>
  <si>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</si>
  <si>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</si>
  <si>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</si>
  <si>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</si>
  <si>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</si>
  <si>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</si>
  <si>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</si>
  <si>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</si>
  <si>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</si>
  <si>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</si>
  <si>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</si>
  <si>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</si>
  <si>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</si>
  <si>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</si>
  <si>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</si>
  <si>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</si>
  <si>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</si>
  <si>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</si>
  <si>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</si>
  <si>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</si>
  <si>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</si>
  <si>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</si>
  <si>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</si>
  <si>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</si>
  <si>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</si>
  <si>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</si>
  <si>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</si>
  <si>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</si>
  <si>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</si>
  <si>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</si>
  <si>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</si>
  <si>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</si>
  <si>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</si>
  <si>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</si>
  <si>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</si>
  <si>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</si>
  <si>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</si>
  <si>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</si>
  <si>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</si>
  <si>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</si>
  <si>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</si>
  <si>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</si>
  <si>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</si>
  <si>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</si>
  <si>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</si>
  <si>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</si>
  <si>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</si>
  <si>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</si>
  <si>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</si>
  <si>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</si>
  <si>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</si>
  <si>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</si>
  <si>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</si>
  <si>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</si>
  <si>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</si>
  <si>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</si>
  <si>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</si>
  <si>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</si>
  <si>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</si>
  <si>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</si>
  <si>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</si>
  <si>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</si>
  <si>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</si>
  <si>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</si>
  <si>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</si>
  <si>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</si>
  <si>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</si>
  <si>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</si>
  <si>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</si>
  <si>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</si>
  <si>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</si>
  <si>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</si>
  <si>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</si>
  <si>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</si>
  <si>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</si>
  <si>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</si>
  <si>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</si>
  <si>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</si>
  <si>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</si>
  <si>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</si>
  <si>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</si>
  <si>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</si>
  <si>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</si>
  <si>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</si>
  <si>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</si>
  <si>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</si>
  <si>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</si>
  <si>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</si>
  <si>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</si>
  <si>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</si>
  <si>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</si>
  <si>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</si>
  <si>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</si>
  <si>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</si>
  <si>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</si>
  <si>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</si>
  <si>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</si>
  <si>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</si>
  <si>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</si>
  <si>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</si>
  <si>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</si>
  <si>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</si>
  <si>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</si>
  <si>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</si>
  <si>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</si>
  <si>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</si>
  <si>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</si>
  <si>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</si>
  <si>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</si>
  <si>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</si>
  <si>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</si>
  <si>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</si>
  <si>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</si>
  <si>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</si>
  <si>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</si>
  <si>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</si>
  <si>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</si>
  <si>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</si>
  <si>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</si>
  <si>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</si>
  <si>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</si>
  <si>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</si>
  <si>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</si>
  <si>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</si>
  <si>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</si>
  <si>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</si>
  <si>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</si>
  <si>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</si>
  <si>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</si>
  <si>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</si>
  <si>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</si>
  <si>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</si>
  <si>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</si>
  <si>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</si>
  <si>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</si>
  <si>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</si>
  <si>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</si>
  <si>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</si>
  <si>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</si>
  <si>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</si>
  <si>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</si>
  <si>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</si>
  <si>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</si>
  <si>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</si>
  <si>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</si>
  <si>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</si>
  <si>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</si>
  <si>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</si>
  <si>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</si>
  <si>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</si>
  <si>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</si>
  <si>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</si>
  <si>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</si>
  <si>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</si>
  <si>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</si>
  <si>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</si>
  <si>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</si>
  <si>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</si>
  <si>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</si>
  <si>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</si>
  <si>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</si>
  <si>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</si>
  <si>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</si>
  <si>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</si>
  <si>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</si>
  <si>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</si>
  <si>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</si>
  <si>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</si>
  <si>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</si>
  <si>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</si>
  <si>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</si>
  <si>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</si>
  <si>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</si>
  <si>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</si>
  <si>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</si>
  <si>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</si>
  <si>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</si>
  <si>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</si>
  <si>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</si>
  <si>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</si>
  <si>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</si>
  <si>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</si>
  <si>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</si>
  <si>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</si>
  <si>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</si>
  <si>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</si>
  <si>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</si>
  <si>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</si>
  <si>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</si>
  <si>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</si>
  <si>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</si>
  <si>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</si>
  <si>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</si>
  <si>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</si>
  <si>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</si>
  <si>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</si>
  <si>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</si>
  <si>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</si>
  <si>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</si>
  <si>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</si>
  <si>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</si>
  <si>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</si>
  <si>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</si>
  <si>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</si>
  <si>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</si>
  <si>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</si>
  <si>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</si>
  <si>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</si>
  <si>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</si>
  <si>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</si>
  <si>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</si>
  <si>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</si>
  <si>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</si>
  <si>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</si>
  <si>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</si>
  <si>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</si>
  <si>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</si>
  <si>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</si>
  <si>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</si>
  <si>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</si>
  <si>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</si>
  <si>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</si>
  <si>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</si>
  <si>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</si>
  <si>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</si>
  <si>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</si>
  <si>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</si>
  <si>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</si>
  <si>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</si>
  <si>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</si>
  <si>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</si>
  <si>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</si>
  <si>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</si>
  <si>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</si>
  <si>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</si>
  <si>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</si>
  <si>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</si>
  <si>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</si>
  <si>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</si>
  <si>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</si>
  <si>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</si>
  <si>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</si>
  <si>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</si>
  <si>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</si>
  <si>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</si>
  <si>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</si>
  <si>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</si>
  <si>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</si>
  <si>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</si>
  <si>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</si>
  <si>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</si>
  <si>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</si>
  <si>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</si>
  <si>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</si>
  <si>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</si>
  <si>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</si>
  <si>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</si>
  <si>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</si>
  <si>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</si>
  <si>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</si>
  <si>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</si>
  <si>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</si>
  <si>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</si>
  <si>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</si>
  <si>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</si>
  <si>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</si>
  <si>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</si>
  <si>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</si>
  <si>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</si>
  <si>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</si>
  <si>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</si>
  <si>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</si>
  <si>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</si>
  <si>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</si>
  <si>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</si>
  <si>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</si>
  <si>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</si>
  <si>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</si>
  <si>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</si>
  <si>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</si>
  <si>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</si>
  <si>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</si>
  <si>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</si>
  <si>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</si>
  <si>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</si>
  <si>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</si>
  <si>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</si>
  <si>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</si>
  <si>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</si>
  <si>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</si>
  <si>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</si>
  <si>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</si>
  <si>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</si>
  <si>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</si>
  <si>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</si>
  <si>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</si>
  <si>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</si>
  <si>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</si>
  <si>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</si>
  <si>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</si>
  <si>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</si>
  <si>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</si>
  <si>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</si>
  <si>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</si>
  <si>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</si>
  <si>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</si>
  <si>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</si>
  <si>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</si>
  <si>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</si>
  <si>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</si>
  <si>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</si>
  <si>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</si>
  <si>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</si>
  <si>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</si>
  <si>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</si>
  <si>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</si>
  <si>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</si>
  <si>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</si>
  <si>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</si>
  <si>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</si>
  <si>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</si>
  <si>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</si>
  <si>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</si>
  <si>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</si>
  <si>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</si>
  <si>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</si>
  <si>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</si>
  <si>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</si>
  <si>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</si>
  <si>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</si>
  <si>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</si>
  <si>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</si>
  <si>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</si>
  <si>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</si>
  <si>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</si>
  <si>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</si>
  <si>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</si>
  <si>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</si>
  <si>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</si>
  <si>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</si>
  <si>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</si>
  <si>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</si>
  <si>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</si>
  <si>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</si>
  <si>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</si>
  <si>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</si>
  <si>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</si>
  <si>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</si>
  <si>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</si>
  <si>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</si>
  <si>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</si>
  <si>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</si>
  <si>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</si>
  <si>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</si>
  <si>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</si>
  <si>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</si>
  <si>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</si>
  <si>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</si>
  <si>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</si>
  <si>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</si>
  <si>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</si>
  <si>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</si>
  <si>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</si>
  <si>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</si>
  <si>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</si>
  <si>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</si>
  <si>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</si>
  <si>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</si>
  <si>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</si>
  <si>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</si>
  <si>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</si>
  <si>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</si>
  <si>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</si>
  <si>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</si>
  <si>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</si>
  <si>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</si>
  <si>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</si>
  <si>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</si>
  <si>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</si>
  <si>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</si>
  <si>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</si>
  <si>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</si>
  <si>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</si>
  <si>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</si>
  <si>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</si>
  <si>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</si>
  <si>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</si>
  <si>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</si>
  <si>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</si>
  <si>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</si>
  <si>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</si>
  <si>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</si>
  <si>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</si>
  <si>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</si>
  <si>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</si>
  <si>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</si>
  <si>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</si>
  <si>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</si>
  <si>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</si>
  <si>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</si>
  <si>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</si>
  <si>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</si>
  <si>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</si>
  <si>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</si>
  <si>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</si>
  <si>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</si>
  <si>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</si>
  <si>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</si>
  <si>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</si>
  <si>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</si>
  <si>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</si>
  <si>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</si>
  <si>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</si>
  <si>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</si>
  <si>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</si>
  <si>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</si>
  <si>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</si>
  <si>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</si>
  <si>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</si>
  <si>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</si>
  <si>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</si>
  <si>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</si>
  <si>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</si>
  <si>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</si>
  <si>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</si>
  <si>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</si>
  <si>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</si>
  <si>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</si>
  <si>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</si>
  <si>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</si>
  <si>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</si>
  <si>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</si>
  <si>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</si>
  <si>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</si>
  <si>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</si>
  <si>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</si>
  <si>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</si>
  <si>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</si>
  <si>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</si>
  <si>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</si>
  <si>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</si>
  <si>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</si>
  <si>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</si>
  <si>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</si>
  <si>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</si>
  <si>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</si>
  <si>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</si>
  <si>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</si>
  <si>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</si>
  <si>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</si>
  <si>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</si>
  <si>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</si>
  <si>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</si>
  <si>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</si>
  <si>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</si>
  <si>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</si>
  <si>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</si>
  <si>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</si>
  <si>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</si>
  <si>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</si>
  <si>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</si>
  <si>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</si>
  <si>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</si>
  <si>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</si>
  <si>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</si>
  <si>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</si>
  <si>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</si>
  <si>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</si>
  <si>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</si>
  <si>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</si>
  <si>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</si>
  <si>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</si>
  <si>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</si>
  <si>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</si>
  <si>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</si>
  <si>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</si>
  <si>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</si>
  <si>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</si>
  <si>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</si>
  <si>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</si>
  <si>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</si>
  <si>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</si>
  <si>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</si>
  <si>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</si>
  <si>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</si>
  <si>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</si>
  <si>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</si>
  <si>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</si>
  <si>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</si>
  <si>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</si>
  <si>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</si>
  <si>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</si>
  <si>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</si>
  <si>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</si>
  <si>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</si>
  <si>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</si>
  <si>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</si>
  <si>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</si>
  <si>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</si>
  <si>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</si>
  <si>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</si>
  <si>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</si>
  <si>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</si>
  <si>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</si>
  <si>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</si>
  <si>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</si>
  <si>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</si>
  <si>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</si>
  <si>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</si>
  <si>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</si>
  <si>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</si>
  <si>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</si>
  <si>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</si>
  <si>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</si>
  <si>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</si>
  <si>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</si>
  <si>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</si>
  <si>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</si>
  <si>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</si>
  <si>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</si>
  <si>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</si>
  <si>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</si>
  <si>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</si>
  <si>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</si>
  <si>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</si>
  <si>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</si>
  <si>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</si>
  <si>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</si>
  <si>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</si>
  <si>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</si>
  <si>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</si>
  <si>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</si>
  <si>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</si>
  <si>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</si>
  <si>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</si>
  <si>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</si>
  <si>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</si>
  <si>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</si>
  <si>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</si>
  <si>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</si>
  <si>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</si>
  <si>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</si>
  <si>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</si>
  <si>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</si>
  <si>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</si>
  <si>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</si>
  <si>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</si>
  <si>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</si>
  <si>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</si>
  <si>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</si>
  <si>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</si>
  <si>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</si>
  <si>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</si>
  <si>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</si>
  <si>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</si>
  <si>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</si>
  <si>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</si>
  <si>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</si>
  <si>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</si>
  <si>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</si>
  <si>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</si>
  <si>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</si>
  <si>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</si>
  <si>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</si>
  <si>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</si>
  <si>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</si>
  <si>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</si>
  <si>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</si>
  <si>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</si>
  <si>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</si>
  <si>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</si>
  <si>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</si>
  <si>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</si>
  <si>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</si>
  <si>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</si>
  <si>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</si>
  <si>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</si>
  <si>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</si>
  <si>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</si>
  <si>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</si>
  <si>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</si>
  <si>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</si>
  <si>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</si>
  <si>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</si>
  <si>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</si>
  <si>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</si>
  <si>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</si>
  <si>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</si>
  <si>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</si>
  <si>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</si>
  <si>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</si>
  <si>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</si>
  <si>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</si>
  <si>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</si>
  <si>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</si>
  <si>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</si>
  <si>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</si>
  <si>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</si>
  <si>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</si>
  <si>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</si>
  <si>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</si>
  <si>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</si>
  <si>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</si>
  <si>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</si>
  <si>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</si>
  <si>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</si>
  <si>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</si>
  <si>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</si>
  <si>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</si>
  <si>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</si>
  <si>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</si>
  <si>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</si>
  <si>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</si>
  <si>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</si>
  <si>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</si>
  <si>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</si>
  <si>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</si>
  <si>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</si>
  <si>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</si>
  <si>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</si>
  <si>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</si>
  <si>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</si>
  <si>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</si>
  <si>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</si>
  <si>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</si>
  <si>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</si>
  <si>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</si>
  <si>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</si>
  <si>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</si>
  <si>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</si>
  <si>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</si>
  <si>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</si>
  <si>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</si>
  <si>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</si>
  <si>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</si>
  <si>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</si>
  <si>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</si>
  <si>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</si>
  <si>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</si>
  <si>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</si>
  <si>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</si>
  <si>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</si>
  <si>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</si>
  <si>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</si>
  <si>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</si>
  <si>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</si>
  <si>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</si>
  <si>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</si>
  <si>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</si>
  <si>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</si>
  <si>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</si>
  <si>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</si>
  <si>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</si>
  <si>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</si>
  <si>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</si>
  <si>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</si>
  <si>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</si>
  <si>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</si>
  <si>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</si>
  <si>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</si>
  <si>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</si>
  <si>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</si>
  <si>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</si>
  <si>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</si>
  <si>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</si>
  <si>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</si>
  <si>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</si>
  <si>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</si>
  <si>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</si>
  <si>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</si>
  <si>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</si>
  <si>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</si>
  <si>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</si>
  <si>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</si>
  <si>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</si>
  <si>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</si>
  <si>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</si>
  <si>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</si>
  <si>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</si>
  <si>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</si>
  <si>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</si>
  <si>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</si>
  <si>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</si>
  <si>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</si>
  <si>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</si>
  <si>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</si>
  <si>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</si>
  <si>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</si>
  <si>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</si>
  <si>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</si>
  <si>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</si>
  <si>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</si>
  <si>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</si>
  <si>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</si>
  <si>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</si>
  <si>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</si>
  <si>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</si>
  <si>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</si>
  <si>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</si>
  <si>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</si>
  <si>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</si>
  <si>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</si>
  <si>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</si>
  <si>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</si>
  <si>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</si>
  <si>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</si>
  <si>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</si>
  <si>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</si>
  <si>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</si>
  <si>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</si>
  <si>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</si>
  <si>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</si>
  <si>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</si>
  <si>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</si>
  <si>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</si>
  <si>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</si>
  <si>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</si>
  <si>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</si>
  <si>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</si>
  <si>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</si>
  <si>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</si>
  <si>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</si>
  <si>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</si>
  <si>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</si>
  <si>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</si>
  <si>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</si>
  <si>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</si>
  <si>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</si>
  <si>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</si>
  <si>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</si>
  <si>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</si>
  <si>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</si>
  <si>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</si>
  <si>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</si>
  <si>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</si>
  <si>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</si>
  <si>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</si>
  <si>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</si>
  <si>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</si>
  <si>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</si>
  <si>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</si>
  <si>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</si>
  <si>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</si>
  <si>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</si>
  <si>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</si>
  <si>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</si>
  <si>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</si>
  <si>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</si>
  <si>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</si>
  <si>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</si>
  <si>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</si>
  <si>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</si>
  <si>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</si>
  <si>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</si>
  <si>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</si>
  <si>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</si>
  <si>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</si>
  <si>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</si>
  <si>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</si>
  <si>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</si>
  <si>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</si>
  <si>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</si>
  <si>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</si>
  <si>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</si>
  <si>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</si>
  <si>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</si>
  <si>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</si>
  <si>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</si>
  <si>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</si>
  <si>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</si>
  <si>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</si>
  <si>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</si>
  <si>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</si>
  <si>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</si>
  <si>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</si>
  <si>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</si>
  <si>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</si>
  <si>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</si>
  <si>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</si>
  <si>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</si>
  <si>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</si>
  <si>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</si>
  <si>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</si>
  <si>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</si>
  <si>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</si>
  <si>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</si>
  <si>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</si>
  <si>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</si>
  <si>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</si>
  <si>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</si>
  <si>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</si>
  <si>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</si>
  <si>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</si>
  <si>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</si>
  <si>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</si>
  <si>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</si>
  <si>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</si>
  <si>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</si>
  <si>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</si>
  <si>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</si>
  <si>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</si>
  <si>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</si>
  <si>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</si>
  <si>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</si>
  <si>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</si>
  <si>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</si>
  <si>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</si>
  <si>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</si>
  <si>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</si>
  <si>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</si>
  <si>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</si>
  <si>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</si>
  <si>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</si>
  <si>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</si>
  <si>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</si>
  <si>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</si>
  <si>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</si>
  <si>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</si>
  <si>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</si>
  <si>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</si>
  <si>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</si>
  <si>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</si>
  <si>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</si>
  <si>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</si>
  <si>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</si>
  <si>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</si>
  <si>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</si>
  <si>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</si>
  <si>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</si>
  <si>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</si>
  <si>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</si>
  <si>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</si>
  <si>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</si>
  <si>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</si>
  <si>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</si>
  <si>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</si>
  <si>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</si>
  <si>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</si>
  <si>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</si>
  <si>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</si>
  <si>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</si>
  <si>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</si>
  <si>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</si>
  <si>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</si>
  <si>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</si>
  <si>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</si>
  <si>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</si>
  <si>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</si>
  <si>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</si>
  <si>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</si>
  <si>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</si>
  <si>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</si>
  <si>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</si>
  <si>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</si>
  <si>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</si>
  <si>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</si>
  <si>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</si>
  <si>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</si>
  <si>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</si>
  <si>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</si>
  <si>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</si>
  <si>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</si>
  <si>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</si>
  <si>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</si>
  <si>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</si>
  <si>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</si>
  <si>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</si>
  <si>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</si>
  <si>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</si>
  <si>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</si>
  <si>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</si>
  <si>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</si>
  <si>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</si>
  <si>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</si>
  <si>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</si>
  <si>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</si>
  <si>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</si>
  <si>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</si>
  <si>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</si>
  <si>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</si>
  <si>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</si>
  <si>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</si>
  <si>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</si>
  <si>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</si>
  <si>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</si>
  <si>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</si>
  <si>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</si>
  <si>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</si>
  <si>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</si>
  <si>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</si>
  <si>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</si>
  <si>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</si>
  <si>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</si>
  <si>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</si>
  <si>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</si>
  <si>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</si>
  <si>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</si>
  <si>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</si>
  <si>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</si>
  <si>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</si>
  <si>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</si>
  <si>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</si>
  <si>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</si>
  <si>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</si>
  <si>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</si>
  <si>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</si>
  <si>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</si>
  <si>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</si>
  <si>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</si>
  <si>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</si>
  <si>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</si>
  <si>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</si>
  <si>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</si>
  <si>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</si>
  <si>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</si>
  <si>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</si>
  <si>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</si>
  <si>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</si>
  <si>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</si>
  <si>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</si>
  <si>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</si>
  <si>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</si>
  <si>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</si>
  <si>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</si>
  <si>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</si>
  <si>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</si>
  <si>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</si>
  <si>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</si>
  <si>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</si>
  <si>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</si>
  <si>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</si>
  <si>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</si>
  <si>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</si>
  <si>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</si>
  <si>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</si>
  <si>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</si>
  <si>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</si>
  <si>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</si>
  <si>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</si>
  <si>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</si>
  <si>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</si>
  <si>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</si>
  <si>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</si>
  <si>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</si>
  <si>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</si>
  <si>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</si>
  <si>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</si>
  <si>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</si>
  <si>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</si>
  <si>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</si>
  <si>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</si>
  <si>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</si>
  <si>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</si>
  <si>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</si>
  <si>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</si>
  <si>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</si>
  <si>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</si>
  <si>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</si>
  <si>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</si>
  <si>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</si>
  <si>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</si>
  <si>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</si>
  <si>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</si>
  <si>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</si>
  <si>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</si>
  <si>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</si>
  <si>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</si>
  <si>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</si>
  <si>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</si>
  <si>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</si>
  <si>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</si>
  <si>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</si>
  <si>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</si>
  <si>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</si>
  <si>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</si>
  <si>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</si>
  <si>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</si>
  <si>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</si>
  <si>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</si>
  <si>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</si>
  <si>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</si>
  <si>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</si>
  <si>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</si>
  <si>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</si>
  <si>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</si>
  <si>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</si>
  <si>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</si>
  <si>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</si>
  <si>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</si>
  <si>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</si>
  <si>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</si>
  <si>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</si>
  <si>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</si>
  <si>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</si>
  <si>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</si>
  <si>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</si>
  <si>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</si>
  <si>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</si>
  <si>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</si>
  <si>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</si>
  <si>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</si>
  <si>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</si>
  <si>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</si>
  <si>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</si>
  <si>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</si>
  <si>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</si>
  <si>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</si>
  <si>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</si>
  <si>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</si>
  <si>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</si>
  <si>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</si>
  <si>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</si>
  <si>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</si>
  <si>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</si>
  <si>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</si>
  <si>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</si>
  <si>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</si>
  <si>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</si>
  <si>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</si>
  <si>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</si>
  <si>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</si>
  <si>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</si>
  <si>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</si>
  <si>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</si>
  <si>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</si>
  <si>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</si>
  <si>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</si>
  <si>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</si>
  <si>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</si>
  <si>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</si>
  <si>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</si>
  <si>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</si>
  <si>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</si>
  <si>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</si>
  <si>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</si>
  <si>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</si>
  <si>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</si>
  <si>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</si>
  <si>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</si>
  <si>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</si>
  <si>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</si>
  <si>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</si>
  <si>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</si>
  <si>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</si>
  <si>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</si>
  <si>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</si>
  <si>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</si>
  <si>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</si>
  <si>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</si>
  <si>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</si>
  <si>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</si>
  <si>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</si>
  <si>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</si>
  <si>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</si>
  <si>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</si>
  <si>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</si>
  <si>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</si>
  <si>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</si>
  <si>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</si>
  <si>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</si>
  <si>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</si>
  <si>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</si>
  <si>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</si>
  <si>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</si>
  <si>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</si>
  <si>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</si>
  <si>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</si>
  <si>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</si>
  <si>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</si>
  <si>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</si>
  <si>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</si>
  <si>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</si>
  <si>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</si>
  <si>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</si>
  <si>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</si>
  <si>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</si>
  <si>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</si>
  <si>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</si>
  <si>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</si>
  <si>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</si>
  <si>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</si>
  <si>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</si>
  <si>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</si>
  <si>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</si>
  <si>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</si>
  <si>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</si>
  <si>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</si>
  <si>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</si>
  <si>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</si>
  <si>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</si>
  <si>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</si>
  <si>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</si>
  <si>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</si>
  <si>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</si>
  <si>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</si>
  <si>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</si>
  <si>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</si>
  <si>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</si>
  <si>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</si>
  <si>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</si>
  <si>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</si>
  <si>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</si>
  <si>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</si>
  <si>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</si>
  <si>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</si>
  <si>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</si>
  <si>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</si>
  <si>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</si>
  <si>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</si>
  <si>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</si>
  <si>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</si>
  <si>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</si>
  <si>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</si>
  <si>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</si>
  <si>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</si>
  <si>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</si>
  <si>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</si>
  <si>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</si>
  <si>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</si>
  <si>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</si>
  <si>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</si>
  <si>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</si>
  <si>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</si>
  <si>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</si>
  <si>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</si>
  <si>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</si>
  <si>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</si>
  <si>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</si>
  <si>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</si>
  <si>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</si>
  <si>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</si>
  <si>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</si>
  <si>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</si>
  <si>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</si>
  <si>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</si>
  <si>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</si>
  <si>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</si>
  <si>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</si>
  <si>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</si>
  <si>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</si>
  <si>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</si>
  <si>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</si>
  <si>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</si>
  <si>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</si>
  <si>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</si>
  <si>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</si>
  <si>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</si>
  <si>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</si>
  <si>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</si>
  <si>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</si>
  <si>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</si>
  <si>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</si>
  <si>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</si>
  <si>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</si>
  <si>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</si>
  <si>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</si>
  <si>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</si>
  <si>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</si>
  <si>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</si>
  <si>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</si>
  <si>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</si>
  <si>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</si>
  <si>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</si>
  <si>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</si>
  <si>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</si>
  <si>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</si>
  <si>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</si>
  <si>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</si>
  <si>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</si>
  <si>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</si>
  <si>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</si>
  <si>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</si>
  <si>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</si>
  <si>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</si>
  <si>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</si>
  <si>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</si>
  <si>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</si>
  <si>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</si>
  <si>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</si>
  <si>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</si>
  <si>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</si>
  <si>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</si>
  <si>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</si>
  <si>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</si>
  <si>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</si>
  <si>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</si>
  <si>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</si>
  <si>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</si>
  <si>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</si>
  <si>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</si>
  <si>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</si>
  <si>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</si>
  <si>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</si>
  <si>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</si>
  <si>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</si>
  <si>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</si>
  <si>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</si>
  <si>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</si>
  <si>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</si>
  <si>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</si>
  <si>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</si>
  <si>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</si>
  <si>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</si>
  <si>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</si>
  <si>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</si>
  <si>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</si>
  <si>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</si>
  <si>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</si>
  <si>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</si>
  <si>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</si>
  <si>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</si>
  <si>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</si>
  <si>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</si>
  <si>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</si>
  <si>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</si>
  <si>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</si>
  <si>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</si>
  <si>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</si>
  <si>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</si>
  <si>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</si>
  <si>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</si>
  <si>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</si>
  <si>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</si>
  <si>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</si>
  <si>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</si>
  <si>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</si>
  <si>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</si>
  <si>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</si>
  <si>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</si>
  <si>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</si>
  <si>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</si>
  <si>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</si>
  <si>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</si>
  <si>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</si>
  <si>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</si>
  <si>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</si>
  <si>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</si>
  <si>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</si>
  <si>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</si>
  <si>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</si>
  <si>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</si>
  <si>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</si>
  <si>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</si>
  <si>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</si>
  <si>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</si>
  <si>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</si>
  <si>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</si>
  <si>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</si>
  <si>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</si>
  <si>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</si>
  <si>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</si>
  <si>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</si>
  <si>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</si>
  <si>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</si>
  <si>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</si>
  <si>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</si>
  <si>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</si>
  <si>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</si>
  <si>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</si>
  <si>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</si>
  <si>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</si>
  <si>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</si>
  <si>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</si>
  <si>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</si>
  <si>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</si>
  <si>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</si>
  <si>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</si>
  <si>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</si>
  <si>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</si>
  <si>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</si>
  <si>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</si>
  <si>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</si>
  <si>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</si>
  <si>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</si>
  <si>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</si>
  <si>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</si>
  <si>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</si>
  <si>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</si>
  <si>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</si>
  <si>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</si>
  <si>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</si>
  <si>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</si>
  <si>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</si>
  <si>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</si>
  <si>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</si>
  <si>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</si>
  <si>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</si>
  <si>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</si>
  <si>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</si>
  <si>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</si>
  <si>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</si>
  <si>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</si>
  <si>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</si>
  <si>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</si>
  <si>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</si>
  <si>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</si>
  <si>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</si>
  <si>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</si>
  <si>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</si>
  <si>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</si>
  <si>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</si>
  <si>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</si>
  <si>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</si>
  <si>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</si>
  <si>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</si>
  <si>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</si>
  <si>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</si>
  <si>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</si>
  <si>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</si>
  <si>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</si>
  <si>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</si>
  <si>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</si>
  <si>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</si>
  <si>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</si>
  <si>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</si>
  <si>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</si>
  <si>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</si>
  <si>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</si>
  <si>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</si>
  <si>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</si>
  <si>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</si>
  <si>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</si>
  <si>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</si>
  <si>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</si>
  <si>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</si>
  <si>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</si>
  <si>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</si>
  <si>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</si>
  <si>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</si>
  <si>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</si>
  <si>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</si>
  <si>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</si>
  <si>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</si>
  <si>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</si>
  <si>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</si>
  <si>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</si>
  <si>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</si>
  <si>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</si>
  <si>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</si>
  <si>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</si>
  <si>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</si>
  <si>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</si>
  <si>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</si>
  <si>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</si>
  <si>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</si>
  <si>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</si>
  <si>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</si>
  <si>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</si>
  <si>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</si>
  <si>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</si>
  <si>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</si>
  <si>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</si>
  <si>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</si>
  <si>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</si>
  <si>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</si>
  <si>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</si>
  <si>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</si>
  <si>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</si>
  <si>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</si>
  <si>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</si>
  <si>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</si>
  <si>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</si>
  <si>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</si>
  <si>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</si>
  <si>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</si>
  <si>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</si>
  <si>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</si>
  <si>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</si>
  <si>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</si>
  <si>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</si>
  <si>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</si>
  <si>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</si>
  <si>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</si>
  <si>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</si>
  <si>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</si>
  <si>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</si>
  <si>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</si>
  <si>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</si>
  <si>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</si>
  <si>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</si>
  <si>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</si>
  <si>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</si>
  <si>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</si>
  <si>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</si>
  <si>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</si>
  <si>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</si>
  <si>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</si>
  <si>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</si>
  <si>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</si>
  <si>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</si>
  <si>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</si>
  <si>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</si>
  <si>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</si>
  <si>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</si>
  <si>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</si>
  <si>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</si>
  <si>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</si>
  <si>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</si>
  <si>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</si>
  <si>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</si>
  <si>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</si>
  <si>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</si>
  <si>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</si>
  <si>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</si>
  <si>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</si>
  <si>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</si>
  <si>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</si>
  <si>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</si>
  <si>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</si>
  <si>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</si>
  <si>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</si>
  <si>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</si>
  <si>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</si>
  <si>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</si>
  <si>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</si>
  <si>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</si>
  <si>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</si>
  <si>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</si>
  <si>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</si>
  <si>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</si>
  <si>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</si>
  <si>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</si>
  <si>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</si>
  <si>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</si>
  <si>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</si>
  <si>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</si>
  <si>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</si>
  <si>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</si>
  <si>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</si>
  <si>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</si>
  <si>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</si>
  <si>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</si>
  <si>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</si>
  <si>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</si>
  <si>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</si>
  <si>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</si>
  <si>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</si>
  <si>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</si>
  <si>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</si>
  <si>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</si>
  <si>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</si>
  <si>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</si>
  <si>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</si>
  <si>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</si>
  <si>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</si>
  <si>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</si>
  <si>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</si>
  <si>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</si>
  <si>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</si>
  <si>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</si>
  <si>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</si>
  <si>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</si>
  <si>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</si>
  <si>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</si>
  <si>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</si>
  <si>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</si>
  <si>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</si>
  <si>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</si>
  <si>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</si>
  <si>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</si>
  <si>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</si>
  <si>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</si>
  <si>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</si>
  <si>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</si>
  <si>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</si>
  <si>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</si>
  <si>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</si>
  <si>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</si>
  <si>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</si>
  <si>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</si>
  <si>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</si>
  <si>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</si>
  <si>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</si>
  <si>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</si>
  <si>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</si>
  <si>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</si>
  <si>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</si>
  <si>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</si>
  <si>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</si>
  <si>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</si>
  <si>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</si>
  <si>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</si>
  <si>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</si>
  <si>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</si>
  <si>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</si>
  <si>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</si>
  <si>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</si>
  <si>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</si>
  <si>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</si>
  <si>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</si>
  <si>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</si>
  <si>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</si>
  <si>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</si>
  <si>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</si>
  <si>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</si>
  <si>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</si>
  <si>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</si>
  <si>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</si>
  <si>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</si>
  <si>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</si>
  <si>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</si>
  <si>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</si>
  <si>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</si>
  <si>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</si>
  <si>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</si>
  <si>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</si>
  <si>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</si>
  <si>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</si>
  <si>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</si>
  <si>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</si>
  <si>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</si>
  <si>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</si>
  <si>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</si>
  <si>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</si>
  <si>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</si>
  <si>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</si>
  <si>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</si>
  <si>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</si>
  <si>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</si>
  <si>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</si>
  <si>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</si>
  <si>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</si>
  <si>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</si>
  <si>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</si>
  <si>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</si>
  <si>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</si>
  <si>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</si>
  <si>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</si>
  <si>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</si>
  <si>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</si>
  <si>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</si>
  <si>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</si>
  <si>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</si>
  <si>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</si>
  <si>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</si>
  <si>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</si>
  <si>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</si>
  <si>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</si>
  <si>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</si>
  <si>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</si>
  <si>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</si>
  <si>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</si>
  <si>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</si>
  <si>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</si>
  <si>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</si>
  <si>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</si>
  <si>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</si>
  <si>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</si>
  <si>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</si>
  <si>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</si>
  <si>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</si>
  <si>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</si>
  <si>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</si>
  <si>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</si>
  <si>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</si>
  <si>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</si>
  <si>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</si>
  <si>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</si>
  <si>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</si>
  <si>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</si>
  <si>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</si>
  <si>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</si>
  <si>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</si>
  <si>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</si>
  <si>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</si>
  <si>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</si>
  <si>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</si>
  <si>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</si>
  <si>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</si>
  <si>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</si>
  <si>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</si>
  <si>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</si>
  <si>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</si>
  <si>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</si>
  <si>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</si>
  <si>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</si>
  <si>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</si>
  <si>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</si>
  <si>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</si>
  <si>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</si>
  <si>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</si>
  <si>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</si>
  <si>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</si>
  <si>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</si>
  <si>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</si>
  <si>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</si>
  <si>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</si>
  <si>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</si>
  <si>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</si>
  <si>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</si>
  <si>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</si>
  <si>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</si>
  <si>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</si>
  <si>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</si>
  <si>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</si>
  <si>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</si>
  <si>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</si>
  <si>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</si>
  <si>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</si>
  <si>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</si>
  <si>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</si>
  <si>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</si>
  <si>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</si>
  <si>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</si>
  <si>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</si>
  <si>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</si>
  <si>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</si>
  <si>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</si>
  <si>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</si>
  <si>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</si>
  <si>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</si>
  <si>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</si>
  <si>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</si>
  <si>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</si>
  <si>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</si>
  <si>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</si>
  <si>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</si>
  <si>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</si>
  <si>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</si>
  <si>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</si>
  <si>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</si>
  <si>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</si>
  <si>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</si>
  <si>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</si>
  <si>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</si>
  <si>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</si>
  <si>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</si>
  <si>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</si>
  <si>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</si>
  <si>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</si>
  <si>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</si>
  <si>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</si>
  <si>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</si>
  <si>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</si>
  <si>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</si>
  <si>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</si>
  <si>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</si>
  <si>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</si>
  <si>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</si>
  <si>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</si>
  <si>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</si>
  <si>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</si>
  <si>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</si>
  <si>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</si>
  <si>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</si>
  <si>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</si>
  <si>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</si>
  <si>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</si>
  <si>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</si>
  <si>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</si>
  <si>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</si>
  <si>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</si>
  <si>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</si>
  <si>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</si>
  <si>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</si>
  <si>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</si>
  <si>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</si>
  <si>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</si>
  <si>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</si>
  <si>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</si>
  <si>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</si>
  <si>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</si>
  <si>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</si>
  <si>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</si>
  <si>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</si>
  <si>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</si>
  <si>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</si>
  <si>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</si>
  <si>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</si>
  <si>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</si>
  <si>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</si>
  <si>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</si>
  <si>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</si>
  <si>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</si>
  <si>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</si>
  <si>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</si>
  <si>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</si>
  <si>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</si>
  <si>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</si>
  <si>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</si>
  <si>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</si>
  <si>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</si>
  <si>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</si>
  <si>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</si>
  <si>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</si>
  <si>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</si>
  <si>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</si>
  <si>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</si>
  <si>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</si>
  <si>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</si>
  <si>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</si>
  <si>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</si>
  <si>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</si>
  <si>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</si>
  <si>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</si>
  <si>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</si>
  <si>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</si>
  <si>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</si>
  <si>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</si>
  <si>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</si>
  <si>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</si>
  <si>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</si>
  <si>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</si>
  <si>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</si>
  <si>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</si>
  <si>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</si>
  <si>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</si>
  <si>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</si>
  <si>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</si>
  <si>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</si>
  <si>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</si>
  <si>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</si>
  <si>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</si>
  <si>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</si>
  <si>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</si>
  <si>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</si>
  <si>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</si>
  <si>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</si>
  <si>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</si>
  <si>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</si>
  <si>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</si>
  <si>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</si>
  <si>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</si>
  <si>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</si>
  <si>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</si>
  <si>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</si>
  <si>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</si>
  <si>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</si>
  <si>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</si>
  <si>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</si>
  <si>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</si>
  <si>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</si>
  <si>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</si>
  <si>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</si>
  <si>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</si>
  <si>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</si>
  <si>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</si>
  <si>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</si>
  <si>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</si>
  <si>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</si>
  <si>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</si>
  <si>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</si>
  <si>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</si>
  <si>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</si>
  <si>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</si>
  <si>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</si>
  <si>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</si>
  <si>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</si>
  <si>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</si>
  <si>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</si>
  <si>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</si>
  <si>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</si>
  <si>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</si>
  <si>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</si>
  <si>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</si>
  <si>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</si>
  <si>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</si>
  <si>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</si>
  <si>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</si>
  <si>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</si>
  <si>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</si>
  <si>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</si>
  <si>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</si>
  <si>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</si>
  <si>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</si>
  <si>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</si>
  <si>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</si>
  <si>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</si>
  <si>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</si>
  <si>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</si>
  <si>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</si>
  <si>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</si>
  <si>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</si>
  <si>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</si>
  <si>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</si>
  <si>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</si>
  <si>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</si>
  <si>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</si>
  <si>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</si>
  <si>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</si>
  <si>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</si>
  <si>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</si>
  <si>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</si>
  <si>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</si>
  <si>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</si>
  <si>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</si>
  <si>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</si>
  <si>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</si>
  <si>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</si>
  <si>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</si>
  <si>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</si>
  <si>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</si>
  <si>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</si>
  <si>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</si>
  <si>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</si>
  <si>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</si>
  <si>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</si>
  <si>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</si>
  <si>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</si>
  <si>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</si>
  <si>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</si>
  <si>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</si>
  <si>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</si>
  <si>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</si>
  <si>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</si>
  <si>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</si>
  <si>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</si>
  <si>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</si>
  <si>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</si>
  <si>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</si>
  <si>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</si>
  <si>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</si>
  <si>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</si>
  <si>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</si>
  <si>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</si>
  <si>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</si>
  <si>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</si>
  <si>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</si>
  <si>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</si>
  <si>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</si>
  <si>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</si>
  <si>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</si>
  <si>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</si>
  <si>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</si>
  <si>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</si>
  <si>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</si>
  <si>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</si>
  <si>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</si>
  <si>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</si>
  <si>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</si>
  <si>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</si>
  <si>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</si>
  <si>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</si>
  <si>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</si>
  <si>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</si>
  <si>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</si>
  <si>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</si>
  <si>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</si>
  <si>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</si>
  <si>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</si>
  <si>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</si>
  <si>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</si>
  <si>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</si>
  <si>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</si>
  <si>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</si>
  <si>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</si>
  <si>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</si>
  <si>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</si>
  <si>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</si>
  <si>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</si>
  <si>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</si>
  <si>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</si>
  <si>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</si>
  <si>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</si>
  <si>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</si>
  <si>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</si>
  <si>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</si>
  <si>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</si>
  <si>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</si>
  <si>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</si>
  <si>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</si>
  <si>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</si>
  <si>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</si>
  <si>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</si>
  <si>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</si>
  <si>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</si>
  <si>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</si>
  <si>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</si>
  <si>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</si>
  <si>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</si>
  <si>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</si>
  <si>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</si>
  <si>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</si>
  <si>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</si>
  <si>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</si>
  <si>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</si>
  <si>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</si>
  <si>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</si>
  <si>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</si>
  <si>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</si>
  <si>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</si>
  <si>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</si>
  <si>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</si>
  <si>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</si>
  <si>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</si>
  <si>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</si>
  <si>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</si>
  <si>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</si>
  <si>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</si>
  <si>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</si>
  <si>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</si>
  <si>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</si>
  <si>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</si>
  <si>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</si>
  <si>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</si>
  <si>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</si>
  <si>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</si>
  <si>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</si>
  <si>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</si>
  <si>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</si>
  <si>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</si>
  <si>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</si>
  <si>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</si>
  <si>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</si>
  <si>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</si>
  <si>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</si>
  <si>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</si>
  <si>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</si>
  <si>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</si>
  <si>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</si>
  <si>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</si>
  <si>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</si>
  <si>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</si>
  <si>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</si>
  <si>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</si>
  <si>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</si>
  <si>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</si>
  <si>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</si>
  <si>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</si>
  <si>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</si>
  <si>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</si>
  <si>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</si>
  <si>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</si>
  <si>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</si>
  <si>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</si>
  <si>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</si>
  <si>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</si>
  <si>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</si>
  <si>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</si>
  <si>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</si>
  <si>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</si>
  <si>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</si>
  <si>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</si>
  <si>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</si>
  <si>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</si>
  <si>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</si>
  <si>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</si>
  <si>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</si>
  <si>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</si>
  <si>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</si>
  <si>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</si>
  <si>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</si>
  <si>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</si>
  <si>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</si>
  <si>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</si>
  <si>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</si>
  <si>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</si>
  <si>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</si>
  <si>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</si>
  <si>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</si>
  <si>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</si>
  <si>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</si>
  <si>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</si>
  <si>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</si>
  <si>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</si>
  <si>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</si>
  <si>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</si>
  <si>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</si>
  <si>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</si>
  <si>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</si>
  <si>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</si>
  <si>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</si>
  <si>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</si>
  <si>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</si>
  <si>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</si>
  <si>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</si>
  <si>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</si>
  <si>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</si>
  <si>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</si>
  <si>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</si>
  <si>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</si>
  <si>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</si>
  <si>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</si>
  <si>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</si>
  <si>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</si>
  <si>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</si>
  <si>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</si>
  <si>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</si>
  <si>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</si>
  <si>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</si>
  <si>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</si>
  <si>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</si>
  <si>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</si>
  <si>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</si>
  <si>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</si>
  <si>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</si>
  <si>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</si>
  <si>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</si>
  <si>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</si>
  <si>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</si>
  <si>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</si>
  <si>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</si>
  <si>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</si>
  <si>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</si>
  <si>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</si>
  <si>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</si>
  <si>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</si>
  <si>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</si>
  <si>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</si>
  <si>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</si>
  <si>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</si>
  <si>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</si>
  <si>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</si>
  <si>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</si>
  <si>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</si>
  <si>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</si>
  <si>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</si>
  <si>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</si>
  <si>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</si>
  <si>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</si>
  <si>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</si>
  <si>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</si>
  <si>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</si>
  <si>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</si>
  <si>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</si>
  <si>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</si>
  <si>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</si>
  <si>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</si>
  <si>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</si>
  <si>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</si>
  <si>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</si>
  <si>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</si>
  <si>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</si>
  <si>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</si>
  <si>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</si>
  <si>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</si>
  <si>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</si>
  <si>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</si>
  <si>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</si>
  <si>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</si>
  <si>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</si>
  <si>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</si>
  <si>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</si>
  <si>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</si>
  <si>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</si>
  <si>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</si>
  <si>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</si>
  <si>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</si>
  <si>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</si>
  <si>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</si>
  <si>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</si>
  <si>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</si>
  <si>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</si>
  <si>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</si>
  <si>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</si>
  <si>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</si>
  <si>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</si>
  <si>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</si>
  <si>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</si>
  <si>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</si>
  <si>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</si>
  <si>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</si>
  <si>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</si>
  <si>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</si>
  <si>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</si>
  <si>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</si>
  <si>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</si>
  <si>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</si>
  <si>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</si>
  <si>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</si>
  <si>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</si>
  <si>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</si>
  <si>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</si>
  <si>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</si>
  <si>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</si>
  <si>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</si>
  <si>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</si>
  <si>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</si>
  <si>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</si>
  <si>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</si>
  <si>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</si>
  <si>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</si>
  <si>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</si>
  <si>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</si>
  <si>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</si>
  <si>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</si>
  <si>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</si>
  <si>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</si>
  <si>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</si>
  <si>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</si>
  <si>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</si>
  <si>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</si>
  <si>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</si>
  <si>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</si>
  <si>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</si>
  <si>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</si>
  <si>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</si>
  <si>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</si>
  <si>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</si>
  <si>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</si>
  <si>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</si>
  <si>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</si>
  <si>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</si>
  <si>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</si>
  <si>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</si>
  <si>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</si>
  <si>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</si>
  <si>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</si>
  <si>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</si>
  <si>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</si>
  <si>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</si>
  <si>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</si>
  <si>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</si>
  <si>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</si>
  <si>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</si>
  <si>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</si>
  <si>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</si>
  <si>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</si>
  <si>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</si>
  <si>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</si>
  <si>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</si>
  <si>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</si>
  <si>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</si>
  <si>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</si>
  <si>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</si>
  <si>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</si>
  <si>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</si>
  <si>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</si>
  <si>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</si>
  <si>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</si>
  <si>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</si>
  <si>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</si>
  <si>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</si>
  <si>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</si>
  <si>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</si>
  <si>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</si>
  <si>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</si>
  <si>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</si>
  <si>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</si>
  <si>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</si>
  <si>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</si>
  <si>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</si>
  <si>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</si>
  <si>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</si>
  <si>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</si>
  <si>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</si>
  <si>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</si>
  <si>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</si>
  <si>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</si>
  <si>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</si>
  <si>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</si>
  <si>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</si>
  <si>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</si>
  <si>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</si>
  <si>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</si>
  <si>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</si>
  <si>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</si>
  <si>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</si>
  <si>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</si>
  <si>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</si>
  <si>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</si>
  <si>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</si>
  <si>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</si>
  <si>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</si>
  <si>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</si>
  <si>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</si>
  <si>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</si>
  <si>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</si>
  <si>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</si>
  <si>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</si>
  <si>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</si>
  <si>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</si>
  <si>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</si>
  <si>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</si>
  <si>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</si>
  <si>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</si>
  <si>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</si>
  <si>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</si>
  <si>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</si>
  <si>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</si>
  <si>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</si>
  <si>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</si>
  <si>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</si>
  <si>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</si>
  <si>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</si>
  <si>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</si>
  <si>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</si>
  <si>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</si>
  <si>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</si>
  <si>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</si>
  <si>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</si>
  <si>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</si>
  <si>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</si>
  <si>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</si>
  <si>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</si>
  <si>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</si>
  <si>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</si>
  <si>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</si>
  <si>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</si>
  <si>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</si>
  <si>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</si>
  <si>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</si>
  <si>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</si>
  <si>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</si>
  <si>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</si>
  <si>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</si>
  <si>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</si>
  <si>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</si>
  <si>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</si>
  <si>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</si>
  <si>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</si>
  <si>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</si>
  <si>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</si>
  <si>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</si>
  <si>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</si>
  <si>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</si>
  <si>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</si>
  <si>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</si>
  <si>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</si>
  <si>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</si>
  <si>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</si>
  <si>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</si>
  <si>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</si>
  <si>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</si>
  <si>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</si>
  <si>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</si>
  <si>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</si>
  <si>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</si>
  <si>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</si>
  <si>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</si>
  <si>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</si>
  <si>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</si>
  <si>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</si>
  <si>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</si>
  <si>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</si>
  <si>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</si>
  <si>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</si>
  <si>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</si>
  <si>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</si>
  <si>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</si>
  <si>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</si>
  <si>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</si>
  <si>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</si>
  <si>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</si>
  <si>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</si>
  <si>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</si>
  <si>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</si>
  <si>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</si>
  <si>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</si>
  <si>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</si>
  <si>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</si>
  <si>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</si>
  <si>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</si>
  <si>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</si>
  <si>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</si>
  <si>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</si>
  <si>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</si>
  <si>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</si>
  <si>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</si>
  <si>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</si>
  <si>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</si>
  <si>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</si>
  <si>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</si>
  <si>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</si>
  <si>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</si>
  <si>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</si>
  <si>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</si>
  <si>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</si>
  <si>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</si>
  <si>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</si>
  <si>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</si>
  <si>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</si>
  <si>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</si>
  <si>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</si>
  <si>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</si>
  <si>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</si>
  <si>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</si>
  <si>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</si>
  <si>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</si>
  <si>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</si>
  <si>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</si>
  <si>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</si>
  <si>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</si>
  <si>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</si>
  <si>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</si>
  <si>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</si>
  <si>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</si>
  <si>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</si>
  <si>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</si>
  <si>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</si>
  <si>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</si>
  <si>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</si>
  <si>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</si>
  <si>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</si>
  <si>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</si>
  <si>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</si>
  <si>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</si>
  <si>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</si>
  <si>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</si>
  <si>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</si>
  <si>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</si>
  <si>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</si>
  <si>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</si>
  <si>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</si>
  <si>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</si>
  <si>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</si>
  <si>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</si>
  <si>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</si>
  <si>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</si>
  <si>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</si>
  <si>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</si>
  <si>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</si>
  <si>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</si>
  <si>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</si>
  <si>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</si>
  <si>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</si>
  <si>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</si>
  <si>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</si>
  <si>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</si>
  <si>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</si>
  <si>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</si>
  <si>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</si>
  <si>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</si>
  <si>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</si>
  <si>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</si>
  <si>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</si>
  <si>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</si>
  <si>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</si>
  <si>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</si>
  <si>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</si>
  <si>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</si>
  <si>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</si>
  <si>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</si>
  <si>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</si>
  <si>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</si>
  <si>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</si>
  <si>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</si>
  <si>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</si>
  <si>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</si>
  <si>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</si>
  <si>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</si>
  <si>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</si>
  <si>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</si>
  <si>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</si>
  <si>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</si>
  <si>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</si>
  <si>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</si>
  <si>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</si>
  <si>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</si>
  <si>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</si>
  <si>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</si>
  <si>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</si>
  <si>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</si>
  <si>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</si>
  <si>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</si>
  <si>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</si>
  <si>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</si>
  <si>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</si>
  <si>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</si>
  <si>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</si>
  <si>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</si>
  <si>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</si>
  <si>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</si>
  <si>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</si>
  <si>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</si>
  <si>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</si>
  <si>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</si>
  <si>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</si>
  <si>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</si>
  <si>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</si>
  <si>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</si>
  <si>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</si>
  <si>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</si>
  <si>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</si>
  <si>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</si>
  <si>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</si>
  <si>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</si>
  <si>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</si>
  <si>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</si>
  <si>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</si>
  <si>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</si>
  <si>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</si>
  <si>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</si>
  <si>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</si>
  <si>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</si>
  <si>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</si>
  <si>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</si>
  <si>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</si>
  <si>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</si>
  <si>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</si>
  <si>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</si>
  <si>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</si>
  <si>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</si>
  <si>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</si>
  <si>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</si>
  <si>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</si>
  <si>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</si>
  <si>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</si>
  <si>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</si>
  <si>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</si>
  <si>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</si>
  <si>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</si>
  <si>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</si>
  <si>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</si>
  <si>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</si>
  <si>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</si>
  <si>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</si>
  <si>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</si>
  <si>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</si>
  <si>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</si>
  <si>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</si>
  <si>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</si>
  <si>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</si>
  <si>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</si>
  <si>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</si>
  <si>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</si>
  <si>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</si>
  <si>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</si>
  <si>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</si>
  <si>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</si>
  <si>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</si>
  <si>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</si>
  <si>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</si>
  <si>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</si>
  <si>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</si>
  <si>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</si>
  <si>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</si>
  <si>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</si>
  <si>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</si>
  <si>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</si>
  <si>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</si>
  <si>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</si>
  <si>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</si>
  <si>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</si>
  <si>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</si>
  <si>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</si>
  <si>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</si>
  <si>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</si>
  <si>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</si>
  <si>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</si>
  <si>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</si>
  <si>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</si>
  <si>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</si>
  <si>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</si>
  <si>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</si>
  <si>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</si>
  <si>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</si>
  <si>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</si>
  <si>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</si>
  <si>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</si>
  <si>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</si>
  <si>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</si>
  <si>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</si>
  <si>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</si>
  <si>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</si>
  <si>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</si>
  <si>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</si>
  <si>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</si>
  <si>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</si>
  <si>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</si>
  <si>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</si>
  <si>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</si>
  <si>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</si>
  <si>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</si>
  <si>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</si>
  <si>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</si>
  <si>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</si>
  <si>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</si>
  <si>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</si>
  <si>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</si>
  <si>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</si>
  <si>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</si>
  <si>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</si>
  <si>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</si>
  <si>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</si>
  <si>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</si>
  <si>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</si>
  <si>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</si>
  <si>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</si>
  <si>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</si>
  <si>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</si>
  <si>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</si>
  <si>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</si>
  <si>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</si>
  <si>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</si>
  <si>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</si>
  <si>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</si>
  <si>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</si>
  <si>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</si>
  <si>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</si>
  <si>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</si>
  <si>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</si>
  <si>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</si>
  <si>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</si>
  <si>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</si>
  <si>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</si>
  <si>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</si>
  <si>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</si>
  <si>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</si>
  <si>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</si>
  <si>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</si>
  <si>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</si>
  <si>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</si>
  <si>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</si>
  <si>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</si>
  <si>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</si>
  <si>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</si>
  <si>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</si>
  <si>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</si>
  <si>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</si>
  <si>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</si>
  <si>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</si>
  <si>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</si>
  <si>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</si>
  <si>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</si>
  <si>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</si>
  <si>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</si>
  <si>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</si>
  <si>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</si>
  <si>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</si>
  <si>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</si>
  <si>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</si>
  <si>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</si>
  <si>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</si>
  <si>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</si>
  <si>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</si>
  <si>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</si>
  <si>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</si>
  <si>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</si>
  <si>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</si>
  <si>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</si>
  <si>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</si>
  <si>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</si>
  <si>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</si>
  <si>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</si>
  <si>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</si>
  <si>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</si>
  <si>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</si>
  <si>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</si>
  <si>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</si>
  <si>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</si>
  <si>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</si>
  <si>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</si>
  <si>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</si>
  <si>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</si>
  <si>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</si>
  <si>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</si>
  <si>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</si>
  <si>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</si>
  <si>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</si>
  <si>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</si>
  <si>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</si>
  <si>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</si>
  <si>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</si>
  <si>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</si>
  <si>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</si>
  <si>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</si>
  <si>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</si>
  <si>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</si>
  <si>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</si>
  <si>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</si>
  <si>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</si>
  <si>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</si>
  <si>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</si>
  <si>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</si>
  <si>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</si>
  <si>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</si>
  <si>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</si>
  <si>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</si>
  <si>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</si>
  <si>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</si>
  <si>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</si>
  <si>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</si>
  <si>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</si>
  <si>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</si>
  <si>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</si>
  <si>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</si>
  <si>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</si>
  <si>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</si>
  <si>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</si>
  <si>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</si>
  <si>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</si>
  <si>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</si>
  <si>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</si>
  <si>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</si>
  <si>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</si>
  <si>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</si>
  <si>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</si>
  <si>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</si>
  <si>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</si>
  <si>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</si>
  <si>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</si>
  <si>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</si>
  <si>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</si>
  <si>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</si>
  <si>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</si>
  <si>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</si>
  <si>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</si>
  <si>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</si>
  <si>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</si>
  <si>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</si>
  <si>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</si>
  <si>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</si>
  <si>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</si>
  <si>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</si>
  <si>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</si>
  <si>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</si>
  <si>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</si>
  <si>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</si>
  <si>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</si>
  <si>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</si>
  <si>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</si>
  <si>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</si>
  <si>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</si>
  <si>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</si>
  <si>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</si>
  <si>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</si>
  <si>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</si>
  <si>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</si>
  <si>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</si>
  <si>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</si>
  <si>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</si>
  <si>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</si>
  <si>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</si>
  <si>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</si>
  <si>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</si>
  <si>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</si>
  <si>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</si>
  <si>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</si>
  <si>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</si>
  <si>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</si>
  <si>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</si>
  <si>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</si>
  <si>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</si>
  <si>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</si>
  <si>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</si>
  <si>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</si>
  <si>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</si>
  <si>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</si>
  <si>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</si>
  <si>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</si>
  <si>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</si>
  <si>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</si>
  <si>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</si>
  <si>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</si>
  <si>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</si>
  <si>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</si>
  <si>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</si>
  <si>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</si>
  <si>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</si>
  <si>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</si>
  <si>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</si>
  <si>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</si>
  <si>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</si>
  <si>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</si>
  <si>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</si>
  <si>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</si>
  <si>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</si>
  <si>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</si>
  <si>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</si>
  <si>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</si>
  <si>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</si>
  <si>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</si>
  <si>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</si>
  <si>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</si>
  <si>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</si>
  <si>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</si>
  <si>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</si>
  <si>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</si>
  <si>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</si>
  <si>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</si>
  <si>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</si>
  <si>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</si>
  <si>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</si>
  <si>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</si>
  <si>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</si>
  <si>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</si>
  <si>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</si>
  <si>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</si>
  <si>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</si>
  <si>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</si>
  <si>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</si>
  <si>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</si>
  <si>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</si>
  <si>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</si>
  <si>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</si>
  <si>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</si>
  <si>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</si>
  <si>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</si>
  <si>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</si>
  <si>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</si>
  <si>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</si>
  <si>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</si>
  <si>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</si>
  <si>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</si>
  <si>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</si>
  <si>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</si>
  <si>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</si>
  <si>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</si>
  <si>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</si>
  <si>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</si>
  <si>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</si>
  <si>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</si>
  <si>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</si>
  <si>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</si>
  <si>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</si>
  <si>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</si>
  <si>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</si>
  <si>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</si>
  <si>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</si>
  <si>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</si>
  <si>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</si>
  <si>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</si>
  <si>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</si>
  <si>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</si>
  <si>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</si>
  <si>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</si>
  <si>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</si>
  <si>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</si>
  <si>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</si>
  <si>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</si>
  <si>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</si>
  <si>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</si>
  <si>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</si>
  <si>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</si>
  <si>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</si>
  <si>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</si>
  <si>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</si>
  <si>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</si>
  <si>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</si>
  <si>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</si>
  <si>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</si>
  <si>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</si>
  <si>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</si>
  <si>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</si>
  <si>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</si>
  <si>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</si>
  <si>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</si>
  <si>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</si>
  <si>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</si>
  <si>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</si>
  <si>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</si>
  <si>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</si>
  <si>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</si>
  <si>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</si>
  <si>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</si>
  <si>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</si>
  <si>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</si>
  <si>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</si>
  <si>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</si>
  <si>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</si>
  <si>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</si>
  <si>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</si>
  <si>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</si>
  <si>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</si>
  <si>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</si>
  <si>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</si>
  <si>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</si>
  <si>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</si>
  <si>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</si>
  <si>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</si>
  <si>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</si>
  <si>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</si>
  <si>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</si>
  <si>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</si>
  <si>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</si>
  <si>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</si>
  <si>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</si>
  <si>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</si>
  <si>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</si>
  <si>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</si>
  <si>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</si>
  <si>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</si>
  <si>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</si>
  <si>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</si>
  <si>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</si>
  <si>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</si>
  <si>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</si>
  <si>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</si>
  <si>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</si>
  <si>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</si>
  <si>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</si>
  <si>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</si>
  <si>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</si>
  <si>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</si>
  <si>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</si>
  <si>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</si>
  <si>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</si>
  <si>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</si>
  <si>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</si>
  <si>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</si>
  <si>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</si>
  <si>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</si>
  <si>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</si>
  <si>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</si>
  <si>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</si>
  <si>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</si>
  <si>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</si>
  <si>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</si>
  <si>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</si>
  <si>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</si>
  <si>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</si>
  <si>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</si>
  <si>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</si>
  <si>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</si>
  <si>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</si>
  <si>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</si>
  <si>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</si>
  <si>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</si>
  <si>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</si>
  <si>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</si>
  <si>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</si>
  <si>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</si>
  <si>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</si>
  <si>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</si>
  <si>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</si>
  <si>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</si>
  <si>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</si>
  <si>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</si>
  <si>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</si>
  <si>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</si>
  <si>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</si>
  <si>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</si>
  <si>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</si>
  <si>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</si>
  <si>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</si>
  <si>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</si>
  <si>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</si>
  <si>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</si>
  <si>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</si>
  <si>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</si>
  <si>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</si>
  <si>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</si>
  <si>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</si>
  <si>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</si>
  <si>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</si>
  <si>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</si>
  <si>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</si>
  <si>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</si>
  <si>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</si>
  <si>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</si>
  <si>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</si>
  <si>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</si>
  <si>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</si>
  <si>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</si>
  <si>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</si>
  <si>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</si>
  <si>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</si>
  <si>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</si>
  <si>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</si>
  <si>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</si>
  <si>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</si>
  <si>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</si>
  <si>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</si>
  <si>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</si>
  <si>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</si>
  <si>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</si>
  <si>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</si>
  <si>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</si>
  <si>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</si>
  <si>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</si>
  <si>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</si>
  <si>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</si>
  <si>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</si>
  <si>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</si>
  <si>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</si>
  <si>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</si>
  <si>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</si>
  <si>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</si>
  <si>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</si>
  <si>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</si>
  <si>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</si>
  <si>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</si>
  <si>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</si>
  <si>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</si>
  <si>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</si>
  <si>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</si>
  <si>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</si>
  <si>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</si>
  <si>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</si>
  <si>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</si>
  <si>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</si>
  <si>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</si>
  <si>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</si>
  <si>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</si>
  <si>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</si>
  <si>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</si>
  <si>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</si>
  <si>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</si>
  <si>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</si>
  <si>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</si>
  <si>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</si>
  <si>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</si>
  <si>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</si>
  <si>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</si>
  <si>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</si>
  <si>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</si>
  <si>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</si>
  <si>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</si>
  <si>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</si>
  <si>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</si>
  <si>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</si>
  <si>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</si>
  <si>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</si>
  <si>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</si>
  <si>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</si>
  <si>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</si>
  <si>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</si>
  <si>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</si>
  <si>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</si>
  <si>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</si>
  <si>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</si>
  <si>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</si>
  <si>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</si>
  <si>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</si>
  <si>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</si>
  <si>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</si>
  <si>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</si>
  <si>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</si>
  <si>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</si>
  <si>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</si>
  <si>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</si>
  <si>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</si>
  <si>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</si>
  <si>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</si>
  <si>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</si>
  <si>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</si>
  <si>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</si>
  <si>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</si>
  <si>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</si>
  <si>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</si>
  <si>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</si>
  <si>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</si>
  <si>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</si>
  <si>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</si>
  <si>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</si>
  <si>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</si>
  <si>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</si>
  <si>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</si>
  <si>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</si>
  <si>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</si>
  <si>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</si>
  <si>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</si>
  <si>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</si>
  <si>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</si>
  <si>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</si>
  <si>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</si>
  <si>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</si>
  <si>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</si>
  <si>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</si>
  <si>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</si>
  <si>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</si>
  <si>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</si>
  <si>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</si>
  <si>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</si>
  <si>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</si>
  <si>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</si>
  <si>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</si>
  <si>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</si>
  <si>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</si>
  <si>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</si>
  <si>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</si>
  <si>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</si>
  <si>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</si>
  <si>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</si>
  <si>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</si>
  <si>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</si>
  <si>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</si>
  <si>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</si>
  <si>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</si>
  <si>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</si>
  <si>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</si>
  <si>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</si>
  <si>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</si>
  <si>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</si>
  <si>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</si>
  <si>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</si>
  <si>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</si>
  <si>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</si>
  <si>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</si>
  <si>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</si>
  <si>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</si>
  <si>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</si>
  <si>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</si>
  <si>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</si>
  <si>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</si>
  <si>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</si>
  <si>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</si>
  <si>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</si>
  <si>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</si>
  <si>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</si>
  <si>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</si>
  <si>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</si>
  <si>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</si>
  <si>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</si>
  <si>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</si>
  <si>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</si>
  <si>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</si>
  <si>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</si>
  <si>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</si>
  <si>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</si>
  <si>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</si>
  <si>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</si>
  <si>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</si>
  <si>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</si>
  <si>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</si>
  <si>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</si>
  <si>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</si>
  <si>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</si>
  <si>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</si>
  <si>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</si>
  <si>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</si>
  <si>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</si>
  <si>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</si>
  <si>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</si>
  <si>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</si>
  <si>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</si>
  <si>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</si>
  <si>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</si>
  <si>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</si>
  <si>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</si>
  <si>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</si>
  <si>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</si>
  <si>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</si>
  <si>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</si>
  <si>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</si>
  <si>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</si>
  <si>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</si>
  <si>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</si>
  <si>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</si>
  <si>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</si>
  <si>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</si>
  <si>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</si>
  <si>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</si>
  <si>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</si>
  <si>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</si>
  <si>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</si>
  <si>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</si>
  <si>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</si>
  <si>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</si>
  <si>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</si>
  <si>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</si>
  <si>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</si>
  <si>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</si>
  <si>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</si>
  <si>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</si>
  <si>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</si>
  <si>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</si>
  <si>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</si>
  <si>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</si>
  <si>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</si>
  <si>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</si>
  <si>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</si>
  <si>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</si>
  <si>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</si>
  <si>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</si>
  <si>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</si>
  <si>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</si>
  <si>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</si>
  <si>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</si>
  <si>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</si>
  <si>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</si>
  <si>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</si>
  <si>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</si>
  <si>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</si>
  <si>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</si>
  <si>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</si>
  <si>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</si>
  <si>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</si>
  <si>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</si>
  <si>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</si>
  <si>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</si>
  <si>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</si>
  <si>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</si>
  <si>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</si>
  <si>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</si>
  <si>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</si>
  <si>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</si>
  <si>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</si>
  <si>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</si>
  <si>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</si>
  <si>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</si>
  <si>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</si>
  <si>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</si>
  <si>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</si>
  <si>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</si>
  <si>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</si>
  <si>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</si>
  <si>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</si>
  <si>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</si>
  <si>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</si>
  <si>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</si>
  <si>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</si>
  <si>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</si>
  <si>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</si>
  <si>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</si>
  <si>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</si>
  <si>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</si>
  <si>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</si>
  <si>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</si>
  <si>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</si>
  <si>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</si>
  <si>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</si>
  <si>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</si>
  <si>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</si>
  <si>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</si>
  <si>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</si>
  <si>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</si>
  <si>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</si>
  <si>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</si>
  <si>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</si>
  <si>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</si>
  <si>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</si>
  <si>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</si>
  <si>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</si>
  <si>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</si>
  <si>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</si>
  <si>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</si>
  <si>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</si>
  <si>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</si>
  <si>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</si>
  <si>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</si>
  <si>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</si>
  <si>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</si>
  <si>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</si>
  <si>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</si>
  <si>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</si>
  <si>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</si>
  <si>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</si>
  <si>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</si>
  <si>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</si>
  <si>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</si>
  <si>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</si>
  <si>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</si>
  <si>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</si>
  <si>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</si>
  <si>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</si>
  <si>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</si>
  <si>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</si>
  <si>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</si>
  <si>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</si>
  <si>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</si>
  <si>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</si>
  <si>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</si>
  <si>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</si>
  <si>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</si>
  <si>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</si>
  <si>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</si>
  <si>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</si>
  <si>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</si>
  <si>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</si>
  <si>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</si>
  <si>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</si>
  <si>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</si>
  <si>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</si>
  <si>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</si>
  <si>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</si>
  <si>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</si>
  <si>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</si>
  <si>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</si>
  <si>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</si>
  <si>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</si>
  <si>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</si>
  <si>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</si>
  <si>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</si>
  <si>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</si>
  <si>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</si>
  <si>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</si>
  <si>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</si>
  <si>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</si>
  <si>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</si>
  <si>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</si>
  <si>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</si>
  <si>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</si>
  <si>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</si>
  <si>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</si>
  <si>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</si>
  <si>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</si>
  <si>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</si>
  <si>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</si>
  <si>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</si>
  <si>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</si>
  <si>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</si>
  <si>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</si>
  <si>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</si>
  <si>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</si>
  <si>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</si>
  <si>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</si>
  <si>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</si>
  <si>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</si>
  <si>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</si>
  <si>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</si>
  <si>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</si>
  <si>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</si>
  <si>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</si>
  <si>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</si>
  <si>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</si>
  <si>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</si>
  <si>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</si>
  <si>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</si>
  <si>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</si>
  <si>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</si>
  <si>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</si>
  <si>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</si>
  <si>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</si>
  <si>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</si>
  <si>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</si>
  <si>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</si>
  <si>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</si>
  <si>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</si>
  <si>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</si>
  <si>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</si>
  <si>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</si>
  <si>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</si>
  <si>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</si>
  <si>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</si>
  <si>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</si>
  <si>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</si>
  <si>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</si>
  <si>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</si>
  <si>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</si>
  <si>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</si>
  <si>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</si>
  <si>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</si>
  <si>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</si>
  <si>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</si>
  <si>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</si>
  <si>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</si>
  <si>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</si>
  <si>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</si>
  <si>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</si>
  <si>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</si>
  <si>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</si>
  <si>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</si>
  <si>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</si>
  <si>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</si>
  <si>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</si>
  <si>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</si>
  <si>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</si>
  <si>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</si>
  <si>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</si>
  <si>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</si>
  <si>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</si>
  <si>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</si>
  <si>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</si>
  <si>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</si>
  <si>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</si>
  <si>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</si>
  <si>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</si>
  <si>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</si>
  <si>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</si>
  <si>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</si>
  <si>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</si>
  <si>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</si>
  <si>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</si>
  <si>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</si>
  <si>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</si>
  <si>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</si>
  <si>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</si>
  <si>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</si>
  <si>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</si>
  <si>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</si>
  <si>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</si>
  <si>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</si>
  <si>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</si>
  <si>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</si>
  <si>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</si>
  <si>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</si>
  <si>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</si>
  <si>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</si>
  <si>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</si>
  <si>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</si>
  <si>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</si>
  <si>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</si>
  <si>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</si>
  <si>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</si>
  <si>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</si>
  <si>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</si>
  <si>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</si>
  <si>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</si>
  <si>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</si>
  <si>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</si>
  <si>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</si>
  <si>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</si>
  <si>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</si>
  <si>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</si>
  <si>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</si>
  <si>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</si>
  <si>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</si>
  <si>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</si>
  <si>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</si>
  <si>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</si>
  <si>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</si>
  <si>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</si>
  <si>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</si>
  <si>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</si>
  <si>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</si>
  <si>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</si>
  <si>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</si>
  <si>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</si>
  <si>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</si>
  <si>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</si>
  <si>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</si>
  <si>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</si>
  <si>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</si>
  <si>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</si>
  <si>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</si>
  <si>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</si>
  <si>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</si>
  <si>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</si>
  <si>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</si>
  <si>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</si>
  <si>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</si>
  <si>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</si>
  <si>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</si>
  <si>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</si>
  <si>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</si>
  <si>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</si>
  <si>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</si>
  <si>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</si>
  <si>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</si>
  <si>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</si>
  <si>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</si>
  <si>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</si>
  <si>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</si>
  <si>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</si>
  <si>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</si>
  <si>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</si>
  <si>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</si>
  <si>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</si>
  <si>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</si>
  <si>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</si>
  <si>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</si>
  <si>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</si>
  <si>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</si>
  <si>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</si>
  <si>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</si>
  <si>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</si>
  <si>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</si>
  <si>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</si>
  <si>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</si>
  <si>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</si>
  <si>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</si>
  <si>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</si>
  <si>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</si>
  <si>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</si>
  <si>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</si>
  <si>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</si>
  <si>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</si>
  <si>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</si>
  <si>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</si>
  <si>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</si>
  <si>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</si>
  <si>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</si>
  <si>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</si>
  <si>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</si>
  <si>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</si>
  <si>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</si>
  <si>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</si>
  <si>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</si>
  <si>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</si>
  <si>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</si>
  <si>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</si>
  <si>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</si>
  <si>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</si>
  <si>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</si>
  <si>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</si>
  <si>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</si>
  <si>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</si>
  <si>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</si>
  <si>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</si>
  <si>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</si>
  <si>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</si>
  <si>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</si>
  <si>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</si>
  <si>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</si>
  <si>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</si>
  <si>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</si>
  <si>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</si>
  <si>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</si>
  <si>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</si>
  <si>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</si>
  <si>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</si>
  <si>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</si>
  <si>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</si>
  <si>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</si>
  <si>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</si>
  <si>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</si>
  <si>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</si>
  <si>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</si>
  <si>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</si>
  <si>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</si>
  <si>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</si>
  <si>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</si>
  <si>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</si>
  <si>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</si>
  <si>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</si>
  <si>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</si>
  <si>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</si>
  <si>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</si>
  <si>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</si>
  <si>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</si>
  <si>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</si>
  <si>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</si>
  <si>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</si>
  <si>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</si>
  <si>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</si>
  <si>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</si>
  <si>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</si>
  <si>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</si>
  <si>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</si>
  <si>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</si>
  <si>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</si>
  <si>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</si>
  <si>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</si>
  <si>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</si>
  <si>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</si>
  <si>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</si>
  <si>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</si>
  <si>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</si>
  <si>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</si>
  <si>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</si>
  <si>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</si>
  <si>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</si>
  <si>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</si>
  <si>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</si>
  <si>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</si>
  <si>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</si>
  <si>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</si>
  <si>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</si>
  <si>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</si>
  <si>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</si>
  <si>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</si>
  <si>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</si>
  <si>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</si>
  <si>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</si>
  <si>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</si>
  <si>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</si>
  <si>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</si>
  <si>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</si>
  <si>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</si>
  <si>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</si>
  <si>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</si>
  <si>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</si>
  <si>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</si>
  <si>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</si>
  <si>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</si>
  <si>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</si>
  <si>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</si>
  <si>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</si>
  <si>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</si>
  <si>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</si>
  <si>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</si>
  <si>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</si>
  <si>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</si>
  <si>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</si>
  <si>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</si>
  <si>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</si>
  <si>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</si>
  <si>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</si>
  <si>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</si>
  <si>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</si>
  <si>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</si>
  <si>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</si>
  <si>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</si>
  <si>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</si>
  <si>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</si>
  <si>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</si>
  <si>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</si>
  <si>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</si>
  <si>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</si>
  <si>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</si>
  <si>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</si>
  <si>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</si>
  <si>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</si>
  <si>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</si>
  <si>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</si>
  <si>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</si>
  <si>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</si>
  <si>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</si>
  <si>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</si>
  <si>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</si>
  <si>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</si>
  <si>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</si>
  <si>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</si>
  <si>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</si>
  <si>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</si>
  <si>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</si>
  <si>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</si>
  <si>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</si>
  <si>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</si>
  <si>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</si>
  <si>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</si>
  <si>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</si>
  <si>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</si>
  <si>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</si>
  <si>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</si>
  <si>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</si>
  <si>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</si>
  <si>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</si>
  <si>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</si>
  <si>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</si>
  <si>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</si>
  <si>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</si>
  <si>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</si>
  <si>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</si>
  <si>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</si>
  <si>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</si>
  <si>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</si>
  <si>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</si>
  <si>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</si>
  <si>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</si>
  <si>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</si>
  <si>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</si>
  <si>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</si>
  <si>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</si>
  <si>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</si>
  <si>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</si>
  <si>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</si>
  <si>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</si>
  <si>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</si>
  <si>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</si>
  <si>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</si>
  <si>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</si>
  <si>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</si>
  <si>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</si>
  <si>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</si>
  <si>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</si>
  <si>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</si>
  <si>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</si>
  <si>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</si>
  <si>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</si>
  <si>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</si>
  <si>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</si>
  <si>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</si>
  <si>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</si>
  <si>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</si>
  <si>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</si>
  <si>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</si>
  <si>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</si>
  <si>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</si>
  <si>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</si>
  <si>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</si>
  <si>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</si>
  <si>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</si>
  <si>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</si>
  <si>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</si>
  <si>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</si>
  <si>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</si>
  <si>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</si>
  <si>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</si>
  <si>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</si>
  <si>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</si>
  <si>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</si>
  <si>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</si>
  <si>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</si>
  <si>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</si>
  <si>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</si>
  <si>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</si>
  <si>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</si>
  <si>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</si>
  <si>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</si>
  <si>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</si>
  <si>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</si>
  <si>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</si>
  <si>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</si>
  <si>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</si>
  <si>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</si>
  <si>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</si>
  <si>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</si>
  <si>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</si>
  <si>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</si>
  <si>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</si>
  <si>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</si>
  <si>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</si>
  <si>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</si>
  <si>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</si>
  <si>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</si>
  <si>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</si>
  <si>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</si>
  <si>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</si>
  <si>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</si>
  <si>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</si>
  <si>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</si>
  <si>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</si>
  <si>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</si>
  <si>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</si>
  <si>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</si>
  <si>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</si>
  <si>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</si>
  <si>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</si>
  <si>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</si>
  <si>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</si>
  <si>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</si>
  <si>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</si>
  <si>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</si>
  <si>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</si>
  <si>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</si>
  <si>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</si>
  <si>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</si>
  <si>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</si>
  <si>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</si>
  <si>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</si>
  <si>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</si>
  <si>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</si>
  <si>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</si>
  <si>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</si>
  <si>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</si>
  <si>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</si>
  <si>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</si>
  <si>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</si>
  <si>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</si>
  <si>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</si>
  <si>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</si>
  <si>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</si>
  <si>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</si>
  <si>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</si>
  <si>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</si>
  <si>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</si>
  <si>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</si>
  <si>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</si>
  <si>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</si>
  <si>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</si>
  <si>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</si>
  <si>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</si>
  <si>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</si>
  <si>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</si>
  <si>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</si>
  <si>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</si>
  <si>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</si>
  <si>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</si>
  <si>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</si>
  <si>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</si>
  <si>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</si>
  <si>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</si>
  <si>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</si>
  <si>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</si>
  <si>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</si>
  <si>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</si>
  <si>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</si>
  <si>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</si>
  <si>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</si>
  <si>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</si>
  <si>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</si>
  <si>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</si>
  <si>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</si>
  <si>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</si>
  <si>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</si>
  <si>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</si>
  <si>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</si>
  <si>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</si>
  <si>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</si>
  <si>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</si>
  <si>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</si>
  <si>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</si>
  <si>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</si>
  <si>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</si>
  <si>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</si>
  <si>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</si>
  <si>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</si>
  <si>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</si>
  <si>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</si>
  <si>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</si>
  <si>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</si>
  <si>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</si>
  <si>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</si>
  <si>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</si>
  <si>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</si>
  <si>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</si>
  <si>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</si>
  <si>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</si>
  <si>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</si>
  <si>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</si>
  <si>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</si>
  <si>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</si>
  <si>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</si>
  <si>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</si>
  <si>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</si>
  <si>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</si>
  <si>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</si>
  <si>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</si>
  <si>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</si>
  <si>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</si>
  <si>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</si>
  <si>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</si>
  <si>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</si>
  <si>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</si>
  <si>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</si>
  <si>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</si>
  <si>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</si>
  <si>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</si>
  <si>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</si>
  <si>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</si>
  <si>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</si>
  <si>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</si>
  <si>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</si>
  <si>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</si>
  <si>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</si>
  <si>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</si>
  <si>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</si>
  <si>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</si>
  <si>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</si>
  <si>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</si>
  <si>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</si>
  <si>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</si>
  <si>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</si>
  <si>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</si>
  <si>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</si>
  <si>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</si>
  <si>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</si>
  <si>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</si>
  <si>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</si>
  <si>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</si>
  <si>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</si>
  <si>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</si>
  <si>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</si>
  <si>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</si>
  <si>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</si>
  <si>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</si>
  <si>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</si>
  <si>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</si>
  <si>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</si>
  <si>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</si>
  <si>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</si>
  <si>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</si>
  <si>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</si>
  <si>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</si>
  <si>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</si>
  <si>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</si>
  <si>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</si>
  <si>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</si>
  <si>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</si>
  <si>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</si>
  <si>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</si>
  <si>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</si>
  <si>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</si>
  <si>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</si>
  <si>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</si>
  <si>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</si>
  <si>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</si>
  <si>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</si>
  <si>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</si>
  <si>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</si>
  <si>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</si>
  <si>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</si>
  <si>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</si>
  <si>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</si>
  <si>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</si>
  <si>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</si>
  <si>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</si>
  <si>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</si>
  <si>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</si>
  <si>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</si>
  <si>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</si>
  <si>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</si>
  <si>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</si>
  <si>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</si>
  <si>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</si>
  <si>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</si>
  <si>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</si>
  <si>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</si>
  <si>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</si>
  <si>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</si>
  <si>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</si>
  <si>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</si>
  <si>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</si>
  <si>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</si>
  <si>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</si>
  <si>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</si>
  <si>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</si>
  <si>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</si>
  <si>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</si>
  <si>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</si>
  <si>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</si>
  <si>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</si>
  <si>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</si>
  <si>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</si>
  <si>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</si>
  <si>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</si>
  <si>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</si>
  <si>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</si>
  <si>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</si>
  <si>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</si>
  <si>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</si>
  <si>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</si>
  <si>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</si>
  <si>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</si>
  <si>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</si>
  <si>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</si>
  <si>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</si>
  <si>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</si>
  <si>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</si>
  <si>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</si>
  <si>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</si>
  <si>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</si>
  <si>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</si>
  <si>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</si>
  <si>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</si>
  <si>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</si>
  <si>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</si>
  <si>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</si>
  <si>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</si>
  <si>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</si>
  <si>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</si>
  <si>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</si>
  <si>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</si>
  <si>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</si>
  <si>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</si>
  <si>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</si>
  <si>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</si>
  <si>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</si>
  <si>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</si>
  <si>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</si>
  <si>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</si>
  <si>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</si>
  <si>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</si>
  <si>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</si>
  <si>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</si>
  <si>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</si>
  <si>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</si>
  <si>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</si>
  <si>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</si>
  <si>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</si>
  <si>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</si>
  <si>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</si>
  <si>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</si>
  <si>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</si>
  <si>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</si>
  <si>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</si>
  <si>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</si>
  <si>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</si>
  <si>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</si>
  <si>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</si>
  <si>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</si>
  <si>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</si>
  <si>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</si>
  <si>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</si>
  <si>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</si>
  <si>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</si>
  <si>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</si>
  <si>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</si>
  <si>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</si>
  <si>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</si>
  <si>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</si>
  <si>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</si>
  <si>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</si>
  <si>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</si>
  <si>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</si>
  <si>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</si>
  <si>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</si>
  <si>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</si>
  <si>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</si>
  <si>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</si>
  <si>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</si>
  <si>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</si>
  <si>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</si>
  <si>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</si>
  <si>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</si>
  <si>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</si>
  <si>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</si>
  <si>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</si>
  <si>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</si>
  <si>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</si>
  <si>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</si>
  <si>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</si>
  <si>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</si>
  <si>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</si>
  <si>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</si>
  <si>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</si>
  <si>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</si>
  <si>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</si>
  <si>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</si>
  <si>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</si>
  <si>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</si>
  <si>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</si>
  <si>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</si>
  <si>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</si>
  <si>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</si>
  <si>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</si>
  <si>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</si>
  <si>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</si>
  <si>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</si>
  <si>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</si>
  <si>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</si>
  <si>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</si>
  <si>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</si>
  <si>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</si>
  <si>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</si>
  <si>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</si>
  <si>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</si>
  <si>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</si>
  <si>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</si>
  <si>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</si>
  <si>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</si>
  <si>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</si>
  <si>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</si>
  <si>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</si>
  <si>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</si>
  <si>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</si>
  <si>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</si>
  <si>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</si>
  <si>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</si>
  <si>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</si>
  <si>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</si>
  <si>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</si>
  <si>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</si>
  <si>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</si>
  <si>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</si>
  <si>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</si>
  <si>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</si>
  <si>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</si>
  <si>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</si>
  <si>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</si>
  <si>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</si>
  <si>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</si>
  <si>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</si>
  <si>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</si>
  <si>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</si>
  <si>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</si>
  <si>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</si>
  <si>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</si>
  <si>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</si>
  <si>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</si>
  <si>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</si>
  <si>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</si>
  <si>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</si>
  <si>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</si>
  <si>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</si>
  <si>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</si>
  <si>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</si>
  <si>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</si>
  <si>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</si>
  <si>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</si>
  <si>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</si>
  <si>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</si>
  <si>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</si>
  <si>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</si>
  <si>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</si>
  <si>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</si>
  <si>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</si>
  <si>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</si>
  <si>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</si>
  <si>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</si>
  <si>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</si>
  <si>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</si>
  <si>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</si>
  <si>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</si>
  <si>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</si>
  <si>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</si>
  <si>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</si>
  <si>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</si>
  <si>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</si>
  <si>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</si>
  <si>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</si>
  <si>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</si>
  <si>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</si>
  <si>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</si>
  <si>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</si>
  <si>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</si>
  <si>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</si>
  <si>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</si>
  <si>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</si>
  <si>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</si>
  <si>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</si>
  <si>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</si>
  <si>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</si>
  <si>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</si>
  <si>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</si>
  <si>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</si>
  <si>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</si>
  <si>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</si>
  <si>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</si>
  <si>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</si>
  <si>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</si>
  <si>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</si>
  <si>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</si>
  <si>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</si>
  <si>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</si>
  <si>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</si>
  <si>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</si>
  <si>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</si>
  <si>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</si>
  <si>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</si>
  <si>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</si>
  <si>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</si>
  <si>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</si>
  <si>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</si>
  <si>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</si>
  <si>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</si>
  <si>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</si>
  <si>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</si>
  <si>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</si>
  <si>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</si>
  <si>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</si>
  <si>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</si>
  <si>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</si>
  <si>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</si>
  <si>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</si>
  <si>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</si>
  <si>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</si>
  <si>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</si>
  <si>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</si>
  <si>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</si>
  <si>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</si>
  <si>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</si>
  <si>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</si>
  <si>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</si>
  <si>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</si>
  <si>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</si>
  <si>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</si>
  <si>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</si>
  <si>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</si>
  <si>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</si>
  <si>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</si>
  <si>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</si>
  <si>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</si>
  <si>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</si>
  <si>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</si>
  <si>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</si>
  <si>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</si>
  <si>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</si>
  <si>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</si>
  <si>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</si>
  <si>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</si>
  <si>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</si>
  <si>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</si>
  <si>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</si>
  <si>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</si>
  <si>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</si>
  <si>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</si>
  <si>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</si>
  <si>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</si>
  <si>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</si>
  <si>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</si>
  <si>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</si>
  <si>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</si>
  <si>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</si>
  <si>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</si>
  <si>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</si>
  <si>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</si>
  <si>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</si>
  <si>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</si>
  <si>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</si>
  <si>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</si>
  <si>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</si>
  <si>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</si>
  <si>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</si>
  <si>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</si>
  <si>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</si>
  <si>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</si>
  <si>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</si>
  <si>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</si>
  <si>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</si>
  <si>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</si>
  <si>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</si>
  <si>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</si>
  <si>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</si>
  <si>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</si>
  <si>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</si>
  <si>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</si>
  <si>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</si>
  <si>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</si>
  <si>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</si>
  <si>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</si>
  <si>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</si>
  <si>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</si>
  <si>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</si>
  <si>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</si>
  <si>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</si>
  <si>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</si>
  <si>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</si>
  <si>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</si>
  <si>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</si>
  <si>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</si>
  <si>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</si>
  <si>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</si>
  <si>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</si>
  <si>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</si>
  <si>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</si>
  <si>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</si>
  <si>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</si>
  <si>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</si>
  <si>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</si>
  <si>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</si>
  <si>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</si>
  <si>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</si>
  <si>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</si>
  <si>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</si>
  <si>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</si>
  <si>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</si>
  <si>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</si>
  <si>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</si>
  <si>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</si>
  <si>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</si>
  <si>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</si>
  <si>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</si>
  <si>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</si>
  <si>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</si>
  <si>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</si>
  <si>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</si>
  <si>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</si>
  <si>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</si>
  <si>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</si>
  <si>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</si>
  <si>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</si>
  <si>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</si>
  <si>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</si>
  <si>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</si>
  <si>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</si>
  <si>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</si>
  <si>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</si>
  <si>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</si>
  <si>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</si>
  <si>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</si>
  <si>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</si>
  <si>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</si>
  <si>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</si>
  <si>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</si>
  <si>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</si>
  <si>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</si>
  <si>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</si>
  <si>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</si>
  <si>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</si>
  <si>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</si>
  <si>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</si>
  <si>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</si>
  <si>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</si>
  <si>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</si>
  <si>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</si>
  <si>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</si>
  <si>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</si>
  <si>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</si>
  <si>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</si>
  <si>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</si>
  <si>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</si>
  <si>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</si>
  <si>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</si>
  <si>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</si>
  <si>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</si>
  <si>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</si>
  <si>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</si>
  <si>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</si>
  <si>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</si>
  <si>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</si>
  <si>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</si>
  <si>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</si>
  <si>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</si>
  <si>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</si>
  <si>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</si>
  <si>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</si>
  <si>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</si>
  <si>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</si>
  <si>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</si>
  <si>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</si>
  <si>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</si>
  <si>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</si>
  <si>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</si>
  <si>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</si>
  <si>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</si>
  <si>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</si>
  <si>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</si>
  <si>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</si>
  <si>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</si>
  <si>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</si>
  <si>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</si>
  <si>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</si>
  <si>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</si>
  <si>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</si>
  <si>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</si>
  <si>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</si>
  <si>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</si>
  <si>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</si>
  <si>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</si>
  <si>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</si>
  <si>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</si>
  <si>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</si>
  <si>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</si>
  <si>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</si>
  <si>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</si>
  <si>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</si>
  <si>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</si>
  <si>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</si>
  <si>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</si>
  <si>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</si>
  <si>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</si>
  <si>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</si>
  <si>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</si>
  <si>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</si>
  <si>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</si>
  <si>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</si>
  <si>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</si>
  <si>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</si>
  <si>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</si>
  <si>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</si>
  <si>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</si>
  <si>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</si>
  <si>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</si>
  <si>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</si>
  <si>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</si>
  <si>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</si>
  <si>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</si>
  <si>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</si>
  <si>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</si>
  <si>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</si>
  <si>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</si>
  <si>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</si>
  <si>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</si>
  <si>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</si>
  <si>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</si>
  <si>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</si>
  <si>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</si>
  <si>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</si>
  <si>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</si>
  <si>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</si>
  <si>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</si>
  <si>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</si>
  <si>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</si>
  <si>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</si>
  <si>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</si>
  <si>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</si>
  <si>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</si>
  <si>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</si>
  <si>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</si>
  <si>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</si>
  <si>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</si>
  <si>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</si>
  <si>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</si>
  <si>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</si>
  <si>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</si>
  <si>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</si>
  <si>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</si>
  <si>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</si>
  <si>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</si>
  <si>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</si>
  <si>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</si>
  <si>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</si>
  <si>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</si>
  <si>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</si>
  <si>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</si>
  <si>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</si>
  <si>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</si>
  <si>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</si>
  <si>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</si>
  <si>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</si>
  <si>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</si>
  <si>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</si>
  <si>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</si>
  <si>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</si>
  <si>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</si>
  <si>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</si>
  <si>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</si>
  <si>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</si>
  <si>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</si>
  <si>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</si>
  <si>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</si>
  <si>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</si>
  <si>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</si>
  <si>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</si>
  <si>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</si>
  <si>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</si>
  <si>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</si>
  <si>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</si>
  <si>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</si>
  <si>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</si>
  <si>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</si>
  <si>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</si>
  <si>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</si>
  <si>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</si>
  <si>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</si>
  <si>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</si>
  <si>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</si>
  <si>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</si>
  <si>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</si>
  <si>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</si>
  <si>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</si>
  <si>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</si>
  <si>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</si>
  <si>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</si>
  <si>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</si>
  <si>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</si>
  <si>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</si>
  <si>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</si>
  <si>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</si>
  <si>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</si>
  <si>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</si>
  <si>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</si>
  <si>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</si>
  <si>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</si>
  <si>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</si>
  <si>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</si>
  <si>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</si>
  <si>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</si>
  <si>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</si>
  <si>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</si>
  <si>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</si>
  <si>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</si>
  <si>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</si>
  <si>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</si>
  <si>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</si>
  <si>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</si>
  <si>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</si>
  <si>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</si>
  <si>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</si>
  <si>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</si>
  <si>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</si>
  <si>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</si>
  <si>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</si>
  <si>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</si>
  <si>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</si>
  <si>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</si>
  <si>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</si>
  <si>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</si>
  <si>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</si>
  <si>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</si>
  <si>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</si>
  <si>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</si>
  <si>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</si>
  <si>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</si>
  <si>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</si>
  <si>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</si>
  <si>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</si>
  <si>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</si>
  <si>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</si>
  <si>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</si>
  <si>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</si>
  <si>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</si>
  <si>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</si>
  <si>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</si>
  <si>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</si>
  <si>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</si>
  <si>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</si>
  <si>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</si>
  <si>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</si>
  <si>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</si>
  <si>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</si>
  <si>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</si>
  <si>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</si>
  <si>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</si>
  <si>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</si>
  <si>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</si>
  <si>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</si>
  <si>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</si>
  <si>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</si>
  <si>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</si>
  <si>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</si>
  <si>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</si>
  <si>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</si>
  <si>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</si>
  <si>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</si>
  <si>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</si>
  <si>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</si>
  <si>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</si>
  <si>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</si>
  <si>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</si>
  <si>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</si>
  <si>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</si>
  <si>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</si>
  <si>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</si>
  <si>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</si>
  <si>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</si>
  <si>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</si>
  <si>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</si>
  <si>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</si>
  <si>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</si>
  <si>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</si>
  <si>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</si>
  <si>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</si>
  <si>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</si>
  <si>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</si>
  <si>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</si>
  <si>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</si>
  <si>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</si>
  <si>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</si>
  <si>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</si>
  <si>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</si>
  <si>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</si>
  <si>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</si>
  <si>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</si>
  <si>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</si>
  <si>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</si>
  <si>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</si>
  <si>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</si>
  <si>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</si>
  <si>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</si>
  <si>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</si>
  <si>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</si>
  <si>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</si>
  <si>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</si>
  <si>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</si>
  <si>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</si>
  <si>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</si>
  <si>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</si>
  <si>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</si>
  <si>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</si>
  <si>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</si>
  <si>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</si>
  <si>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</si>
  <si>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</si>
  <si>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</si>
  <si>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</si>
  <si>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</si>
  <si>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</si>
  <si>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</si>
  <si>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</si>
  <si>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</si>
  <si>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</si>
  <si>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</si>
  <si>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</si>
  <si>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</si>
  <si>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</si>
  <si>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</si>
  <si>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</si>
  <si>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</si>
  <si>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</si>
  <si>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</si>
  <si>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</si>
  <si>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</si>
  <si>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</si>
  <si>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</si>
  <si>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</si>
  <si>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</si>
  <si>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</si>
  <si>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</si>
  <si>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</si>
  <si>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</si>
  <si>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</si>
  <si>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</si>
  <si>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</si>
  <si>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</si>
  <si>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</si>
  <si>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</si>
  <si>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</si>
  <si>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</si>
  <si>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</si>
  <si>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</si>
  <si>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</si>
  <si>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</si>
  <si>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</si>
  <si>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</si>
  <si>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</si>
  <si>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</si>
  <si>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</si>
  <si>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</si>
  <si>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</si>
  <si>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</si>
  <si>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</si>
  <si>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</si>
  <si>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</si>
  <si>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</si>
  <si>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</si>
  <si>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</si>
  <si>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</si>
  <si>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</si>
  <si>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</si>
  <si>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</si>
  <si>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</si>
  <si>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</si>
  <si>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</si>
  <si>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</si>
  <si>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</si>
  <si>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</si>
  <si>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</si>
  <si>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</si>
  <si>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</si>
  <si>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</si>
  <si>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</si>
  <si>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</si>
  <si>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</si>
  <si>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</si>
  <si>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</si>
  <si>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</si>
  <si>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</si>
  <si>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</si>
  <si>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</si>
  <si>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</si>
  <si>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</si>
  <si>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</si>
  <si>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</si>
  <si>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</si>
  <si>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</si>
  <si>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</si>
  <si>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</si>
  <si>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</si>
  <si>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</si>
  <si>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</si>
  <si>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</si>
  <si>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</si>
  <si>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</si>
  <si>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</si>
  <si>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</si>
  <si>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</si>
  <si>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</si>
  <si>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</si>
  <si>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</si>
  <si>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</si>
  <si>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</si>
  <si>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</si>
  <si>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</si>
  <si>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</si>
  <si>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</si>
  <si>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</si>
  <si>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</si>
  <si>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</si>
  <si>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</si>
  <si>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</si>
  <si>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</si>
  <si>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</si>
  <si>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</si>
  <si>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</si>
  <si>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</si>
  <si>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</si>
  <si>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</si>
  <si>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</si>
  <si>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</si>
  <si>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</si>
  <si>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</si>
  <si>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</si>
  <si>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</si>
  <si>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</si>
  <si>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</si>
  <si>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</si>
  <si>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</si>
  <si>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</si>
  <si>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</si>
  <si>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</si>
  <si>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</si>
  <si>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</si>
  <si>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</si>
  <si>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</si>
  <si>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</si>
  <si>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</si>
  <si>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</si>
  <si>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</si>
  <si>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</si>
  <si>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</si>
  <si>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</si>
  <si>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</si>
  <si>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</si>
  <si>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</si>
  <si>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</si>
  <si>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</si>
  <si>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</si>
  <si>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</si>
  <si>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</si>
  <si>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</si>
  <si>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</si>
  <si>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</si>
  <si>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</si>
  <si>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</si>
  <si>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</si>
  <si>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</si>
  <si>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</si>
  <si>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</si>
  <si>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</si>
  <si>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</si>
  <si>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</si>
  <si>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</si>
  <si>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</si>
  <si>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</si>
  <si>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</si>
  <si>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</si>
  <si>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</si>
  <si>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</si>
  <si>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</si>
  <si>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</si>
  <si>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</si>
  <si>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</si>
  <si>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</si>
  <si>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</si>
  <si>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</si>
  <si>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</si>
  <si>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</si>
  <si>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</si>
  <si>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</si>
  <si>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</si>
  <si>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</si>
  <si>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</si>
  <si>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</si>
  <si>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</si>
  <si>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</si>
  <si>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</si>
  <si>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</si>
  <si>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</si>
  <si>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</si>
  <si>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</si>
  <si>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</si>
  <si>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</si>
  <si>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</si>
  <si>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</si>
  <si>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</si>
  <si>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</si>
  <si>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</si>
  <si>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</si>
  <si>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</si>
  <si>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</si>
  <si>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</si>
  <si>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</si>
  <si>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</si>
  <si>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</si>
  <si>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</si>
  <si>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</si>
  <si>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</si>
  <si>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</si>
  <si>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</si>
  <si>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</si>
  <si>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</si>
  <si>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</si>
  <si>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</si>
  <si>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</si>
  <si>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</si>
  <si>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</si>
  <si>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</si>
  <si>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</si>
  <si>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</si>
  <si>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</si>
  <si>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</si>
  <si>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</si>
  <si>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</si>
  <si>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</si>
  <si>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</si>
  <si>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</si>
  <si>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</si>
  <si>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</si>
  <si>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</si>
  <si>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</si>
  <si>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</si>
  <si>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</si>
  <si>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</si>
  <si>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</si>
  <si>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</si>
  <si>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</si>
  <si>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</si>
  <si>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</si>
  <si>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</si>
  <si>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</si>
  <si>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</si>
  <si>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</si>
  <si>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</si>
  <si>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</si>
  <si>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</si>
  <si>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</si>
  <si>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</si>
  <si>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</si>
  <si>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</si>
  <si>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</si>
  <si>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</si>
  <si>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</si>
  <si>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</si>
  <si>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</si>
  <si>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</si>
  <si>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</si>
  <si>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</si>
  <si>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</si>
  <si>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</si>
  <si>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</si>
  <si>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</si>
  <si>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</si>
  <si>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</si>
  <si>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</si>
  <si>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</si>
  <si>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</si>
  <si>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</si>
  <si>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</si>
  <si>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</si>
  <si>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</si>
  <si>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</si>
  <si>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</si>
  <si>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</si>
  <si>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</si>
  <si>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</si>
  <si>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</si>
  <si>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</si>
  <si>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</si>
  <si>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</si>
  <si>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</si>
  <si>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</si>
  <si>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</si>
  <si>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</si>
  <si>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</si>
  <si>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</si>
  <si>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</si>
  <si>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</si>
  <si>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</si>
  <si>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</si>
  <si>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</si>
  <si>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</si>
  <si>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</si>
  <si>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</si>
  <si>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</si>
  <si>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</si>
  <si>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</si>
  <si>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</si>
  <si>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</si>
  <si>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</si>
  <si>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</si>
  <si>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</si>
  <si>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</si>
  <si>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</si>
  <si>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</si>
  <si>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</si>
  <si>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</si>
  <si>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</si>
  <si>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</si>
  <si>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</si>
  <si>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</si>
  <si>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</si>
  <si>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</si>
  <si>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</si>
  <si>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</si>
  <si>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</si>
  <si>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</si>
  <si>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</si>
  <si>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</si>
  <si>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</si>
  <si>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</si>
  <si>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</si>
  <si>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</si>
  <si>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</si>
  <si>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</si>
  <si>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</si>
  <si>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</si>
  <si>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</si>
  <si>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</si>
  <si>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</si>
  <si>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</si>
  <si>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</si>
  <si>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</si>
  <si>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</si>
  <si>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</si>
  <si>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</si>
  <si>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</si>
  <si>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</si>
  <si>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</si>
  <si>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</si>
  <si>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</si>
  <si>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</si>
  <si>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</si>
  <si>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</si>
  <si>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</si>
  <si>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</si>
  <si>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</si>
  <si>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</si>
  <si>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</si>
  <si>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</si>
  <si>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</si>
  <si>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</si>
  <si>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</si>
  <si>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</si>
  <si>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</si>
  <si>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</si>
  <si>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</si>
  <si>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</si>
  <si>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</si>
  <si>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</si>
  <si>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</si>
  <si>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</si>
  <si>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</si>
  <si>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</si>
  <si>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</si>
  <si>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</si>
  <si>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</si>
  <si>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</si>
  <si>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</si>
  <si>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</si>
  <si>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</si>
  <si>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</si>
  <si>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</si>
  <si>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</si>
  <si>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</si>
  <si>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</si>
  <si>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</si>
  <si>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</si>
  <si>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</si>
  <si>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</si>
  <si>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</si>
  <si>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</si>
  <si>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</si>
  <si>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</si>
  <si>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</si>
  <si>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</si>
  <si>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</si>
  <si>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</si>
  <si>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</si>
  <si>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</si>
  <si>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</si>
  <si>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</si>
  <si>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</si>
  <si>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</si>
  <si>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</si>
  <si>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</si>
  <si>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</si>
  <si>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</si>
  <si>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</si>
  <si>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</si>
  <si>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</si>
  <si>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</si>
  <si>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</si>
  <si>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</si>
  <si>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</si>
  <si>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</si>
  <si>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</si>
  <si>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</si>
  <si>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</si>
  <si>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</si>
  <si>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</si>
  <si>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</si>
  <si>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</si>
  <si>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</si>
  <si>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</si>
  <si>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</si>
  <si>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</si>
  <si>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</si>
  <si>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</si>
  <si>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</si>
  <si>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</si>
  <si>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</si>
  <si>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</si>
  <si>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</si>
  <si>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</si>
  <si>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</si>
  <si>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</si>
  <si>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</si>
  <si>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</si>
  <si>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</si>
  <si>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</si>
  <si>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</si>
  <si>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</si>
  <si>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</si>
  <si>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</si>
  <si>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</si>
  <si>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</si>
  <si>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</si>
  <si>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</si>
  <si>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</si>
  <si>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</si>
  <si>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</si>
  <si>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</si>
  <si>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</si>
  <si>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</si>
  <si>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</si>
  <si>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</si>
  <si>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</si>
  <si>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</si>
  <si>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</si>
  <si>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</si>
  <si>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</si>
  <si>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</si>
  <si>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</si>
  <si>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</si>
  <si>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</si>
  <si>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</si>
  <si>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</si>
  <si>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</si>
  <si>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</si>
  <si>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</si>
  <si>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</si>
  <si>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</si>
  <si>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</si>
  <si>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</si>
  <si>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</si>
  <si>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</si>
  <si>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</si>
  <si>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</si>
  <si>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</si>
  <si>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</si>
  <si>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</si>
  <si>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</si>
  <si>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</si>
  <si>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</si>
  <si>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</si>
  <si>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</si>
  <si>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</si>
  <si>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</si>
  <si>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</si>
  <si>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</si>
  <si>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</si>
  <si>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</si>
  <si>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</si>
  <si>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</si>
  <si>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</si>
  <si>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</si>
  <si>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</si>
  <si>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</si>
  <si>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</si>
  <si>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</si>
  <si>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</si>
  <si>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</si>
  <si>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</si>
  <si>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</si>
  <si>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</si>
  <si>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</si>
  <si>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</si>
  <si>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</si>
  <si>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</si>
  <si>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</si>
  <si>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</si>
  <si>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</si>
  <si>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</si>
  <si>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</si>
  <si>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</si>
  <si>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</si>
  <si>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</si>
  <si>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</si>
  <si>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</si>
  <si>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</si>
  <si>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</si>
  <si>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</si>
  <si>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</si>
  <si>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</si>
  <si>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</si>
  <si>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</si>
  <si>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</si>
  <si>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</si>
  <si>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</si>
  <si>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</si>
  <si>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</si>
  <si>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</si>
  <si>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</si>
  <si>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</si>
  <si>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</si>
  <si>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</si>
  <si>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</si>
  <si>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</si>
  <si>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</si>
  <si>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</si>
  <si>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</si>
  <si>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</si>
  <si>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</si>
  <si>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</si>
  <si>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</si>
  <si>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</si>
  <si>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</si>
  <si>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</si>
  <si>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</si>
  <si>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</si>
  <si>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</si>
  <si>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</si>
  <si>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</si>
  <si>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</si>
  <si>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</si>
  <si>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</si>
  <si>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</si>
  <si>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</si>
  <si>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</si>
  <si>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</si>
  <si>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</si>
  <si>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</si>
  <si>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</si>
  <si>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</si>
  <si>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</si>
  <si>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</si>
  <si>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</si>
  <si>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</si>
  <si>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</si>
  <si>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</si>
  <si>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</si>
  <si>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</si>
  <si>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</si>
  <si>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</si>
  <si>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</si>
  <si>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</si>
  <si>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</si>
  <si>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</si>
  <si>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</si>
  <si>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</si>
  <si>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</si>
  <si>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</si>
  <si>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</si>
  <si>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</si>
  <si>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</si>
  <si>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</si>
  <si>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</si>
  <si>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</si>
  <si>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</si>
  <si>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</si>
  <si>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</si>
  <si>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</si>
  <si>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</si>
  <si>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</si>
  <si>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</si>
  <si>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</si>
  <si>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</si>
  <si>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</si>
  <si>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</si>
  <si>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</si>
  <si>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</si>
  <si>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</si>
  <si>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</si>
  <si>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</si>
  <si>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</si>
  <si>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</si>
  <si>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</si>
  <si>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</si>
  <si>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</si>
  <si>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</si>
  <si>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</si>
  <si>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</si>
  <si>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</si>
  <si>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</si>
  <si>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</si>
  <si>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</si>
  <si>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</si>
  <si>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</si>
  <si>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</si>
  <si>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</si>
  <si>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</si>
  <si>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</si>
  <si>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</si>
  <si>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</si>
  <si>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</si>
  <si>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</si>
  <si>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</si>
  <si>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</si>
  <si>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</si>
  <si>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</si>
  <si>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</si>
  <si>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</si>
  <si>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</si>
  <si>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</si>
  <si>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</si>
  <si>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</si>
  <si>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</si>
  <si>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</si>
  <si>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</si>
  <si>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</si>
  <si>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</si>
  <si>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</si>
  <si>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</si>
  <si>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</si>
  <si>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</si>
  <si>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</si>
  <si>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</si>
  <si>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</si>
  <si>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</si>
  <si>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</si>
  <si>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</si>
  <si>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</si>
  <si>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</si>
  <si>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</si>
  <si>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</si>
  <si>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</si>
  <si>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</si>
  <si>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</si>
  <si>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</si>
  <si>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</si>
  <si>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</si>
  <si>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</si>
  <si>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</si>
  <si>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</si>
  <si>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</si>
  <si>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</si>
  <si>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</si>
  <si>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</si>
  <si>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</si>
  <si>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</si>
  <si>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</si>
  <si>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</si>
  <si>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</si>
  <si>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</si>
  <si>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</si>
  <si>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</si>
  <si>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</si>
  <si>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</si>
  <si>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</si>
  <si>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</si>
  <si>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</si>
  <si>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</si>
  <si>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</si>
  <si>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</si>
  <si>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</si>
  <si>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</si>
  <si>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</si>
  <si>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</si>
  <si>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</si>
  <si>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</si>
  <si>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</si>
  <si>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</si>
  <si>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</si>
  <si>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</si>
  <si>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</si>
  <si>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</si>
  <si>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</si>
  <si>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</si>
  <si>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</si>
  <si>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</si>
  <si>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</si>
  <si>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</si>
  <si>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</si>
  <si>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</si>
  <si>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</si>
  <si>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</si>
  <si>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</si>
  <si>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</si>
  <si>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</si>
  <si>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</si>
  <si>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</si>
  <si>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</si>
  <si>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</si>
  <si>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</si>
  <si>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</si>
  <si>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</si>
  <si>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</si>
  <si>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</si>
  <si>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</si>
  <si>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</si>
  <si>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</si>
  <si>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</si>
  <si>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</si>
  <si>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</si>
  <si>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</si>
  <si>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</si>
  <si>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</si>
  <si>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</si>
  <si>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</si>
  <si>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</si>
  <si>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</si>
  <si>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</si>
  <si>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</si>
  <si>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</si>
  <si>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</si>
  <si>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</si>
  <si>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</si>
  <si>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</si>
  <si>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</si>
  <si>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</si>
  <si>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</si>
  <si>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</si>
  <si>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</si>
  <si>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</si>
  <si>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</si>
  <si>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</si>
  <si>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</si>
  <si>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</si>
  <si>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</si>
  <si>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</si>
  <si>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</si>
  <si>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</si>
  <si>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</si>
  <si>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</si>
  <si>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</si>
  <si>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</si>
  <si>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</si>
  <si>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</si>
  <si>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</si>
  <si>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</si>
  <si>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</si>
  <si>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</si>
  <si>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</si>
  <si>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</si>
  <si>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</si>
  <si>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</si>
  <si>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</si>
  <si>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</si>
  <si>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</si>
  <si>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</si>
  <si>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</si>
  <si>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</si>
  <si>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</si>
  <si>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</si>
  <si>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</si>
  <si>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</si>
  <si>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</si>
  <si>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</si>
  <si>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</si>
  <si>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</si>
  <si>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</si>
  <si>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</si>
  <si>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</si>
  <si>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</si>
  <si>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</si>
  <si>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</si>
  <si>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</si>
  <si>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</si>
  <si>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</si>
  <si>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</si>
  <si>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</si>
  <si>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</si>
  <si>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</si>
  <si>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</si>
  <si>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</si>
  <si>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</si>
  <si>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</si>
  <si>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</si>
  <si>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</si>
  <si>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</si>
  <si>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</si>
  <si>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</si>
  <si>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</si>
  <si>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</si>
  <si>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</si>
  <si>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</si>
  <si>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</si>
  <si>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</si>
  <si>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</si>
  <si>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</si>
  <si>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</si>
  <si>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</si>
  <si>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</si>
  <si>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</si>
  <si>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</si>
  <si>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</si>
  <si>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</si>
  <si>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</si>
  <si>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</si>
  <si>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</si>
  <si>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</si>
  <si>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</si>
  <si>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</si>
  <si>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</si>
  <si>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</si>
  <si>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</si>
  <si>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</si>
  <si>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</si>
  <si>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</si>
  <si>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</si>
  <si>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</si>
  <si>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</si>
  <si>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</si>
  <si>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</si>
  <si>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</si>
  <si>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</si>
  <si>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</si>
  <si>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</si>
  <si>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</si>
  <si>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</si>
  <si>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</si>
  <si>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</si>
  <si>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</si>
  <si>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</si>
  <si>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</si>
  <si>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</si>
  <si>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</si>
  <si>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</si>
  <si>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</si>
  <si>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</si>
  <si>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</si>
  <si>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</si>
  <si>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</si>
  <si>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</si>
  <si>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</si>
  <si>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</si>
  <si>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</si>
  <si>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</si>
  <si>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</si>
  <si>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</si>
  <si>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</si>
  <si>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</si>
  <si>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</si>
  <si>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</si>
  <si>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</si>
  <si>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</si>
  <si>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</si>
  <si>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</si>
  <si>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</si>
  <si>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</si>
  <si>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</si>
  <si>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</si>
  <si>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</si>
  <si>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</si>
  <si>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</si>
  <si>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</si>
  <si>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</si>
  <si>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</si>
  <si>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</si>
  <si>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</si>
  <si>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</si>
  <si>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</si>
  <si>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</si>
  <si>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</si>
  <si>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</si>
  <si>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</si>
  <si>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</si>
  <si>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</si>
  <si>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</si>
  <si>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</si>
  <si>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</si>
  <si>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</si>
  <si>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</si>
  <si>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</si>
  <si>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</si>
  <si>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</si>
  <si>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</si>
  <si>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</si>
  <si>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</si>
  <si>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</si>
  <si>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</si>
  <si>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</si>
  <si>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</si>
  <si>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</si>
  <si>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</si>
  <si>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</si>
  <si>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</si>
  <si>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</si>
  <si>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</si>
  <si>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</si>
  <si>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</si>
  <si>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</si>
  <si>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</si>
  <si>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</si>
  <si>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</si>
  <si>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</si>
  <si>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</si>
  <si>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</si>
  <si>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</si>
  <si>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</si>
  <si>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</si>
  <si>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</si>
  <si>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</si>
  <si>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</si>
  <si>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</si>
  <si>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</si>
  <si>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</si>
  <si>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</si>
  <si>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</si>
  <si>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</si>
  <si>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</si>
  <si>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</si>
  <si>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</si>
  <si>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</si>
  <si>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</si>
  <si>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</si>
  <si>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</si>
  <si>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</si>
  <si>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</si>
  <si>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</si>
  <si>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</si>
  <si>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</si>
  <si>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</si>
  <si>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</si>
  <si>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</si>
  <si>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</si>
  <si>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</si>
  <si>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</si>
  <si>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</si>
  <si>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</si>
  <si>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</si>
  <si>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</si>
  <si>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</si>
  <si>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</si>
  <si>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</si>
  <si>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</si>
  <si>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</si>
  <si>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</si>
  <si>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</si>
  <si>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</si>
  <si>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</si>
  <si>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</si>
  <si>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</si>
  <si>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</si>
  <si>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</si>
  <si>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</si>
  <si>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</si>
  <si>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</si>
  <si>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</si>
  <si>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</si>
  <si>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</si>
  <si>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</si>
  <si>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</si>
  <si>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</si>
  <si>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</si>
  <si>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</si>
  <si>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</si>
  <si>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</si>
  <si>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</si>
  <si>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</si>
  <si>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</si>
  <si>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</si>
  <si>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</si>
  <si>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</si>
  <si>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</si>
  <si>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</si>
  <si>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</si>
  <si>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</si>
  <si>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</si>
  <si>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</si>
  <si>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</si>
  <si>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</si>
  <si>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</si>
  <si>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</si>
  <si>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</si>
  <si>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</si>
  <si>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</si>
  <si>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</si>
  <si>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</si>
  <si>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</si>
  <si>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</si>
  <si>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</si>
  <si>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</si>
  <si>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</si>
  <si>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</si>
  <si>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</si>
  <si>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</si>
  <si>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</si>
  <si>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</si>
  <si>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</si>
  <si>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</si>
  <si>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</si>
  <si>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</si>
  <si>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</si>
  <si>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</si>
  <si>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</si>
  <si>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</si>
  <si>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</si>
  <si>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</si>
  <si>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</si>
  <si>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</si>
  <si>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</si>
  <si>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</si>
  <si>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</si>
  <si>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</si>
  <si>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</si>
  <si>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</si>
  <si>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</si>
  <si>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</si>
  <si>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</si>
  <si>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</si>
  <si>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</si>
  <si>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</si>
  <si>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</si>
  <si>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</si>
  <si>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</si>
  <si>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</si>
  <si>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</si>
  <si>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</si>
  <si>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</si>
  <si>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</si>
  <si>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</si>
  <si>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</si>
  <si>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</si>
  <si>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</si>
  <si>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</si>
  <si>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</si>
  <si>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</si>
  <si>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</si>
  <si>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</si>
  <si>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</si>
  <si>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</si>
  <si>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</si>
  <si>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</si>
  <si>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</si>
  <si>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</si>
  <si>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</si>
  <si>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</si>
  <si>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</si>
  <si>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</si>
  <si>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</si>
  <si>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</si>
  <si>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</si>
  <si>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</si>
  <si>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</si>
  <si>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</si>
  <si>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</si>
  <si>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</si>
  <si>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</si>
  <si>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</si>
  <si>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</si>
  <si>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</si>
  <si>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</si>
  <si>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</si>
  <si>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</si>
  <si>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</si>
  <si>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</si>
  <si>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</si>
  <si>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</si>
  <si>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</si>
  <si>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</si>
  <si>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</si>
  <si>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</si>
  <si>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</si>
  <si>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</si>
  <si>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</si>
  <si>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</si>
  <si>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</si>
  <si>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</si>
  <si>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</si>
  <si>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</si>
  <si>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</si>
  <si>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</si>
  <si>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</si>
  <si>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</si>
  <si>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</si>
  <si>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</si>
  <si>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</si>
  <si>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</si>
  <si>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</si>
  <si>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</si>
  <si>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</si>
  <si>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</si>
  <si>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</si>
  <si>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</si>
  <si>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</si>
  <si>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</si>
  <si>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</si>
  <si>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</si>
  <si>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</si>
  <si>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</si>
  <si>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</si>
  <si>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</si>
  <si>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</si>
  <si>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</si>
  <si>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</si>
  <si>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</si>
  <si>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</si>
  <si>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</si>
  <si>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</si>
  <si>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</si>
  <si>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</si>
  <si>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</si>
  <si>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</si>
  <si>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</si>
  <si>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</si>
  <si>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</si>
  <si>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</si>
  <si>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</si>
  <si>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</si>
  <si>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</si>
  <si>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</si>
  <si>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</si>
  <si>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</si>
  <si>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</si>
  <si>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</si>
  <si>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</si>
  <si>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</si>
  <si>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</si>
  <si>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</si>
  <si>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</si>
  <si>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</si>
  <si>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</si>
  <si>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</si>
  <si>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</si>
  <si>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</si>
  <si>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</si>
  <si>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</si>
  <si>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</si>
  <si>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</si>
  <si>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</si>
  <si>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</si>
  <si>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</si>
  <si>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</si>
  <si>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</si>
  <si>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</si>
  <si>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</si>
  <si>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</si>
  <si>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</si>
  <si>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</si>
  <si>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</si>
  <si>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</si>
  <si>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</si>
  <si>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</si>
  <si>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</si>
  <si>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</si>
  <si>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</si>
  <si>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</si>
  <si>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</si>
  <si>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</si>
  <si>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</si>
  <si>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</si>
  <si>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</si>
  <si>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</si>
  <si>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</si>
  <si>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</si>
  <si>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</si>
  <si>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</si>
  <si>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</si>
  <si>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</si>
  <si>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</si>
  <si>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</si>
  <si>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</si>
  <si>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</si>
  <si>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</si>
  <si>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</si>
  <si>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</si>
  <si>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</si>
  <si>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</si>
  <si>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</si>
  <si>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</si>
  <si>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</si>
  <si>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</si>
  <si>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</si>
  <si>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</si>
  <si>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</si>
  <si>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</si>
  <si>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</si>
  <si>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</si>
  <si>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</si>
  <si>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</si>
  <si>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</si>
  <si>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</si>
  <si>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</si>
  <si>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</si>
  <si>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</si>
  <si>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</si>
  <si>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</si>
  <si>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</si>
  <si>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</si>
  <si>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</si>
  <si>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</si>
  <si>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</si>
  <si>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</si>
  <si>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</si>
  <si>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</si>
  <si>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</si>
  <si>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</si>
  <si>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</si>
  <si>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</si>
  <si>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</si>
  <si>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</si>
  <si>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</si>
  <si>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</si>
  <si>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</si>
  <si>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</si>
  <si>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</si>
  <si>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</si>
  <si>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</si>
  <si>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</si>
  <si>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</si>
  <si>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</si>
  <si>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</si>
  <si>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</si>
  <si>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</si>
  <si>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</si>
  <si>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</si>
  <si>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</si>
  <si>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</si>
  <si>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</si>
  <si>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</si>
  <si>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</si>
  <si>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</si>
  <si>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</si>
  <si>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</si>
  <si>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</si>
  <si>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</si>
  <si>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</si>
  <si>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</si>
  <si>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</si>
  <si>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</si>
  <si>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</si>
  <si>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</si>
  <si>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</si>
  <si>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</si>
  <si>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</si>
  <si>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</si>
  <si>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</si>
  <si>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</si>
  <si>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</si>
  <si>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</si>
  <si>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</si>
  <si>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</si>
  <si>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</si>
  <si>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</si>
  <si>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</si>
  <si>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</si>
  <si>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</si>
  <si>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</si>
  <si>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</si>
  <si>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</si>
  <si>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</si>
  <si>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</si>
  <si>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</si>
  <si>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</si>
  <si>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</si>
  <si>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</si>
  <si>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</si>
  <si>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</si>
  <si>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</si>
  <si>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</si>
  <si>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</si>
  <si>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</si>
  <si>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</si>
  <si>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</si>
  <si>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</si>
  <si>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</si>
  <si>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</si>
  <si>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</si>
  <si>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</si>
  <si>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</si>
  <si>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</si>
  <si>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</si>
  <si>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</si>
  <si>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</si>
  <si>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</si>
  <si>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</si>
  <si>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</si>
  <si>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</si>
  <si>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</si>
  <si>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</si>
  <si>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</si>
  <si>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</si>
  <si>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</si>
  <si>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</si>
  <si>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</si>
  <si>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</si>
  <si>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</si>
  <si>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</si>
  <si>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</si>
  <si>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</si>
  <si>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</si>
  <si>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</si>
  <si>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</si>
  <si>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</si>
  <si>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</si>
  <si>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</si>
  <si>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</si>
  <si>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</si>
  <si>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</si>
  <si>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</si>
  <si>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</si>
  <si>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</si>
  <si>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</si>
  <si>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</si>
  <si>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</si>
  <si>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</si>
  <si>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</si>
  <si>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</si>
  <si>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</si>
  <si>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</si>
  <si>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</si>
  <si>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</si>
  <si>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</si>
  <si>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</si>
  <si>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</si>
  <si>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</si>
  <si>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</si>
  <si>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</si>
  <si>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</si>
  <si>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</si>
  <si>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</si>
  <si>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</si>
  <si>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</si>
  <si>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</si>
  <si>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</si>
  <si>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</si>
  <si>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</si>
  <si>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</si>
  <si>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</si>
  <si>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</si>
  <si>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</si>
  <si>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</si>
  <si>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</si>
  <si>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</si>
  <si>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</si>
  <si>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</si>
  <si>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</si>
  <si>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</si>
  <si>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</si>
  <si>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</si>
  <si>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</si>
  <si>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</si>
  <si>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</si>
  <si>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</si>
  <si>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</si>
  <si>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</si>
  <si>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</si>
  <si>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</si>
  <si>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</si>
  <si>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</si>
  <si>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</si>
  <si>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</si>
  <si>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</si>
  <si>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</si>
  <si>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</si>
  <si>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</si>
  <si>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</si>
  <si>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</si>
  <si>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</si>
  <si>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</si>
  <si>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</si>
  <si>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</si>
  <si>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</si>
  <si>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</si>
  <si>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</si>
  <si>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</si>
  <si>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</si>
  <si>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</si>
  <si>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</si>
  <si>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</si>
  <si>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</si>
  <si>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</si>
  <si>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</si>
  <si>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</si>
  <si>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</si>
  <si>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</si>
  <si>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</si>
  <si>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</si>
  <si>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</si>
  <si>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</si>
  <si>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</si>
  <si>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</si>
  <si>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</si>
  <si>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</si>
  <si>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</si>
  <si>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</si>
  <si>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</si>
  <si>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</si>
  <si>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</si>
  <si>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</si>
  <si>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</si>
  <si>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</si>
  <si>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</si>
  <si>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</si>
  <si>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</si>
  <si>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</si>
  <si>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</si>
  <si>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</si>
  <si>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</si>
  <si>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</si>
  <si>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</si>
  <si>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</si>
  <si>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</si>
  <si>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</si>
  <si>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</si>
  <si>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</si>
  <si>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</si>
  <si>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</si>
  <si>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</si>
  <si>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</si>
  <si>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</si>
  <si>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</si>
  <si>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</si>
  <si>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</si>
  <si>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</si>
  <si>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</si>
  <si>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</si>
  <si>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</si>
  <si>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</si>
  <si>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</si>
  <si>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</si>
  <si>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</si>
  <si>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</si>
  <si>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</si>
  <si>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</si>
  <si>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</si>
  <si>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</si>
  <si>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</si>
  <si>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</si>
  <si>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</si>
  <si>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</si>
  <si>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</si>
  <si>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</si>
  <si>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</si>
  <si>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</si>
  <si>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</si>
  <si>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</si>
  <si>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</si>
  <si>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</si>
  <si>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</si>
  <si>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</si>
  <si>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</si>
  <si>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</si>
  <si>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</si>
  <si>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</si>
  <si>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</si>
  <si>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監視・検知</t>
    <phoneticPr fontId="3"/>
  </si>
  <si>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</si>
  <si>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</si>
  <si>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</si>
  <si>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</si>
  <si>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</si>
  <si>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</si>
  <si>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</si>
  <si>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</si>
  <si>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</si>
  <si>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</si>
  <si>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</si>
  <si>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</si>
  <si>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</si>
  <si>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</si>
  <si>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</si>
  <si>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</si>
  <si>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</si>
  <si>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</si>
  <si>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監査・一括処理</t>
    <phoneticPr fontId="3"/>
  </si>
  <si>
    <t>総当たり攻撃への対処方針と、利用者名を推測されないための対策を選定する</t>
  </si>
  <si>
    <t>方針書。採用する方式と設定値が定まっている</t>
  </si>
  <si>
    <t>不正アクセス対策</t>
    <phoneticPr fontId="3"/>
  </si>
  <si>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</si>
  <si>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</si>
  <si>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</si>
  <si>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</si>
  <si>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</si>
  <si>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</si>
  <si>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</si>
  <si>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</si>
  <si>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</si>
  <si>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</si>
  <si>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</si>
  <si>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接続先管理</t>
    <phoneticPr fontId="3"/>
  </si>
  <si>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</si>
  <si>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</si>
  <si>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</si>
  <si>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</si>
  <si>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</si>
  <si>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</si>
  <si>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</si>
  <si>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</si>
  <si>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</si>
  <si>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</si>
  <si>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</si>
  <si>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</si>
  <si>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</si>
  <si>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</si>
  <si>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</si>
  <si>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</si>
  <si>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</si>
  <si>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利用者支援操作</t>
    <phoneticPr fontId="3"/>
  </si>
  <si>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</si>
  <si>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</si>
  <si>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</si>
  <si>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</si>
  <si>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</si>
  <si>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</si>
  <si>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</si>
  <si>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</si>
  <si>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</si>
  <si>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</si>
  <si>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</si>
  <si>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</si>
  <si>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</si>
  <si>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</si>
  <si>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</si>
  <si>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</si>
  <si>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</si>
  <si>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</si>
  <si>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</si>
  <si>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</si>
  <si>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</si>
  <si>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</si>
  <si>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</si>
  <si>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</si>
  <si>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</si>
  <si>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</si>
  <si>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</si>
  <si>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</si>
  <si>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</si>
  <si>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</si>
  <si>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</si>
  <si>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</si>
  <si>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</si>
  <si>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</si>
  <si>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</si>
  <si>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</si>
  <si>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</si>
  <si>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</si>
  <si>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</si>
  <si>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</si>
  <si>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</si>
  <si>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</si>
  <si>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</si>
  <si>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</si>
  <si>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</si>
  <si>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</si>
  <si>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</si>
  <si>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</si>
  <si>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</si>
  <si>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</si>
  <si>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</si>
  <si>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</si>
  <si>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</si>
  <si>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</si>
  <si>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</si>
  <si>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</si>
  <si>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</si>
  <si>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</si>
  <si>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</si>
  <si>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</si>
  <si>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</si>
  <si>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</si>
  <si>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</si>
  <si>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</si>
  <si>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</si>
  <si>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</si>
  <si>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</si>
  <si>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</si>
  <si>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</si>
  <si>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</si>
  <si>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</si>
  <si>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</si>
  <si>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</si>
  <si>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</si>
  <si>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</si>
  <si>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</si>
  <si>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</si>
  <si>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</si>
  <si>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</si>
  <si>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</si>
  <si>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</si>
  <si>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</si>
  <si>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</si>
  <si>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</si>
  <si>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</si>
  <si>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</si>
  <si>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</si>
  <si>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</si>
  <si>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</si>
  <si>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</si>
  <si>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</si>
  <si>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</si>
  <si>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</si>
  <si>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</si>
  <si>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</si>
  <si>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</si>
  <si>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</si>
  <si>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</si>
  <si>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</si>
  <si>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</si>
  <si>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</si>
  <si>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</si>
  <si>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</si>
  <si>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</si>
  <si>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</si>
  <si>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</si>
  <si>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</si>
  <si>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</si>
  <si>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</si>
  <si>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</si>
  <si>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</si>
  <si>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</si>
  <si>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</si>
  <si>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</si>
  <si>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</si>
  <si>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</si>
  <si>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</si>
  <si>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</si>
  <si>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</si>
  <si>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</si>
  <si>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</si>
  <si>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</si>
  <si>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</si>
  <si>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</si>
  <si>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</si>
  <si>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</si>
  <si>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</si>
  <si>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</si>
  <si>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</si>
  <si>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</si>
  <si>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</si>
  <si>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</si>
  <si>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</si>
  <si>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</si>
  <si>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</si>
  <si>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</si>
  <si>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</si>
  <si>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</si>
  <si>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</si>
  <si>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</si>
  <si>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</si>
  <si>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</si>
  <si>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</si>
  <si>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</si>
  <si>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</si>
  <si>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</si>
  <si>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</si>
  <si>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</si>
  <si>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</si>
  <si>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</si>
  <si>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</si>
  <si>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</si>
  <si>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</si>
  <si>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</si>
  <si>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</si>
  <si>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</si>
  <si>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</si>
  <si>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</si>
  <si>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</si>
  <si>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</si>
  <si>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</si>
  <si>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</si>
  <si>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</si>
  <si>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</si>
  <si>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</si>
  <si>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</si>
  <si>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</si>
  <si>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</si>
  <si>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</si>
  <si>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</si>
  <si>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</si>
  <si>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</si>
  <si>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</si>
  <si>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</si>
  <si>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</si>
  <si>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</si>
  <si>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</si>
  <si>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</si>
  <si>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</si>
  <si>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</si>
  <si>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</si>
  <si>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</si>
  <si>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</si>
  <si>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</si>
  <si>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</si>
  <si>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</si>
  <si>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</si>
  <si>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</si>
  <si>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</si>
  <si>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</si>
  <si>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</si>
  <si>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</si>
  <si>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</si>
  <si>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</si>
  <si>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</si>
  <si>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</si>
  <si>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</si>
  <si>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</si>
  <si>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</si>
  <si>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</si>
  <si>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</si>
  <si>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</si>
  <si>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</si>
  <si>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</si>
  <si>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</si>
  <si>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</si>
  <si>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</si>
  <si>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</si>
  <si>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</si>
  <si>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</si>
  <si>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</si>
  <si>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</si>
  <si>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</si>
  <si>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</si>
  <si>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</si>
  <si>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</si>
  <si>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</si>
  <si>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</si>
  <si>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</si>
  <si>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</si>
  <si>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</si>
  <si>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</si>
  <si>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</si>
  <si>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</si>
  <si>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</si>
  <si>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</si>
  <si>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</si>
  <si>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</si>
  <si>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</si>
  <si>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</si>
  <si>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</si>
  <si>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</si>
  <si>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</si>
  <si>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</si>
  <si>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</si>
  <si>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</si>
  <si>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</si>
  <si>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</si>
  <si>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</si>
  <si>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</si>
  <si>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</si>
  <si>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</si>
  <si>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</si>
  <si>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</si>
  <si>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</si>
  <si>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</si>
  <si>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</si>
  <si>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</si>
  <si>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</si>
  <si>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</si>
  <si>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</si>
  <si>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</si>
  <si>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</si>
  <si>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</si>
  <si>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</si>
  <si>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</si>
  <si>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</si>
  <si>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</si>
  <si>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</si>
  <si>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</si>
  <si>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</si>
  <si>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</si>
  <si>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</si>
  <si>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</si>
  <si>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</si>
  <si>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</si>
  <si>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</si>
  <si>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</si>
  <si>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</si>
  <si>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</si>
  <si>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</si>
  <si>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</si>
  <si>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</si>
  <si>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</si>
  <si>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</si>
  <si>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</si>
  <si>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</si>
  <si>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</si>
  <si>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</si>
  <si>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</si>
  <si>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</si>
  <si>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</si>
  <si>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</si>
  <si>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</si>
  <si>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</si>
  <si>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</si>
  <si>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</si>
  <si>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</si>
  <si>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</si>
  <si>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</si>
  <si>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</si>
  <si>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</si>
  <si>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</si>
  <si>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</si>
  <si>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</si>
  <si>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</si>
  <si>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</si>
  <si>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</si>
  <si>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</si>
  <si>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</si>
  <si>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</si>
  <si>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</si>
  <si>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</si>
  <si>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</si>
  <si>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</si>
  <si>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</si>
  <si>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</si>
  <si>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</si>
  <si>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</si>
  <si>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</si>
  <si>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</si>
  <si>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</si>
  <si>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</si>
  <si>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</si>
  <si>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</si>
  <si>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</si>
  <si>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</si>
  <si>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</si>
  <si>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</si>
  <si>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</si>
  <si>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</si>
  <si>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</si>
  <si>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</si>
  <si>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</si>
  <si>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</si>
  <si>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</si>
  <si>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</si>
  <si>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</si>
  <si>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</si>
  <si>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</si>
  <si>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</si>
  <si>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</si>
  <si>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</si>
  <si>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</si>
  <si>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</si>
  <si>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</si>
  <si>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</si>
  <si>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</si>
  <si>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</si>
  <si>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</si>
  <si>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</si>
  <si>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</si>
  <si>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</si>
  <si>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</si>
  <si>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</si>
  <si>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</si>
  <si>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</si>
  <si>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</si>
  <si>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</si>
  <si>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</si>
  <si>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</si>
  <si>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</si>
  <si>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</si>
  <si>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</si>
  <si>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</si>
  <si>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</si>
  <si>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</si>
  <si>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</si>
  <si>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</si>
  <si>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</si>
  <si>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</si>
  <si>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</si>
  <si>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</si>
  <si>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</si>
  <si>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</si>
  <si>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</si>
  <si>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</si>
  <si>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</si>
  <si>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</si>
  <si>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</si>
  <si>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</si>
  <si>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</si>
  <si>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</si>
  <si>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</si>
  <si>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</si>
  <si>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</si>
  <si>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</si>
  <si>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</si>
  <si>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</si>
  <si>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</si>
  <si>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</si>
  <si>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</si>
  <si>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</si>
  <si>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</si>
  <si>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</si>
  <si>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</si>
  <si>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</si>
  <si>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</si>
  <si>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</si>
  <si>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</si>
  <si>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</si>
  <si>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</si>
  <si>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</si>
  <si>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</si>
  <si>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</si>
  <si>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</si>
  <si>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</si>
  <si>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</si>
  <si>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</si>
  <si>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</si>
  <si>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</si>
  <si>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</si>
  <si>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</si>
  <si>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</si>
  <si>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</si>
  <si>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</si>
  <si>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</si>
  <si>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</si>
  <si>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</si>
  <si>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</si>
  <si>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</si>
  <si>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</si>
  <si>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</si>
  <si>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</si>
  <si>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</si>
  <si>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</si>
  <si>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</si>
  <si>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</si>
  <si>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</si>
  <si>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</si>
  <si>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</si>
  <si>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</si>
  <si>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</si>
  <si>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</si>
  <si>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</si>
  <si>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</si>
  <si>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</si>
  <si>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</si>
  <si>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</si>
  <si>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</si>
  <si>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</si>
  <si>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</si>
  <si>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</si>
  <si>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</si>
  <si>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</si>
  <si>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</si>
  <si>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</si>
  <si>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</si>
  <si>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</si>
  <si>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</si>
  <si>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</si>
  <si>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</si>
  <si>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</si>
  <si>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</si>
  <si>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</si>
  <si>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</si>
  <si>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</si>
  <si>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</si>
  <si>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</si>
  <si>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</si>
  <si>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</si>
  <si>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</si>
  <si>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</si>
  <si>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</si>
  <si>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</si>
  <si>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</si>
  <si>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</si>
  <si>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</si>
  <si>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</si>
  <si>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</si>
  <si>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</si>
  <si>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</si>
  <si>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</si>
  <si>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</si>
  <si>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</si>
  <si>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</si>
  <si>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</si>
  <si>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</si>
  <si>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</si>
  <si>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</si>
  <si>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</si>
  <si>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</si>
  <si>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</si>
  <si>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</si>
  <si>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</si>
  <si>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</si>
  <si>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</si>
  <si>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</si>
  <si>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</si>
  <si>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</si>
  <si>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</si>
  <si>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</si>
  <si>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</si>
  <si>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</si>
  <si>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</si>
  <si>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</si>
  <si>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</si>
  <si>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</si>
  <si>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</si>
  <si>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</si>
  <si>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</si>
  <si>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</si>
  <si>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</si>
  <si>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</si>
  <si>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</si>
  <si>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</si>
  <si>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</si>
  <si>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</si>
  <si>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</si>
  <si>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</si>
  <si>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</si>
  <si>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</si>
  <si>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</si>
  <si>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</si>
  <si>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</si>
  <si>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</si>
  <si>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</si>
  <si>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</si>
  <si>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</si>
  <si>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</si>
  <si>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</si>
  <si>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</si>
  <si>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</si>
  <si>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</si>
  <si>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</si>
  <si>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</si>
  <si>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</si>
  <si>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</si>
  <si>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</si>
  <si>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</si>
  <si>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</si>
  <si>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</si>
  <si>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</si>
  <si>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</si>
  <si>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</si>
  <si>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</si>
  <si>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</si>
  <si>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</si>
  <si>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</si>
  <si>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</si>
  <si>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</si>
  <si>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</si>
  <si>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</si>
  <si>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</si>
  <si>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</si>
  <si>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</si>
  <si>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</si>
  <si>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</si>
  <si>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</si>
  <si>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</si>
  <si>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</si>
  <si>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</si>
  <si>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</si>
  <si>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</si>
  <si>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</si>
  <si>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</si>
  <si>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</si>
  <si>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</si>
  <si>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</si>
  <si>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</si>
  <si>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</si>
  <si>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</si>
  <si>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</si>
  <si>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</si>
  <si>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</si>
  <si>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</si>
  <si>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</si>
  <si>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</si>
  <si>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</si>
  <si>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</si>
  <si>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</si>
  <si>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</si>
  <si>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</si>
  <si>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</si>
  <si>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</si>
  <si>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</si>
  <si>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</si>
  <si>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</si>
  <si>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</si>
  <si>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</si>
  <si>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</si>
  <si>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</si>
  <si>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</si>
  <si>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</si>
  <si>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</si>
  <si>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</si>
  <si>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</si>
  <si>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</si>
  <si>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</si>
  <si>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</si>
  <si>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</si>
  <si>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</si>
  <si>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</si>
  <si>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</si>
  <si>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</si>
  <si>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</si>
  <si>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</si>
  <si>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</si>
  <si>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</si>
  <si>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</si>
  <si>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</si>
  <si>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</si>
  <si>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</si>
  <si>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</si>
  <si>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</si>
  <si>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</si>
  <si>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</si>
  <si>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</si>
  <si>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</si>
  <si>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</si>
  <si>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</si>
  <si>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</si>
  <si>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</si>
  <si>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</si>
  <si>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</si>
  <si>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</si>
  <si>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</si>
  <si>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</si>
  <si>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</si>
  <si>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</si>
  <si>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</si>
  <si>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</si>
  <si>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</si>
  <si>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</si>
  <si>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</si>
  <si>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</si>
  <si>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</si>
  <si>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</si>
  <si>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</si>
  <si>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</si>
  <si>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</si>
  <si>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</si>
  <si>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</si>
  <si>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</si>
  <si>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</si>
  <si>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</si>
  <si>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</si>
  <si>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</si>
  <si>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</si>
  <si>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</si>
  <si>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</si>
  <si>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</si>
  <si>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</si>
  <si>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</si>
  <si>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</si>
  <si>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</si>
  <si>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</si>
  <si>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</si>
  <si>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</si>
  <si>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</si>
  <si>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</si>
  <si>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</si>
  <si>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</si>
  <si>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</si>
  <si>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</si>
  <si>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</si>
  <si>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</si>
  <si>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</si>
  <si>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</si>
  <si>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</si>
  <si>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</si>
  <si>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</si>
  <si>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</si>
  <si>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</si>
  <si>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</si>
  <si>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</si>
  <si>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</si>
  <si>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</si>
  <si>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</si>
  <si>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</si>
  <si>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</si>
  <si>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</si>
  <si>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</si>
  <si>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</si>
  <si>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</si>
  <si>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</si>
  <si>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</si>
  <si>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</si>
  <si>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</si>
  <si>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</si>
  <si>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</si>
  <si>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</si>
  <si>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</si>
  <si>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</si>
  <si>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</si>
  <si>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</si>
  <si>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</si>
  <si>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</si>
  <si>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</si>
  <si>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</si>
  <si>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</si>
  <si>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</si>
  <si>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</si>
  <si>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</si>
  <si>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</si>
  <si>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</si>
  <si>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</si>
  <si>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</si>
  <si>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</si>
  <si>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</si>
  <si>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</si>
  <si>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</si>
  <si>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</si>
  <si>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</si>
  <si>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</si>
  <si>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</si>
  <si>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</si>
  <si>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</si>
  <si>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</si>
  <si>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</si>
  <si>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</si>
  <si>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</si>
  <si>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</si>
  <si>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</si>
  <si>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</si>
  <si>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</si>
  <si>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</si>
  <si>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</si>
  <si>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</si>
  <si>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</si>
  <si>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</si>
  <si>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</si>
  <si>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</si>
  <si>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</si>
  <si>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</si>
  <si>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</si>
  <si>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</si>
  <si>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</si>
  <si>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</si>
  <si>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</si>
  <si>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</si>
  <si>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</si>
  <si>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</si>
  <si>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</si>
  <si>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</si>
  <si>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</si>
  <si>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</si>
  <si>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</si>
  <si>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</si>
  <si>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</si>
  <si>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</si>
  <si>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</si>
  <si>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</si>
  <si>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</si>
  <si>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</si>
  <si>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</si>
  <si>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</si>
  <si>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</si>
  <si>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</si>
  <si>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</si>
  <si>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</si>
  <si>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</si>
  <si>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</si>
  <si>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</si>
  <si>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</si>
  <si>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</si>
  <si>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</si>
  <si>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</si>
  <si>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</si>
  <si>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</si>
  <si>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</si>
  <si>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</si>
  <si>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</si>
  <si>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</si>
  <si>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</si>
  <si>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</si>
  <si>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</si>
  <si>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</si>
  <si>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</si>
  <si>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</si>
  <si>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</si>
  <si>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</si>
  <si>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</si>
  <si>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</si>
  <si>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</si>
  <si>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</si>
  <si>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</si>
  <si>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</si>
  <si>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</si>
  <si>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</si>
  <si>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</si>
  <si>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</si>
  <si>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</si>
  <si>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</si>
  <si>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</si>
  <si>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</si>
  <si>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</si>
  <si>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</si>
  <si>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</si>
  <si>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</si>
  <si>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対象外：災害対策をやらない</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</si>
  <si>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</si>
  <si>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</si>
  <si>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</si>
  <si>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</si>
  <si>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</si>
  <si>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</si>
  <si>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</si>
  <si>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</si>
  <si>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</si>
  <si>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</si>
  <si>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</si>
  <si>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</si>
  <si>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</si>
  <si>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</si>
  <si>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</si>
  <si>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</si>
  <si>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</si>
  <si>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</si>
  <si>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</si>
  <si>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</si>
  <si>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</si>
  <si>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</si>
  <si>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</si>
  <si>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</si>
  <si>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</si>
  <si>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</si>
  <si>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</si>
  <si>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</si>
  <si>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</si>
  <si>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</si>
  <si>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</si>
  <si>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</si>
  <si>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</si>
  <si>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</si>
  <si>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</si>
  <si>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</si>
  <si>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廃止</t>
    <rPh sb="0" eb="2">
      <t>ハイシスル</t>
    </rPh>
    <phoneticPr fontId="3"/>
  </si>
  <si>
    <t>不要。設計として吸収</t>
    <rPh sb="0" eb="2">
      <t>フヨウ</t>
    </rPh>
    <rPh sb="3" eb="5">
      <t>セッケイ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</si>
  <si>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</si>
  <si>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</si>
  <si>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</si>
  <si>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</si>
  <si>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</si>
  <si>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解消ずみ</t>
    <rPh sb="0" eb="2">
      <t>カイショウ</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</si>
  <si>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</si>
  <si>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</si>
  <si>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</si>
  <si>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</si>
  <si>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</si>
  <si>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</si>
  <si>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</si>
  <si>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</si>
  <si>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</si>
  <si>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廃止する</t>
    <rPh sb="0" eb="2">
      <t>ハイシスル</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</si>
  <si>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</si>
  <si>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</si>
  <si>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</si>
  <si>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</si>
  <si>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</si>
  <si>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</si>
  <si>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</si>
  <si>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</si>
  <si>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</si>
  <si>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</si>
  <si>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</si>
  <si>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</si>
  <si>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</si>
  <si>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5項目それぞれ行を分割してほしい</t>
    <rPh sb="1" eb="3">
      <t>コウモクデ</t>
    </rPh>
    <rPh sb="7" eb="8">
      <t>ギョウヲブンカ</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</si>
  <si>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</si>
  <si>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</si>
  <si>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</si>
  <si>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</si>
  <si>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</si>
  <si>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</si>
  <si>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</si>
  <si>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</si>
  <si>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</si>
  <si>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</si>
  <si>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</si>
  <si>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</si>
  <si>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</si>
  <si>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洗い出し済みであれば削除かグレーアウト</t>
    <rPh sb="0" eb="1">
      <t>アライダセィ</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</si>
  <si>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</si>
  <si>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</si>
  <si>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</si>
  <si>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</si>
  <si>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</si>
  <si>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</si>
  <si>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</si>
  <si>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</si>
  <si>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</si>
  <si>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</si>
  <si>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</si>
  <si>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</si>
  <si>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</si>
  <si>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</si>
  <si>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</si>
  <si>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</si>
  <si>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</si>
  <si>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</si>
  <si>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</si>
  <si>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</si>
  <si>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</si>
  <si>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</si>
  <si>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</si>
  <si>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</si>
  <si>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</si>
  <si>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</si>
  <si>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</si>
  <si>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IdP-keycloakの話？それともブローカーの話？違うのであれば分けたい</t>
    <rPh sb="27" eb="28">
      <t>チガウ</t>
    </rPh>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</si>
  <si>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</si>
  <si>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</si>
  <si>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</si>
  <si>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</si>
  <si>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</si>
  <si>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</si>
  <si>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</si>
  <si>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</si>
  <si>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</si>
  <si>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</si>
  <si>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</si>
  <si>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</si>
  <si>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</si>
  <si>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</si>
  <si>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</si>
  <si>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</si>
  <si>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</si>
  <si>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</si>
  <si>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これはKeycloakの画面（HRD、ログインなど）とKeycloak側のIdPや管理画面と分けてほしい</t>
    <rPh sb="0" eb="2">
      <t>コレハ</t>
    </rPh>
    <rPh sb="35" eb="36">
      <t>ガワ</t>
    </rPh>
    <rPh sb="41" eb="45">
      <t>カンリ</t>
    </rPh>
    <phoneticPr fontId="3"/>
  </si>
  <si>
    <t>画面遷移図（エンドユーザー向け）</t>
    <rPh sb="13" eb="14">
      <t>ムケ</t>
    </rPh>
    <phoneticPr fontId="3"/>
  </si>
  <si>
    <t>画面遷移図（内部向け）</t>
    <rPh sb="6" eb="9">
      <t>ナイブ</t>
    </rPh>
    <phoneticPr fontId="3"/>
  </si>
  <si>
    <t>これは何？被っているのであれば不要</t>
    <rPh sb="5" eb="6">
      <t>カブッテ</t>
    </rPh>
    <phoneticPr fontId="3"/>
  </si>
  <si>
    <t>Keycloak内部なのかそれとも別で作るのかで分けたい</t>
    <rPh sb="8" eb="10">
      <t>ナイブ</t>
    </rPh>
    <phoneticPr fontId="3"/>
  </si>
  <si>
    <t>これはまだブレイクダウンが足りていないのか？</t>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</si>
  <si>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</si>
  <si>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</si>
  <si>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</si>
  <si>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</si>
  <si>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Keycloakの整理であればこちら、それ以外はアプリ。行を分けて</t>
    <rPh sb="8" eb="9">
      <t>ノセイリ</t>
    </rPh>
    <rPh sb="28" eb="29">
      <t>ギョウヲ</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</si>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</sst>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19">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08">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24" xfId="0" applyFont="1" applyBorder="1" applyAlignment="1">
      <alignment horizontal="left" vertical="top"/>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5" xfId="0" applyFont="1" applyBorder="1" applyAlignment="1">
      <alignment horizontal="lef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SUM('WBS(基本設計)'!$H$7:$H$456)</f>
        <v>743.25</v>
      </c>
      <c r="C38" s="20" t="s">
        <v>3575</v>
      </c>
      <c r="D38" s="27">
        <f>COUNTA('WBS(基本設計)'!$A$7:$A$456)</f>
        <v>450</v>
      </c>
      <c r="E38" s="25" t="s">
        <v>6680</v>
      </c>
    </row>
    <row r="39" spans="1:8">
      <c r="A39" s="19" t="s">
        <v>3576</v>
      </c>
      <c r="B39" s="169">
        <f>SUMIFS('WBS(詳細設計_製造)'!$F$6:$F$222,'WBS(詳細設計_製造)'!$B$6:$B$222,"DD*")</f>
        <v>473</v>
      </c>
      <c r="C39" s="20" t="s">
        <v>3577</v>
      </c>
      <c r="D39" s="27">
        <f>COUNTIFS('WBS(詳細設計_製造)'!$B$6:$B$222,"DD*")</f>
        <v>102</v>
      </c>
      <c r="E39" s="25" t="s">
        <v>5929</v>
      </c>
      <c r="F39" s="50" t="s">
        <v>5930</v>
      </c>
    </row>
    <row r="40" spans="1:8">
      <c r="A40" s="19" t="s">
        <v>3578</v>
      </c>
      <c r="B40" s="169">
        <v>743</v>
      </c>
      <c r="C40" s="20" t="s">
        <v>3577</v>
      </c>
      <c r="D40" s="27">
        <v>113</v>
      </c>
      <c r="E40" s="25" t="s">
        <v>5848</v>
      </c>
      <c r="F40" s="50" t="s">
        <v>5931</v>
      </c>
    </row>
    <row r="41" spans="1:8">
      <c r="A41" s="19" t="s">
        <v>3579</v>
      </c>
      <c r="B41" s="169">
        <f>SUMIFS('WBS(テスト)'!$E$6:$E$59,'WBS(テスト)'!$B$6:$B$59,"&lt;&gt;")</f>
        <v>429</v>
      </c>
      <c r="C41" s="20" t="s">
        <v>3580</v>
      </c>
      <c r="D41" s="27">
        <f>COUNTIFS('WBS(テスト)'!$B$6:$B$59,"&lt;&gt;")</f>
        <v>54</v>
      </c>
      <c r="E41" s="25" t="s">
        <v>5629</v>
      </c>
    </row>
    <row r="42" spans="1:8">
      <c r="A42" s="157" t="s">
        <v>3581</v>
      </c>
      <c r="B42" s="170">
        <f>B39+B40+B41</f>
        <v>1645</v>
      </c>
      <c r="C42" s="171" t="s">
        <v>3582</v>
      </c>
      <c r="D42" s="154"/>
      <c r="E42" s="158"/>
    </row>
    <row r="43" spans="1:8">
      <c r="A43" s="21" t="s">
        <v>3583</v>
      </c>
      <c r="B43" s="172">
        <f>B38+B42</f>
        <v>2388.25</v>
      </c>
      <c r="C43" s="22" t="s">
        <v>3582</v>
      </c>
      <c r="D43" s="28"/>
      <c r="E43" s="159"/>
      <c r="F43" s="45" t="s">
        <v>6504</v>
      </c>
    </row>
    <row r="44" spans="1:8">
      <c r="A44" s="302" t="s">
        <v>7705</v>
      </c>
    </row>
    <row r="45" spans="1:8">
      <c r="A45" s="266" t="s">
        <v>8231</v>
      </c>
    </row>
    <row r="46" spans="1:8">
      <c r="A46" s="303" t="s">
        <v>7565</v>
      </c>
    </row>
    <row r="47" spans="1:8">
      <c r="A47" s="45" t="s">
        <v>7706</v>
      </c>
    </row>
    <row r="48" spans="1:8">
      <c r="A48" t="s">
        <v>8679</v>
      </c>
    </row>
    <row r="49" spans="1:3">
      <c r="A49" s="2" t="s">
        <v>7566</v>
      </c>
    </row>
    <row r="50" spans="1:3">
      <c r="A50" t="s">
        <v>7567</v>
      </c>
      <c r="B50" s="311">
        <v>24</v>
      </c>
      <c r="C50" t="s">
        <v>7568</v>
      </c>
    </row>
    <row r="51" spans="1:3">
      <c r="A51" s="2" t="s">
        <v>7569</v>
      </c>
      <c r="B51" s="2" t="s">
        <v>7570</v>
      </c>
      <c r="C51" s="2" t="s">
        <v>7571</v>
      </c>
    </row>
    <row r="52" spans="1:3">
      <c r="A52">
        <v>2</v>
      </c>
      <c r="B52" s="312">
        <f>$B$38/($B$50*$A52)</f>
        <v>15.484375</v>
      </c>
      <c r="C52" s="312">
        <f>$B$43/($B$50*$A52)</f>
        <v>49.755208333333336</v>
      </c>
    </row>
    <row r="53" spans="1:3">
      <c r="A53">
        <v>3</v>
      </c>
      <c r="B53" s="312">
        <f>$B$38/($B$50*$A53)</f>
        <v>10.322916666666666</v>
      </c>
      <c r="C53" s="312">
        <f>$B$43/($B$50*$A53)</f>
        <v>33.170138888888886</v>
      </c>
    </row>
    <row r="54" spans="1:3">
      <c r="A54">
        <v>4</v>
      </c>
      <c r="B54" s="312">
        <f>$B$38/($B$50*$A54)</f>
        <v>7.7421875</v>
      </c>
      <c r="C54" s="312">
        <f>$B$43/($B$50*$A54)</f>
        <v>24.877604166666668</v>
      </c>
    </row>
    <row r="55" spans="1:3">
      <c r="A55" s="218" t="s">
        <v>8586</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5857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5858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5854</v>
      </c>
      <c r="J16" s="30" t="s">
        <v>5855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7489</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SUMIFS('WBS(基本設計)'!$H$7:$H$456,'WBS(基本設計)'!$B$7:$B$456,"A-*")</f>
        <v>43</v>
      </c>
      <c r="J34" s="30">
        <v>39</v>
      </c>
    </row>
    <row r="35" spans="1:11">
      <c r="A35" s="79" t="s">
        <v>5849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SUMIFS('WBS(基本設計)'!$H$7:$H$456,'WBS(基本設計)'!$B$7:$B$456,"B-*")</f>
        <v>6.5</v>
      </c>
      <c r="J35" s="30">
        <v>9</v>
      </c>
    </row>
    <row r="36" spans="1:11">
      <c r="A36" s="79" t="s">
        <v>7558</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SUMIFS('WBS(基本設計)'!$H$7:$H$456,'WBS(基本設計)'!$B$7:$B$456,"C-*")</f>
        <v>0</v>
      </c>
      <c r="J36" s="30">
        <v>13</v>
      </c>
    </row>
    <row r="37" spans="1:11">
      <c r="A37" s="79" t="s">
        <v>7559</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SUMIFS('WBS(基本設計)'!$H$7:$H$456,'WBS(基本設計)'!$B$7:$B$456,"D-*")</f>
        <v>58</v>
      </c>
      <c r="J37" s="30">
        <v>31</v>
      </c>
    </row>
    <row r="38" spans="1:11">
      <c r="A38" s="79" t="s">
        <v>5850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SUMIFS('WBS(基本設計)'!$H$7:$H$456,'WBS(基本設計)'!$B$7:$B$456,"E-*")</f>
        <v>33</v>
      </c>
      <c r="J38" s="30">
        <v>10</v>
      </c>
    </row>
    <row r="39" spans="1:11">
      <c r="A39" s="79" t="s">
        <v>5851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SUMIFS('WBS(基本設計)'!$H$7:$H$456,'WBS(基本設計)'!$B$7:$B$456,"F-*")</f>
        <v>15</v>
      </c>
      <c r="J39" s="30">
        <v>4</v>
      </c>
    </row>
    <row r="40" spans="1:11">
      <c r="A40" s="85" t="s">
        <v>5852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SUMIFS('WBS(基本設計)'!$H$7:$H$456,'WBS(基本設計)'!$B$7:$B$456,"G-*")</f>
        <v>22</v>
      </c>
      <c r="J40" s="30">
        <v>14</v>
      </c>
    </row>
    <row r="41" spans="1:11">
      <c r="A41" s="304" t="s">
        <v>7466</v>
      </c>
      <c r="B41" s="305" t="s">
        <v>2196</v>
      </c>
      <c r="C41" s="305" t="s">
        <v>5853</v>
      </c>
      <c r="D41" s="306">
        <v>148</v>
      </c>
      <c r="E41" s="306"/>
      <c r="F41" s="306"/>
      <c r="G41" s="306"/>
      <c r="H41" s="306"/>
      <c r="I41" s="30">
        <f>SUMIFS('WBS(基本設計)'!$H$7:$H$456,'WBS(基本設計)'!$B$7:$B$456,"H-*")</f>
        <v>565.75</v>
      </c>
      <c r="J41" s="30">
        <v>292</v>
      </c>
      <c r="K41" s="30" t="s">
        <v>6681</v>
      </c>
    </row>
    <row r="42" spans="1:11">
      <c r="A42" s="30" t="s">
        <v>5856</v>
      </c>
      <c r="I42" s="30">
        <f>SUM(I34:I41)</f>
        <v>743.25</v>
      </c>
      <c r="J42" s="30">
        <f>SUM(J34:J41)</f>
        <v>412</v>
      </c>
    </row>
    <row r="43" spans="1:11">
      <c r="A43" s="78" t="s">
        <v>3475</v>
      </c>
      <c r="B43" s="53" t="s">
        <v>3476</v>
      </c>
      <c r="C43" s="53" t="s">
        <v>3477</v>
      </c>
      <c r="D43" s="54" t="s">
        <v>2440</v>
      </c>
    </row>
    <row r="44" spans="1:11">
      <c r="A44" s="307" t="s">
        <v>5859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5" t="s">
        <v>8268</v>
      </c>
    </row>
    <row r="85" spans="1:5">
      <c r="A85" s="135" t="s">
        <v>1</v>
      </c>
      <c r="B85" s="135" t="s">
        <v>8269</v>
      </c>
      <c r="C85" s="135" t="s">
        <v>8263</v>
      </c>
      <c r="D85" s="135" t="s">
        <v>8270</v>
      </c>
      <c r="E85" s="135" t="s">
        <v>3032</v>
      </c>
    </row>
    <row r="86" spans="1:5">
      <c r="A86" s="30" t="s">
        <v>6499</v>
      </c>
      <c r="B86" s="336">
        <v>91</v>
      </c>
      <c r="C86" s="336">
        <v>48</v>
      </c>
      <c r="D86" s="336">
        <v>78</v>
      </c>
      <c r="E86" s="30" t="s">
        <v>8271</v>
      </c>
    </row>
    <row r="87" spans="1:5">
      <c r="A87" s="30" t="s">
        <v>8272</v>
      </c>
      <c r="B87" s="337">
        <v>754</v>
      </c>
      <c r="C87" s="337">
        <v>561</v>
      </c>
      <c r="D87" s="337">
        <v>678.5</v>
      </c>
    </row>
    <row r="88" spans="1:5">
      <c r="A88" s="30" t="s">
        <v>2522</v>
      </c>
      <c r="B88" s="337">
        <v>473</v>
      </c>
      <c r="C88" s="337">
        <v>352</v>
      </c>
      <c r="D88" s="337">
        <v>415</v>
      </c>
    </row>
    <row r="89" spans="1:5">
      <c r="A89" s="30" t="s">
        <v>5776</v>
      </c>
      <c r="B89" s="337">
        <v>743</v>
      </c>
      <c r="C89" s="337">
        <v>520</v>
      </c>
      <c r="D89" s="337">
        <v>640</v>
      </c>
    </row>
    <row r="90" spans="1:5">
      <c r="A90" s="30" t="s">
        <v>2523</v>
      </c>
      <c r="B90" s="337">
        <v>429</v>
      </c>
      <c r="C90" s="337">
        <v>310</v>
      </c>
      <c r="D90" s="337">
        <v>375</v>
      </c>
    </row>
    <row r="91" spans="1:5">
      <c r="A91" s="78" t="s">
        <v>8273</v>
      </c>
      <c r="B91" s="338">
        <f>SUM(B87:B90)</f>
        <v>2399</v>
      </c>
      <c r="C91" s="338">
        <f>SUM(C87:C90)</f>
        <v>1743</v>
      </c>
      <c r="D91" s="338">
        <f>SUM(D87:D90)</f>
        <v>2108.5</v>
      </c>
    </row>
    <row r="92" spans="1:5">
      <c r="A92" s="30" t="s">
        <v>8274</v>
      </c>
      <c r="B92" s="337">
        <v>315</v>
      </c>
      <c r="C92" s="337">
        <v>245</v>
      </c>
      <c r="D92" s="337">
        <v>280</v>
      </c>
    </row>
    <row r="93" spans="1:5">
      <c r="A93" s="78" t="s">
        <v>8275</v>
      </c>
      <c r="B93" s="339">
        <f>B91+B92</f>
        <v>2714</v>
      </c>
      <c r="C93" s="339">
        <f>C91+C92</f>
        <v>1988</v>
      </c>
      <c r="D93" s="339">
        <f>D91+D92</f>
        <v>2388.5</v>
      </c>
    </row>
    <row r="94" spans="1:5">
      <c r="A94" s="340" t="s">
        <v>8276</v>
      </c>
    </row>
    <row r="95" spans="1:5">
      <c r="A95" s="340" t="s">
        <v>8277</v>
      </c>
    </row>
    <row r="96" spans="1:5">
      <c r="A96" s="341" t="s">
        <v>8405</v>
      </c>
    </row>
    <row r="98" spans="1:4">
      <c r="A98" s="335" t="s">
        <v>8615</v>
      </c>
    </row>
    <row r="99" spans="1:4">
      <c r="A99" s="134" t="s">
        <v>2520</v>
      </c>
      <c r="B99" s="135" t="s">
        <v>8269</v>
      </c>
      <c r="C99" s="135" t="s">
        <v>8584</v>
      </c>
      <c r="D99" s="135" t="s">
        <v>8605</v>
      </c>
    </row>
    <row r="100" spans="1:4">
      <c r="A100" s="30" t="s">
        <v>8272</v>
      </c>
      <c r="B100" s="30">
        <v>754</v>
      </c>
      <c r="C100" s="30">
        <v>704</v>
      </c>
      <c r="D100" s="30">
        <f t="shared" ref="D100:D106" si="2">B100-C100</f>
        <v>50</v>
      </c>
    </row>
    <row r="101" spans="1:4">
      <c r="A101" s="30" t="s">
        <v>2522</v>
      </c>
      <c r="B101" s="30">
        <v>473</v>
      </c>
      <c r="C101" s="30">
        <v>439</v>
      </c>
      <c r="D101" s="30">
        <f t="shared" si="2"/>
        <v>34</v>
      </c>
    </row>
    <row r="102" spans="1:4">
      <c r="A102" s="30" t="s">
        <v>5776</v>
      </c>
      <c r="B102" s="30">
        <v>743</v>
      </c>
      <c r="C102" s="30">
        <v>643</v>
      </c>
      <c r="D102" s="30">
        <f t="shared" si="2"/>
        <v>100</v>
      </c>
    </row>
    <row r="103" spans="1:4">
      <c r="A103" s="30" t="s">
        <v>2523</v>
      </c>
      <c r="B103" s="30">
        <v>429</v>
      </c>
      <c r="C103" s="30">
        <v>405</v>
      </c>
      <c r="D103" s="30">
        <f t="shared" si="2"/>
        <v>24</v>
      </c>
    </row>
    <row r="104" spans="1:4">
      <c r="A104" s="78" t="s">
        <v>8273</v>
      </c>
      <c r="B104" s="78">
        <f>SUM(B100:B103)</f>
        <v>2399</v>
      </c>
      <c r="C104" s="78">
        <f>SUM(C100:C103)</f>
        <v>2191</v>
      </c>
      <c r="D104" s="78">
        <f t="shared" si="2"/>
        <v>208</v>
      </c>
    </row>
    <row r="105" spans="1:4">
      <c r="A105" s="30" t="s">
        <v>5389</v>
      </c>
      <c r="B105" s="30">
        <v>315</v>
      </c>
      <c r="C105" s="30">
        <v>304</v>
      </c>
      <c r="D105" s="30">
        <f t="shared" si="2"/>
        <v>11</v>
      </c>
    </row>
    <row r="106" spans="1:4">
      <c r="A106" s="78" t="s">
        <v>8275</v>
      </c>
      <c r="B106" s="294">
        <f>B104+B105</f>
        <v>2714</v>
      </c>
      <c r="C106" s="294">
        <f>C104+C105</f>
        <v>2495</v>
      </c>
      <c r="D106" s="78">
        <f t="shared" si="2"/>
        <v>219</v>
      </c>
    </row>
    <row r="107" spans="1:4">
      <c r="A107" s="340" t="s">
        <v>8606</v>
      </c>
    </row>
    <row r="108" spans="1:4">
      <c r="A108" s="365" t="s">
        <v>8585</v>
      </c>
    </row>
    <row r="109" spans="1:4">
      <c r="A109" s="30" t="s">
        <v>8616</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56"/>
  <sheetViews>
    <sheetView tabSelected="1" zoomScaleNormal="100" workbookViewId="0">
      <pane ySplit="6" topLeftCell="A7" activePane="bottomLeft" state="frozen"/>
      <selection pane="bottomLeft" activeCell="G33" sqref="G33"/>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0" ht="22" customHeight="1">
      <c r="A1" s="78" t="s">
        <v>8690</v>
      </c>
      <c r="B1" s="30"/>
      <c r="C1" s="30"/>
      <c r="D1" s="30"/>
      <c r="E1" s="30"/>
      <c r="F1" s="30"/>
      <c r="G1" s="30"/>
      <c r="H1" s="30"/>
      <c r="I1" s="30"/>
      <c r="J1" s="30"/>
      <c r="K1" s="30"/>
      <c r="L1" s="30"/>
      <c r="M1" s="30"/>
      <c r="N1" s="30"/>
      <c r="O1" s="30"/>
      <c r="P1" s="30"/>
      <c r="Q1" s="30"/>
      <c r="R1" s="30"/>
      <c r="S1" s="30"/>
      <c r="T1" s="30"/>
    </row>
    <row r="2" spans="1:20" ht="22" customHeight="1">
      <c r="A2" s="364" t="s">
        <v>8702</v>
      </c>
      <c r="B2" s="30"/>
      <c r="C2" s="30"/>
      <c r="D2" s="30"/>
      <c r="E2" s="30"/>
      <c r="F2" s="30"/>
      <c r="G2" s="30"/>
      <c r="H2" s="30"/>
      <c r="I2" s="30"/>
      <c r="J2" s="30"/>
      <c r="K2" s="30"/>
      <c r="L2" s="30"/>
      <c r="M2" s="30"/>
      <c r="N2" s="30"/>
      <c r="O2" s="30"/>
      <c r="P2" s="30"/>
      <c r="Q2" s="30"/>
      <c r="R2" s="30"/>
      <c r="S2" s="30"/>
      <c r="T2" s="30"/>
    </row>
    <row r="3" spans="1:20" ht="22" customHeight="1">
      <c r="A3" s="351" t="s">
        <v>8701</v>
      </c>
      <c r="B3" s="30"/>
      <c r="C3" s="30"/>
      <c r="D3" s="30"/>
      <c r="E3" s="30"/>
      <c r="F3" s="30"/>
      <c r="G3" s="30"/>
      <c r="H3" s="30"/>
      <c r="I3" s="30"/>
      <c r="J3" s="30"/>
      <c r="K3" s="30"/>
      <c r="L3" s="30"/>
      <c r="M3" s="30"/>
      <c r="N3" s="30"/>
      <c r="O3" s="30"/>
      <c r="P3" s="30"/>
      <c r="Q3" s="30"/>
      <c r="R3" s="30"/>
      <c r="S3" s="30"/>
      <c r="T3" s="30"/>
    </row>
    <row r="4" spans="1:20" ht="22" customHeight="1">
      <c r="A4" s="351" t="s">
        <v>8703</v>
      </c>
      <c r="B4" s="30"/>
      <c r="C4" s="30"/>
      <c r="D4" s="30"/>
      <c r="E4" s="30"/>
      <c r="F4" s="30"/>
      <c r="G4" s="30"/>
      <c r="H4" s="30"/>
      <c r="I4" s="30"/>
      <c r="J4" s="30"/>
      <c r="K4" s="30"/>
      <c r="L4" s="30"/>
      <c r="M4" s="30"/>
      <c r="N4" s="30"/>
      <c r="O4" s="30"/>
      <c r="P4" s="30"/>
      <c r="Q4" s="30"/>
      <c r="R4" s="30"/>
      <c r="S4" s="30"/>
      <c r="T4" s="30"/>
    </row>
    <row r="5" spans="1:20" ht="22" customHeight="1">
      <c r="A5" s="352" t="s">
        <v>8687</v>
      </c>
      <c r="B5" s="30"/>
      <c r="C5" s="30"/>
      <c r="D5" s="30"/>
      <c r="E5" s="30"/>
      <c r="F5" s="30"/>
      <c r="G5" s="30"/>
      <c r="H5" s="30"/>
      <c r="I5" s="30"/>
      <c r="J5" s="30"/>
      <c r="K5" s="30"/>
      <c r="L5" s="30"/>
      <c r="M5" s="30"/>
      <c r="N5" s="30"/>
      <c r="O5" s="30"/>
      <c r="P5" s="30"/>
      <c r="Q5" s="30"/>
      <c r="R5" s="30"/>
      <c r="S5" s="30"/>
      <c r="T5" s="30"/>
    </row>
    <row r="6" spans="1:20" ht="22" customHeight="1">
      <c r="A6" s="342" t="s">
        <v>3476</v>
      </c>
      <c r="B6" s="342" t="s">
        <v>8013</v>
      </c>
      <c r="C6" s="342" t="s">
        <v>8680</v>
      </c>
      <c r="D6" s="342" t="s">
        <v>8618</v>
      </c>
      <c r="E6" s="342" t="s">
        <v>8014</v>
      </c>
      <c r="F6" s="342" t="s">
        <v>7361</v>
      </c>
      <c r="G6" s="342" t="s">
        <v>7362</v>
      </c>
      <c r="H6" s="342" t="s">
        <v>3571</v>
      </c>
      <c r="I6" s="342" t="s">
        <v>7784</v>
      </c>
      <c r="J6" s="342" t="s">
        <v>7259</v>
      </c>
      <c r="K6" s="342" t="s">
        <v>8698</v>
      </c>
      <c r="L6" s="342" t="s">
        <v>8700</v>
      </c>
      <c r="M6" s="342" t="s">
        <v>8279</v>
      </c>
      <c r="N6" s="342" t="s">
        <v>8296</v>
      </c>
      <c r="O6" s="342" t="s">
        <v>3573</v>
      </c>
      <c r="P6" s="342" t="s">
        <v>8648</v>
      </c>
      <c r="Q6" s="342" t="s">
        <v>7363</v>
      </c>
      <c r="R6" s="342" t="s">
        <v>2440</v>
      </c>
      <c r="S6" s="342" t="s">
        <v>1549</v>
      </c>
      <c r="T6" s="342" t="s">
        <v>6505</v>
      </c>
    </row>
    <row r="7" spans="1:20" ht="22" customHeight="1">
      <c r="A7" s="343" t="s">
        <v>5297</v>
      </c>
      <c r="B7" s="343" t="s">
        <v>7601</v>
      </c>
      <c r="C7" s="350" t="s">
        <v>8681</v>
      </c>
      <c r="D7" s="343" t="s">
        <v>8719</v>
      </c>
      <c r="E7" s="344" t="s">
        <v>7467</v>
      </c>
      <c r="F7" s="344" t="s">
        <v>7602</v>
      </c>
      <c r="G7" s="344" t="s">
        <v>7603</v>
      </c>
      <c r="H7" s="345">
        <v>0.5</v>
      </c>
      <c r="I7" s="344" t="s">
        <v>2733</v>
      </c>
      <c r="J7" s="344" t="s">
        <v>7262</v>
      </c>
      <c r="K7" s="349" t="s">
        <v>8692</v>
      </c>
      <c r="L7" s="349" t="s">
        <v>8692</v>
      </c>
      <c r="M7" s="359" t="s">
        <v>8295</v>
      </c>
      <c r="N7" s="359" t="s">
        <v>8302</v>
      </c>
      <c r="O7" s="359" t="s">
        <v>8574</v>
      </c>
      <c r="P7" s="350" t="s">
        <v>8650</v>
      </c>
      <c r="Q7" s="343" t="s">
        <v>2233</v>
      </c>
      <c r="R7" s="343" t="s">
        <v>4</v>
      </c>
      <c r="S7" s="343"/>
      <c r="T7" s="343" t="s">
        <v>2733</v>
      </c>
    </row>
    <row r="8" spans="1:20" ht="22" customHeight="1">
      <c r="A8" s="343" t="s">
        <v>5298</v>
      </c>
      <c r="B8" s="343" t="s">
        <v>7604</v>
      </c>
      <c r="C8" s="350" t="s">
        <v>8681</v>
      </c>
      <c r="D8" s="343" t="s">
        <v>8720</v>
      </c>
      <c r="E8" s="344" t="s">
        <v>7605</v>
      </c>
      <c r="F8" s="344" t="s">
        <v>7606</v>
      </c>
      <c r="G8" s="344" t="s">
        <v>7607</v>
      </c>
      <c r="H8" s="345">
        <v>2</v>
      </c>
      <c r="I8" s="344" t="s">
        <v>2733</v>
      </c>
      <c r="J8" s="344" t="s">
        <v>7608</v>
      </c>
      <c r="K8" s="349" t="s">
        <v>8692</v>
      </c>
      <c r="L8" s="349" t="s">
        <v>8692</v>
      </c>
      <c r="M8" s="359" t="s">
        <v>8295</v>
      </c>
      <c r="N8" s="359" t="s">
        <v>8302</v>
      </c>
      <c r="O8" s="359" t="s">
        <v>8688</v>
      </c>
      <c r="P8" s="350" t="s">
        <v>8650</v>
      </c>
      <c r="Q8" s="343" t="s">
        <v>2233</v>
      </c>
      <c r="R8" s="343" t="s">
        <v>4</v>
      </c>
      <c r="S8" s="343"/>
      <c r="T8" s="343" t="s">
        <v>2733</v>
      </c>
    </row>
    <row r="9" spans="1:20" ht="22" customHeight="1">
      <c r="A9" s="343" t="s">
        <v>5299</v>
      </c>
      <c r="B9" s="343" t="s">
        <v>7604</v>
      </c>
      <c r="C9" s="350" t="s">
        <v>8681</v>
      </c>
      <c r="D9" s="343" t="s">
        <v>8724</v>
      </c>
      <c r="E9" s="344" t="s">
        <v>7609</v>
      </c>
      <c r="F9" s="344" t="s">
        <v>7610</v>
      </c>
      <c r="G9" s="344" t="s">
        <v>7611</v>
      </c>
      <c r="H9" s="345">
        <v>3</v>
      </c>
      <c r="I9" s="344" t="s">
        <v>7925</v>
      </c>
      <c r="J9" s="344" t="s">
        <v>7926</v>
      </c>
      <c r="K9" s="349" t="s">
        <v>8692</v>
      </c>
      <c r="L9" s="349" t="s">
        <v>8693</v>
      </c>
      <c r="M9" s="359" t="s">
        <v>8281</v>
      </c>
      <c r="N9" s="359" t="s">
        <v>8314</v>
      </c>
      <c r="O9" s="359" t="s">
        <v>8574</v>
      </c>
      <c r="P9" s="350" t="s">
        <v>8652</v>
      </c>
      <c r="Q9" s="343" t="s">
        <v>2233</v>
      </c>
      <c r="R9" s="343" t="s">
        <v>4</v>
      </c>
      <c r="S9" s="343"/>
      <c r="T9" s="343" t="s">
        <v>7924</v>
      </c>
    </row>
    <row r="10" spans="1:20" ht="22" customHeight="1">
      <c r="A10" s="343" t="s">
        <v>5300</v>
      </c>
      <c r="B10" s="343" t="s">
        <v>7604</v>
      </c>
      <c r="C10" s="350" t="s">
        <v>8681</v>
      </c>
      <c r="D10" s="343" t="s">
        <v>8724</v>
      </c>
      <c r="E10" s="344" t="s">
        <v>7612</v>
      </c>
      <c r="F10" s="344" t="s">
        <v>7613</v>
      </c>
      <c r="G10" s="344" t="s">
        <v>7614</v>
      </c>
      <c r="H10" s="345">
        <v>2</v>
      </c>
      <c r="I10" s="344" t="s">
        <v>2733</v>
      </c>
      <c r="J10" s="344" t="s">
        <v>7608</v>
      </c>
      <c r="K10" s="349" t="s">
        <v>8692</v>
      </c>
      <c r="L10" s="349" t="s">
        <v>8692</v>
      </c>
      <c r="M10" s="359" t="s">
        <v>8295</v>
      </c>
      <c r="N10" s="359" t="s">
        <v>8302</v>
      </c>
      <c r="O10" s="359" t="s">
        <v>8574</v>
      </c>
      <c r="P10" s="350" t="s">
        <v>8650</v>
      </c>
      <c r="Q10" s="343" t="s">
        <v>2233</v>
      </c>
      <c r="R10" s="343" t="s">
        <v>4</v>
      </c>
      <c r="S10" s="343"/>
      <c r="T10" s="343" t="s">
        <v>2733</v>
      </c>
    </row>
    <row r="11" spans="1:20" ht="22" customHeight="1">
      <c r="A11" s="343" t="s">
        <v>5301</v>
      </c>
      <c r="B11" s="343" t="s">
        <v>7604</v>
      </c>
      <c r="C11" s="350" t="s">
        <v>8681</v>
      </c>
      <c r="D11" s="343" t="s">
        <v>8724</v>
      </c>
      <c r="E11" s="344" t="s">
        <v>7615</v>
      </c>
      <c r="F11" s="344" t="s">
        <v>7616</v>
      </c>
      <c r="G11" s="344" t="s">
        <v>7617</v>
      </c>
      <c r="H11" s="345">
        <v>1</v>
      </c>
      <c r="I11" s="344" t="s">
        <v>2733</v>
      </c>
      <c r="J11" s="344" t="s">
        <v>7618</v>
      </c>
      <c r="K11" s="349" t="s">
        <v>8692</v>
      </c>
      <c r="L11" s="349" t="s">
        <v>8692</v>
      </c>
      <c r="M11" s="359" t="s">
        <v>8295</v>
      </c>
      <c r="N11" s="359" t="s">
        <v>8302</v>
      </c>
      <c r="O11" s="359" t="s">
        <v>8574</v>
      </c>
      <c r="P11" s="350" t="s">
        <v>8650</v>
      </c>
      <c r="Q11" s="343" t="s">
        <v>2233</v>
      </c>
      <c r="R11" s="343" t="s">
        <v>4</v>
      </c>
      <c r="S11" s="343"/>
      <c r="T11" s="343" t="s">
        <v>2733</v>
      </c>
    </row>
    <row r="12" spans="1:20" ht="22" customHeight="1">
      <c r="A12" s="343" t="s">
        <v>5302</v>
      </c>
      <c r="B12" s="343" t="s">
        <v>7619</v>
      </c>
      <c r="C12" s="350" t="s">
        <v>8681</v>
      </c>
      <c r="D12" s="343" t="s">
        <v>8721</v>
      </c>
      <c r="E12" s="344" t="s">
        <v>7620</v>
      </c>
      <c r="F12" s="344" t="s">
        <v>7621</v>
      </c>
      <c r="G12" s="344" t="s">
        <v>7622</v>
      </c>
      <c r="H12" s="345">
        <v>5</v>
      </c>
      <c r="I12" s="344" t="s">
        <v>7796</v>
      </c>
      <c r="J12" s="344" t="s">
        <v>7297</v>
      </c>
      <c r="K12" s="349" t="s">
        <v>8692</v>
      </c>
      <c r="L12" s="349" t="s">
        <v>8693</v>
      </c>
      <c r="M12" s="359" t="s">
        <v>8283</v>
      </c>
      <c r="N12" s="359" t="s">
        <v>8319</v>
      </c>
      <c r="O12" s="359" t="s">
        <v>8574</v>
      </c>
      <c r="P12" s="350" t="s">
        <v>8653</v>
      </c>
      <c r="Q12" s="343" t="s">
        <v>2233</v>
      </c>
      <c r="R12" s="343" t="s">
        <v>4</v>
      </c>
      <c r="S12" s="343"/>
      <c r="T12" s="343" t="s">
        <v>6314</v>
      </c>
    </row>
    <row r="13" spans="1:20" ht="22" customHeight="1">
      <c r="A13" s="343" t="s">
        <v>5303</v>
      </c>
      <c r="B13" s="343" t="s">
        <v>7619</v>
      </c>
      <c r="C13" s="350" t="s">
        <v>8681</v>
      </c>
      <c r="D13" s="343" t="s">
        <v>8721</v>
      </c>
      <c r="E13" s="344" t="s">
        <v>7623</v>
      </c>
      <c r="F13" s="344" t="s">
        <v>7624</v>
      </c>
      <c r="G13" s="344" t="s">
        <v>7625</v>
      </c>
      <c r="H13" s="345">
        <v>3</v>
      </c>
      <c r="I13" s="344" t="s">
        <v>7796</v>
      </c>
      <c r="J13" s="344" t="s">
        <v>7297</v>
      </c>
      <c r="K13" s="349" t="s">
        <v>8692</v>
      </c>
      <c r="L13" s="349" t="s">
        <v>8693</v>
      </c>
      <c r="M13" s="359" t="s">
        <v>8283</v>
      </c>
      <c r="N13" s="359" t="s">
        <v>8319</v>
      </c>
      <c r="O13" s="359" t="s">
        <v>8574</v>
      </c>
      <c r="P13" s="350" t="s">
        <v>8653</v>
      </c>
      <c r="Q13" s="343" t="s">
        <v>2233</v>
      </c>
      <c r="R13" s="343" t="s">
        <v>4</v>
      </c>
      <c r="S13" s="343"/>
      <c r="T13" s="343" t="s">
        <v>6314</v>
      </c>
    </row>
    <row r="14" spans="1:20" ht="22" customHeight="1">
      <c r="A14" s="343" t="s">
        <v>5304</v>
      </c>
      <c r="B14" s="343" t="s">
        <v>7619</v>
      </c>
      <c r="C14" s="350" t="s">
        <v>8681</v>
      </c>
      <c r="D14" s="343" t="s">
        <v>8719</v>
      </c>
      <c r="E14" s="344" t="s">
        <v>7626</v>
      </c>
      <c r="F14" s="344" t="s">
        <v>7627</v>
      </c>
      <c r="G14" s="344" t="s">
        <v>7628</v>
      </c>
      <c r="H14" s="345">
        <v>1</v>
      </c>
      <c r="I14" s="344" t="s">
        <v>7798</v>
      </c>
      <c r="J14" s="344" t="s">
        <v>7304</v>
      </c>
      <c r="K14" s="349" t="s">
        <v>8692</v>
      </c>
      <c r="L14" s="349" t="s">
        <v>8693</v>
      </c>
      <c r="M14" s="359" t="s">
        <v>8284</v>
      </c>
      <c r="N14" s="359" t="s">
        <v>8298</v>
      </c>
      <c r="O14" s="359" t="s">
        <v>8574</v>
      </c>
      <c r="P14" s="350" t="s">
        <v>8653</v>
      </c>
      <c r="Q14" s="343" t="s">
        <v>2233</v>
      </c>
      <c r="R14" s="343" t="s">
        <v>4</v>
      </c>
      <c r="S14" s="343"/>
      <c r="T14" s="343" t="s">
        <v>6333</v>
      </c>
    </row>
    <row r="15" spans="1:20" ht="22" customHeight="1">
      <c r="A15" s="343" t="s">
        <v>5306</v>
      </c>
      <c r="B15" s="343" t="s">
        <v>7629</v>
      </c>
      <c r="C15" s="350" t="s">
        <v>8681</v>
      </c>
      <c r="D15" s="343" t="s">
        <v>8722</v>
      </c>
      <c r="E15" s="344" t="s">
        <v>7630</v>
      </c>
      <c r="F15" s="344" t="s">
        <v>7631</v>
      </c>
      <c r="G15" s="344" t="s">
        <v>7632</v>
      </c>
      <c r="H15" s="345">
        <v>3</v>
      </c>
      <c r="I15" s="344" t="s">
        <v>7787</v>
      </c>
      <c r="J15" s="344" t="s">
        <v>7270</v>
      </c>
      <c r="K15" s="349" t="s">
        <v>8692</v>
      </c>
      <c r="L15" s="349" t="s">
        <v>8692</v>
      </c>
      <c r="M15" s="359" t="s">
        <v>8280</v>
      </c>
      <c r="N15" s="359" t="s">
        <v>8305</v>
      </c>
      <c r="O15" s="359" t="s">
        <v>8574</v>
      </c>
      <c r="P15" s="350" t="s">
        <v>8652</v>
      </c>
      <c r="Q15" s="343" t="s">
        <v>7680</v>
      </c>
      <c r="R15" s="343" t="s">
        <v>4</v>
      </c>
      <c r="S15" s="343" t="s">
        <v>7681</v>
      </c>
      <c r="T15" s="343" t="s">
        <v>6256</v>
      </c>
    </row>
    <row r="16" spans="1:20" ht="22" customHeight="1">
      <c r="A16" s="343" t="s">
        <v>5307</v>
      </c>
      <c r="B16" s="343" t="s">
        <v>7629</v>
      </c>
      <c r="C16" s="350" t="s">
        <v>8681</v>
      </c>
      <c r="D16" s="343" t="s">
        <v>8722</v>
      </c>
      <c r="E16" s="344" t="s">
        <v>7633</v>
      </c>
      <c r="F16" s="344" t="s">
        <v>7634</v>
      </c>
      <c r="G16" s="344" t="s">
        <v>7635</v>
      </c>
      <c r="H16" s="345">
        <v>2</v>
      </c>
      <c r="I16" s="344" t="s">
        <v>7787</v>
      </c>
      <c r="J16" s="344" t="s">
        <v>7270</v>
      </c>
      <c r="K16" s="349" t="s">
        <v>8692</v>
      </c>
      <c r="L16" s="349" t="s">
        <v>8692</v>
      </c>
      <c r="M16" s="359" t="s">
        <v>8280</v>
      </c>
      <c r="N16" s="359" t="s">
        <v>8305</v>
      </c>
      <c r="O16" s="359" t="s">
        <v>8574</v>
      </c>
      <c r="P16" s="350" t="s">
        <v>8652</v>
      </c>
      <c r="Q16" s="343" t="s">
        <v>7680</v>
      </c>
      <c r="R16" s="343" t="s">
        <v>4</v>
      </c>
      <c r="S16" s="343"/>
      <c r="T16" s="343" t="s">
        <v>6256</v>
      </c>
    </row>
    <row r="17" spans="1:20" ht="22" customHeight="1">
      <c r="A17" s="343" t="s">
        <v>5308</v>
      </c>
      <c r="B17" s="343" t="s">
        <v>7629</v>
      </c>
      <c r="C17" s="350" t="s">
        <v>8681</v>
      </c>
      <c r="D17" s="343" t="s">
        <v>8722</v>
      </c>
      <c r="E17" s="344" t="s">
        <v>7636</v>
      </c>
      <c r="F17" s="344" t="s">
        <v>7637</v>
      </c>
      <c r="G17" s="344" t="s">
        <v>7638</v>
      </c>
      <c r="H17" s="345">
        <v>2</v>
      </c>
      <c r="I17" s="344" t="s">
        <v>7787</v>
      </c>
      <c r="J17" s="344" t="s">
        <v>7931</v>
      </c>
      <c r="K17" s="349" t="s">
        <v>8692</v>
      </c>
      <c r="L17" s="349" t="s">
        <v>8692</v>
      </c>
      <c r="M17" s="359" t="s">
        <v>8280</v>
      </c>
      <c r="N17" s="359" t="s">
        <v>8305</v>
      </c>
      <c r="O17" s="359" t="s">
        <v>8574</v>
      </c>
      <c r="P17" s="350" t="s">
        <v>8652</v>
      </c>
      <c r="Q17" s="343" t="s">
        <v>7680</v>
      </c>
      <c r="R17" s="343" t="s">
        <v>4</v>
      </c>
      <c r="S17" s="343"/>
      <c r="T17" s="343" t="s">
        <v>7930</v>
      </c>
    </row>
    <row r="18" spans="1:20" ht="22" customHeight="1">
      <c r="A18" s="343" t="s">
        <v>5309</v>
      </c>
      <c r="B18" s="343" t="s">
        <v>7629</v>
      </c>
      <c r="C18" s="350" t="s">
        <v>8681</v>
      </c>
      <c r="D18" s="343" t="s">
        <v>8722</v>
      </c>
      <c r="E18" s="344" t="s">
        <v>7639</v>
      </c>
      <c r="F18" s="344" t="s">
        <v>7640</v>
      </c>
      <c r="G18" s="344" t="s">
        <v>7641</v>
      </c>
      <c r="H18" s="345">
        <v>1</v>
      </c>
      <c r="I18" s="344" t="s">
        <v>7787</v>
      </c>
      <c r="J18" s="344" t="s">
        <v>7270</v>
      </c>
      <c r="K18" s="349" t="s">
        <v>8692</v>
      </c>
      <c r="L18" s="349" t="s">
        <v>8692</v>
      </c>
      <c r="M18" s="359" t="s">
        <v>8280</v>
      </c>
      <c r="N18" s="359" t="s">
        <v>8305</v>
      </c>
      <c r="O18" s="359" t="s">
        <v>8574</v>
      </c>
      <c r="P18" s="350" t="s">
        <v>8652</v>
      </c>
      <c r="Q18" s="343" t="s">
        <v>7680</v>
      </c>
      <c r="R18" s="343" t="s">
        <v>4</v>
      </c>
      <c r="S18" s="343"/>
      <c r="T18" s="343" t="s">
        <v>6256</v>
      </c>
    </row>
    <row r="19" spans="1:20" ht="22" customHeight="1">
      <c r="A19" s="343" t="s">
        <v>5310</v>
      </c>
      <c r="B19" s="343" t="s">
        <v>7642</v>
      </c>
      <c r="C19" s="350" t="s">
        <v>8681</v>
      </c>
      <c r="D19" s="343" t="s">
        <v>8719</v>
      </c>
      <c r="E19" s="344" t="s">
        <v>7643</v>
      </c>
      <c r="F19" s="344" t="s">
        <v>7644</v>
      </c>
      <c r="G19" s="344" t="s">
        <v>7645</v>
      </c>
      <c r="H19" s="345">
        <v>3</v>
      </c>
      <c r="I19" s="344" t="s">
        <v>7789</v>
      </c>
      <c r="J19" s="344" t="s">
        <v>7291</v>
      </c>
      <c r="K19" s="349" t="s">
        <v>8692</v>
      </c>
      <c r="L19" s="349" t="s">
        <v>8693</v>
      </c>
      <c r="M19" s="359" t="s">
        <v>8281</v>
      </c>
      <c r="N19" s="359" t="s">
        <v>8309</v>
      </c>
      <c r="O19" s="359" t="s">
        <v>8574</v>
      </c>
      <c r="P19" s="350" t="s">
        <v>8653</v>
      </c>
      <c r="Q19" s="343" t="s">
        <v>2233</v>
      </c>
      <c r="R19" s="343" t="s">
        <v>4</v>
      </c>
      <c r="S19" s="343"/>
      <c r="T19" s="343" t="s">
        <v>6288</v>
      </c>
    </row>
    <row r="20" spans="1:20" ht="22" customHeight="1">
      <c r="A20" s="343" t="s">
        <v>7646</v>
      </c>
      <c r="B20" s="343" t="s">
        <v>7647</v>
      </c>
      <c r="C20" s="350" t="s">
        <v>8681</v>
      </c>
      <c r="D20" s="343" t="s">
        <v>8723</v>
      </c>
      <c r="E20" s="344" t="s">
        <v>7648</v>
      </c>
      <c r="F20" s="344" t="s">
        <v>7649</v>
      </c>
      <c r="G20" s="344" t="s">
        <v>7650</v>
      </c>
      <c r="H20" s="345">
        <v>3</v>
      </c>
      <c r="I20" s="344" t="s">
        <v>2733</v>
      </c>
      <c r="J20" s="344" t="s">
        <v>7933</v>
      </c>
      <c r="K20" s="349" t="s">
        <v>8692</v>
      </c>
      <c r="L20" s="349" t="s">
        <v>8692</v>
      </c>
      <c r="M20" s="359" t="s">
        <v>8295</v>
      </c>
      <c r="N20" s="359" t="s">
        <v>8302</v>
      </c>
      <c r="O20" s="359" t="s">
        <v>8574</v>
      </c>
      <c r="P20" s="350" t="s">
        <v>8650</v>
      </c>
      <c r="Q20" s="343" t="s">
        <v>2233</v>
      </c>
      <c r="R20" s="343" t="s">
        <v>4</v>
      </c>
      <c r="S20" s="343"/>
      <c r="T20" s="343" t="s">
        <v>2733</v>
      </c>
    </row>
    <row r="21" spans="1:20" ht="22" customHeight="1">
      <c r="A21" s="343" t="s">
        <v>7651</v>
      </c>
      <c r="B21" s="343" t="s">
        <v>7652</v>
      </c>
      <c r="C21" s="350" t="s">
        <v>8681</v>
      </c>
      <c r="D21" s="343" t="s">
        <v>8724</v>
      </c>
      <c r="E21" s="344" t="s">
        <v>7653</v>
      </c>
      <c r="F21" s="344" t="s">
        <v>7654</v>
      </c>
      <c r="G21" s="344" t="s">
        <v>7655</v>
      </c>
      <c r="H21" s="345">
        <v>3</v>
      </c>
      <c r="I21" s="344" t="s">
        <v>2733</v>
      </c>
      <c r="J21" s="344" t="s">
        <v>7262</v>
      </c>
      <c r="K21" s="349" t="s">
        <v>8692</v>
      </c>
      <c r="L21" s="349" t="s">
        <v>8692</v>
      </c>
      <c r="M21" s="359" t="s">
        <v>8295</v>
      </c>
      <c r="N21" s="359" t="s">
        <v>8654</v>
      </c>
      <c r="O21" s="359" t="s">
        <v>8574</v>
      </c>
      <c r="P21" s="350" t="s">
        <v>8650</v>
      </c>
      <c r="Q21" s="343" t="s">
        <v>2233</v>
      </c>
      <c r="R21" s="343" t="s">
        <v>4</v>
      </c>
      <c r="S21" s="343"/>
      <c r="T21" s="343" t="s">
        <v>2733</v>
      </c>
    </row>
    <row r="22" spans="1:20" ht="22" customHeight="1">
      <c r="A22" s="343" t="s">
        <v>7656</v>
      </c>
      <c r="B22" s="343" t="s">
        <v>7657</v>
      </c>
      <c r="C22" s="350" t="s">
        <v>8681</v>
      </c>
      <c r="D22" s="343" t="s">
        <v>8724</v>
      </c>
      <c r="E22" s="344" t="s">
        <v>7658</v>
      </c>
      <c r="F22" s="344" t="s">
        <v>7659</v>
      </c>
      <c r="G22" s="344" t="s">
        <v>7660</v>
      </c>
      <c r="H22" s="345">
        <v>1</v>
      </c>
      <c r="I22" s="344" t="s">
        <v>2733</v>
      </c>
      <c r="J22" s="344" t="s">
        <v>7262</v>
      </c>
      <c r="K22" s="349" t="s">
        <v>8692</v>
      </c>
      <c r="L22" s="349" t="s">
        <v>8692</v>
      </c>
      <c r="M22" s="359" t="s">
        <v>8295</v>
      </c>
      <c r="N22" s="359" t="s">
        <v>8302</v>
      </c>
      <c r="O22" s="359" t="s">
        <v>8574</v>
      </c>
      <c r="P22" s="350" t="s">
        <v>8650</v>
      </c>
      <c r="Q22" s="343" t="s">
        <v>2233</v>
      </c>
      <c r="R22" s="343" t="s">
        <v>4</v>
      </c>
      <c r="S22" s="343"/>
      <c r="T22" s="343" t="s">
        <v>2733</v>
      </c>
    </row>
    <row r="23" spans="1:20" ht="22" customHeight="1">
      <c r="A23" s="343" t="s">
        <v>8588</v>
      </c>
      <c r="B23" s="343" t="s">
        <v>7657</v>
      </c>
      <c r="C23" s="350" t="s">
        <v>8681</v>
      </c>
      <c r="D23" s="343" t="s">
        <v>8724</v>
      </c>
      <c r="E23" s="344" t="s">
        <v>8589</v>
      </c>
      <c r="F23" s="344" t="s">
        <v>8590</v>
      </c>
      <c r="G23" s="344" t="s">
        <v>8591</v>
      </c>
      <c r="H23" s="345">
        <v>3</v>
      </c>
      <c r="I23" s="344" t="s">
        <v>2733</v>
      </c>
      <c r="J23" s="344" t="s">
        <v>7262</v>
      </c>
      <c r="K23" s="349" t="s">
        <v>8692</v>
      </c>
      <c r="L23" s="349" t="s">
        <v>8692</v>
      </c>
      <c r="M23" s="359" t="s">
        <v>8284</v>
      </c>
      <c r="N23" s="359" t="s">
        <v>8592</v>
      </c>
      <c r="O23" s="359" t="s">
        <v>8574</v>
      </c>
      <c r="P23" s="350" t="s">
        <v>8652</v>
      </c>
      <c r="Q23" s="343" t="s">
        <v>2233</v>
      </c>
      <c r="R23" s="343" t="s">
        <v>4</v>
      </c>
      <c r="S23" s="343"/>
      <c r="T23" s="343" t="s">
        <v>2733</v>
      </c>
    </row>
    <row r="24" spans="1:20" ht="22" customHeight="1">
      <c r="A24" s="343" t="s">
        <v>8593</v>
      </c>
      <c r="B24" s="343" t="s">
        <v>7657</v>
      </c>
      <c r="C24" s="350" t="s">
        <v>8681</v>
      </c>
      <c r="D24" s="343" t="s">
        <v>8724</v>
      </c>
      <c r="E24" s="344" t="s">
        <v>8594</v>
      </c>
      <c r="F24" s="344" t="s">
        <v>8595</v>
      </c>
      <c r="G24" s="344" t="s">
        <v>8596</v>
      </c>
      <c r="H24" s="345">
        <v>0.5</v>
      </c>
      <c r="I24" s="344" t="s">
        <v>2733</v>
      </c>
      <c r="J24" s="344" t="s">
        <v>7262</v>
      </c>
      <c r="K24" s="349" t="s">
        <v>8692</v>
      </c>
      <c r="L24" s="349" t="s">
        <v>8692</v>
      </c>
      <c r="M24" s="359" t="s">
        <v>8284</v>
      </c>
      <c r="N24" s="359" t="s">
        <v>8655</v>
      </c>
      <c r="O24" s="359" t="s">
        <v>8574</v>
      </c>
      <c r="P24" s="350" t="s">
        <v>8650</v>
      </c>
      <c r="Q24" s="343" t="s">
        <v>2233</v>
      </c>
      <c r="R24" s="343" t="s">
        <v>4</v>
      </c>
      <c r="S24" s="343"/>
      <c r="T24" s="343" t="s">
        <v>2733</v>
      </c>
    </row>
    <row r="25" spans="1:20" ht="22" customHeight="1">
      <c r="A25" s="343" t="s">
        <v>542</v>
      </c>
      <c r="B25" s="343" t="s">
        <v>7661</v>
      </c>
      <c r="C25" s="350" t="s">
        <v>8681</v>
      </c>
      <c r="D25" s="343" t="s">
        <v>8724</v>
      </c>
      <c r="E25" s="344" t="s">
        <v>7662</v>
      </c>
      <c r="F25" s="344" t="s">
        <v>7663</v>
      </c>
      <c r="G25" s="344" t="s">
        <v>7664</v>
      </c>
      <c r="H25" s="345">
        <v>1</v>
      </c>
      <c r="I25" s="344" t="s">
        <v>2733</v>
      </c>
      <c r="J25" s="344" t="s">
        <v>7262</v>
      </c>
      <c r="K25" s="349" t="s">
        <v>8692</v>
      </c>
      <c r="L25" s="349" t="s">
        <v>8692</v>
      </c>
      <c r="M25" s="359" t="s">
        <v>8295</v>
      </c>
      <c r="N25" s="359" t="s">
        <v>8302</v>
      </c>
      <c r="O25" s="359" t="s">
        <v>8689</v>
      </c>
      <c r="P25" s="350" t="s">
        <v>8650</v>
      </c>
      <c r="Q25" s="343" t="s">
        <v>2233</v>
      </c>
      <c r="R25" s="343" t="s">
        <v>4</v>
      </c>
      <c r="S25" s="343"/>
      <c r="T25" s="343" t="s">
        <v>2733</v>
      </c>
    </row>
    <row r="26" spans="1:20" ht="22" customHeight="1">
      <c r="A26" s="343" t="s">
        <v>546</v>
      </c>
      <c r="B26" s="343" t="s">
        <v>7665</v>
      </c>
      <c r="C26" s="350" t="s">
        <v>8681</v>
      </c>
      <c r="D26" s="343" t="s">
        <v>8724</v>
      </c>
      <c r="E26" s="344" t="s">
        <v>7338</v>
      </c>
      <c r="F26" s="344" t="s">
        <v>7666</v>
      </c>
      <c r="G26" s="344" t="s">
        <v>7667</v>
      </c>
      <c r="H26" s="345">
        <v>0.5</v>
      </c>
      <c r="I26" s="344" t="s">
        <v>7810</v>
      </c>
      <c r="J26" s="344" t="s">
        <v>7322</v>
      </c>
      <c r="K26" s="349" t="s">
        <v>8692</v>
      </c>
      <c r="L26" s="349" t="s">
        <v>8693</v>
      </c>
      <c r="M26" s="359" t="s">
        <v>8280</v>
      </c>
      <c r="N26" s="359" t="s">
        <v>8326</v>
      </c>
      <c r="O26" s="359" t="s">
        <v>8574</v>
      </c>
      <c r="P26" s="350" t="s">
        <v>8653</v>
      </c>
      <c r="Q26" s="343" t="s">
        <v>2233</v>
      </c>
      <c r="R26" s="343" t="s">
        <v>4</v>
      </c>
      <c r="S26" s="343"/>
      <c r="T26" s="343" t="s">
        <v>6395</v>
      </c>
    </row>
    <row r="27" spans="1:20" ht="22" customHeight="1">
      <c r="A27" s="343" t="s">
        <v>550</v>
      </c>
      <c r="B27" s="343" t="s">
        <v>7668</v>
      </c>
      <c r="C27" s="350" t="s">
        <v>8681</v>
      </c>
      <c r="D27" s="343" t="s">
        <v>8719</v>
      </c>
      <c r="E27" s="344" t="s">
        <v>7669</v>
      </c>
      <c r="F27" s="344" t="s">
        <v>7670</v>
      </c>
      <c r="G27" s="344" t="s">
        <v>7671</v>
      </c>
      <c r="H27" s="345">
        <v>0.5</v>
      </c>
      <c r="I27" s="344" t="s">
        <v>7786</v>
      </c>
      <c r="J27" s="344" t="s">
        <v>7278</v>
      </c>
      <c r="K27" s="349" t="s">
        <v>8692</v>
      </c>
      <c r="L27" s="349" t="s">
        <v>8693</v>
      </c>
      <c r="M27" s="359" t="s">
        <v>8281</v>
      </c>
      <c r="N27" s="359" t="s">
        <v>8314</v>
      </c>
      <c r="O27" s="359" t="s">
        <v>8574</v>
      </c>
      <c r="P27" s="350" t="s">
        <v>8649</v>
      </c>
      <c r="Q27" s="343" t="s">
        <v>2233</v>
      </c>
      <c r="R27" s="343" t="s">
        <v>4</v>
      </c>
      <c r="S27" s="343"/>
      <c r="T27" s="343" t="s">
        <v>6247</v>
      </c>
    </row>
    <row r="28" spans="1:20" ht="22" customHeight="1">
      <c r="A28" s="343" t="s">
        <v>5311</v>
      </c>
      <c r="B28" s="343" t="s">
        <v>7672</v>
      </c>
      <c r="C28" s="350" t="s">
        <v>8681</v>
      </c>
      <c r="D28" s="343" t="s">
        <v>8725</v>
      </c>
      <c r="E28" s="344" t="s">
        <v>7673</v>
      </c>
      <c r="F28" s="344" t="s">
        <v>7674</v>
      </c>
      <c r="G28" s="344" t="s">
        <v>7675</v>
      </c>
      <c r="H28" s="345">
        <v>1</v>
      </c>
      <c r="I28" s="344" t="s">
        <v>7824</v>
      </c>
      <c r="J28" s="344" t="s">
        <v>7276</v>
      </c>
      <c r="K28" s="349" t="s">
        <v>8692</v>
      </c>
      <c r="L28" s="349" t="s">
        <v>8693</v>
      </c>
      <c r="M28" s="359" t="s">
        <v>8283</v>
      </c>
      <c r="N28" s="359" t="s">
        <v>8312</v>
      </c>
      <c r="O28" s="359" t="s">
        <v>8574</v>
      </c>
      <c r="P28" s="350" t="s">
        <v>8653</v>
      </c>
      <c r="Q28" s="343" t="s">
        <v>2233</v>
      </c>
      <c r="R28" s="343" t="s">
        <v>4</v>
      </c>
      <c r="S28" s="343"/>
      <c r="T28" s="343" t="s">
        <v>6470</v>
      </c>
    </row>
    <row r="29" spans="1:20" ht="22" customHeight="1">
      <c r="A29" s="343" t="s">
        <v>5312</v>
      </c>
      <c r="B29" s="343" t="s">
        <v>7676</v>
      </c>
      <c r="C29" s="350" t="s">
        <v>8681</v>
      </c>
      <c r="D29" s="343" t="s">
        <v>8719</v>
      </c>
      <c r="E29" s="344" t="s">
        <v>7677</v>
      </c>
      <c r="F29" s="344" t="s">
        <v>7678</v>
      </c>
      <c r="G29" s="344" t="s">
        <v>7679</v>
      </c>
      <c r="H29" s="345">
        <v>1</v>
      </c>
      <c r="I29" s="344" t="s">
        <v>2733</v>
      </c>
      <c r="J29" s="344" t="s">
        <v>7262</v>
      </c>
      <c r="K29" s="349" t="s">
        <v>8692</v>
      </c>
      <c r="L29" s="349" t="s">
        <v>8692</v>
      </c>
      <c r="M29" s="359" t="s">
        <v>8295</v>
      </c>
      <c r="N29" s="359" t="s">
        <v>8302</v>
      </c>
      <c r="O29" s="359" t="s">
        <v>8574</v>
      </c>
      <c r="P29" s="350" t="s">
        <v>8650</v>
      </c>
      <c r="Q29" s="343" t="s">
        <v>2233</v>
      </c>
      <c r="R29" s="343" t="s">
        <v>4</v>
      </c>
      <c r="S29" s="343"/>
      <c r="T29" s="343" t="s">
        <v>2733</v>
      </c>
    </row>
    <row r="30" spans="1:20" ht="22" customHeight="1">
      <c r="A30" s="343" t="s">
        <v>536</v>
      </c>
      <c r="B30" s="343" t="s">
        <v>536</v>
      </c>
      <c r="C30" s="350" t="s">
        <v>8681</v>
      </c>
      <c r="D30" s="343" t="s">
        <v>8726</v>
      </c>
      <c r="E30" s="344" t="s">
        <v>7750</v>
      </c>
      <c r="F30" s="344" t="s">
        <v>6703</v>
      </c>
      <c r="G30" s="344" t="s">
        <v>6704</v>
      </c>
      <c r="H30" s="345">
        <v>0</v>
      </c>
      <c r="I30" s="344" t="s">
        <v>2733</v>
      </c>
      <c r="J30" s="344" t="s">
        <v>7260</v>
      </c>
      <c r="K30" s="349" t="s">
        <v>8692</v>
      </c>
      <c r="L30" s="349" t="s">
        <v>8692</v>
      </c>
      <c r="M30" s="359" t="s">
        <v>8295</v>
      </c>
      <c r="N30" s="359" t="s">
        <v>8302</v>
      </c>
      <c r="O30" s="359" t="s">
        <v>8574</v>
      </c>
      <c r="P30" s="350" t="s">
        <v>8650</v>
      </c>
      <c r="Q30" s="343" t="s">
        <v>2233</v>
      </c>
      <c r="R30" s="343" t="s">
        <v>5305</v>
      </c>
      <c r="S30" s="343"/>
      <c r="T30" s="343" t="s">
        <v>2233</v>
      </c>
    </row>
    <row r="31" spans="1:20" ht="22" customHeight="1">
      <c r="A31" s="343" t="s">
        <v>5313</v>
      </c>
      <c r="B31" s="343" t="s">
        <v>556</v>
      </c>
      <c r="C31" s="350" t="s">
        <v>8684</v>
      </c>
      <c r="D31" s="343" t="s">
        <v>8728</v>
      </c>
      <c r="E31" s="344" t="s">
        <v>7707</v>
      </c>
      <c r="F31" s="344" t="s">
        <v>7838</v>
      </c>
      <c r="G31" s="344" t="s">
        <v>7839</v>
      </c>
      <c r="H31" s="345">
        <v>1</v>
      </c>
      <c r="I31" s="344" t="s">
        <v>2733</v>
      </c>
      <c r="J31" s="344" t="s">
        <v>7262</v>
      </c>
      <c r="K31" s="349" t="s">
        <v>8692</v>
      </c>
      <c r="L31" s="349" t="s">
        <v>8692</v>
      </c>
      <c r="M31" s="359" t="s">
        <v>8294</v>
      </c>
      <c r="N31" s="359" t="s">
        <v>8357</v>
      </c>
      <c r="O31" s="359" t="s">
        <v>8574</v>
      </c>
      <c r="P31" s="350" t="s">
        <v>8650</v>
      </c>
      <c r="Q31" s="343" t="s">
        <v>5314</v>
      </c>
      <c r="R31" s="343" t="s">
        <v>4</v>
      </c>
      <c r="S31" s="343"/>
      <c r="T31" s="343" t="s">
        <v>2733</v>
      </c>
    </row>
    <row r="32" spans="1:20" ht="22" customHeight="1">
      <c r="A32" s="343" t="s">
        <v>5315</v>
      </c>
      <c r="B32" s="343" t="s">
        <v>556</v>
      </c>
      <c r="C32" s="350" t="s">
        <v>8684</v>
      </c>
      <c r="D32" s="343" t="s">
        <v>8728</v>
      </c>
      <c r="E32" s="344" t="s">
        <v>7708</v>
      </c>
      <c r="F32" s="344" t="s">
        <v>7840</v>
      </c>
      <c r="G32" s="344" t="s">
        <v>7841</v>
      </c>
      <c r="H32" s="345">
        <v>1</v>
      </c>
      <c r="I32" s="344" t="s">
        <v>2733</v>
      </c>
      <c r="J32" s="344" t="s">
        <v>7262</v>
      </c>
      <c r="K32" s="349" t="s">
        <v>8692</v>
      </c>
      <c r="L32" s="349" t="s">
        <v>8692</v>
      </c>
      <c r="M32" s="359" t="s">
        <v>8294</v>
      </c>
      <c r="N32" s="359" t="s">
        <v>8357</v>
      </c>
      <c r="O32" s="359" t="s">
        <v>8574</v>
      </c>
      <c r="P32" s="350" t="s">
        <v>8650</v>
      </c>
      <c r="Q32" s="343" t="s">
        <v>5313</v>
      </c>
      <c r="R32" s="343" t="s">
        <v>4</v>
      </c>
      <c r="S32" s="343"/>
      <c r="T32" s="343" t="s">
        <v>2733</v>
      </c>
    </row>
    <row r="33" spans="1:20" ht="22" customHeight="1">
      <c r="A33" s="343" t="s">
        <v>5316</v>
      </c>
      <c r="B33" s="343" t="s">
        <v>556</v>
      </c>
      <c r="C33" s="350" t="s">
        <v>8684</v>
      </c>
      <c r="D33" s="343" t="s">
        <v>8727</v>
      </c>
      <c r="E33" s="344" t="s">
        <v>7709</v>
      </c>
      <c r="F33" s="344" t="s">
        <v>7842</v>
      </c>
      <c r="G33" s="344" t="s">
        <v>7843</v>
      </c>
      <c r="H33" s="345">
        <v>0</v>
      </c>
      <c r="I33" s="344" t="s">
        <v>2733</v>
      </c>
      <c r="J33" s="344" t="s">
        <v>7262</v>
      </c>
      <c r="K33" s="349" t="s">
        <v>8692</v>
      </c>
      <c r="L33" s="349" t="s">
        <v>8692</v>
      </c>
      <c r="M33" s="359" t="s">
        <v>8294</v>
      </c>
      <c r="N33" s="359" t="s">
        <v>8357</v>
      </c>
      <c r="O33" s="359" t="s">
        <v>8574</v>
      </c>
      <c r="P33" s="350" t="s">
        <v>8650</v>
      </c>
      <c r="Q33" s="343" t="s">
        <v>5315</v>
      </c>
      <c r="R33" s="343" t="s">
        <v>4</v>
      </c>
      <c r="S33" s="343"/>
      <c r="T33" s="343" t="s">
        <v>2733</v>
      </c>
    </row>
    <row r="34" spans="1:20" ht="22" customHeight="1">
      <c r="A34" s="343" t="s">
        <v>5317</v>
      </c>
      <c r="B34" s="343" t="s">
        <v>559</v>
      </c>
      <c r="C34" s="350" t="s">
        <v>8684</v>
      </c>
      <c r="D34" s="343" t="s">
        <v>8729</v>
      </c>
      <c r="E34" s="344" t="s">
        <v>7710</v>
      </c>
      <c r="F34" s="344" t="s">
        <v>7844</v>
      </c>
      <c r="G34" s="344" t="s">
        <v>7845</v>
      </c>
      <c r="H34" s="345">
        <v>2</v>
      </c>
      <c r="I34" s="344" t="s">
        <v>2733</v>
      </c>
      <c r="J34" s="344" t="s">
        <v>7262</v>
      </c>
      <c r="K34" s="349" t="s">
        <v>8692</v>
      </c>
      <c r="L34" s="349" t="s">
        <v>8692</v>
      </c>
      <c r="M34" s="359" t="s">
        <v>8294</v>
      </c>
      <c r="N34" s="359" t="s">
        <v>8357</v>
      </c>
      <c r="O34" s="359" t="s">
        <v>8574</v>
      </c>
      <c r="P34" s="350" t="s">
        <v>8650</v>
      </c>
      <c r="Q34" s="343" t="s">
        <v>2233</v>
      </c>
      <c r="R34" s="343" t="s">
        <v>4</v>
      </c>
      <c r="S34" s="343"/>
      <c r="T34" s="343" t="s">
        <v>2733</v>
      </c>
    </row>
    <row r="35" spans="1:20" ht="22" customHeight="1">
      <c r="A35" s="343" t="s">
        <v>5318</v>
      </c>
      <c r="B35" s="343" t="s">
        <v>559</v>
      </c>
      <c r="C35" s="350" t="s">
        <v>8684</v>
      </c>
      <c r="D35" s="343" t="s">
        <v>8731</v>
      </c>
      <c r="E35" s="344" t="s">
        <v>7711</v>
      </c>
      <c r="F35" s="344" t="s">
        <v>7846</v>
      </c>
      <c r="G35" s="344" t="s">
        <v>7847</v>
      </c>
      <c r="H35" s="345">
        <v>0.5</v>
      </c>
      <c r="I35" s="344" t="s">
        <v>2733</v>
      </c>
      <c r="J35" s="344" t="s">
        <v>7262</v>
      </c>
      <c r="K35" s="349" t="s">
        <v>8692</v>
      </c>
      <c r="L35" s="349" t="s">
        <v>8692</v>
      </c>
      <c r="M35" s="359" t="s">
        <v>8294</v>
      </c>
      <c r="N35" s="359" t="s">
        <v>8357</v>
      </c>
      <c r="O35" s="359" t="s">
        <v>8574</v>
      </c>
      <c r="P35" s="350" t="s">
        <v>8650</v>
      </c>
      <c r="Q35" s="343" t="s">
        <v>5317</v>
      </c>
      <c r="R35" s="343" t="s">
        <v>4</v>
      </c>
      <c r="S35" s="343"/>
      <c r="T35" s="343" t="s">
        <v>2733</v>
      </c>
    </row>
    <row r="36" spans="1:20" ht="22" customHeight="1">
      <c r="A36" s="343" t="s">
        <v>561</v>
      </c>
      <c r="B36" s="343" t="s">
        <v>561</v>
      </c>
      <c r="C36" s="350" t="s">
        <v>8684</v>
      </c>
      <c r="D36" s="343" t="s">
        <v>8730</v>
      </c>
      <c r="E36" s="344" t="s">
        <v>7712</v>
      </c>
      <c r="F36" s="344" t="s">
        <v>7848</v>
      </c>
      <c r="G36" s="344" t="s">
        <v>7849</v>
      </c>
      <c r="H36" s="345">
        <v>0.5</v>
      </c>
      <c r="I36" s="344" t="s">
        <v>2733</v>
      </c>
      <c r="J36" s="344" t="s">
        <v>7262</v>
      </c>
      <c r="K36" s="349" t="s">
        <v>8692</v>
      </c>
      <c r="L36" s="349" t="s">
        <v>8692</v>
      </c>
      <c r="M36" s="359" t="s">
        <v>8294</v>
      </c>
      <c r="N36" s="359" t="s">
        <v>8654</v>
      </c>
      <c r="O36" s="359" t="s">
        <v>8574</v>
      </c>
      <c r="P36" s="350" t="s">
        <v>8650</v>
      </c>
      <c r="Q36" s="343" t="s">
        <v>5319</v>
      </c>
      <c r="R36" s="343" t="s">
        <v>4</v>
      </c>
      <c r="S36" s="343"/>
      <c r="T36" s="343" t="s">
        <v>2733</v>
      </c>
    </row>
    <row r="37" spans="1:20" ht="22" customHeight="1">
      <c r="A37" s="343" t="s">
        <v>5320</v>
      </c>
      <c r="B37" s="343" t="s">
        <v>563</v>
      </c>
      <c r="C37" s="350" t="s">
        <v>8684</v>
      </c>
      <c r="D37" s="343" t="s">
        <v>8731</v>
      </c>
      <c r="E37" s="344" t="s">
        <v>7713</v>
      </c>
      <c r="F37" s="344" t="s">
        <v>7850</v>
      </c>
      <c r="G37" s="344" t="s">
        <v>7851</v>
      </c>
      <c r="H37" s="345">
        <v>0.5</v>
      </c>
      <c r="I37" s="344" t="s">
        <v>2733</v>
      </c>
      <c r="J37" s="344" t="s">
        <v>7262</v>
      </c>
      <c r="K37" s="349" t="s">
        <v>8692</v>
      </c>
      <c r="L37" s="349" t="s">
        <v>8692</v>
      </c>
      <c r="M37" s="359" t="s">
        <v>8294</v>
      </c>
      <c r="N37" s="359" t="s">
        <v>8357</v>
      </c>
      <c r="O37" s="359" t="s">
        <v>8574</v>
      </c>
      <c r="P37" s="350" t="s">
        <v>8650</v>
      </c>
      <c r="Q37" s="343" t="s">
        <v>5313</v>
      </c>
      <c r="R37" s="343" t="s">
        <v>4</v>
      </c>
      <c r="S37" s="343"/>
      <c r="T37" s="343" t="s">
        <v>2733</v>
      </c>
    </row>
    <row r="38" spans="1:20" ht="22" customHeight="1">
      <c r="A38" s="343" t="s">
        <v>5321</v>
      </c>
      <c r="B38" s="343" t="s">
        <v>563</v>
      </c>
      <c r="C38" s="350" t="s">
        <v>8684</v>
      </c>
      <c r="D38" s="343" t="s">
        <v>8731</v>
      </c>
      <c r="E38" s="344" t="s">
        <v>7714</v>
      </c>
      <c r="F38" s="344" t="s">
        <v>7852</v>
      </c>
      <c r="G38" s="344" t="s">
        <v>7853</v>
      </c>
      <c r="H38" s="345">
        <v>0.5</v>
      </c>
      <c r="I38" s="344" t="s">
        <v>2733</v>
      </c>
      <c r="J38" s="344" t="s">
        <v>7262</v>
      </c>
      <c r="K38" s="349" t="s">
        <v>8692</v>
      </c>
      <c r="L38" s="349" t="s">
        <v>8692</v>
      </c>
      <c r="M38" s="359" t="s">
        <v>8294</v>
      </c>
      <c r="N38" s="359" t="s">
        <v>8357</v>
      </c>
      <c r="O38" s="359" t="s">
        <v>8689</v>
      </c>
      <c r="P38" s="350" t="s">
        <v>8650</v>
      </c>
      <c r="Q38" s="343" t="s">
        <v>5322</v>
      </c>
      <c r="R38" s="343" t="s">
        <v>4</v>
      </c>
      <c r="S38" s="343"/>
      <c r="T38" s="343" t="s">
        <v>2733</v>
      </c>
    </row>
    <row r="39" spans="1:20" ht="22" customHeight="1">
      <c r="A39" s="343" t="s">
        <v>565</v>
      </c>
      <c r="B39" s="343" t="s">
        <v>565</v>
      </c>
      <c r="C39" s="350" t="s">
        <v>8684</v>
      </c>
      <c r="D39" s="343" t="s">
        <v>8731</v>
      </c>
      <c r="E39" s="344" t="s">
        <v>7715</v>
      </c>
      <c r="F39" s="344" t="s">
        <v>7854</v>
      </c>
      <c r="G39" s="344" t="s">
        <v>7855</v>
      </c>
      <c r="H39" s="345">
        <v>0.5</v>
      </c>
      <c r="I39" s="344" t="s">
        <v>7828</v>
      </c>
      <c r="J39" s="344" t="s">
        <v>7336</v>
      </c>
      <c r="K39" s="349" t="s">
        <v>8692</v>
      </c>
      <c r="L39" s="349" t="s">
        <v>8693</v>
      </c>
      <c r="M39" s="359" t="s">
        <v>8281</v>
      </c>
      <c r="N39" s="359" t="s">
        <v>8331</v>
      </c>
      <c r="O39" s="359" t="s">
        <v>8574</v>
      </c>
      <c r="P39" s="350" t="s">
        <v>8651</v>
      </c>
      <c r="Q39" s="343" t="s">
        <v>5313</v>
      </c>
      <c r="R39" s="343" t="s">
        <v>4</v>
      </c>
      <c r="S39" s="343"/>
      <c r="T39" s="343" t="s">
        <v>6463</v>
      </c>
    </row>
    <row r="40" spans="1:20" ht="22" customHeight="1">
      <c r="A40" s="343" t="s">
        <v>586</v>
      </c>
      <c r="B40" s="343" t="s">
        <v>586</v>
      </c>
      <c r="C40" s="350" t="s">
        <v>8683</v>
      </c>
      <c r="D40" s="343" t="s">
        <v>8732</v>
      </c>
      <c r="E40" s="344" t="s">
        <v>7490</v>
      </c>
      <c r="F40" s="344" t="s">
        <v>7545</v>
      </c>
      <c r="G40" s="344" t="s">
        <v>7546</v>
      </c>
      <c r="H40" s="345">
        <v>2</v>
      </c>
      <c r="I40" s="344" t="s">
        <v>2733</v>
      </c>
      <c r="J40" s="344" t="s">
        <v>7547</v>
      </c>
      <c r="K40" s="349" t="s">
        <v>8692</v>
      </c>
      <c r="L40" s="349" t="s">
        <v>8692</v>
      </c>
      <c r="M40" s="359" t="s">
        <v>8295</v>
      </c>
      <c r="N40" s="359" t="s">
        <v>8303</v>
      </c>
      <c r="O40" s="359" t="s">
        <v>8574</v>
      </c>
      <c r="P40" s="350" t="s">
        <v>8653</v>
      </c>
      <c r="Q40" s="343" t="s">
        <v>2233</v>
      </c>
      <c r="R40" s="343" t="s">
        <v>4</v>
      </c>
      <c r="S40" s="343"/>
      <c r="T40" s="343" t="s">
        <v>2733</v>
      </c>
    </row>
    <row r="41" spans="1:20" ht="22" customHeight="1">
      <c r="A41" s="343" t="s">
        <v>589</v>
      </c>
      <c r="B41" s="343" t="s">
        <v>589</v>
      </c>
      <c r="C41" s="350" t="s">
        <v>8682</v>
      </c>
      <c r="D41" s="343" t="s">
        <v>8619</v>
      </c>
      <c r="E41" s="344" t="s">
        <v>8617</v>
      </c>
      <c r="F41" s="344" t="s">
        <v>7548</v>
      </c>
      <c r="G41" s="344" t="s">
        <v>7549</v>
      </c>
      <c r="H41" s="345">
        <v>3</v>
      </c>
      <c r="I41" s="344" t="s">
        <v>7788</v>
      </c>
      <c r="J41" s="344" t="s">
        <v>7274</v>
      </c>
      <c r="K41" s="349" t="s">
        <v>8692</v>
      </c>
      <c r="L41" s="349" t="s">
        <v>8693</v>
      </c>
      <c r="M41" s="359" t="s">
        <v>8281</v>
      </c>
      <c r="N41" s="359" t="s">
        <v>8309</v>
      </c>
      <c r="O41" s="359" t="s">
        <v>8574</v>
      </c>
      <c r="P41" s="350" t="s">
        <v>8652</v>
      </c>
      <c r="Q41" s="343" t="s">
        <v>5326</v>
      </c>
      <c r="R41" s="343" t="s">
        <v>4</v>
      </c>
      <c r="S41" s="343"/>
      <c r="T41" s="343" t="s">
        <v>6290</v>
      </c>
    </row>
    <row r="42" spans="1:20" ht="22" customHeight="1">
      <c r="A42" s="343" t="s">
        <v>591</v>
      </c>
      <c r="B42" s="343" t="s">
        <v>591</v>
      </c>
      <c r="C42" s="350" t="s">
        <v>8683</v>
      </c>
      <c r="D42" s="343" t="s">
        <v>8733</v>
      </c>
      <c r="E42" s="344" t="s">
        <v>592</v>
      </c>
      <c r="F42" s="344" t="s">
        <v>6705</v>
      </c>
      <c r="G42" s="344" t="s">
        <v>6706</v>
      </c>
      <c r="H42" s="345">
        <v>0</v>
      </c>
      <c r="I42" s="344" t="s">
        <v>2733</v>
      </c>
      <c r="J42" s="344" t="s">
        <v>7261</v>
      </c>
      <c r="K42" s="349" t="s">
        <v>8692</v>
      </c>
      <c r="L42" s="349" t="s">
        <v>8692</v>
      </c>
      <c r="M42" s="359" t="s">
        <v>8295</v>
      </c>
      <c r="N42" s="359" t="s">
        <v>8303</v>
      </c>
      <c r="O42" s="359" t="s">
        <v>8574</v>
      </c>
      <c r="P42" s="350" t="s">
        <v>8653</v>
      </c>
      <c r="Q42" s="343" t="s">
        <v>2233</v>
      </c>
      <c r="R42" s="343" t="s">
        <v>5327</v>
      </c>
      <c r="S42" s="343"/>
      <c r="T42" s="343" t="s">
        <v>2233</v>
      </c>
    </row>
    <row r="43" spans="1:20" ht="22" customHeight="1">
      <c r="A43" s="343" t="s">
        <v>593</v>
      </c>
      <c r="B43" s="343" t="s">
        <v>593</v>
      </c>
      <c r="C43" s="350" t="s">
        <v>8683</v>
      </c>
      <c r="D43" s="343" t="s">
        <v>8733</v>
      </c>
      <c r="E43" s="344" t="s">
        <v>7751</v>
      </c>
      <c r="F43" s="344" t="s">
        <v>6707</v>
      </c>
      <c r="G43" s="344" t="s">
        <v>6706</v>
      </c>
      <c r="H43" s="345">
        <v>0</v>
      </c>
      <c r="I43" s="344" t="s">
        <v>2733</v>
      </c>
      <c r="J43" s="344" t="s">
        <v>7261</v>
      </c>
      <c r="K43" s="349" t="s">
        <v>8692</v>
      </c>
      <c r="L43" s="349" t="s">
        <v>8692</v>
      </c>
      <c r="M43" s="359" t="s">
        <v>8295</v>
      </c>
      <c r="N43" s="359" t="s">
        <v>8303</v>
      </c>
      <c r="O43" s="359" t="s">
        <v>8574</v>
      </c>
      <c r="P43" s="350" t="s">
        <v>8653</v>
      </c>
      <c r="Q43" s="343" t="s">
        <v>2233</v>
      </c>
      <c r="R43" s="343" t="s">
        <v>5327</v>
      </c>
      <c r="S43" s="343"/>
      <c r="T43" s="343" t="s">
        <v>2233</v>
      </c>
    </row>
    <row r="44" spans="1:20" ht="22" customHeight="1">
      <c r="A44" s="343" t="s">
        <v>595</v>
      </c>
      <c r="B44" s="343" t="s">
        <v>595</v>
      </c>
      <c r="C44" s="350" t="s">
        <v>8683</v>
      </c>
      <c r="D44" s="343" t="s">
        <v>8734</v>
      </c>
      <c r="E44" s="344" t="s">
        <v>7491</v>
      </c>
      <c r="F44" s="344" t="s">
        <v>7550</v>
      </c>
      <c r="G44" s="344" t="s">
        <v>7551</v>
      </c>
      <c r="H44" s="345">
        <v>1</v>
      </c>
      <c r="I44" s="344" t="s">
        <v>7817</v>
      </c>
      <c r="J44" s="344" t="s">
        <v>7818</v>
      </c>
      <c r="K44" s="349" t="s">
        <v>8692</v>
      </c>
      <c r="L44" s="349" t="s">
        <v>8693</v>
      </c>
      <c r="M44" s="359" t="s">
        <v>8284</v>
      </c>
      <c r="N44" s="359" t="s">
        <v>8306</v>
      </c>
      <c r="O44" s="359" t="s">
        <v>8574</v>
      </c>
      <c r="P44" s="350" t="s">
        <v>8651</v>
      </c>
      <c r="Q44" s="343" t="s">
        <v>2233</v>
      </c>
      <c r="R44" s="343" t="s">
        <v>4</v>
      </c>
      <c r="S44" s="343"/>
      <c r="T44" s="343" t="s">
        <v>6432</v>
      </c>
    </row>
    <row r="45" spans="1:20" ht="22" customHeight="1">
      <c r="A45" s="343" t="s">
        <v>597</v>
      </c>
      <c r="B45" s="343" t="s">
        <v>597</v>
      </c>
      <c r="C45" s="350" t="s">
        <v>8683</v>
      </c>
      <c r="D45" s="343" t="s">
        <v>8735</v>
      </c>
      <c r="E45" s="344" t="s">
        <v>8621</v>
      </c>
      <c r="F45" s="344" t="s">
        <v>7552</v>
      </c>
      <c r="G45" s="344" t="s">
        <v>7553</v>
      </c>
      <c r="H45" s="345">
        <v>3</v>
      </c>
      <c r="I45" s="344" t="s">
        <v>7824</v>
      </c>
      <c r="J45" s="344" t="s">
        <v>7334</v>
      </c>
      <c r="K45" s="349" t="s">
        <v>8692</v>
      </c>
      <c r="L45" s="349" t="s">
        <v>8692</v>
      </c>
      <c r="M45" s="359" t="s">
        <v>8282</v>
      </c>
      <c r="N45" s="359" t="s">
        <v>8330</v>
      </c>
      <c r="O45" s="359" t="s">
        <v>8574</v>
      </c>
      <c r="P45" s="350" t="s">
        <v>8651</v>
      </c>
      <c r="Q45" s="343" t="s">
        <v>2233</v>
      </c>
      <c r="R45" s="343" t="s">
        <v>4</v>
      </c>
      <c r="S45" s="343"/>
      <c r="T45" s="343" t="s">
        <v>6456</v>
      </c>
    </row>
    <row r="46" spans="1:20" ht="22" customHeight="1">
      <c r="A46" s="343" t="s">
        <v>7492</v>
      </c>
      <c r="B46" s="343" t="s">
        <v>599</v>
      </c>
      <c r="C46" s="350" t="s">
        <v>8683</v>
      </c>
      <c r="D46" s="343" t="s">
        <v>8736</v>
      </c>
      <c r="E46" s="344" t="s">
        <v>7493</v>
      </c>
      <c r="F46" s="344" t="s">
        <v>7494</v>
      </c>
      <c r="G46" s="344" t="s">
        <v>7495</v>
      </c>
      <c r="H46" s="345">
        <v>1.5</v>
      </c>
      <c r="I46" s="344" t="s">
        <v>7822</v>
      </c>
      <c r="J46" s="344" t="s">
        <v>7330</v>
      </c>
      <c r="K46" s="349" t="s">
        <v>8692</v>
      </c>
      <c r="L46" s="349" t="s">
        <v>8692</v>
      </c>
      <c r="M46" s="359" t="s">
        <v>8283</v>
      </c>
      <c r="N46" s="359" t="s">
        <v>8310</v>
      </c>
      <c r="O46" s="359" t="s">
        <v>8689</v>
      </c>
      <c r="P46" s="350" t="s">
        <v>8651</v>
      </c>
      <c r="Q46" s="343" t="s">
        <v>5322</v>
      </c>
      <c r="R46" s="343" t="s">
        <v>4</v>
      </c>
      <c r="S46" s="343"/>
      <c r="T46" s="343" t="s">
        <v>6438</v>
      </c>
    </row>
    <row r="47" spans="1:20" ht="22" customHeight="1">
      <c r="A47" s="343" t="s">
        <v>7496</v>
      </c>
      <c r="B47" s="343" t="s">
        <v>599</v>
      </c>
      <c r="C47" s="350" t="s">
        <v>8683</v>
      </c>
      <c r="D47" s="343" t="s">
        <v>8620</v>
      </c>
      <c r="E47" s="344" t="s">
        <v>7497</v>
      </c>
      <c r="F47" s="344" t="s">
        <v>7498</v>
      </c>
      <c r="G47" s="344" t="s">
        <v>7499</v>
      </c>
      <c r="H47" s="345">
        <v>1.5</v>
      </c>
      <c r="I47" s="344" t="s">
        <v>2733</v>
      </c>
      <c r="J47" s="344" t="s">
        <v>7905</v>
      </c>
      <c r="K47" s="349" t="s">
        <v>8692</v>
      </c>
      <c r="L47" s="349" t="s">
        <v>8692</v>
      </c>
      <c r="M47" s="359" t="s">
        <v>8295</v>
      </c>
      <c r="N47" s="359" t="s">
        <v>8303</v>
      </c>
      <c r="O47" s="359" t="s">
        <v>8689</v>
      </c>
      <c r="P47" s="350" t="s">
        <v>8653</v>
      </c>
      <c r="Q47" s="343" t="s">
        <v>5322</v>
      </c>
      <c r="R47" s="343" t="s">
        <v>4</v>
      </c>
      <c r="S47" s="343"/>
      <c r="T47" s="343" t="s">
        <v>2733</v>
      </c>
    </row>
    <row r="48" spans="1:20" ht="22" customHeight="1">
      <c r="A48" s="343" t="s">
        <v>7500</v>
      </c>
      <c r="B48" s="343" t="s">
        <v>601</v>
      </c>
      <c r="C48" s="350" t="s">
        <v>8683</v>
      </c>
      <c r="D48" s="343" t="s">
        <v>8737</v>
      </c>
      <c r="E48" s="344" t="s">
        <v>7501</v>
      </c>
      <c r="F48" s="344" t="s">
        <v>7502</v>
      </c>
      <c r="G48" s="344" t="s">
        <v>7503</v>
      </c>
      <c r="H48" s="345">
        <v>1</v>
      </c>
      <c r="I48" s="344" t="s">
        <v>7797</v>
      </c>
      <c r="J48" s="344" t="s">
        <v>7303</v>
      </c>
      <c r="K48" s="349" t="s">
        <v>8692</v>
      </c>
      <c r="L48" s="349" t="s">
        <v>8693</v>
      </c>
      <c r="M48" s="359" t="s">
        <v>8280</v>
      </c>
      <c r="N48" s="359" t="s">
        <v>8321</v>
      </c>
      <c r="O48" s="359" t="s">
        <v>8574</v>
      </c>
      <c r="P48" s="350" t="s">
        <v>8653</v>
      </c>
      <c r="Q48" s="343" t="s">
        <v>2233</v>
      </c>
      <c r="R48" s="343" t="s">
        <v>4</v>
      </c>
      <c r="S48" s="343"/>
      <c r="T48" s="343" t="s">
        <v>6331</v>
      </c>
    </row>
    <row r="49" spans="1:20" ht="22" customHeight="1">
      <c r="A49" s="343" t="s">
        <v>7504</v>
      </c>
      <c r="B49" s="343" t="s">
        <v>601</v>
      </c>
      <c r="C49" s="350" t="s">
        <v>8683</v>
      </c>
      <c r="D49" s="343" t="s">
        <v>8738</v>
      </c>
      <c r="E49" s="344" t="s">
        <v>7505</v>
      </c>
      <c r="F49" s="344" t="s">
        <v>7506</v>
      </c>
      <c r="G49" s="344" t="s">
        <v>7507</v>
      </c>
      <c r="H49" s="345">
        <v>0.5</v>
      </c>
      <c r="I49" s="344" t="s">
        <v>7797</v>
      </c>
      <c r="J49" s="344" t="s">
        <v>7302</v>
      </c>
      <c r="K49" s="349" t="s">
        <v>8692</v>
      </c>
      <c r="L49" s="349" t="s">
        <v>8693</v>
      </c>
      <c r="M49" s="359" t="s">
        <v>8280</v>
      </c>
      <c r="N49" s="359" t="s">
        <v>8320</v>
      </c>
      <c r="O49" s="359" t="s">
        <v>8574</v>
      </c>
      <c r="P49" s="350" t="s">
        <v>8653</v>
      </c>
      <c r="Q49" s="343" t="s">
        <v>2233</v>
      </c>
      <c r="R49" s="343" t="s">
        <v>4</v>
      </c>
      <c r="S49" s="343"/>
      <c r="T49" s="343" t="s">
        <v>6328</v>
      </c>
    </row>
    <row r="50" spans="1:20" ht="22" customHeight="1">
      <c r="A50" s="343" t="s">
        <v>7508</v>
      </c>
      <c r="B50" s="343" t="s">
        <v>601</v>
      </c>
      <c r="C50" s="350" t="s">
        <v>8683</v>
      </c>
      <c r="D50" s="343" t="s">
        <v>8739</v>
      </c>
      <c r="E50" s="344" t="s">
        <v>7509</v>
      </c>
      <c r="F50" s="344" t="s">
        <v>7510</v>
      </c>
      <c r="G50" s="344" t="s">
        <v>7511</v>
      </c>
      <c r="H50" s="345">
        <v>0.5</v>
      </c>
      <c r="I50" s="344" t="s">
        <v>7830</v>
      </c>
      <c r="J50" s="344" t="s">
        <v>7339</v>
      </c>
      <c r="K50" s="349" t="s">
        <v>8692</v>
      </c>
      <c r="L50" s="349" t="s">
        <v>8693</v>
      </c>
      <c r="M50" s="359" t="s">
        <v>8284</v>
      </c>
      <c r="N50" s="359" t="s">
        <v>8298</v>
      </c>
      <c r="O50" s="359" t="s">
        <v>8574</v>
      </c>
      <c r="P50" s="350" t="s">
        <v>8653</v>
      </c>
      <c r="Q50" s="343" t="s">
        <v>2233</v>
      </c>
      <c r="R50" s="343" t="s">
        <v>4</v>
      </c>
      <c r="S50" s="343"/>
      <c r="T50" s="343" t="s">
        <v>6473</v>
      </c>
    </row>
    <row r="51" spans="1:20" ht="22" customHeight="1">
      <c r="A51" s="343" t="s">
        <v>5328</v>
      </c>
      <c r="B51" s="343" t="s">
        <v>603</v>
      </c>
      <c r="C51" s="350" t="s">
        <v>8683</v>
      </c>
      <c r="D51" s="343" t="s">
        <v>8740</v>
      </c>
      <c r="E51" s="344" t="s">
        <v>7512</v>
      </c>
      <c r="F51" s="344" t="s">
        <v>7554</v>
      </c>
      <c r="G51" s="344" t="s">
        <v>7555</v>
      </c>
      <c r="H51" s="345">
        <v>1.5</v>
      </c>
      <c r="I51" s="344" t="s">
        <v>7804</v>
      </c>
      <c r="J51" s="344" t="s">
        <v>7319</v>
      </c>
      <c r="K51" s="349" t="s">
        <v>8693</v>
      </c>
      <c r="L51" s="349" t="s">
        <v>8693</v>
      </c>
      <c r="M51" s="359" t="s">
        <v>8288</v>
      </c>
      <c r="N51" s="359" t="s">
        <v>8324</v>
      </c>
      <c r="O51" s="359" t="s">
        <v>8574</v>
      </c>
      <c r="P51" s="350" t="s">
        <v>8653</v>
      </c>
      <c r="Q51" s="343" t="s">
        <v>2233</v>
      </c>
      <c r="R51" s="343" t="s">
        <v>4</v>
      </c>
      <c r="S51" s="343"/>
      <c r="T51" s="343" t="s">
        <v>6381</v>
      </c>
    </row>
    <row r="52" spans="1:20" ht="22" customHeight="1">
      <c r="A52" s="343" t="s">
        <v>5329</v>
      </c>
      <c r="B52" s="343" t="s">
        <v>603</v>
      </c>
      <c r="C52" s="350" t="s">
        <v>8683</v>
      </c>
      <c r="D52" s="343" t="s">
        <v>8741</v>
      </c>
      <c r="E52" s="344" t="s">
        <v>7513</v>
      </c>
      <c r="F52" s="344" t="s">
        <v>7556</v>
      </c>
      <c r="G52" s="344" t="s">
        <v>7557</v>
      </c>
      <c r="H52" s="345">
        <v>1.5</v>
      </c>
      <c r="I52" s="344" t="s">
        <v>7811</v>
      </c>
      <c r="J52" s="344" t="s">
        <v>7324</v>
      </c>
      <c r="K52" s="349" t="s">
        <v>8695</v>
      </c>
      <c r="L52" s="349" t="s">
        <v>8692</v>
      </c>
      <c r="M52" s="359" t="s">
        <v>8287</v>
      </c>
      <c r="N52" s="359" t="s">
        <v>8327</v>
      </c>
      <c r="O52" s="359" t="s">
        <v>8574</v>
      </c>
      <c r="P52" s="350" t="s">
        <v>8651</v>
      </c>
      <c r="Q52" s="343" t="s">
        <v>2233</v>
      </c>
      <c r="R52" s="343" t="s">
        <v>4</v>
      </c>
      <c r="S52" s="343"/>
      <c r="T52" s="343" t="s">
        <v>6400</v>
      </c>
    </row>
    <row r="53" spans="1:20" ht="22" customHeight="1">
      <c r="A53" s="343" t="s">
        <v>7514</v>
      </c>
      <c r="B53" s="343" t="s">
        <v>603</v>
      </c>
      <c r="C53" s="350" t="s">
        <v>8683</v>
      </c>
      <c r="D53" s="343" t="s">
        <v>8742</v>
      </c>
      <c r="E53" s="344" t="s">
        <v>7515</v>
      </c>
      <c r="F53" s="344" t="s">
        <v>7516</v>
      </c>
      <c r="G53" s="344" t="s">
        <v>7517</v>
      </c>
      <c r="H53" s="345">
        <v>0.5</v>
      </c>
      <c r="I53" s="344" t="s">
        <v>7810</v>
      </c>
      <c r="J53" s="344" t="s">
        <v>7322</v>
      </c>
      <c r="K53" s="349" t="s">
        <v>8692</v>
      </c>
      <c r="L53" s="349" t="s">
        <v>8693</v>
      </c>
      <c r="M53" s="359" t="s">
        <v>8280</v>
      </c>
      <c r="N53" s="359" t="s">
        <v>8326</v>
      </c>
      <c r="O53" s="359" t="s">
        <v>8574</v>
      </c>
      <c r="P53" s="350" t="s">
        <v>8653</v>
      </c>
      <c r="Q53" s="343" t="s">
        <v>2233</v>
      </c>
      <c r="R53" s="343" t="s">
        <v>4</v>
      </c>
      <c r="S53" s="343"/>
      <c r="T53" s="343" t="s">
        <v>6395</v>
      </c>
    </row>
    <row r="54" spans="1:20" ht="22" customHeight="1">
      <c r="A54" s="343" t="s">
        <v>7518</v>
      </c>
      <c r="B54" s="343" t="s">
        <v>603</v>
      </c>
      <c r="C54" s="350" t="s">
        <v>8683</v>
      </c>
      <c r="D54" s="343" t="s">
        <v>2909</v>
      </c>
      <c r="E54" s="344" t="s">
        <v>7519</v>
      </c>
      <c r="F54" s="344" t="s">
        <v>7520</v>
      </c>
      <c r="G54" s="344" t="s">
        <v>7521</v>
      </c>
      <c r="H54" s="345">
        <v>0.5</v>
      </c>
      <c r="I54" s="344" t="s">
        <v>7828</v>
      </c>
      <c r="J54" s="344" t="s">
        <v>7335</v>
      </c>
      <c r="K54" s="349" t="s">
        <v>8692</v>
      </c>
      <c r="L54" s="349" t="s">
        <v>8693</v>
      </c>
      <c r="M54" s="359" t="s">
        <v>8284</v>
      </c>
      <c r="N54" s="359" t="s">
        <v>8658</v>
      </c>
      <c r="O54" s="359" t="s">
        <v>8574</v>
      </c>
      <c r="P54" s="350" t="s">
        <v>8651</v>
      </c>
      <c r="Q54" s="343" t="s">
        <v>2233</v>
      </c>
      <c r="R54" s="343" t="s">
        <v>4</v>
      </c>
      <c r="S54" s="343"/>
      <c r="T54" s="343" t="s">
        <v>6460</v>
      </c>
    </row>
    <row r="55" spans="1:20" ht="22" customHeight="1">
      <c r="A55" s="343" t="s">
        <v>7522</v>
      </c>
      <c r="B55" s="343" t="s">
        <v>603</v>
      </c>
      <c r="C55" s="350" t="s">
        <v>8683</v>
      </c>
      <c r="D55" s="343" t="s">
        <v>2909</v>
      </c>
      <c r="E55" s="344" t="s">
        <v>7523</v>
      </c>
      <c r="F55" s="344" t="s">
        <v>7524</v>
      </c>
      <c r="G55" s="344" t="s">
        <v>7525</v>
      </c>
      <c r="H55" s="345">
        <v>0.5</v>
      </c>
      <c r="I55" s="344" t="s">
        <v>2733</v>
      </c>
      <c r="J55" s="344" t="s">
        <v>7941</v>
      </c>
      <c r="K55" s="349" t="s">
        <v>8692</v>
      </c>
      <c r="L55" s="349" t="s">
        <v>8692</v>
      </c>
      <c r="M55" s="359" t="s">
        <v>8295</v>
      </c>
      <c r="N55" s="359" t="s">
        <v>8303</v>
      </c>
      <c r="O55" s="359" t="s">
        <v>8574</v>
      </c>
      <c r="P55" s="350" t="s">
        <v>8653</v>
      </c>
      <c r="Q55" s="343" t="s">
        <v>2233</v>
      </c>
      <c r="R55" s="343" t="s">
        <v>4</v>
      </c>
      <c r="S55" s="343"/>
      <c r="T55" s="343" t="s">
        <v>2733</v>
      </c>
    </row>
    <row r="56" spans="1:20" ht="22" customHeight="1">
      <c r="A56" s="343" t="s">
        <v>605</v>
      </c>
      <c r="B56" s="343" t="s">
        <v>605</v>
      </c>
      <c r="C56" s="350" t="s">
        <v>8683</v>
      </c>
      <c r="D56" s="343" t="s">
        <v>8743</v>
      </c>
      <c r="E56" s="344" t="s">
        <v>606</v>
      </c>
      <c r="F56" s="344" t="s">
        <v>6708</v>
      </c>
      <c r="G56" s="344" t="s">
        <v>6704</v>
      </c>
      <c r="H56" s="345">
        <v>0</v>
      </c>
      <c r="I56" s="344" t="s">
        <v>2733</v>
      </c>
      <c r="J56" s="344" t="s">
        <v>7261</v>
      </c>
      <c r="K56" s="349" t="s">
        <v>8692</v>
      </c>
      <c r="L56" s="349" t="s">
        <v>8692</v>
      </c>
      <c r="M56" s="359" t="s">
        <v>8295</v>
      </c>
      <c r="N56" s="359" t="s">
        <v>8303</v>
      </c>
      <c r="O56" s="359" t="s">
        <v>8574</v>
      </c>
      <c r="P56" s="350" t="s">
        <v>8653</v>
      </c>
      <c r="Q56" s="343" t="s">
        <v>2233</v>
      </c>
      <c r="R56" s="343" t="s">
        <v>5305</v>
      </c>
      <c r="S56" s="343"/>
      <c r="T56" s="343" t="s">
        <v>2233</v>
      </c>
    </row>
    <row r="57" spans="1:20" ht="22" customHeight="1">
      <c r="A57" s="343" t="s">
        <v>607</v>
      </c>
      <c r="B57" s="343" t="s">
        <v>607</v>
      </c>
      <c r="C57" s="350" t="s">
        <v>8683</v>
      </c>
      <c r="D57" s="343" t="s">
        <v>8744</v>
      </c>
      <c r="E57" s="344" t="s">
        <v>7526</v>
      </c>
      <c r="F57" s="344" t="s">
        <v>7223</v>
      </c>
      <c r="G57" s="344" t="s">
        <v>7224</v>
      </c>
      <c r="H57" s="345">
        <v>2</v>
      </c>
      <c r="I57" s="344" t="s">
        <v>7787</v>
      </c>
      <c r="J57" s="344" t="s">
        <v>7281</v>
      </c>
      <c r="K57" s="349" t="s">
        <v>8692</v>
      </c>
      <c r="L57" s="349" t="s">
        <v>8692</v>
      </c>
      <c r="M57" s="359" t="s">
        <v>8280</v>
      </c>
      <c r="N57" s="359" t="s">
        <v>8305</v>
      </c>
      <c r="O57" s="359" t="s">
        <v>8574</v>
      </c>
      <c r="P57" s="350" t="s">
        <v>8652</v>
      </c>
      <c r="Q57" s="343" t="s">
        <v>538</v>
      </c>
      <c r="R57" s="343" t="s">
        <v>4</v>
      </c>
      <c r="S57" s="343"/>
      <c r="T57" s="343" t="s">
        <v>6260</v>
      </c>
    </row>
    <row r="58" spans="1:20" ht="22" customHeight="1">
      <c r="A58" s="343" t="s">
        <v>609</v>
      </c>
      <c r="B58" s="343" t="s">
        <v>609</v>
      </c>
      <c r="C58" s="350" t="s">
        <v>8683</v>
      </c>
      <c r="D58" s="343" t="s">
        <v>8745</v>
      </c>
      <c r="E58" s="344" t="s">
        <v>7527</v>
      </c>
      <c r="F58" s="344" t="s">
        <v>7225</v>
      </c>
      <c r="G58" s="344" t="s">
        <v>7226</v>
      </c>
      <c r="H58" s="345">
        <v>3</v>
      </c>
      <c r="I58" s="344" t="s">
        <v>7942</v>
      </c>
      <c r="J58" s="344" t="s">
        <v>7358</v>
      </c>
      <c r="K58" s="349" t="s">
        <v>8692</v>
      </c>
      <c r="L58" s="349" t="s">
        <v>8692</v>
      </c>
      <c r="M58" s="359" t="s">
        <v>8281</v>
      </c>
      <c r="N58" s="359" t="s">
        <v>8331</v>
      </c>
      <c r="O58" s="359" t="s">
        <v>8574</v>
      </c>
      <c r="P58" s="350" t="s">
        <v>8653</v>
      </c>
      <c r="Q58" s="343" t="s">
        <v>546</v>
      </c>
      <c r="R58" s="343" t="s">
        <v>4</v>
      </c>
      <c r="S58" s="343"/>
      <c r="T58" s="343" t="s">
        <v>6685</v>
      </c>
    </row>
    <row r="59" spans="1:20" ht="22" customHeight="1">
      <c r="A59" s="343" t="s">
        <v>611</v>
      </c>
      <c r="B59" s="343" t="s">
        <v>611</v>
      </c>
      <c r="C59" s="350" t="s">
        <v>8683</v>
      </c>
      <c r="D59" s="343" t="s">
        <v>2909</v>
      </c>
      <c r="E59" s="344" t="s">
        <v>7528</v>
      </c>
      <c r="F59" s="344" t="s">
        <v>7227</v>
      </c>
      <c r="G59" s="344" t="s">
        <v>7228</v>
      </c>
      <c r="H59" s="345">
        <v>2</v>
      </c>
      <c r="I59" s="344" t="s">
        <v>7790</v>
      </c>
      <c r="J59" s="344" t="s">
        <v>7294</v>
      </c>
      <c r="K59" s="349" t="s">
        <v>8692</v>
      </c>
      <c r="L59" s="349" t="s">
        <v>8692</v>
      </c>
      <c r="M59" s="359" t="s">
        <v>8284</v>
      </c>
      <c r="N59" s="359" t="s">
        <v>8317</v>
      </c>
      <c r="O59" s="359" t="s">
        <v>8574</v>
      </c>
      <c r="P59" s="350" t="s">
        <v>8649</v>
      </c>
      <c r="Q59" s="343" t="s">
        <v>2233</v>
      </c>
      <c r="R59" s="343" t="s">
        <v>4</v>
      </c>
      <c r="S59" s="343"/>
      <c r="T59" s="343" t="s">
        <v>6297</v>
      </c>
    </row>
    <row r="60" spans="1:20" ht="22" customHeight="1">
      <c r="A60" s="343" t="s">
        <v>613</v>
      </c>
      <c r="B60" s="343" t="s">
        <v>613</v>
      </c>
      <c r="C60" s="350" t="s">
        <v>8683</v>
      </c>
      <c r="D60" s="343" t="s">
        <v>8746</v>
      </c>
      <c r="E60" s="344" t="s">
        <v>7529</v>
      </c>
      <c r="F60" s="344" t="s">
        <v>7229</v>
      </c>
      <c r="G60" s="344" t="s">
        <v>7230</v>
      </c>
      <c r="H60" s="345">
        <v>1</v>
      </c>
      <c r="I60" s="344" t="s">
        <v>7786</v>
      </c>
      <c r="J60" s="344" t="s">
        <v>7359</v>
      </c>
      <c r="K60" s="349" t="s">
        <v>8692</v>
      </c>
      <c r="L60" s="349" t="s">
        <v>8693</v>
      </c>
      <c r="M60" s="359" t="s">
        <v>8281</v>
      </c>
      <c r="N60" s="359" t="s">
        <v>8314</v>
      </c>
      <c r="O60" s="359" t="s">
        <v>8574</v>
      </c>
      <c r="P60" s="350" t="s">
        <v>8649</v>
      </c>
      <c r="Q60" s="343" t="s">
        <v>2233</v>
      </c>
      <c r="R60" s="343" t="s">
        <v>4</v>
      </c>
      <c r="S60" s="343"/>
      <c r="T60" s="343" t="s">
        <v>6686</v>
      </c>
    </row>
    <row r="61" spans="1:20" ht="22" customHeight="1">
      <c r="A61" s="343" t="s">
        <v>615</v>
      </c>
      <c r="B61" s="343" t="s">
        <v>615</v>
      </c>
      <c r="C61" s="350" t="s">
        <v>8683</v>
      </c>
      <c r="D61" s="343" t="s">
        <v>8747</v>
      </c>
      <c r="E61" s="344" t="s">
        <v>7530</v>
      </c>
      <c r="F61" s="344" t="s">
        <v>7231</v>
      </c>
      <c r="G61" s="344" t="s">
        <v>7232</v>
      </c>
      <c r="H61" s="345">
        <v>2</v>
      </c>
      <c r="I61" s="344" t="s">
        <v>2733</v>
      </c>
      <c r="J61" s="344" t="s">
        <v>7261</v>
      </c>
      <c r="K61" s="349" t="s">
        <v>8692</v>
      </c>
      <c r="L61" s="349" t="s">
        <v>8692</v>
      </c>
      <c r="M61" s="359" t="s">
        <v>8295</v>
      </c>
      <c r="N61" s="359" t="s">
        <v>8303</v>
      </c>
      <c r="O61" s="359" t="s">
        <v>8574</v>
      </c>
      <c r="P61" s="350" t="s">
        <v>8653</v>
      </c>
      <c r="Q61" s="343" t="s">
        <v>653</v>
      </c>
      <c r="R61" s="343" t="s">
        <v>4</v>
      </c>
      <c r="S61" s="343"/>
      <c r="T61" s="343" t="s">
        <v>2233</v>
      </c>
    </row>
    <row r="62" spans="1:20" ht="22" customHeight="1">
      <c r="A62" s="343" t="s">
        <v>5330</v>
      </c>
      <c r="B62" s="343" t="s">
        <v>6074</v>
      </c>
      <c r="C62" s="350" t="s">
        <v>8682</v>
      </c>
      <c r="D62" s="343" t="s">
        <v>8748</v>
      </c>
      <c r="E62" s="344" t="s">
        <v>7531</v>
      </c>
      <c r="F62" s="344" t="s">
        <v>7233</v>
      </c>
      <c r="G62" s="344" t="s">
        <v>7234</v>
      </c>
      <c r="H62" s="345">
        <v>2</v>
      </c>
      <c r="I62" s="344" t="s">
        <v>7823</v>
      </c>
      <c r="J62" s="344" t="s">
        <v>7357</v>
      </c>
      <c r="K62" s="349" t="s">
        <v>8692</v>
      </c>
      <c r="L62" s="349" t="s">
        <v>8693</v>
      </c>
      <c r="M62" s="359" t="s">
        <v>8283</v>
      </c>
      <c r="N62" s="359" t="s">
        <v>8307</v>
      </c>
      <c r="O62" s="359" t="s">
        <v>8574</v>
      </c>
      <c r="P62" s="350" t="s">
        <v>8653</v>
      </c>
      <c r="Q62" s="343" t="s">
        <v>5331</v>
      </c>
      <c r="R62" s="343" t="s">
        <v>4</v>
      </c>
      <c r="S62" s="343"/>
      <c r="T62" s="343" t="s">
        <v>6683</v>
      </c>
    </row>
    <row r="63" spans="1:20" ht="22" customHeight="1">
      <c r="A63" s="343" t="s">
        <v>5332</v>
      </c>
      <c r="B63" s="343" t="s">
        <v>6074</v>
      </c>
      <c r="C63" s="350" t="s">
        <v>8682</v>
      </c>
      <c r="D63" s="343" t="s">
        <v>8749</v>
      </c>
      <c r="E63" s="344" t="s">
        <v>7532</v>
      </c>
      <c r="F63" s="344" t="s">
        <v>7235</v>
      </c>
      <c r="G63" s="344" t="s">
        <v>7236</v>
      </c>
      <c r="H63" s="345">
        <v>1</v>
      </c>
      <c r="I63" s="344" t="s">
        <v>7823</v>
      </c>
      <c r="J63" s="344" t="s">
        <v>7357</v>
      </c>
      <c r="K63" s="349" t="s">
        <v>8692</v>
      </c>
      <c r="L63" s="349" t="s">
        <v>8693</v>
      </c>
      <c r="M63" s="359" t="s">
        <v>8283</v>
      </c>
      <c r="N63" s="359" t="s">
        <v>8307</v>
      </c>
      <c r="O63" s="359" t="s">
        <v>8574</v>
      </c>
      <c r="P63" s="350" t="s">
        <v>8653</v>
      </c>
      <c r="Q63" s="343" t="s">
        <v>2233</v>
      </c>
      <c r="R63" s="343" t="s">
        <v>4</v>
      </c>
      <c r="S63" s="343"/>
      <c r="T63" s="343" t="s">
        <v>6683</v>
      </c>
    </row>
    <row r="64" spans="1:20" ht="22" customHeight="1">
      <c r="A64" s="343" t="s">
        <v>5333</v>
      </c>
      <c r="B64" s="343" t="s">
        <v>6074</v>
      </c>
      <c r="C64" s="350" t="s">
        <v>8682</v>
      </c>
      <c r="D64" s="343" t="s">
        <v>8748</v>
      </c>
      <c r="E64" s="344" t="s">
        <v>7533</v>
      </c>
      <c r="F64" s="344" t="s">
        <v>7237</v>
      </c>
      <c r="G64" s="344" t="s">
        <v>7238</v>
      </c>
      <c r="H64" s="345">
        <v>1</v>
      </c>
      <c r="I64" s="344" t="s">
        <v>7823</v>
      </c>
      <c r="J64" s="344" t="s">
        <v>7357</v>
      </c>
      <c r="K64" s="349" t="s">
        <v>8692</v>
      </c>
      <c r="L64" s="349" t="s">
        <v>8693</v>
      </c>
      <c r="M64" s="359" t="s">
        <v>8283</v>
      </c>
      <c r="N64" s="359" t="s">
        <v>8307</v>
      </c>
      <c r="O64" s="359" t="s">
        <v>8574</v>
      </c>
      <c r="P64" s="350" t="s">
        <v>8653</v>
      </c>
      <c r="Q64" s="343" t="s">
        <v>2233</v>
      </c>
      <c r="R64" s="343" t="s">
        <v>4</v>
      </c>
      <c r="S64" s="343"/>
      <c r="T64" s="343" t="s">
        <v>6683</v>
      </c>
    </row>
    <row r="65" spans="1:20" ht="22" customHeight="1">
      <c r="A65" s="343" t="s">
        <v>5334</v>
      </c>
      <c r="B65" s="343" t="s">
        <v>6228</v>
      </c>
      <c r="C65" s="350" t="s">
        <v>8683</v>
      </c>
      <c r="D65" s="343" t="s">
        <v>8750</v>
      </c>
      <c r="E65" s="344" t="s">
        <v>7534</v>
      </c>
      <c r="F65" s="344" t="s">
        <v>7239</v>
      </c>
      <c r="G65" s="344" t="s">
        <v>7240</v>
      </c>
      <c r="H65" s="345">
        <v>1</v>
      </c>
      <c r="I65" s="344" t="s">
        <v>7944</v>
      </c>
      <c r="J65" s="344" t="s">
        <v>7360</v>
      </c>
      <c r="K65" s="349" t="s">
        <v>8692</v>
      </c>
      <c r="L65" s="349" t="s">
        <v>8692</v>
      </c>
      <c r="M65" s="359" t="s">
        <v>8280</v>
      </c>
      <c r="N65" s="359" t="s">
        <v>8316</v>
      </c>
      <c r="O65" s="359" t="s">
        <v>8574</v>
      </c>
      <c r="P65" s="350" t="s">
        <v>8652</v>
      </c>
      <c r="Q65" s="343" t="s">
        <v>2233</v>
      </c>
      <c r="R65" s="343" t="s">
        <v>4</v>
      </c>
      <c r="S65" s="343"/>
      <c r="T65" s="343" t="s">
        <v>6687</v>
      </c>
    </row>
    <row r="66" spans="1:20" ht="22" customHeight="1">
      <c r="A66" s="343" t="s">
        <v>5335</v>
      </c>
      <c r="B66" s="343" t="s">
        <v>6075</v>
      </c>
      <c r="C66" s="350" t="s">
        <v>8683</v>
      </c>
      <c r="D66" s="343" t="s">
        <v>8750</v>
      </c>
      <c r="E66" s="344" t="s">
        <v>7535</v>
      </c>
      <c r="F66" s="344" t="s">
        <v>7241</v>
      </c>
      <c r="G66" s="344" t="s">
        <v>7242</v>
      </c>
      <c r="H66" s="345">
        <v>1.5</v>
      </c>
      <c r="I66" s="344" t="s">
        <v>7797</v>
      </c>
      <c r="J66" s="344" t="s">
        <v>7303</v>
      </c>
      <c r="K66" s="349" t="s">
        <v>8692</v>
      </c>
      <c r="L66" s="349" t="s">
        <v>8693</v>
      </c>
      <c r="M66" s="359" t="s">
        <v>8280</v>
      </c>
      <c r="N66" s="359" t="s">
        <v>8321</v>
      </c>
      <c r="O66" s="359" t="s">
        <v>8574</v>
      </c>
      <c r="P66" s="350" t="s">
        <v>8653</v>
      </c>
      <c r="Q66" s="343" t="s">
        <v>2233</v>
      </c>
      <c r="R66" s="343" t="s">
        <v>4</v>
      </c>
      <c r="S66" s="343"/>
      <c r="T66" s="343" t="s">
        <v>6331</v>
      </c>
    </row>
    <row r="67" spans="1:20" ht="22" customHeight="1">
      <c r="A67" s="343" t="s">
        <v>5336</v>
      </c>
      <c r="B67" s="343" t="s">
        <v>6075</v>
      </c>
      <c r="C67" s="350" t="s">
        <v>8683</v>
      </c>
      <c r="D67" s="343" t="s">
        <v>8750</v>
      </c>
      <c r="E67" s="344" t="s">
        <v>7536</v>
      </c>
      <c r="F67" s="344" t="s">
        <v>7243</v>
      </c>
      <c r="G67" s="344" t="s">
        <v>7240</v>
      </c>
      <c r="H67" s="345">
        <v>1</v>
      </c>
      <c r="I67" s="344" t="s">
        <v>7788</v>
      </c>
      <c r="J67" s="344" t="s">
        <v>7286</v>
      </c>
      <c r="K67" s="349" t="s">
        <v>8692</v>
      </c>
      <c r="L67" s="349" t="s">
        <v>8692</v>
      </c>
      <c r="M67" s="359" t="s">
        <v>8282</v>
      </c>
      <c r="N67" s="359" t="s">
        <v>8316</v>
      </c>
      <c r="O67" s="359" t="s">
        <v>8574</v>
      </c>
      <c r="P67" s="350" t="s">
        <v>8652</v>
      </c>
      <c r="Q67" s="343" t="s">
        <v>2233</v>
      </c>
      <c r="R67" s="343" t="s">
        <v>4</v>
      </c>
      <c r="S67" s="343"/>
      <c r="T67" s="343" t="s">
        <v>6276</v>
      </c>
    </row>
    <row r="68" spans="1:20" ht="22" customHeight="1">
      <c r="A68" s="343" t="s">
        <v>5337</v>
      </c>
      <c r="B68" s="343" t="s">
        <v>6075</v>
      </c>
      <c r="C68" s="350" t="s">
        <v>8683</v>
      </c>
      <c r="D68" s="343" t="s">
        <v>8750</v>
      </c>
      <c r="E68" s="344" t="s">
        <v>7537</v>
      </c>
      <c r="F68" s="344" t="s">
        <v>7244</v>
      </c>
      <c r="G68" s="344" t="s">
        <v>7245</v>
      </c>
      <c r="H68" s="345">
        <v>1</v>
      </c>
      <c r="I68" s="344" t="s">
        <v>7788</v>
      </c>
      <c r="J68" s="344" t="s">
        <v>7286</v>
      </c>
      <c r="K68" s="349" t="s">
        <v>8692</v>
      </c>
      <c r="L68" s="349" t="s">
        <v>8692</v>
      </c>
      <c r="M68" s="359" t="s">
        <v>8282</v>
      </c>
      <c r="N68" s="359" t="s">
        <v>8316</v>
      </c>
      <c r="O68" s="359" t="s">
        <v>8574</v>
      </c>
      <c r="P68" s="350" t="s">
        <v>8652</v>
      </c>
      <c r="Q68" s="343" t="s">
        <v>2233</v>
      </c>
      <c r="R68" s="343" t="s">
        <v>4</v>
      </c>
      <c r="S68" s="343"/>
      <c r="T68" s="343" t="s">
        <v>6276</v>
      </c>
    </row>
    <row r="69" spans="1:20" ht="22" customHeight="1">
      <c r="A69" s="343" t="s">
        <v>5338</v>
      </c>
      <c r="B69" s="343" t="s">
        <v>6075</v>
      </c>
      <c r="C69" s="350" t="s">
        <v>8683</v>
      </c>
      <c r="D69" s="343" t="s">
        <v>8750</v>
      </c>
      <c r="E69" s="344" t="s">
        <v>7538</v>
      </c>
      <c r="F69" s="344" t="s">
        <v>7246</v>
      </c>
      <c r="G69" s="344" t="s">
        <v>7087</v>
      </c>
      <c r="H69" s="345">
        <v>0.5</v>
      </c>
      <c r="I69" s="344" t="s">
        <v>7944</v>
      </c>
      <c r="J69" s="344" t="s">
        <v>7360</v>
      </c>
      <c r="K69" s="349" t="s">
        <v>8692</v>
      </c>
      <c r="L69" s="349" t="s">
        <v>8692</v>
      </c>
      <c r="M69" s="359" t="s">
        <v>8280</v>
      </c>
      <c r="N69" s="359" t="s">
        <v>8316</v>
      </c>
      <c r="O69" s="359" t="s">
        <v>8574</v>
      </c>
      <c r="P69" s="350" t="s">
        <v>8652</v>
      </c>
      <c r="Q69" s="343" t="s">
        <v>5339</v>
      </c>
      <c r="R69" s="343" t="s">
        <v>4</v>
      </c>
      <c r="S69" s="343"/>
      <c r="T69" s="343" t="s">
        <v>6687</v>
      </c>
    </row>
    <row r="70" spans="1:20" ht="22" customHeight="1">
      <c r="A70" s="343" t="s">
        <v>5340</v>
      </c>
      <c r="B70" s="343" t="s">
        <v>6076</v>
      </c>
      <c r="C70" s="350" t="s">
        <v>8683</v>
      </c>
      <c r="D70" s="343" t="s">
        <v>8751</v>
      </c>
      <c r="E70" s="344" t="s">
        <v>7539</v>
      </c>
      <c r="F70" s="344" t="s">
        <v>7247</v>
      </c>
      <c r="G70" s="344" t="s">
        <v>7248</v>
      </c>
      <c r="H70" s="345">
        <v>2</v>
      </c>
      <c r="I70" s="344" t="s">
        <v>2733</v>
      </c>
      <c r="J70" s="344" t="s">
        <v>7261</v>
      </c>
      <c r="K70" s="349" t="s">
        <v>8692</v>
      </c>
      <c r="L70" s="349" t="s">
        <v>8692</v>
      </c>
      <c r="M70" s="359" t="s">
        <v>8295</v>
      </c>
      <c r="N70" s="359" t="s">
        <v>8303</v>
      </c>
      <c r="O70" s="359" t="s">
        <v>8689</v>
      </c>
      <c r="P70" s="350" t="s">
        <v>8653</v>
      </c>
      <c r="Q70" s="343" t="s">
        <v>2233</v>
      </c>
      <c r="R70" s="343" t="s">
        <v>4</v>
      </c>
      <c r="S70" s="343"/>
      <c r="T70" s="343" t="s">
        <v>2233</v>
      </c>
    </row>
    <row r="71" spans="1:20" ht="22" customHeight="1">
      <c r="A71" s="343" t="s">
        <v>5322</v>
      </c>
      <c r="B71" s="343" t="s">
        <v>6076</v>
      </c>
      <c r="C71" s="350" t="s">
        <v>8683</v>
      </c>
      <c r="D71" s="343" t="s">
        <v>8751</v>
      </c>
      <c r="E71" s="344" t="s">
        <v>7540</v>
      </c>
      <c r="F71" s="344" t="s">
        <v>7249</v>
      </c>
      <c r="G71" s="344" t="s">
        <v>7250</v>
      </c>
      <c r="H71" s="345">
        <v>3</v>
      </c>
      <c r="I71" s="344" t="s">
        <v>2733</v>
      </c>
      <c r="J71" s="344" t="s">
        <v>7261</v>
      </c>
      <c r="K71" s="349" t="s">
        <v>8692</v>
      </c>
      <c r="L71" s="349" t="s">
        <v>8692</v>
      </c>
      <c r="M71" s="359" t="s">
        <v>8295</v>
      </c>
      <c r="N71" s="359" t="s">
        <v>8303</v>
      </c>
      <c r="O71" s="359" t="s">
        <v>8689</v>
      </c>
      <c r="P71" s="350" t="s">
        <v>8653</v>
      </c>
      <c r="Q71" s="343" t="s">
        <v>5340</v>
      </c>
      <c r="R71" s="343" t="s">
        <v>4</v>
      </c>
      <c r="S71" s="343"/>
      <c r="T71" s="343" t="s">
        <v>2233</v>
      </c>
    </row>
    <row r="72" spans="1:20" ht="22" customHeight="1">
      <c r="A72" s="343" t="s">
        <v>5341</v>
      </c>
      <c r="B72" s="343" t="s">
        <v>6077</v>
      </c>
      <c r="C72" s="350" t="s">
        <v>8683</v>
      </c>
      <c r="D72" s="343" t="s">
        <v>8752</v>
      </c>
      <c r="E72" s="344" t="s">
        <v>7541</v>
      </c>
      <c r="F72" s="344" t="s">
        <v>7251</v>
      </c>
      <c r="G72" s="344" t="s">
        <v>7252</v>
      </c>
      <c r="H72" s="345">
        <v>4</v>
      </c>
      <c r="I72" s="344" t="s">
        <v>2733</v>
      </c>
      <c r="J72" s="344" t="s">
        <v>7261</v>
      </c>
      <c r="K72" s="349" t="s">
        <v>8692</v>
      </c>
      <c r="L72" s="349" t="s">
        <v>8692</v>
      </c>
      <c r="M72" s="359" t="s">
        <v>8295</v>
      </c>
      <c r="N72" s="359" t="s">
        <v>8303</v>
      </c>
      <c r="O72" s="359" t="s">
        <v>8689</v>
      </c>
      <c r="P72" s="350" t="s">
        <v>8653</v>
      </c>
      <c r="Q72" s="343" t="s">
        <v>5322</v>
      </c>
      <c r="R72" s="343" t="s">
        <v>4</v>
      </c>
      <c r="S72" s="343"/>
      <c r="T72" s="343" t="s">
        <v>2233</v>
      </c>
    </row>
    <row r="73" spans="1:20" ht="22" customHeight="1">
      <c r="A73" s="343" t="s">
        <v>5342</v>
      </c>
      <c r="B73" s="343" t="s">
        <v>6077</v>
      </c>
      <c r="C73" s="350" t="s">
        <v>8683</v>
      </c>
      <c r="D73" s="343" t="s">
        <v>8752</v>
      </c>
      <c r="E73" s="344" t="s">
        <v>7542</v>
      </c>
      <c r="F73" s="344" t="s">
        <v>7253</v>
      </c>
      <c r="G73" s="344" t="s">
        <v>7254</v>
      </c>
      <c r="H73" s="345">
        <v>2</v>
      </c>
      <c r="I73" s="344" t="s">
        <v>2733</v>
      </c>
      <c r="J73" s="344" t="s">
        <v>7261</v>
      </c>
      <c r="K73" s="349" t="s">
        <v>8692</v>
      </c>
      <c r="L73" s="349" t="s">
        <v>8692</v>
      </c>
      <c r="M73" s="359" t="s">
        <v>8295</v>
      </c>
      <c r="N73" s="359" t="s">
        <v>8303</v>
      </c>
      <c r="O73" s="359" t="s">
        <v>8689</v>
      </c>
      <c r="P73" s="350" t="s">
        <v>8653</v>
      </c>
      <c r="Q73" s="343" t="s">
        <v>5341</v>
      </c>
      <c r="R73" s="343" t="s">
        <v>4</v>
      </c>
      <c r="S73" s="343"/>
      <c r="T73" s="343" t="s">
        <v>2233</v>
      </c>
    </row>
    <row r="74" spans="1:20" ht="22" customHeight="1">
      <c r="A74" s="343" t="s">
        <v>8576</v>
      </c>
      <c r="B74" s="343" t="s">
        <v>6077</v>
      </c>
      <c r="C74" s="350" t="s">
        <v>8682</v>
      </c>
      <c r="D74" s="343" t="s">
        <v>8752</v>
      </c>
      <c r="E74" s="344" t="s">
        <v>8577</v>
      </c>
      <c r="F74" s="344" t="s">
        <v>8578</v>
      </c>
      <c r="G74" s="344" t="s">
        <v>8579</v>
      </c>
      <c r="H74" s="345">
        <v>2</v>
      </c>
      <c r="I74" s="344" t="s">
        <v>2733</v>
      </c>
      <c r="J74" s="344" t="s">
        <v>7262</v>
      </c>
      <c r="K74" s="349" t="s">
        <v>8692</v>
      </c>
      <c r="L74" s="349" t="s">
        <v>8692</v>
      </c>
      <c r="M74" s="359" t="s">
        <v>8290</v>
      </c>
      <c r="N74" s="359" t="s">
        <v>8656</v>
      </c>
      <c r="O74" s="359" t="s">
        <v>8574</v>
      </c>
      <c r="P74" s="350" t="s">
        <v>8653</v>
      </c>
      <c r="Q74" s="343" t="s">
        <v>2233</v>
      </c>
      <c r="R74" s="343" t="s">
        <v>4</v>
      </c>
      <c r="S74" s="343"/>
      <c r="T74" s="343" t="s">
        <v>2233</v>
      </c>
    </row>
    <row r="75" spans="1:20" ht="22" customHeight="1">
      <c r="A75" s="343" t="s">
        <v>8580</v>
      </c>
      <c r="B75" s="343" t="s">
        <v>6077</v>
      </c>
      <c r="C75" s="350" t="s">
        <v>8683</v>
      </c>
      <c r="D75" s="343" t="s">
        <v>8752</v>
      </c>
      <c r="E75" s="344" t="s">
        <v>8581</v>
      </c>
      <c r="F75" s="344" t="s">
        <v>8582</v>
      </c>
      <c r="G75" s="344" t="s">
        <v>8583</v>
      </c>
      <c r="H75" s="345">
        <v>0.5</v>
      </c>
      <c r="I75" s="344" t="s">
        <v>2733</v>
      </c>
      <c r="J75" s="344" t="s">
        <v>7262</v>
      </c>
      <c r="K75" s="349" t="s">
        <v>8692</v>
      </c>
      <c r="L75" s="349" t="s">
        <v>8692</v>
      </c>
      <c r="M75" s="359" t="s">
        <v>8295</v>
      </c>
      <c r="N75" s="359" t="s">
        <v>8657</v>
      </c>
      <c r="O75" s="359" t="s">
        <v>8574</v>
      </c>
      <c r="P75" s="350" t="s">
        <v>8653</v>
      </c>
      <c r="Q75" s="343" t="s">
        <v>2233</v>
      </c>
      <c r="R75" s="343" t="s">
        <v>4</v>
      </c>
      <c r="S75" s="343"/>
      <c r="T75" s="343" t="s">
        <v>2233</v>
      </c>
    </row>
    <row r="76" spans="1:20" ht="22" customHeight="1">
      <c r="A76" s="343" t="s">
        <v>5324</v>
      </c>
      <c r="B76" s="343" t="s">
        <v>5324</v>
      </c>
      <c r="C76" s="350" t="s">
        <v>8683</v>
      </c>
      <c r="D76" s="343" t="s">
        <v>8752</v>
      </c>
      <c r="E76" s="344" t="s">
        <v>7543</v>
      </c>
      <c r="F76" s="344" t="s">
        <v>7255</v>
      </c>
      <c r="G76" s="344" t="s">
        <v>7256</v>
      </c>
      <c r="H76" s="345">
        <v>5</v>
      </c>
      <c r="I76" s="344" t="s">
        <v>2733</v>
      </c>
      <c r="J76" s="344" t="s">
        <v>7261</v>
      </c>
      <c r="K76" s="349" t="s">
        <v>8692</v>
      </c>
      <c r="L76" s="349" t="s">
        <v>8692</v>
      </c>
      <c r="M76" s="359" t="s">
        <v>8295</v>
      </c>
      <c r="N76" s="359" t="s">
        <v>8303</v>
      </c>
      <c r="O76" s="359" t="s">
        <v>8574</v>
      </c>
      <c r="P76" s="350" t="s">
        <v>8649</v>
      </c>
      <c r="Q76" s="343" t="s">
        <v>2233</v>
      </c>
      <c r="R76" s="343" t="s">
        <v>4</v>
      </c>
      <c r="S76" s="343"/>
      <c r="T76" s="343" t="s">
        <v>2233</v>
      </c>
    </row>
    <row r="77" spans="1:20" ht="22" customHeight="1">
      <c r="A77" s="343" t="s">
        <v>5343</v>
      </c>
      <c r="B77" s="343" t="s">
        <v>5343</v>
      </c>
      <c r="C77" s="350" t="s">
        <v>8683</v>
      </c>
      <c r="D77" s="343" t="s">
        <v>8752</v>
      </c>
      <c r="E77" s="344" t="s">
        <v>7544</v>
      </c>
      <c r="F77" s="344" t="s">
        <v>7257</v>
      </c>
      <c r="G77" s="344" t="s">
        <v>7258</v>
      </c>
      <c r="H77" s="345">
        <v>2</v>
      </c>
      <c r="I77" s="344" t="s">
        <v>2733</v>
      </c>
      <c r="J77" s="344" t="s">
        <v>7261</v>
      </c>
      <c r="K77" s="349" t="s">
        <v>8692</v>
      </c>
      <c r="L77" s="349" t="s">
        <v>8692</v>
      </c>
      <c r="M77" s="359" t="s">
        <v>8295</v>
      </c>
      <c r="N77" s="359" t="s">
        <v>8303</v>
      </c>
      <c r="O77" s="359" t="s">
        <v>8574</v>
      </c>
      <c r="P77" s="350" t="s">
        <v>8653</v>
      </c>
      <c r="Q77" s="343" t="s">
        <v>2233</v>
      </c>
      <c r="R77" s="343" t="s">
        <v>4</v>
      </c>
      <c r="S77" s="343"/>
      <c r="T77" s="343" t="s">
        <v>2233</v>
      </c>
    </row>
    <row r="78" spans="1:20" ht="22" customHeight="1">
      <c r="A78" s="343" t="s">
        <v>5344</v>
      </c>
      <c r="B78" s="343" t="s">
        <v>6078</v>
      </c>
      <c r="C78" s="350" t="s">
        <v>8683</v>
      </c>
      <c r="D78" s="343" t="s">
        <v>8753</v>
      </c>
      <c r="E78" s="344" t="s">
        <v>7716</v>
      </c>
      <c r="F78" s="344" t="s">
        <v>7857</v>
      </c>
      <c r="G78" s="344" t="s">
        <v>7858</v>
      </c>
      <c r="H78" s="345">
        <v>2</v>
      </c>
      <c r="I78" s="344" t="s">
        <v>2733</v>
      </c>
      <c r="J78" s="344" t="s">
        <v>7262</v>
      </c>
      <c r="K78" s="349" t="s">
        <v>8692</v>
      </c>
      <c r="L78" s="349" t="s">
        <v>8692</v>
      </c>
      <c r="M78" s="359" t="s">
        <v>8295</v>
      </c>
      <c r="N78" s="359" t="s">
        <v>8358</v>
      </c>
      <c r="O78" s="359" t="s">
        <v>8574</v>
      </c>
      <c r="P78" s="350" t="s">
        <v>8650</v>
      </c>
      <c r="Q78" s="343" t="s">
        <v>2233</v>
      </c>
      <c r="R78" s="343" t="s">
        <v>4</v>
      </c>
      <c r="S78" s="343"/>
      <c r="T78" s="343" t="s">
        <v>2733</v>
      </c>
    </row>
    <row r="79" spans="1:20" ht="22" customHeight="1">
      <c r="A79" s="343" t="s">
        <v>5345</v>
      </c>
      <c r="B79" s="343" t="s">
        <v>6078</v>
      </c>
      <c r="C79" s="350" t="s">
        <v>8683</v>
      </c>
      <c r="D79" s="343" t="s">
        <v>8754</v>
      </c>
      <c r="E79" s="344" t="s">
        <v>7717</v>
      </c>
      <c r="F79" s="344" t="s">
        <v>7859</v>
      </c>
      <c r="G79" s="344" t="s">
        <v>7860</v>
      </c>
      <c r="H79" s="345">
        <v>3</v>
      </c>
      <c r="I79" s="344" t="s">
        <v>2733</v>
      </c>
      <c r="J79" s="344" t="s">
        <v>7262</v>
      </c>
      <c r="K79" s="349" t="s">
        <v>8692</v>
      </c>
      <c r="L79" s="349" t="s">
        <v>8692</v>
      </c>
      <c r="M79" s="359" t="s">
        <v>8295</v>
      </c>
      <c r="N79" s="359" t="s">
        <v>8358</v>
      </c>
      <c r="O79" s="359" t="s">
        <v>8574</v>
      </c>
      <c r="P79" s="350" t="s">
        <v>8650</v>
      </c>
      <c r="Q79" s="343" t="s">
        <v>5344</v>
      </c>
      <c r="R79" s="343" t="s">
        <v>4</v>
      </c>
      <c r="S79" s="343"/>
      <c r="T79" s="343" t="s">
        <v>2733</v>
      </c>
    </row>
    <row r="80" spans="1:20" ht="22" customHeight="1">
      <c r="A80" s="343" t="s">
        <v>5346</v>
      </c>
      <c r="B80" s="343" t="s">
        <v>6078</v>
      </c>
      <c r="C80" s="350" t="s">
        <v>8683</v>
      </c>
      <c r="D80" s="343" t="s">
        <v>8755</v>
      </c>
      <c r="E80" s="344" t="s">
        <v>7718</v>
      </c>
      <c r="F80" s="344" t="s">
        <v>7861</v>
      </c>
      <c r="G80" s="344" t="s">
        <v>7862</v>
      </c>
      <c r="H80" s="345">
        <v>3</v>
      </c>
      <c r="I80" s="344" t="s">
        <v>2733</v>
      </c>
      <c r="J80" s="344" t="s">
        <v>7262</v>
      </c>
      <c r="K80" s="349" t="s">
        <v>8692</v>
      </c>
      <c r="L80" s="349" t="s">
        <v>8692</v>
      </c>
      <c r="M80" s="359" t="s">
        <v>8295</v>
      </c>
      <c r="N80" s="359" t="s">
        <v>8358</v>
      </c>
      <c r="O80" s="359" t="s">
        <v>8574</v>
      </c>
      <c r="P80" s="350" t="s">
        <v>8650</v>
      </c>
      <c r="Q80" s="343" t="s">
        <v>5344</v>
      </c>
      <c r="R80" s="343" t="s">
        <v>4</v>
      </c>
      <c r="S80" s="343"/>
      <c r="T80" s="343" t="s">
        <v>2733</v>
      </c>
    </row>
    <row r="81" spans="1:20" ht="22" customHeight="1">
      <c r="A81" s="343" t="s">
        <v>628</v>
      </c>
      <c r="B81" s="343" t="s">
        <v>628</v>
      </c>
      <c r="C81" s="350" t="s">
        <v>8683</v>
      </c>
      <c r="D81" s="343" t="s">
        <v>2909</v>
      </c>
      <c r="E81" s="344" t="s">
        <v>7719</v>
      </c>
      <c r="F81" s="344" t="s">
        <v>7863</v>
      </c>
      <c r="G81" s="344" t="s">
        <v>7864</v>
      </c>
      <c r="H81" s="345">
        <v>4</v>
      </c>
      <c r="I81" s="344" t="s">
        <v>2733</v>
      </c>
      <c r="J81" s="344" t="s">
        <v>7262</v>
      </c>
      <c r="K81" s="349" t="s">
        <v>8692</v>
      </c>
      <c r="L81" s="349" t="s">
        <v>8692</v>
      </c>
      <c r="M81" s="359" t="s">
        <v>8295</v>
      </c>
      <c r="N81" s="359" t="s">
        <v>8358</v>
      </c>
      <c r="O81" s="359" t="s">
        <v>8574</v>
      </c>
      <c r="P81" s="350" t="s">
        <v>8649</v>
      </c>
      <c r="Q81" s="343" t="s">
        <v>2233</v>
      </c>
      <c r="R81" s="343" t="s">
        <v>4</v>
      </c>
      <c r="S81" s="343"/>
      <c r="T81" s="343" t="s">
        <v>2733</v>
      </c>
    </row>
    <row r="82" spans="1:20" ht="22" customHeight="1">
      <c r="A82" s="343" t="s">
        <v>631</v>
      </c>
      <c r="B82" s="343" t="s">
        <v>631</v>
      </c>
      <c r="C82" s="350" t="s">
        <v>8683</v>
      </c>
      <c r="D82" s="343" t="s">
        <v>8756</v>
      </c>
      <c r="E82" s="344" t="s">
        <v>7720</v>
      </c>
      <c r="F82" s="344" t="s">
        <v>7865</v>
      </c>
      <c r="G82" s="344" t="s">
        <v>7866</v>
      </c>
      <c r="H82" s="345">
        <v>4</v>
      </c>
      <c r="I82" s="344" t="s">
        <v>2733</v>
      </c>
      <c r="J82" s="344" t="s">
        <v>7262</v>
      </c>
      <c r="K82" s="349" t="s">
        <v>8692</v>
      </c>
      <c r="L82" s="349" t="s">
        <v>8692</v>
      </c>
      <c r="M82" s="359" t="s">
        <v>8295</v>
      </c>
      <c r="N82" s="359" t="s">
        <v>8358</v>
      </c>
      <c r="O82" s="359" t="s">
        <v>8574</v>
      </c>
      <c r="P82" s="350" t="s">
        <v>8650</v>
      </c>
      <c r="Q82" s="343" t="s">
        <v>2233</v>
      </c>
      <c r="R82" s="343" t="s">
        <v>4</v>
      </c>
      <c r="S82" s="343"/>
      <c r="T82" s="343" t="s">
        <v>2733</v>
      </c>
    </row>
    <row r="83" spans="1:20" ht="22" customHeight="1">
      <c r="A83" s="343" t="s">
        <v>633</v>
      </c>
      <c r="B83" s="343" t="s">
        <v>633</v>
      </c>
      <c r="C83" s="350" t="s">
        <v>8683</v>
      </c>
      <c r="D83" s="343" t="s">
        <v>8757</v>
      </c>
      <c r="E83" s="344" t="s">
        <v>7721</v>
      </c>
      <c r="F83" s="344" t="s">
        <v>7867</v>
      </c>
      <c r="G83" s="344" t="s">
        <v>7868</v>
      </c>
      <c r="H83" s="345">
        <v>5</v>
      </c>
      <c r="I83" s="344" t="s">
        <v>2733</v>
      </c>
      <c r="J83" s="344" t="s">
        <v>7367</v>
      </c>
      <c r="K83" s="349" t="s">
        <v>8692</v>
      </c>
      <c r="L83" s="349" t="s">
        <v>8692</v>
      </c>
      <c r="M83" s="359" t="s">
        <v>8295</v>
      </c>
      <c r="N83" s="359" t="s">
        <v>8358</v>
      </c>
      <c r="O83" s="359" t="s">
        <v>8574</v>
      </c>
      <c r="P83" s="350" t="s">
        <v>8650</v>
      </c>
      <c r="Q83" s="343" t="s">
        <v>2233</v>
      </c>
      <c r="R83" s="343" t="s">
        <v>4</v>
      </c>
      <c r="S83" s="343"/>
      <c r="T83" s="343" t="s">
        <v>2733</v>
      </c>
    </row>
    <row r="84" spans="1:20" ht="22" customHeight="1">
      <c r="A84" s="343" t="s">
        <v>635</v>
      </c>
      <c r="B84" s="343" t="s">
        <v>635</v>
      </c>
      <c r="C84" s="350" t="s">
        <v>8683</v>
      </c>
      <c r="D84" s="343" t="s">
        <v>2909</v>
      </c>
      <c r="E84" s="344" t="s">
        <v>7722</v>
      </c>
      <c r="F84" s="344" t="s">
        <v>7869</v>
      </c>
      <c r="G84" s="344" t="s">
        <v>7870</v>
      </c>
      <c r="H84" s="345">
        <v>5</v>
      </c>
      <c r="I84" s="344" t="s">
        <v>2733</v>
      </c>
      <c r="J84" s="344" t="s">
        <v>7262</v>
      </c>
      <c r="K84" s="349" t="s">
        <v>8692</v>
      </c>
      <c r="L84" s="349" t="s">
        <v>8692</v>
      </c>
      <c r="M84" s="359" t="s">
        <v>8295</v>
      </c>
      <c r="N84" s="359" t="s">
        <v>8358</v>
      </c>
      <c r="O84" s="359" t="s">
        <v>8574</v>
      </c>
      <c r="P84" s="350" t="s">
        <v>8650</v>
      </c>
      <c r="Q84" s="343" t="s">
        <v>550</v>
      </c>
      <c r="R84" s="343" t="s">
        <v>4</v>
      </c>
      <c r="S84" s="343"/>
      <c r="T84" s="343" t="s">
        <v>2733</v>
      </c>
    </row>
    <row r="85" spans="1:20" ht="22" customHeight="1">
      <c r="A85" s="343" t="s">
        <v>637</v>
      </c>
      <c r="B85" s="343" t="s">
        <v>637</v>
      </c>
      <c r="C85" s="350" t="s">
        <v>8683</v>
      </c>
      <c r="D85" s="343" t="s">
        <v>8758</v>
      </c>
      <c r="E85" s="344" t="s">
        <v>7723</v>
      </c>
      <c r="F85" s="344" t="s">
        <v>7871</v>
      </c>
      <c r="G85" s="344" t="s">
        <v>7872</v>
      </c>
      <c r="H85" s="345">
        <v>3</v>
      </c>
      <c r="I85" s="344" t="s">
        <v>2733</v>
      </c>
      <c r="J85" s="344" t="s">
        <v>7262</v>
      </c>
      <c r="K85" s="349" t="s">
        <v>8692</v>
      </c>
      <c r="L85" s="349" t="s">
        <v>8692</v>
      </c>
      <c r="M85" s="359" t="s">
        <v>8295</v>
      </c>
      <c r="N85" s="359" t="s">
        <v>8358</v>
      </c>
      <c r="O85" s="359" t="s">
        <v>8574</v>
      </c>
      <c r="P85" s="350" t="s">
        <v>8650</v>
      </c>
      <c r="Q85" s="343" t="s">
        <v>2233</v>
      </c>
      <c r="R85" s="343" t="s">
        <v>4</v>
      </c>
      <c r="S85" s="343"/>
      <c r="T85" s="343" t="s">
        <v>2733</v>
      </c>
    </row>
    <row r="86" spans="1:20" ht="22" customHeight="1">
      <c r="A86" s="343" t="s">
        <v>639</v>
      </c>
      <c r="B86" s="343" t="s">
        <v>639</v>
      </c>
      <c r="C86" s="350" t="s">
        <v>8683</v>
      </c>
      <c r="D86" s="343" t="s">
        <v>8759</v>
      </c>
      <c r="E86" s="344" t="s">
        <v>7724</v>
      </c>
      <c r="F86" s="344" t="s">
        <v>7873</v>
      </c>
      <c r="G86" s="344" t="s">
        <v>7874</v>
      </c>
      <c r="H86" s="345">
        <v>3</v>
      </c>
      <c r="I86" s="344" t="s">
        <v>7811</v>
      </c>
      <c r="J86" s="344" t="s">
        <v>7324</v>
      </c>
      <c r="K86" s="349" t="s">
        <v>8695</v>
      </c>
      <c r="L86" s="349" t="s">
        <v>8692</v>
      </c>
      <c r="M86" s="359" t="s">
        <v>8287</v>
      </c>
      <c r="N86" s="359" t="s">
        <v>8327</v>
      </c>
      <c r="O86" s="359" t="s">
        <v>8574</v>
      </c>
      <c r="P86" s="350" t="s">
        <v>8651</v>
      </c>
      <c r="Q86" s="343" t="s">
        <v>2233</v>
      </c>
      <c r="R86" s="343" t="s">
        <v>4</v>
      </c>
      <c r="S86" s="343"/>
      <c r="T86" s="343" t="s">
        <v>6400</v>
      </c>
    </row>
    <row r="87" spans="1:20" ht="22" customHeight="1">
      <c r="A87" s="343" t="s">
        <v>641</v>
      </c>
      <c r="B87" s="343" t="s">
        <v>641</v>
      </c>
      <c r="C87" s="350" t="s">
        <v>8683</v>
      </c>
      <c r="D87" s="343" t="s">
        <v>8760</v>
      </c>
      <c r="E87" s="344" t="s">
        <v>7725</v>
      </c>
      <c r="F87" s="344" t="s">
        <v>7876</v>
      </c>
      <c r="G87" s="344" t="s">
        <v>7877</v>
      </c>
      <c r="H87" s="345">
        <v>1</v>
      </c>
      <c r="I87" s="344" t="s">
        <v>7790</v>
      </c>
      <c r="J87" s="344" t="s">
        <v>7879</v>
      </c>
      <c r="K87" s="349" t="s">
        <v>8692</v>
      </c>
      <c r="L87" s="349" t="s">
        <v>8692</v>
      </c>
      <c r="M87" s="359" t="s">
        <v>8284</v>
      </c>
      <c r="N87" s="359" t="s">
        <v>8317</v>
      </c>
      <c r="O87" s="359" t="s">
        <v>8574</v>
      </c>
      <c r="P87" s="350" t="s">
        <v>8649</v>
      </c>
      <c r="Q87" s="343" t="s">
        <v>2233</v>
      </c>
      <c r="R87" s="343" t="s">
        <v>4</v>
      </c>
      <c r="S87" s="343"/>
      <c r="T87" s="343" t="s">
        <v>6688</v>
      </c>
    </row>
    <row r="88" spans="1:20" ht="22" customHeight="1">
      <c r="A88" s="343" t="s">
        <v>644</v>
      </c>
      <c r="B88" s="343" t="s">
        <v>644</v>
      </c>
      <c r="C88" s="350" t="s">
        <v>8684</v>
      </c>
      <c r="D88" s="343" t="s">
        <v>8761</v>
      </c>
      <c r="E88" s="344" t="s">
        <v>7726</v>
      </c>
      <c r="F88" s="344" t="s">
        <v>7880</v>
      </c>
      <c r="G88" s="344" t="s">
        <v>7881</v>
      </c>
      <c r="H88" s="345">
        <v>2</v>
      </c>
      <c r="I88" s="344" t="s">
        <v>2733</v>
      </c>
      <c r="J88" s="344" t="s">
        <v>7262</v>
      </c>
      <c r="K88" s="349" t="s">
        <v>8692</v>
      </c>
      <c r="L88" s="349" t="s">
        <v>8692</v>
      </c>
      <c r="M88" s="359" t="s">
        <v>8290</v>
      </c>
      <c r="N88" s="359" t="s">
        <v>8359</v>
      </c>
      <c r="O88" s="359" t="s">
        <v>8574</v>
      </c>
      <c r="P88" s="350" t="s">
        <v>8651</v>
      </c>
      <c r="Q88" s="343" t="s">
        <v>2233</v>
      </c>
      <c r="R88" s="343" t="s">
        <v>4</v>
      </c>
      <c r="S88" s="343"/>
      <c r="T88" s="343" t="s">
        <v>2733</v>
      </c>
    </row>
    <row r="89" spans="1:20" ht="22" customHeight="1">
      <c r="A89" s="343" t="s">
        <v>647</v>
      </c>
      <c r="B89" s="343" t="s">
        <v>647</v>
      </c>
      <c r="C89" s="350" t="s">
        <v>8684</v>
      </c>
      <c r="D89" s="343" t="s">
        <v>8761</v>
      </c>
      <c r="E89" s="344" t="s">
        <v>7727</v>
      </c>
      <c r="F89" s="344" t="s">
        <v>7882</v>
      </c>
      <c r="G89" s="344" t="s">
        <v>7883</v>
      </c>
      <c r="H89" s="345">
        <v>8</v>
      </c>
      <c r="I89" s="344" t="s">
        <v>2733</v>
      </c>
      <c r="J89" s="344" t="s">
        <v>7262</v>
      </c>
      <c r="K89" s="349" t="s">
        <v>8692</v>
      </c>
      <c r="L89" s="349" t="s">
        <v>8692</v>
      </c>
      <c r="M89" s="359" t="s">
        <v>8290</v>
      </c>
      <c r="N89" s="359" t="s">
        <v>8359</v>
      </c>
      <c r="O89" s="359" t="s">
        <v>8574</v>
      </c>
      <c r="P89" s="350" t="s">
        <v>8651</v>
      </c>
      <c r="Q89" s="343" t="s">
        <v>644</v>
      </c>
      <c r="R89" s="343" t="s">
        <v>4</v>
      </c>
      <c r="S89" s="343"/>
      <c r="T89" s="343" t="s">
        <v>2733</v>
      </c>
    </row>
    <row r="90" spans="1:20" ht="22" customHeight="1">
      <c r="A90" s="343" t="s">
        <v>650</v>
      </c>
      <c r="B90" s="343" t="s">
        <v>650</v>
      </c>
      <c r="C90" s="350" t="s">
        <v>8684</v>
      </c>
      <c r="D90" s="343" t="s">
        <v>8761</v>
      </c>
      <c r="E90" s="344" t="s">
        <v>7728</v>
      </c>
      <c r="F90" s="344" t="s">
        <v>7884</v>
      </c>
      <c r="G90" s="344" t="s">
        <v>7885</v>
      </c>
      <c r="H90" s="345">
        <v>3</v>
      </c>
      <c r="I90" s="344" t="s">
        <v>2733</v>
      </c>
      <c r="J90" s="344" t="s">
        <v>7262</v>
      </c>
      <c r="K90" s="349" t="s">
        <v>8692</v>
      </c>
      <c r="L90" s="349" t="s">
        <v>8692</v>
      </c>
      <c r="M90" s="359" t="s">
        <v>8290</v>
      </c>
      <c r="N90" s="359" t="s">
        <v>8359</v>
      </c>
      <c r="O90" s="359" t="s">
        <v>8574</v>
      </c>
      <c r="P90" s="350" t="s">
        <v>8651</v>
      </c>
      <c r="Q90" s="343" t="s">
        <v>2233</v>
      </c>
      <c r="R90" s="343" t="s">
        <v>4</v>
      </c>
      <c r="S90" s="343"/>
      <c r="T90" s="343" t="s">
        <v>2733</v>
      </c>
    </row>
    <row r="91" spans="1:20" ht="22" customHeight="1">
      <c r="A91" s="343" t="s">
        <v>653</v>
      </c>
      <c r="B91" s="343" t="s">
        <v>653</v>
      </c>
      <c r="C91" s="350" t="s">
        <v>8684</v>
      </c>
      <c r="D91" s="343" t="s">
        <v>8762</v>
      </c>
      <c r="E91" s="344" t="s">
        <v>7729</v>
      </c>
      <c r="F91" s="344" t="s">
        <v>7886</v>
      </c>
      <c r="G91" s="344" t="s">
        <v>7887</v>
      </c>
      <c r="H91" s="345">
        <v>2</v>
      </c>
      <c r="I91" s="344" t="s">
        <v>2733</v>
      </c>
      <c r="J91" s="344" t="s">
        <v>7262</v>
      </c>
      <c r="K91" s="349" t="s">
        <v>8692</v>
      </c>
      <c r="L91" s="349" t="s">
        <v>8692</v>
      </c>
      <c r="M91" s="359" t="s">
        <v>8290</v>
      </c>
      <c r="N91" s="359" t="s">
        <v>8359</v>
      </c>
      <c r="O91" s="359" t="s">
        <v>8574</v>
      </c>
      <c r="P91" s="350" t="s">
        <v>8651</v>
      </c>
      <c r="Q91" s="343" t="s">
        <v>2233</v>
      </c>
      <c r="R91" s="343" t="s">
        <v>4</v>
      </c>
      <c r="S91" s="343"/>
      <c r="T91" s="343" t="s">
        <v>2733</v>
      </c>
    </row>
    <row r="92" spans="1:20" ht="22" customHeight="1">
      <c r="A92" s="343" t="s">
        <v>5347</v>
      </c>
      <c r="B92" s="343" t="s">
        <v>6079</v>
      </c>
      <c r="C92" s="350" t="s">
        <v>8685</v>
      </c>
      <c r="D92" s="343" t="s">
        <v>2909</v>
      </c>
      <c r="E92" s="344" t="s">
        <v>7730</v>
      </c>
      <c r="F92" s="344" t="s">
        <v>7888</v>
      </c>
      <c r="G92" s="344" t="s">
        <v>7889</v>
      </c>
      <c r="H92" s="345">
        <v>1.5</v>
      </c>
      <c r="I92" s="344" t="s">
        <v>7810</v>
      </c>
      <c r="J92" s="344" t="s">
        <v>7322</v>
      </c>
      <c r="K92" s="349" t="s">
        <v>8692</v>
      </c>
      <c r="L92" s="349" t="s">
        <v>8693</v>
      </c>
      <c r="M92" s="359" t="s">
        <v>8280</v>
      </c>
      <c r="N92" s="359" t="s">
        <v>8326</v>
      </c>
      <c r="O92" s="359" t="s">
        <v>8574</v>
      </c>
      <c r="P92" s="350" t="s">
        <v>8653</v>
      </c>
      <c r="Q92" s="343" t="s">
        <v>2233</v>
      </c>
      <c r="R92" s="343" t="s">
        <v>4</v>
      </c>
      <c r="S92" s="343"/>
      <c r="T92" s="343" t="s">
        <v>6395</v>
      </c>
    </row>
    <row r="93" spans="1:20" ht="22" customHeight="1">
      <c r="A93" s="343" t="s">
        <v>5348</v>
      </c>
      <c r="B93" s="343" t="s">
        <v>6079</v>
      </c>
      <c r="C93" s="350" t="s">
        <v>8685</v>
      </c>
      <c r="D93" s="343" t="s">
        <v>2909</v>
      </c>
      <c r="E93" s="344" t="s">
        <v>7731</v>
      </c>
      <c r="F93" s="344" t="s">
        <v>7891</v>
      </c>
      <c r="G93" s="344" t="s">
        <v>7892</v>
      </c>
      <c r="H93" s="345">
        <v>1.5</v>
      </c>
      <c r="I93" s="344" t="s">
        <v>2733</v>
      </c>
      <c r="J93" s="344" t="s">
        <v>7893</v>
      </c>
      <c r="K93" s="349" t="s">
        <v>8692</v>
      </c>
      <c r="L93" s="349" t="s">
        <v>8692</v>
      </c>
      <c r="M93" s="359" t="s">
        <v>8293</v>
      </c>
      <c r="N93" s="359" t="s">
        <v>8360</v>
      </c>
      <c r="O93" s="359" t="s">
        <v>8574</v>
      </c>
      <c r="P93" s="350" t="s">
        <v>8651</v>
      </c>
      <c r="Q93" s="343" t="s">
        <v>2233</v>
      </c>
      <c r="R93" s="343" t="s">
        <v>4</v>
      </c>
      <c r="S93" s="343"/>
      <c r="T93" s="343" t="s">
        <v>2733</v>
      </c>
    </row>
    <row r="94" spans="1:20" ht="22" customHeight="1">
      <c r="A94" s="343" t="s">
        <v>5349</v>
      </c>
      <c r="B94" s="343" t="s">
        <v>6079</v>
      </c>
      <c r="C94" s="350" t="s">
        <v>8685</v>
      </c>
      <c r="D94" s="343" t="s">
        <v>2909</v>
      </c>
      <c r="E94" s="344" t="s">
        <v>7732</v>
      </c>
      <c r="F94" s="344" t="s">
        <v>7894</v>
      </c>
      <c r="G94" s="344" t="s">
        <v>7895</v>
      </c>
      <c r="H94" s="345">
        <v>1.5</v>
      </c>
      <c r="I94" s="344" t="s">
        <v>7828</v>
      </c>
      <c r="J94" s="344" t="s">
        <v>7335</v>
      </c>
      <c r="K94" s="349" t="s">
        <v>8692</v>
      </c>
      <c r="L94" s="349" t="s">
        <v>8693</v>
      </c>
      <c r="M94" s="359" t="s">
        <v>8284</v>
      </c>
      <c r="N94" s="359" t="s">
        <v>8597</v>
      </c>
      <c r="O94" s="359" t="s">
        <v>8574</v>
      </c>
      <c r="P94" s="350" t="s">
        <v>8651</v>
      </c>
      <c r="Q94" s="343" t="s">
        <v>2233</v>
      </c>
      <c r="R94" s="343" t="s">
        <v>4</v>
      </c>
      <c r="S94" s="343"/>
      <c r="T94" s="343" t="s">
        <v>6460</v>
      </c>
    </row>
    <row r="95" spans="1:20" ht="22" customHeight="1">
      <c r="A95" s="343" t="s">
        <v>5350</v>
      </c>
      <c r="B95" s="343" t="s">
        <v>6079</v>
      </c>
      <c r="C95" s="350" t="s">
        <v>8685</v>
      </c>
      <c r="D95" s="343" t="s">
        <v>2909</v>
      </c>
      <c r="E95" s="344" t="s">
        <v>7733</v>
      </c>
      <c r="F95" s="344" t="s">
        <v>7896</v>
      </c>
      <c r="G95" s="344" t="s">
        <v>7897</v>
      </c>
      <c r="H95" s="345">
        <v>1.5</v>
      </c>
      <c r="I95" s="344" t="s">
        <v>2733</v>
      </c>
      <c r="J95" s="344" t="s">
        <v>7898</v>
      </c>
      <c r="K95" s="349" t="s">
        <v>8692</v>
      </c>
      <c r="L95" s="349" t="s">
        <v>8692</v>
      </c>
      <c r="M95" s="359" t="s">
        <v>8293</v>
      </c>
      <c r="N95" s="359" t="s">
        <v>8360</v>
      </c>
      <c r="O95" s="359" t="s">
        <v>8574</v>
      </c>
      <c r="P95" s="350" t="s">
        <v>8651</v>
      </c>
      <c r="Q95" s="343" t="s">
        <v>2233</v>
      </c>
      <c r="R95" s="343" t="s">
        <v>4</v>
      </c>
      <c r="S95" s="343"/>
      <c r="T95" s="343" t="s">
        <v>2733</v>
      </c>
    </row>
    <row r="96" spans="1:20" ht="22" customHeight="1">
      <c r="A96" s="343" t="s">
        <v>5351</v>
      </c>
      <c r="B96" s="343" t="s">
        <v>6079</v>
      </c>
      <c r="C96" s="350" t="s">
        <v>8685</v>
      </c>
      <c r="D96" s="343" t="s">
        <v>2909</v>
      </c>
      <c r="E96" s="344" t="s">
        <v>7734</v>
      </c>
      <c r="F96" s="344" t="s">
        <v>7899</v>
      </c>
      <c r="G96" s="344" t="s">
        <v>7900</v>
      </c>
      <c r="H96" s="345">
        <v>1</v>
      </c>
      <c r="I96" s="344" t="s">
        <v>7832</v>
      </c>
      <c r="J96" s="344" t="s">
        <v>7902</v>
      </c>
      <c r="K96" s="349" t="s">
        <v>8692</v>
      </c>
      <c r="L96" s="349" t="s">
        <v>8692</v>
      </c>
      <c r="M96" s="359" t="s">
        <v>8284</v>
      </c>
      <c r="N96" s="359" t="s">
        <v>8333</v>
      </c>
      <c r="O96" s="359" t="s">
        <v>8574</v>
      </c>
      <c r="P96" s="350" t="s">
        <v>8651</v>
      </c>
      <c r="Q96" s="343" t="s">
        <v>2233</v>
      </c>
      <c r="R96" s="343" t="s">
        <v>4</v>
      </c>
      <c r="S96" s="343"/>
      <c r="T96" s="343" t="s">
        <v>7901</v>
      </c>
    </row>
    <row r="97" spans="1:20" ht="22" customHeight="1">
      <c r="A97" s="343" t="s">
        <v>5352</v>
      </c>
      <c r="B97" s="343" t="s">
        <v>6079</v>
      </c>
      <c r="C97" s="350" t="s">
        <v>8685</v>
      </c>
      <c r="D97" s="343" t="s">
        <v>2909</v>
      </c>
      <c r="E97" s="344" t="s">
        <v>7735</v>
      </c>
      <c r="F97" s="344" t="s">
        <v>7903</v>
      </c>
      <c r="G97" s="344" t="s">
        <v>7904</v>
      </c>
      <c r="H97" s="345">
        <v>1.5</v>
      </c>
      <c r="I97" s="344" t="s">
        <v>2733</v>
      </c>
      <c r="J97" s="344" t="s">
        <v>7905</v>
      </c>
      <c r="K97" s="349" t="s">
        <v>8692</v>
      </c>
      <c r="L97" s="349" t="s">
        <v>8692</v>
      </c>
      <c r="M97" s="359" t="s">
        <v>8293</v>
      </c>
      <c r="N97" s="359" t="s">
        <v>8360</v>
      </c>
      <c r="O97" s="359" t="s">
        <v>8574</v>
      </c>
      <c r="P97" s="350" t="s">
        <v>8651</v>
      </c>
      <c r="Q97" s="343" t="s">
        <v>2233</v>
      </c>
      <c r="R97" s="343" t="s">
        <v>4</v>
      </c>
      <c r="S97" s="343"/>
      <c r="T97" s="343" t="s">
        <v>2733</v>
      </c>
    </row>
    <row r="98" spans="1:20" ht="22" customHeight="1">
      <c r="A98" s="343" t="s">
        <v>5353</v>
      </c>
      <c r="B98" s="343" t="s">
        <v>6079</v>
      </c>
      <c r="C98" s="350" t="s">
        <v>8685</v>
      </c>
      <c r="D98" s="343" t="s">
        <v>2909</v>
      </c>
      <c r="E98" s="344" t="s">
        <v>7736</v>
      </c>
      <c r="F98" s="344" t="s">
        <v>7906</v>
      </c>
      <c r="G98" s="344" t="s">
        <v>7907</v>
      </c>
      <c r="H98" s="345">
        <v>1</v>
      </c>
      <c r="I98" s="344" t="s">
        <v>7803</v>
      </c>
      <c r="J98" s="344" t="s">
        <v>7318</v>
      </c>
      <c r="K98" s="349" t="s">
        <v>8692</v>
      </c>
      <c r="L98" s="349" t="s">
        <v>8693</v>
      </c>
      <c r="M98" s="359" t="s">
        <v>8280</v>
      </c>
      <c r="N98" s="359" t="s">
        <v>8360</v>
      </c>
      <c r="O98" s="359" t="s">
        <v>8574</v>
      </c>
      <c r="P98" s="350" t="s">
        <v>8651</v>
      </c>
      <c r="Q98" s="343" t="s">
        <v>2233</v>
      </c>
      <c r="R98" s="343" t="s">
        <v>4</v>
      </c>
      <c r="S98" s="343"/>
      <c r="T98" s="343" t="s">
        <v>6378</v>
      </c>
    </row>
    <row r="99" spans="1:20" ht="22" customHeight="1">
      <c r="A99" s="343" t="s">
        <v>5354</v>
      </c>
      <c r="B99" s="343" t="s">
        <v>6079</v>
      </c>
      <c r="C99" s="350" t="s">
        <v>8685</v>
      </c>
      <c r="D99" s="343" t="s">
        <v>2909</v>
      </c>
      <c r="E99" s="344" t="s">
        <v>7737</v>
      </c>
      <c r="F99" s="344" t="s">
        <v>7909</v>
      </c>
      <c r="G99" s="344" t="s">
        <v>7910</v>
      </c>
      <c r="H99" s="345">
        <v>1</v>
      </c>
      <c r="I99" s="344" t="s">
        <v>2733</v>
      </c>
      <c r="J99" s="344" t="s">
        <v>7911</v>
      </c>
      <c r="K99" s="349" t="s">
        <v>8692</v>
      </c>
      <c r="L99" s="349" t="s">
        <v>8692</v>
      </c>
      <c r="M99" s="359" t="s">
        <v>8293</v>
      </c>
      <c r="N99" s="359" t="s">
        <v>8360</v>
      </c>
      <c r="O99" s="359" t="s">
        <v>8689</v>
      </c>
      <c r="P99" s="350" t="s">
        <v>8651</v>
      </c>
      <c r="Q99" s="343" t="s">
        <v>2233</v>
      </c>
      <c r="R99" s="343" t="s">
        <v>4</v>
      </c>
      <c r="S99" s="343"/>
      <c r="T99" s="343" t="s">
        <v>2733</v>
      </c>
    </row>
    <row r="100" spans="1:20" ht="22" customHeight="1">
      <c r="A100" s="343" t="s">
        <v>5355</v>
      </c>
      <c r="B100" s="343" t="s">
        <v>6079</v>
      </c>
      <c r="C100" s="350" t="s">
        <v>8685</v>
      </c>
      <c r="D100" s="343" t="s">
        <v>2909</v>
      </c>
      <c r="E100" s="344" t="s">
        <v>7738</v>
      </c>
      <c r="F100" s="344" t="s">
        <v>7912</v>
      </c>
      <c r="G100" s="344" t="s">
        <v>7913</v>
      </c>
      <c r="H100" s="345">
        <v>2.5</v>
      </c>
      <c r="I100" s="344" t="s">
        <v>2733</v>
      </c>
      <c r="J100" s="344" t="s">
        <v>7911</v>
      </c>
      <c r="K100" s="349" t="s">
        <v>8692</v>
      </c>
      <c r="L100" s="349" t="s">
        <v>8692</v>
      </c>
      <c r="M100" s="359" t="s">
        <v>8293</v>
      </c>
      <c r="N100" s="359" t="s">
        <v>8360</v>
      </c>
      <c r="O100" s="359" t="s">
        <v>8689</v>
      </c>
      <c r="P100" s="350" t="s">
        <v>8651</v>
      </c>
      <c r="Q100" s="343" t="s">
        <v>5322</v>
      </c>
      <c r="R100" s="343" t="s">
        <v>4</v>
      </c>
      <c r="S100" s="343"/>
      <c r="T100" s="343" t="s">
        <v>2733</v>
      </c>
    </row>
    <row r="101" spans="1:20" ht="22" customHeight="1">
      <c r="A101" s="343" t="s">
        <v>5356</v>
      </c>
      <c r="B101" s="343" t="s">
        <v>6079</v>
      </c>
      <c r="C101" s="350" t="s">
        <v>8685</v>
      </c>
      <c r="D101" s="343" t="s">
        <v>2909</v>
      </c>
      <c r="E101" s="344" t="s">
        <v>7739</v>
      </c>
      <c r="F101" s="344" t="s">
        <v>7914</v>
      </c>
      <c r="G101" s="344" t="s">
        <v>7915</v>
      </c>
      <c r="H101" s="345">
        <v>2</v>
      </c>
      <c r="I101" s="344" t="s">
        <v>2733</v>
      </c>
      <c r="J101" s="344" t="s">
        <v>7911</v>
      </c>
      <c r="K101" s="349" t="s">
        <v>8692</v>
      </c>
      <c r="L101" s="349" t="s">
        <v>8692</v>
      </c>
      <c r="M101" s="359" t="s">
        <v>8293</v>
      </c>
      <c r="N101" s="359" t="s">
        <v>8360</v>
      </c>
      <c r="O101" s="359" t="s">
        <v>8574</v>
      </c>
      <c r="P101" s="350" t="s">
        <v>8651</v>
      </c>
      <c r="Q101" s="343" t="s">
        <v>5341</v>
      </c>
      <c r="R101" s="343" t="s">
        <v>4</v>
      </c>
      <c r="S101" s="343"/>
      <c r="T101" s="343" t="s">
        <v>2733</v>
      </c>
    </row>
    <row r="102" spans="1:20" ht="22" customHeight="1">
      <c r="A102" s="343" t="s">
        <v>5357</v>
      </c>
      <c r="B102" s="343" t="s">
        <v>6079</v>
      </c>
      <c r="C102" s="350" t="s">
        <v>8685</v>
      </c>
      <c r="D102" s="343" t="s">
        <v>2909</v>
      </c>
      <c r="E102" s="344" t="s">
        <v>7740</v>
      </c>
      <c r="F102" s="344" t="s">
        <v>7916</v>
      </c>
      <c r="G102" s="344" t="s">
        <v>7917</v>
      </c>
      <c r="H102" s="345">
        <v>1</v>
      </c>
      <c r="I102" s="344" t="s">
        <v>2733</v>
      </c>
      <c r="J102" s="344" t="s">
        <v>7911</v>
      </c>
      <c r="K102" s="349" t="s">
        <v>8692</v>
      </c>
      <c r="L102" s="349" t="s">
        <v>8692</v>
      </c>
      <c r="M102" s="359" t="s">
        <v>8293</v>
      </c>
      <c r="N102" s="359" t="s">
        <v>8360</v>
      </c>
      <c r="O102" s="359" t="s">
        <v>8689</v>
      </c>
      <c r="P102" s="350" t="s">
        <v>8651</v>
      </c>
      <c r="Q102" s="343" t="s">
        <v>2233</v>
      </c>
      <c r="R102" s="343" t="s">
        <v>4</v>
      </c>
      <c r="S102" s="343"/>
      <c r="T102" s="343" t="s">
        <v>2733</v>
      </c>
    </row>
    <row r="103" spans="1:20" ht="22" customHeight="1">
      <c r="A103" s="343" t="s">
        <v>661</v>
      </c>
      <c r="B103" s="343" t="s">
        <v>661</v>
      </c>
      <c r="C103" s="350" t="s">
        <v>8686</v>
      </c>
      <c r="D103" s="343" t="s">
        <v>8763</v>
      </c>
      <c r="E103" s="344" t="s">
        <v>7741</v>
      </c>
      <c r="F103" s="344" t="s">
        <v>7918</v>
      </c>
      <c r="G103" s="344" t="s">
        <v>7919</v>
      </c>
      <c r="H103" s="345">
        <v>2</v>
      </c>
      <c r="I103" s="344" t="s">
        <v>2733</v>
      </c>
      <c r="J103" s="344" t="s">
        <v>7262</v>
      </c>
      <c r="K103" s="349" t="s">
        <v>8692</v>
      </c>
      <c r="L103" s="349" t="s">
        <v>8692</v>
      </c>
      <c r="M103" s="359" t="s">
        <v>8293</v>
      </c>
      <c r="N103" s="359" t="s">
        <v>8360</v>
      </c>
      <c r="O103" s="359" t="s">
        <v>8574</v>
      </c>
      <c r="P103" s="350" t="s">
        <v>8651</v>
      </c>
      <c r="Q103" s="343" t="s">
        <v>2233</v>
      </c>
      <c r="R103" s="343" t="s">
        <v>4</v>
      </c>
      <c r="S103" s="343"/>
      <c r="T103" s="343" t="s">
        <v>2733</v>
      </c>
    </row>
    <row r="104" spans="1:20" ht="22" customHeight="1">
      <c r="A104" s="343" t="s">
        <v>5358</v>
      </c>
      <c r="B104" s="343" t="s">
        <v>6080</v>
      </c>
      <c r="C104" s="350" t="s">
        <v>8686</v>
      </c>
      <c r="D104" s="343" t="s">
        <v>8764</v>
      </c>
      <c r="E104" s="344" t="s">
        <v>7742</v>
      </c>
      <c r="F104" s="344" t="s">
        <v>7920</v>
      </c>
      <c r="G104" s="344" t="s">
        <v>7921</v>
      </c>
      <c r="H104" s="345">
        <v>2</v>
      </c>
      <c r="I104" s="344" t="s">
        <v>2733</v>
      </c>
      <c r="J104" s="344" t="s">
        <v>7262</v>
      </c>
      <c r="K104" s="349" t="s">
        <v>8692</v>
      </c>
      <c r="L104" s="349" t="s">
        <v>8692</v>
      </c>
      <c r="M104" s="359" t="s">
        <v>8293</v>
      </c>
      <c r="N104" s="359" t="s">
        <v>8360</v>
      </c>
      <c r="O104" s="359" t="s">
        <v>8574</v>
      </c>
      <c r="P104" s="350" t="s">
        <v>8651</v>
      </c>
      <c r="Q104" s="343" t="s">
        <v>5323</v>
      </c>
      <c r="R104" s="343" t="s">
        <v>4</v>
      </c>
      <c r="S104" s="343"/>
      <c r="T104" s="343" t="s">
        <v>2733</v>
      </c>
    </row>
    <row r="105" spans="1:20" ht="22" customHeight="1">
      <c r="A105" s="343" t="s">
        <v>5359</v>
      </c>
      <c r="B105" s="343" t="s">
        <v>6080</v>
      </c>
      <c r="C105" s="350" t="s">
        <v>8686</v>
      </c>
      <c r="D105" s="343" t="s">
        <v>8764</v>
      </c>
      <c r="E105" s="344" t="s">
        <v>7743</v>
      </c>
      <c r="F105" s="344" t="s">
        <v>7922</v>
      </c>
      <c r="G105" s="344" t="s">
        <v>7923</v>
      </c>
      <c r="H105" s="345">
        <v>2</v>
      </c>
      <c r="I105" s="344" t="s">
        <v>2733</v>
      </c>
      <c r="J105" s="344" t="s">
        <v>7262</v>
      </c>
      <c r="K105" s="349" t="s">
        <v>8692</v>
      </c>
      <c r="L105" s="349" t="s">
        <v>8692</v>
      </c>
      <c r="M105" s="359" t="s">
        <v>8293</v>
      </c>
      <c r="N105" s="359" t="s">
        <v>8654</v>
      </c>
      <c r="O105" s="359" t="s">
        <v>8574</v>
      </c>
      <c r="P105" s="350" t="s">
        <v>8651</v>
      </c>
      <c r="Q105" s="343" t="s">
        <v>5325</v>
      </c>
      <c r="R105" s="343" t="s">
        <v>4</v>
      </c>
      <c r="S105" s="343"/>
      <c r="T105" s="343" t="s">
        <v>2733</v>
      </c>
    </row>
    <row r="106" spans="1:20" ht="22" customHeight="1">
      <c r="A106" s="343" t="s">
        <v>5630</v>
      </c>
      <c r="B106" s="343" t="s">
        <v>5768</v>
      </c>
      <c r="C106" s="350" t="s">
        <v>8686</v>
      </c>
      <c r="D106" s="343" t="s">
        <v>8765</v>
      </c>
      <c r="E106" s="344" t="s">
        <v>6081</v>
      </c>
      <c r="F106" s="344" t="s">
        <v>7011</v>
      </c>
      <c r="G106" s="344" t="s">
        <v>7012</v>
      </c>
      <c r="H106" s="345">
        <v>1.5</v>
      </c>
      <c r="I106" s="344" t="s">
        <v>2733</v>
      </c>
      <c r="J106" s="344" t="s">
        <v>7262</v>
      </c>
      <c r="K106" s="349" t="s">
        <v>8691</v>
      </c>
      <c r="L106" s="349" t="s">
        <v>8692</v>
      </c>
      <c r="M106" s="359" t="s">
        <v>8292</v>
      </c>
      <c r="N106" s="359" t="s">
        <v>8355</v>
      </c>
      <c r="O106" s="359" t="s">
        <v>8574</v>
      </c>
      <c r="P106" s="350" t="s">
        <v>8652</v>
      </c>
      <c r="Q106" s="343" t="s">
        <v>2233</v>
      </c>
      <c r="R106" s="343" t="s">
        <v>4</v>
      </c>
      <c r="S106" s="343"/>
      <c r="T106" s="343" t="s">
        <v>2733</v>
      </c>
    </row>
    <row r="107" spans="1:20" ht="22" customHeight="1">
      <c r="A107" s="343" t="s">
        <v>5631</v>
      </c>
      <c r="B107" s="343" t="s">
        <v>5768</v>
      </c>
      <c r="C107" s="350" t="s">
        <v>8686</v>
      </c>
      <c r="D107" s="343" t="s">
        <v>8765</v>
      </c>
      <c r="E107" s="344" t="s">
        <v>6082</v>
      </c>
      <c r="F107" s="344" t="s">
        <v>7013</v>
      </c>
      <c r="G107" s="344" t="s">
        <v>7014</v>
      </c>
      <c r="H107" s="345">
        <v>1.5</v>
      </c>
      <c r="I107" s="344" t="s">
        <v>2733</v>
      </c>
      <c r="J107" s="344" t="s">
        <v>7262</v>
      </c>
      <c r="K107" s="349" t="s">
        <v>8691</v>
      </c>
      <c r="L107" s="349" t="s">
        <v>8692</v>
      </c>
      <c r="M107" s="359" t="s">
        <v>8292</v>
      </c>
      <c r="N107" s="359" t="s">
        <v>8355</v>
      </c>
      <c r="O107" s="359" t="s">
        <v>8574</v>
      </c>
      <c r="P107" s="350" t="s">
        <v>8652</v>
      </c>
      <c r="Q107" s="343" t="s">
        <v>2233</v>
      </c>
      <c r="R107" s="343" t="s">
        <v>4</v>
      </c>
      <c r="S107" s="343"/>
      <c r="T107" s="343" t="s">
        <v>2733</v>
      </c>
    </row>
    <row r="108" spans="1:20" ht="22" customHeight="1">
      <c r="A108" s="343" t="s">
        <v>5632</v>
      </c>
      <c r="B108" s="343" t="s">
        <v>5768</v>
      </c>
      <c r="C108" s="350" t="s">
        <v>8686</v>
      </c>
      <c r="D108" s="343" t="s">
        <v>8765</v>
      </c>
      <c r="E108" s="344" t="s">
        <v>6083</v>
      </c>
      <c r="F108" s="344" t="s">
        <v>7015</v>
      </c>
      <c r="G108" s="344" t="s">
        <v>7016</v>
      </c>
      <c r="H108" s="345">
        <v>1</v>
      </c>
      <c r="I108" s="344" t="s">
        <v>2733</v>
      </c>
      <c r="J108" s="344" t="s">
        <v>7262</v>
      </c>
      <c r="K108" s="349" t="s">
        <v>8691</v>
      </c>
      <c r="L108" s="349" t="s">
        <v>8692</v>
      </c>
      <c r="M108" s="359" t="s">
        <v>8292</v>
      </c>
      <c r="N108" s="359" t="s">
        <v>8355</v>
      </c>
      <c r="O108" s="359" t="s">
        <v>8574</v>
      </c>
      <c r="P108" s="350" t="s">
        <v>8652</v>
      </c>
      <c r="Q108" s="343" t="s">
        <v>2233</v>
      </c>
      <c r="R108" s="343" t="s">
        <v>4</v>
      </c>
      <c r="S108" s="343"/>
      <c r="T108" s="343" t="s">
        <v>2733</v>
      </c>
    </row>
    <row r="109" spans="1:20" ht="22" customHeight="1">
      <c r="A109" s="343" t="s">
        <v>5633</v>
      </c>
      <c r="B109" s="343" t="s">
        <v>5768</v>
      </c>
      <c r="C109" s="350" t="s">
        <v>8686</v>
      </c>
      <c r="D109" s="343" t="s">
        <v>2909</v>
      </c>
      <c r="E109" s="344" t="s">
        <v>6084</v>
      </c>
      <c r="F109" s="344" t="s">
        <v>7017</v>
      </c>
      <c r="G109" s="344" t="s">
        <v>7018</v>
      </c>
      <c r="H109" s="345">
        <v>1.5</v>
      </c>
      <c r="I109" s="344" t="s">
        <v>2733</v>
      </c>
      <c r="J109" s="344" t="s">
        <v>7262</v>
      </c>
      <c r="K109" s="349" t="s">
        <v>8691</v>
      </c>
      <c r="L109" s="349" t="s">
        <v>8692</v>
      </c>
      <c r="M109" s="359" t="s">
        <v>8292</v>
      </c>
      <c r="N109" s="359" t="s">
        <v>8355</v>
      </c>
      <c r="O109" s="359" t="s">
        <v>8574</v>
      </c>
      <c r="P109" s="350" t="s">
        <v>8652</v>
      </c>
      <c r="Q109" s="343" t="s">
        <v>2233</v>
      </c>
      <c r="R109" s="343" t="s">
        <v>4</v>
      </c>
      <c r="S109" s="343"/>
      <c r="T109" s="343" t="s">
        <v>2733</v>
      </c>
    </row>
    <row r="110" spans="1:20" ht="22" customHeight="1">
      <c r="A110" s="343" t="s">
        <v>5634</v>
      </c>
      <c r="B110" s="343" t="s">
        <v>5768</v>
      </c>
      <c r="C110" s="350" t="s">
        <v>8686</v>
      </c>
      <c r="D110" s="343" t="s">
        <v>2909</v>
      </c>
      <c r="E110" s="344" t="s">
        <v>6085</v>
      </c>
      <c r="F110" s="344" t="s">
        <v>7019</v>
      </c>
      <c r="G110" s="344" t="s">
        <v>7020</v>
      </c>
      <c r="H110" s="345">
        <v>1.5</v>
      </c>
      <c r="I110" s="344" t="s">
        <v>2733</v>
      </c>
      <c r="J110" s="344" t="s">
        <v>7262</v>
      </c>
      <c r="K110" s="349" t="s">
        <v>8691</v>
      </c>
      <c r="L110" s="349" t="s">
        <v>8692</v>
      </c>
      <c r="M110" s="359" t="s">
        <v>8292</v>
      </c>
      <c r="N110" s="359" t="s">
        <v>8654</v>
      </c>
      <c r="O110" s="359" t="s">
        <v>8574</v>
      </c>
      <c r="P110" s="350" t="s">
        <v>8652</v>
      </c>
      <c r="Q110" s="343" t="s">
        <v>2233</v>
      </c>
      <c r="R110" s="343" t="s">
        <v>4</v>
      </c>
      <c r="S110" s="343"/>
      <c r="T110" s="343" t="s">
        <v>2733</v>
      </c>
    </row>
    <row r="111" spans="1:20" ht="22" customHeight="1">
      <c r="A111" s="343" t="s">
        <v>5635</v>
      </c>
      <c r="B111" s="343" t="s">
        <v>5768</v>
      </c>
      <c r="C111" s="350" t="s">
        <v>8686</v>
      </c>
      <c r="D111" s="343" t="s">
        <v>8767</v>
      </c>
      <c r="E111" s="344" t="s">
        <v>6086</v>
      </c>
      <c r="F111" s="344" t="s">
        <v>7021</v>
      </c>
      <c r="G111" s="344" t="s">
        <v>7022</v>
      </c>
      <c r="H111" s="345">
        <v>2</v>
      </c>
      <c r="I111" s="344" t="s">
        <v>2733</v>
      </c>
      <c r="J111" s="344" t="s">
        <v>7262</v>
      </c>
      <c r="K111" s="349" t="s">
        <v>8691</v>
      </c>
      <c r="L111" s="349" t="s">
        <v>8693</v>
      </c>
      <c r="M111" s="359" t="s">
        <v>8292</v>
      </c>
      <c r="N111" s="359" t="s">
        <v>8355</v>
      </c>
      <c r="O111" s="359" t="s">
        <v>8574</v>
      </c>
      <c r="P111" s="350" t="s">
        <v>8652</v>
      </c>
      <c r="Q111" s="343" t="s">
        <v>2233</v>
      </c>
      <c r="R111" s="343" t="s">
        <v>4</v>
      </c>
      <c r="S111" s="343"/>
      <c r="T111" s="343" t="s">
        <v>2733</v>
      </c>
    </row>
    <row r="112" spans="1:20" ht="22" customHeight="1">
      <c r="A112" s="343" t="s">
        <v>5636</v>
      </c>
      <c r="B112" s="343" t="s">
        <v>5768</v>
      </c>
      <c r="C112" s="350" t="s">
        <v>8686</v>
      </c>
      <c r="D112" s="343" t="s">
        <v>8766</v>
      </c>
      <c r="E112" s="344" t="s">
        <v>6087</v>
      </c>
      <c r="F112" s="344" t="s">
        <v>7023</v>
      </c>
      <c r="G112" s="344" t="s">
        <v>7024</v>
      </c>
      <c r="H112" s="345">
        <v>2</v>
      </c>
      <c r="I112" s="344" t="s">
        <v>2733</v>
      </c>
      <c r="J112" s="344" t="s">
        <v>7262</v>
      </c>
      <c r="K112" s="349" t="s">
        <v>8691</v>
      </c>
      <c r="L112" s="349" t="s">
        <v>8693</v>
      </c>
      <c r="M112" s="359" t="s">
        <v>8292</v>
      </c>
      <c r="N112" s="359" t="s">
        <v>8355</v>
      </c>
      <c r="O112" s="359" t="s">
        <v>8574</v>
      </c>
      <c r="P112" s="350" t="s">
        <v>8652</v>
      </c>
      <c r="Q112" s="343" t="s">
        <v>2233</v>
      </c>
      <c r="R112" s="343" t="s">
        <v>4</v>
      </c>
      <c r="S112" s="343"/>
      <c r="T112" s="343" t="s">
        <v>2733</v>
      </c>
    </row>
    <row r="113" spans="1:20" ht="22" customHeight="1">
      <c r="A113" s="343" t="s">
        <v>5637</v>
      </c>
      <c r="B113" s="343" t="s">
        <v>5768</v>
      </c>
      <c r="C113" s="350" t="s">
        <v>8686</v>
      </c>
      <c r="D113" s="343" t="s">
        <v>8767</v>
      </c>
      <c r="E113" s="344" t="s">
        <v>6088</v>
      </c>
      <c r="F113" s="344" t="s">
        <v>7025</v>
      </c>
      <c r="G113" s="344" t="s">
        <v>7026</v>
      </c>
      <c r="H113" s="345">
        <v>2</v>
      </c>
      <c r="I113" s="344" t="s">
        <v>2733</v>
      </c>
      <c r="J113" s="344" t="s">
        <v>7262</v>
      </c>
      <c r="K113" s="349" t="s">
        <v>8691</v>
      </c>
      <c r="L113" s="349" t="s">
        <v>8693</v>
      </c>
      <c r="M113" s="359" t="s">
        <v>8292</v>
      </c>
      <c r="N113" s="359" t="s">
        <v>8355</v>
      </c>
      <c r="O113" s="359" t="s">
        <v>8574</v>
      </c>
      <c r="P113" s="350" t="s">
        <v>8652</v>
      </c>
      <c r="Q113" s="343" t="s">
        <v>2233</v>
      </c>
      <c r="R113" s="343" t="s">
        <v>4</v>
      </c>
      <c r="S113" s="343"/>
      <c r="T113" s="343" t="s">
        <v>2733</v>
      </c>
    </row>
    <row r="114" spans="1:20" ht="22" customHeight="1">
      <c r="A114" s="343" t="s">
        <v>5638</v>
      </c>
      <c r="B114" s="343" t="s">
        <v>5768</v>
      </c>
      <c r="C114" s="350" t="s">
        <v>8686</v>
      </c>
      <c r="D114" s="343" t="s">
        <v>8767</v>
      </c>
      <c r="E114" s="344" t="s">
        <v>6089</v>
      </c>
      <c r="F114" s="344" t="s">
        <v>7027</v>
      </c>
      <c r="G114" s="344" t="s">
        <v>7028</v>
      </c>
      <c r="H114" s="345">
        <v>2</v>
      </c>
      <c r="I114" s="344" t="s">
        <v>2233</v>
      </c>
      <c r="J114" s="344" t="s">
        <v>7346</v>
      </c>
      <c r="K114" s="349" t="s">
        <v>8691</v>
      </c>
      <c r="L114" s="349" t="s">
        <v>8693</v>
      </c>
      <c r="M114" s="359" t="s">
        <v>8287</v>
      </c>
      <c r="N114" s="359" t="s">
        <v>8300</v>
      </c>
      <c r="O114" s="359" t="s">
        <v>8574</v>
      </c>
      <c r="P114" s="350" t="s">
        <v>8652</v>
      </c>
      <c r="Q114" s="343" t="s">
        <v>2233</v>
      </c>
      <c r="R114" s="343" t="s">
        <v>4</v>
      </c>
      <c r="S114" s="343"/>
      <c r="T114" s="343" t="s">
        <v>6689</v>
      </c>
    </row>
    <row r="115" spans="1:20" ht="22" customHeight="1">
      <c r="A115" s="343" t="s">
        <v>5639</v>
      </c>
      <c r="B115" s="343" t="s">
        <v>5768</v>
      </c>
      <c r="C115" s="350" t="s">
        <v>8686</v>
      </c>
      <c r="D115" s="343" t="s">
        <v>8767</v>
      </c>
      <c r="E115" s="344" t="s">
        <v>6090</v>
      </c>
      <c r="F115" s="344" t="s">
        <v>7029</v>
      </c>
      <c r="G115" s="344" t="s">
        <v>7030</v>
      </c>
      <c r="H115" s="345">
        <v>2</v>
      </c>
      <c r="I115" s="344" t="s">
        <v>2733</v>
      </c>
      <c r="J115" s="344" t="s">
        <v>7262</v>
      </c>
      <c r="K115" s="349" t="s">
        <v>8691</v>
      </c>
      <c r="L115" s="349" t="s">
        <v>8696</v>
      </c>
      <c r="M115" s="359" t="s">
        <v>8292</v>
      </c>
      <c r="N115" s="359" t="s">
        <v>8664</v>
      </c>
      <c r="O115" s="359" t="s">
        <v>8574</v>
      </c>
      <c r="P115" s="350" t="s">
        <v>8652</v>
      </c>
      <c r="Q115" s="343" t="s">
        <v>2233</v>
      </c>
      <c r="R115" s="343" t="s">
        <v>4</v>
      </c>
      <c r="S115" s="343"/>
      <c r="T115" s="343" t="s">
        <v>2733</v>
      </c>
    </row>
    <row r="116" spans="1:20" ht="22" customHeight="1">
      <c r="A116" s="343" t="s">
        <v>5640</v>
      </c>
      <c r="B116" s="343" t="s">
        <v>5768</v>
      </c>
      <c r="C116" s="350" t="s">
        <v>8686</v>
      </c>
      <c r="D116" s="343" t="s">
        <v>8766</v>
      </c>
      <c r="E116" s="344" t="s">
        <v>6091</v>
      </c>
      <c r="F116" s="344" t="s">
        <v>7031</v>
      </c>
      <c r="G116" s="344" t="s">
        <v>7032</v>
      </c>
      <c r="H116" s="345">
        <v>1.5</v>
      </c>
      <c r="I116" s="344" t="s">
        <v>2733</v>
      </c>
      <c r="J116" s="344" t="s">
        <v>7262</v>
      </c>
      <c r="K116" s="349" t="s">
        <v>8691</v>
      </c>
      <c r="L116" s="349" t="s">
        <v>8692</v>
      </c>
      <c r="M116" s="359" t="s">
        <v>8292</v>
      </c>
      <c r="N116" s="359" t="s">
        <v>8355</v>
      </c>
      <c r="O116" s="359" t="s">
        <v>8574</v>
      </c>
      <c r="P116" s="350" t="s">
        <v>8652</v>
      </c>
      <c r="Q116" s="343" t="s">
        <v>2233</v>
      </c>
      <c r="R116" s="343" t="s">
        <v>4</v>
      </c>
      <c r="S116" s="343"/>
      <c r="T116" s="343" t="s">
        <v>2733</v>
      </c>
    </row>
    <row r="117" spans="1:20" ht="22" customHeight="1">
      <c r="A117" s="343" t="s">
        <v>5641</v>
      </c>
      <c r="B117" s="343" t="s">
        <v>5768</v>
      </c>
      <c r="C117" s="350" t="s">
        <v>8686</v>
      </c>
      <c r="D117" s="343" t="s">
        <v>8767</v>
      </c>
      <c r="E117" s="344" t="s">
        <v>6092</v>
      </c>
      <c r="F117" s="344" t="s">
        <v>7033</v>
      </c>
      <c r="G117" s="344" t="s">
        <v>7034</v>
      </c>
      <c r="H117" s="345">
        <v>1.5</v>
      </c>
      <c r="I117" s="344" t="s">
        <v>2733</v>
      </c>
      <c r="J117" s="344" t="s">
        <v>7262</v>
      </c>
      <c r="K117" s="349" t="s">
        <v>8691</v>
      </c>
      <c r="L117" s="349" t="s">
        <v>8693</v>
      </c>
      <c r="M117" s="359" t="s">
        <v>8292</v>
      </c>
      <c r="N117" s="359" t="s">
        <v>8355</v>
      </c>
      <c r="O117" s="359" t="s">
        <v>8574</v>
      </c>
      <c r="P117" s="350" t="s">
        <v>8652</v>
      </c>
      <c r="Q117" s="343" t="s">
        <v>2233</v>
      </c>
      <c r="R117" s="343" t="s">
        <v>4</v>
      </c>
      <c r="S117" s="343"/>
      <c r="T117" s="343" t="s">
        <v>2733</v>
      </c>
    </row>
    <row r="118" spans="1:20" ht="22" customHeight="1">
      <c r="A118" s="343" t="s">
        <v>5642</v>
      </c>
      <c r="B118" s="343" t="s">
        <v>5768</v>
      </c>
      <c r="C118" s="350" t="s">
        <v>8686</v>
      </c>
      <c r="D118" s="343" t="s">
        <v>8766</v>
      </c>
      <c r="E118" s="344" t="s">
        <v>6093</v>
      </c>
      <c r="F118" s="344" t="s">
        <v>7035</v>
      </c>
      <c r="G118" s="344" t="s">
        <v>7036</v>
      </c>
      <c r="H118" s="345">
        <v>2</v>
      </c>
      <c r="I118" s="344" t="s">
        <v>7786</v>
      </c>
      <c r="J118" s="344" t="s">
        <v>7278</v>
      </c>
      <c r="K118" s="349" t="s">
        <v>8692</v>
      </c>
      <c r="L118" s="349" t="s">
        <v>8696</v>
      </c>
      <c r="M118" s="359" t="s">
        <v>8281</v>
      </c>
      <c r="N118" s="359" t="s">
        <v>8665</v>
      </c>
      <c r="O118" s="359" t="s">
        <v>8574</v>
      </c>
      <c r="P118" s="350" t="s">
        <v>8649</v>
      </c>
      <c r="Q118" s="343" t="s">
        <v>2233</v>
      </c>
      <c r="R118" s="343" t="s">
        <v>4</v>
      </c>
      <c r="S118" s="343"/>
      <c r="T118" s="343" t="s">
        <v>6247</v>
      </c>
    </row>
    <row r="119" spans="1:20" ht="22" customHeight="1">
      <c r="A119" s="343" t="s">
        <v>5643</v>
      </c>
      <c r="B119" s="343" t="s">
        <v>5768</v>
      </c>
      <c r="C119" s="350" t="s">
        <v>8686</v>
      </c>
      <c r="D119" s="343" t="s">
        <v>8766</v>
      </c>
      <c r="E119" s="344" t="s">
        <v>6094</v>
      </c>
      <c r="F119" s="344" t="s">
        <v>7037</v>
      </c>
      <c r="G119" s="344" t="s">
        <v>7038</v>
      </c>
      <c r="H119" s="345">
        <v>2</v>
      </c>
      <c r="I119" s="344" t="s">
        <v>7800</v>
      </c>
      <c r="J119" s="344" t="s">
        <v>7309</v>
      </c>
      <c r="K119" s="349" t="s">
        <v>8693</v>
      </c>
      <c r="L119" s="349" t="s">
        <v>8696</v>
      </c>
      <c r="M119" s="359" t="s">
        <v>8286</v>
      </c>
      <c r="N119" s="359" t="s">
        <v>8666</v>
      </c>
      <c r="O119" s="359" t="s">
        <v>8574</v>
      </c>
      <c r="P119" s="350" t="s">
        <v>8653</v>
      </c>
      <c r="Q119" s="343" t="s">
        <v>2233</v>
      </c>
      <c r="R119" s="343" t="s">
        <v>4</v>
      </c>
      <c r="S119" s="343"/>
      <c r="T119" s="343" t="s">
        <v>6349</v>
      </c>
    </row>
    <row r="120" spans="1:20" ht="22" customHeight="1">
      <c r="A120" s="343" t="s">
        <v>5644</v>
      </c>
      <c r="B120" s="343" t="s">
        <v>5768</v>
      </c>
      <c r="C120" s="350" t="s">
        <v>8686</v>
      </c>
      <c r="D120" s="343" t="s">
        <v>8767</v>
      </c>
      <c r="E120" s="344" t="s">
        <v>6095</v>
      </c>
      <c r="F120" s="344" t="s">
        <v>7039</v>
      </c>
      <c r="G120" s="344" t="s">
        <v>7040</v>
      </c>
      <c r="H120" s="345">
        <v>1.5</v>
      </c>
      <c r="I120" s="344" t="s">
        <v>2733</v>
      </c>
      <c r="J120" s="344" t="s">
        <v>7262</v>
      </c>
      <c r="K120" s="349" t="s">
        <v>8691</v>
      </c>
      <c r="L120" s="349" t="s">
        <v>8693</v>
      </c>
      <c r="M120" s="359" t="s">
        <v>8292</v>
      </c>
      <c r="N120" s="359" t="s">
        <v>8355</v>
      </c>
      <c r="O120" s="359" t="s">
        <v>8574</v>
      </c>
      <c r="P120" s="350" t="s">
        <v>8652</v>
      </c>
      <c r="Q120" s="343" t="s">
        <v>2233</v>
      </c>
      <c r="R120" s="343" t="s">
        <v>4</v>
      </c>
      <c r="S120" s="343"/>
      <c r="T120" s="343" t="s">
        <v>2733</v>
      </c>
    </row>
    <row r="121" spans="1:20" ht="22" customHeight="1">
      <c r="A121" s="343" t="s">
        <v>5645</v>
      </c>
      <c r="B121" s="343" t="s">
        <v>5768</v>
      </c>
      <c r="C121" s="350" t="s">
        <v>8686</v>
      </c>
      <c r="D121" s="343" t="s">
        <v>8766</v>
      </c>
      <c r="E121" s="344" t="s">
        <v>6096</v>
      </c>
      <c r="F121" s="344" t="s">
        <v>7041</v>
      </c>
      <c r="G121" s="344" t="s">
        <v>7042</v>
      </c>
      <c r="H121" s="345">
        <v>2</v>
      </c>
      <c r="I121" s="344" t="s">
        <v>2733</v>
      </c>
      <c r="J121" s="344" t="s">
        <v>7262</v>
      </c>
      <c r="K121" s="349" t="s">
        <v>8691</v>
      </c>
      <c r="L121" s="349" t="s">
        <v>8692</v>
      </c>
      <c r="M121" s="359" t="s">
        <v>8292</v>
      </c>
      <c r="N121" s="359" t="s">
        <v>8355</v>
      </c>
      <c r="O121" s="359" t="s">
        <v>8574</v>
      </c>
      <c r="P121" s="350" t="s">
        <v>8652</v>
      </c>
      <c r="Q121" s="343" t="s">
        <v>2233</v>
      </c>
      <c r="R121" s="343" t="s">
        <v>4</v>
      </c>
      <c r="S121" s="343"/>
      <c r="T121" s="343" t="s">
        <v>2733</v>
      </c>
    </row>
    <row r="122" spans="1:20" ht="22" customHeight="1">
      <c r="A122" s="343" t="s">
        <v>5646</v>
      </c>
      <c r="B122" s="343" t="s">
        <v>5768</v>
      </c>
      <c r="C122" s="350" t="s">
        <v>8686</v>
      </c>
      <c r="D122" s="343" t="s">
        <v>8768</v>
      </c>
      <c r="E122" s="344" t="s">
        <v>7752</v>
      </c>
      <c r="F122" s="344" t="s">
        <v>7043</v>
      </c>
      <c r="G122" s="344" t="s">
        <v>7044</v>
      </c>
      <c r="H122" s="345">
        <v>2</v>
      </c>
      <c r="I122" s="344" t="s">
        <v>2733</v>
      </c>
      <c r="J122" s="344" t="s">
        <v>7262</v>
      </c>
      <c r="K122" s="349" t="s">
        <v>8691</v>
      </c>
      <c r="L122" s="349" t="s">
        <v>8692</v>
      </c>
      <c r="M122" s="359" t="s">
        <v>8292</v>
      </c>
      <c r="N122" s="359" t="s">
        <v>8355</v>
      </c>
      <c r="O122" s="359" t="s">
        <v>8574</v>
      </c>
      <c r="P122" s="350" t="s">
        <v>8650</v>
      </c>
      <c r="Q122" s="343" t="s">
        <v>2233</v>
      </c>
      <c r="R122" s="343" t="s">
        <v>4</v>
      </c>
      <c r="S122" s="343"/>
      <c r="T122" s="343" t="s">
        <v>2733</v>
      </c>
    </row>
    <row r="123" spans="1:20" ht="22" customHeight="1">
      <c r="A123" s="343" t="s">
        <v>5647</v>
      </c>
      <c r="B123" s="343" t="s">
        <v>5768</v>
      </c>
      <c r="C123" s="350" t="s">
        <v>8686</v>
      </c>
      <c r="D123" s="343" t="s">
        <v>8766</v>
      </c>
      <c r="E123" s="344" t="s">
        <v>6097</v>
      </c>
      <c r="F123" s="344" t="s">
        <v>7045</v>
      </c>
      <c r="G123" s="344" t="s">
        <v>7046</v>
      </c>
      <c r="H123" s="345">
        <v>1</v>
      </c>
      <c r="I123" s="344" t="s">
        <v>2733</v>
      </c>
      <c r="J123" s="344" t="s">
        <v>7262</v>
      </c>
      <c r="K123" s="349" t="s">
        <v>8691</v>
      </c>
      <c r="L123" s="349" t="s">
        <v>8693</v>
      </c>
      <c r="M123" s="359" t="s">
        <v>8292</v>
      </c>
      <c r="N123" s="359" t="s">
        <v>8355</v>
      </c>
      <c r="O123" s="359" t="s">
        <v>8574</v>
      </c>
      <c r="P123" s="350" t="s">
        <v>8652</v>
      </c>
      <c r="Q123" s="343" t="s">
        <v>2233</v>
      </c>
      <c r="R123" s="343" t="s">
        <v>4</v>
      </c>
      <c r="S123" s="343"/>
      <c r="T123" s="343" t="s">
        <v>2733</v>
      </c>
    </row>
    <row r="124" spans="1:20" ht="22" customHeight="1">
      <c r="A124" s="343" t="s">
        <v>5648</v>
      </c>
      <c r="B124" s="343" t="s">
        <v>5768</v>
      </c>
      <c r="C124" s="350" t="s">
        <v>8686</v>
      </c>
      <c r="D124" s="343" t="s">
        <v>8766</v>
      </c>
      <c r="E124" s="344" t="s">
        <v>6098</v>
      </c>
      <c r="F124" s="344" t="s">
        <v>7047</v>
      </c>
      <c r="G124" s="344" t="s">
        <v>7048</v>
      </c>
      <c r="H124" s="345">
        <v>1</v>
      </c>
      <c r="I124" s="344" t="s">
        <v>2733</v>
      </c>
      <c r="J124" s="344" t="s">
        <v>7262</v>
      </c>
      <c r="K124" s="349" t="s">
        <v>8691</v>
      </c>
      <c r="L124" s="349" t="s">
        <v>8693</v>
      </c>
      <c r="M124" s="359" t="s">
        <v>8292</v>
      </c>
      <c r="N124" s="359" t="s">
        <v>8355</v>
      </c>
      <c r="O124" s="359" t="s">
        <v>8574</v>
      </c>
      <c r="P124" s="350" t="s">
        <v>8652</v>
      </c>
      <c r="Q124" s="343" t="s">
        <v>2233</v>
      </c>
      <c r="R124" s="343" t="s">
        <v>4</v>
      </c>
      <c r="S124" s="343"/>
      <c r="T124" s="343" t="s">
        <v>2733</v>
      </c>
    </row>
    <row r="125" spans="1:20" ht="22" customHeight="1">
      <c r="A125" s="343" t="s">
        <v>5649</v>
      </c>
      <c r="B125" s="343" t="s">
        <v>5768</v>
      </c>
      <c r="C125" s="350" t="s">
        <v>8686</v>
      </c>
      <c r="D125" s="343" t="s">
        <v>8769</v>
      </c>
      <c r="E125" s="344" t="s">
        <v>6099</v>
      </c>
      <c r="F125" s="344" t="s">
        <v>7049</v>
      </c>
      <c r="G125" s="344" t="s">
        <v>7050</v>
      </c>
      <c r="H125" s="345">
        <v>3</v>
      </c>
      <c r="I125" s="344" t="s">
        <v>2733</v>
      </c>
      <c r="J125" s="344" t="s">
        <v>7262</v>
      </c>
      <c r="K125" s="349" t="s">
        <v>8691</v>
      </c>
      <c r="L125" s="349" t="s">
        <v>8696</v>
      </c>
      <c r="M125" s="359" t="s">
        <v>8292</v>
      </c>
      <c r="N125" s="359" t="s">
        <v>8667</v>
      </c>
      <c r="O125" s="359" t="s">
        <v>8574</v>
      </c>
      <c r="P125" s="350" t="s">
        <v>8649</v>
      </c>
      <c r="Q125" s="343" t="s">
        <v>2233</v>
      </c>
      <c r="R125" s="343" t="s">
        <v>4</v>
      </c>
      <c r="S125" s="343"/>
      <c r="T125" s="343" t="s">
        <v>2733</v>
      </c>
    </row>
    <row r="126" spans="1:20" ht="22" customHeight="1">
      <c r="A126" s="343" t="s">
        <v>5650</v>
      </c>
      <c r="B126" s="343" t="s">
        <v>5768</v>
      </c>
      <c r="C126" s="350" t="s">
        <v>8686</v>
      </c>
      <c r="D126" s="343" t="s">
        <v>8766</v>
      </c>
      <c r="E126" s="344" t="s">
        <v>6100</v>
      </c>
      <c r="F126" s="344" t="s">
        <v>7051</v>
      </c>
      <c r="G126" s="344" t="s">
        <v>7052</v>
      </c>
      <c r="H126" s="345">
        <v>4</v>
      </c>
      <c r="I126" s="344" t="s">
        <v>2733</v>
      </c>
      <c r="J126" s="344" t="s">
        <v>7262</v>
      </c>
      <c r="K126" s="349" t="s">
        <v>8691</v>
      </c>
      <c r="L126" s="349" t="s">
        <v>8696</v>
      </c>
      <c r="M126" s="359" t="s">
        <v>8292</v>
      </c>
      <c r="N126" s="359" t="s">
        <v>8668</v>
      </c>
      <c r="O126" s="359" t="s">
        <v>8574</v>
      </c>
      <c r="P126" s="350" t="s">
        <v>8649</v>
      </c>
      <c r="Q126" s="343" t="s">
        <v>2233</v>
      </c>
      <c r="R126" s="343" t="s">
        <v>4</v>
      </c>
      <c r="S126" s="343"/>
      <c r="T126" s="343" t="s">
        <v>2733</v>
      </c>
    </row>
    <row r="127" spans="1:20" ht="22" customHeight="1">
      <c r="A127" s="343" t="s">
        <v>5651</v>
      </c>
      <c r="B127" s="343" t="s">
        <v>5768</v>
      </c>
      <c r="C127" s="350" t="s">
        <v>8686</v>
      </c>
      <c r="D127" s="343" t="s">
        <v>8766</v>
      </c>
      <c r="E127" s="344" t="s">
        <v>6101</v>
      </c>
      <c r="F127" s="344" t="s">
        <v>7053</v>
      </c>
      <c r="G127" s="344" t="s">
        <v>7054</v>
      </c>
      <c r="H127" s="345">
        <v>4</v>
      </c>
      <c r="I127" s="344" t="s">
        <v>2733</v>
      </c>
      <c r="J127" s="344" t="s">
        <v>7262</v>
      </c>
      <c r="K127" s="349" t="s">
        <v>8691</v>
      </c>
      <c r="L127" s="349" t="s">
        <v>8692</v>
      </c>
      <c r="M127" s="359" t="s">
        <v>8292</v>
      </c>
      <c r="N127" s="359" t="s">
        <v>8355</v>
      </c>
      <c r="O127" s="359" t="s">
        <v>8574</v>
      </c>
      <c r="P127" s="350" t="s">
        <v>8649</v>
      </c>
      <c r="Q127" s="343" t="s">
        <v>2233</v>
      </c>
      <c r="R127" s="343" t="s">
        <v>4</v>
      </c>
      <c r="S127" s="343"/>
      <c r="T127" s="343" t="s">
        <v>2733</v>
      </c>
    </row>
    <row r="128" spans="1:20" ht="22" customHeight="1">
      <c r="A128" s="343" t="s">
        <v>5652</v>
      </c>
      <c r="B128" s="343" t="s">
        <v>5768</v>
      </c>
      <c r="C128" s="350" t="s">
        <v>8686</v>
      </c>
      <c r="D128" s="343" t="s">
        <v>8769</v>
      </c>
      <c r="E128" s="344" t="s">
        <v>6102</v>
      </c>
      <c r="F128" s="344" t="s">
        <v>7055</v>
      </c>
      <c r="G128" s="344" t="s">
        <v>7056</v>
      </c>
      <c r="H128" s="345">
        <v>1.5</v>
      </c>
      <c r="I128" s="344" t="s">
        <v>2733</v>
      </c>
      <c r="J128" s="344" t="s">
        <v>7262</v>
      </c>
      <c r="K128" s="349" t="s">
        <v>8691</v>
      </c>
      <c r="L128" s="349" t="s">
        <v>8693</v>
      </c>
      <c r="M128" s="359" t="s">
        <v>8292</v>
      </c>
      <c r="N128" s="359" t="s">
        <v>8355</v>
      </c>
      <c r="O128" s="359" t="s">
        <v>8574</v>
      </c>
      <c r="P128" s="350" t="s">
        <v>8652</v>
      </c>
      <c r="Q128" s="343" t="s">
        <v>2233</v>
      </c>
      <c r="R128" s="343" t="s">
        <v>4</v>
      </c>
      <c r="S128" s="343"/>
      <c r="T128" s="343" t="s">
        <v>2733</v>
      </c>
    </row>
    <row r="129" spans="1:20" ht="22" customHeight="1">
      <c r="A129" s="343" t="s">
        <v>5653</v>
      </c>
      <c r="B129" s="343" t="s">
        <v>5768</v>
      </c>
      <c r="C129" s="350" t="s">
        <v>8686</v>
      </c>
      <c r="D129" s="343" t="s">
        <v>8769</v>
      </c>
      <c r="E129" s="344" t="s">
        <v>6103</v>
      </c>
      <c r="F129" s="344" t="s">
        <v>7057</v>
      </c>
      <c r="G129" s="344" t="s">
        <v>7058</v>
      </c>
      <c r="H129" s="345">
        <v>5</v>
      </c>
      <c r="I129" s="344" t="s">
        <v>2733</v>
      </c>
      <c r="J129" s="344" t="s">
        <v>7262</v>
      </c>
      <c r="K129" s="349" t="s">
        <v>8691</v>
      </c>
      <c r="L129" s="349" t="s">
        <v>8692</v>
      </c>
      <c r="M129" s="359" t="s">
        <v>8292</v>
      </c>
      <c r="N129" s="359" t="s">
        <v>8355</v>
      </c>
      <c r="O129" s="359" t="s">
        <v>8574</v>
      </c>
      <c r="P129" s="350" t="s">
        <v>8652</v>
      </c>
      <c r="Q129" s="343" t="s">
        <v>2233</v>
      </c>
      <c r="R129" s="343" t="s">
        <v>4</v>
      </c>
      <c r="S129" s="343"/>
      <c r="T129" s="343" t="s">
        <v>2733</v>
      </c>
    </row>
    <row r="130" spans="1:20" ht="22" customHeight="1">
      <c r="A130" s="343" t="s">
        <v>5654</v>
      </c>
      <c r="B130" s="343" t="s">
        <v>5768</v>
      </c>
      <c r="C130" s="350" t="s">
        <v>8686</v>
      </c>
      <c r="D130" s="343" t="s">
        <v>8766</v>
      </c>
      <c r="E130" s="344" t="s">
        <v>6104</v>
      </c>
      <c r="F130" s="344" t="s">
        <v>7059</v>
      </c>
      <c r="G130" s="344" t="s">
        <v>7060</v>
      </c>
      <c r="H130" s="345">
        <v>2</v>
      </c>
      <c r="I130" s="344" t="s">
        <v>2733</v>
      </c>
      <c r="J130" s="344" t="s">
        <v>7262</v>
      </c>
      <c r="K130" s="349" t="s">
        <v>8691</v>
      </c>
      <c r="L130" s="349" t="s">
        <v>8692</v>
      </c>
      <c r="M130" s="359" t="s">
        <v>8292</v>
      </c>
      <c r="N130" s="359" t="s">
        <v>8355</v>
      </c>
      <c r="O130" s="359" t="s">
        <v>8574</v>
      </c>
      <c r="P130" s="350" t="s">
        <v>8652</v>
      </c>
      <c r="Q130" s="343" t="s">
        <v>2233</v>
      </c>
      <c r="R130" s="343" t="s">
        <v>4</v>
      </c>
      <c r="S130" s="343"/>
      <c r="T130" s="343" t="s">
        <v>2733</v>
      </c>
    </row>
    <row r="131" spans="1:20" ht="22" customHeight="1">
      <c r="A131" s="343" t="s">
        <v>5655</v>
      </c>
      <c r="B131" s="343" t="s">
        <v>5768</v>
      </c>
      <c r="C131" s="350" t="s">
        <v>8686</v>
      </c>
      <c r="D131" s="343" t="s">
        <v>8766</v>
      </c>
      <c r="E131" s="344" t="s">
        <v>7753</v>
      </c>
      <c r="F131" s="344" t="s">
        <v>7061</v>
      </c>
      <c r="G131" s="344" t="s">
        <v>7062</v>
      </c>
      <c r="H131" s="345">
        <v>3</v>
      </c>
      <c r="I131" s="344" t="s">
        <v>7832</v>
      </c>
      <c r="J131" s="344" t="s">
        <v>7342</v>
      </c>
      <c r="K131" s="349" t="s">
        <v>8692</v>
      </c>
      <c r="L131" s="349" t="s">
        <v>8692</v>
      </c>
      <c r="M131" s="359" t="s">
        <v>8284</v>
      </c>
      <c r="N131" s="359" t="s">
        <v>8333</v>
      </c>
      <c r="O131" s="359" t="s">
        <v>8574</v>
      </c>
      <c r="P131" s="350" t="s">
        <v>8651</v>
      </c>
      <c r="Q131" s="343" t="s">
        <v>2233</v>
      </c>
      <c r="R131" s="343" t="s">
        <v>4</v>
      </c>
      <c r="S131" s="343"/>
      <c r="T131" s="343" t="s">
        <v>6483</v>
      </c>
    </row>
    <row r="132" spans="1:20" ht="22" customHeight="1">
      <c r="A132" s="343" t="s">
        <v>5656</v>
      </c>
      <c r="B132" s="343" t="s">
        <v>5768</v>
      </c>
      <c r="C132" s="350" t="s">
        <v>8686</v>
      </c>
      <c r="D132" s="343" t="s">
        <v>8766</v>
      </c>
      <c r="E132" s="344" t="s">
        <v>7754</v>
      </c>
      <c r="F132" s="344" t="s">
        <v>7063</v>
      </c>
      <c r="G132" s="344" t="s">
        <v>7064</v>
      </c>
      <c r="H132" s="345">
        <v>2</v>
      </c>
      <c r="I132" s="344" t="s">
        <v>7811</v>
      </c>
      <c r="J132" s="344" t="s">
        <v>7325</v>
      </c>
      <c r="K132" s="349" t="s">
        <v>8692</v>
      </c>
      <c r="L132" s="349" t="s">
        <v>8692</v>
      </c>
      <c r="M132" s="359" t="s">
        <v>8283</v>
      </c>
      <c r="N132" s="359" t="s">
        <v>8310</v>
      </c>
      <c r="O132" s="359" t="s">
        <v>8574</v>
      </c>
      <c r="P132" s="350" t="s">
        <v>8653</v>
      </c>
      <c r="Q132" s="343" t="s">
        <v>2233</v>
      </c>
      <c r="R132" s="343" t="s">
        <v>4</v>
      </c>
      <c r="S132" s="343"/>
      <c r="T132" s="343" t="s">
        <v>6412</v>
      </c>
    </row>
    <row r="133" spans="1:20" ht="22" customHeight="1">
      <c r="A133" s="343" t="s">
        <v>5657</v>
      </c>
      <c r="B133" s="343" t="s">
        <v>5391</v>
      </c>
      <c r="C133" s="350" t="s">
        <v>8686</v>
      </c>
      <c r="D133" s="343" t="s">
        <v>8766</v>
      </c>
      <c r="E133" s="344" t="s">
        <v>8430</v>
      </c>
      <c r="F133" s="344" t="s">
        <v>8431</v>
      </c>
      <c r="G133" s="344" t="s">
        <v>8432</v>
      </c>
      <c r="H133" s="345">
        <v>2</v>
      </c>
      <c r="I133" s="344" t="s">
        <v>2733</v>
      </c>
      <c r="J133" s="344" t="s">
        <v>7262</v>
      </c>
      <c r="K133" s="349" t="s">
        <v>8692</v>
      </c>
      <c r="L133" s="349" t="s">
        <v>8693</v>
      </c>
      <c r="M133" s="359" t="s">
        <v>8292</v>
      </c>
      <c r="N133" s="359" t="s">
        <v>8297</v>
      </c>
      <c r="O133" s="359" t="s">
        <v>8574</v>
      </c>
      <c r="P133" s="350" t="s">
        <v>8652</v>
      </c>
      <c r="Q133" s="343" t="s">
        <v>2233</v>
      </c>
      <c r="R133" s="343" t="s">
        <v>4</v>
      </c>
      <c r="S133" s="343"/>
      <c r="T133" s="343" t="s">
        <v>2733</v>
      </c>
    </row>
    <row r="134" spans="1:20" ht="22" customHeight="1">
      <c r="A134" s="343" t="s">
        <v>5658</v>
      </c>
      <c r="B134" s="343" t="s">
        <v>5391</v>
      </c>
      <c r="C134" s="350" t="s">
        <v>8686</v>
      </c>
      <c r="D134" s="343" t="s">
        <v>8770</v>
      </c>
      <c r="E134" s="344" t="s">
        <v>8433</v>
      </c>
      <c r="F134" s="344" t="s">
        <v>8434</v>
      </c>
      <c r="G134" s="344" t="s">
        <v>8435</v>
      </c>
      <c r="H134" s="345">
        <v>2</v>
      </c>
      <c r="I134" s="344" t="s">
        <v>2733</v>
      </c>
      <c r="J134" s="344" t="s">
        <v>7262</v>
      </c>
      <c r="K134" s="349" t="s">
        <v>8692</v>
      </c>
      <c r="L134" s="349" t="s">
        <v>8693</v>
      </c>
      <c r="M134" s="359" t="s">
        <v>8292</v>
      </c>
      <c r="N134" s="359" t="s">
        <v>8297</v>
      </c>
      <c r="O134" s="359" t="s">
        <v>8574</v>
      </c>
      <c r="P134" s="350" t="s">
        <v>8652</v>
      </c>
      <c r="Q134" s="343" t="s">
        <v>8436</v>
      </c>
      <c r="R134" s="343" t="s">
        <v>4</v>
      </c>
      <c r="S134" s="343"/>
      <c r="T134" s="343" t="s">
        <v>2733</v>
      </c>
    </row>
    <row r="135" spans="1:20" ht="22" customHeight="1">
      <c r="A135" s="343" t="s">
        <v>5659</v>
      </c>
      <c r="B135" s="343" t="s">
        <v>5391</v>
      </c>
      <c r="C135" s="350" t="s">
        <v>8686</v>
      </c>
      <c r="D135" s="343" t="s">
        <v>8771</v>
      </c>
      <c r="E135" s="344" t="s">
        <v>6105</v>
      </c>
      <c r="F135" s="344" t="s">
        <v>6709</v>
      </c>
      <c r="G135" s="344" t="s">
        <v>6710</v>
      </c>
      <c r="H135" s="345">
        <v>0</v>
      </c>
      <c r="I135" s="344" t="s">
        <v>2733</v>
      </c>
      <c r="J135" s="344" t="s">
        <v>7263</v>
      </c>
      <c r="K135" s="349" t="s">
        <v>8692</v>
      </c>
      <c r="L135" s="349" t="s">
        <v>8693</v>
      </c>
      <c r="M135" s="359" t="s">
        <v>8292</v>
      </c>
      <c r="N135" s="359" t="s">
        <v>8297</v>
      </c>
      <c r="O135" s="359" t="s">
        <v>8574</v>
      </c>
      <c r="P135" s="350" t="s">
        <v>8652</v>
      </c>
      <c r="Q135" s="343" t="s">
        <v>2233</v>
      </c>
      <c r="R135" s="343" t="s">
        <v>6506</v>
      </c>
      <c r="S135" s="343"/>
      <c r="T135" s="343" t="s">
        <v>2233</v>
      </c>
    </row>
    <row r="136" spans="1:20" ht="22" customHeight="1">
      <c r="A136" s="343" t="s">
        <v>5660</v>
      </c>
      <c r="B136" s="343" t="s">
        <v>5391</v>
      </c>
      <c r="C136" s="350" t="s">
        <v>8686</v>
      </c>
      <c r="D136" s="343" t="s">
        <v>8771</v>
      </c>
      <c r="E136" s="344" t="s">
        <v>6106</v>
      </c>
      <c r="F136" s="344" t="s">
        <v>6711</v>
      </c>
      <c r="G136" s="344" t="s">
        <v>6710</v>
      </c>
      <c r="H136" s="345">
        <v>0</v>
      </c>
      <c r="I136" s="344" t="s">
        <v>2733</v>
      </c>
      <c r="J136" s="344" t="s">
        <v>7263</v>
      </c>
      <c r="K136" s="349" t="s">
        <v>8692</v>
      </c>
      <c r="L136" s="349" t="s">
        <v>8693</v>
      </c>
      <c r="M136" s="359" t="s">
        <v>8292</v>
      </c>
      <c r="N136" s="359" t="s">
        <v>8297</v>
      </c>
      <c r="O136" s="359" t="s">
        <v>8574</v>
      </c>
      <c r="P136" s="350" t="s">
        <v>8652</v>
      </c>
      <c r="Q136" s="343" t="s">
        <v>2233</v>
      </c>
      <c r="R136" s="343" t="s">
        <v>6506</v>
      </c>
      <c r="S136" s="343"/>
      <c r="T136" s="343" t="s">
        <v>2233</v>
      </c>
    </row>
    <row r="137" spans="1:20" ht="22" customHeight="1">
      <c r="A137" s="343" t="s">
        <v>5661</v>
      </c>
      <c r="B137" s="343" t="s">
        <v>5391</v>
      </c>
      <c r="C137" s="350" t="s">
        <v>8686</v>
      </c>
      <c r="D137" s="343" t="s">
        <v>8771</v>
      </c>
      <c r="E137" s="344" t="s">
        <v>6107</v>
      </c>
      <c r="F137" s="344" t="s">
        <v>6712</v>
      </c>
      <c r="G137" s="344" t="s">
        <v>6710</v>
      </c>
      <c r="H137" s="345">
        <v>0</v>
      </c>
      <c r="I137" s="344" t="s">
        <v>2733</v>
      </c>
      <c r="J137" s="344" t="s">
        <v>7263</v>
      </c>
      <c r="K137" s="349" t="s">
        <v>8692</v>
      </c>
      <c r="L137" s="349" t="s">
        <v>8693</v>
      </c>
      <c r="M137" s="359" t="s">
        <v>8292</v>
      </c>
      <c r="N137" s="359" t="s">
        <v>8297</v>
      </c>
      <c r="O137" s="359" t="s">
        <v>8574</v>
      </c>
      <c r="P137" s="350" t="s">
        <v>8652</v>
      </c>
      <c r="Q137" s="343" t="s">
        <v>2233</v>
      </c>
      <c r="R137" s="343" t="s">
        <v>6506</v>
      </c>
      <c r="S137" s="343"/>
      <c r="T137" s="343" t="s">
        <v>2233</v>
      </c>
    </row>
    <row r="138" spans="1:20" ht="22" customHeight="1">
      <c r="A138" s="343" t="s">
        <v>5662</v>
      </c>
      <c r="B138" s="343" t="s">
        <v>5391</v>
      </c>
      <c r="C138" s="350" t="s">
        <v>8686</v>
      </c>
      <c r="D138" s="343" t="s">
        <v>8771</v>
      </c>
      <c r="E138" s="344" t="s">
        <v>6108</v>
      </c>
      <c r="F138" s="344" t="s">
        <v>6713</v>
      </c>
      <c r="G138" s="344" t="s">
        <v>6710</v>
      </c>
      <c r="H138" s="345">
        <v>0</v>
      </c>
      <c r="I138" s="344" t="s">
        <v>2733</v>
      </c>
      <c r="J138" s="344" t="s">
        <v>7263</v>
      </c>
      <c r="K138" s="349" t="s">
        <v>8692</v>
      </c>
      <c r="L138" s="349" t="s">
        <v>8693</v>
      </c>
      <c r="M138" s="359" t="s">
        <v>8292</v>
      </c>
      <c r="N138" s="359" t="s">
        <v>8297</v>
      </c>
      <c r="O138" s="359" t="s">
        <v>8574</v>
      </c>
      <c r="P138" s="350" t="s">
        <v>8652</v>
      </c>
      <c r="Q138" s="343" t="s">
        <v>2233</v>
      </c>
      <c r="R138" s="343" t="s">
        <v>6506</v>
      </c>
      <c r="S138" s="343"/>
      <c r="T138" s="343" t="s">
        <v>2233</v>
      </c>
    </row>
    <row r="139" spans="1:20" ht="22" customHeight="1">
      <c r="A139" s="343" t="s">
        <v>5663</v>
      </c>
      <c r="B139" s="343" t="s">
        <v>5391</v>
      </c>
      <c r="C139" s="350" t="s">
        <v>8686</v>
      </c>
      <c r="D139" s="343" t="s">
        <v>8771</v>
      </c>
      <c r="E139" s="344" t="s">
        <v>6109</v>
      </c>
      <c r="F139" s="344" t="s">
        <v>6714</v>
      </c>
      <c r="G139" s="344" t="s">
        <v>6710</v>
      </c>
      <c r="H139" s="345">
        <v>0</v>
      </c>
      <c r="I139" s="344" t="s">
        <v>2733</v>
      </c>
      <c r="J139" s="344" t="s">
        <v>7263</v>
      </c>
      <c r="K139" s="349" t="s">
        <v>8692</v>
      </c>
      <c r="L139" s="349" t="s">
        <v>8693</v>
      </c>
      <c r="M139" s="359" t="s">
        <v>8292</v>
      </c>
      <c r="N139" s="359" t="s">
        <v>8297</v>
      </c>
      <c r="O139" s="359" t="s">
        <v>8574</v>
      </c>
      <c r="P139" s="350" t="s">
        <v>8652</v>
      </c>
      <c r="Q139" s="343" t="s">
        <v>2233</v>
      </c>
      <c r="R139" s="343" t="s">
        <v>6506</v>
      </c>
      <c r="S139" s="343"/>
      <c r="T139" s="343" t="s">
        <v>2233</v>
      </c>
    </row>
    <row r="140" spans="1:20" ht="22" customHeight="1">
      <c r="A140" s="343" t="s">
        <v>5664</v>
      </c>
      <c r="B140" s="343" t="s">
        <v>5391</v>
      </c>
      <c r="C140" s="350" t="s">
        <v>8686</v>
      </c>
      <c r="D140" s="343" t="s">
        <v>8771</v>
      </c>
      <c r="E140" s="344" t="s">
        <v>6110</v>
      </c>
      <c r="F140" s="344" t="s">
        <v>6715</v>
      </c>
      <c r="G140" s="344" t="s">
        <v>6710</v>
      </c>
      <c r="H140" s="345">
        <v>0</v>
      </c>
      <c r="I140" s="344" t="s">
        <v>2733</v>
      </c>
      <c r="J140" s="344" t="s">
        <v>7263</v>
      </c>
      <c r="K140" s="349" t="s">
        <v>8692</v>
      </c>
      <c r="L140" s="349" t="s">
        <v>8693</v>
      </c>
      <c r="M140" s="359" t="s">
        <v>8292</v>
      </c>
      <c r="N140" s="359" t="s">
        <v>8297</v>
      </c>
      <c r="O140" s="359" t="s">
        <v>8574</v>
      </c>
      <c r="P140" s="350" t="s">
        <v>8652</v>
      </c>
      <c r="Q140" s="343" t="s">
        <v>2233</v>
      </c>
      <c r="R140" s="343" t="s">
        <v>6506</v>
      </c>
      <c r="S140" s="343"/>
      <c r="T140" s="343" t="s">
        <v>2233</v>
      </c>
    </row>
    <row r="141" spans="1:20" ht="22" customHeight="1">
      <c r="A141" s="343" t="s">
        <v>5665</v>
      </c>
      <c r="B141" s="343" t="s">
        <v>5391</v>
      </c>
      <c r="C141" s="350" t="s">
        <v>8686</v>
      </c>
      <c r="D141" s="343" t="s">
        <v>8772</v>
      </c>
      <c r="E141" s="344" t="s">
        <v>6111</v>
      </c>
      <c r="F141" s="344" t="s">
        <v>6716</v>
      </c>
      <c r="G141" s="344" t="s">
        <v>6717</v>
      </c>
      <c r="H141" s="345">
        <v>4</v>
      </c>
      <c r="I141" s="344" t="s">
        <v>2733</v>
      </c>
      <c r="J141" s="344" t="s">
        <v>7264</v>
      </c>
      <c r="K141" s="349" t="s">
        <v>8692</v>
      </c>
      <c r="L141" s="349" t="s">
        <v>8693</v>
      </c>
      <c r="M141" s="359" t="s">
        <v>8292</v>
      </c>
      <c r="N141" s="359" t="s">
        <v>8297</v>
      </c>
      <c r="O141" s="359" t="s">
        <v>8574</v>
      </c>
      <c r="P141" s="350" t="s">
        <v>8652</v>
      </c>
      <c r="Q141" s="343" t="s">
        <v>2233</v>
      </c>
      <c r="R141" s="343" t="s">
        <v>4</v>
      </c>
      <c r="S141" s="343"/>
      <c r="T141" s="343" t="s">
        <v>2733</v>
      </c>
    </row>
    <row r="142" spans="1:20" ht="22" customHeight="1">
      <c r="A142" s="343" t="s">
        <v>5666</v>
      </c>
      <c r="B142" s="343" t="s">
        <v>5391</v>
      </c>
      <c r="C142" s="350" t="s">
        <v>8686</v>
      </c>
      <c r="D142" s="343" t="s">
        <v>8772</v>
      </c>
      <c r="E142" s="344" t="s">
        <v>6112</v>
      </c>
      <c r="F142" s="344" t="s">
        <v>6718</v>
      </c>
      <c r="G142" s="344" t="s">
        <v>6719</v>
      </c>
      <c r="H142" s="345">
        <v>3.5</v>
      </c>
      <c r="I142" s="344" t="s">
        <v>2733</v>
      </c>
      <c r="J142" s="344" t="s">
        <v>7264</v>
      </c>
      <c r="K142" s="349" t="s">
        <v>8692</v>
      </c>
      <c r="L142" s="349" t="s">
        <v>8693</v>
      </c>
      <c r="M142" s="359" t="s">
        <v>8292</v>
      </c>
      <c r="N142" s="359" t="s">
        <v>8297</v>
      </c>
      <c r="O142" s="359" t="s">
        <v>8574</v>
      </c>
      <c r="P142" s="350" t="s">
        <v>8652</v>
      </c>
      <c r="Q142" s="343" t="s">
        <v>2233</v>
      </c>
      <c r="R142" s="343" t="s">
        <v>4</v>
      </c>
      <c r="S142" s="343"/>
      <c r="T142" s="343" t="s">
        <v>2733</v>
      </c>
    </row>
    <row r="143" spans="1:20" ht="22" customHeight="1">
      <c r="A143" s="343" t="s">
        <v>5667</v>
      </c>
      <c r="B143" s="343" t="s">
        <v>5391</v>
      </c>
      <c r="C143" s="350" t="s">
        <v>8686</v>
      </c>
      <c r="D143" s="343" t="s">
        <v>8772</v>
      </c>
      <c r="E143" s="344" t="s">
        <v>6113</v>
      </c>
      <c r="F143" s="344" t="s">
        <v>6720</v>
      </c>
      <c r="G143" s="344" t="s">
        <v>6721</v>
      </c>
      <c r="H143" s="345">
        <v>2.5</v>
      </c>
      <c r="I143" s="344" t="s">
        <v>2733</v>
      </c>
      <c r="J143" s="344" t="s">
        <v>7264</v>
      </c>
      <c r="K143" s="349" t="s">
        <v>8692</v>
      </c>
      <c r="L143" s="349" t="s">
        <v>8693</v>
      </c>
      <c r="M143" s="359" t="s">
        <v>8292</v>
      </c>
      <c r="N143" s="359" t="s">
        <v>8297</v>
      </c>
      <c r="O143" s="359" t="s">
        <v>8574</v>
      </c>
      <c r="P143" s="350" t="s">
        <v>8652</v>
      </c>
      <c r="Q143" s="343" t="s">
        <v>2233</v>
      </c>
      <c r="R143" s="343" t="s">
        <v>4</v>
      </c>
      <c r="S143" s="343"/>
      <c r="T143" s="343" t="s">
        <v>2733</v>
      </c>
    </row>
    <row r="144" spans="1:20" ht="22" customHeight="1">
      <c r="A144" s="343" t="s">
        <v>5668</v>
      </c>
      <c r="B144" s="343" t="s">
        <v>5391</v>
      </c>
      <c r="C144" s="350" t="s">
        <v>8686</v>
      </c>
      <c r="D144" s="343" t="s">
        <v>8773</v>
      </c>
      <c r="E144" s="344" t="s">
        <v>6114</v>
      </c>
      <c r="F144" s="344" t="s">
        <v>6722</v>
      </c>
      <c r="G144" s="344" t="s">
        <v>6723</v>
      </c>
      <c r="H144" s="345">
        <v>3</v>
      </c>
      <c r="I144" s="344" t="s">
        <v>7798</v>
      </c>
      <c r="J144" s="344" t="s">
        <v>7962</v>
      </c>
      <c r="K144" s="349" t="s">
        <v>8692</v>
      </c>
      <c r="L144" s="349" t="s">
        <v>8693</v>
      </c>
      <c r="M144" s="359" t="s">
        <v>8284</v>
      </c>
      <c r="N144" s="359" t="s">
        <v>8298</v>
      </c>
      <c r="O144" s="359" t="s">
        <v>8574</v>
      </c>
      <c r="P144" s="350" t="s">
        <v>8653</v>
      </c>
      <c r="Q144" s="343" t="s">
        <v>2233</v>
      </c>
      <c r="R144" s="343" t="s">
        <v>4</v>
      </c>
      <c r="S144" s="343"/>
      <c r="T144" s="343" t="s">
        <v>6691</v>
      </c>
    </row>
    <row r="145" spans="1:20" ht="22" customHeight="1">
      <c r="A145" s="343" t="s">
        <v>5669</v>
      </c>
      <c r="B145" s="343" t="s">
        <v>5391</v>
      </c>
      <c r="C145" s="350" t="s">
        <v>8686</v>
      </c>
      <c r="D145" s="343" t="s">
        <v>8773</v>
      </c>
      <c r="E145" s="344" t="s">
        <v>6115</v>
      </c>
      <c r="F145" s="344" t="s">
        <v>6724</v>
      </c>
      <c r="G145" s="344" t="s">
        <v>6725</v>
      </c>
      <c r="H145" s="345">
        <v>3</v>
      </c>
      <c r="I145" s="344" t="s">
        <v>7816</v>
      </c>
      <c r="J145" s="344" t="s">
        <v>7265</v>
      </c>
      <c r="K145" s="349" t="s">
        <v>8692</v>
      </c>
      <c r="L145" s="349" t="s">
        <v>8693</v>
      </c>
      <c r="M145" s="359" t="s">
        <v>8284</v>
      </c>
      <c r="N145" s="359" t="s">
        <v>8299</v>
      </c>
      <c r="O145" s="359" t="s">
        <v>8574</v>
      </c>
      <c r="P145" s="350" t="s">
        <v>8653</v>
      </c>
      <c r="Q145" s="343" t="s">
        <v>2233</v>
      </c>
      <c r="R145" s="343" t="s">
        <v>4</v>
      </c>
      <c r="S145" s="343"/>
      <c r="T145" s="343" t="s">
        <v>6426</v>
      </c>
    </row>
    <row r="146" spans="1:20" ht="22" customHeight="1">
      <c r="A146" s="343" t="s">
        <v>5670</v>
      </c>
      <c r="B146" s="343" t="s">
        <v>5391</v>
      </c>
      <c r="C146" s="350" t="s">
        <v>8686</v>
      </c>
      <c r="D146" s="343" t="s">
        <v>8774</v>
      </c>
      <c r="E146" s="344" t="s">
        <v>6116</v>
      </c>
      <c r="F146" s="344" t="s">
        <v>6726</v>
      </c>
      <c r="G146" s="344" t="s">
        <v>6727</v>
      </c>
      <c r="H146" s="345">
        <v>2</v>
      </c>
      <c r="I146" s="344" t="s">
        <v>7801</v>
      </c>
      <c r="J146" s="344" t="s">
        <v>7266</v>
      </c>
      <c r="K146" s="349" t="s">
        <v>8693</v>
      </c>
      <c r="L146" s="349" t="s">
        <v>8693</v>
      </c>
      <c r="M146" s="359" t="s">
        <v>8287</v>
      </c>
      <c r="N146" s="359" t="s">
        <v>8439</v>
      </c>
      <c r="O146" s="359" t="s">
        <v>8574</v>
      </c>
      <c r="P146" s="350" t="s">
        <v>8652</v>
      </c>
      <c r="Q146" s="343" t="s">
        <v>2233</v>
      </c>
      <c r="R146" s="343" t="s">
        <v>4</v>
      </c>
      <c r="S146" s="343"/>
      <c r="T146" s="343" t="s">
        <v>6355</v>
      </c>
    </row>
    <row r="147" spans="1:20" ht="22" customHeight="1">
      <c r="A147" s="343" t="s">
        <v>5671</v>
      </c>
      <c r="B147" s="343" t="s">
        <v>5391</v>
      </c>
      <c r="C147" s="350" t="s">
        <v>8686</v>
      </c>
      <c r="D147" s="343" t="s">
        <v>8774</v>
      </c>
      <c r="E147" s="344" t="s">
        <v>6117</v>
      </c>
      <c r="F147" s="344" t="s">
        <v>6728</v>
      </c>
      <c r="G147" s="344" t="s">
        <v>6729</v>
      </c>
      <c r="H147" s="345">
        <v>3</v>
      </c>
      <c r="I147" s="344" t="s">
        <v>7811</v>
      </c>
      <c r="J147" s="344" t="s">
        <v>7267</v>
      </c>
      <c r="K147" s="349" t="s">
        <v>8692</v>
      </c>
      <c r="L147" s="349" t="s">
        <v>8693</v>
      </c>
      <c r="M147" s="359" t="s">
        <v>8280</v>
      </c>
      <c r="N147" s="359" t="s">
        <v>8440</v>
      </c>
      <c r="O147" s="359" t="s">
        <v>8574</v>
      </c>
      <c r="P147" s="350" t="s">
        <v>8653</v>
      </c>
      <c r="Q147" s="343" t="s">
        <v>2233</v>
      </c>
      <c r="R147" s="343" t="s">
        <v>4</v>
      </c>
      <c r="S147" s="343"/>
      <c r="T147" s="343" t="s">
        <v>6406</v>
      </c>
    </row>
    <row r="148" spans="1:20" ht="22" customHeight="1">
      <c r="A148" s="343" t="s">
        <v>5672</v>
      </c>
      <c r="B148" s="343" t="s">
        <v>5391</v>
      </c>
      <c r="C148" s="350" t="s">
        <v>8686</v>
      </c>
      <c r="D148" s="343" t="s">
        <v>8774</v>
      </c>
      <c r="E148" s="344" t="s">
        <v>6118</v>
      </c>
      <c r="F148" s="344" t="s">
        <v>6730</v>
      </c>
      <c r="G148" s="344" t="s">
        <v>6731</v>
      </c>
      <c r="H148" s="345">
        <v>3</v>
      </c>
      <c r="I148" s="344" t="s">
        <v>7811</v>
      </c>
      <c r="J148" s="344" t="s">
        <v>7268</v>
      </c>
      <c r="K148" s="349" t="s">
        <v>8692</v>
      </c>
      <c r="L148" s="349" t="s">
        <v>8693</v>
      </c>
      <c r="M148" s="359" t="s">
        <v>8280</v>
      </c>
      <c r="N148" s="359" t="s">
        <v>8440</v>
      </c>
      <c r="O148" s="359" t="s">
        <v>8574</v>
      </c>
      <c r="P148" s="350" t="s">
        <v>8653</v>
      </c>
      <c r="Q148" s="343" t="s">
        <v>2233</v>
      </c>
      <c r="R148" s="343" t="s">
        <v>4</v>
      </c>
      <c r="S148" s="343"/>
      <c r="T148" s="343" t="s">
        <v>6409</v>
      </c>
    </row>
    <row r="149" spans="1:20" ht="22" customHeight="1">
      <c r="A149" s="343" t="s">
        <v>6507</v>
      </c>
      <c r="B149" s="343" t="s">
        <v>5391</v>
      </c>
      <c r="C149" s="350" t="s">
        <v>8686</v>
      </c>
      <c r="D149" s="343" t="s">
        <v>8775</v>
      </c>
      <c r="E149" s="344" t="s">
        <v>6508</v>
      </c>
      <c r="F149" s="344" t="s">
        <v>6840</v>
      </c>
      <c r="G149" s="344" t="s">
        <v>6841</v>
      </c>
      <c r="H149" s="345">
        <v>0.75</v>
      </c>
      <c r="I149" s="344" t="s">
        <v>7785</v>
      </c>
      <c r="J149" s="344" t="s">
        <v>7277</v>
      </c>
      <c r="K149" s="349" t="s">
        <v>8692</v>
      </c>
      <c r="L149" s="349" t="s">
        <v>8692</v>
      </c>
      <c r="M149" s="359" t="s">
        <v>8280</v>
      </c>
      <c r="N149" s="359" t="s">
        <v>8313</v>
      </c>
      <c r="O149" s="359" t="s">
        <v>8574</v>
      </c>
      <c r="P149" s="350" t="s">
        <v>8652</v>
      </c>
      <c r="Q149" s="343" t="s">
        <v>6500</v>
      </c>
      <c r="R149" s="343" t="s">
        <v>4</v>
      </c>
      <c r="S149" s="343" t="s">
        <v>6244</v>
      </c>
      <c r="T149" s="343" t="s">
        <v>6241</v>
      </c>
    </row>
    <row r="150" spans="1:20" ht="22" customHeight="1">
      <c r="A150" s="343" t="s">
        <v>6509</v>
      </c>
      <c r="B150" s="343" t="s">
        <v>5391</v>
      </c>
      <c r="C150" s="350" t="s">
        <v>8686</v>
      </c>
      <c r="D150" s="343" t="s">
        <v>2909</v>
      </c>
      <c r="E150" s="344" t="s">
        <v>6510</v>
      </c>
      <c r="F150" s="344" t="s">
        <v>6842</v>
      </c>
      <c r="G150" s="344" t="s">
        <v>6843</v>
      </c>
      <c r="H150" s="345">
        <v>1</v>
      </c>
      <c r="I150" s="344" t="s">
        <v>7786</v>
      </c>
      <c r="J150" s="344" t="s">
        <v>7278</v>
      </c>
      <c r="K150" s="349" t="s">
        <v>8692</v>
      </c>
      <c r="L150" s="349" t="s">
        <v>8693</v>
      </c>
      <c r="M150" s="359" t="s">
        <v>8281</v>
      </c>
      <c r="N150" s="359" t="s">
        <v>8314</v>
      </c>
      <c r="O150" s="359" t="s">
        <v>8574</v>
      </c>
      <c r="P150" s="350" t="s">
        <v>8649</v>
      </c>
      <c r="Q150" s="343" t="s">
        <v>6500</v>
      </c>
      <c r="R150" s="343" t="s">
        <v>4</v>
      </c>
      <c r="S150" s="343" t="s">
        <v>6249</v>
      </c>
      <c r="T150" s="343" t="s">
        <v>6247</v>
      </c>
    </row>
    <row r="151" spans="1:20" ht="22" customHeight="1">
      <c r="A151" s="343" t="s">
        <v>6511</v>
      </c>
      <c r="B151" s="343" t="s">
        <v>5391</v>
      </c>
      <c r="C151" s="350" t="s">
        <v>8686</v>
      </c>
      <c r="D151" s="343" t="s">
        <v>8776</v>
      </c>
      <c r="E151" s="344" t="s">
        <v>6512</v>
      </c>
      <c r="F151" s="344" t="s">
        <v>6844</v>
      </c>
      <c r="G151" s="344" t="s">
        <v>6845</v>
      </c>
      <c r="H151" s="345">
        <v>0.5</v>
      </c>
      <c r="I151" s="344" t="s">
        <v>7786</v>
      </c>
      <c r="J151" s="344" t="s">
        <v>7279</v>
      </c>
      <c r="K151" s="349" t="s">
        <v>8692</v>
      </c>
      <c r="L151" s="349" t="s">
        <v>8693</v>
      </c>
      <c r="M151" s="359" t="s">
        <v>8281</v>
      </c>
      <c r="N151" s="359" t="s">
        <v>8314</v>
      </c>
      <c r="O151" s="359" t="s">
        <v>8574</v>
      </c>
      <c r="P151" s="350" t="s">
        <v>8649</v>
      </c>
      <c r="Q151" s="343" t="s">
        <v>6500</v>
      </c>
      <c r="R151" s="343" t="s">
        <v>4</v>
      </c>
      <c r="S151" s="343" t="s">
        <v>6252</v>
      </c>
      <c r="T151" s="343" t="s">
        <v>6250</v>
      </c>
    </row>
    <row r="152" spans="1:20" ht="22" customHeight="1">
      <c r="A152" s="343" t="s">
        <v>6513</v>
      </c>
      <c r="B152" s="343" t="s">
        <v>5391</v>
      </c>
      <c r="C152" s="350" t="s">
        <v>8686</v>
      </c>
      <c r="D152" s="343" t="s">
        <v>2909</v>
      </c>
      <c r="E152" s="344" t="s">
        <v>6514</v>
      </c>
      <c r="F152" s="344" t="s">
        <v>6846</v>
      </c>
      <c r="G152" s="344" t="s">
        <v>6847</v>
      </c>
      <c r="H152" s="345">
        <v>0.5</v>
      </c>
      <c r="I152" s="344" t="s">
        <v>7786</v>
      </c>
      <c r="J152" s="344" t="s">
        <v>7280</v>
      </c>
      <c r="K152" s="349" t="s">
        <v>8692</v>
      </c>
      <c r="L152" s="349" t="s">
        <v>8693</v>
      </c>
      <c r="M152" s="359" t="s">
        <v>8281</v>
      </c>
      <c r="N152" s="359" t="s">
        <v>8314</v>
      </c>
      <c r="O152" s="359" t="s">
        <v>8574</v>
      </c>
      <c r="P152" s="350" t="s">
        <v>8649</v>
      </c>
      <c r="Q152" s="343" t="s">
        <v>6500</v>
      </c>
      <c r="R152" s="343" t="s">
        <v>4</v>
      </c>
      <c r="S152" s="343" t="s">
        <v>6255</v>
      </c>
      <c r="T152" s="343" t="s">
        <v>6253</v>
      </c>
    </row>
    <row r="153" spans="1:20" ht="22" customHeight="1">
      <c r="A153" s="343" t="s">
        <v>6515</v>
      </c>
      <c r="B153" s="343" t="s">
        <v>5391</v>
      </c>
      <c r="C153" s="350" t="s">
        <v>8686</v>
      </c>
      <c r="D153" s="343" t="s">
        <v>2909</v>
      </c>
      <c r="E153" s="344" t="s">
        <v>6516</v>
      </c>
      <c r="F153" s="344" t="s">
        <v>6848</v>
      </c>
      <c r="G153" s="344" t="s">
        <v>6849</v>
      </c>
      <c r="H153" s="345">
        <v>0.75</v>
      </c>
      <c r="I153" s="344" t="s">
        <v>7787</v>
      </c>
      <c r="J153" s="344" t="s">
        <v>7270</v>
      </c>
      <c r="K153" s="349" t="s">
        <v>8692</v>
      </c>
      <c r="L153" s="349" t="s">
        <v>8692</v>
      </c>
      <c r="M153" s="359" t="s">
        <v>8280</v>
      </c>
      <c r="N153" s="359" t="s">
        <v>8305</v>
      </c>
      <c r="O153" s="359" t="s">
        <v>8574</v>
      </c>
      <c r="P153" s="350" t="s">
        <v>8652</v>
      </c>
      <c r="Q153" s="343" t="s">
        <v>6500</v>
      </c>
      <c r="R153" s="343" t="s">
        <v>4</v>
      </c>
      <c r="S153" s="343" t="s">
        <v>6258</v>
      </c>
      <c r="T153" s="343" t="s">
        <v>6256</v>
      </c>
    </row>
    <row r="154" spans="1:20" ht="22" customHeight="1">
      <c r="A154" s="343" t="s">
        <v>6517</v>
      </c>
      <c r="B154" s="343" t="s">
        <v>5391</v>
      </c>
      <c r="C154" s="350" t="s">
        <v>8686</v>
      </c>
      <c r="D154" s="343" t="s">
        <v>2909</v>
      </c>
      <c r="E154" s="344" t="s">
        <v>6518</v>
      </c>
      <c r="F154" s="344" t="s">
        <v>6850</v>
      </c>
      <c r="G154" s="344" t="s">
        <v>6851</v>
      </c>
      <c r="H154" s="345">
        <v>0.75</v>
      </c>
      <c r="I154" s="344" t="s">
        <v>7787</v>
      </c>
      <c r="J154" s="344" t="s">
        <v>7281</v>
      </c>
      <c r="K154" s="349" t="s">
        <v>8692</v>
      </c>
      <c r="L154" s="349" t="s">
        <v>8692</v>
      </c>
      <c r="M154" s="359" t="s">
        <v>8280</v>
      </c>
      <c r="N154" s="359" t="s">
        <v>8305</v>
      </c>
      <c r="O154" s="359" t="s">
        <v>8574</v>
      </c>
      <c r="P154" s="350" t="s">
        <v>8652</v>
      </c>
      <c r="Q154" s="343" t="s">
        <v>6500</v>
      </c>
      <c r="R154" s="343" t="s">
        <v>4</v>
      </c>
      <c r="S154" s="343" t="s">
        <v>6262</v>
      </c>
      <c r="T154" s="343" t="s">
        <v>6260</v>
      </c>
    </row>
    <row r="155" spans="1:20" ht="22" customHeight="1">
      <c r="A155" s="343" t="s">
        <v>6519</v>
      </c>
      <c r="B155" s="343" t="s">
        <v>5391</v>
      </c>
      <c r="C155" s="350" t="s">
        <v>8686</v>
      </c>
      <c r="D155" s="343" t="s">
        <v>2909</v>
      </c>
      <c r="E155" s="344" t="s">
        <v>6520</v>
      </c>
      <c r="F155" s="344" t="s">
        <v>6852</v>
      </c>
      <c r="G155" s="344" t="s">
        <v>6853</v>
      </c>
      <c r="H155" s="345">
        <v>1</v>
      </c>
      <c r="I155" s="344" t="s">
        <v>7787</v>
      </c>
      <c r="J155" s="344" t="s">
        <v>7282</v>
      </c>
      <c r="K155" s="349" t="s">
        <v>8692</v>
      </c>
      <c r="L155" s="349" t="s">
        <v>8693</v>
      </c>
      <c r="M155" s="359" t="s">
        <v>8280</v>
      </c>
      <c r="N155" s="359" t="s">
        <v>8315</v>
      </c>
      <c r="O155" s="359" t="s">
        <v>8574</v>
      </c>
      <c r="P155" s="350" t="s">
        <v>8652</v>
      </c>
      <c r="Q155" s="343" t="s">
        <v>6500</v>
      </c>
      <c r="R155" s="343" t="s">
        <v>4</v>
      </c>
      <c r="S155" s="343" t="s">
        <v>6265</v>
      </c>
      <c r="T155" s="343" t="s">
        <v>6263</v>
      </c>
    </row>
    <row r="156" spans="1:20" ht="22" customHeight="1">
      <c r="A156" s="343" t="s">
        <v>6521</v>
      </c>
      <c r="B156" s="343" t="s">
        <v>5391</v>
      </c>
      <c r="C156" s="350" t="s">
        <v>8686</v>
      </c>
      <c r="D156" s="343" t="s">
        <v>2909</v>
      </c>
      <c r="E156" s="344" t="s">
        <v>6522</v>
      </c>
      <c r="F156" s="344" t="s">
        <v>6854</v>
      </c>
      <c r="G156" s="344" t="s">
        <v>6855</v>
      </c>
      <c r="H156" s="345">
        <v>0.5</v>
      </c>
      <c r="I156" s="344" t="s">
        <v>7787</v>
      </c>
      <c r="J156" s="344" t="s">
        <v>7283</v>
      </c>
      <c r="K156" s="349" t="s">
        <v>8692</v>
      </c>
      <c r="L156" s="349" t="s">
        <v>8693</v>
      </c>
      <c r="M156" s="359" t="s">
        <v>8280</v>
      </c>
      <c r="N156" s="359" t="s">
        <v>8315</v>
      </c>
      <c r="O156" s="359" t="s">
        <v>8574</v>
      </c>
      <c r="P156" s="350" t="s">
        <v>8652</v>
      </c>
      <c r="Q156" s="343" t="s">
        <v>6500</v>
      </c>
      <c r="R156" s="343" t="s">
        <v>4</v>
      </c>
      <c r="S156" s="343" t="s">
        <v>6268</v>
      </c>
      <c r="T156" s="343" t="s">
        <v>6266</v>
      </c>
    </row>
    <row r="157" spans="1:20" ht="22" customHeight="1">
      <c r="A157" s="343" t="s">
        <v>6523</v>
      </c>
      <c r="B157" s="343" t="s">
        <v>5391</v>
      </c>
      <c r="C157" s="350" t="s">
        <v>8686</v>
      </c>
      <c r="D157" s="343" t="s">
        <v>8777</v>
      </c>
      <c r="E157" s="344" t="s">
        <v>6524</v>
      </c>
      <c r="F157" s="344" t="s">
        <v>6856</v>
      </c>
      <c r="G157" s="344" t="s">
        <v>6857</v>
      </c>
      <c r="H157" s="345">
        <v>0.75</v>
      </c>
      <c r="I157" s="344" t="s">
        <v>7787</v>
      </c>
      <c r="J157" s="344" t="s">
        <v>7284</v>
      </c>
      <c r="K157" s="349" t="s">
        <v>8692</v>
      </c>
      <c r="L157" s="349" t="s">
        <v>8693</v>
      </c>
      <c r="M157" s="359" t="s">
        <v>8598</v>
      </c>
      <c r="N157" s="359" t="s">
        <v>8599</v>
      </c>
      <c r="O157" s="359" t="s">
        <v>8688</v>
      </c>
      <c r="P157" s="350" t="s">
        <v>8649</v>
      </c>
      <c r="Q157" s="343" t="s">
        <v>6500</v>
      </c>
      <c r="R157" s="343" t="s">
        <v>4</v>
      </c>
      <c r="S157" s="343" t="s">
        <v>6271</v>
      </c>
      <c r="T157" s="343" t="s">
        <v>6269</v>
      </c>
    </row>
    <row r="158" spans="1:20" ht="22" customHeight="1">
      <c r="A158" s="343" t="s">
        <v>6525</v>
      </c>
      <c r="B158" s="343" t="s">
        <v>5391</v>
      </c>
      <c r="C158" s="350" t="s">
        <v>8686</v>
      </c>
      <c r="D158" s="343" t="s">
        <v>2909</v>
      </c>
      <c r="E158" s="344" t="s">
        <v>6526</v>
      </c>
      <c r="F158" s="344" t="s">
        <v>6858</v>
      </c>
      <c r="G158" s="344" t="s">
        <v>6859</v>
      </c>
      <c r="H158" s="345">
        <v>0.5</v>
      </c>
      <c r="I158" s="344" t="s">
        <v>7788</v>
      </c>
      <c r="J158" s="344" t="s">
        <v>7285</v>
      </c>
      <c r="K158" s="349" t="s">
        <v>8692</v>
      </c>
      <c r="L158" s="349" t="s">
        <v>8692</v>
      </c>
      <c r="M158" s="359" t="s">
        <v>8282</v>
      </c>
      <c r="N158" s="359" t="s">
        <v>8316</v>
      </c>
      <c r="O158" s="359" t="s">
        <v>8574</v>
      </c>
      <c r="P158" s="350" t="s">
        <v>8652</v>
      </c>
      <c r="Q158" s="343" t="s">
        <v>6500</v>
      </c>
      <c r="R158" s="343" t="s">
        <v>4</v>
      </c>
      <c r="S158" s="343" t="s">
        <v>6274</v>
      </c>
      <c r="T158" s="343" t="s">
        <v>6272</v>
      </c>
    </row>
    <row r="159" spans="1:20" ht="22" customHeight="1">
      <c r="A159" s="343" t="s">
        <v>6527</v>
      </c>
      <c r="B159" s="343" t="s">
        <v>5391</v>
      </c>
      <c r="C159" s="350" t="s">
        <v>8686</v>
      </c>
      <c r="D159" s="343" t="s">
        <v>8778</v>
      </c>
      <c r="E159" s="344" t="s">
        <v>6528</v>
      </c>
      <c r="F159" s="344" t="s">
        <v>6860</v>
      </c>
      <c r="G159" s="344" t="s">
        <v>6861</v>
      </c>
      <c r="H159" s="345">
        <v>0.75</v>
      </c>
      <c r="I159" s="344" t="s">
        <v>7788</v>
      </c>
      <c r="J159" s="344" t="s">
        <v>7286</v>
      </c>
      <c r="K159" s="349" t="s">
        <v>8692</v>
      </c>
      <c r="L159" s="349" t="s">
        <v>8692</v>
      </c>
      <c r="M159" s="359" t="s">
        <v>8282</v>
      </c>
      <c r="N159" s="359" t="s">
        <v>8316</v>
      </c>
      <c r="O159" s="359" t="s">
        <v>8574</v>
      </c>
      <c r="P159" s="350" t="s">
        <v>8652</v>
      </c>
      <c r="Q159" s="343" t="s">
        <v>6500</v>
      </c>
      <c r="R159" s="343" t="s">
        <v>4</v>
      </c>
      <c r="S159" s="343" t="s">
        <v>6274</v>
      </c>
      <c r="T159" s="343" t="s">
        <v>6276</v>
      </c>
    </row>
    <row r="160" spans="1:20" ht="22" customHeight="1">
      <c r="A160" s="343" t="s">
        <v>6529</v>
      </c>
      <c r="B160" s="343" t="s">
        <v>5391</v>
      </c>
      <c r="C160" s="350" t="s">
        <v>8686</v>
      </c>
      <c r="D160" s="343" t="s">
        <v>2909</v>
      </c>
      <c r="E160" s="344" t="s">
        <v>6530</v>
      </c>
      <c r="F160" s="344" t="s">
        <v>6862</v>
      </c>
      <c r="G160" s="344" t="s">
        <v>6863</v>
      </c>
      <c r="H160" s="345">
        <v>0.5</v>
      </c>
      <c r="I160" s="344" t="s">
        <v>7788</v>
      </c>
      <c r="J160" s="344" t="s">
        <v>7287</v>
      </c>
      <c r="K160" s="349" t="s">
        <v>8692</v>
      </c>
      <c r="L160" s="349" t="s">
        <v>8692</v>
      </c>
      <c r="M160" s="359" t="s">
        <v>8282</v>
      </c>
      <c r="N160" s="359" t="s">
        <v>8316</v>
      </c>
      <c r="O160" s="359" t="s">
        <v>8574</v>
      </c>
      <c r="P160" s="350" t="s">
        <v>8652</v>
      </c>
      <c r="Q160" s="343" t="s">
        <v>6500</v>
      </c>
      <c r="R160" s="343" t="s">
        <v>4</v>
      </c>
      <c r="S160" s="343" t="s">
        <v>6280</v>
      </c>
      <c r="T160" s="343" t="s">
        <v>6278</v>
      </c>
    </row>
    <row r="161" spans="1:20" ht="22" customHeight="1">
      <c r="A161" s="343" t="s">
        <v>6531</v>
      </c>
      <c r="B161" s="343" t="s">
        <v>5391</v>
      </c>
      <c r="C161" s="350" t="s">
        <v>8686</v>
      </c>
      <c r="D161" s="343" t="s">
        <v>8778</v>
      </c>
      <c r="E161" s="344" t="s">
        <v>6532</v>
      </c>
      <c r="F161" s="344" t="s">
        <v>6864</v>
      </c>
      <c r="G161" s="344" t="s">
        <v>6865</v>
      </c>
      <c r="H161" s="345">
        <v>0.5</v>
      </c>
      <c r="I161" s="344" t="s">
        <v>7788</v>
      </c>
      <c r="J161" s="344" t="s">
        <v>7288</v>
      </c>
      <c r="K161" s="349" t="s">
        <v>8692</v>
      </c>
      <c r="L161" s="349" t="s">
        <v>8692</v>
      </c>
      <c r="M161" s="359" t="s">
        <v>8282</v>
      </c>
      <c r="N161" s="359" t="s">
        <v>8316</v>
      </c>
      <c r="O161" s="359" t="s">
        <v>8574</v>
      </c>
      <c r="P161" s="350" t="s">
        <v>8652</v>
      </c>
      <c r="Q161" s="343" t="s">
        <v>6500</v>
      </c>
      <c r="R161" s="343" t="s">
        <v>4</v>
      </c>
      <c r="S161" s="343" t="s">
        <v>6280</v>
      </c>
      <c r="T161" s="343" t="s">
        <v>6281</v>
      </c>
    </row>
    <row r="162" spans="1:20" ht="22" customHeight="1">
      <c r="A162" s="343" t="s">
        <v>6533</v>
      </c>
      <c r="B162" s="343" t="s">
        <v>5391</v>
      </c>
      <c r="C162" s="350" t="s">
        <v>8686</v>
      </c>
      <c r="D162" s="343" t="s">
        <v>8779</v>
      </c>
      <c r="E162" s="344" t="s">
        <v>6534</v>
      </c>
      <c r="F162" s="344" t="s">
        <v>6866</v>
      </c>
      <c r="G162" s="344" t="s">
        <v>6867</v>
      </c>
      <c r="H162" s="345">
        <v>0.5</v>
      </c>
      <c r="I162" s="344" t="s">
        <v>7788</v>
      </c>
      <c r="J162" s="344" t="s">
        <v>7289</v>
      </c>
      <c r="K162" s="349" t="s">
        <v>8692</v>
      </c>
      <c r="L162" s="349" t="s">
        <v>8693</v>
      </c>
      <c r="M162" s="359" t="s">
        <v>8283</v>
      </c>
      <c r="N162" s="359" t="s">
        <v>8310</v>
      </c>
      <c r="O162" s="359" t="s">
        <v>8574</v>
      </c>
      <c r="P162" s="350" t="s">
        <v>8653</v>
      </c>
      <c r="Q162" s="343" t="s">
        <v>6500</v>
      </c>
      <c r="R162" s="343" t="s">
        <v>4</v>
      </c>
      <c r="S162" s="343" t="s">
        <v>1430</v>
      </c>
      <c r="T162" s="343" t="s">
        <v>6283</v>
      </c>
    </row>
    <row r="163" spans="1:20" ht="22" customHeight="1">
      <c r="A163" s="343" t="s">
        <v>6535</v>
      </c>
      <c r="B163" s="343" t="s">
        <v>5391</v>
      </c>
      <c r="C163" s="350" t="s">
        <v>8686</v>
      </c>
      <c r="D163" s="343" t="s">
        <v>2909</v>
      </c>
      <c r="E163" s="344" t="s">
        <v>6536</v>
      </c>
      <c r="F163" s="344" t="s">
        <v>6868</v>
      </c>
      <c r="G163" s="344" t="s">
        <v>6869</v>
      </c>
      <c r="H163" s="345">
        <v>0.5</v>
      </c>
      <c r="I163" s="344" t="s">
        <v>7789</v>
      </c>
      <c r="J163" s="344" t="s">
        <v>7290</v>
      </c>
      <c r="K163" s="349" t="s">
        <v>8692</v>
      </c>
      <c r="L163" s="349" t="s">
        <v>8692</v>
      </c>
      <c r="M163" s="359" t="s">
        <v>8282</v>
      </c>
      <c r="N163" s="359" t="s">
        <v>8316</v>
      </c>
      <c r="O163" s="359" t="s">
        <v>8574</v>
      </c>
      <c r="P163" s="350" t="s">
        <v>8652</v>
      </c>
      <c r="Q163" s="343" t="s">
        <v>6500</v>
      </c>
      <c r="R163" s="343" t="s">
        <v>4</v>
      </c>
      <c r="S163" s="343" t="s">
        <v>1432</v>
      </c>
      <c r="T163" s="343" t="s">
        <v>6285</v>
      </c>
    </row>
    <row r="164" spans="1:20" ht="22" customHeight="1">
      <c r="A164" s="343" t="s">
        <v>6537</v>
      </c>
      <c r="B164" s="343" t="s">
        <v>5391</v>
      </c>
      <c r="C164" s="350" t="s">
        <v>8686</v>
      </c>
      <c r="D164" s="343" t="s">
        <v>2909</v>
      </c>
      <c r="E164" s="344" t="s">
        <v>6538</v>
      </c>
      <c r="F164" s="344" t="s">
        <v>6870</v>
      </c>
      <c r="G164" s="344" t="s">
        <v>6871</v>
      </c>
      <c r="H164" s="345">
        <v>0.5</v>
      </c>
      <c r="I164" s="344" t="s">
        <v>7789</v>
      </c>
      <c r="J164" s="344" t="s">
        <v>7291</v>
      </c>
      <c r="K164" s="349" t="s">
        <v>8692</v>
      </c>
      <c r="L164" s="349" t="s">
        <v>8693</v>
      </c>
      <c r="M164" s="359" t="s">
        <v>8281</v>
      </c>
      <c r="N164" s="359" t="s">
        <v>8309</v>
      </c>
      <c r="O164" s="359" t="s">
        <v>8574</v>
      </c>
      <c r="P164" s="350" t="s">
        <v>8653</v>
      </c>
      <c r="Q164" s="343" t="s">
        <v>6500</v>
      </c>
      <c r="R164" s="343" t="s">
        <v>4</v>
      </c>
      <c r="S164" s="343" t="s">
        <v>1432</v>
      </c>
      <c r="T164" s="343" t="s">
        <v>6288</v>
      </c>
    </row>
    <row r="165" spans="1:20" ht="22" customHeight="1">
      <c r="A165" s="343" t="s">
        <v>6539</v>
      </c>
      <c r="B165" s="343" t="s">
        <v>5391</v>
      </c>
      <c r="C165" s="350" t="s">
        <v>8686</v>
      </c>
      <c r="D165" s="343" t="s">
        <v>8779</v>
      </c>
      <c r="E165" s="344" t="s">
        <v>6540</v>
      </c>
      <c r="F165" s="344" t="s">
        <v>6872</v>
      </c>
      <c r="G165" s="344" t="s">
        <v>6873</v>
      </c>
      <c r="H165" s="345">
        <v>0.75</v>
      </c>
      <c r="I165" s="344" t="s">
        <v>7788</v>
      </c>
      <c r="J165" s="344" t="s">
        <v>7274</v>
      </c>
      <c r="K165" s="349" t="s">
        <v>8692</v>
      </c>
      <c r="L165" s="349" t="s">
        <v>8693</v>
      </c>
      <c r="M165" s="359" t="s">
        <v>8281</v>
      </c>
      <c r="N165" s="359" t="s">
        <v>8309</v>
      </c>
      <c r="O165" s="359" t="s">
        <v>8574</v>
      </c>
      <c r="P165" s="350" t="s">
        <v>8652</v>
      </c>
      <c r="Q165" s="343" t="s">
        <v>6500</v>
      </c>
      <c r="R165" s="343" t="s">
        <v>4</v>
      </c>
      <c r="S165" s="343" t="s">
        <v>6292</v>
      </c>
      <c r="T165" s="343" t="s">
        <v>6290</v>
      </c>
    </row>
    <row r="166" spans="1:20" ht="22" customHeight="1">
      <c r="A166" s="343" t="s">
        <v>6541</v>
      </c>
      <c r="B166" s="343" t="s">
        <v>5391</v>
      </c>
      <c r="C166" s="350" t="s">
        <v>8686</v>
      </c>
      <c r="D166" s="343" t="s">
        <v>2909</v>
      </c>
      <c r="E166" s="344" t="s">
        <v>6542</v>
      </c>
      <c r="F166" s="344" t="s">
        <v>6874</v>
      </c>
      <c r="G166" s="344" t="s">
        <v>6875</v>
      </c>
      <c r="H166" s="345">
        <v>0.5</v>
      </c>
      <c r="I166" s="344" t="s">
        <v>7789</v>
      </c>
      <c r="J166" s="344" t="s">
        <v>7292</v>
      </c>
      <c r="K166" s="349" t="s">
        <v>8692</v>
      </c>
      <c r="L166" s="349" t="s">
        <v>8693</v>
      </c>
      <c r="M166" s="359" t="s">
        <v>8281</v>
      </c>
      <c r="N166" s="359" t="s">
        <v>8309</v>
      </c>
      <c r="O166" s="359" t="s">
        <v>8574</v>
      </c>
      <c r="P166" s="350" t="s">
        <v>8652</v>
      </c>
      <c r="Q166" s="343" t="s">
        <v>6500</v>
      </c>
      <c r="R166" s="343" t="s">
        <v>4</v>
      </c>
      <c r="S166" s="343" t="s">
        <v>40</v>
      </c>
      <c r="T166" s="343" t="s">
        <v>6293</v>
      </c>
    </row>
    <row r="167" spans="1:20" ht="22" customHeight="1">
      <c r="A167" s="343" t="s">
        <v>6543</v>
      </c>
      <c r="B167" s="343" t="s">
        <v>5391</v>
      </c>
      <c r="C167" s="350" t="s">
        <v>8686</v>
      </c>
      <c r="D167" s="343" t="s">
        <v>2909</v>
      </c>
      <c r="E167" s="344" t="s">
        <v>6544</v>
      </c>
      <c r="F167" s="344" t="s">
        <v>6876</v>
      </c>
      <c r="G167" s="344" t="s">
        <v>6877</v>
      </c>
      <c r="H167" s="345">
        <v>0.5</v>
      </c>
      <c r="I167" s="344" t="s">
        <v>7789</v>
      </c>
      <c r="J167" s="344" t="s">
        <v>7293</v>
      </c>
      <c r="K167" s="349" t="s">
        <v>8692</v>
      </c>
      <c r="L167" s="349" t="s">
        <v>8692</v>
      </c>
      <c r="M167" s="359" t="s">
        <v>8282</v>
      </c>
      <c r="N167" s="359" t="s">
        <v>8316</v>
      </c>
      <c r="O167" s="359" t="s">
        <v>8574</v>
      </c>
      <c r="P167" s="350" t="s">
        <v>8652</v>
      </c>
      <c r="Q167" s="343" t="s">
        <v>6500</v>
      </c>
      <c r="R167" s="343" t="s">
        <v>4</v>
      </c>
      <c r="S167" s="343" t="s">
        <v>6274</v>
      </c>
      <c r="T167" s="343" t="s">
        <v>6295</v>
      </c>
    </row>
    <row r="168" spans="1:20" ht="22" customHeight="1">
      <c r="A168" s="343" t="s">
        <v>6545</v>
      </c>
      <c r="B168" s="343" t="s">
        <v>5391</v>
      </c>
      <c r="C168" s="350" t="s">
        <v>8686</v>
      </c>
      <c r="D168" s="343" t="s">
        <v>2909</v>
      </c>
      <c r="E168" s="344" t="s">
        <v>6546</v>
      </c>
      <c r="F168" s="344" t="s">
        <v>6878</v>
      </c>
      <c r="G168" s="344" t="s">
        <v>6879</v>
      </c>
      <c r="H168" s="345">
        <v>0.5</v>
      </c>
      <c r="I168" s="344" t="s">
        <v>7790</v>
      </c>
      <c r="J168" s="344" t="s">
        <v>7294</v>
      </c>
      <c r="K168" s="349" t="s">
        <v>8692</v>
      </c>
      <c r="L168" s="349" t="s">
        <v>8692</v>
      </c>
      <c r="M168" s="359" t="s">
        <v>8284</v>
      </c>
      <c r="N168" s="359" t="s">
        <v>8317</v>
      </c>
      <c r="O168" s="359" t="s">
        <v>8574</v>
      </c>
      <c r="P168" s="350" t="s">
        <v>8649</v>
      </c>
      <c r="Q168" s="343" t="s">
        <v>6500</v>
      </c>
      <c r="R168" s="343" t="s">
        <v>4</v>
      </c>
      <c r="S168" s="343" t="s">
        <v>6299</v>
      </c>
      <c r="T168" s="343" t="s">
        <v>6297</v>
      </c>
    </row>
    <row r="169" spans="1:20" ht="22" customHeight="1">
      <c r="A169" s="343" t="s">
        <v>6547</v>
      </c>
      <c r="B169" s="343" t="s">
        <v>5391</v>
      </c>
      <c r="C169" s="350" t="s">
        <v>8686</v>
      </c>
      <c r="D169" s="343" t="s">
        <v>2909</v>
      </c>
      <c r="E169" s="344" t="s">
        <v>6548</v>
      </c>
      <c r="F169" s="344" t="s">
        <v>7792</v>
      </c>
      <c r="G169" s="344" t="s">
        <v>6880</v>
      </c>
      <c r="H169" s="345">
        <v>0.5</v>
      </c>
      <c r="I169" s="344" t="s">
        <v>7790</v>
      </c>
      <c r="J169" s="344" t="s">
        <v>7791</v>
      </c>
      <c r="K169" s="349" t="s">
        <v>8692</v>
      </c>
      <c r="L169" s="349" t="s">
        <v>8693</v>
      </c>
      <c r="M169" s="359" t="s">
        <v>8284</v>
      </c>
      <c r="N169" s="359" t="s">
        <v>8317</v>
      </c>
      <c r="O169" s="359" t="s">
        <v>8574</v>
      </c>
      <c r="P169" s="350" t="s">
        <v>8649</v>
      </c>
      <c r="Q169" s="343" t="s">
        <v>6500</v>
      </c>
      <c r="R169" s="343" t="s">
        <v>4</v>
      </c>
      <c r="S169" s="343" t="s">
        <v>6303</v>
      </c>
      <c r="T169" s="343" t="s">
        <v>6301</v>
      </c>
    </row>
    <row r="170" spans="1:20" ht="22" customHeight="1">
      <c r="A170" s="343" t="s">
        <v>6549</v>
      </c>
      <c r="B170" s="343" t="s">
        <v>5391</v>
      </c>
      <c r="C170" s="350" t="s">
        <v>8686</v>
      </c>
      <c r="D170" s="343" t="s">
        <v>8780</v>
      </c>
      <c r="E170" s="344" t="s">
        <v>6550</v>
      </c>
      <c r="F170" s="344" t="s">
        <v>7794</v>
      </c>
      <c r="G170" s="344" t="s">
        <v>6881</v>
      </c>
      <c r="H170" s="345">
        <v>0.5</v>
      </c>
      <c r="I170" s="344" t="s">
        <v>7790</v>
      </c>
      <c r="J170" s="344" t="s">
        <v>7793</v>
      </c>
      <c r="K170" s="349" t="s">
        <v>8692</v>
      </c>
      <c r="L170" s="349" t="s">
        <v>8693</v>
      </c>
      <c r="M170" s="359" t="s">
        <v>8281</v>
      </c>
      <c r="N170" s="359" t="s">
        <v>8318</v>
      </c>
      <c r="O170" s="359" t="s">
        <v>8574</v>
      </c>
      <c r="P170" s="350" t="s">
        <v>8649</v>
      </c>
      <c r="Q170" s="343" t="s">
        <v>6500</v>
      </c>
      <c r="R170" s="343" t="s">
        <v>4</v>
      </c>
      <c r="S170" s="343" t="s">
        <v>2606</v>
      </c>
      <c r="T170" s="343" t="s">
        <v>6304</v>
      </c>
    </row>
    <row r="171" spans="1:20" ht="22" customHeight="1">
      <c r="A171" s="343" t="s">
        <v>6551</v>
      </c>
      <c r="B171" s="343" t="s">
        <v>5391</v>
      </c>
      <c r="C171" s="350" t="s">
        <v>8686</v>
      </c>
      <c r="D171" s="343" t="s">
        <v>8781</v>
      </c>
      <c r="E171" s="344" t="s">
        <v>6552</v>
      </c>
      <c r="F171" s="344" t="s">
        <v>6882</v>
      </c>
      <c r="G171" s="344" t="s">
        <v>6883</v>
      </c>
      <c r="H171" s="345">
        <v>0.75</v>
      </c>
      <c r="I171" s="344" t="s">
        <v>7795</v>
      </c>
      <c r="J171" s="344" t="s">
        <v>7295</v>
      </c>
      <c r="K171" s="349" t="s">
        <v>8692</v>
      </c>
      <c r="L171" s="349" t="s">
        <v>8693</v>
      </c>
      <c r="M171" s="359" t="s">
        <v>8280</v>
      </c>
      <c r="N171" s="359" t="s">
        <v>8315</v>
      </c>
      <c r="O171" s="359" t="s">
        <v>8574</v>
      </c>
      <c r="P171" s="350" t="s">
        <v>8653</v>
      </c>
      <c r="Q171" s="343" t="s">
        <v>6500</v>
      </c>
      <c r="R171" s="343" t="s">
        <v>4</v>
      </c>
      <c r="S171" s="343" t="s">
        <v>6309</v>
      </c>
      <c r="T171" s="343" t="s">
        <v>6306</v>
      </c>
    </row>
    <row r="172" spans="1:20" ht="22" customHeight="1">
      <c r="A172" s="343" t="s">
        <v>6553</v>
      </c>
      <c r="B172" s="343" t="s">
        <v>5391</v>
      </c>
      <c r="C172" s="350" t="s">
        <v>8686</v>
      </c>
      <c r="D172" s="343" t="s">
        <v>2909</v>
      </c>
      <c r="E172" s="344" t="s">
        <v>6554</v>
      </c>
      <c r="F172" s="344" t="s">
        <v>6884</v>
      </c>
      <c r="G172" s="344" t="s">
        <v>6885</v>
      </c>
      <c r="H172" s="345">
        <v>0.5</v>
      </c>
      <c r="I172" s="344" t="s">
        <v>7795</v>
      </c>
      <c r="J172" s="344" t="s">
        <v>7296</v>
      </c>
      <c r="K172" s="349" t="s">
        <v>8692</v>
      </c>
      <c r="L172" s="349" t="s">
        <v>8693</v>
      </c>
      <c r="M172" s="359" t="s">
        <v>8280</v>
      </c>
      <c r="N172" s="359" t="s">
        <v>8315</v>
      </c>
      <c r="O172" s="359" t="s">
        <v>8574</v>
      </c>
      <c r="P172" s="350" t="s">
        <v>8653</v>
      </c>
      <c r="Q172" s="343" t="s">
        <v>6500</v>
      </c>
      <c r="R172" s="343" t="s">
        <v>4</v>
      </c>
      <c r="S172" s="343" t="s">
        <v>6313</v>
      </c>
      <c r="T172" s="343" t="s">
        <v>6311</v>
      </c>
    </row>
    <row r="173" spans="1:20" ht="22" customHeight="1">
      <c r="A173" s="343" t="s">
        <v>6555</v>
      </c>
      <c r="B173" s="343" t="s">
        <v>5391</v>
      </c>
      <c r="C173" s="350" t="s">
        <v>8686</v>
      </c>
      <c r="D173" s="343" t="s">
        <v>8782</v>
      </c>
      <c r="E173" s="344" t="s">
        <v>7755</v>
      </c>
      <c r="F173" s="344" t="s">
        <v>6886</v>
      </c>
      <c r="G173" s="344" t="s">
        <v>6887</v>
      </c>
      <c r="H173" s="345">
        <v>1</v>
      </c>
      <c r="I173" s="344" t="s">
        <v>7796</v>
      </c>
      <c r="J173" s="344" t="s">
        <v>7297</v>
      </c>
      <c r="K173" s="349" t="s">
        <v>8692</v>
      </c>
      <c r="L173" s="349" t="s">
        <v>8693</v>
      </c>
      <c r="M173" s="359" t="s">
        <v>8283</v>
      </c>
      <c r="N173" s="359" t="s">
        <v>8319</v>
      </c>
      <c r="O173" s="359" t="s">
        <v>8574</v>
      </c>
      <c r="P173" s="350" t="s">
        <v>8653</v>
      </c>
      <c r="Q173" s="343" t="s">
        <v>6500</v>
      </c>
      <c r="R173" s="343" t="s">
        <v>4</v>
      </c>
      <c r="S173" s="343" t="s">
        <v>6316</v>
      </c>
      <c r="T173" s="343" t="s">
        <v>6314</v>
      </c>
    </row>
    <row r="174" spans="1:20" ht="22" customHeight="1">
      <c r="A174" s="343" t="s">
        <v>6556</v>
      </c>
      <c r="B174" s="343" t="s">
        <v>5391</v>
      </c>
      <c r="C174" s="350" t="s">
        <v>8686</v>
      </c>
      <c r="D174" s="343" t="s">
        <v>8782</v>
      </c>
      <c r="E174" s="344" t="s">
        <v>7756</v>
      </c>
      <c r="F174" s="344" t="s">
        <v>6888</v>
      </c>
      <c r="G174" s="344" t="s">
        <v>6889</v>
      </c>
      <c r="H174" s="345">
        <v>0.75</v>
      </c>
      <c r="I174" s="344" t="s">
        <v>7796</v>
      </c>
      <c r="J174" s="344" t="s">
        <v>7298</v>
      </c>
      <c r="K174" s="349" t="s">
        <v>8692</v>
      </c>
      <c r="L174" s="349" t="s">
        <v>8693</v>
      </c>
      <c r="M174" s="359" t="s">
        <v>8283</v>
      </c>
      <c r="N174" s="359" t="s">
        <v>8319</v>
      </c>
      <c r="O174" s="359" t="s">
        <v>8574</v>
      </c>
      <c r="P174" s="350" t="s">
        <v>8653</v>
      </c>
      <c r="Q174" s="343" t="s">
        <v>6500</v>
      </c>
      <c r="R174" s="343" t="s">
        <v>4</v>
      </c>
      <c r="S174" s="343" t="s">
        <v>6320</v>
      </c>
      <c r="T174" s="343" t="s">
        <v>6318</v>
      </c>
    </row>
    <row r="175" spans="1:20" ht="22" customHeight="1">
      <c r="A175" s="343" t="s">
        <v>6557</v>
      </c>
      <c r="B175" s="343" t="s">
        <v>5391</v>
      </c>
      <c r="C175" s="350" t="s">
        <v>8686</v>
      </c>
      <c r="D175" s="343" t="s">
        <v>8782</v>
      </c>
      <c r="E175" s="344" t="s">
        <v>7757</v>
      </c>
      <c r="F175" s="344" t="s">
        <v>6890</v>
      </c>
      <c r="G175" s="344" t="s">
        <v>6891</v>
      </c>
      <c r="H175" s="345">
        <v>1</v>
      </c>
      <c r="I175" s="344" t="s">
        <v>7796</v>
      </c>
      <c r="J175" s="344" t="s">
        <v>7299</v>
      </c>
      <c r="K175" s="349" t="s">
        <v>8692</v>
      </c>
      <c r="L175" s="349" t="s">
        <v>8693</v>
      </c>
      <c r="M175" s="359" t="s">
        <v>8283</v>
      </c>
      <c r="N175" s="359" t="s">
        <v>8319</v>
      </c>
      <c r="O175" s="359" t="s">
        <v>8574</v>
      </c>
      <c r="P175" s="350" t="s">
        <v>8653</v>
      </c>
      <c r="Q175" s="343" t="s">
        <v>6500</v>
      </c>
      <c r="R175" s="343" t="s">
        <v>4</v>
      </c>
      <c r="S175" s="343" t="s">
        <v>6323</v>
      </c>
      <c r="T175" s="343" t="s">
        <v>6321</v>
      </c>
    </row>
    <row r="176" spans="1:20" ht="22" customHeight="1">
      <c r="A176" s="343" t="s">
        <v>6558</v>
      </c>
      <c r="B176" s="343" t="s">
        <v>5391</v>
      </c>
      <c r="C176" s="350" t="s">
        <v>8686</v>
      </c>
      <c r="D176" s="343" t="s">
        <v>8782</v>
      </c>
      <c r="E176" s="344" t="s">
        <v>7758</v>
      </c>
      <c r="F176" s="344" t="s">
        <v>6892</v>
      </c>
      <c r="G176" s="344" t="s">
        <v>6893</v>
      </c>
      <c r="H176" s="345">
        <v>0.5</v>
      </c>
      <c r="I176" s="344" t="s">
        <v>7796</v>
      </c>
      <c r="J176" s="344" t="s">
        <v>7300</v>
      </c>
      <c r="K176" s="349" t="s">
        <v>8692</v>
      </c>
      <c r="L176" s="349" t="s">
        <v>8693</v>
      </c>
      <c r="M176" s="359" t="s">
        <v>8283</v>
      </c>
      <c r="N176" s="359" t="s">
        <v>8319</v>
      </c>
      <c r="O176" s="359" t="s">
        <v>8574</v>
      </c>
      <c r="P176" s="350" t="s">
        <v>8653</v>
      </c>
      <c r="Q176" s="343" t="s">
        <v>6500</v>
      </c>
      <c r="R176" s="343" t="s">
        <v>4</v>
      </c>
      <c r="S176" s="343" t="s">
        <v>511</v>
      </c>
      <c r="T176" s="343" t="s">
        <v>6324</v>
      </c>
    </row>
    <row r="177" spans="1:20" ht="22" customHeight="1">
      <c r="A177" s="343" t="s">
        <v>6559</v>
      </c>
      <c r="B177" s="343" t="s">
        <v>5391</v>
      </c>
      <c r="C177" s="350" t="s">
        <v>8686</v>
      </c>
      <c r="D177" s="343" t="s">
        <v>8782</v>
      </c>
      <c r="E177" s="344" t="s">
        <v>7759</v>
      </c>
      <c r="F177" s="344" t="s">
        <v>8783</v>
      </c>
      <c r="G177" s="344" t="s">
        <v>6894</v>
      </c>
      <c r="H177" s="345">
        <v>0.5</v>
      </c>
      <c r="I177" s="344" t="s">
        <v>7796</v>
      </c>
      <c r="J177" s="344" t="s">
        <v>7301</v>
      </c>
      <c r="K177" s="349" t="s">
        <v>8692</v>
      </c>
      <c r="L177" s="349" t="s">
        <v>8693</v>
      </c>
      <c r="M177" s="359" t="s">
        <v>8283</v>
      </c>
      <c r="N177" s="359" t="s">
        <v>8319</v>
      </c>
      <c r="O177" s="359" t="s">
        <v>8574</v>
      </c>
      <c r="P177" s="350" t="s">
        <v>8653</v>
      </c>
      <c r="Q177" s="343" t="s">
        <v>6500</v>
      </c>
      <c r="R177" s="343" t="s">
        <v>4</v>
      </c>
      <c r="S177" s="343" t="s">
        <v>2583</v>
      </c>
      <c r="T177" s="343" t="s">
        <v>6326</v>
      </c>
    </row>
    <row r="178" spans="1:20" ht="22" customHeight="1">
      <c r="A178" s="343" t="s">
        <v>6560</v>
      </c>
      <c r="B178" s="343" t="s">
        <v>5391</v>
      </c>
      <c r="C178" s="350" t="s">
        <v>8686</v>
      </c>
      <c r="D178" s="343" t="s">
        <v>8784</v>
      </c>
      <c r="E178" s="344" t="s">
        <v>6561</v>
      </c>
      <c r="F178" s="344" t="s">
        <v>6895</v>
      </c>
      <c r="G178" s="344" t="s">
        <v>6896</v>
      </c>
      <c r="H178" s="345">
        <v>1</v>
      </c>
      <c r="I178" s="344" t="s">
        <v>7797</v>
      </c>
      <c r="J178" s="344" t="s">
        <v>7302</v>
      </c>
      <c r="K178" s="349" t="s">
        <v>8692</v>
      </c>
      <c r="L178" s="349" t="s">
        <v>8693</v>
      </c>
      <c r="M178" s="359" t="s">
        <v>8280</v>
      </c>
      <c r="N178" s="359" t="s">
        <v>8320</v>
      </c>
      <c r="O178" s="359" t="s">
        <v>8574</v>
      </c>
      <c r="P178" s="350" t="s">
        <v>8653</v>
      </c>
      <c r="Q178" s="343" t="s">
        <v>6500</v>
      </c>
      <c r="R178" s="343" t="s">
        <v>4</v>
      </c>
      <c r="S178" s="343" t="s">
        <v>914</v>
      </c>
      <c r="T178" s="343" t="s">
        <v>6328</v>
      </c>
    </row>
    <row r="179" spans="1:20" ht="22" customHeight="1">
      <c r="A179" s="343" t="s">
        <v>6562</v>
      </c>
      <c r="B179" s="343" t="s">
        <v>5391</v>
      </c>
      <c r="C179" s="350" t="s">
        <v>8686</v>
      </c>
      <c r="D179" s="343" t="s">
        <v>8785</v>
      </c>
      <c r="E179" s="344" t="s">
        <v>6563</v>
      </c>
      <c r="F179" s="344" t="s">
        <v>6897</v>
      </c>
      <c r="G179" s="344" t="s">
        <v>6898</v>
      </c>
      <c r="H179" s="345">
        <v>0.75</v>
      </c>
      <c r="I179" s="344" t="s">
        <v>7797</v>
      </c>
      <c r="J179" s="344" t="s">
        <v>7303</v>
      </c>
      <c r="K179" s="349" t="s">
        <v>8692</v>
      </c>
      <c r="L179" s="349" t="s">
        <v>8693</v>
      </c>
      <c r="M179" s="359" t="s">
        <v>8280</v>
      </c>
      <c r="N179" s="359" t="s">
        <v>8321</v>
      </c>
      <c r="O179" s="359" t="s">
        <v>8574</v>
      </c>
      <c r="P179" s="350" t="s">
        <v>8653</v>
      </c>
      <c r="Q179" s="343" t="s">
        <v>6500</v>
      </c>
      <c r="R179" s="343" t="s">
        <v>4</v>
      </c>
      <c r="S179" s="343" t="s">
        <v>909</v>
      </c>
      <c r="T179" s="343" t="s">
        <v>6331</v>
      </c>
    </row>
    <row r="180" spans="1:20" ht="22" customHeight="1">
      <c r="A180" s="343" t="s">
        <v>6564</v>
      </c>
      <c r="B180" s="343" t="s">
        <v>5391</v>
      </c>
      <c r="C180" s="350" t="s">
        <v>8686</v>
      </c>
      <c r="D180" s="343" t="s">
        <v>8786</v>
      </c>
      <c r="E180" s="344" t="s">
        <v>6565</v>
      </c>
      <c r="F180" s="344" t="s">
        <v>6899</v>
      </c>
      <c r="G180" s="344" t="s">
        <v>6900</v>
      </c>
      <c r="H180" s="345">
        <v>0.75</v>
      </c>
      <c r="I180" s="344" t="s">
        <v>7798</v>
      </c>
      <c r="J180" s="344" t="s">
        <v>7304</v>
      </c>
      <c r="K180" s="349" t="s">
        <v>8692</v>
      </c>
      <c r="L180" s="349" t="s">
        <v>8693</v>
      </c>
      <c r="M180" s="359" t="s">
        <v>8284</v>
      </c>
      <c r="N180" s="359" t="s">
        <v>8298</v>
      </c>
      <c r="O180" s="359" t="s">
        <v>8574</v>
      </c>
      <c r="P180" s="350" t="s">
        <v>8653</v>
      </c>
      <c r="Q180" s="343" t="s">
        <v>6500</v>
      </c>
      <c r="R180" s="343" t="s">
        <v>4</v>
      </c>
      <c r="S180" s="343" t="s">
        <v>6335</v>
      </c>
      <c r="T180" s="343" t="s">
        <v>6333</v>
      </c>
    </row>
    <row r="181" spans="1:20" ht="22" customHeight="1">
      <c r="A181" s="343" t="s">
        <v>6566</v>
      </c>
      <c r="B181" s="343" t="s">
        <v>5391</v>
      </c>
      <c r="C181" s="350" t="s">
        <v>8686</v>
      </c>
      <c r="D181" s="343" t="s">
        <v>8787</v>
      </c>
      <c r="E181" s="344" t="s">
        <v>6567</v>
      </c>
      <c r="F181" s="344" t="s">
        <v>6901</v>
      </c>
      <c r="G181" s="344" t="s">
        <v>6902</v>
      </c>
      <c r="H181" s="345">
        <v>0.75</v>
      </c>
      <c r="I181" s="344" t="s">
        <v>7798</v>
      </c>
      <c r="J181" s="344" t="s">
        <v>7799</v>
      </c>
      <c r="K181" s="349" t="s">
        <v>8692</v>
      </c>
      <c r="L181" s="349" t="s">
        <v>8693</v>
      </c>
      <c r="M181" s="359" t="s">
        <v>8284</v>
      </c>
      <c r="N181" s="359" t="s">
        <v>8298</v>
      </c>
      <c r="O181" s="359" t="s">
        <v>8574</v>
      </c>
      <c r="P181" s="350" t="s">
        <v>8653</v>
      </c>
      <c r="Q181" s="343" t="s">
        <v>6500</v>
      </c>
      <c r="R181" s="343" t="s">
        <v>4</v>
      </c>
      <c r="S181" s="343" t="s">
        <v>6339</v>
      </c>
      <c r="T181" s="343" t="s">
        <v>6337</v>
      </c>
    </row>
    <row r="182" spans="1:20" ht="22" customHeight="1">
      <c r="A182" s="343" t="s">
        <v>6568</v>
      </c>
      <c r="B182" s="343" t="s">
        <v>5391</v>
      </c>
      <c r="C182" s="350" t="s">
        <v>8686</v>
      </c>
      <c r="D182" s="343" t="s">
        <v>8788</v>
      </c>
      <c r="E182" s="344" t="s">
        <v>6569</v>
      </c>
      <c r="F182" s="344" t="s">
        <v>6903</v>
      </c>
      <c r="G182" s="344" t="s">
        <v>6904</v>
      </c>
      <c r="H182" s="345">
        <v>1</v>
      </c>
      <c r="I182" s="344" t="s">
        <v>7798</v>
      </c>
      <c r="J182" s="344" t="s">
        <v>7305</v>
      </c>
      <c r="K182" s="349" t="s">
        <v>8692</v>
      </c>
      <c r="L182" s="349" t="s">
        <v>8693</v>
      </c>
      <c r="M182" s="359" t="s">
        <v>8598</v>
      </c>
      <c r="N182" s="359" t="s">
        <v>8675</v>
      </c>
      <c r="O182" s="359" t="s">
        <v>8688</v>
      </c>
      <c r="P182" s="350" t="s">
        <v>8653</v>
      </c>
      <c r="Q182" s="343" t="s">
        <v>6500</v>
      </c>
      <c r="R182" s="343" t="s">
        <v>4</v>
      </c>
      <c r="S182" s="343" t="s">
        <v>2497</v>
      </c>
      <c r="T182" s="343" t="s">
        <v>6340</v>
      </c>
    </row>
    <row r="183" spans="1:20" ht="22" customHeight="1">
      <c r="A183" s="343" t="s">
        <v>6570</v>
      </c>
      <c r="B183" s="343" t="s">
        <v>5391</v>
      </c>
      <c r="C183" s="350" t="s">
        <v>8686</v>
      </c>
      <c r="D183" s="343" t="s">
        <v>8789</v>
      </c>
      <c r="E183" s="344" t="s">
        <v>6571</v>
      </c>
      <c r="F183" s="344" t="s">
        <v>6905</v>
      </c>
      <c r="G183" s="344" t="s">
        <v>6906</v>
      </c>
      <c r="H183" s="345">
        <v>0.5</v>
      </c>
      <c r="I183" s="344" t="s">
        <v>7798</v>
      </c>
      <c r="J183" s="344" t="s">
        <v>7306</v>
      </c>
      <c r="K183" s="349" t="s">
        <v>8692</v>
      </c>
      <c r="L183" s="349" t="s">
        <v>8693</v>
      </c>
      <c r="M183" s="359" t="s">
        <v>8598</v>
      </c>
      <c r="N183" s="359" t="s">
        <v>8676</v>
      </c>
      <c r="O183" s="359" t="s">
        <v>8688</v>
      </c>
      <c r="P183" s="350" t="s">
        <v>8653</v>
      </c>
      <c r="Q183" s="343" t="s">
        <v>6500</v>
      </c>
      <c r="R183" s="343" t="s">
        <v>4</v>
      </c>
      <c r="S183" s="343" t="s">
        <v>2453</v>
      </c>
      <c r="T183" s="343" t="s">
        <v>6342</v>
      </c>
    </row>
    <row r="184" spans="1:20" ht="22" customHeight="1">
      <c r="A184" s="343" t="s">
        <v>6572</v>
      </c>
      <c r="B184" s="343" t="s">
        <v>5391</v>
      </c>
      <c r="C184" s="350" t="s">
        <v>8686</v>
      </c>
      <c r="D184" s="343" t="s">
        <v>8790</v>
      </c>
      <c r="E184" s="344" t="s">
        <v>6573</v>
      </c>
      <c r="F184" s="344" t="s">
        <v>6907</v>
      </c>
      <c r="G184" s="344" t="s">
        <v>6908</v>
      </c>
      <c r="H184" s="345">
        <v>0.5</v>
      </c>
      <c r="I184" s="344" t="s">
        <v>7800</v>
      </c>
      <c r="J184" s="344" t="s">
        <v>7307</v>
      </c>
      <c r="K184" s="349" t="s">
        <v>8693</v>
      </c>
      <c r="L184" s="349" t="s">
        <v>8693</v>
      </c>
      <c r="M184" s="359" t="s">
        <v>8598</v>
      </c>
      <c r="N184" s="359" t="s">
        <v>8600</v>
      </c>
      <c r="O184" s="359" t="s">
        <v>8688</v>
      </c>
      <c r="P184" s="350" t="s">
        <v>8653</v>
      </c>
      <c r="Q184" s="343" t="s">
        <v>6500</v>
      </c>
      <c r="R184" s="343" t="s">
        <v>4</v>
      </c>
      <c r="S184" s="343" t="s">
        <v>6345</v>
      </c>
      <c r="T184" s="343" t="s">
        <v>6343</v>
      </c>
    </row>
    <row r="185" spans="1:20" ht="22" customHeight="1">
      <c r="A185" s="343" t="s">
        <v>6574</v>
      </c>
      <c r="B185" s="343" t="s">
        <v>5391</v>
      </c>
      <c r="C185" s="350" t="s">
        <v>8686</v>
      </c>
      <c r="D185" s="343" t="s">
        <v>8790</v>
      </c>
      <c r="E185" s="344" t="s">
        <v>6575</v>
      </c>
      <c r="F185" s="344" t="s">
        <v>6909</v>
      </c>
      <c r="G185" s="344" t="s">
        <v>6910</v>
      </c>
      <c r="H185" s="345">
        <v>0.5</v>
      </c>
      <c r="I185" s="344" t="s">
        <v>7800</v>
      </c>
      <c r="J185" s="344" t="s">
        <v>7308</v>
      </c>
      <c r="K185" s="349" t="s">
        <v>8693</v>
      </c>
      <c r="L185" s="349" t="s">
        <v>8693</v>
      </c>
      <c r="M185" s="359" t="s">
        <v>8285</v>
      </c>
      <c r="N185" s="359" t="s">
        <v>8322</v>
      </c>
      <c r="O185" s="359" t="s">
        <v>8574</v>
      </c>
      <c r="P185" s="350" t="s">
        <v>8653</v>
      </c>
      <c r="Q185" s="343" t="s">
        <v>6500</v>
      </c>
      <c r="R185" s="343" t="s">
        <v>4</v>
      </c>
      <c r="S185" s="343" t="s">
        <v>2685</v>
      </c>
      <c r="T185" s="343" t="s">
        <v>6347</v>
      </c>
    </row>
    <row r="186" spans="1:20" ht="22" customHeight="1">
      <c r="A186" s="343" t="s">
        <v>6576</v>
      </c>
      <c r="B186" s="343" t="s">
        <v>5391</v>
      </c>
      <c r="C186" s="350" t="s">
        <v>8686</v>
      </c>
      <c r="D186" s="343" t="s">
        <v>8790</v>
      </c>
      <c r="E186" s="344" t="s">
        <v>6577</v>
      </c>
      <c r="F186" s="344" t="s">
        <v>6911</v>
      </c>
      <c r="G186" s="344" t="s">
        <v>6912</v>
      </c>
      <c r="H186" s="345">
        <v>0.5</v>
      </c>
      <c r="I186" s="344" t="s">
        <v>7800</v>
      </c>
      <c r="J186" s="344" t="s">
        <v>7309</v>
      </c>
      <c r="K186" s="349" t="s">
        <v>8693</v>
      </c>
      <c r="L186" s="349" t="s">
        <v>8693</v>
      </c>
      <c r="M186" s="359" t="s">
        <v>8286</v>
      </c>
      <c r="N186" s="359" t="s">
        <v>8323</v>
      </c>
      <c r="O186" s="359" t="s">
        <v>8574</v>
      </c>
      <c r="P186" s="350" t="s">
        <v>8653</v>
      </c>
      <c r="Q186" s="343" t="s">
        <v>6500</v>
      </c>
      <c r="R186" s="343" t="s">
        <v>4</v>
      </c>
      <c r="S186" s="343" t="s">
        <v>6351</v>
      </c>
      <c r="T186" s="343" t="s">
        <v>6349</v>
      </c>
    </row>
    <row r="187" spans="1:20" ht="22" customHeight="1">
      <c r="A187" s="343" t="s">
        <v>6578</v>
      </c>
      <c r="B187" s="343" t="s">
        <v>5391</v>
      </c>
      <c r="C187" s="350" t="s">
        <v>8686</v>
      </c>
      <c r="D187" s="343" t="s">
        <v>8790</v>
      </c>
      <c r="E187" s="344" t="s">
        <v>6579</v>
      </c>
      <c r="F187" s="344" t="s">
        <v>6913</v>
      </c>
      <c r="G187" s="344" t="s">
        <v>6914</v>
      </c>
      <c r="H187" s="345">
        <v>1</v>
      </c>
      <c r="I187" s="344" t="s">
        <v>7800</v>
      </c>
      <c r="J187" s="344" t="s">
        <v>7310</v>
      </c>
      <c r="K187" s="349" t="s">
        <v>8693</v>
      </c>
      <c r="L187" s="349" t="s">
        <v>8693</v>
      </c>
      <c r="M187" s="359" t="s">
        <v>8285</v>
      </c>
      <c r="N187" s="359" t="s">
        <v>8322</v>
      </c>
      <c r="O187" s="359" t="s">
        <v>8574</v>
      </c>
      <c r="P187" s="350" t="s">
        <v>8653</v>
      </c>
      <c r="Q187" s="343" t="s">
        <v>6500</v>
      </c>
      <c r="R187" s="343" t="s">
        <v>4</v>
      </c>
      <c r="S187" s="343" t="s">
        <v>6354</v>
      </c>
      <c r="T187" s="343" t="s">
        <v>6352</v>
      </c>
    </row>
    <row r="188" spans="1:20" ht="22" customHeight="1">
      <c r="A188" s="343" t="s">
        <v>6580</v>
      </c>
      <c r="B188" s="343" t="s">
        <v>5391</v>
      </c>
      <c r="C188" s="350" t="s">
        <v>8686</v>
      </c>
      <c r="D188" s="343" t="s">
        <v>8791</v>
      </c>
      <c r="E188" s="344" t="s">
        <v>6581</v>
      </c>
      <c r="F188" s="344" t="s">
        <v>6915</v>
      </c>
      <c r="G188" s="344" t="s">
        <v>6916</v>
      </c>
      <c r="H188" s="345">
        <v>0.75</v>
      </c>
      <c r="I188" s="344" t="s">
        <v>7801</v>
      </c>
      <c r="J188" s="344" t="s">
        <v>7266</v>
      </c>
      <c r="K188" s="349" t="s">
        <v>8692</v>
      </c>
      <c r="L188" s="349" t="s">
        <v>8693</v>
      </c>
      <c r="M188" s="359" t="s">
        <v>8280</v>
      </c>
      <c r="N188" s="359" t="s">
        <v>8440</v>
      </c>
      <c r="O188" s="359" t="s">
        <v>8574</v>
      </c>
      <c r="P188" s="350" t="s">
        <v>8652</v>
      </c>
      <c r="Q188" s="343" t="s">
        <v>6500</v>
      </c>
      <c r="R188" s="343" t="s">
        <v>4</v>
      </c>
      <c r="S188" s="343" t="s">
        <v>2614</v>
      </c>
      <c r="T188" s="343" t="s">
        <v>6355</v>
      </c>
    </row>
    <row r="189" spans="1:20" ht="22" customHeight="1">
      <c r="A189" s="343" t="s">
        <v>6582</v>
      </c>
      <c r="B189" s="343" t="s">
        <v>5391</v>
      </c>
      <c r="C189" s="350" t="s">
        <v>8686</v>
      </c>
      <c r="D189" s="343" t="s">
        <v>8791</v>
      </c>
      <c r="E189" s="344" t="s">
        <v>6583</v>
      </c>
      <c r="F189" s="344" t="s">
        <v>6917</v>
      </c>
      <c r="G189" s="344" t="s">
        <v>6918</v>
      </c>
      <c r="H189" s="345">
        <v>0.5</v>
      </c>
      <c r="I189" s="344" t="s">
        <v>7801</v>
      </c>
      <c r="J189" s="344" t="s">
        <v>7311</v>
      </c>
      <c r="K189" s="349" t="s">
        <v>8692</v>
      </c>
      <c r="L189" s="349" t="s">
        <v>8693</v>
      </c>
      <c r="M189" s="359" t="s">
        <v>8280</v>
      </c>
      <c r="N189" s="359" t="s">
        <v>8440</v>
      </c>
      <c r="O189" s="359" t="s">
        <v>8574</v>
      </c>
      <c r="P189" s="350" t="s">
        <v>8652</v>
      </c>
      <c r="Q189" s="343" t="s">
        <v>6500</v>
      </c>
      <c r="R189" s="343" t="s">
        <v>4</v>
      </c>
      <c r="S189" s="343" t="s">
        <v>2614</v>
      </c>
      <c r="T189" s="343" t="s">
        <v>6359</v>
      </c>
    </row>
    <row r="190" spans="1:20" ht="22" customHeight="1">
      <c r="A190" s="343" t="s">
        <v>6584</v>
      </c>
      <c r="B190" s="343" t="s">
        <v>5391</v>
      </c>
      <c r="C190" s="350" t="s">
        <v>8686</v>
      </c>
      <c r="D190" s="343" t="s">
        <v>8791</v>
      </c>
      <c r="E190" s="344" t="s">
        <v>6585</v>
      </c>
      <c r="F190" s="344" t="s">
        <v>6919</v>
      </c>
      <c r="G190" s="344" t="s">
        <v>6920</v>
      </c>
      <c r="H190" s="345">
        <v>0.75</v>
      </c>
      <c r="I190" s="344" t="s">
        <v>7801</v>
      </c>
      <c r="J190" s="344" t="s">
        <v>7312</v>
      </c>
      <c r="K190" s="349" t="s">
        <v>8692</v>
      </c>
      <c r="L190" s="349" t="s">
        <v>8693</v>
      </c>
      <c r="M190" s="359" t="s">
        <v>8280</v>
      </c>
      <c r="N190" s="359" t="s">
        <v>8440</v>
      </c>
      <c r="O190" s="359" t="s">
        <v>8574</v>
      </c>
      <c r="P190" s="350" t="s">
        <v>8652</v>
      </c>
      <c r="Q190" s="343" t="s">
        <v>6500</v>
      </c>
      <c r="R190" s="343" t="s">
        <v>4</v>
      </c>
      <c r="S190" s="343" t="s">
        <v>6363</v>
      </c>
      <c r="T190" s="343" t="s">
        <v>6361</v>
      </c>
    </row>
    <row r="191" spans="1:20" ht="22" customHeight="1">
      <c r="A191" s="343" t="s">
        <v>6586</v>
      </c>
      <c r="B191" s="343" t="s">
        <v>5391</v>
      </c>
      <c r="C191" s="350" t="s">
        <v>8686</v>
      </c>
      <c r="D191" s="343" t="s">
        <v>8791</v>
      </c>
      <c r="E191" s="344" t="s">
        <v>6587</v>
      </c>
      <c r="F191" s="344" t="s">
        <v>6921</v>
      </c>
      <c r="G191" s="344" t="s">
        <v>6922</v>
      </c>
      <c r="H191" s="345">
        <v>0.75</v>
      </c>
      <c r="I191" s="344" t="s">
        <v>7801</v>
      </c>
      <c r="J191" s="344" t="s">
        <v>7313</v>
      </c>
      <c r="K191" s="349" t="s">
        <v>8692</v>
      </c>
      <c r="L191" s="349" t="s">
        <v>8693</v>
      </c>
      <c r="M191" s="359" t="s">
        <v>8280</v>
      </c>
      <c r="N191" s="359" t="s">
        <v>8440</v>
      </c>
      <c r="O191" s="359" t="s">
        <v>8574</v>
      </c>
      <c r="P191" s="350" t="s">
        <v>8652</v>
      </c>
      <c r="Q191" s="343" t="s">
        <v>6500</v>
      </c>
      <c r="R191" s="343" t="s">
        <v>4</v>
      </c>
      <c r="S191" s="343" t="s">
        <v>2614</v>
      </c>
      <c r="T191" s="343" t="s">
        <v>6364</v>
      </c>
    </row>
    <row r="192" spans="1:20" ht="22" customHeight="1">
      <c r="A192" s="343" t="s">
        <v>6588</v>
      </c>
      <c r="B192" s="343" t="s">
        <v>5391</v>
      </c>
      <c r="C192" s="350" t="s">
        <v>8686</v>
      </c>
      <c r="D192" s="343" t="s">
        <v>8791</v>
      </c>
      <c r="E192" s="344" t="s">
        <v>6589</v>
      </c>
      <c r="F192" s="344" t="s">
        <v>6923</v>
      </c>
      <c r="G192" s="344" t="s">
        <v>6924</v>
      </c>
      <c r="H192" s="345">
        <v>0.75</v>
      </c>
      <c r="I192" s="344" t="s">
        <v>7801</v>
      </c>
      <c r="J192" s="344" t="s">
        <v>7802</v>
      </c>
      <c r="K192" s="349" t="s">
        <v>8692</v>
      </c>
      <c r="L192" s="349" t="s">
        <v>8693</v>
      </c>
      <c r="M192" s="359" t="s">
        <v>8280</v>
      </c>
      <c r="N192" s="359" t="s">
        <v>8440</v>
      </c>
      <c r="O192" s="359" t="s">
        <v>8574</v>
      </c>
      <c r="P192" s="350" t="s">
        <v>8651</v>
      </c>
      <c r="Q192" s="343" t="s">
        <v>6500</v>
      </c>
      <c r="R192" s="343" t="s">
        <v>4</v>
      </c>
      <c r="S192" s="343" t="s">
        <v>2614</v>
      </c>
      <c r="T192" s="343" t="s">
        <v>6366</v>
      </c>
    </row>
    <row r="193" spans="1:20" ht="22" customHeight="1">
      <c r="A193" s="343" t="s">
        <v>6590</v>
      </c>
      <c r="B193" s="343" t="s">
        <v>5391</v>
      </c>
      <c r="C193" s="350" t="s">
        <v>8686</v>
      </c>
      <c r="D193" s="343" t="s">
        <v>8791</v>
      </c>
      <c r="E193" s="344" t="s">
        <v>6591</v>
      </c>
      <c r="F193" s="344" t="s">
        <v>6925</v>
      </c>
      <c r="G193" s="344" t="s">
        <v>6926</v>
      </c>
      <c r="H193" s="345">
        <v>0.75</v>
      </c>
      <c r="I193" s="344" t="s">
        <v>7801</v>
      </c>
      <c r="J193" s="344" t="s">
        <v>7314</v>
      </c>
      <c r="K193" s="349" t="s">
        <v>8692</v>
      </c>
      <c r="L193" s="349" t="s">
        <v>8693</v>
      </c>
      <c r="M193" s="359" t="s">
        <v>8280</v>
      </c>
      <c r="N193" s="359" t="s">
        <v>8440</v>
      </c>
      <c r="O193" s="359" t="s">
        <v>8574</v>
      </c>
      <c r="P193" s="350" t="s">
        <v>8652</v>
      </c>
      <c r="Q193" s="343" t="s">
        <v>6500</v>
      </c>
      <c r="R193" s="343" t="s">
        <v>4</v>
      </c>
      <c r="S193" s="343" t="s">
        <v>2497</v>
      </c>
      <c r="T193" s="343" t="s">
        <v>6368</v>
      </c>
    </row>
    <row r="194" spans="1:20" ht="22" customHeight="1">
      <c r="A194" s="343" t="s">
        <v>6592</v>
      </c>
      <c r="B194" s="343" t="s">
        <v>5391</v>
      </c>
      <c r="C194" s="350" t="s">
        <v>8686</v>
      </c>
      <c r="D194" s="343" t="s">
        <v>8791</v>
      </c>
      <c r="E194" s="344" t="s">
        <v>6593</v>
      </c>
      <c r="F194" s="344" t="s">
        <v>6927</v>
      </c>
      <c r="G194" s="344" t="s">
        <v>6928</v>
      </c>
      <c r="H194" s="345">
        <v>0.5</v>
      </c>
      <c r="I194" s="344" t="s">
        <v>7803</v>
      </c>
      <c r="J194" s="344" t="s">
        <v>7315</v>
      </c>
      <c r="K194" s="349" t="s">
        <v>8692</v>
      </c>
      <c r="L194" s="349" t="s">
        <v>8693</v>
      </c>
      <c r="M194" s="359" t="s">
        <v>8280</v>
      </c>
      <c r="N194" s="359" t="s">
        <v>8440</v>
      </c>
      <c r="O194" s="359" t="s">
        <v>8574</v>
      </c>
      <c r="P194" s="350" t="s">
        <v>8652</v>
      </c>
      <c r="Q194" s="343" t="s">
        <v>6500</v>
      </c>
      <c r="R194" s="343" t="s">
        <v>4</v>
      </c>
      <c r="S194" s="343" t="s">
        <v>2614</v>
      </c>
      <c r="T194" s="343" t="s">
        <v>6370</v>
      </c>
    </row>
    <row r="195" spans="1:20" ht="22" customHeight="1">
      <c r="A195" s="343" t="s">
        <v>6594</v>
      </c>
      <c r="B195" s="343" t="s">
        <v>5391</v>
      </c>
      <c r="C195" s="350" t="s">
        <v>8686</v>
      </c>
      <c r="D195" s="343" t="s">
        <v>8791</v>
      </c>
      <c r="E195" s="344" t="s">
        <v>6595</v>
      </c>
      <c r="F195" s="344" t="s">
        <v>6929</v>
      </c>
      <c r="G195" s="344" t="s">
        <v>6930</v>
      </c>
      <c r="H195" s="345">
        <v>0.5</v>
      </c>
      <c r="I195" s="344" t="s">
        <v>7803</v>
      </c>
      <c r="J195" s="344" t="s">
        <v>7316</v>
      </c>
      <c r="K195" s="349" t="s">
        <v>8692</v>
      </c>
      <c r="L195" s="349" t="s">
        <v>8693</v>
      </c>
      <c r="M195" s="359" t="s">
        <v>8280</v>
      </c>
      <c r="N195" s="359" t="s">
        <v>8440</v>
      </c>
      <c r="O195" s="359" t="s">
        <v>8574</v>
      </c>
      <c r="P195" s="350" t="s">
        <v>8653</v>
      </c>
      <c r="Q195" s="343" t="s">
        <v>6500</v>
      </c>
      <c r="R195" s="343" t="s">
        <v>4</v>
      </c>
      <c r="S195" s="343" t="s">
        <v>6375</v>
      </c>
      <c r="T195" s="343" t="s">
        <v>6373</v>
      </c>
    </row>
    <row r="196" spans="1:20" ht="22" customHeight="1">
      <c r="A196" s="343" t="s">
        <v>6596</v>
      </c>
      <c r="B196" s="343" t="s">
        <v>5391</v>
      </c>
      <c r="C196" s="350" t="s">
        <v>8686</v>
      </c>
      <c r="D196" s="343" t="s">
        <v>8792</v>
      </c>
      <c r="E196" s="344" t="s">
        <v>6597</v>
      </c>
      <c r="F196" s="344" t="s">
        <v>6931</v>
      </c>
      <c r="G196" s="344" t="s">
        <v>6932</v>
      </c>
      <c r="H196" s="345">
        <v>0.5</v>
      </c>
      <c r="I196" s="344" t="s">
        <v>7803</v>
      </c>
      <c r="J196" s="344" t="s">
        <v>7317</v>
      </c>
      <c r="K196" s="349" t="s">
        <v>8692</v>
      </c>
      <c r="L196" s="349" t="s">
        <v>8693</v>
      </c>
      <c r="M196" s="359" t="s">
        <v>8280</v>
      </c>
      <c r="N196" s="359" t="s">
        <v>8440</v>
      </c>
      <c r="O196" s="359" t="s">
        <v>8574</v>
      </c>
      <c r="P196" s="350" t="s">
        <v>8651</v>
      </c>
      <c r="Q196" s="343" t="s">
        <v>6500</v>
      </c>
      <c r="R196" s="343" t="s">
        <v>4</v>
      </c>
      <c r="S196" s="343" t="s">
        <v>2614</v>
      </c>
      <c r="T196" s="343" t="s">
        <v>6376</v>
      </c>
    </row>
    <row r="197" spans="1:20" ht="22" customHeight="1">
      <c r="A197" s="343" t="s">
        <v>6598</v>
      </c>
      <c r="B197" s="343" t="s">
        <v>5391</v>
      </c>
      <c r="C197" s="350" t="s">
        <v>8686</v>
      </c>
      <c r="D197" s="343" t="s">
        <v>8791</v>
      </c>
      <c r="E197" s="344" t="s">
        <v>6599</v>
      </c>
      <c r="F197" s="344" t="s">
        <v>6933</v>
      </c>
      <c r="G197" s="344" t="s">
        <v>6934</v>
      </c>
      <c r="H197" s="345">
        <v>0.5</v>
      </c>
      <c r="I197" s="344" t="s">
        <v>7803</v>
      </c>
      <c r="J197" s="344" t="s">
        <v>7318</v>
      </c>
      <c r="K197" s="349" t="s">
        <v>8692</v>
      </c>
      <c r="L197" s="349" t="s">
        <v>8693</v>
      </c>
      <c r="M197" s="359" t="s">
        <v>8280</v>
      </c>
      <c r="N197" s="359" t="s">
        <v>8297</v>
      </c>
      <c r="O197" s="359" t="s">
        <v>8574</v>
      </c>
      <c r="P197" s="350" t="s">
        <v>8651</v>
      </c>
      <c r="Q197" s="343" t="s">
        <v>6500</v>
      </c>
      <c r="R197" s="343" t="s">
        <v>4</v>
      </c>
      <c r="S197" s="343" t="s">
        <v>6380</v>
      </c>
      <c r="T197" s="343" t="s">
        <v>6378</v>
      </c>
    </row>
    <row r="198" spans="1:20" ht="22" customHeight="1">
      <c r="A198" s="343" t="s">
        <v>6600</v>
      </c>
      <c r="B198" s="343" t="s">
        <v>5391</v>
      </c>
      <c r="C198" s="350" t="s">
        <v>8686</v>
      </c>
      <c r="D198" s="343" t="s">
        <v>2909</v>
      </c>
      <c r="E198" s="344" t="s">
        <v>7572</v>
      </c>
      <c r="F198" s="344" t="s">
        <v>6935</v>
      </c>
      <c r="G198" s="344" t="s">
        <v>6936</v>
      </c>
      <c r="H198" s="345">
        <v>1</v>
      </c>
      <c r="I198" s="344" t="s">
        <v>7804</v>
      </c>
      <c r="J198" s="344" t="s">
        <v>7319</v>
      </c>
      <c r="K198" s="349" t="s">
        <v>8693</v>
      </c>
      <c r="L198" s="349" t="s">
        <v>8693</v>
      </c>
      <c r="M198" s="359" t="s">
        <v>8288</v>
      </c>
      <c r="N198" s="359" t="s">
        <v>8324</v>
      </c>
      <c r="O198" s="359" t="s">
        <v>8574</v>
      </c>
      <c r="P198" s="350" t="s">
        <v>8653</v>
      </c>
      <c r="Q198" s="343" t="s">
        <v>6500</v>
      </c>
      <c r="R198" s="343" t="s">
        <v>4</v>
      </c>
      <c r="S198" s="343" t="s">
        <v>6383</v>
      </c>
      <c r="T198" s="343" t="s">
        <v>6381</v>
      </c>
    </row>
    <row r="199" spans="1:20" ht="22" customHeight="1">
      <c r="A199" s="343" t="s">
        <v>6601</v>
      </c>
      <c r="B199" s="343" t="s">
        <v>5391</v>
      </c>
      <c r="C199" s="350" t="s">
        <v>8686</v>
      </c>
      <c r="D199" s="343" t="s">
        <v>2909</v>
      </c>
      <c r="E199" s="344" t="s">
        <v>6602</v>
      </c>
      <c r="F199" s="344" t="s">
        <v>6937</v>
      </c>
      <c r="G199" s="344" t="s">
        <v>6938</v>
      </c>
      <c r="H199" s="345">
        <v>0.75</v>
      </c>
      <c r="I199" s="344" t="s">
        <v>7804</v>
      </c>
      <c r="J199" s="344" t="s">
        <v>7320</v>
      </c>
      <c r="K199" s="349" t="s">
        <v>8693</v>
      </c>
      <c r="L199" s="349" t="s">
        <v>8693</v>
      </c>
      <c r="M199" s="359" t="s">
        <v>8288</v>
      </c>
      <c r="N199" s="359" t="s">
        <v>8324</v>
      </c>
      <c r="O199" s="359" t="s">
        <v>8574</v>
      </c>
      <c r="P199" s="350" t="s">
        <v>8653</v>
      </c>
      <c r="Q199" s="343" t="s">
        <v>6500</v>
      </c>
      <c r="R199" s="343" t="s">
        <v>4</v>
      </c>
      <c r="S199" s="343" t="s">
        <v>6387</v>
      </c>
      <c r="T199" s="343" t="s">
        <v>6385</v>
      </c>
    </row>
    <row r="200" spans="1:20" ht="22" customHeight="1">
      <c r="A200" s="343" t="s">
        <v>6603</v>
      </c>
      <c r="B200" s="343" t="s">
        <v>5391</v>
      </c>
      <c r="C200" s="350" t="s">
        <v>8686</v>
      </c>
      <c r="D200" s="343" t="s">
        <v>2909</v>
      </c>
      <c r="E200" s="344" t="s">
        <v>6604</v>
      </c>
      <c r="F200" s="344" t="s">
        <v>6939</v>
      </c>
      <c r="G200" s="344" t="s">
        <v>6940</v>
      </c>
      <c r="H200" s="345">
        <v>0.5</v>
      </c>
      <c r="I200" s="344" t="s">
        <v>7805</v>
      </c>
      <c r="J200" s="344" t="s">
        <v>7321</v>
      </c>
      <c r="K200" s="349" t="s">
        <v>8693</v>
      </c>
      <c r="L200" s="349" t="s">
        <v>8693</v>
      </c>
      <c r="M200" s="359" t="s">
        <v>8281</v>
      </c>
      <c r="N200" s="359" t="s">
        <v>8325</v>
      </c>
      <c r="O200" s="359" t="s">
        <v>8574</v>
      </c>
      <c r="P200" s="350" t="s">
        <v>8653</v>
      </c>
      <c r="Q200" s="343" t="s">
        <v>6500</v>
      </c>
      <c r="R200" s="343" t="s">
        <v>4</v>
      </c>
      <c r="S200" s="343" t="s">
        <v>2614</v>
      </c>
      <c r="T200" s="343" t="s">
        <v>6388</v>
      </c>
    </row>
    <row r="201" spans="1:20" ht="22" customHeight="1">
      <c r="A201" s="343" t="s">
        <v>6605</v>
      </c>
      <c r="B201" s="343" t="s">
        <v>5391</v>
      </c>
      <c r="C201" s="350" t="s">
        <v>8686</v>
      </c>
      <c r="D201" s="343" t="s">
        <v>8793</v>
      </c>
      <c r="E201" s="344" t="s">
        <v>6606</v>
      </c>
      <c r="F201" s="344" t="s">
        <v>7807</v>
      </c>
      <c r="G201" s="344" t="s">
        <v>6941</v>
      </c>
      <c r="H201" s="345">
        <v>0.5</v>
      </c>
      <c r="I201" s="344" t="s">
        <v>7805</v>
      </c>
      <c r="J201" s="344" t="s">
        <v>7806</v>
      </c>
      <c r="K201" s="349" t="s">
        <v>8692</v>
      </c>
      <c r="L201" s="349" t="s">
        <v>8692</v>
      </c>
      <c r="M201" s="359" t="s">
        <v>8280</v>
      </c>
      <c r="N201" s="359" t="s">
        <v>8326</v>
      </c>
      <c r="O201" s="359" t="s">
        <v>8574</v>
      </c>
      <c r="P201" s="350" t="s">
        <v>8653</v>
      </c>
      <c r="Q201" s="343" t="s">
        <v>6500</v>
      </c>
      <c r="R201" s="343" t="s">
        <v>4</v>
      </c>
      <c r="S201" s="343" t="s">
        <v>886</v>
      </c>
      <c r="T201" s="343" t="s">
        <v>6390</v>
      </c>
    </row>
    <row r="202" spans="1:20" ht="22" customHeight="1">
      <c r="A202" s="343" t="s">
        <v>6607</v>
      </c>
      <c r="B202" s="343" t="s">
        <v>5391</v>
      </c>
      <c r="C202" s="350" t="s">
        <v>8686</v>
      </c>
      <c r="D202" s="343" t="s">
        <v>8793</v>
      </c>
      <c r="E202" s="344" t="s">
        <v>6608</v>
      </c>
      <c r="F202" s="344" t="s">
        <v>7809</v>
      </c>
      <c r="G202" s="344" t="s">
        <v>6942</v>
      </c>
      <c r="H202" s="345">
        <v>0.5</v>
      </c>
      <c r="I202" s="344" t="s">
        <v>7805</v>
      </c>
      <c r="J202" s="344" t="s">
        <v>7808</v>
      </c>
      <c r="K202" s="349" t="s">
        <v>8692</v>
      </c>
      <c r="L202" s="349" t="s">
        <v>8692</v>
      </c>
      <c r="M202" s="359" t="s">
        <v>8287</v>
      </c>
      <c r="N202" s="359" t="s">
        <v>8300</v>
      </c>
      <c r="O202" s="359" t="s">
        <v>8574</v>
      </c>
      <c r="P202" s="350" t="s">
        <v>8653</v>
      </c>
      <c r="Q202" s="343" t="s">
        <v>6500</v>
      </c>
      <c r="R202" s="343" t="s">
        <v>4</v>
      </c>
      <c r="S202" s="343" t="s">
        <v>886</v>
      </c>
      <c r="T202" s="343" t="s">
        <v>6393</v>
      </c>
    </row>
    <row r="203" spans="1:20" ht="22" customHeight="1">
      <c r="A203" s="343" t="s">
        <v>6609</v>
      </c>
      <c r="B203" s="343" t="s">
        <v>5391</v>
      </c>
      <c r="C203" s="350" t="s">
        <v>8686</v>
      </c>
      <c r="D203" s="343" t="s">
        <v>8793</v>
      </c>
      <c r="E203" s="344" t="s">
        <v>6610</v>
      </c>
      <c r="F203" s="344" t="s">
        <v>6943</v>
      </c>
      <c r="G203" s="344" t="s">
        <v>6944</v>
      </c>
      <c r="H203" s="345">
        <v>0.75</v>
      </c>
      <c r="I203" s="344" t="s">
        <v>7810</v>
      </c>
      <c r="J203" s="344" t="s">
        <v>7322</v>
      </c>
      <c r="K203" s="349" t="s">
        <v>8692</v>
      </c>
      <c r="L203" s="349" t="s">
        <v>8692</v>
      </c>
      <c r="M203" s="359" t="s">
        <v>8280</v>
      </c>
      <c r="N203" s="359" t="s">
        <v>8326</v>
      </c>
      <c r="O203" s="359" t="s">
        <v>8574</v>
      </c>
      <c r="P203" s="350" t="s">
        <v>8653</v>
      </c>
      <c r="Q203" s="343" t="s">
        <v>6500</v>
      </c>
      <c r="R203" s="343" t="s">
        <v>4</v>
      </c>
      <c r="S203" s="343" t="s">
        <v>1211</v>
      </c>
      <c r="T203" s="343" t="s">
        <v>6395</v>
      </c>
    </row>
    <row r="204" spans="1:20" ht="22" customHeight="1">
      <c r="A204" s="343" t="s">
        <v>6611</v>
      </c>
      <c r="B204" s="343" t="s">
        <v>5391</v>
      </c>
      <c r="C204" s="350" t="s">
        <v>8686</v>
      </c>
      <c r="D204" s="343" t="s">
        <v>8793</v>
      </c>
      <c r="E204" s="344" t="s">
        <v>6612</v>
      </c>
      <c r="F204" s="344" t="s">
        <v>6945</v>
      </c>
      <c r="G204" s="344" t="s">
        <v>6946</v>
      </c>
      <c r="H204" s="345">
        <v>0.5</v>
      </c>
      <c r="I204" s="344" t="s">
        <v>7810</v>
      </c>
      <c r="J204" s="344" t="s">
        <v>7323</v>
      </c>
      <c r="K204" s="349" t="s">
        <v>8692</v>
      </c>
      <c r="L204" s="349" t="s">
        <v>8692</v>
      </c>
      <c r="M204" s="359" t="s">
        <v>8280</v>
      </c>
      <c r="N204" s="359" t="s">
        <v>8326</v>
      </c>
      <c r="O204" s="359" t="s">
        <v>8574</v>
      </c>
      <c r="P204" s="350" t="s">
        <v>8653</v>
      </c>
      <c r="Q204" s="343" t="s">
        <v>6500</v>
      </c>
      <c r="R204" s="343" t="s">
        <v>4</v>
      </c>
      <c r="S204" s="343" t="s">
        <v>6399</v>
      </c>
      <c r="T204" s="343" t="s">
        <v>6397</v>
      </c>
    </row>
    <row r="205" spans="1:20" ht="22" customHeight="1">
      <c r="A205" s="343" t="s">
        <v>6613</v>
      </c>
      <c r="B205" s="343" t="s">
        <v>5391</v>
      </c>
      <c r="C205" s="350" t="s">
        <v>8686</v>
      </c>
      <c r="D205" s="343" t="s">
        <v>8793</v>
      </c>
      <c r="E205" s="344" t="s">
        <v>6614</v>
      </c>
      <c r="F205" s="344" t="s">
        <v>6947</v>
      </c>
      <c r="G205" s="344" t="s">
        <v>6948</v>
      </c>
      <c r="H205" s="345">
        <v>0.5</v>
      </c>
      <c r="I205" s="344" t="s">
        <v>7811</v>
      </c>
      <c r="J205" s="344" t="s">
        <v>7324</v>
      </c>
      <c r="K205" s="349" t="s">
        <v>8695</v>
      </c>
      <c r="L205" s="349" t="s">
        <v>8695</v>
      </c>
      <c r="M205" s="359" t="s">
        <v>8287</v>
      </c>
      <c r="N205" s="359" t="s">
        <v>8327</v>
      </c>
      <c r="O205" s="359" t="s">
        <v>8574</v>
      </c>
      <c r="P205" s="350" t="s">
        <v>8651</v>
      </c>
      <c r="Q205" s="343" t="s">
        <v>6500</v>
      </c>
      <c r="R205" s="343" t="s">
        <v>4</v>
      </c>
      <c r="S205" s="343" t="s">
        <v>6402</v>
      </c>
      <c r="T205" s="343" t="s">
        <v>6400</v>
      </c>
    </row>
    <row r="206" spans="1:20" ht="22" customHeight="1">
      <c r="A206" s="343" t="s">
        <v>6615</v>
      </c>
      <c r="B206" s="343" t="s">
        <v>5391</v>
      </c>
      <c r="C206" s="350" t="s">
        <v>8686</v>
      </c>
      <c r="D206" s="343" t="s">
        <v>8793</v>
      </c>
      <c r="E206" s="344" t="s">
        <v>6616</v>
      </c>
      <c r="F206" s="344" t="s">
        <v>7813</v>
      </c>
      <c r="G206" s="344" t="s">
        <v>6949</v>
      </c>
      <c r="H206" s="345">
        <v>0.5</v>
      </c>
      <c r="I206" s="344" t="s">
        <v>7804</v>
      </c>
      <c r="J206" s="344" t="s">
        <v>7812</v>
      </c>
      <c r="K206" s="349" t="s">
        <v>8693</v>
      </c>
      <c r="L206" s="349" t="s">
        <v>8693</v>
      </c>
      <c r="M206" s="359" t="s">
        <v>8288</v>
      </c>
      <c r="N206" s="359" t="s">
        <v>8328</v>
      </c>
      <c r="O206" s="359" t="s">
        <v>8574</v>
      </c>
      <c r="P206" s="350" t="s">
        <v>8653</v>
      </c>
      <c r="Q206" s="343" t="s">
        <v>6500</v>
      </c>
      <c r="R206" s="343" t="s">
        <v>4</v>
      </c>
      <c r="S206" s="343" t="s">
        <v>1439</v>
      </c>
      <c r="T206" s="343" t="s">
        <v>6404</v>
      </c>
    </row>
    <row r="207" spans="1:20" ht="22" customHeight="1">
      <c r="A207" s="343" t="s">
        <v>6617</v>
      </c>
      <c r="B207" s="343" t="s">
        <v>5391</v>
      </c>
      <c r="C207" s="350" t="s">
        <v>8686</v>
      </c>
      <c r="D207" s="343" t="s">
        <v>8794</v>
      </c>
      <c r="E207" s="344" t="s">
        <v>6618</v>
      </c>
      <c r="F207" s="344" t="s">
        <v>6950</v>
      </c>
      <c r="G207" s="344" t="s">
        <v>6951</v>
      </c>
      <c r="H207" s="345">
        <v>0.5</v>
      </c>
      <c r="I207" s="344" t="s">
        <v>7811</v>
      </c>
      <c r="J207" s="344" t="s">
        <v>7267</v>
      </c>
      <c r="K207" s="349" t="s">
        <v>8692</v>
      </c>
      <c r="L207" s="349" t="s">
        <v>8695</v>
      </c>
      <c r="M207" s="359" t="s">
        <v>8280</v>
      </c>
      <c r="N207" s="359" t="s">
        <v>8440</v>
      </c>
      <c r="O207" s="359" t="s">
        <v>8574</v>
      </c>
      <c r="P207" s="350" t="s">
        <v>8653</v>
      </c>
      <c r="Q207" s="343" t="s">
        <v>6500</v>
      </c>
      <c r="R207" s="343" t="s">
        <v>4</v>
      </c>
      <c r="S207" s="343" t="s">
        <v>6408</v>
      </c>
      <c r="T207" s="343" t="s">
        <v>6406</v>
      </c>
    </row>
    <row r="208" spans="1:20" ht="22" customHeight="1">
      <c r="A208" s="343" t="s">
        <v>6619</v>
      </c>
      <c r="B208" s="343" t="s">
        <v>5391</v>
      </c>
      <c r="C208" s="350" t="s">
        <v>8686</v>
      </c>
      <c r="D208" s="343" t="s">
        <v>8794</v>
      </c>
      <c r="E208" s="344" t="s">
        <v>6620</v>
      </c>
      <c r="F208" s="344" t="s">
        <v>6952</v>
      </c>
      <c r="G208" s="344" t="s">
        <v>6953</v>
      </c>
      <c r="H208" s="345">
        <v>0.5</v>
      </c>
      <c r="I208" s="344" t="s">
        <v>7811</v>
      </c>
      <c r="J208" s="344" t="s">
        <v>7268</v>
      </c>
      <c r="K208" s="349" t="s">
        <v>8692</v>
      </c>
      <c r="L208" s="349" t="s">
        <v>8695</v>
      </c>
      <c r="M208" s="359" t="s">
        <v>8280</v>
      </c>
      <c r="N208" s="359" t="s">
        <v>8440</v>
      </c>
      <c r="O208" s="359" t="s">
        <v>8574</v>
      </c>
      <c r="P208" s="350" t="s">
        <v>8653</v>
      </c>
      <c r="Q208" s="343" t="s">
        <v>6500</v>
      </c>
      <c r="R208" s="343" t="s">
        <v>4</v>
      </c>
      <c r="S208" s="343" t="s">
        <v>6411</v>
      </c>
      <c r="T208" s="343" t="s">
        <v>6409</v>
      </c>
    </row>
    <row r="209" spans="1:20" ht="22" customHeight="1">
      <c r="A209" s="343" t="s">
        <v>6621</v>
      </c>
      <c r="B209" s="343" t="s">
        <v>5391</v>
      </c>
      <c r="C209" s="350" t="s">
        <v>8686</v>
      </c>
      <c r="D209" s="343" t="s">
        <v>8795</v>
      </c>
      <c r="E209" s="344" t="s">
        <v>6622</v>
      </c>
      <c r="F209" s="344" t="s">
        <v>6954</v>
      </c>
      <c r="G209" s="344" t="s">
        <v>6955</v>
      </c>
      <c r="H209" s="345">
        <v>0.5</v>
      </c>
      <c r="I209" s="344" t="s">
        <v>7811</v>
      </c>
      <c r="J209" s="344" t="s">
        <v>7325</v>
      </c>
      <c r="K209" s="349" t="s">
        <v>8693</v>
      </c>
      <c r="L209" s="349" t="s">
        <v>8693</v>
      </c>
      <c r="M209" s="359" t="s">
        <v>8283</v>
      </c>
      <c r="N209" s="359" t="s">
        <v>8310</v>
      </c>
      <c r="O209" s="359" t="s">
        <v>8574</v>
      </c>
      <c r="P209" s="350" t="s">
        <v>8653</v>
      </c>
      <c r="Q209" s="343" t="s">
        <v>6500</v>
      </c>
      <c r="R209" s="343" t="s">
        <v>4</v>
      </c>
      <c r="S209" s="343" t="s">
        <v>1437</v>
      </c>
      <c r="T209" s="343" t="s">
        <v>6412</v>
      </c>
    </row>
    <row r="210" spans="1:20" ht="22" customHeight="1">
      <c r="A210" s="343" t="s">
        <v>6623</v>
      </c>
      <c r="B210" s="343" t="s">
        <v>5391</v>
      </c>
      <c r="C210" s="350" t="s">
        <v>8686</v>
      </c>
      <c r="D210" s="343" t="s">
        <v>8796</v>
      </c>
      <c r="E210" s="344" t="s">
        <v>6624</v>
      </c>
      <c r="F210" s="344" t="s">
        <v>6956</v>
      </c>
      <c r="G210" s="344" t="s">
        <v>6957</v>
      </c>
      <c r="H210" s="345">
        <v>1</v>
      </c>
      <c r="I210" s="344" t="s">
        <v>7814</v>
      </c>
      <c r="J210" s="344" t="s">
        <v>7273</v>
      </c>
      <c r="K210" s="349" t="s">
        <v>8693</v>
      </c>
      <c r="L210" s="349" t="s">
        <v>8693</v>
      </c>
      <c r="M210" s="359" t="s">
        <v>8288</v>
      </c>
      <c r="N210" s="359" t="s">
        <v>8308</v>
      </c>
      <c r="O210" s="359" t="s">
        <v>8574</v>
      </c>
      <c r="P210" s="350" t="s">
        <v>8653</v>
      </c>
      <c r="Q210" s="343" t="s">
        <v>6500</v>
      </c>
      <c r="R210" s="343" t="s">
        <v>4</v>
      </c>
      <c r="S210" s="343" t="s">
        <v>6417</v>
      </c>
      <c r="T210" s="343" t="s">
        <v>6414</v>
      </c>
    </row>
    <row r="211" spans="1:20" ht="22" customHeight="1">
      <c r="A211" s="343" t="s">
        <v>6625</v>
      </c>
      <c r="B211" s="343" t="s">
        <v>5391</v>
      </c>
      <c r="C211" s="350" t="s">
        <v>8686</v>
      </c>
      <c r="D211" s="343" t="s">
        <v>8796</v>
      </c>
      <c r="E211" s="344" t="s">
        <v>6626</v>
      </c>
      <c r="F211" s="344" t="s">
        <v>6958</v>
      </c>
      <c r="G211" s="344" t="s">
        <v>6959</v>
      </c>
      <c r="H211" s="345">
        <v>0.5</v>
      </c>
      <c r="I211" s="344" t="s">
        <v>7814</v>
      </c>
      <c r="J211" s="344" t="s">
        <v>7326</v>
      </c>
      <c r="K211" s="349" t="s">
        <v>8693</v>
      </c>
      <c r="L211" s="349" t="s">
        <v>8693</v>
      </c>
      <c r="M211" s="359" t="s">
        <v>8288</v>
      </c>
      <c r="N211" s="359" t="s">
        <v>8308</v>
      </c>
      <c r="O211" s="359" t="s">
        <v>8574</v>
      </c>
      <c r="P211" s="350" t="s">
        <v>8653</v>
      </c>
      <c r="Q211" s="343" t="s">
        <v>6500</v>
      </c>
      <c r="R211" s="343" t="s">
        <v>4</v>
      </c>
      <c r="S211" s="343" t="s">
        <v>1049</v>
      </c>
      <c r="T211" s="343" t="s">
        <v>6419</v>
      </c>
    </row>
    <row r="212" spans="1:20" ht="22" customHeight="1">
      <c r="A212" s="343" t="s">
        <v>6627</v>
      </c>
      <c r="B212" s="343" t="s">
        <v>5391</v>
      </c>
      <c r="C212" s="350" t="s">
        <v>8686</v>
      </c>
      <c r="D212" s="343" t="s">
        <v>8798</v>
      </c>
      <c r="E212" s="344" t="s">
        <v>7573</v>
      </c>
      <c r="F212" s="344" t="s">
        <v>6960</v>
      </c>
      <c r="G212" s="344" t="s">
        <v>6961</v>
      </c>
      <c r="H212" s="345">
        <v>0.75</v>
      </c>
      <c r="I212" s="344" t="s">
        <v>7815</v>
      </c>
      <c r="J212" s="344" t="s">
        <v>7327</v>
      </c>
      <c r="K212" s="349" t="s">
        <v>8693</v>
      </c>
      <c r="L212" s="349" t="s">
        <v>8693</v>
      </c>
      <c r="M212" s="359" t="s">
        <v>8288</v>
      </c>
      <c r="N212" s="359" t="s">
        <v>8329</v>
      </c>
      <c r="O212" s="359" t="s">
        <v>8574</v>
      </c>
      <c r="P212" s="350" t="s">
        <v>8653</v>
      </c>
      <c r="Q212" s="343" t="s">
        <v>6500</v>
      </c>
      <c r="R212" s="343" t="s">
        <v>4</v>
      </c>
      <c r="S212" s="343" t="s">
        <v>913</v>
      </c>
      <c r="T212" s="343" t="s">
        <v>6421</v>
      </c>
    </row>
    <row r="213" spans="1:20" ht="22" customHeight="1">
      <c r="A213" s="343" t="s">
        <v>6628</v>
      </c>
      <c r="B213" s="343" t="s">
        <v>5391</v>
      </c>
      <c r="C213" s="350" t="s">
        <v>8686</v>
      </c>
      <c r="D213" s="343" t="s">
        <v>8797</v>
      </c>
      <c r="E213" s="344" t="s">
        <v>6629</v>
      </c>
      <c r="F213" s="344" t="s">
        <v>6962</v>
      </c>
      <c r="G213" s="344" t="s">
        <v>6963</v>
      </c>
      <c r="H213" s="345">
        <v>0.5</v>
      </c>
      <c r="I213" s="344" t="s">
        <v>7815</v>
      </c>
      <c r="J213" s="344" t="s">
        <v>7328</v>
      </c>
      <c r="K213" s="349" t="s">
        <v>8693</v>
      </c>
      <c r="L213" s="349" t="s">
        <v>8693</v>
      </c>
      <c r="M213" s="359" t="s">
        <v>8288</v>
      </c>
      <c r="N213" s="359" t="s">
        <v>8329</v>
      </c>
      <c r="O213" s="359" t="s">
        <v>8574</v>
      </c>
      <c r="P213" s="350" t="s">
        <v>8653</v>
      </c>
      <c r="Q213" s="343" t="s">
        <v>6500</v>
      </c>
      <c r="R213" s="343" t="s">
        <v>4</v>
      </c>
      <c r="S213" s="343" t="s">
        <v>6425</v>
      </c>
      <c r="T213" s="343" t="s">
        <v>6423</v>
      </c>
    </row>
    <row r="214" spans="1:20" ht="22" customHeight="1">
      <c r="A214" s="343" t="s">
        <v>6630</v>
      </c>
      <c r="B214" s="343" t="s">
        <v>5391</v>
      </c>
      <c r="C214" s="350" t="s">
        <v>8686</v>
      </c>
      <c r="D214" s="343" t="s">
        <v>8799</v>
      </c>
      <c r="E214" s="344" t="s">
        <v>6631</v>
      </c>
      <c r="F214" s="344" t="s">
        <v>6964</v>
      </c>
      <c r="G214" s="344" t="s">
        <v>6965</v>
      </c>
      <c r="H214" s="345">
        <v>0.75</v>
      </c>
      <c r="I214" s="344" t="s">
        <v>7816</v>
      </c>
      <c r="J214" s="344" t="s">
        <v>7265</v>
      </c>
      <c r="K214" s="349" t="s">
        <v>8692</v>
      </c>
      <c r="L214" s="349" t="s">
        <v>8693</v>
      </c>
      <c r="M214" s="359" t="s">
        <v>8284</v>
      </c>
      <c r="N214" s="359" t="s">
        <v>8299</v>
      </c>
      <c r="O214" s="359" t="s">
        <v>8574</v>
      </c>
      <c r="P214" s="350" t="s">
        <v>8653</v>
      </c>
      <c r="Q214" s="343" t="s">
        <v>6500</v>
      </c>
      <c r="R214" s="343" t="s">
        <v>4</v>
      </c>
      <c r="S214" s="343" t="s">
        <v>6428</v>
      </c>
      <c r="T214" s="343" t="s">
        <v>6426</v>
      </c>
    </row>
    <row r="215" spans="1:20" ht="22" customHeight="1">
      <c r="A215" s="343" t="s">
        <v>6632</v>
      </c>
      <c r="B215" s="343" t="s">
        <v>5391</v>
      </c>
      <c r="C215" s="350" t="s">
        <v>8686</v>
      </c>
      <c r="D215" s="343" t="s">
        <v>8800</v>
      </c>
      <c r="E215" s="344" t="s">
        <v>6633</v>
      </c>
      <c r="F215" s="344" t="s">
        <v>6966</v>
      </c>
      <c r="G215" s="344" t="s">
        <v>6967</v>
      </c>
      <c r="H215" s="345">
        <v>0.75</v>
      </c>
      <c r="I215" s="344" t="s">
        <v>7816</v>
      </c>
      <c r="J215" s="344" t="s">
        <v>7329</v>
      </c>
      <c r="K215" s="349" t="s">
        <v>8693</v>
      </c>
      <c r="L215" s="349" t="s">
        <v>8693</v>
      </c>
      <c r="M215" s="359" t="s">
        <v>8284</v>
      </c>
      <c r="N215" s="359" t="s">
        <v>8299</v>
      </c>
      <c r="O215" s="359" t="s">
        <v>8574</v>
      </c>
      <c r="P215" s="350" t="s">
        <v>8653</v>
      </c>
      <c r="Q215" s="343" t="s">
        <v>6500</v>
      </c>
      <c r="R215" s="343" t="s">
        <v>4</v>
      </c>
      <c r="S215" s="343" t="s">
        <v>2614</v>
      </c>
      <c r="T215" s="343" t="s">
        <v>6430</v>
      </c>
    </row>
    <row r="216" spans="1:20" ht="22" customHeight="1">
      <c r="A216" s="343" t="s">
        <v>6634</v>
      </c>
      <c r="B216" s="343" t="s">
        <v>5391</v>
      </c>
      <c r="C216" s="350" t="s">
        <v>8686</v>
      </c>
      <c r="D216" s="343" t="s">
        <v>8801</v>
      </c>
      <c r="E216" s="344" t="s">
        <v>6635</v>
      </c>
      <c r="F216" s="344" t="s">
        <v>7819</v>
      </c>
      <c r="G216" s="344" t="s">
        <v>6968</v>
      </c>
      <c r="H216" s="345">
        <v>0.5</v>
      </c>
      <c r="I216" s="344" t="s">
        <v>7817</v>
      </c>
      <c r="J216" s="344" t="s">
        <v>7818</v>
      </c>
      <c r="K216" s="349" t="s">
        <v>8695</v>
      </c>
      <c r="L216" s="349" t="s">
        <v>8695</v>
      </c>
      <c r="M216" s="359" t="s">
        <v>8284</v>
      </c>
      <c r="N216" s="359" t="s">
        <v>8306</v>
      </c>
      <c r="O216" s="359" t="s">
        <v>8574</v>
      </c>
      <c r="P216" s="350" t="s">
        <v>8651</v>
      </c>
      <c r="Q216" s="343" t="s">
        <v>6500</v>
      </c>
      <c r="R216" s="343" t="s">
        <v>4</v>
      </c>
      <c r="S216" s="343" t="s">
        <v>6434</v>
      </c>
      <c r="T216" s="343" t="s">
        <v>6432</v>
      </c>
    </row>
    <row r="217" spans="1:20" ht="22" customHeight="1">
      <c r="A217" s="343" t="s">
        <v>6636</v>
      </c>
      <c r="B217" s="343" t="s">
        <v>5391</v>
      </c>
      <c r="C217" s="350" t="s">
        <v>8686</v>
      </c>
      <c r="D217" s="343" t="s">
        <v>8801</v>
      </c>
      <c r="E217" s="344" t="s">
        <v>6637</v>
      </c>
      <c r="F217" s="344" t="s">
        <v>7821</v>
      </c>
      <c r="G217" s="344" t="s">
        <v>6969</v>
      </c>
      <c r="H217" s="345">
        <v>0.5</v>
      </c>
      <c r="I217" s="344" t="s">
        <v>7817</v>
      </c>
      <c r="J217" s="344" t="s">
        <v>7820</v>
      </c>
      <c r="K217" s="349" t="s">
        <v>8695</v>
      </c>
      <c r="L217" s="349" t="s">
        <v>8695</v>
      </c>
      <c r="M217" s="359" t="s">
        <v>8283</v>
      </c>
      <c r="N217" s="359" t="s">
        <v>8310</v>
      </c>
      <c r="O217" s="359" t="s">
        <v>8574</v>
      </c>
      <c r="P217" s="350" t="s">
        <v>8653</v>
      </c>
      <c r="Q217" s="343" t="s">
        <v>6500</v>
      </c>
      <c r="R217" s="343" t="s">
        <v>4</v>
      </c>
      <c r="S217" s="343" t="s">
        <v>6437</v>
      </c>
      <c r="T217" s="343" t="s">
        <v>6435</v>
      </c>
    </row>
    <row r="218" spans="1:20" ht="22" customHeight="1">
      <c r="A218" s="343" t="s">
        <v>6638</v>
      </c>
      <c r="B218" s="343" t="s">
        <v>5391</v>
      </c>
      <c r="C218" s="350" t="s">
        <v>8686</v>
      </c>
      <c r="D218" s="343" t="s">
        <v>8802</v>
      </c>
      <c r="E218" s="344" t="s">
        <v>6639</v>
      </c>
      <c r="F218" s="344" t="s">
        <v>6970</v>
      </c>
      <c r="G218" s="344" t="s">
        <v>6971</v>
      </c>
      <c r="H218" s="345">
        <v>0.5</v>
      </c>
      <c r="I218" s="344" t="s">
        <v>7822</v>
      </c>
      <c r="J218" s="344" t="s">
        <v>7330</v>
      </c>
      <c r="K218" s="349" t="s">
        <v>8692</v>
      </c>
      <c r="L218" s="349" t="s">
        <v>8692</v>
      </c>
      <c r="M218" s="359" t="s">
        <v>8283</v>
      </c>
      <c r="N218" s="359" t="s">
        <v>8310</v>
      </c>
      <c r="O218" s="359" t="s">
        <v>8574</v>
      </c>
      <c r="P218" s="350" t="s">
        <v>8651</v>
      </c>
      <c r="Q218" s="343" t="s">
        <v>6500</v>
      </c>
      <c r="R218" s="343" t="s">
        <v>4</v>
      </c>
      <c r="S218" s="343" t="s">
        <v>1439</v>
      </c>
      <c r="T218" s="343" t="s">
        <v>6438</v>
      </c>
    </row>
    <row r="219" spans="1:20" ht="22" customHeight="1">
      <c r="A219" s="343" t="s">
        <v>6640</v>
      </c>
      <c r="B219" s="343" t="s">
        <v>5391</v>
      </c>
      <c r="C219" s="350" t="s">
        <v>8686</v>
      </c>
      <c r="D219" s="343" t="s">
        <v>8803</v>
      </c>
      <c r="E219" s="344" t="s">
        <v>6641</v>
      </c>
      <c r="F219" s="344" t="s">
        <v>6972</v>
      </c>
      <c r="G219" s="344" t="s">
        <v>6973</v>
      </c>
      <c r="H219" s="345">
        <v>2</v>
      </c>
      <c r="I219" s="344" t="s">
        <v>7823</v>
      </c>
      <c r="J219" s="344" t="s">
        <v>7272</v>
      </c>
      <c r="K219" s="349" t="s">
        <v>8695</v>
      </c>
      <c r="L219" s="349" t="s">
        <v>8695</v>
      </c>
      <c r="M219" s="359" t="s">
        <v>8283</v>
      </c>
      <c r="N219" s="359" t="s">
        <v>8307</v>
      </c>
      <c r="O219" s="359" t="s">
        <v>8574</v>
      </c>
      <c r="P219" s="350" t="s">
        <v>8653</v>
      </c>
      <c r="Q219" s="343" t="s">
        <v>6500</v>
      </c>
      <c r="R219" s="343" t="s">
        <v>4</v>
      </c>
      <c r="S219" s="343" t="s">
        <v>2578</v>
      </c>
      <c r="T219" s="343" t="s">
        <v>6440</v>
      </c>
    </row>
    <row r="220" spans="1:20" ht="22" customHeight="1">
      <c r="A220" s="343" t="s">
        <v>6642</v>
      </c>
      <c r="B220" s="343" t="s">
        <v>5391</v>
      </c>
      <c r="C220" s="350" t="s">
        <v>8686</v>
      </c>
      <c r="D220" s="343" t="s">
        <v>8803</v>
      </c>
      <c r="E220" s="344" t="s">
        <v>6643</v>
      </c>
      <c r="F220" s="344" t="s">
        <v>6974</v>
      </c>
      <c r="G220" s="344" t="s">
        <v>6975</v>
      </c>
      <c r="H220" s="345">
        <v>2</v>
      </c>
      <c r="I220" s="344" t="s">
        <v>7823</v>
      </c>
      <c r="J220" s="344" t="s">
        <v>7331</v>
      </c>
      <c r="K220" s="349" t="s">
        <v>8695</v>
      </c>
      <c r="L220" s="349" t="s">
        <v>8695</v>
      </c>
      <c r="M220" s="359" t="s">
        <v>8283</v>
      </c>
      <c r="N220" s="359" t="s">
        <v>8307</v>
      </c>
      <c r="O220" s="359" t="s">
        <v>8574</v>
      </c>
      <c r="P220" s="350" t="s">
        <v>8653</v>
      </c>
      <c r="Q220" s="343" t="s">
        <v>6500</v>
      </c>
      <c r="R220" s="343" t="s">
        <v>4</v>
      </c>
      <c r="S220" s="343" t="s">
        <v>6446</v>
      </c>
      <c r="T220" s="343" t="s">
        <v>6444</v>
      </c>
    </row>
    <row r="221" spans="1:20" ht="22" customHeight="1">
      <c r="A221" s="343" t="s">
        <v>6644</v>
      </c>
      <c r="B221" s="343" t="s">
        <v>5391</v>
      </c>
      <c r="C221" s="350" t="s">
        <v>8686</v>
      </c>
      <c r="D221" s="343" t="s">
        <v>8803</v>
      </c>
      <c r="E221" s="344" t="s">
        <v>6645</v>
      </c>
      <c r="F221" s="344" t="s">
        <v>6976</v>
      </c>
      <c r="G221" s="344" t="s">
        <v>6977</v>
      </c>
      <c r="H221" s="345">
        <v>1</v>
      </c>
      <c r="I221" s="344" t="s">
        <v>7823</v>
      </c>
      <c r="J221" s="344" t="s">
        <v>7332</v>
      </c>
      <c r="K221" s="349" t="s">
        <v>8695</v>
      </c>
      <c r="L221" s="349" t="s">
        <v>8695</v>
      </c>
      <c r="M221" s="359" t="s">
        <v>8283</v>
      </c>
      <c r="N221" s="359" t="s">
        <v>8307</v>
      </c>
      <c r="O221" s="359" t="s">
        <v>8574</v>
      </c>
      <c r="P221" s="350" t="s">
        <v>8653</v>
      </c>
      <c r="Q221" s="343" t="s">
        <v>6500</v>
      </c>
      <c r="R221" s="343" t="s">
        <v>4</v>
      </c>
      <c r="S221" s="343" t="s">
        <v>2516</v>
      </c>
      <c r="T221" s="343" t="s">
        <v>6447</v>
      </c>
    </row>
    <row r="222" spans="1:20" ht="22" customHeight="1">
      <c r="A222" s="343" t="s">
        <v>6646</v>
      </c>
      <c r="B222" s="343" t="s">
        <v>5391</v>
      </c>
      <c r="C222" s="350" t="s">
        <v>8686</v>
      </c>
      <c r="D222" s="343" t="s">
        <v>8804</v>
      </c>
      <c r="E222" s="344" t="s">
        <v>6647</v>
      </c>
      <c r="F222" s="344" t="s">
        <v>6978</v>
      </c>
      <c r="G222" s="344" t="s">
        <v>6979</v>
      </c>
      <c r="H222" s="345">
        <v>1</v>
      </c>
      <c r="I222" s="344" t="s">
        <v>7824</v>
      </c>
      <c r="J222" s="344" t="s">
        <v>7275</v>
      </c>
      <c r="K222" s="349" t="s">
        <v>8692</v>
      </c>
      <c r="L222" s="349" t="s">
        <v>8693</v>
      </c>
      <c r="M222" s="359" t="s">
        <v>8281</v>
      </c>
      <c r="N222" s="359" t="s">
        <v>8311</v>
      </c>
      <c r="O222" s="359" t="s">
        <v>8574</v>
      </c>
      <c r="P222" s="350" t="s">
        <v>8653</v>
      </c>
      <c r="Q222" s="343" t="s">
        <v>6500</v>
      </c>
      <c r="R222" s="343" t="s">
        <v>4</v>
      </c>
      <c r="S222" s="343" t="s">
        <v>1254</v>
      </c>
      <c r="T222" s="343" t="s">
        <v>6449</v>
      </c>
    </row>
    <row r="223" spans="1:20" ht="22" customHeight="1">
      <c r="A223" s="343" t="s">
        <v>6648</v>
      </c>
      <c r="B223" s="343" t="s">
        <v>5391</v>
      </c>
      <c r="C223" s="350" t="s">
        <v>8686</v>
      </c>
      <c r="D223" s="343" t="s">
        <v>8804</v>
      </c>
      <c r="E223" s="344" t="s">
        <v>6649</v>
      </c>
      <c r="F223" s="344" t="s">
        <v>7827</v>
      </c>
      <c r="G223" s="344" t="s">
        <v>6980</v>
      </c>
      <c r="H223" s="345">
        <v>1</v>
      </c>
      <c r="I223" s="344" t="s">
        <v>7825</v>
      </c>
      <c r="J223" s="344" t="s">
        <v>7826</v>
      </c>
      <c r="K223" s="349" t="s">
        <v>8692</v>
      </c>
      <c r="L223" s="349" t="s">
        <v>8693</v>
      </c>
      <c r="M223" s="359" t="s">
        <v>8598</v>
      </c>
      <c r="N223" s="359" t="s">
        <v>8601</v>
      </c>
      <c r="O223" s="359" t="s">
        <v>8688</v>
      </c>
      <c r="P223" s="350" t="s">
        <v>8653</v>
      </c>
      <c r="Q223" s="343" t="s">
        <v>6500</v>
      </c>
      <c r="R223" s="343" t="s">
        <v>4</v>
      </c>
      <c r="S223" s="343" t="s">
        <v>2497</v>
      </c>
      <c r="T223" s="343" t="s">
        <v>6452</v>
      </c>
    </row>
    <row r="224" spans="1:20" ht="22" customHeight="1">
      <c r="A224" s="343" t="s">
        <v>6650</v>
      </c>
      <c r="B224" s="343" t="s">
        <v>5391</v>
      </c>
      <c r="C224" s="350" t="s">
        <v>8686</v>
      </c>
      <c r="D224" s="343" t="s">
        <v>8804</v>
      </c>
      <c r="E224" s="344" t="s">
        <v>6651</v>
      </c>
      <c r="F224" s="344" t="s">
        <v>6981</v>
      </c>
      <c r="G224" s="344" t="s">
        <v>6982</v>
      </c>
      <c r="H224" s="345">
        <v>1</v>
      </c>
      <c r="I224" s="344" t="s">
        <v>7825</v>
      </c>
      <c r="J224" s="344" t="s">
        <v>7333</v>
      </c>
      <c r="K224" s="349" t="s">
        <v>8692</v>
      </c>
      <c r="L224" s="349" t="s">
        <v>8693</v>
      </c>
      <c r="M224" s="359" t="s">
        <v>8598</v>
      </c>
      <c r="N224" s="359" t="s">
        <v>8677</v>
      </c>
      <c r="O224" s="359" t="s">
        <v>8688</v>
      </c>
      <c r="P224" s="350" t="s">
        <v>8653</v>
      </c>
      <c r="Q224" s="343" t="s">
        <v>6500</v>
      </c>
      <c r="R224" s="343" t="s">
        <v>4</v>
      </c>
      <c r="S224" s="343" t="s">
        <v>2685</v>
      </c>
      <c r="T224" s="343" t="s">
        <v>6454</v>
      </c>
    </row>
    <row r="225" spans="1:20" ht="22" customHeight="1">
      <c r="A225" s="343" t="s">
        <v>6652</v>
      </c>
      <c r="B225" s="343" t="s">
        <v>5391</v>
      </c>
      <c r="C225" s="350" t="s">
        <v>8686</v>
      </c>
      <c r="D225" s="343" t="s">
        <v>8805</v>
      </c>
      <c r="E225" s="344" t="s">
        <v>6653</v>
      </c>
      <c r="F225" s="344" t="s">
        <v>6983</v>
      </c>
      <c r="G225" s="344" t="s">
        <v>6984</v>
      </c>
      <c r="H225" s="345">
        <v>0.5</v>
      </c>
      <c r="I225" s="344" t="s">
        <v>7824</v>
      </c>
      <c r="J225" s="344" t="s">
        <v>7334</v>
      </c>
      <c r="K225" s="349" t="s">
        <v>8692</v>
      </c>
      <c r="L225" s="349" t="s">
        <v>8692</v>
      </c>
      <c r="M225" s="359" t="s">
        <v>8282</v>
      </c>
      <c r="N225" s="359" t="s">
        <v>8330</v>
      </c>
      <c r="O225" s="359" t="s">
        <v>8574</v>
      </c>
      <c r="P225" s="350" t="s">
        <v>8651</v>
      </c>
      <c r="Q225" s="343" t="s">
        <v>6500</v>
      </c>
      <c r="R225" s="343" t="s">
        <v>4</v>
      </c>
      <c r="S225" s="343" t="s">
        <v>6458</v>
      </c>
      <c r="T225" s="343" t="s">
        <v>6456</v>
      </c>
    </row>
    <row r="226" spans="1:20" ht="22" customHeight="1">
      <c r="A226" s="343" t="s">
        <v>6654</v>
      </c>
      <c r="B226" s="343" t="s">
        <v>5391</v>
      </c>
      <c r="C226" s="350" t="s">
        <v>8686</v>
      </c>
      <c r="D226" s="343" t="s">
        <v>8805</v>
      </c>
      <c r="E226" s="344" t="s">
        <v>7574</v>
      </c>
      <c r="F226" s="344" t="s">
        <v>6985</v>
      </c>
      <c r="G226" s="344" t="s">
        <v>6986</v>
      </c>
      <c r="H226" s="345">
        <v>1</v>
      </c>
      <c r="I226" s="344" t="s">
        <v>7828</v>
      </c>
      <c r="J226" s="344" t="s">
        <v>7335</v>
      </c>
      <c r="K226" s="349" t="s">
        <v>8692</v>
      </c>
      <c r="L226" s="349" t="s">
        <v>8693</v>
      </c>
      <c r="M226" s="359" t="s">
        <v>8284</v>
      </c>
      <c r="N226" s="359" t="s">
        <v>8678</v>
      </c>
      <c r="O226" s="359" t="s">
        <v>8574</v>
      </c>
      <c r="P226" s="350" t="s">
        <v>8651</v>
      </c>
      <c r="Q226" s="343" t="s">
        <v>6500</v>
      </c>
      <c r="R226" s="343" t="s">
        <v>4</v>
      </c>
      <c r="S226" s="343" t="s">
        <v>6462</v>
      </c>
      <c r="T226" s="343" t="s">
        <v>6460</v>
      </c>
    </row>
    <row r="227" spans="1:20" ht="22" customHeight="1">
      <c r="A227" s="343" t="s">
        <v>6655</v>
      </c>
      <c r="B227" s="343" t="s">
        <v>5391</v>
      </c>
      <c r="C227" s="350" t="s">
        <v>8686</v>
      </c>
      <c r="D227" s="343" t="s">
        <v>8806</v>
      </c>
      <c r="E227" s="344" t="s">
        <v>7760</v>
      </c>
      <c r="F227" s="344" t="s">
        <v>6987</v>
      </c>
      <c r="G227" s="344" t="s">
        <v>6988</v>
      </c>
      <c r="H227" s="345">
        <v>0.5</v>
      </c>
      <c r="I227" s="344" t="s">
        <v>7828</v>
      </c>
      <c r="J227" s="344" t="s">
        <v>7336</v>
      </c>
      <c r="K227" s="349" t="s">
        <v>8692</v>
      </c>
      <c r="L227" s="349" t="s">
        <v>8693</v>
      </c>
      <c r="M227" s="359" t="s">
        <v>8281</v>
      </c>
      <c r="N227" s="359" t="s">
        <v>8331</v>
      </c>
      <c r="O227" s="359" t="s">
        <v>8574</v>
      </c>
      <c r="P227" s="350" t="s">
        <v>8651</v>
      </c>
      <c r="Q227" s="343" t="s">
        <v>6500</v>
      </c>
      <c r="R227" s="343" t="s">
        <v>4</v>
      </c>
      <c r="S227" s="343" t="s">
        <v>2671</v>
      </c>
      <c r="T227" s="343" t="s">
        <v>6463</v>
      </c>
    </row>
    <row r="228" spans="1:20" ht="22" customHeight="1">
      <c r="A228" s="343" t="s">
        <v>6656</v>
      </c>
      <c r="B228" s="343" t="s">
        <v>5391</v>
      </c>
      <c r="C228" s="350" t="s">
        <v>8686</v>
      </c>
      <c r="D228" s="343" t="s">
        <v>8807</v>
      </c>
      <c r="E228" s="344" t="s">
        <v>6657</v>
      </c>
      <c r="F228" s="344" t="s">
        <v>6989</v>
      </c>
      <c r="G228" s="344" t="s">
        <v>6990</v>
      </c>
      <c r="H228" s="345">
        <v>0.5</v>
      </c>
      <c r="I228" s="344" t="s">
        <v>7828</v>
      </c>
      <c r="J228" s="344" t="s">
        <v>7337</v>
      </c>
      <c r="K228" s="349" t="s">
        <v>8692</v>
      </c>
      <c r="L228" s="349" t="s">
        <v>8693</v>
      </c>
      <c r="M228" s="359" t="s">
        <v>8281</v>
      </c>
      <c r="N228" s="359" t="s">
        <v>8331</v>
      </c>
      <c r="O228" s="359" t="s">
        <v>8574</v>
      </c>
      <c r="P228" s="350" t="s">
        <v>8653</v>
      </c>
      <c r="Q228" s="343" t="s">
        <v>6500</v>
      </c>
      <c r="R228" s="343" t="s">
        <v>4</v>
      </c>
      <c r="S228" s="343" t="s">
        <v>2677</v>
      </c>
      <c r="T228" s="343" t="s">
        <v>6465</v>
      </c>
    </row>
    <row r="229" spans="1:20" ht="22" customHeight="1">
      <c r="A229" s="343" t="s">
        <v>6658</v>
      </c>
      <c r="B229" s="343" t="s">
        <v>5391</v>
      </c>
      <c r="C229" s="350" t="s">
        <v>8686</v>
      </c>
      <c r="D229" s="343" t="s">
        <v>8808</v>
      </c>
      <c r="E229" s="344" t="s">
        <v>6659</v>
      </c>
      <c r="F229" s="344" t="s">
        <v>6991</v>
      </c>
      <c r="G229" s="344" t="s">
        <v>6992</v>
      </c>
      <c r="H229" s="345">
        <v>0.5</v>
      </c>
      <c r="I229" s="344" t="s">
        <v>7829</v>
      </c>
      <c r="J229" s="344" t="s">
        <v>7338</v>
      </c>
      <c r="K229" s="349" t="s">
        <v>8692</v>
      </c>
      <c r="L229" s="349" t="s">
        <v>8693</v>
      </c>
      <c r="M229" s="359" t="s">
        <v>8281</v>
      </c>
      <c r="N229" s="359" t="s">
        <v>8331</v>
      </c>
      <c r="O229" s="359" t="s">
        <v>8574</v>
      </c>
      <c r="P229" s="350" t="s">
        <v>8653</v>
      </c>
      <c r="Q229" s="343" t="s">
        <v>6500</v>
      </c>
      <c r="R229" s="343" t="s">
        <v>4</v>
      </c>
      <c r="S229" s="343" t="s">
        <v>6469</v>
      </c>
      <c r="T229" s="343" t="s">
        <v>6467</v>
      </c>
    </row>
    <row r="230" spans="1:20" ht="22" customHeight="1">
      <c r="A230" s="343" t="s">
        <v>6660</v>
      </c>
      <c r="B230" s="343" t="s">
        <v>5391</v>
      </c>
      <c r="C230" s="350" t="s">
        <v>8686</v>
      </c>
      <c r="D230" s="343" t="s">
        <v>8809</v>
      </c>
      <c r="E230" s="344" t="s">
        <v>6661</v>
      </c>
      <c r="F230" s="344" t="s">
        <v>6993</v>
      </c>
      <c r="G230" s="344" t="s">
        <v>6994</v>
      </c>
      <c r="H230" s="345">
        <v>0.5</v>
      </c>
      <c r="I230" s="344" t="s">
        <v>7824</v>
      </c>
      <c r="J230" s="344" t="s">
        <v>7276</v>
      </c>
      <c r="K230" s="349" t="s">
        <v>8692</v>
      </c>
      <c r="L230" s="349" t="s">
        <v>8693</v>
      </c>
      <c r="M230" s="359" t="s">
        <v>8283</v>
      </c>
      <c r="N230" s="359" t="s">
        <v>8312</v>
      </c>
      <c r="O230" s="359" t="s">
        <v>8574</v>
      </c>
      <c r="P230" s="350" t="s">
        <v>8653</v>
      </c>
      <c r="Q230" s="343" t="s">
        <v>6500</v>
      </c>
      <c r="R230" s="343" t="s">
        <v>4</v>
      </c>
      <c r="S230" s="343" t="s">
        <v>6472</v>
      </c>
      <c r="T230" s="343" t="s">
        <v>6470</v>
      </c>
    </row>
    <row r="231" spans="1:20" ht="22" customHeight="1">
      <c r="A231" s="343" t="s">
        <v>6662</v>
      </c>
      <c r="B231" s="343" t="s">
        <v>5391</v>
      </c>
      <c r="C231" s="350" t="s">
        <v>8686</v>
      </c>
      <c r="D231" s="343" t="s">
        <v>8816</v>
      </c>
      <c r="E231" s="344" t="s">
        <v>6663</v>
      </c>
      <c r="F231" s="344" t="s">
        <v>6995</v>
      </c>
      <c r="G231" s="344" t="s">
        <v>6996</v>
      </c>
      <c r="H231" s="345">
        <v>0.75</v>
      </c>
      <c r="I231" s="344" t="s">
        <v>7830</v>
      </c>
      <c r="J231" s="344" t="s">
        <v>7339</v>
      </c>
      <c r="K231" s="349" t="s">
        <v>8692</v>
      </c>
      <c r="L231" s="349" t="s">
        <v>8693</v>
      </c>
      <c r="M231" s="359" t="s">
        <v>8284</v>
      </c>
      <c r="N231" s="359" t="s">
        <v>8298</v>
      </c>
      <c r="O231" s="359" t="s">
        <v>8574</v>
      </c>
      <c r="P231" s="350" t="s">
        <v>8653</v>
      </c>
      <c r="Q231" s="343" t="s">
        <v>6500</v>
      </c>
      <c r="R231" s="343" t="s">
        <v>4</v>
      </c>
      <c r="S231" s="343" t="s">
        <v>6476</v>
      </c>
      <c r="T231" s="343" t="s">
        <v>6473</v>
      </c>
    </row>
    <row r="232" spans="1:20" ht="22" customHeight="1">
      <c r="A232" s="343" t="s">
        <v>6664</v>
      </c>
      <c r="B232" s="343" t="s">
        <v>5391</v>
      </c>
      <c r="C232" s="350" t="s">
        <v>8686</v>
      </c>
      <c r="D232" s="343" t="s">
        <v>8810</v>
      </c>
      <c r="E232" s="344" t="s">
        <v>6665</v>
      </c>
      <c r="F232" s="344" t="s">
        <v>6997</v>
      </c>
      <c r="G232" s="344" t="s">
        <v>6998</v>
      </c>
      <c r="H232" s="345">
        <v>0.75</v>
      </c>
      <c r="I232" s="344" t="s">
        <v>7831</v>
      </c>
      <c r="J232" s="344" t="s">
        <v>7340</v>
      </c>
      <c r="K232" s="349" t="s">
        <v>8692</v>
      </c>
      <c r="L232" s="349" t="s">
        <v>8693</v>
      </c>
      <c r="M232" s="359" t="s">
        <v>8598</v>
      </c>
      <c r="N232" s="359" t="s">
        <v>8602</v>
      </c>
      <c r="O232" s="359" t="s">
        <v>8688</v>
      </c>
      <c r="P232" s="350" t="s">
        <v>8651</v>
      </c>
      <c r="Q232" s="343" t="s">
        <v>6500</v>
      </c>
      <c r="R232" s="343" t="s">
        <v>4</v>
      </c>
      <c r="S232" s="343" t="s">
        <v>2497</v>
      </c>
      <c r="T232" s="343" t="s">
        <v>6478</v>
      </c>
    </row>
    <row r="233" spans="1:20" ht="22" customHeight="1">
      <c r="A233" s="343" t="s">
        <v>6666</v>
      </c>
      <c r="B233" s="343" t="s">
        <v>5391</v>
      </c>
      <c r="C233" s="350" t="s">
        <v>8686</v>
      </c>
      <c r="D233" s="343" t="s">
        <v>8811</v>
      </c>
      <c r="E233" s="344" t="s">
        <v>6667</v>
      </c>
      <c r="F233" s="344" t="s">
        <v>6999</v>
      </c>
      <c r="G233" s="344" t="s">
        <v>7000</v>
      </c>
      <c r="H233" s="345">
        <v>0.5</v>
      </c>
      <c r="I233" s="344" t="s">
        <v>7831</v>
      </c>
      <c r="J233" s="344" t="s">
        <v>7341</v>
      </c>
      <c r="K233" s="349" t="s">
        <v>8692</v>
      </c>
      <c r="L233" s="349" t="s">
        <v>8693</v>
      </c>
      <c r="M233" s="359" t="s">
        <v>8284</v>
      </c>
      <c r="N233" s="359" t="s">
        <v>8332</v>
      </c>
      <c r="O233" s="359" t="s">
        <v>8574</v>
      </c>
      <c r="P233" s="350" t="s">
        <v>8651</v>
      </c>
      <c r="Q233" s="343" t="s">
        <v>6500</v>
      </c>
      <c r="R233" s="343" t="s">
        <v>4</v>
      </c>
      <c r="S233" s="343" t="s">
        <v>6482</v>
      </c>
      <c r="T233" s="343" t="s">
        <v>6480</v>
      </c>
    </row>
    <row r="234" spans="1:20" ht="22" customHeight="1">
      <c r="A234" s="343" t="s">
        <v>6668</v>
      </c>
      <c r="B234" s="343" t="s">
        <v>5391</v>
      </c>
      <c r="C234" s="350" t="s">
        <v>8686</v>
      </c>
      <c r="D234" s="343" t="s">
        <v>8814</v>
      </c>
      <c r="E234" s="344" t="s">
        <v>6669</v>
      </c>
      <c r="F234" s="344" t="s">
        <v>7001</v>
      </c>
      <c r="G234" s="344" t="s">
        <v>7002</v>
      </c>
      <c r="H234" s="345">
        <v>0.5</v>
      </c>
      <c r="I234" s="344" t="s">
        <v>7832</v>
      </c>
      <c r="J234" s="344" t="s">
        <v>7342</v>
      </c>
      <c r="K234" s="349" t="s">
        <v>8692</v>
      </c>
      <c r="L234" s="349" t="s">
        <v>8692</v>
      </c>
      <c r="M234" s="359" t="s">
        <v>8284</v>
      </c>
      <c r="N234" s="359" t="s">
        <v>8333</v>
      </c>
      <c r="O234" s="359" t="s">
        <v>8574</v>
      </c>
      <c r="P234" s="350" t="s">
        <v>8651</v>
      </c>
      <c r="Q234" s="343" t="s">
        <v>6500</v>
      </c>
      <c r="R234" s="343" t="s">
        <v>4</v>
      </c>
      <c r="S234" s="343" t="s">
        <v>6485</v>
      </c>
      <c r="T234" s="343" t="s">
        <v>6483</v>
      </c>
    </row>
    <row r="235" spans="1:20" ht="22" customHeight="1">
      <c r="A235" s="343" t="s">
        <v>6670</v>
      </c>
      <c r="B235" s="343" t="s">
        <v>5391</v>
      </c>
      <c r="C235" s="350" t="s">
        <v>8686</v>
      </c>
      <c r="D235" s="343" t="s">
        <v>8814</v>
      </c>
      <c r="E235" s="344" t="s">
        <v>6671</v>
      </c>
      <c r="F235" s="344" t="s">
        <v>7003</v>
      </c>
      <c r="G235" s="344" t="s">
        <v>7004</v>
      </c>
      <c r="H235" s="345">
        <v>0.5</v>
      </c>
      <c r="I235" s="344" t="s">
        <v>7832</v>
      </c>
      <c r="J235" s="344" t="s">
        <v>7343</v>
      </c>
      <c r="K235" s="349" t="s">
        <v>8692</v>
      </c>
      <c r="L235" s="349" t="s">
        <v>8692</v>
      </c>
      <c r="M235" s="359" t="s">
        <v>8284</v>
      </c>
      <c r="N235" s="359" t="s">
        <v>8333</v>
      </c>
      <c r="O235" s="359" t="s">
        <v>8574</v>
      </c>
      <c r="P235" s="350" t="s">
        <v>8651</v>
      </c>
      <c r="Q235" s="343" t="s">
        <v>6500</v>
      </c>
      <c r="R235" s="343" t="s">
        <v>4</v>
      </c>
      <c r="S235" s="343" t="s">
        <v>6489</v>
      </c>
      <c r="T235" s="343" t="s">
        <v>6487</v>
      </c>
    </row>
    <row r="236" spans="1:20" ht="22" customHeight="1">
      <c r="A236" s="343" t="s">
        <v>6672</v>
      </c>
      <c r="B236" s="343" t="s">
        <v>5391</v>
      </c>
      <c r="C236" s="350" t="s">
        <v>8686</v>
      </c>
      <c r="D236" s="343" t="s">
        <v>8812</v>
      </c>
      <c r="E236" s="344" t="s">
        <v>6673</v>
      </c>
      <c r="F236" s="344" t="s">
        <v>7835</v>
      </c>
      <c r="G236" s="344" t="s">
        <v>7005</v>
      </c>
      <c r="H236" s="345">
        <v>0.5</v>
      </c>
      <c r="I236" s="344" t="s">
        <v>7833</v>
      </c>
      <c r="J236" s="344" t="s">
        <v>7834</v>
      </c>
      <c r="K236" s="349" t="s">
        <v>8693</v>
      </c>
      <c r="L236" s="349" t="s">
        <v>8693</v>
      </c>
      <c r="M236" s="359" t="s">
        <v>8283</v>
      </c>
      <c r="N236" s="359" t="s">
        <v>8310</v>
      </c>
      <c r="O236" s="359" t="s">
        <v>8574</v>
      </c>
      <c r="P236" s="350" t="s">
        <v>8653</v>
      </c>
      <c r="Q236" s="343" t="s">
        <v>6500</v>
      </c>
      <c r="R236" s="343" t="s">
        <v>4</v>
      </c>
      <c r="S236" s="343" t="s">
        <v>1437</v>
      </c>
      <c r="T236" s="343" t="s">
        <v>6490</v>
      </c>
    </row>
    <row r="237" spans="1:20" ht="22" customHeight="1">
      <c r="A237" s="343" t="s">
        <v>6674</v>
      </c>
      <c r="B237" s="343" t="s">
        <v>5391</v>
      </c>
      <c r="C237" s="350" t="s">
        <v>8686</v>
      </c>
      <c r="D237" s="343" t="s">
        <v>8813</v>
      </c>
      <c r="E237" s="344" t="s">
        <v>6675</v>
      </c>
      <c r="F237" s="344" t="s">
        <v>7006</v>
      </c>
      <c r="G237" s="344" t="s">
        <v>7007</v>
      </c>
      <c r="H237" s="345">
        <v>0.5</v>
      </c>
      <c r="I237" s="344" t="s">
        <v>7832</v>
      </c>
      <c r="J237" s="344" t="s">
        <v>7344</v>
      </c>
      <c r="K237" s="349" t="s">
        <v>8692</v>
      </c>
      <c r="L237" s="349" t="s">
        <v>8692</v>
      </c>
      <c r="M237" s="359" t="s">
        <v>8284</v>
      </c>
      <c r="N237" s="359" t="s">
        <v>8334</v>
      </c>
      <c r="O237" s="359" t="s">
        <v>8574</v>
      </c>
      <c r="P237" s="350" t="s">
        <v>8651</v>
      </c>
      <c r="Q237" s="343" t="s">
        <v>6500</v>
      </c>
      <c r="R237" s="343" t="s">
        <v>4</v>
      </c>
      <c r="S237" s="343" t="s">
        <v>609</v>
      </c>
      <c r="T237" s="343" t="s">
        <v>6492</v>
      </c>
    </row>
    <row r="238" spans="1:20" ht="22" customHeight="1">
      <c r="A238" s="343" t="s">
        <v>6676</v>
      </c>
      <c r="B238" s="343" t="s">
        <v>5391</v>
      </c>
      <c r="C238" s="350" t="s">
        <v>8686</v>
      </c>
      <c r="D238" s="343" t="s">
        <v>8815</v>
      </c>
      <c r="E238" s="344" t="s">
        <v>6677</v>
      </c>
      <c r="F238" s="344" t="s">
        <v>7837</v>
      </c>
      <c r="G238" s="344" t="s">
        <v>7008</v>
      </c>
      <c r="H238" s="345">
        <v>0.5</v>
      </c>
      <c r="I238" s="344" t="s">
        <v>7833</v>
      </c>
      <c r="J238" s="344" t="s">
        <v>7836</v>
      </c>
      <c r="K238" s="349" t="s">
        <v>8693</v>
      </c>
      <c r="L238" s="349" t="s">
        <v>8693</v>
      </c>
      <c r="M238" s="359" t="s">
        <v>8288</v>
      </c>
      <c r="N238" s="359" t="s">
        <v>8328</v>
      </c>
      <c r="O238" s="359" t="s">
        <v>8574</v>
      </c>
      <c r="P238" s="350" t="s">
        <v>8651</v>
      </c>
      <c r="Q238" s="343" t="s">
        <v>6500</v>
      </c>
      <c r="R238" s="343" t="s">
        <v>4</v>
      </c>
      <c r="S238" s="343" t="s">
        <v>1439</v>
      </c>
      <c r="T238" s="343" t="s">
        <v>6494</v>
      </c>
    </row>
    <row r="239" spans="1:20" ht="22" customHeight="1">
      <c r="A239" s="343" t="s">
        <v>6678</v>
      </c>
      <c r="B239" s="343" t="s">
        <v>5391</v>
      </c>
      <c r="C239" s="350" t="s">
        <v>8686</v>
      </c>
      <c r="D239" s="343" t="s">
        <v>8817</v>
      </c>
      <c r="E239" s="344" t="s">
        <v>6679</v>
      </c>
      <c r="F239" s="344" t="s">
        <v>7009</v>
      </c>
      <c r="G239" s="344" t="s">
        <v>7010</v>
      </c>
      <c r="H239" s="345">
        <v>0.5</v>
      </c>
      <c r="I239" s="344" t="s">
        <v>7830</v>
      </c>
      <c r="J239" s="344" t="s">
        <v>7345</v>
      </c>
      <c r="K239" s="349" t="s">
        <v>8692</v>
      </c>
      <c r="L239" s="349" t="s">
        <v>8693</v>
      </c>
      <c r="M239" s="359" t="s">
        <v>8283</v>
      </c>
      <c r="N239" s="359" t="s">
        <v>8310</v>
      </c>
      <c r="O239" s="359" t="s">
        <v>8574</v>
      </c>
      <c r="P239" s="350" t="s">
        <v>8653</v>
      </c>
      <c r="Q239" s="343" t="s">
        <v>6500</v>
      </c>
      <c r="R239" s="343" t="s">
        <v>4</v>
      </c>
      <c r="S239" s="343" t="s">
        <v>6498</v>
      </c>
      <c r="T239" s="343" t="s">
        <v>6496</v>
      </c>
    </row>
    <row r="240" spans="1:20" ht="22" customHeight="1">
      <c r="A240" s="343" t="s">
        <v>5673</v>
      </c>
      <c r="B240" s="343" t="s">
        <v>5392</v>
      </c>
      <c r="C240" s="350" t="s">
        <v>8686</v>
      </c>
      <c r="D240" s="343" t="s">
        <v>8818</v>
      </c>
      <c r="E240" s="344" t="s">
        <v>6119</v>
      </c>
      <c r="F240" s="344" t="s">
        <v>7065</v>
      </c>
      <c r="G240" s="344" t="s">
        <v>7066</v>
      </c>
      <c r="H240" s="345">
        <v>2</v>
      </c>
      <c r="I240" s="344" t="s">
        <v>2733</v>
      </c>
      <c r="J240" s="344" t="s">
        <v>7262</v>
      </c>
      <c r="K240" s="349" t="s">
        <v>8692</v>
      </c>
      <c r="L240" s="349" t="s">
        <v>8693</v>
      </c>
      <c r="M240" s="359" t="s">
        <v>8287</v>
      </c>
      <c r="N240" s="359" t="s">
        <v>8348</v>
      </c>
      <c r="O240" s="359" t="s">
        <v>8574</v>
      </c>
      <c r="P240" s="350" t="s">
        <v>8652</v>
      </c>
      <c r="Q240" s="343" t="s">
        <v>2233</v>
      </c>
      <c r="R240" s="343" t="s">
        <v>4</v>
      </c>
      <c r="S240" s="343"/>
      <c r="T240" s="343" t="s">
        <v>2733</v>
      </c>
    </row>
    <row r="241" spans="1:20" ht="22" customHeight="1">
      <c r="A241" s="343" t="s">
        <v>5674</v>
      </c>
      <c r="B241" s="343" t="s">
        <v>5392</v>
      </c>
      <c r="C241" s="350" t="s">
        <v>8686</v>
      </c>
      <c r="D241" s="343" t="s">
        <v>2909</v>
      </c>
      <c r="E241" s="344" t="s">
        <v>8819</v>
      </c>
      <c r="F241" s="344" t="s">
        <v>7067</v>
      </c>
      <c r="G241" s="344" t="s">
        <v>7068</v>
      </c>
      <c r="H241" s="345">
        <v>2</v>
      </c>
      <c r="I241" s="344" t="s">
        <v>2733</v>
      </c>
      <c r="J241" s="344" t="s">
        <v>7262</v>
      </c>
      <c r="K241" s="349" t="s">
        <v>8692</v>
      </c>
      <c r="L241" s="349" t="s">
        <v>8693</v>
      </c>
      <c r="M241" s="359" t="s">
        <v>8287</v>
      </c>
      <c r="N241" s="359" t="s">
        <v>8348</v>
      </c>
      <c r="O241" s="359" t="s">
        <v>8574</v>
      </c>
      <c r="P241" s="350" t="s">
        <v>8652</v>
      </c>
      <c r="Q241" s="343" t="s">
        <v>2233</v>
      </c>
      <c r="R241" s="343" t="s">
        <v>4</v>
      </c>
      <c r="S241" s="343"/>
      <c r="T241" s="343" t="s">
        <v>2733</v>
      </c>
    </row>
    <row r="242" spans="1:20" ht="22" customHeight="1">
      <c r="A242" s="343" t="s">
        <v>8361</v>
      </c>
      <c r="B242" s="343" t="s">
        <v>5392</v>
      </c>
      <c r="C242" s="350" t="s">
        <v>8686</v>
      </c>
      <c r="D242" s="343" t="s">
        <v>2909</v>
      </c>
      <c r="E242" s="344" t="s">
        <v>8820</v>
      </c>
      <c r="F242" s="344" t="s">
        <v>8362</v>
      </c>
      <c r="G242" s="344" t="s">
        <v>8363</v>
      </c>
      <c r="H242" s="345">
        <v>1</v>
      </c>
      <c r="I242" s="344" t="s">
        <v>2733</v>
      </c>
      <c r="J242" s="344" t="s">
        <v>7262</v>
      </c>
      <c r="K242" s="349" t="s">
        <v>8691</v>
      </c>
      <c r="L242" s="349" t="s">
        <v>8693</v>
      </c>
      <c r="M242" s="359" t="s">
        <v>8287</v>
      </c>
      <c r="N242" s="359" t="s">
        <v>8364</v>
      </c>
      <c r="O242" s="359" t="s">
        <v>8574</v>
      </c>
      <c r="P242" s="350" t="s">
        <v>8652</v>
      </c>
      <c r="Q242" s="343" t="s">
        <v>2233</v>
      </c>
      <c r="R242" s="343" t="s">
        <v>4</v>
      </c>
      <c r="S242" s="343"/>
      <c r="T242" s="343" t="s">
        <v>2733</v>
      </c>
    </row>
    <row r="243" spans="1:20" ht="22" customHeight="1">
      <c r="A243" s="343" t="s">
        <v>8365</v>
      </c>
      <c r="B243" s="343" t="s">
        <v>5392</v>
      </c>
      <c r="C243" s="350" t="s">
        <v>8686</v>
      </c>
      <c r="D243" s="343" t="s">
        <v>8821</v>
      </c>
      <c r="E243" s="344" t="s">
        <v>8366</v>
      </c>
      <c r="F243" s="344" t="s">
        <v>8367</v>
      </c>
      <c r="G243" s="344" t="s">
        <v>8368</v>
      </c>
      <c r="H243" s="345">
        <v>1</v>
      </c>
      <c r="I243" s="344" t="s">
        <v>7801</v>
      </c>
      <c r="J243" s="344" t="s">
        <v>7266</v>
      </c>
      <c r="K243" s="349" t="s">
        <v>8693</v>
      </c>
      <c r="L243" s="349" t="s">
        <v>8693</v>
      </c>
      <c r="M243" s="359" t="s">
        <v>8287</v>
      </c>
      <c r="N243" s="359" t="s">
        <v>8439</v>
      </c>
      <c r="O243" s="359" t="s">
        <v>8574</v>
      </c>
      <c r="P243" s="350" t="s">
        <v>8652</v>
      </c>
      <c r="Q243" s="343" t="s">
        <v>2233</v>
      </c>
      <c r="R243" s="343" t="s">
        <v>4</v>
      </c>
      <c r="S243" s="343"/>
      <c r="T243" s="343" t="s">
        <v>2733</v>
      </c>
    </row>
    <row r="244" spans="1:20" ht="22" customHeight="1">
      <c r="A244" s="343" t="s">
        <v>8456</v>
      </c>
      <c r="B244" s="343" t="s">
        <v>5392</v>
      </c>
      <c r="C244" s="350" t="s">
        <v>8686</v>
      </c>
      <c r="D244" s="343" t="s">
        <v>8822</v>
      </c>
      <c r="E244" s="344" t="s">
        <v>8457</v>
      </c>
      <c r="F244" s="344" t="s">
        <v>8458</v>
      </c>
      <c r="G244" s="344" t="s">
        <v>8459</v>
      </c>
      <c r="H244" s="345">
        <v>0.5</v>
      </c>
      <c r="I244" s="344" t="s">
        <v>7786</v>
      </c>
      <c r="J244" s="344" t="s">
        <v>7278</v>
      </c>
      <c r="K244" s="349" t="s">
        <v>8692</v>
      </c>
      <c r="L244" s="349" t="s">
        <v>8693</v>
      </c>
      <c r="M244" s="359" t="s">
        <v>8282</v>
      </c>
      <c r="N244" s="359" t="s">
        <v>8349</v>
      </c>
      <c r="O244" s="359" t="s">
        <v>8574</v>
      </c>
      <c r="P244" s="350" t="s">
        <v>8649</v>
      </c>
      <c r="Q244" s="343" t="s">
        <v>2233</v>
      </c>
      <c r="R244" s="343" t="s">
        <v>4</v>
      </c>
      <c r="S244" s="343"/>
      <c r="T244" s="343" t="s">
        <v>6247</v>
      </c>
    </row>
    <row r="245" spans="1:20" ht="22" customHeight="1">
      <c r="A245" s="343" t="s">
        <v>8460</v>
      </c>
      <c r="B245" s="343" t="s">
        <v>5392</v>
      </c>
      <c r="C245" s="350" t="s">
        <v>8686</v>
      </c>
      <c r="D245" s="343" t="s">
        <v>8822</v>
      </c>
      <c r="E245" s="344" t="s">
        <v>8461</v>
      </c>
      <c r="F245" s="344" t="s">
        <v>8462</v>
      </c>
      <c r="G245" s="344" t="s">
        <v>8459</v>
      </c>
      <c r="H245" s="345">
        <v>0.5</v>
      </c>
      <c r="I245" s="344" t="s">
        <v>7785</v>
      </c>
      <c r="J245" s="344" t="s">
        <v>7277</v>
      </c>
      <c r="K245" s="349" t="s">
        <v>8692</v>
      </c>
      <c r="L245" s="349" t="s">
        <v>8692</v>
      </c>
      <c r="M245" s="359" t="s">
        <v>8282</v>
      </c>
      <c r="N245" s="359" t="s">
        <v>8349</v>
      </c>
      <c r="O245" s="359" t="s">
        <v>8574</v>
      </c>
      <c r="P245" s="350" t="s">
        <v>8652</v>
      </c>
      <c r="Q245" s="343" t="s">
        <v>2233</v>
      </c>
      <c r="R245" s="343" t="s">
        <v>4</v>
      </c>
      <c r="S245" s="343"/>
      <c r="T245" s="343" t="s">
        <v>6241</v>
      </c>
    </row>
    <row r="246" spans="1:20" ht="22" customHeight="1">
      <c r="A246" s="343" t="s">
        <v>8463</v>
      </c>
      <c r="B246" s="343" t="s">
        <v>5392</v>
      </c>
      <c r="C246" s="350" t="s">
        <v>8686</v>
      </c>
      <c r="D246" s="343" t="s">
        <v>8822</v>
      </c>
      <c r="E246" s="344" t="s">
        <v>8464</v>
      </c>
      <c r="F246" s="344" t="s">
        <v>8465</v>
      </c>
      <c r="G246" s="344" t="s">
        <v>8459</v>
      </c>
      <c r="H246" s="345">
        <v>0.5</v>
      </c>
      <c r="I246" s="344" t="s">
        <v>7786</v>
      </c>
      <c r="J246" s="344" t="s">
        <v>7280</v>
      </c>
      <c r="K246" s="349" t="s">
        <v>8692</v>
      </c>
      <c r="L246" s="349" t="s">
        <v>8693</v>
      </c>
      <c r="M246" s="359" t="s">
        <v>8282</v>
      </c>
      <c r="N246" s="359" t="s">
        <v>8349</v>
      </c>
      <c r="O246" s="359" t="s">
        <v>8574</v>
      </c>
      <c r="P246" s="350" t="s">
        <v>8649</v>
      </c>
      <c r="Q246" s="343" t="s">
        <v>2233</v>
      </c>
      <c r="R246" s="343" t="s">
        <v>4</v>
      </c>
      <c r="S246" s="343"/>
      <c r="T246" s="343" t="s">
        <v>6253</v>
      </c>
    </row>
    <row r="247" spans="1:20" ht="22" customHeight="1">
      <c r="A247" s="343" t="s">
        <v>8466</v>
      </c>
      <c r="B247" s="343" t="s">
        <v>5392</v>
      </c>
      <c r="C247" s="350" t="s">
        <v>8686</v>
      </c>
      <c r="D247" s="343" t="s">
        <v>8822</v>
      </c>
      <c r="E247" s="344" t="s">
        <v>8467</v>
      </c>
      <c r="F247" s="344" t="s">
        <v>8468</v>
      </c>
      <c r="G247" s="344" t="s">
        <v>8459</v>
      </c>
      <c r="H247" s="345">
        <v>0.5</v>
      </c>
      <c r="I247" s="344" t="s">
        <v>7788</v>
      </c>
      <c r="J247" s="344" t="s">
        <v>8469</v>
      </c>
      <c r="K247" s="349" t="s">
        <v>8692</v>
      </c>
      <c r="L247" s="349" t="s">
        <v>8692</v>
      </c>
      <c r="M247" s="359" t="s">
        <v>8282</v>
      </c>
      <c r="N247" s="359" t="s">
        <v>8349</v>
      </c>
      <c r="O247" s="359" t="s">
        <v>8574</v>
      </c>
      <c r="P247" s="350" t="s">
        <v>8652</v>
      </c>
      <c r="Q247" s="343" t="s">
        <v>2233</v>
      </c>
      <c r="R247" s="343" t="s">
        <v>4</v>
      </c>
      <c r="S247" s="343"/>
      <c r="T247" s="343" t="s">
        <v>8470</v>
      </c>
    </row>
    <row r="248" spans="1:20" ht="22" customHeight="1">
      <c r="A248" s="343" t="s">
        <v>8471</v>
      </c>
      <c r="B248" s="343" t="s">
        <v>5392</v>
      </c>
      <c r="C248" s="350" t="s">
        <v>8686</v>
      </c>
      <c r="D248" s="343" t="s">
        <v>8822</v>
      </c>
      <c r="E248" s="344" t="s">
        <v>8472</v>
      </c>
      <c r="F248" s="344" t="s">
        <v>8473</v>
      </c>
      <c r="G248" s="344" t="s">
        <v>8459</v>
      </c>
      <c r="H248" s="345">
        <v>0.5</v>
      </c>
      <c r="I248" s="344" t="s">
        <v>7788</v>
      </c>
      <c r="J248" s="344" t="s">
        <v>8474</v>
      </c>
      <c r="K248" s="349" t="s">
        <v>8692</v>
      </c>
      <c r="L248" s="349" t="s">
        <v>8692</v>
      </c>
      <c r="M248" s="359" t="s">
        <v>8282</v>
      </c>
      <c r="N248" s="359" t="s">
        <v>8349</v>
      </c>
      <c r="O248" s="359" t="s">
        <v>8574</v>
      </c>
      <c r="P248" s="350" t="s">
        <v>8652</v>
      </c>
      <c r="Q248" s="343" t="s">
        <v>2233</v>
      </c>
      <c r="R248" s="343" t="s">
        <v>4</v>
      </c>
      <c r="S248" s="343"/>
      <c r="T248" s="343" t="s">
        <v>8475</v>
      </c>
    </row>
    <row r="249" spans="1:20" ht="22" customHeight="1">
      <c r="A249" s="343" t="s">
        <v>8476</v>
      </c>
      <c r="B249" s="343" t="s">
        <v>5392</v>
      </c>
      <c r="C249" s="350" t="s">
        <v>8686</v>
      </c>
      <c r="D249" s="343" t="s">
        <v>8822</v>
      </c>
      <c r="E249" s="344" t="s">
        <v>8477</v>
      </c>
      <c r="F249" s="344" t="s">
        <v>8478</v>
      </c>
      <c r="G249" s="344" t="s">
        <v>8459</v>
      </c>
      <c r="H249" s="345">
        <v>0.5</v>
      </c>
      <c r="I249" s="344" t="s">
        <v>7789</v>
      </c>
      <c r="J249" s="344" t="s">
        <v>7290</v>
      </c>
      <c r="K249" s="349" t="s">
        <v>8692</v>
      </c>
      <c r="L249" s="349" t="s">
        <v>8692</v>
      </c>
      <c r="M249" s="359" t="s">
        <v>8282</v>
      </c>
      <c r="N249" s="359" t="s">
        <v>8349</v>
      </c>
      <c r="O249" s="359" t="s">
        <v>8574</v>
      </c>
      <c r="P249" s="350" t="s">
        <v>8652</v>
      </c>
      <c r="Q249" s="343" t="s">
        <v>2233</v>
      </c>
      <c r="R249" s="343" t="s">
        <v>4</v>
      </c>
      <c r="S249" s="343"/>
      <c r="T249" s="343" t="s">
        <v>6285</v>
      </c>
    </row>
    <row r="250" spans="1:20" ht="22" customHeight="1">
      <c r="A250" s="343" t="s">
        <v>8479</v>
      </c>
      <c r="B250" s="343" t="s">
        <v>5392</v>
      </c>
      <c r="C250" s="350" t="s">
        <v>8686</v>
      </c>
      <c r="D250" s="343" t="s">
        <v>8822</v>
      </c>
      <c r="E250" s="344" t="s">
        <v>8480</v>
      </c>
      <c r="F250" s="344" t="s">
        <v>8481</v>
      </c>
      <c r="G250" s="344" t="s">
        <v>8459</v>
      </c>
      <c r="H250" s="345">
        <v>0.5</v>
      </c>
      <c r="I250" s="344" t="s">
        <v>7789</v>
      </c>
      <c r="J250" s="344" t="s">
        <v>7290</v>
      </c>
      <c r="K250" s="349" t="s">
        <v>8692</v>
      </c>
      <c r="L250" s="349" t="s">
        <v>8692</v>
      </c>
      <c r="M250" s="359" t="s">
        <v>8282</v>
      </c>
      <c r="N250" s="359" t="s">
        <v>8349</v>
      </c>
      <c r="O250" s="359" t="s">
        <v>8574</v>
      </c>
      <c r="P250" s="350" t="s">
        <v>8652</v>
      </c>
      <c r="Q250" s="343" t="s">
        <v>2233</v>
      </c>
      <c r="R250" s="343" t="s">
        <v>4</v>
      </c>
      <c r="S250" s="343"/>
      <c r="T250" s="343" t="s">
        <v>6285</v>
      </c>
    </row>
    <row r="251" spans="1:20" ht="22" customHeight="1">
      <c r="A251" s="343" t="s">
        <v>8482</v>
      </c>
      <c r="B251" s="343" t="s">
        <v>5392</v>
      </c>
      <c r="C251" s="350" t="s">
        <v>8686</v>
      </c>
      <c r="D251" s="343" t="s">
        <v>8822</v>
      </c>
      <c r="E251" s="344" t="s">
        <v>8483</v>
      </c>
      <c r="F251" s="344" t="s">
        <v>8484</v>
      </c>
      <c r="G251" s="344" t="s">
        <v>8459</v>
      </c>
      <c r="H251" s="345">
        <v>0.5</v>
      </c>
      <c r="I251" s="344" t="s">
        <v>7789</v>
      </c>
      <c r="J251" s="344" t="s">
        <v>7293</v>
      </c>
      <c r="K251" s="349" t="s">
        <v>8692</v>
      </c>
      <c r="L251" s="349" t="s">
        <v>8692</v>
      </c>
      <c r="M251" s="359" t="s">
        <v>8282</v>
      </c>
      <c r="N251" s="359" t="s">
        <v>8349</v>
      </c>
      <c r="O251" s="359" t="s">
        <v>8574</v>
      </c>
      <c r="P251" s="350" t="s">
        <v>8652</v>
      </c>
      <c r="Q251" s="343" t="s">
        <v>2233</v>
      </c>
      <c r="R251" s="343" t="s">
        <v>4</v>
      </c>
      <c r="S251" s="343"/>
      <c r="T251" s="343" t="s">
        <v>6295</v>
      </c>
    </row>
    <row r="252" spans="1:20" ht="22" customHeight="1">
      <c r="A252" s="343" t="s">
        <v>8485</v>
      </c>
      <c r="B252" s="343" t="s">
        <v>5392</v>
      </c>
      <c r="C252" s="350" t="s">
        <v>8686</v>
      </c>
      <c r="D252" s="343" t="s">
        <v>8822</v>
      </c>
      <c r="E252" s="344" t="s">
        <v>8486</v>
      </c>
      <c r="F252" s="344" t="s">
        <v>8487</v>
      </c>
      <c r="G252" s="344" t="s">
        <v>8459</v>
      </c>
      <c r="H252" s="345">
        <v>0.5</v>
      </c>
      <c r="I252" s="344" t="s">
        <v>7789</v>
      </c>
      <c r="J252" s="344" t="s">
        <v>7292</v>
      </c>
      <c r="K252" s="349" t="s">
        <v>8692</v>
      </c>
      <c r="L252" s="349" t="s">
        <v>8693</v>
      </c>
      <c r="M252" s="359" t="s">
        <v>8282</v>
      </c>
      <c r="N252" s="359" t="s">
        <v>8349</v>
      </c>
      <c r="O252" s="359" t="s">
        <v>8574</v>
      </c>
      <c r="P252" s="350" t="s">
        <v>8652</v>
      </c>
      <c r="Q252" s="343" t="s">
        <v>2233</v>
      </c>
      <c r="R252" s="343" t="s">
        <v>4</v>
      </c>
      <c r="S252" s="343"/>
      <c r="T252" s="343" t="s">
        <v>6293</v>
      </c>
    </row>
    <row r="253" spans="1:20" ht="22" customHeight="1">
      <c r="A253" s="343" t="s">
        <v>8488</v>
      </c>
      <c r="B253" s="343" t="s">
        <v>5392</v>
      </c>
      <c r="C253" s="350" t="s">
        <v>8686</v>
      </c>
      <c r="D253" s="343" t="s">
        <v>8822</v>
      </c>
      <c r="E253" s="344" t="s">
        <v>8489</v>
      </c>
      <c r="F253" s="344" t="s">
        <v>8490</v>
      </c>
      <c r="G253" s="344" t="s">
        <v>8459</v>
      </c>
      <c r="H253" s="345">
        <v>0.5</v>
      </c>
      <c r="I253" s="344" t="s">
        <v>7786</v>
      </c>
      <c r="J253" s="344" t="s">
        <v>7279</v>
      </c>
      <c r="K253" s="349" t="s">
        <v>8692</v>
      </c>
      <c r="L253" s="349" t="s">
        <v>8693</v>
      </c>
      <c r="M253" s="359" t="s">
        <v>8282</v>
      </c>
      <c r="N253" s="359" t="s">
        <v>8349</v>
      </c>
      <c r="O253" s="359" t="s">
        <v>8574</v>
      </c>
      <c r="P253" s="350" t="s">
        <v>8652</v>
      </c>
      <c r="Q253" s="343" t="s">
        <v>2233</v>
      </c>
      <c r="R253" s="343" t="s">
        <v>4</v>
      </c>
      <c r="S253" s="343"/>
      <c r="T253" s="343" t="s">
        <v>6250</v>
      </c>
    </row>
    <row r="254" spans="1:20" ht="22" customHeight="1">
      <c r="A254" s="343" t="s">
        <v>8491</v>
      </c>
      <c r="B254" s="343" t="s">
        <v>5392</v>
      </c>
      <c r="C254" s="350" t="s">
        <v>8686</v>
      </c>
      <c r="D254" s="343" t="s">
        <v>8822</v>
      </c>
      <c r="E254" s="344" t="s">
        <v>8492</v>
      </c>
      <c r="F254" s="344" t="s">
        <v>8493</v>
      </c>
      <c r="G254" s="344" t="s">
        <v>8459</v>
      </c>
      <c r="H254" s="345">
        <v>0.5</v>
      </c>
      <c r="I254" s="344" t="s">
        <v>7814</v>
      </c>
      <c r="J254" s="344" t="s">
        <v>7326</v>
      </c>
      <c r="K254" s="349" t="s">
        <v>8692</v>
      </c>
      <c r="L254" s="349" t="s">
        <v>8693</v>
      </c>
      <c r="M254" s="359" t="s">
        <v>8282</v>
      </c>
      <c r="N254" s="359" t="s">
        <v>8349</v>
      </c>
      <c r="O254" s="359" t="s">
        <v>8574</v>
      </c>
      <c r="P254" s="350" t="s">
        <v>8652</v>
      </c>
      <c r="Q254" s="343" t="s">
        <v>2233</v>
      </c>
      <c r="R254" s="343" t="s">
        <v>4</v>
      </c>
      <c r="S254" s="343"/>
      <c r="T254" s="343" t="s">
        <v>6419</v>
      </c>
    </row>
    <row r="255" spans="1:20" ht="22" customHeight="1">
      <c r="A255" s="343" t="s">
        <v>8494</v>
      </c>
      <c r="B255" s="343" t="s">
        <v>5392</v>
      </c>
      <c r="C255" s="350" t="s">
        <v>8686</v>
      </c>
      <c r="D255" s="343" t="s">
        <v>8822</v>
      </c>
      <c r="E255" s="344" t="s">
        <v>8495</v>
      </c>
      <c r="F255" s="344" t="s">
        <v>8496</v>
      </c>
      <c r="G255" s="344" t="s">
        <v>8459</v>
      </c>
      <c r="H255" s="345">
        <v>0.5</v>
      </c>
      <c r="I255" s="344" t="s">
        <v>7787</v>
      </c>
      <c r="J255" s="344" t="s">
        <v>7283</v>
      </c>
      <c r="K255" s="349" t="s">
        <v>8692</v>
      </c>
      <c r="L255" s="349" t="s">
        <v>8693</v>
      </c>
      <c r="M255" s="359" t="s">
        <v>8282</v>
      </c>
      <c r="N255" s="359" t="s">
        <v>8349</v>
      </c>
      <c r="O255" s="359" t="s">
        <v>8574</v>
      </c>
      <c r="P255" s="350" t="s">
        <v>8652</v>
      </c>
      <c r="Q255" s="343" t="s">
        <v>2233</v>
      </c>
      <c r="R255" s="343" t="s">
        <v>4</v>
      </c>
      <c r="S255" s="343"/>
      <c r="T255" s="343" t="s">
        <v>6266</v>
      </c>
    </row>
    <row r="256" spans="1:20" ht="22" customHeight="1">
      <c r="A256" s="343" t="s">
        <v>8369</v>
      </c>
      <c r="B256" s="343" t="s">
        <v>5392</v>
      </c>
      <c r="C256" s="350" t="s">
        <v>8686</v>
      </c>
      <c r="D256" s="343" t="s">
        <v>8823</v>
      </c>
      <c r="E256" s="344" t="s">
        <v>8370</v>
      </c>
      <c r="F256" s="344" t="s">
        <v>8371</v>
      </c>
      <c r="G256" s="344" t="s">
        <v>8372</v>
      </c>
      <c r="H256" s="345">
        <v>3</v>
      </c>
      <c r="I256" s="344" t="s">
        <v>7810</v>
      </c>
      <c r="J256" s="344" t="s">
        <v>7322</v>
      </c>
      <c r="K256" s="349" t="s">
        <v>8692</v>
      </c>
      <c r="L256" s="349" t="s">
        <v>8693</v>
      </c>
      <c r="M256" s="359" t="s">
        <v>8280</v>
      </c>
      <c r="N256" s="359" t="s">
        <v>8326</v>
      </c>
      <c r="O256" s="359" t="s">
        <v>8574</v>
      </c>
      <c r="P256" s="350" t="s">
        <v>8653</v>
      </c>
      <c r="Q256" s="343" t="s">
        <v>2233</v>
      </c>
      <c r="R256" s="343" t="s">
        <v>4</v>
      </c>
      <c r="S256" s="343"/>
      <c r="T256" s="343" t="s">
        <v>6690</v>
      </c>
    </row>
    <row r="257" spans="1:20" ht="22" customHeight="1">
      <c r="A257" s="343" t="s">
        <v>8373</v>
      </c>
      <c r="B257" s="343" t="s">
        <v>5392</v>
      </c>
      <c r="C257" s="350" t="s">
        <v>8686</v>
      </c>
      <c r="D257" s="343" t="s">
        <v>8823</v>
      </c>
      <c r="E257" s="344" t="s">
        <v>8374</v>
      </c>
      <c r="F257" s="344" t="s">
        <v>8375</v>
      </c>
      <c r="G257" s="344" t="s">
        <v>8376</v>
      </c>
      <c r="H257" s="345">
        <v>4</v>
      </c>
      <c r="I257" s="344" t="s">
        <v>7801</v>
      </c>
      <c r="J257" s="344" t="s">
        <v>8377</v>
      </c>
      <c r="K257" s="349" t="s">
        <v>8693</v>
      </c>
      <c r="L257" s="349" t="s">
        <v>8693</v>
      </c>
      <c r="M257" s="359" t="s">
        <v>8288</v>
      </c>
      <c r="N257" s="359" t="s">
        <v>8439</v>
      </c>
      <c r="O257" s="359" t="s">
        <v>8574</v>
      </c>
      <c r="P257" s="350" t="s">
        <v>8652</v>
      </c>
      <c r="Q257" s="343" t="s">
        <v>2233</v>
      </c>
      <c r="R257" s="343" t="s">
        <v>4</v>
      </c>
      <c r="S257" s="343"/>
      <c r="T257" s="343" t="s">
        <v>6690</v>
      </c>
    </row>
    <row r="258" spans="1:20" ht="22" customHeight="1">
      <c r="A258" s="343" t="s">
        <v>8378</v>
      </c>
      <c r="B258" s="343" t="s">
        <v>5392</v>
      </c>
      <c r="C258" s="350" t="s">
        <v>8686</v>
      </c>
      <c r="D258" s="343" t="s">
        <v>8823</v>
      </c>
      <c r="E258" s="344" t="s">
        <v>8379</v>
      </c>
      <c r="F258" s="344" t="s">
        <v>8380</v>
      </c>
      <c r="G258" s="344" t="s">
        <v>8381</v>
      </c>
      <c r="H258" s="345">
        <v>2</v>
      </c>
      <c r="I258" s="344" t="s">
        <v>7804</v>
      </c>
      <c r="J258" s="344" t="s">
        <v>8382</v>
      </c>
      <c r="K258" s="349" t="s">
        <v>8693</v>
      </c>
      <c r="L258" s="349" t="s">
        <v>8693</v>
      </c>
      <c r="M258" s="359" t="s">
        <v>8288</v>
      </c>
      <c r="N258" s="359" t="s">
        <v>8324</v>
      </c>
      <c r="O258" s="359" t="s">
        <v>8574</v>
      </c>
      <c r="P258" s="350" t="s">
        <v>8653</v>
      </c>
      <c r="Q258" s="343" t="s">
        <v>2233</v>
      </c>
      <c r="R258" s="343" t="s">
        <v>4</v>
      </c>
      <c r="S258" s="343"/>
      <c r="T258" s="343" t="s">
        <v>6690</v>
      </c>
    </row>
    <row r="259" spans="1:20" ht="22" customHeight="1">
      <c r="A259" s="343" t="s">
        <v>8383</v>
      </c>
      <c r="B259" s="343" t="s">
        <v>5392</v>
      </c>
      <c r="C259" s="350" t="s">
        <v>8686</v>
      </c>
      <c r="D259" s="343" t="s">
        <v>8823</v>
      </c>
      <c r="E259" s="344" t="s">
        <v>8384</v>
      </c>
      <c r="F259" s="344" t="s">
        <v>8385</v>
      </c>
      <c r="G259" s="344" t="s">
        <v>8386</v>
      </c>
      <c r="H259" s="345">
        <v>1</v>
      </c>
      <c r="I259" s="344" t="s">
        <v>7811</v>
      </c>
      <c r="J259" s="344" t="s">
        <v>7324</v>
      </c>
      <c r="K259" s="349" t="s">
        <v>8693</v>
      </c>
      <c r="L259" s="349" t="s">
        <v>5168</v>
      </c>
      <c r="M259" s="359" t="s">
        <v>8287</v>
      </c>
      <c r="N259" s="359" t="s">
        <v>8439</v>
      </c>
      <c r="O259" s="359" t="s">
        <v>8574</v>
      </c>
      <c r="P259" s="350" t="s">
        <v>8651</v>
      </c>
      <c r="Q259" s="343" t="s">
        <v>2233</v>
      </c>
      <c r="R259" s="343" t="s">
        <v>4</v>
      </c>
      <c r="S259" s="343"/>
      <c r="T259" s="343" t="s">
        <v>6690</v>
      </c>
    </row>
    <row r="260" spans="1:20" ht="22" customHeight="1">
      <c r="A260" s="343" t="s">
        <v>5676</v>
      </c>
      <c r="B260" s="343" t="s">
        <v>5392</v>
      </c>
      <c r="C260" s="350" t="s">
        <v>8686</v>
      </c>
      <c r="D260" s="343" t="s">
        <v>8825</v>
      </c>
      <c r="E260" s="344" t="s">
        <v>6120</v>
      </c>
      <c r="F260" s="344" t="s">
        <v>7069</v>
      </c>
      <c r="G260" s="344" t="s">
        <v>7070</v>
      </c>
      <c r="H260" s="345">
        <v>3</v>
      </c>
      <c r="I260" s="344" t="s">
        <v>2733</v>
      </c>
      <c r="J260" s="344" t="s">
        <v>7262</v>
      </c>
      <c r="K260" s="349" t="s">
        <v>8692</v>
      </c>
      <c r="L260" s="349" t="s">
        <v>8693</v>
      </c>
      <c r="M260" s="359" t="s">
        <v>8287</v>
      </c>
      <c r="N260" s="359" t="s">
        <v>8348</v>
      </c>
      <c r="O260" s="359" t="s">
        <v>8574</v>
      </c>
      <c r="P260" s="350" t="s">
        <v>8652</v>
      </c>
      <c r="Q260" s="343" t="s">
        <v>2233</v>
      </c>
      <c r="R260" s="343" t="s">
        <v>4</v>
      </c>
      <c r="S260" s="343"/>
      <c r="T260" s="343" t="s">
        <v>2733</v>
      </c>
    </row>
    <row r="261" spans="1:20" ht="22" customHeight="1">
      <c r="A261" s="343" t="s">
        <v>5677</v>
      </c>
      <c r="B261" s="343" t="s">
        <v>5392</v>
      </c>
      <c r="C261" s="350" t="s">
        <v>8686</v>
      </c>
      <c r="D261" s="343" t="s">
        <v>8824</v>
      </c>
      <c r="E261" s="344" t="s">
        <v>6121</v>
      </c>
      <c r="F261" s="344" t="s">
        <v>7071</v>
      </c>
      <c r="G261" s="344" t="s">
        <v>7072</v>
      </c>
      <c r="H261" s="345">
        <v>3</v>
      </c>
      <c r="I261" s="344" t="s">
        <v>2733</v>
      </c>
      <c r="J261" s="344" t="s">
        <v>7262</v>
      </c>
      <c r="K261" s="349" t="s">
        <v>8692</v>
      </c>
      <c r="L261" s="349" t="s">
        <v>8693</v>
      </c>
      <c r="M261" s="359" t="s">
        <v>8287</v>
      </c>
      <c r="N261" s="359" t="s">
        <v>8348</v>
      </c>
      <c r="O261" s="359" t="s">
        <v>8574</v>
      </c>
      <c r="P261" s="350" t="s">
        <v>8652</v>
      </c>
      <c r="Q261" s="343" t="s">
        <v>2233</v>
      </c>
      <c r="R261" s="343" t="s">
        <v>4</v>
      </c>
      <c r="S261" s="343"/>
      <c r="T261" s="343" t="s">
        <v>2733</v>
      </c>
    </row>
    <row r="262" spans="1:20" ht="22" customHeight="1">
      <c r="A262" s="343" t="s">
        <v>5678</v>
      </c>
      <c r="B262" s="343" t="s">
        <v>5392</v>
      </c>
      <c r="C262" s="350" t="s">
        <v>8686</v>
      </c>
      <c r="D262" s="343" t="s">
        <v>8826</v>
      </c>
      <c r="E262" s="344" t="s">
        <v>6122</v>
      </c>
      <c r="F262" s="344" t="s">
        <v>7073</v>
      </c>
      <c r="G262" s="344" t="s">
        <v>7074</v>
      </c>
      <c r="H262" s="345">
        <v>3</v>
      </c>
      <c r="I262" s="344" t="s">
        <v>2733</v>
      </c>
      <c r="J262" s="344" t="s">
        <v>7262</v>
      </c>
      <c r="K262" s="349" t="s">
        <v>8692</v>
      </c>
      <c r="L262" s="349" t="s">
        <v>8693</v>
      </c>
      <c r="M262" s="359" t="s">
        <v>8287</v>
      </c>
      <c r="N262" s="359" t="s">
        <v>8348</v>
      </c>
      <c r="O262" s="359" t="s">
        <v>8574</v>
      </c>
      <c r="P262" s="350" t="s">
        <v>8652</v>
      </c>
      <c r="Q262" s="343" t="s">
        <v>2233</v>
      </c>
      <c r="R262" s="343" t="s">
        <v>4</v>
      </c>
      <c r="S262" s="343"/>
      <c r="T262" s="343" t="s">
        <v>2733</v>
      </c>
    </row>
    <row r="263" spans="1:20" ht="22" customHeight="1">
      <c r="A263" s="343" t="s">
        <v>8497</v>
      </c>
      <c r="B263" s="343" t="s">
        <v>8498</v>
      </c>
      <c r="C263" s="350" t="s">
        <v>8686</v>
      </c>
      <c r="D263" s="343" t="s">
        <v>8828</v>
      </c>
      <c r="E263" s="344" t="s">
        <v>6123</v>
      </c>
      <c r="F263" s="344" t="s">
        <v>8499</v>
      </c>
      <c r="G263" s="344" t="s">
        <v>7075</v>
      </c>
      <c r="H263" s="345">
        <v>3</v>
      </c>
      <c r="I263" s="344" t="s">
        <v>2733</v>
      </c>
      <c r="J263" s="344" t="s">
        <v>7262</v>
      </c>
      <c r="K263" s="349" t="s">
        <v>8692</v>
      </c>
      <c r="L263" s="349" t="s">
        <v>8693</v>
      </c>
      <c r="M263" s="359" t="s">
        <v>8287</v>
      </c>
      <c r="N263" s="359" t="s">
        <v>8348</v>
      </c>
      <c r="O263" s="359" t="s">
        <v>8574</v>
      </c>
      <c r="P263" s="350" t="s">
        <v>8653</v>
      </c>
      <c r="Q263" s="343" t="s">
        <v>2233</v>
      </c>
      <c r="R263" s="343" t="s">
        <v>4</v>
      </c>
      <c r="S263" s="343"/>
      <c r="T263" s="343" t="s">
        <v>2733</v>
      </c>
    </row>
    <row r="264" spans="1:20" ht="22" customHeight="1">
      <c r="A264" s="343" t="s">
        <v>5679</v>
      </c>
      <c r="B264" s="343" t="s">
        <v>5392</v>
      </c>
      <c r="C264" s="350" t="s">
        <v>8686</v>
      </c>
      <c r="D264" s="343" t="s">
        <v>8827</v>
      </c>
      <c r="E264" s="344" t="s">
        <v>6124</v>
      </c>
      <c r="F264" s="344" t="s">
        <v>7076</v>
      </c>
      <c r="G264" s="344" t="s">
        <v>7077</v>
      </c>
      <c r="H264" s="345">
        <v>2</v>
      </c>
      <c r="I264" s="344" t="s">
        <v>2733</v>
      </c>
      <c r="J264" s="344" t="s">
        <v>7262</v>
      </c>
      <c r="K264" s="349" t="s">
        <v>8692</v>
      </c>
      <c r="L264" s="349" t="s">
        <v>8693</v>
      </c>
      <c r="M264" s="359" t="s">
        <v>8287</v>
      </c>
      <c r="N264" s="359" t="s">
        <v>8348</v>
      </c>
      <c r="O264" s="359" t="s">
        <v>8574</v>
      </c>
      <c r="P264" s="350" t="s">
        <v>8652</v>
      </c>
      <c r="Q264" s="343" t="s">
        <v>2233</v>
      </c>
      <c r="R264" s="343" t="s">
        <v>4</v>
      </c>
      <c r="S264" s="343"/>
      <c r="T264" s="343" t="s">
        <v>2733</v>
      </c>
    </row>
    <row r="265" spans="1:20" ht="22" customHeight="1">
      <c r="A265" s="343" t="s">
        <v>5680</v>
      </c>
      <c r="B265" s="343" t="s">
        <v>5392</v>
      </c>
      <c r="C265" s="350" t="s">
        <v>8686</v>
      </c>
      <c r="D265" s="343" t="s">
        <v>8829</v>
      </c>
      <c r="E265" s="344" t="s">
        <v>6125</v>
      </c>
      <c r="F265" s="344" t="s">
        <v>7078</v>
      </c>
      <c r="G265" s="344" t="s">
        <v>7079</v>
      </c>
      <c r="H265" s="345">
        <v>3</v>
      </c>
      <c r="I265" s="344" t="s">
        <v>7952</v>
      </c>
      <c r="J265" s="344" t="s">
        <v>7348</v>
      </c>
      <c r="K265" s="349" t="s">
        <v>8692</v>
      </c>
      <c r="L265" s="349" t="s">
        <v>8692</v>
      </c>
      <c r="M265" s="359" t="s">
        <v>8287</v>
      </c>
      <c r="N265" s="359" t="s">
        <v>8300</v>
      </c>
      <c r="O265" s="359" t="s">
        <v>8574</v>
      </c>
      <c r="P265" s="350" t="s">
        <v>8652</v>
      </c>
      <c r="Q265" s="343" t="s">
        <v>2233</v>
      </c>
      <c r="R265" s="343" t="s">
        <v>4</v>
      </c>
      <c r="S265" s="343"/>
      <c r="T265" s="343" t="s">
        <v>6692</v>
      </c>
    </row>
    <row r="266" spans="1:20" ht="22" customHeight="1">
      <c r="A266" s="343" t="s">
        <v>5681</v>
      </c>
      <c r="B266" s="343" t="s">
        <v>5393</v>
      </c>
      <c r="C266" s="350" t="s">
        <v>8686</v>
      </c>
      <c r="D266" s="343" t="s">
        <v>2909</v>
      </c>
      <c r="E266" s="344" t="s">
        <v>7364</v>
      </c>
      <c r="F266" s="344" t="s">
        <v>8437</v>
      </c>
      <c r="G266" s="344" t="s">
        <v>8438</v>
      </c>
      <c r="H266" s="345">
        <v>2</v>
      </c>
      <c r="I266" s="344" t="s">
        <v>2733</v>
      </c>
      <c r="J266" s="344" t="s">
        <v>7262</v>
      </c>
      <c r="K266" s="349" t="s">
        <v>8691</v>
      </c>
      <c r="L266" s="349" t="s">
        <v>8693</v>
      </c>
      <c r="M266" s="359" t="s">
        <v>8280</v>
      </c>
      <c r="N266" s="359" t="s">
        <v>8335</v>
      </c>
      <c r="O266" s="359" t="s">
        <v>8574</v>
      </c>
      <c r="P266" s="350" t="s">
        <v>8653</v>
      </c>
      <c r="Q266" s="343"/>
      <c r="R266" s="343" t="s">
        <v>4</v>
      </c>
      <c r="S266" s="343"/>
      <c r="T266" s="343" t="s">
        <v>2733</v>
      </c>
    </row>
    <row r="267" spans="1:20" ht="22" customHeight="1">
      <c r="A267" s="343" t="s">
        <v>5682</v>
      </c>
      <c r="B267" s="343" t="s">
        <v>5393</v>
      </c>
      <c r="C267" s="350" t="s">
        <v>8686</v>
      </c>
      <c r="D267" s="343" t="s">
        <v>2909</v>
      </c>
      <c r="E267" s="344" t="s">
        <v>7365</v>
      </c>
      <c r="F267" s="344" t="s">
        <v>7416</v>
      </c>
      <c r="G267" s="344" t="s">
        <v>7417</v>
      </c>
      <c r="H267" s="345">
        <v>2</v>
      </c>
      <c r="I267" s="344" t="s">
        <v>2733</v>
      </c>
      <c r="J267" s="344" t="s">
        <v>7262</v>
      </c>
      <c r="K267" s="349" t="s">
        <v>8691</v>
      </c>
      <c r="L267" s="349" t="s">
        <v>8693</v>
      </c>
      <c r="M267" s="359" t="s">
        <v>8280</v>
      </c>
      <c r="N267" s="359" t="s">
        <v>8335</v>
      </c>
      <c r="O267" s="359" t="s">
        <v>8574</v>
      </c>
      <c r="P267" s="350" t="s">
        <v>8653</v>
      </c>
      <c r="Q267" s="343"/>
      <c r="R267" s="343" t="s">
        <v>4</v>
      </c>
      <c r="S267" s="343"/>
      <c r="T267" s="343" t="s">
        <v>2733</v>
      </c>
    </row>
    <row r="268" spans="1:20" ht="22" customHeight="1">
      <c r="A268" s="343" t="s">
        <v>5683</v>
      </c>
      <c r="B268" s="343" t="s">
        <v>5393</v>
      </c>
      <c r="C268" s="350" t="s">
        <v>8686</v>
      </c>
      <c r="D268" s="343" t="s">
        <v>2909</v>
      </c>
      <c r="E268" s="344" t="s">
        <v>7366</v>
      </c>
      <c r="F268" s="344" t="s">
        <v>7418</v>
      </c>
      <c r="G268" s="344" t="s">
        <v>7419</v>
      </c>
      <c r="H268" s="345">
        <v>2</v>
      </c>
      <c r="I268" s="344" t="s">
        <v>2733</v>
      </c>
      <c r="J268" s="344" t="s">
        <v>7367</v>
      </c>
      <c r="K268" s="349" t="s">
        <v>8692</v>
      </c>
      <c r="L268" s="349" t="s">
        <v>8693</v>
      </c>
      <c r="M268" s="359" t="s">
        <v>8282</v>
      </c>
      <c r="N268" s="359" t="s">
        <v>8336</v>
      </c>
      <c r="O268" s="359" t="s">
        <v>8574</v>
      </c>
      <c r="P268" s="350" t="s">
        <v>8650</v>
      </c>
      <c r="Q268" s="343"/>
      <c r="R268" s="343" t="s">
        <v>4</v>
      </c>
      <c r="S268" s="343"/>
      <c r="T268" s="343" t="s">
        <v>2733</v>
      </c>
    </row>
    <row r="269" spans="1:20" ht="22" customHeight="1">
      <c r="A269" s="343" t="s">
        <v>5684</v>
      </c>
      <c r="B269" s="343" t="s">
        <v>5393</v>
      </c>
      <c r="C269" s="350" t="s">
        <v>8686</v>
      </c>
      <c r="D269" s="343" t="s">
        <v>2909</v>
      </c>
      <c r="E269" s="344" t="s">
        <v>7368</v>
      </c>
      <c r="F269" s="344" t="s">
        <v>7420</v>
      </c>
      <c r="G269" s="344" t="s">
        <v>7421</v>
      </c>
      <c r="H269" s="345">
        <v>2</v>
      </c>
      <c r="I269" s="344" t="s">
        <v>7785</v>
      </c>
      <c r="J269" s="344" t="s">
        <v>7277</v>
      </c>
      <c r="K269" s="349" t="s">
        <v>8692</v>
      </c>
      <c r="L269" s="349" t="s">
        <v>8692</v>
      </c>
      <c r="M269" s="359" t="s">
        <v>8598</v>
      </c>
      <c r="N269" s="359" t="s">
        <v>8659</v>
      </c>
      <c r="O269" s="359" t="s">
        <v>8688</v>
      </c>
      <c r="P269" s="350" t="s">
        <v>8652</v>
      </c>
      <c r="Q269" s="343"/>
      <c r="R269" s="343" t="s">
        <v>4</v>
      </c>
      <c r="S269" s="343"/>
      <c r="T269" s="343" t="s">
        <v>6241</v>
      </c>
    </row>
    <row r="270" spans="1:20" ht="22" customHeight="1">
      <c r="A270" s="343" t="s">
        <v>5685</v>
      </c>
      <c r="B270" s="343" t="s">
        <v>5393</v>
      </c>
      <c r="C270" s="350" t="s">
        <v>8686</v>
      </c>
      <c r="D270" s="343" t="s">
        <v>8830</v>
      </c>
      <c r="E270" s="344" t="s">
        <v>7369</v>
      </c>
      <c r="F270" s="344" t="s">
        <v>7422</v>
      </c>
      <c r="G270" s="344" t="s">
        <v>7423</v>
      </c>
      <c r="H270" s="345">
        <v>3</v>
      </c>
      <c r="I270" s="344" t="s">
        <v>7797</v>
      </c>
      <c r="J270" s="344" t="s">
        <v>7371</v>
      </c>
      <c r="K270" s="349" t="s">
        <v>8692</v>
      </c>
      <c r="L270" s="349" t="s">
        <v>8693</v>
      </c>
      <c r="M270" s="359" t="s">
        <v>8280</v>
      </c>
      <c r="N270" s="359" t="s">
        <v>8320</v>
      </c>
      <c r="O270" s="359" t="s">
        <v>8574</v>
      </c>
      <c r="P270" s="350" t="s">
        <v>8653</v>
      </c>
      <c r="Q270" s="343"/>
      <c r="R270" s="343" t="s">
        <v>4</v>
      </c>
      <c r="S270" s="343"/>
      <c r="T270" s="343" t="s">
        <v>7370</v>
      </c>
    </row>
    <row r="271" spans="1:20" ht="22" customHeight="1">
      <c r="A271" s="343" t="s">
        <v>5686</v>
      </c>
      <c r="B271" s="343" t="s">
        <v>5393</v>
      </c>
      <c r="C271" s="350" t="s">
        <v>8686</v>
      </c>
      <c r="D271" s="343" t="s">
        <v>2909</v>
      </c>
      <c r="E271" s="344" t="s">
        <v>7372</v>
      </c>
      <c r="F271" s="344" t="s">
        <v>7424</v>
      </c>
      <c r="G271" s="344" t="s">
        <v>7425</v>
      </c>
      <c r="H271" s="345">
        <v>3</v>
      </c>
      <c r="I271" s="344" t="s">
        <v>7815</v>
      </c>
      <c r="J271" s="344" t="s">
        <v>7327</v>
      </c>
      <c r="K271" s="349" t="s">
        <v>8693</v>
      </c>
      <c r="L271" s="349" t="s">
        <v>8693</v>
      </c>
      <c r="M271" s="359" t="s">
        <v>8288</v>
      </c>
      <c r="N271" s="359" t="s">
        <v>8337</v>
      </c>
      <c r="O271" s="359" t="s">
        <v>8574</v>
      </c>
      <c r="P271" s="350" t="s">
        <v>8653</v>
      </c>
      <c r="Q271" s="343"/>
      <c r="R271" s="343" t="s">
        <v>4</v>
      </c>
      <c r="S271" s="343"/>
      <c r="T271" s="343" t="s">
        <v>6421</v>
      </c>
    </row>
    <row r="272" spans="1:20" ht="22" customHeight="1">
      <c r="A272" s="343" t="s">
        <v>5687</v>
      </c>
      <c r="B272" s="343" t="s">
        <v>5393</v>
      </c>
      <c r="C272" s="350" t="s">
        <v>8686</v>
      </c>
      <c r="D272" s="343" t="s">
        <v>2909</v>
      </c>
      <c r="E272" s="344" t="s">
        <v>7373</v>
      </c>
      <c r="F272" s="344" t="s">
        <v>7426</v>
      </c>
      <c r="G272" s="344" t="s">
        <v>7427</v>
      </c>
      <c r="H272" s="345">
        <v>2</v>
      </c>
      <c r="I272" s="344" t="s">
        <v>7815</v>
      </c>
      <c r="J272" s="344" t="s">
        <v>7327</v>
      </c>
      <c r="K272" s="349" t="s">
        <v>8693</v>
      </c>
      <c r="L272" s="349" t="s">
        <v>8693</v>
      </c>
      <c r="M272" s="359" t="s">
        <v>8288</v>
      </c>
      <c r="N272" s="359" t="s">
        <v>8338</v>
      </c>
      <c r="O272" s="359" t="s">
        <v>8574</v>
      </c>
      <c r="P272" s="350" t="s">
        <v>8653</v>
      </c>
      <c r="Q272" s="343"/>
      <c r="R272" s="343" t="s">
        <v>4</v>
      </c>
      <c r="S272" s="343"/>
      <c r="T272" s="343" t="s">
        <v>6421</v>
      </c>
    </row>
    <row r="273" spans="1:20" ht="22" customHeight="1">
      <c r="A273" s="343" t="s">
        <v>5688</v>
      </c>
      <c r="B273" s="343" t="s">
        <v>5393</v>
      </c>
      <c r="C273" s="350" t="s">
        <v>8686</v>
      </c>
      <c r="D273" s="343" t="s">
        <v>8831</v>
      </c>
      <c r="E273" s="344" t="s">
        <v>7374</v>
      </c>
      <c r="F273" s="344" t="s">
        <v>7428</v>
      </c>
      <c r="G273" s="344" t="s">
        <v>7429</v>
      </c>
      <c r="H273" s="345">
        <v>3</v>
      </c>
      <c r="I273" s="344" t="s">
        <v>7947</v>
      </c>
      <c r="J273" s="344" t="s">
        <v>7349</v>
      </c>
      <c r="K273" s="349" t="s">
        <v>8693</v>
      </c>
      <c r="L273" s="349" t="s">
        <v>8693</v>
      </c>
      <c r="M273" s="359" t="s">
        <v>8288</v>
      </c>
      <c r="N273" s="359" t="s">
        <v>8339</v>
      </c>
      <c r="O273" s="359" t="s">
        <v>8574</v>
      </c>
      <c r="P273" s="350" t="s">
        <v>8653</v>
      </c>
      <c r="Q273" s="343"/>
      <c r="R273" s="343" t="s">
        <v>4</v>
      </c>
      <c r="S273" s="343"/>
      <c r="T273" s="343" t="s">
        <v>6693</v>
      </c>
    </row>
    <row r="274" spans="1:20" ht="22" customHeight="1">
      <c r="A274" s="343" t="s">
        <v>5689</v>
      </c>
      <c r="B274" s="343" t="s">
        <v>5393</v>
      </c>
      <c r="C274" s="350" t="s">
        <v>8686</v>
      </c>
      <c r="D274" s="343" t="s">
        <v>8831</v>
      </c>
      <c r="E274" s="344" t="s">
        <v>7375</v>
      </c>
      <c r="F274" s="344" t="s">
        <v>7430</v>
      </c>
      <c r="G274" s="344" t="s">
        <v>7431</v>
      </c>
      <c r="H274" s="345">
        <v>2</v>
      </c>
      <c r="I274" s="344" t="s">
        <v>7800</v>
      </c>
      <c r="J274" s="344" t="s">
        <v>7309</v>
      </c>
      <c r="K274" s="349" t="s">
        <v>8693</v>
      </c>
      <c r="L274" s="349" t="s">
        <v>8693</v>
      </c>
      <c r="M274" s="359" t="s">
        <v>8286</v>
      </c>
      <c r="N274" s="359" t="s">
        <v>8323</v>
      </c>
      <c r="O274" s="359" t="s">
        <v>8574</v>
      </c>
      <c r="P274" s="350" t="s">
        <v>8653</v>
      </c>
      <c r="Q274" s="343"/>
      <c r="R274" s="343" t="s">
        <v>4</v>
      </c>
      <c r="S274" s="343"/>
      <c r="T274" s="343" t="s">
        <v>6349</v>
      </c>
    </row>
    <row r="275" spans="1:20" ht="22" customHeight="1">
      <c r="A275" s="343" t="s">
        <v>5690</v>
      </c>
      <c r="B275" s="343" t="s">
        <v>5393</v>
      </c>
      <c r="C275" s="350" t="s">
        <v>8686</v>
      </c>
      <c r="D275" s="343" t="s">
        <v>8831</v>
      </c>
      <c r="E275" s="344" t="s">
        <v>7376</v>
      </c>
      <c r="F275" s="344" t="s">
        <v>7432</v>
      </c>
      <c r="G275" s="344" t="s">
        <v>7433</v>
      </c>
      <c r="H275" s="345">
        <v>3</v>
      </c>
      <c r="I275" s="344" t="s">
        <v>7949</v>
      </c>
      <c r="J275" s="344" t="s">
        <v>7378</v>
      </c>
      <c r="K275" s="349" t="s">
        <v>8693</v>
      </c>
      <c r="L275" s="349" t="s">
        <v>8693</v>
      </c>
      <c r="M275" s="359" t="s">
        <v>8288</v>
      </c>
      <c r="N275" s="359" t="s">
        <v>8340</v>
      </c>
      <c r="O275" s="359" t="s">
        <v>8574</v>
      </c>
      <c r="P275" s="350" t="s">
        <v>8653</v>
      </c>
      <c r="Q275" s="343"/>
      <c r="R275" s="343" t="s">
        <v>4</v>
      </c>
      <c r="S275" s="343"/>
      <c r="T275" s="343" t="s">
        <v>7377</v>
      </c>
    </row>
    <row r="276" spans="1:20" ht="22" customHeight="1">
      <c r="A276" s="343" t="s">
        <v>5691</v>
      </c>
      <c r="B276" s="343" t="s">
        <v>5393</v>
      </c>
      <c r="C276" s="350" t="s">
        <v>8686</v>
      </c>
      <c r="D276" s="343" t="s">
        <v>8831</v>
      </c>
      <c r="E276" s="344" t="s">
        <v>7379</v>
      </c>
      <c r="F276" s="344" t="s">
        <v>7434</v>
      </c>
      <c r="G276" s="344" t="s">
        <v>7435</v>
      </c>
      <c r="H276" s="345">
        <v>2</v>
      </c>
      <c r="I276" s="344" t="s">
        <v>7798</v>
      </c>
      <c r="J276" s="344" t="s">
        <v>7305</v>
      </c>
      <c r="K276" s="349" t="s">
        <v>8692</v>
      </c>
      <c r="L276" s="349" t="s">
        <v>8693</v>
      </c>
      <c r="M276" s="359" t="s">
        <v>8598</v>
      </c>
      <c r="N276" s="359" t="s">
        <v>8660</v>
      </c>
      <c r="O276" s="359" t="s">
        <v>8688</v>
      </c>
      <c r="P276" s="350" t="s">
        <v>8653</v>
      </c>
      <c r="Q276" s="343"/>
      <c r="R276" s="343" t="s">
        <v>4</v>
      </c>
      <c r="S276" s="343"/>
      <c r="T276" s="343" t="s">
        <v>6340</v>
      </c>
    </row>
    <row r="277" spans="1:20" ht="22" customHeight="1">
      <c r="A277" s="343" t="s">
        <v>5692</v>
      </c>
      <c r="B277" s="343" t="s">
        <v>5393</v>
      </c>
      <c r="C277" s="350" t="s">
        <v>8686</v>
      </c>
      <c r="D277" s="343" t="s">
        <v>8831</v>
      </c>
      <c r="E277" s="344" t="s">
        <v>7380</v>
      </c>
      <c r="F277" s="344" t="s">
        <v>7436</v>
      </c>
      <c r="G277" s="344" t="s">
        <v>7437</v>
      </c>
      <c r="H277" s="345">
        <v>2</v>
      </c>
      <c r="I277" s="344" t="s">
        <v>7811</v>
      </c>
      <c r="J277" s="344" t="s">
        <v>7325</v>
      </c>
      <c r="K277" s="349" t="s">
        <v>8692</v>
      </c>
      <c r="L277" s="349" t="s">
        <v>8693</v>
      </c>
      <c r="M277" s="359" t="s">
        <v>8290</v>
      </c>
      <c r="N277" s="359" t="s">
        <v>8341</v>
      </c>
      <c r="O277" s="359" t="s">
        <v>8574</v>
      </c>
      <c r="P277" s="350" t="s">
        <v>8653</v>
      </c>
      <c r="Q277" s="343"/>
      <c r="R277" s="343" t="s">
        <v>4</v>
      </c>
      <c r="S277" s="343"/>
      <c r="T277" s="343" t="s">
        <v>6412</v>
      </c>
    </row>
    <row r="278" spans="1:20" ht="22" customHeight="1">
      <c r="A278" s="343" t="s">
        <v>5693</v>
      </c>
      <c r="B278" s="343" t="s">
        <v>5393</v>
      </c>
      <c r="C278" s="350" t="s">
        <v>8686</v>
      </c>
      <c r="D278" s="343" t="s">
        <v>8831</v>
      </c>
      <c r="E278" s="344" t="s">
        <v>7381</v>
      </c>
      <c r="F278" s="344" t="s">
        <v>7438</v>
      </c>
      <c r="G278" s="344" t="s">
        <v>7439</v>
      </c>
      <c r="H278" s="345">
        <v>2</v>
      </c>
      <c r="I278" s="344" t="s">
        <v>2733</v>
      </c>
      <c r="J278" s="344" t="s">
        <v>7382</v>
      </c>
      <c r="K278" s="349" t="s">
        <v>8695</v>
      </c>
      <c r="L278" s="349" t="s">
        <v>8693</v>
      </c>
      <c r="M278" s="359" t="s">
        <v>8286</v>
      </c>
      <c r="N278" s="359" t="s">
        <v>8342</v>
      </c>
      <c r="O278" s="359" t="s">
        <v>8574</v>
      </c>
      <c r="P278" s="350" t="s">
        <v>8653</v>
      </c>
      <c r="Q278" s="343"/>
      <c r="R278" s="343" t="s">
        <v>4</v>
      </c>
      <c r="S278" s="343"/>
      <c r="T278" s="343" t="s">
        <v>2733</v>
      </c>
    </row>
    <row r="279" spans="1:20" ht="22" customHeight="1">
      <c r="A279" s="343" t="s">
        <v>5694</v>
      </c>
      <c r="B279" s="343" t="s">
        <v>5393</v>
      </c>
      <c r="C279" s="350" t="s">
        <v>8686</v>
      </c>
      <c r="D279" s="343" t="s">
        <v>8831</v>
      </c>
      <c r="E279" s="344" t="s">
        <v>7383</v>
      </c>
      <c r="F279" s="344" t="s">
        <v>7440</v>
      </c>
      <c r="G279" s="344" t="s">
        <v>7441</v>
      </c>
      <c r="H279" s="345">
        <v>2</v>
      </c>
      <c r="I279" s="344" t="s">
        <v>7811</v>
      </c>
      <c r="J279" s="344" t="s">
        <v>7324</v>
      </c>
      <c r="K279" s="349" t="s">
        <v>8692</v>
      </c>
      <c r="L279" s="349" t="s">
        <v>8692</v>
      </c>
      <c r="M279" s="359" t="s">
        <v>8291</v>
      </c>
      <c r="N279" s="359" t="s">
        <v>8343</v>
      </c>
      <c r="O279" s="359" t="s">
        <v>8574</v>
      </c>
      <c r="P279" s="350" t="s">
        <v>8651</v>
      </c>
      <c r="Q279" s="343"/>
      <c r="R279" s="343" t="s">
        <v>4</v>
      </c>
      <c r="S279" s="343"/>
      <c r="T279" s="343" t="s">
        <v>6400</v>
      </c>
    </row>
    <row r="280" spans="1:20" ht="22" customHeight="1">
      <c r="A280" s="343" t="s">
        <v>7384</v>
      </c>
      <c r="B280" s="343" t="s">
        <v>5393</v>
      </c>
      <c r="C280" s="350" t="s">
        <v>8686</v>
      </c>
      <c r="D280" s="343" t="s">
        <v>2909</v>
      </c>
      <c r="E280" s="344" t="s">
        <v>7385</v>
      </c>
      <c r="F280" s="344" t="s">
        <v>7442</v>
      </c>
      <c r="G280" s="344" t="s">
        <v>7443</v>
      </c>
      <c r="H280" s="345">
        <v>2</v>
      </c>
      <c r="I280" s="344" t="s">
        <v>7811</v>
      </c>
      <c r="J280" s="344" t="s">
        <v>7324</v>
      </c>
      <c r="K280" s="349" t="s">
        <v>8692</v>
      </c>
      <c r="L280" s="349" t="s">
        <v>8692</v>
      </c>
      <c r="M280" s="359" t="s">
        <v>8291</v>
      </c>
      <c r="N280" s="359" t="s">
        <v>8344</v>
      </c>
      <c r="O280" s="359" t="s">
        <v>8574</v>
      </c>
      <c r="P280" s="350" t="s">
        <v>8651</v>
      </c>
      <c r="Q280" s="343"/>
      <c r="R280" s="343" t="s">
        <v>4</v>
      </c>
      <c r="S280" s="343"/>
      <c r="T280" s="343" t="s">
        <v>6400</v>
      </c>
    </row>
    <row r="281" spans="1:20" ht="22" customHeight="1">
      <c r="A281" s="343" t="s">
        <v>7386</v>
      </c>
      <c r="B281" s="343" t="s">
        <v>5393</v>
      </c>
      <c r="C281" s="350" t="s">
        <v>8686</v>
      </c>
      <c r="D281" s="343" t="s">
        <v>8832</v>
      </c>
      <c r="E281" s="344" t="s">
        <v>7387</v>
      </c>
      <c r="F281" s="344" t="s">
        <v>7444</v>
      </c>
      <c r="G281" s="344" t="s">
        <v>7445</v>
      </c>
      <c r="H281" s="345">
        <v>2</v>
      </c>
      <c r="I281" s="344" t="s">
        <v>7814</v>
      </c>
      <c r="J281" s="344" t="s">
        <v>7273</v>
      </c>
      <c r="K281" s="349" t="s">
        <v>8693</v>
      </c>
      <c r="L281" s="349" t="s">
        <v>8693</v>
      </c>
      <c r="M281" s="359" t="s">
        <v>8288</v>
      </c>
      <c r="N281" s="359" t="s">
        <v>8345</v>
      </c>
      <c r="O281" s="359" t="s">
        <v>8574</v>
      </c>
      <c r="P281" s="350" t="s">
        <v>8653</v>
      </c>
      <c r="Q281" s="343"/>
      <c r="R281" s="343" t="s">
        <v>4</v>
      </c>
      <c r="S281" s="343"/>
      <c r="T281" s="343" t="s">
        <v>6414</v>
      </c>
    </row>
    <row r="282" spans="1:20" ht="22" customHeight="1">
      <c r="A282" s="343" t="s">
        <v>7388</v>
      </c>
      <c r="B282" s="343" t="s">
        <v>5393</v>
      </c>
      <c r="C282" s="350" t="s">
        <v>8686</v>
      </c>
      <c r="D282" s="343" t="s">
        <v>8833</v>
      </c>
      <c r="E282" s="344" t="s">
        <v>7389</v>
      </c>
      <c r="F282" s="344" t="s">
        <v>7446</v>
      </c>
      <c r="G282" s="344" t="s">
        <v>7080</v>
      </c>
      <c r="H282" s="345">
        <v>3</v>
      </c>
      <c r="I282" s="344" t="s">
        <v>2733</v>
      </c>
      <c r="J282" s="344" t="s">
        <v>7262</v>
      </c>
      <c r="K282" s="349" t="s">
        <v>8692</v>
      </c>
      <c r="L282" s="349" t="s">
        <v>8693</v>
      </c>
      <c r="M282" s="359" t="s">
        <v>8280</v>
      </c>
      <c r="N282" s="359" t="s">
        <v>8335</v>
      </c>
      <c r="O282" s="359" t="s">
        <v>8574</v>
      </c>
      <c r="P282" s="350" t="s">
        <v>8653</v>
      </c>
      <c r="Q282" s="343"/>
      <c r="R282" s="343" t="s">
        <v>4</v>
      </c>
      <c r="S282" s="343"/>
      <c r="T282" s="343" t="s">
        <v>2733</v>
      </c>
    </row>
    <row r="283" spans="1:20" ht="22" customHeight="1">
      <c r="A283" s="343" t="s">
        <v>7390</v>
      </c>
      <c r="B283" s="343" t="s">
        <v>5393</v>
      </c>
      <c r="C283" s="350" t="s">
        <v>8686</v>
      </c>
      <c r="D283" s="343" t="s">
        <v>8834</v>
      </c>
      <c r="E283" s="344" t="s">
        <v>7391</v>
      </c>
      <c r="F283" s="344" t="s">
        <v>7447</v>
      </c>
      <c r="G283" s="344" t="s">
        <v>7081</v>
      </c>
      <c r="H283" s="345">
        <v>3</v>
      </c>
      <c r="I283" s="344" t="s">
        <v>7797</v>
      </c>
      <c r="J283" s="344" t="s">
        <v>7302</v>
      </c>
      <c r="K283" s="349" t="s">
        <v>8692</v>
      </c>
      <c r="L283" s="349" t="s">
        <v>8693</v>
      </c>
      <c r="M283" s="359" t="s">
        <v>8280</v>
      </c>
      <c r="N283" s="359" t="s">
        <v>8320</v>
      </c>
      <c r="O283" s="359" t="s">
        <v>8574</v>
      </c>
      <c r="P283" s="350" t="s">
        <v>8653</v>
      </c>
      <c r="Q283" s="343"/>
      <c r="R283" s="343" t="s">
        <v>4</v>
      </c>
      <c r="S283" s="343"/>
      <c r="T283" s="343" t="s">
        <v>6328</v>
      </c>
    </row>
    <row r="284" spans="1:20" ht="22" customHeight="1">
      <c r="A284" s="343" t="s">
        <v>7392</v>
      </c>
      <c r="B284" s="343" t="s">
        <v>5393</v>
      </c>
      <c r="C284" s="350" t="s">
        <v>8686</v>
      </c>
      <c r="D284" s="343" t="s">
        <v>2909</v>
      </c>
      <c r="E284" s="344" t="s">
        <v>7393</v>
      </c>
      <c r="F284" s="344" t="s">
        <v>7082</v>
      </c>
      <c r="G284" s="344" t="s">
        <v>7083</v>
      </c>
      <c r="H284" s="345">
        <v>2</v>
      </c>
      <c r="I284" s="344" t="s">
        <v>7800</v>
      </c>
      <c r="J284" s="344" t="s">
        <v>7309</v>
      </c>
      <c r="K284" s="349" t="s">
        <v>8693</v>
      </c>
      <c r="L284" s="349" t="s">
        <v>8693</v>
      </c>
      <c r="M284" s="359" t="s">
        <v>8286</v>
      </c>
      <c r="N284" s="359" t="s">
        <v>8323</v>
      </c>
      <c r="O284" s="359" t="s">
        <v>8574</v>
      </c>
      <c r="P284" s="350" t="s">
        <v>8653</v>
      </c>
      <c r="Q284" s="343"/>
      <c r="R284" s="343" t="s">
        <v>4</v>
      </c>
      <c r="S284" s="343"/>
      <c r="T284" s="343" t="s">
        <v>6349</v>
      </c>
    </row>
    <row r="285" spans="1:20" ht="22" customHeight="1">
      <c r="A285" s="343" t="s">
        <v>7394</v>
      </c>
      <c r="B285" s="343" t="s">
        <v>5393</v>
      </c>
      <c r="C285" s="350" t="s">
        <v>8686</v>
      </c>
      <c r="D285" s="343" t="s">
        <v>2909</v>
      </c>
      <c r="E285" s="344" t="s">
        <v>7395</v>
      </c>
      <c r="F285" s="344" t="s">
        <v>7448</v>
      </c>
      <c r="G285" s="344" t="s">
        <v>7084</v>
      </c>
      <c r="H285" s="345">
        <v>1</v>
      </c>
      <c r="I285" s="344" t="s">
        <v>7816</v>
      </c>
      <c r="J285" s="344" t="s">
        <v>7265</v>
      </c>
      <c r="K285" s="349" t="s">
        <v>8692</v>
      </c>
      <c r="L285" s="349" t="s">
        <v>8693</v>
      </c>
      <c r="M285" s="359" t="s">
        <v>8284</v>
      </c>
      <c r="N285" s="359" t="s">
        <v>8299</v>
      </c>
      <c r="O285" s="359" t="s">
        <v>8574</v>
      </c>
      <c r="P285" s="350" t="s">
        <v>8653</v>
      </c>
      <c r="Q285" s="343"/>
      <c r="R285" s="343" t="s">
        <v>4</v>
      </c>
      <c r="S285" s="343"/>
      <c r="T285" s="343" t="s">
        <v>6426</v>
      </c>
    </row>
    <row r="286" spans="1:20" ht="22" customHeight="1">
      <c r="A286" s="343" t="s">
        <v>7396</v>
      </c>
      <c r="B286" s="343" t="s">
        <v>5393</v>
      </c>
      <c r="C286" s="350" t="s">
        <v>8686</v>
      </c>
      <c r="D286" s="343" t="s">
        <v>2909</v>
      </c>
      <c r="E286" s="344" t="s">
        <v>7397</v>
      </c>
      <c r="F286" s="344" t="s">
        <v>7449</v>
      </c>
      <c r="G286" s="344" t="s">
        <v>7085</v>
      </c>
      <c r="H286" s="345">
        <v>2</v>
      </c>
      <c r="I286" s="344" t="s">
        <v>7797</v>
      </c>
      <c r="J286" s="344" t="s">
        <v>7303</v>
      </c>
      <c r="K286" s="349" t="s">
        <v>8692</v>
      </c>
      <c r="L286" s="349" t="s">
        <v>8693</v>
      </c>
      <c r="M286" s="359" t="s">
        <v>8280</v>
      </c>
      <c r="N286" s="359" t="s">
        <v>8321</v>
      </c>
      <c r="O286" s="359" t="s">
        <v>8574</v>
      </c>
      <c r="P286" s="350" t="s">
        <v>8653</v>
      </c>
      <c r="Q286" s="343"/>
      <c r="R286" s="343" t="s">
        <v>4</v>
      </c>
      <c r="S286" s="343"/>
      <c r="T286" s="343" t="s">
        <v>6331</v>
      </c>
    </row>
    <row r="287" spans="1:20" ht="22" customHeight="1">
      <c r="A287" s="343" t="s">
        <v>7398</v>
      </c>
      <c r="B287" s="343" t="s">
        <v>5393</v>
      </c>
      <c r="C287" s="350" t="s">
        <v>8686</v>
      </c>
      <c r="D287" s="343" t="s">
        <v>8835</v>
      </c>
      <c r="E287" s="344" t="s">
        <v>7399</v>
      </c>
      <c r="F287" s="344" t="s">
        <v>7450</v>
      </c>
      <c r="G287" s="344" t="s">
        <v>7086</v>
      </c>
      <c r="H287" s="345">
        <v>3</v>
      </c>
      <c r="I287" s="344" t="s">
        <v>2733</v>
      </c>
      <c r="J287" s="344" t="s">
        <v>7262</v>
      </c>
      <c r="K287" s="349" t="s">
        <v>8691</v>
      </c>
      <c r="L287" s="349" t="s">
        <v>8693</v>
      </c>
      <c r="M287" s="359" t="s">
        <v>8280</v>
      </c>
      <c r="N287" s="359" t="s">
        <v>8335</v>
      </c>
      <c r="O287" s="359" t="s">
        <v>8574</v>
      </c>
      <c r="P287" s="350" t="s">
        <v>8653</v>
      </c>
      <c r="Q287" s="343"/>
      <c r="R287" s="343" t="s">
        <v>4</v>
      </c>
      <c r="S287" s="343"/>
      <c r="T287" s="343" t="s">
        <v>2733</v>
      </c>
    </row>
    <row r="288" spans="1:20" ht="22" customHeight="1">
      <c r="A288" s="343" t="s">
        <v>7400</v>
      </c>
      <c r="B288" s="343" t="s">
        <v>5393</v>
      </c>
      <c r="C288" s="350" t="s">
        <v>8686</v>
      </c>
      <c r="D288" s="343" t="s">
        <v>8836</v>
      </c>
      <c r="E288" s="344" t="s">
        <v>7401</v>
      </c>
      <c r="F288" s="344" t="s">
        <v>7451</v>
      </c>
      <c r="G288" s="344" t="s">
        <v>7452</v>
      </c>
      <c r="H288" s="345">
        <v>2</v>
      </c>
      <c r="I288" s="344" t="s">
        <v>7816</v>
      </c>
      <c r="J288" s="344" t="s">
        <v>7329</v>
      </c>
      <c r="K288" s="349" t="s">
        <v>8693</v>
      </c>
      <c r="L288" s="349" t="s">
        <v>8693</v>
      </c>
      <c r="M288" s="359" t="s">
        <v>8284</v>
      </c>
      <c r="N288" s="359" t="s">
        <v>8346</v>
      </c>
      <c r="O288" s="359" t="s">
        <v>8574</v>
      </c>
      <c r="P288" s="350" t="s">
        <v>8653</v>
      </c>
      <c r="Q288" s="343"/>
      <c r="R288" s="343" t="s">
        <v>4</v>
      </c>
      <c r="S288" s="343"/>
      <c r="T288" s="343" t="s">
        <v>6430</v>
      </c>
    </row>
    <row r="289" spans="1:20" ht="22" customHeight="1">
      <c r="A289" s="343" t="s">
        <v>7402</v>
      </c>
      <c r="B289" s="343" t="s">
        <v>5393</v>
      </c>
      <c r="C289" s="350" t="s">
        <v>8686</v>
      </c>
      <c r="D289" s="343" t="s">
        <v>8837</v>
      </c>
      <c r="E289" s="344" t="s">
        <v>7403</v>
      </c>
      <c r="F289" s="344" t="s">
        <v>7088</v>
      </c>
      <c r="G289" s="344" t="s">
        <v>7089</v>
      </c>
      <c r="H289" s="345">
        <v>3</v>
      </c>
      <c r="I289" s="344" t="s">
        <v>7798</v>
      </c>
      <c r="J289" s="344" t="s">
        <v>7304</v>
      </c>
      <c r="K289" s="349" t="s">
        <v>8691</v>
      </c>
      <c r="L289" s="349" t="s">
        <v>8693</v>
      </c>
      <c r="M289" s="359" t="s">
        <v>8284</v>
      </c>
      <c r="N289" s="359" t="s">
        <v>8298</v>
      </c>
      <c r="O289" s="359" t="s">
        <v>8574</v>
      </c>
      <c r="P289" s="350" t="s">
        <v>8653</v>
      </c>
      <c r="Q289" s="343"/>
      <c r="R289" s="343" t="s">
        <v>4</v>
      </c>
      <c r="S289" s="343"/>
      <c r="T289" s="343" t="s">
        <v>6333</v>
      </c>
    </row>
    <row r="290" spans="1:20" ht="22" customHeight="1">
      <c r="A290" s="343" t="s">
        <v>7404</v>
      </c>
      <c r="B290" s="343" t="s">
        <v>5393</v>
      </c>
      <c r="C290" s="350" t="s">
        <v>8686</v>
      </c>
      <c r="D290" s="343" t="s">
        <v>8838</v>
      </c>
      <c r="E290" s="344" t="s">
        <v>7405</v>
      </c>
      <c r="F290" s="344" t="s">
        <v>7453</v>
      </c>
      <c r="G290" s="344" t="s">
        <v>7090</v>
      </c>
      <c r="H290" s="345">
        <v>3</v>
      </c>
      <c r="I290" s="344" t="s">
        <v>7814</v>
      </c>
      <c r="J290" s="344" t="s">
        <v>7273</v>
      </c>
      <c r="K290" s="349" t="s">
        <v>8691</v>
      </c>
      <c r="L290" s="349" t="s">
        <v>8693</v>
      </c>
      <c r="M290" s="359" t="s">
        <v>8288</v>
      </c>
      <c r="N290" s="359" t="s">
        <v>8347</v>
      </c>
      <c r="O290" s="359" t="s">
        <v>8574</v>
      </c>
      <c r="P290" s="350" t="s">
        <v>8653</v>
      </c>
      <c r="Q290" s="343"/>
      <c r="R290" s="343" t="s">
        <v>4</v>
      </c>
      <c r="S290" s="343"/>
      <c r="T290" s="343" t="s">
        <v>6414</v>
      </c>
    </row>
    <row r="291" spans="1:20" ht="22" customHeight="1">
      <c r="A291" s="343" t="s">
        <v>5695</v>
      </c>
      <c r="B291" s="343" t="s">
        <v>5394</v>
      </c>
      <c r="C291" s="350" t="s">
        <v>8686</v>
      </c>
      <c r="D291" s="343" t="s">
        <v>8839</v>
      </c>
      <c r="E291" s="344" t="s">
        <v>6126</v>
      </c>
      <c r="F291" s="344" t="s">
        <v>7091</v>
      </c>
      <c r="G291" s="344" t="s">
        <v>7092</v>
      </c>
      <c r="H291" s="345">
        <v>2</v>
      </c>
      <c r="I291" s="344" t="s">
        <v>2733</v>
      </c>
      <c r="J291" s="344" t="s">
        <v>7262</v>
      </c>
      <c r="K291" s="349" t="s">
        <v>8692</v>
      </c>
      <c r="L291" s="349" t="s">
        <v>8693</v>
      </c>
      <c r="M291" s="359" t="s">
        <v>8280</v>
      </c>
      <c r="N291" s="359" t="s">
        <v>8350</v>
      </c>
      <c r="O291" s="359" t="s">
        <v>8574</v>
      </c>
      <c r="P291" s="350" t="s">
        <v>8653</v>
      </c>
      <c r="Q291" s="343" t="s">
        <v>2233</v>
      </c>
      <c r="R291" s="343" t="s">
        <v>4</v>
      </c>
      <c r="S291" s="343"/>
      <c r="T291" s="343" t="s">
        <v>2733</v>
      </c>
    </row>
    <row r="292" spans="1:20" ht="22" customHeight="1">
      <c r="A292" s="343" t="s">
        <v>5696</v>
      </c>
      <c r="B292" s="343" t="s">
        <v>5394</v>
      </c>
      <c r="C292" s="350" t="s">
        <v>8686</v>
      </c>
      <c r="D292" s="343" t="s">
        <v>8839</v>
      </c>
      <c r="E292" s="344" t="s">
        <v>6127</v>
      </c>
      <c r="F292" s="344" t="s">
        <v>7093</v>
      </c>
      <c r="G292" s="344" t="s">
        <v>7094</v>
      </c>
      <c r="H292" s="345">
        <v>2</v>
      </c>
      <c r="I292" s="344" t="s">
        <v>2733</v>
      </c>
      <c r="J292" s="344" t="s">
        <v>7262</v>
      </c>
      <c r="K292" s="349" t="s">
        <v>8692</v>
      </c>
      <c r="L292" s="349" t="s">
        <v>8693</v>
      </c>
      <c r="M292" s="359" t="s">
        <v>8280</v>
      </c>
      <c r="N292" s="359" t="s">
        <v>8350</v>
      </c>
      <c r="O292" s="359" t="s">
        <v>8574</v>
      </c>
      <c r="P292" s="350" t="s">
        <v>8653</v>
      </c>
      <c r="Q292" s="343" t="s">
        <v>2233</v>
      </c>
      <c r="R292" s="343" t="s">
        <v>4</v>
      </c>
      <c r="S292" s="343"/>
      <c r="T292" s="343" t="s">
        <v>2733</v>
      </c>
    </row>
    <row r="293" spans="1:20" ht="22" customHeight="1">
      <c r="A293" s="343" t="s">
        <v>5697</v>
      </c>
      <c r="B293" s="343" t="s">
        <v>5394</v>
      </c>
      <c r="C293" s="350" t="s">
        <v>8686</v>
      </c>
      <c r="D293" s="343" t="s">
        <v>8839</v>
      </c>
      <c r="E293" s="344" t="s">
        <v>6128</v>
      </c>
      <c r="F293" s="344" t="s">
        <v>7095</v>
      </c>
      <c r="G293" s="344" t="s">
        <v>7096</v>
      </c>
      <c r="H293" s="345">
        <v>2</v>
      </c>
      <c r="I293" s="344" t="s">
        <v>2733</v>
      </c>
      <c r="J293" s="344" t="s">
        <v>7262</v>
      </c>
      <c r="K293" s="349" t="s">
        <v>8692</v>
      </c>
      <c r="L293" s="349" t="s">
        <v>8693</v>
      </c>
      <c r="M293" s="359" t="s">
        <v>8280</v>
      </c>
      <c r="N293" s="359" t="s">
        <v>8350</v>
      </c>
      <c r="O293" s="359" t="s">
        <v>8574</v>
      </c>
      <c r="P293" s="350" t="s">
        <v>8653</v>
      </c>
      <c r="Q293" s="343" t="s">
        <v>2233</v>
      </c>
      <c r="R293" s="343" t="s">
        <v>4</v>
      </c>
      <c r="S293" s="343"/>
      <c r="T293" s="343" t="s">
        <v>2733</v>
      </c>
    </row>
    <row r="294" spans="1:20" ht="22" customHeight="1">
      <c r="A294" s="343" t="s">
        <v>8406</v>
      </c>
      <c r="B294" s="343" t="s">
        <v>5394</v>
      </c>
      <c r="C294" s="350" t="s">
        <v>8686</v>
      </c>
      <c r="D294" s="343" t="s">
        <v>2909</v>
      </c>
      <c r="E294" s="344" t="s">
        <v>8407</v>
      </c>
      <c r="F294" s="344" t="s">
        <v>8441</v>
      </c>
      <c r="G294" s="344" t="s">
        <v>8442</v>
      </c>
      <c r="H294" s="345">
        <v>0.5</v>
      </c>
      <c r="I294" s="344" t="s">
        <v>7801</v>
      </c>
      <c r="J294" s="344" t="s">
        <v>7312</v>
      </c>
      <c r="K294" s="349" t="s">
        <v>8692</v>
      </c>
      <c r="L294" s="349" t="s">
        <v>8693</v>
      </c>
      <c r="M294" s="359" t="s">
        <v>8280</v>
      </c>
      <c r="N294" s="359" t="s">
        <v>8443</v>
      </c>
      <c r="O294" s="359" t="s">
        <v>8574</v>
      </c>
      <c r="P294" s="350" t="s">
        <v>8652</v>
      </c>
      <c r="Q294" s="343" t="s">
        <v>2233</v>
      </c>
      <c r="R294" s="343" t="s">
        <v>4</v>
      </c>
      <c r="S294" s="343"/>
      <c r="T294" s="343" t="s">
        <v>6361</v>
      </c>
    </row>
    <row r="295" spans="1:20" ht="22" customHeight="1">
      <c r="A295" s="343" t="s">
        <v>8408</v>
      </c>
      <c r="B295" s="343" t="s">
        <v>5394</v>
      </c>
      <c r="C295" s="350" t="s">
        <v>8686</v>
      </c>
      <c r="D295" s="343" t="s">
        <v>2909</v>
      </c>
      <c r="E295" s="344" t="s">
        <v>8409</v>
      </c>
      <c r="F295" s="344" t="s">
        <v>8444</v>
      </c>
      <c r="G295" s="344" t="s">
        <v>8442</v>
      </c>
      <c r="H295" s="345">
        <v>0.5</v>
      </c>
      <c r="I295" s="344" t="s">
        <v>7801</v>
      </c>
      <c r="J295" s="344" t="s">
        <v>7266</v>
      </c>
      <c r="K295" s="349" t="s">
        <v>8692</v>
      </c>
      <c r="L295" s="349" t="s">
        <v>8693</v>
      </c>
      <c r="M295" s="359" t="s">
        <v>8280</v>
      </c>
      <c r="N295" s="359" t="s">
        <v>8443</v>
      </c>
      <c r="O295" s="359" t="s">
        <v>8574</v>
      </c>
      <c r="P295" s="350" t="s">
        <v>8652</v>
      </c>
      <c r="Q295" s="343" t="s">
        <v>2233</v>
      </c>
      <c r="R295" s="343" t="s">
        <v>4</v>
      </c>
      <c r="S295" s="343"/>
      <c r="T295" s="343" t="s">
        <v>6355</v>
      </c>
    </row>
    <row r="296" spans="1:20" ht="22" customHeight="1">
      <c r="A296" s="343" t="s">
        <v>8410</v>
      </c>
      <c r="B296" s="343" t="s">
        <v>5394</v>
      </c>
      <c r="C296" s="350" t="s">
        <v>8686</v>
      </c>
      <c r="D296" s="343" t="s">
        <v>2909</v>
      </c>
      <c r="E296" s="344" t="s">
        <v>8411</v>
      </c>
      <c r="F296" s="344" t="s">
        <v>8445</v>
      </c>
      <c r="G296" s="344" t="s">
        <v>8442</v>
      </c>
      <c r="H296" s="345">
        <v>0.5</v>
      </c>
      <c r="I296" s="344" t="s">
        <v>7801</v>
      </c>
      <c r="J296" s="344" t="s">
        <v>7311</v>
      </c>
      <c r="K296" s="349" t="s">
        <v>8692</v>
      </c>
      <c r="L296" s="349" t="s">
        <v>8693</v>
      </c>
      <c r="M296" s="359" t="s">
        <v>8280</v>
      </c>
      <c r="N296" s="359" t="s">
        <v>8443</v>
      </c>
      <c r="O296" s="359" t="s">
        <v>8574</v>
      </c>
      <c r="P296" s="350" t="s">
        <v>8652</v>
      </c>
      <c r="Q296" s="343" t="s">
        <v>2233</v>
      </c>
      <c r="R296" s="343" t="s">
        <v>4</v>
      </c>
      <c r="S296" s="343"/>
      <c r="T296" s="343" t="s">
        <v>6359</v>
      </c>
    </row>
    <row r="297" spans="1:20" ht="22" customHeight="1">
      <c r="A297" s="343" t="s">
        <v>8412</v>
      </c>
      <c r="B297" s="343" t="s">
        <v>5394</v>
      </c>
      <c r="C297" s="350" t="s">
        <v>8686</v>
      </c>
      <c r="D297" s="343" t="s">
        <v>2909</v>
      </c>
      <c r="E297" s="344" t="s">
        <v>8413</v>
      </c>
      <c r="F297" s="344" t="s">
        <v>8446</v>
      </c>
      <c r="G297" s="344" t="s">
        <v>8442</v>
      </c>
      <c r="H297" s="345">
        <v>0.5</v>
      </c>
      <c r="I297" s="344" t="s">
        <v>7801</v>
      </c>
      <c r="J297" s="344" t="s">
        <v>7313</v>
      </c>
      <c r="K297" s="349" t="s">
        <v>8692</v>
      </c>
      <c r="L297" s="349" t="s">
        <v>8693</v>
      </c>
      <c r="M297" s="359" t="s">
        <v>8280</v>
      </c>
      <c r="N297" s="359" t="s">
        <v>8443</v>
      </c>
      <c r="O297" s="359" t="s">
        <v>8574</v>
      </c>
      <c r="P297" s="350" t="s">
        <v>8652</v>
      </c>
      <c r="Q297" s="343" t="s">
        <v>2233</v>
      </c>
      <c r="R297" s="343" t="s">
        <v>4</v>
      </c>
      <c r="S297" s="343"/>
      <c r="T297" s="343" t="s">
        <v>6364</v>
      </c>
    </row>
    <row r="298" spans="1:20" ht="22" customHeight="1">
      <c r="A298" s="343" t="s">
        <v>8414</v>
      </c>
      <c r="B298" s="343" t="s">
        <v>5394</v>
      </c>
      <c r="C298" s="350" t="s">
        <v>8686</v>
      </c>
      <c r="D298" s="343" t="s">
        <v>2909</v>
      </c>
      <c r="E298" s="344" t="s">
        <v>8415</v>
      </c>
      <c r="F298" s="344" t="s">
        <v>8447</v>
      </c>
      <c r="G298" s="344" t="s">
        <v>8442</v>
      </c>
      <c r="H298" s="345">
        <v>0.5</v>
      </c>
      <c r="I298" s="344" t="s">
        <v>7801</v>
      </c>
      <c r="J298" s="344" t="s">
        <v>7802</v>
      </c>
      <c r="K298" s="349" t="s">
        <v>8692</v>
      </c>
      <c r="L298" s="349" t="s">
        <v>8693</v>
      </c>
      <c r="M298" s="359" t="s">
        <v>8280</v>
      </c>
      <c r="N298" s="359" t="s">
        <v>8443</v>
      </c>
      <c r="O298" s="359" t="s">
        <v>8574</v>
      </c>
      <c r="P298" s="350" t="s">
        <v>8651</v>
      </c>
      <c r="Q298" s="343" t="s">
        <v>2233</v>
      </c>
      <c r="R298" s="343" t="s">
        <v>4</v>
      </c>
      <c r="S298" s="343"/>
      <c r="T298" s="343" t="s">
        <v>6366</v>
      </c>
    </row>
    <row r="299" spans="1:20" ht="22" customHeight="1">
      <c r="A299" s="343" t="s">
        <v>8416</v>
      </c>
      <c r="B299" s="343" t="s">
        <v>5394</v>
      </c>
      <c r="C299" s="350" t="s">
        <v>8686</v>
      </c>
      <c r="D299" s="343" t="s">
        <v>2909</v>
      </c>
      <c r="E299" s="344" t="s">
        <v>8417</v>
      </c>
      <c r="F299" s="344" t="s">
        <v>8448</v>
      </c>
      <c r="G299" s="344" t="s">
        <v>8442</v>
      </c>
      <c r="H299" s="345">
        <v>0.5</v>
      </c>
      <c r="I299" s="344" t="s">
        <v>7801</v>
      </c>
      <c r="J299" s="344" t="s">
        <v>7314</v>
      </c>
      <c r="K299" s="349" t="s">
        <v>8692</v>
      </c>
      <c r="L299" s="349" t="s">
        <v>8693</v>
      </c>
      <c r="M299" s="359" t="s">
        <v>8280</v>
      </c>
      <c r="N299" s="359" t="s">
        <v>8443</v>
      </c>
      <c r="O299" s="359" t="s">
        <v>8574</v>
      </c>
      <c r="P299" s="350" t="s">
        <v>8652</v>
      </c>
      <c r="Q299" s="343" t="s">
        <v>2233</v>
      </c>
      <c r="R299" s="343" t="s">
        <v>4</v>
      </c>
      <c r="S299" s="343"/>
      <c r="T299" s="343" t="s">
        <v>6368</v>
      </c>
    </row>
    <row r="300" spans="1:20" ht="22" customHeight="1">
      <c r="A300" s="343" t="s">
        <v>8418</v>
      </c>
      <c r="B300" s="343" t="s">
        <v>5394</v>
      </c>
      <c r="C300" s="350" t="s">
        <v>8686</v>
      </c>
      <c r="D300" s="343" t="s">
        <v>2909</v>
      </c>
      <c r="E300" s="344" t="s">
        <v>8419</v>
      </c>
      <c r="F300" s="344" t="s">
        <v>8449</v>
      </c>
      <c r="G300" s="344" t="s">
        <v>8442</v>
      </c>
      <c r="H300" s="345">
        <v>0.5</v>
      </c>
      <c r="I300" s="344" t="s">
        <v>7803</v>
      </c>
      <c r="J300" s="344" t="s">
        <v>7315</v>
      </c>
      <c r="K300" s="349" t="s">
        <v>8692</v>
      </c>
      <c r="L300" s="349" t="s">
        <v>8693</v>
      </c>
      <c r="M300" s="359" t="s">
        <v>8280</v>
      </c>
      <c r="N300" s="359" t="s">
        <v>8443</v>
      </c>
      <c r="O300" s="359" t="s">
        <v>8574</v>
      </c>
      <c r="P300" s="350" t="s">
        <v>8652</v>
      </c>
      <c r="Q300" s="343" t="s">
        <v>2233</v>
      </c>
      <c r="R300" s="343" t="s">
        <v>4</v>
      </c>
      <c r="S300" s="343"/>
      <c r="T300" s="343" t="s">
        <v>6370</v>
      </c>
    </row>
    <row r="301" spans="1:20" ht="22" customHeight="1">
      <c r="A301" s="343" t="s">
        <v>8420</v>
      </c>
      <c r="B301" s="343" t="s">
        <v>5394</v>
      </c>
      <c r="C301" s="350" t="s">
        <v>8686</v>
      </c>
      <c r="D301" s="343" t="s">
        <v>2909</v>
      </c>
      <c r="E301" s="344" t="s">
        <v>8421</v>
      </c>
      <c r="F301" s="344" t="s">
        <v>8450</v>
      </c>
      <c r="G301" s="344" t="s">
        <v>8442</v>
      </c>
      <c r="H301" s="345">
        <v>0.5</v>
      </c>
      <c r="I301" s="344" t="s">
        <v>7803</v>
      </c>
      <c r="J301" s="344" t="s">
        <v>7317</v>
      </c>
      <c r="K301" s="349" t="s">
        <v>8692</v>
      </c>
      <c r="L301" s="349" t="s">
        <v>8693</v>
      </c>
      <c r="M301" s="359" t="s">
        <v>8280</v>
      </c>
      <c r="N301" s="359" t="s">
        <v>8443</v>
      </c>
      <c r="O301" s="359" t="s">
        <v>8574</v>
      </c>
      <c r="P301" s="350" t="s">
        <v>8651</v>
      </c>
      <c r="Q301" s="343" t="s">
        <v>2233</v>
      </c>
      <c r="R301" s="343" t="s">
        <v>4</v>
      </c>
      <c r="S301" s="343"/>
      <c r="T301" s="343" t="s">
        <v>6376</v>
      </c>
    </row>
    <row r="302" spans="1:20" ht="22" customHeight="1">
      <c r="A302" s="343" t="s">
        <v>8422</v>
      </c>
      <c r="B302" s="343" t="s">
        <v>5394</v>
      </c>
      <c r="C302" s="350" t="s">
        <v>8686</v>
      </c>
      <c r="D302" s="343" t="s">
        <v>2909</v>
      </c>
      <c r="E302" s="344" t="s">
        <v>8423</v>
      </c>
      <c r="F302" s="344" t="s">
        <v>8451</v>
      </c>
      <c r="G302" s="344" t="s">
        <v>8442</v>
      </c>
      <c r="H302" s="345">
        <v>0.5</v>
      </c>
      <c r="I302" s="344" t="s">
        <v>7803</v>
      </c>
      <c r="J302" s="344" t="s">
        <v>7318</v>
      </c>
      <c r="K302" s="349" t="s">
        <v>8692</v>
      </c>
      <c r="L302" s="349" t="s">
        <v>8693</v>
      </c>
      <c r="M302" s="359" t="s">
        <v>8284</v>
      </c>
      <c r="N302" s="359" t="s">
        <v>8452</v>
      </c>
      <c r="O302" s="359" t="s">
        <v>8574</v>
      </c>
      <c r="P302" s="350" t="s">
        <v>8651</v>
      </c>
      <c r="Q302" s="343" t="s">
        <v>2233</v>
      </c>
      <c r="R302" s="343" t="s">
        <v>4</v>
      </c>
      <c r="S302" s="343"/>
      <c r="T302" s="343" t="s">
        <v>6378</v>
      </c>
    </row>
    <row r="303" spans="1:20" ht="22" customHeight="1">
      <c r="A303" s="343" t="s">
        <v>8424</v>
      </c>
      <c r="B303" s="343" t="s">
        <v>5394</v>
      </c>
      <c r="C303" s="350" t="s">
        <v>8686</v>
      </c>
      <c r="D303" s="343" t="s">
        <v>2909</v>
      </c>
      <c r="E303" s="344" t="s">
        <v>8425</v>
      </c>
      <c r="F303" s="344" t="s">
        <v>8453</v>
      </c>
      <c r="G303" s="344" t="s">
        <v>8442</v>
      </c>
      <c r="H303" s="345">
        <v>0.5</v>
      </c>
      <c r="I303" s="344" t="s">
        <v>7803</v>
      </c>
      <c r="J303" s="344" t="s">
        <v>7316</v>
      </c>
      <c r="K303" s="349" t="s">
        <v>8692</v>
      </c>
      <c r="L303" s="349" t="s">
        <v>8693</v>
      </c>
      <c r="M303" s="359" t="s">
        <v>8280</v>
      </c>
      <c r="N303" s="359" t="s">
        <v>8443</v>
      </c>
      <c r="O303" s="359" t="s">
        <v>8574</v>
      </c>
      <c r="P303" s="350" t="s">
        <v>8653</v>
      </c>
      <c r="Q303" s="343" t="s">
        <v>2233</v>
      </c>
      <c r="R303" s="343" t="s">
        <v>4</v>
      </c>
      <c r="S303" s="343"/>
      <c r="T303" s="343" t="s">
        <v>6373</v>
      </c>
    </row>
    <row r="304" spans="1:20" ht="22" customHeight="1">
      <c r="A304" s="343" t="s">
        <v>8426</v>
      </c>
      <c r="B304" s="343" t="s">
        <v>5394</v>
      </c>
      <c r="C304" s="350" t="s">
        <v>8686</v>
      </c>
      <c r="D304" s="343" t="s">
        <v>2909</v>
      </c>
      <c r="E304" s="344" t="s">
        <v>8427</v>
      </c>
      <c r="F304" s="344" t="s">
        <v>8454</v>
      </c>
      <c r="G304" s="344" t="s">
        <v>8442</v>
      </c>
      <c r="H304" s="345">
        <v>0.5</v>
      </c>
      <c r="I304" s="344" t="s">
        <v>7811</v>
      </c>
      <c r="J304" s="344" t="s">
        <v>7267</v>
      </c>
      <c r="K304" s="349" t="s">
        <v>8692</v>
      </c>
      <c r="L304" s="349" t="s">
        <v>8693</v>
      </c>
      <c r="M304" s="359" t="s">
        <v>8280</v>
      </c>
      <c r="N304" s="359" t="s">
        <v>8443</v>
      </c>
      <c r="O304" s="359" t="s">
        <v>8574</v>
      </c>
      <c r="P304" s="350" t="s">
        <v>8653</v>
      </c>
      <c r="Q304" s="343" t="s">
        <v>2233</v>
      </c>
      <c r="R304" s="343" t="s">
        <v>4</v>
      </c>
      <c r="S304" s="343"/>
      <c r="T304" s="343" t="s">
        <v>6406</v>
      </c>
    </row>
    <row r="305" spans="1:20" ht="22" customHeight="1">
      <c r="A305" s="343" t="s">
        <v>8428</v>
      </c>
      <c r="B305" s="343" t="s">
        <v>5394</v>
      </c>
      <c r="C305" s="350" t="s">
        <v>8686</v>
      </c>
      <c r="D305" s="343" t="s">
        <v>2909</v>
      </c>
      <c r="E305" s="344" t="s">
        <v>8429</v>
      </c>
      <c r="F305" s="344" t="s">
        <v>8455</v>
      </c>
      <c r="G305" s="344" t="s">
        <v>8442</v>
      </c>
      <c r="H305" s="345">
        <v>0.5</v>
      </c>
      <c r="I305" s="344" t="s">
        <v>7811</v>
      </c>
      <c r="J305" s="344" t="s">
        <v>7268</v>
      </c>
      <c r="K305" s="349" t="s">
        <v>8692</v>
      </c>
      <c r="L305" s="349" t="s">
        <v>8693</v>
      </c>
      <c r="M305" s="359" t="s">
        <v>8280</v>
      </c>
      <c r="N305" s="359" t="s">
        <v>8443</v>
      </c>
      <c r="O305" s="359" t="s">
        <v>8574</v>
      </c>
      <c r="P305" s="350" t="s">
        <v>8653</v>
      </c>
      <c r="Q305" s="343" t="s">
        <v>2233</v>
      </c>
      <c r="R305" s="343" t="s">
        <v>4</v>
      </c>
      <c r="S305" s="343"/>
      <c r="T305" s="343" t="s">
        <v>6409</v>
      </c>
    </row>
    <row r="306" spans="1:20" ht="22" customHeight="1">
      <c r="A306" s="343" t="s">
        <v>8500</v>
      </c>
      <c r="B306" s="343" t="s">
        <v>5394</v>
      </c>
      <c r="C306" s="350" t="s">
        <v>8686</v>
      </c>
      <c r="D306" s="343" t="s">
        <v>2909</v>
      </c>
      <c r="E306" s="344" t="s">
        <v>8501</v>
      </c>
      <c r="F306" s="344" t="s">
        <v>8502</v>
      </c>
      <c r="G306" s="344" t="s">
        <v>8442</v>
      </c>
      <c r="H306" s="345">
        <v>0.5</v>
      </c>
      <c r="I306" s="344" t="s">
        <v>7804</v>
      </c>
      <c r="J306" s="344" t="s">
        <v>7319</v>
      </c>
      <c r="K306" s="349" t="s">
        <v>8693</v>
      </c>
      <c r="L306" s="349" t="s">
        <v>8693</v>
      </c>
      <c r="M306" s="359" t="s">
        <v>8288</v>
      </c>
      <c r="N306" s="359" t="s">
        <v>8324</v>
      </c>
      <c r="O306" s="359" t="s">
        <v>8574</v>
      </c>
      <c r="P306" s="350" t="s">
        <v>8653</v>
      </c>
      <c r="Q306" s="343" t="s">
        <v>2233</v>
      </c>
      <c r="R306" s="343" t="s">
        <v>4</v>
      </c>
      <c r="S306" s="343"/>
      <c r="T306" s="343" t="s">
        <v>6381</v>
      </c>
    </row>
    <row r="307" spans="1:20" ht="22" customHeight="1">
      <c r="A307" s="343" t="s">
        <v>8503</v>
      </c>
      <c r="B307" s="343" t="s">
        <v>5394</v>
      </c>
      <c r="C307" s="350" t="s">
        <v>8686</v>
      </c>
      <c r="D307" s="343" t="s">
        <v>2909</v>
      </c>
      <c r="E307" s="344" t="s">
        <v>8504</v>
      </c>
      <c r="F307" s="344" t="s">
        <v>8505</v>
      </c>
      <c r="G307" s="344" t="s">
        <v>8442</v>
      </c>
      <c r="H307" s="345">
        <v>0.5</v>
      </c>
      <c r="I307" s="344" t="s">
        <v>7804</v>
      </c>
      <c r="J307" s="344" t="s">
        <v>7319</v>
      </c>
      <c r="K307" s="349" t="s">
        <v>8693</v>
      </c>
      <c r="L307" s="349" t="s">
        <v>8693</v>
      </c>
      <c r="M307" s="359" t="s">
        <v>8288</v>
      </c>
      <c r="N307" s="359" t="s">
        <v>8324</v>
      </c>
      <c r="O307" s="359" t="s">
        <v>8574</v>
      </c>
      <c r="P307" s="350" t="s">
        <v>8653</v>
      </c>
      <c r="Q307" s="343" t="s">
        <v>2233</v>
      </c>
      <c r="R307" s="343" t="s">
        <v>4</v>
      </c>
      <c r="S307" s="343"/>
      <c r="T307" s="343" t="s">
        <v>6381</v>
      </c>
    </row>
    <row r="308" spans="1:20" ht="22" customHeight="1">
      <c r="A308" s="343" t="s">
        <v>8506</v>
      </c>
      <c r="B308" s="343" t="s">
        <v>5394</v>
      </c>
      <c r="C308" s="350" t="s">
        <v>8686</v>
      </c>
      <c r="D308" s="343" t="s">
        <v>2909</v>
      </c>
      <c r="E308" s="344" t="s">
        <v>8507</v>
      </c>
      <c r="F308" s="344" t="s">
        <v>8508</v>
      </c>
      <c r="G308" s="344" t="s">
        <v>8442</v>
      </c>
      <c r="H308" s="345">
        <v>0.5</v>
      </c>
      <c r="I308" s="344" t="s">
        <v>7804</v>
      </c>
      <c r="J308" s="344" t="s">
        <v>7320</v>
      </c>
      <c r="K308" s="349" t="s">
        <v>8693</v>
      </c>
      <c r="L308" s="349" t="s">
        <v>8693</v>
      </c>
      <c r="M308" s="359" t="s">
        <v>8288</v>
      </c>
      <c r="N308" s="359" t="s">
        <v>8324</v>
      </c>
      <c r="O308" s="359" t="s">
        <v>8574</v>
      </c>
      <c r="P308" s="350" t="s">
        <v>8653</v>
      </c>
      <c r="Q308" s="343" t="s">
        <v>2233</v>
      </c>
      <c r="R308" s="343" t="s">
        <v>4</v>
      </c>
      <c r="S308" s="343"/>
      <c r="T308" s="343" t="s">
        <v>6385</v>
      </c>
    </row>
    <row r="309" spans="1:20" ht="22" customHeight="1">
      <c r="A309" s="343" t="s">
        <v>8509</v>
      </c>
      <c r="B309" s="343" t="s">
        <v>5394</v>
      </c>
      <c r="C309" s="350" t="s">
        <v>8686</v>
      </c>
      <c r="D309" s="343" t="s">
        <v>2909</v>
      </c>
      <c r="E309" s="344" t="s">
        <v>8510</v>
      </c>
      <c r="F309" s="344" t="s">
        <v>8511</v>
      </c>
      <c r="G309" s="344" t="s">
        <v>8442</v>
      </c>
      <c r="H309" s="345">
        <v>0.5</v>
      </c>
      <c r="I309" s="344" t="s">
        <v>7804</v>
      </c>
      <c r="J309" s="344" t="s">
        <v>7320</v>
      </c>
      <c r="K309" s="349" t="s">
        <v>8693</v>
      </c>
      <c r="L309" s="349" t="s">
        <v>8693</v>
      </c>
      <c r="M309" s="359" t="s">
        <v>8288</v>
      </c>
      <c r="N309" s="359" t="s">
        <v>8324</v>
      </c>
      <c r="O309" s="359" t="s">
        <v>8574</v>
      </c>
      <c r="P309" s="350" t="s">
        <v>8653</v>
      </c>
      <c r="Q309" s="343" t="s">
        <v>2233</v>
      </c>
      <c r="R309" s="343" t="s">
        <v>4</v>
      </c>
      <c r="S309" s="343"/>
      <c r="T309" s="343" t="s">
        <v>6385</v>
      </c>
    </row>
    <row r="310" spans="1:20" ht="22" customHeight="1">
      <c r="A310" s="343" t="s">
        <v>8512</v>
      </c>
      <c r="B310" s="343" t="s">
        <v>5394</v>
      </c>
      <c r="C310" s="350" t="s">
        <v>8686</v>
      </c>
      <c r="D310" s="343" t="s">
        <v>2909</v>
      </c>
      <c r="E310" s="344" t="s">
        <v>8513</v>
      </c>
      <c r="F310" s="344" t="s">
        <v>8514</v>
      </c>
      <c r="G310" s="344" t="s">
        <v>8442</v>
      </c>
      <c r="H310" s="345">
        <v>0.5</v>
      </c>
      <c r="I310" s="344" t="s">
        <v>7804</v>
      </c>
      <c r="J310" s="344" t="s">
        <v>8382</v>
      </c>
      <c r="K310" s="349" t="s">
        <v>8693</v>
      </c>
      <c r="L310" s="349" t="s">
        <v>8693</v>
      </c>
      <c r="M310" s="359" t="s">
        <v>8288</v>
      </c>
      <c r="N310" s="359" t="s">
        <v>8324</v>
      </c>
      <c r="O310" s="359" t="s">
        <v>8574</v>
      </c>
      <c r="P310" s="350" t="s">
        <v>8653</v>
      </c>
      <c r="Q310" s="343" t="s">
        <v>2233</v>
      </c>
      <c r="R310" s="343" t="s">
        <v>4</v>
      </c>
      <c r="S310" s="343"/>
      <c r="T310" s="343" t="s">
        <v>8515</v>
      </c>
    </row>
    <row r="311" spans="1:20" ht="22" customHeight="1">
      <c r="A311" s="343" t="s">
        <v>8516</v>
      </c>
      <c r="B311" s="343" t="s">
        <v>5394</v>
      </c>
      <c r="C311" s="350" t="s">
        <v>8686</v>
      </c>
      <c r="D311" s="343" t="s">
        <v>2909</v>
      </c>
      <c r="E311" s="344" t="s">
        <v>8517</v>
      </c>
      <c r="F311" s="344" t="s">
        <v>8518</v>
      </c>
      <c r="G311" s="344" t="s">
        <v>8442</v>
      </c>
      <c r="H311" s="345">
        <v>0.5</v>
      </c>
      <c r="I311" s="344" t="s">
        <v>7804</v>
      </c>
      <c r="J311" s="344" t="s">
        <v>7812</v>
      </c>
      <c r="K311" s="349" t="s">
        <v>8693</v>
      </c>
      <c r="L311" s="349" t="s">
        <v>8693</v>
      </c>
      <c r="M311" s="359" t="s">
        <v>8288</v>
      </c>
      <c r="N311" s="359" t="s">
        <v>8324</v>
      </c>
      <c r="O311" s="359" t="s">
        <v>8574</v>
      </c>
      <c r="P311" s="350" t="s">
        <v>8653</v>
      </c>
      <c r="Q311" s="343" t="s">
        <v>2233</v>
      </c>
      <c r="R311" s="343" t="s">
        <v>4</v>
      </c>
      <c r="S311" s="343"/>
      <c r="T311" s="343" t="s">
        <v>6404</v>
      </c>
    </row>
    <row r="312" spans="1:20" ht="22" customHeight="1">
      <c r="A312" s="343" t="s">
        <v>8519</v>
      </c>
      <c r="B312" s="343" t="s">
        <v>5394</v>
      </c>
      <c r="C312" s="350" t="s">
        <v>8686</v>
      </c>
      <c r="D312" s="343" t="s">
        <v>2909</v>
      </c>
      <c r="E312" s="344" t="s">
        <v>8520</v>
      </c>
      <c r="F312" s="344" t="s">
        <v>8521</v>
      </c>
      <c r="G312" s="344" t="s">
        <v>8442</v>
      </c>
      <c r="H312" s="345">
        <v>0.5</v>
      </c>
      <c r="I312" s="344" t="s">
        <v>7804</v>
      </c>
      <c r="J312" s="344" t="s">
        <v>7321</v>
      </c>
      <c r="K312" s="349" t="s">
        <v>8693</v>
      </c>
      <c r="L312" s="349" t="s">
        <v>8693</v>
      </c>
      <c r="M312" s="359" t="s">
        <v>8288</v>
      </c>
      <c r="N312" s="359" t="s">
        <v>8324</v>
      </c>
      <c r="O312" s="359" t="s">
        <v>8574</v>
      </c>
      <c r="P312" s="350" t="s">
        <v>8653</v>
      </c>
      <c r="Q312" s="343" t="s">
        <v>2233</v>
      </c>
      <c r="R312" s="343" t="s">
        <v>4</v>
      </c>
      <c r="S312" s="343"/>
      <c r="T312" s="343" t="s">
        <v>6388</v>
      </c>
    </row>
    <row r="313" spans="1:20" ht="22" customHeight="1">
      <c r="A313" s="343" t="s">
        <v>8522</v>
      </c>
      <c r="B313" s="343" t="s">
        <v>5394</v>
      </c>
      <c r="C313" s="350" t="s">
        <v>8686</v>
      </c>
      <c r="D313" s="343" t="s">
        <v>2909</v>
      </c>
      <c r="E313" s="344" t="s">
        <v>8523</v>
      </c>
      <c r="F313" s="344" t="s">
        <v>8524</v>
      </c>
      <c r="G313" s="344" t="s">
        <v>8442</v>
      </c>
      <c r="H313" s="345">
        <v>0.5</v>
      </c>
      <c r="I313" s="344" t="s">
        <v>7804</v>
      </c>
      <c r="J313" s="344" t="s">
        <v>7319</v>
      </c>
      <c r="K313" s="349" t="s">
        <v>8693</v>
      </c>
      <c r="L313" s="349" t="s">
        <v>8693</v>
      </c>
      <c r="M313" s="359" t="s">
        <v>8288</v>
      </c>
      <c r="N313" s="359" t="s">
        <v>8324</v>
      </c>
      <c r="O313" s="359" t="s">
        <v>8574</v>
      </c>
      <c r="P313" s="350" t="s">
        <v>8653</v>
      </c>
      <c r="Q313" s="343" t="s">
        <v>2233</v>
      </c>
      <c r="R313" s="343" t="s">
        <v>4</v>
      </c>
      <c r="S313" s="343"/>
      <c r="T313" s="343" t="s">
        <v>6381</v>
      </c>
    </row>
    <row r="314" spans="1:20" ht="22" customHeight="1">
      <c r="A314" s="343" t="s">
        <v>8525</v>
      </c>
      <c r="B314" s="343" t="s">
        <v>5394</v>
      </c>
      <c r="C314" s="350" t="s">
        <v>8686</v>
      </c>
      <c r="D314" s="343" t="s">
        <v>2909</v>
      </c>
      <c r="E314" s="344" t="s">
        <v>8526</v>
      </c>
      <c r="F314" s="344" t="s">
        <v>8527</v>
      </c>
      <c r="G314" s="344" t="s">
        <v>8442</v>
      </c>
      <c r="H314" s="345">
        <v>0.5</v>
      </c>
      <c r="I314" s="344" t="s">
        <v>7804</v>
      </c>
      <c r="J314" s="344" t="s">
        <v>7812</v>
      </c>
      <c r="K314" s="349" t="s">
        <v>8693</v>
      </c>
      <c r="L314" s="349" t="s">
        <v>8693</v>
      </c>
      <c r="M314" s="359" t="s">
        <v>8288</v>
      </c>
      <c r="N314" s="359" t="s">
        <v>8324</v>
      </c>
      <c r="O314" s="359" t="s">
        <v>8574</v>
      </c>
      <c r="P314" s="350" t="s">
        <v>8653</v>
      </c>
      <c r="Q314" s="343" t="s">
        <v>2233</v>
      </c>
      <c r="R314" s="343" t="s">
        <v>4</v>
      </c>
      <c r="S314" s="343"/>
      <c r="T314" s="343" t="s">
        <v>6404</v>
      </c>
    </row>
    <row r="315" spans="1:20" ht="22" customHeight="1">
      <c r="A315" s="343" t="s">
        <v>8528</v>
      </c>
      <c r="B315" s="343" t="s">
        <v>5394</v>
      </c>
      <c r="C315" s="350" t="s">
        <v>8686</v>
      </c>
      <c r="D315" s="343" t="s">
        <v>2909</v>
      </c>
      <c r="E315" s="344" t="s">
        <v>8529</v>
      </c>
      <c r="F315" s="344" t="s">
        <v>8530</v>
      </c>
      <c r="G315" s="344" t="s">
        <v>8442</v>
      </c>
      <c r="H315" s="345">
        <v>0.5</v>
      </c>
      <c r="I315" s="344" t="s">
        <v>7804</v>
      </c>
      <c r="J315" s="344" t="s">
        <v>8382</v>
      </c>
      <c r="K315" s="349" t="s">
        <v>8693</v>
      </c>
      <c r="L315" s="349" t="s">
        <v>8693</v>
      </c>
      <c r="M315" s="359" t="s">
        <v>8288</v>
      </c>
      <c r="N315" s="359" t="s">
        <v>8324</v>
      </c>
      <c r="O315" s="359" t="s">
        <v>8574</v>
      </c>
      <c r="P315" s="350" t="s">
        <v>8653</v>
      </c>
      <c r="Q315" s="343" t="s">
        <v>2233</v>
      </c>
      <c r="R315" s="343" t="s">
        <v>4</v>
      </c>
      <c r="S315" s="343"/>
      <c r="T315" s="343" t="s">
        <v>8515</v>
      </c>
    </row>
    <row r="316" spans="1:20" ht="22" customHeight="1">
      <c r="A316" s="343" t="s">
        <v>8531</v>
      </c>
      <c r="B316" s="343" t="s">
        <v>5394</v>
      </c>
      <c r="C316" s="350" t="s">
        <v>8686</v>
      </c>
      <c r="D316" s="343" t="s">
        <v>2909</v>
      </c>
      <c r="E316" s="344" t="s">
        <v>8532</v>
      </c>
      <c r="F316" s="344" t="s">
        <v>8533</v>
      </c>
      <c r="G316" s="344" t="s">
        <v>8534</v>
      </c>
      <c r="H316" s="345">
        <v>0.5</v>
      </c>
      <c r="I316" s="344" t="s">
        <v>7814</v>
      </c>
      <c r="J316" s="344" t="s">
        <v>7273</v>
      </c>
      <c r="K316" s="349" t="s">
        <v>8693</v>
      </c>
      <c r="L316" s="349" t="s">
        <v>8693</v>
      </c>
      <c r="M316" s="359" t="s">
        <v>8288</v>
      </c>
      <c r="N316" s="359" t="s">
        <v>8324</v>
      </c>
      <c r="O316" s="359" t="s">
        <v>8574</v>
      </c>
      <c r="P316" s="350" t="s">
        <v>8653</v>
      </c>
      <c r="Q316" s="343" t="s">
        <v>2233</v>
      </c>
      <c r="R316" s="343" t="s">
        <v>4</v>
      </c>
      <c r="S316" s="343"/>
      <c r="T316" s="343" t="s">
        <v>6414</v>
      </c>
    </row>
    <row r="317" spans="1:20" ht="22" customHeight="1">
      <c r="A317" s="343" t="s">
        <v>8535</v>
      </c>
      <c r="B317" s="343" t="s">
        <v>5394</v>
      </c>
      <c r="C317" s="350" t="s">
        <v>8686</v>
      </c>
      <c r="D317" s="343" t="s">
        <v>2909</v>
      </c>
      <c r="E317" s="344" t="s">
        <v>8536</v>
      </c>
      <c r="F317" s="344" t="s">
        <v>8537</v>
      </c>
      <c r="G317" s="344" t="s">
        <v>8534</v>
      </c>
      <c r="H317" s="345">
        <v>0.5</v>
      </c>
      <c r="I317" s="344" t="s">
        <v>7814</v>
      </c>
      <c r="J317" s="344" t="s">
        <v>7326</v>
      </c>
      <c r="K317" s="349" t="s">
        <v>8693</v>
      </c>
      <c r="L317" s="349" t="s">
        <v>8693</v>
      </c>
      <c r="M317" s="359" t="s">
        <v>8288</v>
      </c>
      <c r="N317" s="359" t="s">
        <v>8324</v>
      </c>
      <c r="O317" s="359" t="s">
        <v>8574</v>
      </c>
      <c r="P317" s="350" t="s">
        <v>8653</v>
      </c>
      <c r="Q317" s="343" t="s">
        <v>2233</v>
      </c>
      <c r="R317" s="343" t="s">
        <v>4</v>
      </c>
      <c r="S317" s="343"/>
      <c r="T317" s="343" t="s">
        <v>6419</v>
      </c>
    </row>
    <row r="318" spans="1:20" ht="22" customHeight="1">
      <c r="A318" s="343" t="s">
        <v>8538</v>
      </c>
      <c r="B318" s="343" t="s">
        <v>5394</v>
      </c>
      <c r="C318" s="350" t="s">
        <v>8686</v>
      </c>
      <c r="D318" s="343" t="s">
        <v>2909</v>
      </c>
      <c r="E318" s="344" t="s">
        <v>8411</v>
      </c>
      <c r="F318" s="344" t="s">
        <v>8539</v>
      </c>
      <c r="G318" s="344" t="s">
        <v>8534</v>
      </c>
      <c r="H318" s="345">
        <v>0.5</v>
      </c>
      <c r="I318" s="344" t="s">
        <v>7801</v>
      </c>
      <c r="J318" s="344" t="s">
        <v>7311</v>
      </c>
      <c r="K318" s="349" t="s">
        <v>8692</v>
      </c>
      <c r="L318" s="349" t="s">
        <v>8693</v>
      </c>
      <c r="M318" s="359" t="s">
        <v>8280</v>
      </c>
      <c r="N318" s="359" t="s">
        <v>8443</v>
      </c>
      <c r="O318" s="359" t="s">
        <v>8574</v>
      </c>
      <c r="P318" s="350" t="s">
        <v>8652</v>
      </c>
      <c r="Q318" s="343" t="s">
        <v>2233</v>
      </c>
      <c r="R318" s="343" t="s">
        <v>4</v>
      </c>
      <c r="S318" s="343"/>
      <c r="T318" s="343" t="s">
        <v>6359</v>
      </c>
    </row>
    <row r="319" spans="1:20" ht="22" customHeight="1">
      <c r="A319" s="343" t="s">
        <v>8540</v>
      </c>
      <c r="B319" s="343" t="s">
        <v>5394</v>
      </c>
      <c r="C319" s="350" t="s">
        <v>8686</v>
      </c>
      <c r="D319" s="343" t="s">
        <v>2909</v>
      </c>
      <c r="E319" s="344" t="s">
        <v>8541</v>
      </c>
      <c r="F319" s="344" t="s">
        <v>8542</v>
      </c>
      <c r="G319" s="344" t="s">
        <v>8534</v>
      </c>
      <c r="H319" s="345">
        <v>0.5</v>
      </c>
      <c r="I319" s="344" t="s">
        <v>7804</v>
      </c>
      <c r="J319" s="344" t="s">
        <v>7319</v>
      </c>
      <c r="K319" s="349" t="s">
        <v>8693</v>
      </c>
      <c r="L319" s="349" t="s">
        <v>8693</v>
      </c>
      <c r="M319" s="359" t="s">
        <v>8288</v>
      </c>
      <c r="N319" s="359" t="s">
        <v>8324</v>
      </c>
      <c r="O319" s="359" t="s">
        <v>8574</v>
      </c>
      <c r="P319" s="350" t="s">
        <v>8653</v>
      </c>
      <c r="Q319" s="343" t="s">
        <v>2233</v>
      </c>
      <c r="R319" s="343" t="s">
        <v>4</v>
      </c>
      <c r="S319" s="343"/>
      <c r="T319" s="343" t="s">
        <v>6381</v>
      </c>
    </row>
    <row r="320" spans="1:20" ht="22" customHeight="1">
      <c r="A320" s="343" t="s">
        <v>8543</v>
      </c>
      <c r="B320" s="343" t="s">
        <v>5394</v>
      </c>
      <c r="C320" s="350" t="s">
        <v>8686</v>
      </c>
      <c r="D320" s="343" t="s">
        <v>2909</v>
      </c>
      <c r="E320" s="344" t="s">
        <v>8544</v>
      </c>
      <c r="F320" s="344" t="s">
        <v>8545</v>
      </c>
      <c r="G320" s="344" t="s">
        <v>8534</v>
      </c>
      <c r="H320" s="345">
        <v>0.5</v>
      </c>
      <c r="I320" s="344" t="s">
        <v>7804</v>
      </c>
      <c r="J320" s="344" t="s">
        <v>7320</v>
      </c>
      <c r="K320" s="349" t="s">
        <v>8693</v>
      </c>
      <c r="L320" s="349" t="s">
        <v>8693</v>
      </c>
      <c r="M320" s="359" t="s">
        <v>8288</v>
      </c>
      <c r="N320" s="359" t="s">
        <v>8324</v>
      </c>
      <c r="O320" s="359" t="s">
        <v>8574</v>
      </c>
      <c r="P320" s="350" t="s">
        <v>8653</v>
      </c>
      <c r="Q320" s="343" t="s">
        <v>2233</v>
      </c>
      <c r="R320" s="343" t="s">
        <v>4</v>
      </c>
      <c r="S320" s="343"/>
      <c r="T320" s="343" t="s">
        <v>6385</v>
      </c>
    </row>
    <row r="321" spans="1:20" ht="22" customHeight="1">
      <c r="A321" s="343" t="s">
        <v>8546</v>
      </c>
      <c r="B321" s="343" t="s">
        <v>5394</v>
      </c>
      <c r="C321" s="350" t="s">
        <v>8686</v>
      </c>
      <c r="D321" s="343" t="s">
        <v>2909</v>
      </c>
      <c r="E321" s="344" t="s">
        <v>8547</v>
      </c>
      <c r="F321" s="344" t="s">
        <v>8548</v>
      </c>
      <c r="G321" s="344" t="s">
        <v>8534</v>
      </c>
      <c r="H321" s="345">
        <v>0.5</v>
      </c>
      <c r="I321" s="344" t="s">
        <v>7800</v>
      </c>
      <c r="J321" s="344" t="s">
        <v>7309</v>
      </c>
      <c r="K321" s="349" t="s">
        <v>8693</v>
      </c>
      <c r="L321" s="349" t="s">
        <v>8693</v>
      </c>
      <c r="M321" s="359" t="s">
        <v>8286</v>
      </c>
      <c r="N321" s="359" t="s">
        <v>8323</v>
      </c>
      <c r="O321" s="359" t="s">
        <v>8574</v>
      </c>
      <c r="P321" s="350" t="s">
        <v>8653</v>
      </c>
      <c r="Q321" s="343" t="s">
        <v>2233</v>
      </c>
      <c r="R321" s="343" t="s">
        <v>4</v>
      </c>
      <c r="S321" s="343"/>
      <c r="T321" s="343" t="s">
        <v>6349</v>
      </c>
    </row>
    <row r="322" spans="1:20" ht="22" customHeight="1">
      <c r="A322" s="343" t="s">
        <v>8549</v>
      </c>
      <c r="B322" s="343" t="s">
        <v>5394</v>
      </c>
      <c r="C322" s="350" t="s">
        <v>8686</v>
      </c>
      <c r="D322" s="343" t="s">
        <v>2909</v>
      </c>
      <c r="E322" s="344" t="s">
        <v>8550</v>
      </c>
      <c r="F322" s="344" t="s">
        <v>8551</v>
      </c>
      <c r="G322" s="344" t="s">
        <v>8534</v>
      </c>
      <c r="H322" s="345">
        <v>0.5</v>
      </c>
      <c r="I322" s="344" t="s">
        <v>7803</v>
      </c>
      <c r="J322" s="344" t="s">
        <v>7316</v>
      </c>
      <c r="K322" s="349" t="s">
        <v>8692</v>
      </c>
      <c r="L322" s="349" t="s">
        <v>8693</v>
      </c>
      <c r="M322" s="359" t="s">
        <v>8280</v>
      </c>
      <c r="N322" s="359" t="s">
        <v>8443</v>
      </c>
      <c r="O322" s="359" t="s">
        <v>8574</v>
      </c>
      <c r="P322" s="350" t="s">
        <v>8653</v>
      </c>
      <c r="Q322" s="343" t="s">
        <v>2233</v>
      </c>
      <c r="R322" s="343" t="s">
        <v>4</v>
      </c>
      <c r="S322" s="343"/>
      <c r="T322" s="343" t="s">
        <v>6373</v>
      </c>
    </row>
    <row r="323" spans="1:20" ht="22" customHeight="1">
      <c r="A323" s="343" t="s">
        <v>8552</v>
      </c>
      <c r="B323" s="343" t="s">
        <v>5394</v>
      </c>
      <c r="C323" s="350" t="s">
        <v>8686</v>
      </c>
      <c r="D323" s="343" t="s">
        <v>2909</v>
      </c>
      <c r="E323" s="344" t="s">
        <v>8553</v>
      </c>
      <c r="F323" s="344" t="s">
        <v>8554</v>
      </c>
      <c r="G323" s="344" t="s">
        <v>8534</v>
      </c>
      <c r="H323" s="345">
        <v>0.5</v>
      </c>
      <c r="I323" s="344" t="s">
        <v>7811</v>
      </c>
      <c r="J323" s="344" t="s">
        <v>7324</v>
      </c>
      <c r="K323" s="349" t="s">
        <v>8692</v>
      </c>
      <c r="L323" s="349" t="s">
        <v>8692</v>
      </c>
      <c r="M323" s="359" t="s">
        <v>8291</v>
      </c>
      <c r="N323" s="359" t="s">
        <v>8343</v>
      </c>
      <c r="O323" s="359" t="s">
        <v>8574</v>
      </c>
      <c r="P323" s="350" t="s">
        <v>8651</v>
      </c>
      <c r="Q323" s="343" t="s">
        <v>2233</v>
      </c>
      <c r="R323" s="343" t="s">
        <v>4</v>
      </c>
      <c r="S323" s="343"/>
      <c r="T323" s="343" t="s">
        <v>6400</v>
      </c>
    </row>
    <row r="324" spans="1:20" ht="22" customHeight="1">
      <c r="A324" s="343" t="s">
        <v>5698</v>
      </c>
      <c r="B324" s="343" t="s">
        <v>5394</v>
      </c>
      <c r="C324" s="350" t="s">
        <v>8686</v>
      </c>
      <c r="D324" s="343" t="s">
        <v>2909</v>
      </c>
      <c r="E324" s="344" t="s">
        <v>6129</v>
      </c>
      <c r="F324" s="344" t="s">
        <v>7097</v>
      </c>
      <c r="G324" s="344" t="s">
        <v>7098</v>
      </c>
      <c r="H324" s="345">
        <v>3</v>
      </c>
      <c r="I324" s="344" t="s">
        <v>2733</v>
      </c>
      <c r="J324" s="344" t="s">
        <v>7262</v>
      </c>
      <c r="K324" s="349" t="s">
        <v>8692</v>
      </c>
      <c r="L324" s="349" t="s">
        <v>8693</v>
      </c>
      <c r="M324" s="359" t="s">
        <v>8280</v>
      </c>
      <c r="N324" s="359" t="s">
        <v>8350</v>
      </c>
      <c r="O324" s="359" t="s">
        <v>8574</v>
      </c>
      <c r="P324" s="350" t="s">
        <v>8653</v>
      </c>
      <c r="Q324" s="343" t="s">
        <v>2233</v>
      </c>
      <c r="R324" s="343" t="s">
        <v>4</v>
      </c>
      <c r="S324" s="343"/>
      <c r="T324" s="343" t="s">
        <v>2733</v>
      </c>
    </row>
    <row r="325" spans="1:20" ht="22" customHeight="1">
      <c r="A325" s="343" t="s">
        <v>5699</v>
      </c>
      <c r="B325" s="343" t="s">
        <v>5394</v>
      </c>
      <c r="C325" s="350" t="s">
        <v>8686</v>
      </c>
      <c r="D325" s="343" t="s">
        <v>2909</v>
      </c>
      <c r="E325" s="344" t="s">
        <v>6130</v>
      </c>
      <c r="F325" s="344" t="s">
        <v>7099</v>
      </c>
      <c r="G325" s="344" t="s">
        <v>7100</v>
      </c>
      <c r="H325" s="345">
        <v>2</v>
      </c>
      <c r="I325" s="344" t="s">
        <v>2733</v>
      </c>
      <c r="J325" s="344" t="s">
        <v>7262</v>
      </c>
      <c r="K325" s="349" t="s">
        <v>8692</v>
      </c>
      <c r="L325" s="349" t="s">
        <v>8693</v>
      </c>
      <c r="M325" s="359" t="s">
        <v>8280</v>
      </c>
      <c r="N325" s="359" t="s">
        <v>8350</v>
      </c>
      <c r="O325" s="359" t="s">
        <v>8574</v>
      </c>
      <c r="P325" s="350" t="s">
        <v>8653</v>
      </c>
      <c r="Q325" s="343" t="s">
        <v>2233</v>
      </c>
      <c r="R325" s="343" t="s">
        <v>4</v>
      </c>
      <c r="S325" s="343"/>
      <c r="T325" s="343" t="s">
        <v>2733</v>
      </c>
    </row>
    <row r="326" spans="1:20" ht="22" customHeight="1">
      <c r="A326" s="343" t="s">
        <v>8555</v>
      </c>
      <c r="B326" s="343" t="s">
        <v>5394</v>
      </c>
      <c r="C326" s="350" t="s">
        <v>8686</v>
      </c>
      <c r="D326" s="343" t="s">
        <v>2909</v>
      </c>
      <c r="E326" s="344" t="s">
        <v>8556</v>
      </c>
      <c r="F326" s="344" t="s">
        <v>8557</v>
      </c>
      <c r="G326" s="344" t="s">
        <v>8442</v>
      </c>
      <c r="H326" s="345">
        <v>0.5</v>
      </c>
      <c r="I326" s="344" t="s">
        <v>7805</v>
      </c>
      <c r="J326" s="344" t="s">
        <v>7806</v>
      </c>
      <c r="K326" s="349" t="s">
        <v>8692</v>
      </c>
      <c r="L326" s="349" t="s">
        <v>8693</v>
      </c>
      <c r="M326" s="359" t="s">
        <v>8280</v>
      </c>
      <c r="N326" s="359" t="s">
        <v>8326</v>
      </c>
      <c r="O326" s="359" t="s">
        <v>8574</v>
      </c>
      <c r="P326" s="350" t="s">
        <v>8653</v>
      </c>
      <c r="Q326" s="343" t="s">
        <v>2233</v>
      </c>
      <c r="R326" s="343" t="s">
        <v>4</v>
      </c>
      <c r="S326" s="343"/>
      <c r="T326" s="343" t="s">
        <v>6390</v>
      </c>
    </row>
    <row r="327" spans="1:20" ht="22" customHeight="1">
      <c r="A327" s="343" t="s">
        <v>8558</v>
      </c>
      <c r="B327" s="343" t="s">
        <v>5394</v>
      </c>
      <c r="C327" s="350" t="s">
        <v>8686</v>
      </c>
      <c r="D327" s="343" t="s">
        <v>2909</v>
      </c>
      <c r="E327" s="344" t="s">
        <v>8559</v>
      </c>
      <c r="F327" s="344" t="s">
        <v>8560</v>
      </c>
      <c r="G327" s="344" t="s">
        <v>8442</v>
      </c>
      <c r="H327" s="345">
        <v>0.5</v>
      </c>
      <c r="I327" s="344" t="s">
        <v>7805</v>
      </c>
      <c r="J327" s="344" t="s">
        <v>7808</v>
      </c>
      <c r="K327" s="349" t="s">
        <v>8692</v>
      </c>
      <c r="L327" s="349" t="s">
        <v>8693</v>
      </c>
      <c r="M327" s="359" t="s">
        <v>8280</v>
      </c>
      <c r="N327" s="359" t="s">
        <v>8326</v>
      </c>
      <c r="O327" s="359" t="s">
        <v>8574</v>
      </c>
      <c r="P327" s="350" t="s">
        <v>8653</v>
      </c>
      <c r="Q327" s="343" t="s">
        <v>2233</v>
      </c>
      <c r="R327" s="343" t="s">
        <v>4</v>
      </c>
      <c r="S327" s="343"/>
      <c r="T327" s="343" t="s">
        <v>6393</v>
      </c>
    </row>
    <row r="328" spans="1:20" ht="22" customHeight="1">
      <c r="A328" s="343" t="s">
        <v>8561</v>
      </c>
      <c r="B328" s="343" t="s">
        <v>5394</v>
      </c>
      <c r="C328" s="350" t="s">
        <v>8686</v>
      </c>
      <c r="D328" s="343" t="s">
        <v>2909</v>
      </c>
      <c r="E328" s="344" t="s">
        <v>8562</v>
      </c>
      <c r="F328" s="344" t="s">
        <v>8563</v>
      </c>
      <c r="G328" s="344" t="s">
        <v>8442</v>
      </c>
      <c r="H328" s="345">
        <v>0.5</v>
      </c>
      <c r="I328" s="344" t="s">
        <v>7805</v>
      </c>
      <c r="J328" s="344" t="s">
        <v>7808</v>
      </c>
      <c r="K328" s="349" t="s">
        <v>8692</v>
      </c>
      <c r="L328" s="349" t="s">
        <v>8693</v>
      </c>
      <c r="M328" s="359" t="s">
        <v>8280</v>
      </c>
      <c r="N328" s="359" t="s">
        <v>8326</v>
      </c>
      <c r="O328" s="359" t="s">
        <v>8574</v>
      </c>
      <c r="P328" s="350" t="s">
        <v>8653</v>
      </c>
      <c r="Q328" s="343" t="s">
        <v>2233</v>
      </c>
      <c r="R328" s="343" t="s">
        <v>4</v>
      </c>
      <c r="S328" s="343"/>
      <c r="T328" s="343" t="s">
        <v>6393</v>
      </c>
    </row>
    <row r="329" spans="1:20" ht="22" customHeight="1">
      <c r="A329" s="343" t="s">
        <v>8564</v>
      </c>
      <c r="B329" s="343" t="s">
        <v>5394</v>
      </c>
      <c r="C329" s="350" t="s">
        <v>8686</v>
      </c>
      <c r="D329" s="343" t="s">
        <v>2909</v>
      </c>
      <c r="E329" s="344" t="s">
        <v>8565</v>
      </c>
      <c r="F329" s="344" t="s">
        <v>8566</v>
      </c>
      <c r="G329" s="344" t="s">
        <v>8442</v>
      </c>
      <c r="H329" s="345">
        <v>0.5</v>
      </c>
      <c r="I329" s="344" t="s">
        <v>7810</v>
      </c>
      <c r="J329" s="344" t="s">
        <v>7322</v>
      </c>
      <c r="K329" s="349" t="s">
        <v>8692</v>
      </c>
      <c r="L329" s="349" t="s">
        <v>8693</v>
      </c>
      <c r="M329" s="359" t="s">
        <v>8280</v>
      </c>
      <c r="N329" s="359" t="s">
        <v>8326</v>
      </c>
      <c r="O329" s="359" t="s">
        <v>8574</v>
      </c>
      <c r="P329" s="350" t="s">
        <v>8653</v>
      </c>
      <c r="Q329" s="343" t="s">
        <v>2233</v>
      </c>
      <c r="R329" s="343" t="s">
        <v>4</v>
      </c>
      <c r="S329" s="343"/>
      <c r="T329" s="343" t="s">
        <v>6395</v>
      </c>
    </row>
    <row r="330" spans="1:20" ht="22" customHeight="1">
      <c r="A330" s="343" t="s">
        <v>8567</v>
      </c>
      <c r="B330" s="343" t="s">
        <v>5394</v>
      </c>
      <c r="C330" s="350" t="s">
        <v>8686</v>
      </c>
      <c r="D330" s="343" t="s">
        <v>2909</v>
      </c>
      <c r="E330" s="344" t="s">
        <v>8568</v>
      </c>
      <c r="F330" s="344" t="s">
        <v>8569</v>
      </c>
      <c r="G330" s="344" t="s">
        <v>8442</v>
      </c>
      <c r="H330" s="345">
        <v>0.5</v>
      </c>
      <c r="I330" s="344" t="s">
        <v>7810</v>
      </c>
      <c r="J330" s="344" t="s">
        <v>7323</v>
      </c>
      <c r="K330" s="349" t="s">
        <v>8692</v>
      </c>
      <c r="L330" s="349" t="s">
        <v>8693</v>
      </c>
      <c r="M330" s="359" t="s">
        <v>8280</v>
      </c>
      <c r="N330" s="359" t="s">
        <v>8326</v>
      </c>
      <c r="O330" s="359" t="s">
        <v>8574</v>
      </c>
      <c r="P330" s="350" t="s">
        <v>8653</v>
      </c>
      <c r="Q330" s="343" t="s">
        <v>2233</v>
      </c>
      <c r="R330" s="343" t="s">
        <v>4</v>
      </c>
      <c r="S330" s="343"/>
      <c r="T330" s="343" t="s">
        <v>6397</v>
      </c>
    </row>
    <row r="331" spans="1:20" ht="22" customHeight="1">
      <c r="A331" s="343" t="s">
        <v>8570</v>
      </c>
      <c r="B331" s="343" t="s">
        <v>5394</v>
      </c>
      <c r="C331" s="350" t="s">
        <v>8686</v>
      </c>
      <c r="D331" s="343" t="s">
        <v>2909</v>
      </c>
      <c r="E331" s="344" t="s">
        <v>8571</v>
      </c>
      <c r="F331" s="344" t="s">
        <v>8572</v>
      </c>
      <c r="G331" s="344" t="s">
        <v>8442</v>
      </c>
      <c r="H331" s="345">
        <v>0.5</v>
      </c>
      <c r="I331" s="344" t="s">
        <v>7810</v>
      </c>
      <c r="J331" s="344" t="s">
        <v>7323</v>
      </c>
      <c r="K331" s="349" t="s">
        <v>8692</v>
      </c>
      <c r="L331" s="349" t="s">
        <v>8693</v>
      </c>
      <c r="M331" s="359" t="s">
        <v>8280</v>
      </c>
      <c r="N331" s="359" t="s">
        <v>8326</v>
      </c>
      <c r="O331" s="359" t="s">
        <v>8574</v>
      </c>
      <c r="P331" s="350" t="s">
        <v>8653</v>
      </c>
      <c r="Q331" s="343" t="s">
        <v>2233</v>
      </c>
      <c r="R331" s="343" t="s">
        <v>4</v>
      </c>
      <c r="S331" s="343"/>
      <c r="T331" s="343" t="s">
        <v>6397</v>
      </c>
    </row>
    <row r="332" spans="1:20" ht="22" customHeight="1">
      <c r="A332" s="343" t="s">
        <v>5700</v>
      </c>
      <c r="B332" s="343" t="s">
        <v>5394</v>
      </c>
      <c r="C332" s="350" t="s">
        <v>8686</v>
      </c>
      <c r="D332" s="343" t="s">
        <v>8840</v>
      </c>
      <c r="E332" s="344" t="s">
        <v>7761</v>
      </c>
      <c r="F332" s="344" t="s">
        <v>7101</v>
      </c>
      <c r="G332" s="344" t="s">
        <v>7102</v>
      </c>
      <c r="H332" s="345">
        <v>4</v>
      </c>
      <c r="I332" s="344" t="s">
        <v>2233</v>
      </c>
      <c r="J332" s="344" t="s">
        <v>7350</v>
      </c>
      <c r="K332" s="349" t="s">
        <v>8692</v>
      </c>
      <c r="L332" s="349" t="s">
        <v>8693</v>
      </c>
      <c r="M332" s="359" t="s">
        <v>8280</v>
      </c>
      <c r="N332" s="359" t="s">
        <v>8350</v>
      </c>
      <c r="O332" s="359" t="s">
        <v>8574</v>
      </c>
      <c r="P332" s="350" t="s">
        <v>8653</v>
      </c>
      <c r="Q332" s="343" t="s">
        <v>2233</v>
      </c>
      <c r="R332" s="343" t="s">
        <v>4</v>
      </c>
      <c r="S332" s="343"/>
      <c r="T332" s="343" t="s">
        <v>6694</v>
      </c>
    </row>
    <row r="333" spans="1:20" ht="22" customHeight="1">
      <c r="A333" s="343" t="s">
        <v>5701</v>
      </c>
      <c r="B333" s="343" t="s">
        <v>5394</v>
      </c>
      <c r="C333" s="350" t="s">
        <v>8686</v>
      </c>
      <c r="D333" s="343" t="s">
        <v>8841</v>
      </c>
      <c r="E333" s="344" t="s">
        <v>7762</v>
      </c>
      <c r="F333" s="344" t="s">
        <v>7103</v>
      </c>
      <c r="G333" s="344" t="s">
        <v>7104</v>
      </c>
      <c r="H333" s="345">
        <v>2</v>
      </c>
      <c r="I333" s="344" t="s">
        <v>7796</v>
      </c>
      <c r="J333" s="344" t="s">
        <v>7299</v>
      </c>
      <c r="K333" s="349" t="s">
        <v>8692</v>
      </c>
      <c r="L333" s="349" t="s">
        <v>8693</v>
      </c>
      <c r="M333" s="359" t="s">
        <v>8283</v>
      </c>
      <c r="N333" s="359" t="s">
        <v>8319</v>
      </c>
      <c r="O333" s="359" t="s">
        <v>8574</v>
      </c>
      <c r="P333" s="350" t="s">
        <v>8653</v>
      </c>
      <c r="Q333" s="343" t="s">
        <v>2233</v>
      </c>
      <c r="R333" s="343" t="s">
        <v>4</v>
      </c>
      <c r="S333" s="343"/>
      <c r="T333" s="343" t="s">
        <v>6321</v>
      </c>
    </row>
    <row r="334" spans="1:20" ht="22" customHeight="1">
      <c r="A334" s="343" t="s">
        <v>5702</v>
      </c>
      <c r="B334" s="343" t="s">
        <v>5394</v>
      </c>
      <c r="C334" s="350" t="s">
        <v>8686</v>
      </c>
      <c r="D334" s="343" t="s">
        <v>2909</v>
      </c>
      <c r="E334" s="344" t="s">
        <v>6131</v>
      </c>
      <c r="F334" s="344" t="s">
        <v>7105</v>
      </c>
      <c r="G334" s="344" t="s">
        <v>7106</v>
      </c>
      <c r="H334" s="345">
        <v>3</v>
      </c>
      <c r="I334" s="344" t="s">
        <v>7825</v>
      </c>
      <c r="J334" s="344" t="s">
        <v>7954</v>
      </c>
      <c r="K334" s="349" t="s">
        <v>8692</v>
      </c>
      <c r="L334" s="349" t="s">
        <v>8693</v>
      </c>
      <c r="M334" s="359" t="s">
        <v>8598</v>
      </c>
      <c r="N334" s="359" t="s">
        <v>8669</v>
      </c>
      <c r="O334" s="359" t="s">
        <v>8688</v>
      </c>
      <c r="P334" s="350" t="s">
        <v>8653</v>
      </c>
      <c r="Q334" s="343" t="s">
        <v>2233</v>
      </c>
      <c r="R334" s="343" t="s">
        <v>4</v>
      </c>
      <c r="S334" s="343"/>
      <c r="T334" s="343" t="s">
        <v>6695</v>
      </c>
    </row>
    <row r="335" spans="1:20" ht="22" customHeight="1">
      <c r="A335" s="343" t="s">
        <v>5703</v>
      </c>
      <c r="B335" s="343" t="s">
        <v>5394</v>
      </c>
      <c r="C335" s="350" t="s">
        <v>8686</v>
      </c>
      <c r="D335" s="343" t="s">
        <v>8842</v>
      </c>
      <c r="E335" s="344" t="s">
        <v>6132</v>
      </c>
      <c r="F335" s="344" t="s">
        <v>7107</v>
      </c>
      <c r="G335" s="344" t="s">
        <v>7108</v>
      </c>
      <c r="H335" s="345">
        <v>2</v>
      </c>
      <c r="I335" s="344" t="s">
        <v>7798</v>
      </c>
      <c r="J335" s="344" t="s">
        <v>7305</v>
      </c>
      <c r="K335" s="349" t="s">
        <v>8692</v>
      </c>
      <c r="L335" s="349" t="s">
        <v>8693</v>
      </c>
      <c r="M335" s="359" t="s">
        <v>8598</v>
      </c>
      <c r="N335" s="359" t="s">
        <v>8670</v>
      </c>
      <c r="O335" s="359" t="s">
        <v>8688</v>
      </c>
      <c r="P335" s="350" t="s">
        <v>8653</v>
      </c>
      <c r="Q335" s="343" t="s">
        <v>2233</v>
      </c>
      <c r="R335" s="343" t="s">
        <v>4</v>
      </c>
      <c r="S335" s="343"/>
      <c r="T335" s="343" t="s">
        <v>6340</v>
      </c>
    </row>
    <row r="336" spans="1:20" ht="22" customHeight="1">
      <c r="A336" s="343" t="s">
        <v>5704</v>
      </c>
      <c r="B336" s="343" t="s">
        <v>5394</v>
      </c>
      <c r="C336" s="350" t="s">
        <v>8686</v>
      </c>
      <c r="D336" s="343" t="s">
        <v>8843</v>
      </c>
      <c r="E336" s="344" t="s">
        <v>6133</v>
      </c>
      <c r="F336" s="344" t="s">
        <v>7109</v>
      </c>
      <c r="G336" s="344" t="s">
        <v>7110</v>
      </c>
      <c r="H336" s="345">
        <v>3</v>
      </c>
      <c r="I336" s="344" t="s">
        <v>7824</v>
      </c>
      <c r="J336" s="344" t="s">
        <v>7275</v>
      </c>
      <c r="K336" s="349" t="s">
        <v>8693</v>
      </c>
      <c r="L336" s="349" t="s">
        <v>8693</v>
      </c>
      <c r="M336" s="359" t="s">
        <v>8281</v>
      </c>
      <c r="N336" s="359" t="s">
        <v>8311</v>
      </c>
      <c r="O336" s="359" t="s">
        <v>8574</v>
      </c>
      <c r="P336" s="350" t="s">
        <v>8653</v>
      </c>
      <c r="Q336" s="343" t="s">
        <v>2233</v>
      </c>
      <c r="R336" s="343" t="s">
        <v>4</v>
      </c>
      <c r="S336" s="343"/>
      <c r="T336" s="343" t="s">
        <v>6449</v>
      </c>
    </row>
    <row r="337" spans="1:20" ht="22" customHeight="1">
      <c r="A337" s="343" t="s">
        <v>5705</v>
      </c>
      <c r="B337" s="343" t="s">
        <v>5394</v>
      </c>
      <c r="C337" s="350" t="s">
        <v>8686</v>
      </c>
      <c r="D337" s="343" t="s">
        <v>8844</v>
      </c>
      <c r="E337" s="344" t="s">
        <v>6134</v>
      </c>
      <c r="F337" s="344" t="s">
        <v>7111</v>
      </c>
      <c r="G337" s="344" t="s">
        <v>7112</v>
      </c>
      <c r="H337" s="345">
        <v>4</v>
      </c>
      <c r="I337" s="344" t="s">
        <v>7787</v>
      </c>
      <c r="J337" s="344" t="s">
        <v>7270</v>
      </c>
      <c r="K337" s="349" t="s">
        <v>8692</v>
      </c>
      <c r="L337" s="349" t="s">
        <v>8692</v>
      </c>
      <c r="M337" s="359" t="s">
        <v>8280</v>
      </c>
      <c r="N337" s="359" t="s">
        <v>8305</v>
      </c>
      <c r="O337" s="359" t="s">
        <v>8574</v>
      </c>
      <c r="P337" s="350" t="s">
        <v>8652</v>
      </c>
      <c r="Q337" s="343" t="s">
        <v>2233</v>
      </c>
      <c r="R337" s="343" t="s">
        <v>4</v>
      </c>
      <c r="S337" s="343"/>
      <c r="T337" s="343" t="s">
        <v>6256</v>
      </c>
    </row>
    <row r="338" spans="1:20" ht="22" customHeight="1">
      <c r="A338" s="343" t="s">
        <v>5706</v>
      </c>
      <c r="B338" s="343" t="s">
        <v>5394</v>
      </c>
      <c r="C338" s="350" t="s">
        <v>8686</v>
      </c>
      <c r="D338" s="343" t="s">
        <v>8844</v>
      </c>
      <c r="E338" s="344" t="s">
        <v>6135</v>
      </c>
      <c r="F338" s="344" t="s">
        <v>7113</v>
      </c>
      <c r="G338" s="344" t="s">
        <v>7114</v>
      </c>
      <c r="H338" s="345">
        <v>4</v>
      </c>
      <c r="I338" s="344" t="s">
        <v>7787</v>
      </c>
      <c r="J338" s="344" t="s">
        <v>7281</v>
      </c>
      <c r="K338" s="349" t="s">
        <v>8692</v>
      </c>
      <c r="L338" s="349" t="s">
        <v>8692</v>
      </c>
      <c r="M338" s="359" t="s">
        <v>8280</v>
      </c>
      <c r="N338" s="359" t="s">
        <v>8305</v>
      </c>
      <c r="O338" s="359" t="s">
        <v>8574</v>
      </c>
      <c r="P338" s="350" t="s">
        <v>8652</v>
      </c>
      <c r="Q338" s="343" t="s">
        <v>2233</v>
      </c>
      <c r="R338" s="343" t="s">
        <v>4</v>
      </c>
      <c r="S338" s="343"/>
      <c r="T338" s="343" t="s">
        <v>6260</v>
      </c>
    </row>
    <row r="339" spans="1:20" ht="22" customHeight="1">
      <c r="A339" s="343" t="s">
        <v>5707</v>
      </c>
      <c r="B339" s="343" t="s">
        <v>5394</v>
      </c>
      <c r="C339" s="350" t="s">
        <v>8686</v>
      </c>
      <c r="D339" s="343" t="s">
        <v>8844</v>
      </c>
      <c r="E339" s="344" t="s">
        <v>6136</v>
      </c>
      <c r="F339" s="344" t="s">
        <v>7115</v>
      </c>
      <c r="G339" s="344" t="s">
        <v>7116</v>
      </c>
      <c r="H339" s="345">
        <v>4</v>
      </c>
      <c r="I339" s="344" t="s">
        <v>7823</v>
      </c>
      <c r="J339" s="344" t="s">
        <v>7272</v>
      </c>
      <c r="K339" s="349" t="s">
        <v>8692</v>
      </c>
      <c r="L339" s="349" t="s">
        <v>8693</v>
      </c>
      <c r="M339" s="359" t="s">
        <v>8283</v>
      </c>
      <c r="N339" s="359" t="s">
        <v>8307</v>
      </c>
      <c r="O339" s="359" t="s">
        <v>8574</v>
      </c>
      <c r="P339" s="350" t="s">
        <v>8653</v>
      </c>
      <c r="Q339" s="343" t="s">
        <v>2233</v>
      </c>
      <c r="R339" s="343" t="s">
        <v>4</v>
      </c>
      <c r="S339" s="343"/>
      <c r="T339" s="343" t="s">
        <v>6440</v>
      </c>
    </row>
    <row r="340" spans="1:20" ht="22" customHeight="1">
      <c r="A340" s="343" t="s">
        <v>5708</v>
      </c>
      <c r="B340" s="343" t="s">
        <v>5394</v>
      </c>
      <c r="C340" s="350" t="s">
        <v>8686</v>
      </c>
      <c r="D340" s="343" t="s">
        <v>8844</v>
      </c>
      <c r="E340" s="344" t="s">
        <v>6137</v>
      </c>
      <c r="F340" s="344" t="s">
        <v>7117</v>
      </c>
      <c r="G340" s="344" t="s">
        <v>7118</v>
      </c>
      <c r="H340" s="345">
        <v>2</v>
      </c>
      <c r="I340" s="344" t="s">
        <v>7787</v>
      </c>
      <c r="J340" s="344" t="s">
        <v>7270</v>
      </c>
      <c r="K340" s="349" t="s">
        <v>8692</v>
      </c>
      <c r="L340" s="349" t="s">
        <v>8692</v>
      </c>
      <c r="M340" s="359" t="s">
        <v>8280</v>
      </c>
      <c r="N340" s="359" t="s">
        <v>8305</v>
      </c>
      <c r="O340" s="359" t="s">
        <v>8574</v>
      </c>
      <c r="P340" s="350" t="s">
        <v>8652</v>
      </c>
      <c r="Q340" s="343" t="s">
        <v>2233</v>
      </c>
      <c r="R340" s="343" t="s">
        <v>4</v>
      </c>
      <c r="S340" s="343"/>
      <c r="T340" s="343" t="s">
        <v>6256</v>
      </c>
    </row>
    <row r="341" spans="1:20" ht="22" customHeight="1">
      <c r="A341" s="343" t="s">
        <v>5709</v>
      </c>
      <c r="B341" s="343" t="s">
        <v>5394</v>
      </c>
      <c r="C341" s="350" t="s">
        <v>8686</v>
      </c>
      <c r="D341" s="343" t="s">
        <v>8844</v>
      </c>
      <c r="E341" s="344" t="s">
        <v>6138</v>
      </c>
      <c r="F341" s="344" t="s">
        <v>7119</v>
      </c>
      <c r="G341" s="344" t="s">
        <v>7120</v>
      </c>
      <c r="H341" s="345">
        <v>2</v>
      </c>
      <c r="I341" s="344" t="s">
        <v>7955</v>
      </c>
      <c r="J341" s="344" t="s">
        <v>7956</v>
      </c>
      <c r="K341" s="349" t="s">
        <v>8692</v>
      </c>
      <c r="L341" s="349" t="s">
        <v>8692</v>
      </c>
      <c r="M341" s="359" t="s">
        <v>8282</v>
      </c>
      <c r="N341" s="359" t="s">
        <v>8330</v>
      </c>
      <c r="O341" s="359" t="s">
        <v>8574</v>
      </c>
      <c r="P341" s="350" t="s">
        <v>8649</v>
      </c>
      <c r="Q341" s="343" t="s">
        <v>2233</v>
      </c>
      <c r="R341" s="343" t="s">
        <v>4</v>
      </c>
      <c r="S341" s="343"/>
      <c r="T341" s="343" t="s">
        <v>6696</v>
      </c>
    </row>
    <row r="342" spans="1:20" ht="22" customHeight="1">
      <c r="A342" s="343" t="s">
        <v>8387</v>
      </c>
      <c r="B342" s="343" t="s">
        <v>5394</v>
      </c>
      <c r="C342" s="350" t="s">
        <v>8686</v>
      </c>
      <c r="D342" s="343" t="s">
        <v>8845</v>
      </c>
      <c r="E342" s="344" t="s">
        <v>8388</v>
      </c>
      <c r="F342" s="344" t="s">
        <v>8389</v>
      </c>
      <c r="G342" s="344" t="s">
        <v>8390</v>
      </c>
      <c r="H342" s="345">
        <v>1</v>
      </c>
      <c r="I342" s="344" t="s">
        <v>7832</v>
      </c>
      <c r="J342" s="344" t="s">
        <v>7342</v>
      </c>
      <c r="K342" s="349" t="s">
        <v>8692</v>
      </c>
      <c r="L342" s="349" t="s">
        <v>8692</v>
      </c>
      <c r="M342" s="359" t="s">
        <v>8284</v>
      </c>
      <c r="N342" s="359" t="s">
        <v>8333</v>
      </c>
      <c r="O342" s="359" t="s">
        <v>8574</v>
      </c>
      <c r="P342" s="350" t="s">
        <v>8651</v>
      </c>
      <c r="Q342" s="343" t="s">
        <v>2233</v>
      </c>
      <c r="R342" s="343" t="s">
        <v>4</v>
      </c>
      <c r="S342" s="343"/>
      <c r="T342" s="343" t="s">
        <v>2733</v>
      </c>
    </row>
    <row r="343" spans="1:20" ht="22" customHeight="1">
      <c r="A343" s="343" t="s">
        <v>8391</v>
      </c>
      <c r="B343" s="343" t="s">
        <v>5394</v>
      </c>
      <c r="C343" s="350" t="s">
        <v>8686</v>
      </c>
      <c r="D343" s="343" t="s">
        <v>8845</v>
      </c>
      <c r="E343" s="344" t="s">
        <v>8392</v>
      </c>
      <c r="F343" s="344" t="s">
        <v>8393</v>
      </c>
      <c r="G343" s="344" t="s">
        <v>8394</v>
      </c>
      <c r="H343" s="345">
        <v>1</v>
      </c>
      <c r="I343" s="344" t="s">
        <v>7262</v>
      </c>
      <c r="J343" s="344" t="s">
        <v>7262</v>
      </c>
      <c r="K343" s="349" t="s">
        <v>8692</v>
      </c>
      <c r="L343" s="349" t="s">
        <v>8693</v>
      </c>
      <c r="M343" s="359" t="s">
        <v>8284</v>
      </c>
      <c r="N343" s="359" t="s">
        <v>8395</v>
      </c>
      <c r="O343" s="359" t="s">
        <v>8574</v>
      </c>
      <c r="P343" s="350" t="s">
        <v>8653</v>
      </c>
      <c r="Q343" s="343" t="s">
        <v>2233</v>
      </c>
      <c r="R343" s="343" t="s">
        <v>4</v>
      </c>
      <c r="S343" s="343"/>
      <c r="T343" s="343" t="s">
        <v>2733</v>
      </c>
    </row>
    <row r="344" spans="1:20" ht="22" customHeight="1">
      <c r="A344" s="343" t="s">
        <v>8396</v>
      </c>
      <c r="B344" s="343" t="s">
        <v>5394</v>
      </c>
      <c r="C344" s="350" t="s">
        <v>8686</v>
      </c>
      <c r="D344" s="343" t="s">
        <v>8845</v>
      </c>
      <c r="E344" s="344" t="s">
        <v>8397</v>
      </c>
      <c r="F344" s="344" t="s">
        <v>8398</v>
      </c>
      <c r="G344" s="344" t="s">
        <v>8399</v>
      </c>
      <c r="H344" s="345">
        <v>1</v>
      </c>
      <c r="I344" s="344" t="s">
        <v>7262</v>
      </c>
      <c r="J344" s="344" t="s">
        <v>7262</v>
      </c>
      <c r="K344" s="349" t="s">
        <v>8692</v>
      </c>
      <c r="L344" s="349" t="s">
        <v>8693</v>
      </c>
      <c r="M344" s="359" t="s">
        <v>8284</v>
      </c>
      <c r="N344" s="359" t="s">
        <v>8400</v>
      </c>
      <c r="O344" s="359" t="s">
        <v>8574</v>
      </c>
      <c r="P344" s="350" t="s">
        <v>8653</v>
      </c>
      <c r="Q344" s="343" t="s">
        <v>2233</v>
      </c>
      <c r="R344" s="343" t="s">
        <v>4</v>
      </c>
      <c r="S344" s="343"/>
      <c r="T344" s="343" t="s">
        <v>2733</v>
      </c>
    </row>
    <row r="345" spans="1:20" ht="22" customHeight="1">
      <c r="A345" s="343" t="s">
        <v>8401</v>
      </c>
      <c r="B345" s="343" t="s">
        <v>5394</v>
      </c>
      <c r="C345" s="350" t="s">
        <v>8686</v>
      </c>
      <c r="D345" s="343" t="s">
        <v>8845</v>
      </c>
      <c r="E345" s="344" t="s">
        <v>8402</v>
      </c>
      <c r="F345" s="344" t="s">
        <v>8403</v>
      </c>
      <c r="G345" s="344" t="s">
        <v>8404</v>
      </c>
      <c r="H345" s="345">
        <v>1</v>
      </c>
      <c r="I345" s="344" t="s">
        <v>7810</v>
      </c>
      <c r="J345" s="344" t="s">
        <v>7323</v>
      </c>
      <c r="K345" s="349" t="s">
        <v>8692</v>
      </c>
      <c r="L345" s="349" t="s">
        <v>8693</v>
      </c>
      <c r="M345" s="359" t="s">
        <v>8284</v>
      </c>
      <c r="N345" s="359" t="s">
        <v>8334</v>
      </c>
      <c r="O345" s="359" t="s">
        <v>8574</v>
      </c>
      <c r="P345" s="350" t="s">
        <v>8653</v>
      </c>
      <c r="Q345" s="343" t="s">
        <v>2233</v>
      </c>
      <c r="R345" s="343" t="s">
        <v>4</v>
      </c>
      <c r="S345" s="343"/>
      <c r="T345" s="343" t="s">
        <v>2733</v>
      </c>
    </row>
    <row r="346" spans="1:20" ht="22" customHeight="1">
      <c r="A346" s="343" t="s">
        <v>5710</v>
      </c>
      <c r="B346" s="343" t="s">
        <v>5394</v>
      </c>
      <c r="C346" s="350" t="s">
        <v>8686</v>
      </c>
      <c r="D346" s="343" t="s">
        <v>2909</v>
      </c>
      <c r="E346" s="344" t="s">
        <v>6139</v>
      </c>
      <c r="F346" s="344" t="s">
        <v>7121</v>
      </c>
      <c r="G346" s="344" t="s">
        <v>7122</v>
      </c>
      <c r="H346" s="345">
        <v>1</v>
      </c>
      <c r="I346" s="344" t="s">
        <v>2733</v>
      </c>
      <c r="J346" s="344" t="s">
        <v>7262</v>
      </c>
      <c r="K346" s="349" t="s">
        <v>8692</v>
      </c>
      <c r="L346" s="349" t="s">
        <v>8693</v>
      </c>
      <c r="M346" s="359" t="s">
        <v>8280</v>
      </c>
      <c r="N346" s="359" t="s">
        <v>8350</v>
      </c>
      <c r="O346" s="359" t="s">
        <v>8574</v>
      </c>
      <c r="P346" s="350" t="s">
        <v>8653</v>
      </c>
      <c r="Q346" s="343" t="s">
        <v>2233</v>
      </c>
      <c r="R346" s="343" t="s">
        <v>4</v>
      </c>
      <c r="S346" s="343"/>
      <c r="T346" s="343" t="s">
        <v>2733</v>
      </c>
    </row>
    <row r="347" spans="1:20" ht="22" customHeight="1">
      <c r="A347" s="343" t="s">
        <v>5711</v>
      </c>
      <c r="B347" s="343" t="s">
        <v>5395</v>
      </c>
      <c r="C347" s="350" t="s">
        <v>8686</v>
      </c>
      <c r="D347" s="343" t="s">
        <v>8846</v>
      </c>
      <c r="E347" s="344" t="s">
        <v>6140</v>
      </c>
      <c r="F347" s="344" t="s">
        <v>7123</v>
      </c>
      <c r="G347" s="344" t="s">
        <v>7124</v>
      </c>
      <c r="H347" s="345">
        <v>2.5</v>
      </c>
      <c r="I347" s="344" t="s">
        <v>2233</v>
      </c>
      <c r="J347" s="344" t="s">
        <v>7351</v>
      </c>
      <c r="K347" s="349" t="s">
        <v>8692</v>
      </c>
      <c r="L347" s="349" t="s">
        <v>8693</v>
      </c>
      <c r="M347" s="359" t="s">
        <v>8280</v>
      </c>
      <c r="N347" s="359" t="s">
        <v>8351</v>
      </c>
      <c r="O347" s="359" t="s">
        <v>8574</v>
      </c>
      <c r="P347" s="350" t="s">
        <v>8653</v>
      </c>
      <c r="Q347" s="343" t="s">
        <v>2233</v>
      </c>
      <c r="R347" s="343" t="s">
        <v>4</v>
      </c>
      <c r="S347" s="343"/>
      <c r="T347" s="343" t="s">
        <v>6697</v>
      </c>
    </row>
    <row r="348" spans="1:20" ht="22" customHeight="1">
      <c r="A348" s="343" t="s">
        <v>5712</v>
      </c>
      <c r="B348" s="343" t="s">
        <v>5395</v>
      </c>
      <c r="C348" s="350" t="s">
        <v>8686</v>
      </c>
      <c r="D348" s="343" t="s">
        <v>2909</v>
      </c>
      <c r="E348" s="344" t="s">
        <v>6141</v>
      </c>
      <c r="F348" s="344" t="s">
        <v>7125</v>
      </c>
      <c r="G348" s="344" t="s">
        <v>7126</v>
      </c>
      <c r="H348" s="345">
        <v>1.5</v>
      </c>
      <c r="I348" s="344" t="s">
        <v>2733</v>
      </c>
      <c r="J348" s="344" t="s">
        <v>7352</v>
      </c>
      <c r="K348" s="349" t="s">
        <v>8692</v>
      </c>
      <c r="L348" s="349" t="s">
        <v>8693</v>
      </c>
      <c r="M348" s="359" t="s">
        <v>8284</v>
      </c>
      <c r="N348" s="359" t="s">
        <v>8351</v>
      </c>
      <c r="O348" s="359" t="s">
        <v>8574</v>
      </c>
      <c r="P348" s="350" t="s">
        <v>8653</v>
      </c>
      <c r="Q348" s="343" t="s">
        <v>2233</v>
      </c>
      <c r="R348" s="343" t="s">
        <v>4</v>
      </c>
      <c r="S348" s="343"/>
      <c r="T348" s="343" t="s">
        <v>2733</v>
      </c>
    </row>
    <row r="349" spans="1:20" ht="22" customHeight="1">
      <c r="A349" s="343" t="s">
        <v>5713</v>
      </c>
      <c r="B349" s="343" t="s">
        <v>5395</v>
      </c>
      <c r="C349" s="350" t="s">
        <v>8686</v>
      </c>
      <c r="D349" s="343" t="s">
        <v>2909</v>
      </c>
      <c r="E349" s="344" t="s">
        <v>6142</v>
      </c>
      <c r="F349" s="344" t="s">
        <v>7127</v>
      </c>
      <c r="G349" s="344" t="s">
        <v>7128</v>
      </c>
      <c r="H349" s="345">
        <v>1.5</v>
      </c>
      <c r="I349" s="344" t="s">
        <v>7830</v>
      </c>
      <c r="J349" s="344" t="s">
        <v>7353</v>
      </c>
      <c r="K349" s="349" t="s">
        <v>8692</v>
      </c>
      <c r="L349" s="349" t="s">
        <v>8693</v>
      </c>
      <c r="M349" s="359" t="s">
        <v>8284</v>
      </c>
      <c r="N349" s="359" t="s">
        <v>8298</v>
      </c>
      <c r="O349" s="359" t="s">
        <v>8574</v>
      </c>
      <c r="P349" s="350" t="s">
        <v>8653</v>
      </c>
      <c r="Q349" s="343" t="s">
        <v>5711</v>
      </c>
      <c r="R349" s="343" t="s">
        <v>4</v>
      </c>
      <c r="S349" s="343"/>
      <c r="T349" s="343" t="s">
        <v>6698</v>
      </c>
    </row>
    <row r="350" spans="1:20" ht="22" customHeight="1">
      <c r="A350" s="343" t="s">
        <v>5714</v>
      </c>
      <c r="B350" s="343" t="s">
        <v>5395</v>
      </c>
      <c r="C350" s="350" t="s">
        <v>8686</v>
      </c>
      <c r="D350" s="343" t="s">
        <v>2909</v>
      </c>
      <c r="E350" s="344" t="s">
        <v>6143</v>
      </c>
      <c r="F350" s="344" t="s">
        <v>7129</v>
      </c>
      <c r="G350" s="344" t="s">
        <v>7130</v>
      </c>
      <c r="H350" s="345">
        <v>2</v>
      </c>
      <c r="I350" s="344" t="s">
        <v>7831</v>
      </c>
      <c r="J350" s="344" t="s">
        <v>7957</v>
      </c>
      <c r="K350" s="349" t="s">
        <v>8692</v>
      </c>
      <c r="L350" s="349" t="s">
        <v>8693</v>
      </c>
      <c r="M350" s="359" t="s">
        <v>8598</v>
      </c>
      <c r="N350" s="359" t="s">
        <v>8671</v>
      </c>
      <c r="O350" s="359" t="s">
        <v>8688</v>
      </c>
      <c r="P350" s="350" t="s">
        <v>8651</v>
      </c>
      <c r="Q350" s="343" t="s">
        <v>5711</v>
      </c>
      <c r="R350" s="343" t="s">
        <v>4</v>
      </c>
      <c r="S350" s="343"/>
      <c r="T350" s="343" t="s">
        <v>6699</v>
      </c>
    </row>
    <row r="351" spans="1:20" ht="22" customHeight="1">
      <c r="A351" s="343" t="s">
        <v>5715</v>
      </c>
      <c r="B351" s="343" t="s">
        <v>5395</v>
      </c>
      <c r="C351" s="350" t="s">
        <v>8686</v>
      </c>
      <c r="D351" s="343" t="s">
        <v>2909</v>
      </c>
      <c r="E351" s="344" t="s">
        <v>6144</v>
      </c>
      <c r="F351" s="344" t="s">
        <v>7131</v>
      </c>
      <c r="G351" s="344" t="s">
        <v>7132</v>
      </c>
      <c r="H351" s="345">
        <v>2.5</v>
      </c>
      <c r="I351" s="344" t="s">
        <v>2233</v>
      </c>
      <c r="J351" s="344" t="s">
        <v>7354</v>
      </c>
      <c r="K351" s="349" t="s">
        <v>8692</v>
      </c>
      <c r="L351" s="349" t="s">
        <v>8693</v>
      </c>
      <c r="M351" s="359" t="s">
        <v>8280</v>
      </c>
      <c r="N351" s="359" t="s">
        <v>8351</v>
      </c>
      <c r="O351" s="359" t="s">
        <v>8574</v>
      </c>
      <c r="P351" s="350" t="s">
        <v>8653</v>
      </c>
      <c r="Q351" s="343" t="s">
        <v>5711</v>
      </c>
      <c r="R351" s="343" t="s">
        <v>4</v>
      </c>
      <c r="S351" s="343"/>
      <c r="T351" s="343" t="s">
        <v>6501</v>
      </c>
    </row>
    <row r="352" spans="1:20" ht="22" customHeight="1">
      <c r="A352" s="343" t="s">
        <v>5716</v>
      </c>
      <c r="B352" s="343" t="s">
        <v>5395</v>
      </c>
      <c r="C352" s="350" t="s">
        <v>8686</v>
      </c>
      <c r="D352" s="343" t="s">
        <v>2909</v>
      </c>
      <c r="E352" s="344" t="s">
        <v>6145</v>
      </c>
      <c r="F352" s="344" t="s">
        <v>7133</v>
      </c>
      <c r="G352" s="344" t="s">
        <v>7134</v>
      </c>
      <c r="H352" s="345">
        <v>2</v>
      </c>
      <c r="I352" s="344" t="s">
        <v>2233</v>
      </c>
      <c r="J352" s="344" t="s">
        <v>7351</v>
      </c>
      <c r="K352" s="349" t="s">
        <v>8692</v>
      </c>
      <c r="L352" s="349" t="s">
        <v>8693</v>
      </c>
      <c r="M352" s="359" t="s">
        <v>8280</v>
      </c>
      <c r="N352" s="359" t="s">
        <v>8351</v>
      </c>
      <c r="O352" s="359" t="s">
        <v>8574</v>
      </c>
      <c r="P352" s="350" t="s">
        <v>8653</v>
      </c>
      <c r="Q352" s="343" t="s">
        <v>5711</v>
      </c>
      <c r="R352" s="343" t="s">
        <v>4</v>
      </c>
      <c r="S352" s="343"/>
      <c r="T352" s="343" t="s">
        <v>6697</v>
      </c>
    </row>
    <row r="353" spans="1:20" ht="22" customHeight="1">
      <c r="A353" s="343" t="s">
        <v>5717</v>
      </c>
      <c r="B353" s="343" t="s">
        <v>5395</v>
      </c>
      <c r="C353" s="350" t="s">
        <v>8686</v>
      </c>
      <c r="D353" s="343" t="s">
        <v>2909</v>
      </c>
      <c r="E353" s="344" t="s">
        <v>6146</v>
      </c>
      <c r="F353" s="344" t="s">
        <v>7135</v>
      </c>
      <c r="G353" s="344" t="s">
        <v>7136</v>
      </c>
      <c r="H353" s="345">
        <v>1.5</v>
      </c>
      <c r="I353" s="344" t="s">
        <v>2233</v>
      </c>
      <c r="J353" s="344" t="s">
        <v>7351</v>
      </c>
      <c r="K353" s="349" t="s">
        <v>8692</v>
      </c>
      <c r="L353" s="349" t="s">
        <v>8693</v>
      </c>
      <c r="M353" s="359" t="s">
        <v>8280</v>
      </c>
      <c r="N353" s="359" t="s">
        <v>8351</v>
      </c>
      <c r="O353" s="359" t="s">
        <v>8574</v>
      </c>
      <c r="P353" s="350" t="s">
        <v>8653</v>
      </c>
      <c r="Q353" s="343" t="s">
        <v>5716</v>
      </c>
      <c r="R353" s="343" t="s">
        <v>4</v>
      </c>
      <c r="S353" s="343"/>
      <c r="T353" s="343" t="s">
        <v>6697</v>
      </c>
    </row>
    <row r="354" spans="1:20" ht="22" customHeight="1">
      <c r="A354" s="343" t="s">
        <v>5718</v>
      </c>
      <c r="B354" s="343" t="s">
        <v>5396</v>
      </c>
      <c r="C354" s="350" t="s">
        <v>8686</v>
      </c>
      <c r="D354" s="343" t="s">
        <v>2909</v>
      </c>
      <c r="E354" s="344" t="s">
        <v>6147</v>
      </c>
      <c r="F354" s="344" t="s">
        <v>7137</v>
      </c>
      <c r="G354" s="344" t="s">
        <v>7138</v>
      </c>
      <c r="H354" s="345">
        <v>2</v>
      </c>
      <c r="I354" s="344" t="s">
        <v>7816</v>
      </c>
      <c r="J354" s="344" t="s">
        <v>7329</v>
      </c>
      <c r="K354" s="349" t="s">
        <v>8692</v>
      </c>
      <c r="L354" s="349" t="s">
        <v>8693</v>
      </c>
      <c r="M354" s="359" t="s">
        <v>8284</v>
      </c>
      <c r="N354" s="359" t="s">
        <v>8299</v>
      </c>
      <c r="O354" s="359" t="s">
        <v>8574</v>
      </c>
      <c r="P354" s="350" t="s">
        <v>8653</v>
      </c>
      <c r="Q354" s="343" t="s">
        <v>2233</v>
      </c>
      <c r="R354" s="343" t="s">
        <v>4</v>
      </c>
      <c r="S354" s="343"/>
      <c r="T354" s="343" t="s">
        <v>6430</v>
      </c>
    </row>
    <row r="355" spans="1:20" ht="22" customHeight="1">
      <c r="A355" s="343" t="s">
        <v>5719</v>
      </c>
      <c r="B355" s="343" t="s">
        <v>5396</v>
      </c>
      <c r="C355" s="350" t="s">
        <v>8686</v>
      </c>
      <c r="D355" s="343" t="s">
        <v>2909</v>
      </c>
      <c r="E355" s="344" t="s">
        <v>6148</v>
      </c>
      <c r="F355" s="344" t="s">
        <v>7139</v>
      </c>
      <c r="G355" s="344" t="s">
        <v>7140</v>
      </c>
      <c r="H355" s="345">
        <v>3</v>
      </c>
      <c r="I355" s="344" t="s">
        <v>7816</v>
      </c>
      <c r="J355" s="344" t="s">
        <v>7355</v>
      </c>
      <c r="K355" s="349" t="s">
        <v>8692</v>
      </c>
      <c r="L355" s="349" t="s">
        <v>8693</v>
      </c>
      <c r="M355" s="359" t="s">
        <v>8284</v>
      </c>
      <c r="N355" s="359" t="s">
        <v>8299</v>
      </c>
      <c r="O355" s="359" t="s">
        <v>8574</v>
      </c>
      <c r="P355" s="350" t="s">
        <v>8653</v>
      </c>
      <c r="Q355" s="343" t="s">
        <v>5657</v>
      </c>
      <c r="R355" s="343" t="s">
        <v>4</v>
      </c>
      <c r="S355" s="343"/>
      <c r="T355" s="343" t="s">
        <v>6700</v>
      </c>
    </row>
    <row r="356" spans="1:20" ht="22" customHeight="1">
      <c r="A356" s="343" t="s">
        <v>5720</v>
      </c>
      <c r="B356" s="343" t="s">
        <v>5396</v>
      </c>
      <c r="C356" s="350" t="s">
        <v>8686</v>
      </c>
      <c r="D356" s="343" t="s">
        <v>2909</v>
      </c>
      <c r="E356" s="344" t="s">
        <v>6149</v>
      </c>
      <c r="F356" s="344" t="s">
        <v>7141</v>
      </c>
      <c r="G356" s="344" t="s">
        <v>7142</v>
      </c>
      <c r="H356" s="345">
        <v>3</v>
      </c>
      <c r="I356" s="344" t="s">
        <v>7816</v>
      </c>
      <c r="J356" s="344" t="s">
        <v>7355</v>
      </c>
      <c r="K356" s="349" t="s">
        <v>8692</v>
      </c>
      <c r="L356" s="349" t="s">
        <v>8693</v>
      </c>
      <c r="M356" s="359" t="s">
        <v>8284</v>
      </c>
      <c r="N356" s="359" t="s">
        <v>8299</v>
      </c>
      <c r="O356" s="359" t="s">
        <v>8574</v>
      </c>
      <c r="P356" s="350" t="s">
        <v>8653</v>
      </c>
      <c r="Q356" s="343" t="s">
        <v>5718</v>
      </c>
      <c r="R356" s="343" t="s">
        <v>4</v>
      </c>
      <c r="S356" s="343"/>
      <c r="T356" s="343" t="s">
        <v>6700</v>
      </c>
    </row>
    <row r="357" spans="1:20" ht="22" customHeight="1">
      <c r="A357" s="343" t="s">
        <v>5721</v>
      </c>
      <c r="B357" s="343" t="s">
        <v>5396</v>
      </c>
      <c r="C357" s="350" t="s">
        <v>8686</v>
      </c>
      <c r="D357" s="343" t="s">
        <v>8847</v>
      </c>
      <c r="E357" s="344" t="s">
        <v>6150</v>
      </c>
      <c r="F357" s="344" t="s">
        <v>7143</v>
      </c>
      <c r="G357" s="344" t="s">
        <v>7144</v>
      </c>
      <c r="H357" s="345">
        <v>3</v>
      </c>
      <c r="I357" s="344" t="s">
        <v>7811</v>
      </c>
      <c r="J357" s="344" t="s">
        <v>7324</v>
      </c>
      <c r="K357" s="349" t="s">
        <v>8695</v>
      </c>
      <c r="L357" s="349" t="s">
        <v>8692</v>
      </c>
      <c r="M357" s="359" t="s">
        <v>8287</v>
      </c>
      <c r="N357" s="359" t="s">
        <v>8327</v>
      </c>
      <c r="O357" s="359" t="s">
        <v>8574</v>
      </c>
      <c r="P357" s="350" t="s">
        <v>8651</v>
      </c>
      <c r="Q357" s="343" t="s">
        <v>2233</v>
      </c>
      <c r="R357" s="343" t="s">
        <v>4</v>
      </c>
      <c r="S357" s="343"/>
      <c r="T357" s="343" t="s">
        <v>6400</v>
      </c>
    </row>
    <row r="358" spans="1:20" ht="22" customHeight="1">
      <c r="A358" s="343" t="s">
        <v>5722</v>
      </c>
      <c r="B358" s="343" t="s">
        <v>5396</v>
      </c>
      <c r="C358" s="350" t="s">
        <v>8686</v>
      </c>
      <c r="D358" s="343" t="s">
        <v>8847</v>
      </c>
      <c r="E358" s="344" t="s">
        <v>6151</v>
      </c>
      <c r="F358" s="344" t="s">
        <v>7145</v>
      </c>
      <c r="G358" s="344" t="s">
        <v>7146</v>
      </c>
      <c r="H358" s="345">
        <v>2</v>
      </c>
      <c r="I358" s="344" t="s">
        <v>7811</v>
      </c>
      <c r="J358" s="344" t="s">
        <v>7324</v>
      </c>
      <c r="K358" s="349" t="s">
        <v>8695</v>
      </c>
      <c r="L358" s="349" t="s">
        <v>8692</v>
      </c>
      <c r="M358" s="359" t="s">
        <v>8287</v>
      </c>
      <c r="N358" s="359" t="s">
        <v>8327</v>
      </c>
      <c r="O358" s="359" t="s">
        <v>8574</v>
      </c>
      <c r="P358" s="350" t="s">
        <v>8651</v>
      </c>
      <c r="Q358" s="343" t="s">
        <v>5721</v>
      </c>
      <c r="R358" s="343" t="s">
        <v>4</v>
      </c>
      <c r="S358" s="343"/>
      <c r="T358" s="343" t="s">
        <v>6400</v>
      </c>
    </row>
    <row r="359" spans="1:20" ht="22" customHeight="1">
      <c r="A359" s="343" t="s">
        <v>5723</v>
      </c>
      <c r="B359" s="343" t="s">
        <v>5396</v>
      </c>
      <c r="C359" s="350" t="s">
        <v>8686</v>
      </c>
      <c r="D359" s="343" t="s">
        <v>8847</v>
      </c>
      <c r="E359" s="344" t="s">
        <v>7763</v>
      </c>
      <c r="F359" s="344" t="s">
        <v>7147</v>
      </c>
      <c r="G359" s="344" t="s">
        <v>7148</v>
      </c>
      <c r="H359" s="345">
        <v>2</v>
      </c>
      <c r="I359" s="344" t="s">
        <v>7822</v>
      </c>
      <c r="J359" s="344" t="s">
        <v>7330</v>
      </c>
      <c r="K359" s="349" t="s">
        <v>8692</v>
      </c>
      <c r="L359" s="349" t="s">
        <v>8692</v>
      </c>
      <c r="M359" s="359" t="s">
        <v>8283</v>
      </c>
      <c r="N359" s="359" t="s">
        <v>8310</v>
      </c>
      <c r="O359" s="359" t="s">
        <v>8574</v>
      </c>
      <c r="P359" s="350" t="s">
        <v>8651</v>
      </c>
      <c r="Q359" s="343" t="s">
        <v>5721</v>
      </c>
      <c r="R359" s="343" t="s">
        <v>4</v>
      </c>
      <c r="S359" s="343"/>
      <c r="T359" s="343" t="s">
        <v>6438</v>
      </c>
    </row>
    <row r="360" spans="1:20" ht="22" customHeight="1">
      <c r="A360" s="343" t="s">
        <v>5724</v>
      </c>
      <c r="B360" s="343" t="s">
        <v>5396</v>
      </c>
      <c r="C360" s="350" t="s">
        <v>8686</v>
      </c>
      <c r="D360" s="343" t="s">
        <v>8848</v>
      </c>
      <c r="E360" s="344" t="s">
        <v>7575</v>
      </c>
      <c r="F360" s="344" t="s">
        <v>7149</v>
      </c>
      <c r="G360" s="344" t="s">
        <v>7150</v>
      </c>
      <c r="H360" s="345">
        <v>3</v>
      </c>
      <c r="I360" s="344" t="s">
        <v>7828</v>
      </c>
      <c r="J360" s="344" t="s">
        <v>7335</v>
      </c>
      <c r="K360" s="349" t="s">
        <v>8692</v>
      </c>
      <c r="L360" s="349" t="s">
        <v>8693</v>
      </c>
      <c r="M360" s="359" t="s">
        <v>8284</v>
      </c>
      <c r="N360" s="359" t="s">
        <v>8603</v>
      </c>
      <c r="O360" s="359" t="s">
        <v>8574</v>
      </c>
      <c r="P360" s="350" t="s">
        <v>8651</v>
      </c>
      <c r="Q360" s="343" t="s">
        <v>2233</v>
      </c>
      <c r="R360" s="343" t="s">
        <v>4</v>
      </c>
      <c r="S360" s="343"/>
      <c r="T360" s="343" t="s">
        <v>6460</v>
      </c>
    </row>
    <row r="361" spans="1:20" ht="22" customHeight="1">
      <c r="A361" s="343" t="s">
        <v>5725</v>
      </c>
      <c r="B361" s="343" t="s">
        <v>5396</v>
      </c>
      <c r="C361" s="350" t="s">
        <v>8686</v>
      </c>
      <c r="D361" s="343" t="s">
        <v>8848</v>
      </c>
      <c r="E361" s="344" t="s">
        <v>7764</v>
      </c>
      <c r="F361" s="344" t="s">
        <v>7151</v>
      </c>
      <c r="G361" s="344" t="s">
        <v>7152</v>
      </c>
      <c r="H361" s="345">
        <v>3</v>
      </c>
      <c r="I361" s="344" t="s">
        <v>2733</v>
      </c>
      <c r="J361" s="344" t="s">
        <v>7262</v>
      </c>
      <c r="K361" s="349" t="s">
        <v>8692</v>
      </c>
      <c r="L361" s="349" t="s">
        <v>8692</v>
      </c>
      <c r="M361" s="359" t="s">
        <v>8291</v>
      </c>
      <c r="N361" s="359" t="s">
        <v>8352</v>
      </c>
      <c r="O361" s="359" t="s">
        <v>8574</v>
      </c>
      <c r="P361" s="350" t="s">
        <v>8651</v>
      </c>
      <c r="Q361" s="343" t="s">
        <v>2233</v>
      </c>
      <c r="R361" s="343" t="s">
        <v>4</v>
      </c>
      <c r="S361" s="343"/>
      <c r="T361" s="343" t="s">
        <v>2733</v>
      </c>
    </row>
    <row r="362" spans="1:20" ht="22" customHeight="1">
      <c r="A362" s="343" t="s">
        <v>5726</v>
      </c>
      <c r="B362" s="343" t="s">
        <v>5397</v>
      </c>
      <c r="C362" s="350" t="s">
        <v>8686</v>
      </c>
      <c r="D362" s="343" t="s">
        <v>8847</v>
      </c>
      <c r="E362" s="344" t="s">
        <v>6152</v>
      </c>
      <c r="F362" s="344" t="s">
        <v>7153</v>
      </c>
      <c r="G362" s="344" t="s">
        <v>7154</v>
      </c>
      <c r="H362" s="345">
        <v>2</v>
      </c>
      <c r="I362" s="344" t="s">
        <v>2733</v>
      </c>
      <c r="J362" s="344" t="s">
        <v>7262</v>
      </c>
      <c r="K362" s="349" t="s">
        <v>8692</v>
      </c>
      <c r="L362" s="349" t="s">
        <v>8692</v>
      </c>
      <c r="M362" s="359" t="s">
        <v>8293</v>
      </c>
      <c r="N362" s="359" t="s">
        <v>8353</v>
      </c>
      <c r="O362" s="359" t="s">
        <v>8574</v>
      </c>
      <c r="P362" s="350" t="s">
        <v>8651</v>
      </c>
      <c r="Q362" s="343" t="s">
        <v>5387</v>
      </c>
      <c r="R362" s="343" t="s">
        <v>4</v>
      </c>
      <c r="S362" s="343"/>
      <c r="T362" s="343" t="s">
        <v>2733</v>
      </c>
    </row>
    <row r="363" spans="1:20" ht="22" customHeight="1">
      <c r="A363" s="343" t="s">
        <v>5727</v>
      </c>
      <c r="B363" s="343" t="s">
        <v>5397</v>
      </c>
      <c r="C363" s="350" t="s">
        <v>8686</v>
      </c>
      <c r="D363" s="343" t="s">
        <v>8847</v>
      </c>
      <c r="E363" s="344" t="s">
        <v>6153</v>
      </c>
      <c r="F363" s="344" t="s">
        <v>7155</v>
      </c>
      <c r="G363" s="344" t="s">
        <v>7156</v>
      </c>
      <c r="H363" s="345">
        <v>2</v>
      </c>
      <c r="I363" s="344" t="s">
        <v>2733</v>
      </c>
      <c r="J363" s="344" t="s">
        <v>7262</v>
      </c>
      <c r="K363" s="349" t="s">
        <v>8692</v>
      </c>
      <c r="L363" s="349" t="s">
        <v>8692</v>
      </c>
      <c r="M363" s="359" t="s">
        <v>8293</v>
      </c>
      <c r="N363" s="359" t="s">
        <v>8353</v>
      </c>
      <c r="O363" s="359" t="s">
        <v>8574</v>
      </c>
      <c r="P363" s="350" t="s">
        <v>8651</v>
      </c>
      <c r="Q363" s="343" t="s">
        <v>4802</v>
      </c>
      <c r="R363" s="343" t="s">
        <v>4</v>
      </c>
      <c r="S363" s="343"/>
      <c r="T363" s="343" t="s">
        <v>2733</v>
      </c>
    </row>
    <row r="364" spans="1:20" ht="22" customHeight="1">
      <c r="A364" s="343" t="s">
        <v>5728</v>
      </c>
      <c r="B364" s="343" t="s">
        <v>5397</v>
      </c>
      <c r="C364" s="350" t="s">
        <v>8686</v>
      </c>
      <c r="D364" s="343" t="s">
        <v>8847</v>
      </c>
      <c r="E364" s="344" t="s">
        <v>6154</v>
      </c>
      <c r="F364" s="344" t="s">
        <v>7157</v>
      </c>
      <c r="G364" s="344" t="s">
        <v>7158</v>
      </c>
      <c r="H364" s="345">
        <v>2</v>
      </c>
      <c r="I364" s="344" t="s">
        <v>2733</v>
      </c>
      <c r="J364" s="344" t="s">
        <v>7262</v>
      </c>
      <c r="K364" s="349" t="s">
        <v>8692</v>
      </c>
      <c r="L364" s="349" t="s">
        <v>8692</v>
      </c>
      <c r="M364" s="359" t="s">
        <v>8293</v>
      </c>
      <c r="N364" s="359" t="s">
        <v>8353</v>
      </c>
      <c r="O364" s="359" t="s">
        <v>8574</v>
      </c>
      <c r="P364" s="350" t="s">
        <v>8651</v>
      </c>
      <c r="Q364" s="343" t="s">
        <v>5729</v>
      </c>
      <c r="R364" s="343" t="s">
        <v>4</v>
      </c>
      <c r="S364" s="343"/>
      <c r="T364" s="343" t="s">
        <v>2733</v>
      </c>
    </row>
    <row r="365" spans="1:20" ht="22" customHeight="1">
      <c r="A365" s="343" t="s">
        <v>5730</v>
      </c>
      <c r="B365" s="343" t="s">
        <v>5397</v>
      </c>
      <c r="C365" s="350" t="s">
        <v>8686</v>
      </c>
      <c r="D365" s="343" t="s">
        <v>8847</v>
      </c>
      <c r="E365" s="344" t="s">
        <v>7765</v>
      </c>
      <c r="F365" s="344" t="s">
        <v>7159</v>
      </c>
      <c r="G365" s="344" t="s">
        <v>7160</v>
      </c>
      <c r="H365" s="345">
        <v>3</v>
      </c>
      <c r="I365" s="344" t="s">
        <v>7810</v>
      </c>
      <c r="J365" s="344" t="s">
        <v>7322</v>
      </c>
      <c r="K365" s="349" t="s">
        <v>8692</v>
      </c>
      <c r="L365" s="349" t="s">
        <v>8693</v>
      </c>
      <c r="M365" s="359" t="s">
        <v>8280</v>
      </c>
      <c r="N365" s="359" t="s">
        <v>8326</v>
      </c>
      <c r="O365" s="359" t="s">
        <v>8574</v>
      </c>
      <c r="P365" s="350" t="s">
        <v>8653</v>
      </c>
      <c r="Q365" s="343" t="s">
        <v>2233</v>
      </c>
      <c r="R365" s="343" t="s">
        <v>4</v>
      </c>
      <c r="S365" s="343"/>
      <c r="T365" s="343" t="s">
        <v>6395</v>
      </c>
    </row>
    <row r="366" spans="1:20" ht="22" customHeight="1">
      <c r="A366" s="343" t="s">
        <v>5731</v>
      </c>
      <c r="B366" s="343" t="s">
        <v>5397</v>
      </c>
      <c r="C366" s="350" t="s">
        <v>8686</v>
      </c>
      <c r="D366" s="343" t="s">
        <v>8847</v>
      </c>
      <c r="E366" s="344" t="s">
        <v>6155</v>
      </c>
      <c r="F366" s="344" t="s">
        <v>7161</v>
      </c>
      <c r="G366" s="344" t="s">
        <v>7162</v>
      </c>
      <c r="H366" s="345">
        <v>3</v>
      </c>
      <c r="I366" s="344" t="s">
        <v>2733</v>
      </c>
      <c r="J366" s="344" t="s">
        <v>7261</v>
      </c>
      <c r="K366" s="349" t="s">
        <v>8692</v>
      </c>
      <c r="L366" s="349" t="s">
        <v>8692</v>
      </c>
      <c r="M366" s="359" t="s">
        <v>8293</v>
      </c>
      <c r="N366" s="359" t="s">
        <v>8353</v>
      </c>
      <c r="O366" s="359" t="s">
        <v>8574</v>
      </c>
      <c r="P366" s="350" t="s">
        <v>8651</v>
      </c>
      <c r="Q366" s="343" t="s">
        <v>625</v>
      </c>
      <c r="R366" s="343" t="s">
        <v>4</v>
      </c>
      <c r="S366" s="343"/>
      <c r="T366" s="343" t="s">
        <v>2233</v>
      </c>
    </row>
    <row r="367" spans="1:20" ht="22" customHeight="1">
      <c r="A367" s="343" t="s">
        <v>5732</v>
      </c>
      <c r="B367" s="343" t="s">
        <v>5398</v>
      </c>
      <c r="C367" s="350" t="s">
        <v>8682</v>
      </c>
      <c r="D367" s="343" t="s">
        <v>2909</v>
      </c>
      <c r="E367" s="344" t="s">
        <v>6156</v>
      </c>
      <c r="F367" s="344" t="s">
        <v>7163</v>
      </c>
      <c r="G367" s="344" t="s">
        <v>7164</v>
      </c>
      <c r="H367" s="345">
        <v>3</v>
      </c>
      <c r="I367" s="344" t="s">
        <v>2733</v>
      </c>
      <c r="J367" s="344" t="s">
        <v>7262</v>
      </c>
      <c r="K367" s="349" t="s">
        <v>8691</v>
      </c>
      <c r="L367" s="349" t="s">
        <v>8692</v>
      </c>
      <c r="M367" s="359" t="s">
        <v>8292</v>
      </c>
      <c r="N367" s="359" t="s">
        <v>8356</v>
      </c>
      <c r="O367" s="359" t="s">
        <v>8574</v>
      </c>
      <c r="P367" s="350" t="s">
        <v>8652</v>
      </c>
      <c r="Q367" s="343" t="s">
        <v>5733</v>
      </c>
      <c r="R367" s="343" t="s">
        <v>4</v>
      </c>
      <c r="S367" s="343"/>
      <c r="T367" s="343" t="s">
        <v>2733</v>
      </c>
    </row>
    <row r="368" spans="1:20" ht="22" customHeight="1">
      <c r="A368" s="343" t="s">
        <v>5734</v>
      </c>
      <c r="B368" s="343" t="s">
        <v>5398</v>
      </c>
      <c r="C368" s="350" t="s">
        <v>8682</v>
      </c>
      <c r="D368" s="343" t="s">
        <v>2909</v>
      </c>
      <c r="E368" s="344" t="s">
        <v>5922</v>
      </c>
      <c r="F368" s="344" t="s">
        <v>7165</v>
      </c>
      <c r="G368" s="344" t="s">
        <v>7166</v>
      </c>
      <c r="H368" s="345">
        <v>3</v>
      </c>
      <c r="I368" s="344" t="s">
        <v>2733</v>
      </c>
      <c r="J368" s="344" t="s">
        <v>7262</v>
      </c>
      <c r="K368" s="349" t="s">
        <v>8691</v>
      </c>
      <c r="L368" s="349" t="s">
        <v>8692</v>
      </c>
      <c r="M368" s="359" t="s">
        <v>8292</v>
      </c>
      <c r="N368" s="359" t="s">
        <v>8356</v>
      </c>
      <c r="O368" s="359" t="s">
        <v>8574</v>
      </c>
      <c r="P368" s="350" t="s">
        <v>8652</v>
      </c>
      <c r="Q368" s="343" t="s">
        <v>5732</v>
      </c>
      <c r="R368" s="343" t="s">
        <v>4</v>
      </c>
      <c r="S368" s="343"/>
      <c r="T368" s="343" t="s">
        <v>2733</v>
      </c>
    </row>
    <row r="369" spans="1:20" ht="22" customHeight="1">
      <c r="A369" s="343" t="s">
        <v>5735</v>
      </c>
      <c r="B369" s="343" t="s">
        <v>5398</v>
      </c>
      <c r="C369" s="350" t="s">
        <v>8682</v>
      </c>
      <c r="D369" s="343" t="s">
        <v>2909</v>
      </c>
      <c r="E369" s="344" t="s">
        <v>6157</v>
      </c>
      <c r="F369" s="344" t="s">
        <v>7167</v>
      </c>
      <c r="G369" s="344" t="s">
        <v>7168</v>
      </c>
      <c r="H369" s="345">
        <v>3</v>
      </c>
      <c r="I369" s="344" t="s">
        <v>2733</v>
      </c>
      <c r="J369" s="344" t="s">
        <v>7262</v>
      </c>
      <c r="K369" s="349" t="s">
        <v>8691</v>
      </c>
      <c r="L369" s="349" t="s">
        <v>8692</v>
      </c>
      <c r="M369" s="359" t="s">
        <v>8292</v>
      </c>
      <c r="N369" s="359" t="s">
        <v>8356</v>
      </c>
      <c r="O369" s="359" t="s">
        <v>8574</v>
      </c>
      <c r="P369" s="350" t="s">
        <v>8652</v>
      </c>
      <c r="Q369" s="343" t="s">
        <v>5734</v>
      </c>
      <c r="R369" s="343" t="s">
        <v>4</v>
      </c>
      <c r="S369" s="343"/>
      <c r="T369" s="343" t="s">
        <v>2733</v>
      </c>
    </row>
    <row r="370" spans="1:20" ht="22" customHeight="1">
      <c r="A370" s="343" t="s">
        <v>5736</v>
      </c>
      <c r="B370" s="343" t="s">
        <v>5398</v>
      </c>
      <c r="C370" s="350" t="s">
        <v>8682</v>
      </c>
      <c r="D370" s="343" t="s">
        <v>2909</v>
      </c>
      <c r="E370" s="344" t="s">
        <v>5926</v>
      </c>
      <c r="F370" s="344" t="s">
        <v>7169</v>
      </c>
      <c r="G370" s="344" t="s">
        <v>7170</v>
      </c>
      <c r="H370" s="345">
        <v>3</v>
      </c>
      <c r="I370" s="344" t="s">
        <v>2733</v>
      </c>
      <c r="J370" s="344" t="s">
        <v>7262</v>
      </c>
      <c r="K370" s="349" t="s">
        <v>8691</v>
      </c>
      <c r="L370" s="349" t="s">
        <v>8692</v>
      </c>
      <c r="M370" s="359" t="s">
        <v>8292</v>
      </c>
      <c r="N370" s="359" t="s">
        <v>8356</v>
      </c>
      <c r="O370" s="359" t="s">
        <v>8574</v>
      </c>
      <c r="P370" s="350" t="s">
        <v>8652</v>
      </c>
      <c r="Q370" s="343" t="s">
        <v>5735</v>
      </c>
      <c r="R370" s="343" t="s">
        <v>4</v>
      </c>
      <c r="S370" s="343"/>
      <c r="T370" s="343" t="s">
        <v>2733</v>
      </c>
    </row>
    <row r="371" spans="1:20" ht="22" customHeight="1">
      <c r="A371" s="343" t="s">
        <v>5737</v>
      </c>
      <c r="B371" s="343" t="s">
        <v>5398</v>
      </c>
      <c r="C371" s="350" t="s">
        <v>8682</v>
      </c>
      <c r="D371" s="343" t="s">
        <v>2909</v>
      </c>
      <c r="E371" s="344" t="s">
        <v>6158</v>
      </c>
      <c r="F371" s="344" t="s">
        <v>7171</v>
      </c>
      <c r="G371" s="344" t="s">
        <v>7172</v>
      </c>
      <c r="H371" s="345">
        <v>5</v>
      </c>
      <c r="I371" s="344" t="s">
        <v>2733</v>
      </c>
      <c r="J371" s="344" t="s">
        <v>7262</v>
      </c>
      <c r="K371" s="349" t="s">
        <v>8691</v>
      </c>
      <c r="L371" s="349" t="s">
        <v>8692</v>
      </c>
      <c r="M371" s="359" t="s">
        <v>8292</v>
      </c>
      <c r="N371" s="359" t="s">
        <v>8356</v>
      </c>
      <c r="O371" s="359" t="s">
        <v>8574</v>
      </c>
      <c r="P371" s="350" t="s">
        <v>8652</v>
      </c>
      <c r="Q371" s="343" t="s">
        <v>5736</v>
      </c>
      <c r="R371" s="343" t="s">
        <v>4</v>
      </c>
      <c r="S371" s="343"/>
      <c r="T371" s="343" t="s">
        <v>2733</v>
      </c>
    </row>
    <row r="372" spans="1:20" ht="22" customHeight="1">
      <c r="A372" s="343" t="s">
        <v>5738</v>
      </c>
      <c r="B372" s="343" t="s">
        <v>5398</v>
      </c>
      <c r="C372" s="350" t="s">
        <v>8682</v>
      </c>
      <c r="D372" s="343" t="s">
        <v>2909</v>
      </c>
      <c r="E372" s="344" t="s">
        <v>6159</v>
      </c>
      <c r="F372" s="344" t="s">
        <v>7173</v>
      </c>
      <c r="G372" s="344" t="s">
        <v>7174</v>
      </c>
      <c r="H372" s="345">
        <v>5</v>
      </c>
      <c r="I372" s="344" t="s">
        <v>2733</v>
      </c>
      <c r="J372" s="344" t="s">
        <v>7262</v>
      </c>
      <c r="K372" s="349" t="s">
        <v>8691</v>
      </c>
      <c r="L372" s="349" t="s">
        <v>8692</v>
      </c>
      <c r="M372" s="359" t="s">
        <v>8292</v>
      </c>
      <c r="N372" s="359" t="s">
        <v>8356</v>
      </c>
      <c r="O372" s="359" t="s">
        <v>8574</v>
      </c>
      <c r="P372" s="350" t="s">
        <v>8652</v>
      </c>
      <c r="Q372" s="343" t="s">
        <v>5737</v>
      </c>
      <c r="R372" s="343" t="s">
        <v>4</v>
      </c>
      <c r="S372" s="343"/>
      <c r="T372" s="343" t="s">
        <v>2733</v>
      </c>
    </row>
    <row r="373" spans="1:20" ht="22" customHeight="1">
      <c r="A373" s="343" t="s">
        <v>7406</v>
      </c>
      <c r="B373" s="343" t="s">
        <v>5769</v>
      </c>
      <c r="C373" s="350" t="s">
        <v>8686</v>
      </c>
      <c r="D373" s="343" t="s">
        <v>2909</v>
      </c>
      <c r="E373" s="344" t="s">
        <v>7407</v>
      </c>
      <c r="F373" s="344" t="s">
        <v>7454</v>
      </c>
      <c r="G373" s="344" t="s">
        <v>7455</v>
      </c>
      <c r="H373" s="345">
        <v>2</v>
      </c>
      <c r="I373" s="344" t="s">
        <v>7787</v>
      </c>
      <c r="J373" s="344" t="s">
        <v>7270</v>
      </c>
      <c r="K373" s="349" t="s">
        <v>8692</v>
      </c>
      <c r="L373" s="349" t="s">
        <v>8692</v>
      </c>
      <c r="M373" s="359" t="s">
        <v>8280</v>
      </c>
      <c r="N373" s="359" t="s">
        <v>8305</v>
      </c>
      <c r="O373" s="359" t="s">
        <v>8574</v>
      </c>
      <c r="P373" s="350" t="s">
        <v>8652</v>
      </c>
      <c r="Q373" s="343" t="s">
        <v>5324</v>
      </c>
      <c r="R373" s="343" t="s">
        <v>4</v>
      </c>
      <c r="S373" s="343"/>
      <c r="T373" s="343" t="s">
        <v>6256</v>
      </c>
    </row>
    <row r="374" spans="1:20" ht="22" customHeight="1">
      <c r="A374" s="343" t="s">
        <v>7408</v>
      </c>
      <c r="B374" s="343" t="s">
        <v>5769</v>
      </c>
      <c r="C374" s="350" t="s">
        <v>8686</v>
      </c>
      <c r="D374" s="343" t="s">
        <v>2909</v>
      </c>
      <c r="E374" s="344" t="s">
        <v>7409</v>
      </c>
      <c r="F374" s="344" t="s">
        <v>7456</v>
      </c>
      <c r="G374" s="344" t="s">
        <v>7457</v>
      </c>
      <c r="H374" s="345">
        <v>2</v>
      </c>
      <c r="I374" s="344" t="s">
        <v>7785</v>
      </c>
      <c r="J374" s="344" t="s">
        <v>7277</v>
      </c>
      <c r="K374" s="349" t="s">
        <v>8692</v>
      </c>
      <c r="L374" s="349" t="s">
        <v>8692</v>
      </c>
      <c r="M374" s="359" t="s">
        <v>8598</v>
      </c>
      <c r="N374" s="359" t="s">
        <v>8661</v>
      </c>
      <c r="O374" s="359" t="s">
        <v>8688</v>
      </c>
      <c r="P374" s="350" t="s">
        <v>8652</v>
      </c>
      <c r="Q374" s="343" t="s">
        <v>5324</v>
      </c>
      <c r="R374" s="343" t="s">
        <v>4</v>
      </c>
      <c r="S374" s="343"/>
      <c r="T374" s="343" t="s">
        <v>6241</v>
      </c>
    </row>
    <row r="375" spans="1:20" ht="22" customHeight="1">
      <c r="A375" s="343" t="s">
        <v>7410</v>
      </c>
      <c r="B375" s="343" t="s">
        <v>5769</v>
      </c>
      <c r="C375" s="350" t="s">
        <v>8686</v>
      </c>
      <c r="D375" s="343" t="s">
        <v>8849</v>
      </c>
      <c r="E375" s="344" t="s">
        <v>7411</v>
      </c>
      <c r="F375" s="344" t="s">
        <v>7458</v>
      </c>
      <c r="G375" s="344" t="s">
        <v>7459</v>
      </c>
      <c r="H375" s="345">
        <v>3</v>
      </c>
      <c r="I375" s="344" t="s">
        <v>7787</v>
      </c>
      <c r="J375" s="344" t="s">
        <v>7270</v>
      </c>
      <c r="K375" s="349" t="s">
        <v>8692</v>
      </c>
      <c r="L375" s="349" t="s">
        <v>8692</v>
      </c>
      <c r="M375" s="359" t="s">
        <v>8280</v>
      </c>
      <c r="N375" s="359" t="s">
        <v>8305</v>
      </c>
      <c r="O375" s="359" t="s">
        <v>8574</v>
      </c>
      <c r="P375" s="350" t="s">
        <v>8652</v>
      </c>
      <c r="Q375" s="343" t="s">
        <v>531</v>
      </c>
      <c r="R375" s="343" t="s">
        <v>4</v>
      </c>
      <c r="S375" s="343"/>
      <c r="T375" s="343" t="s">
        <v>6256</v>
      </c>
    </row>
    <row r="376" spans="1:20" ht="22" customHeight="1">
      <c r="A376" s="343" t="s">
        <v>7412</v>
      </c>
      <c r="B376" s="343" t="s">
        <v>5769</v>
      </c>
      <c r="C376" s="350" t="s">
        <v>8686</v>
      </c>
      <c r="D376" s="343" t="s">
        <v>8849</v>
      </c>
      <c r="E376" s="344" t="s">
        <v>7413</v>
      </c>
      <c r="F376" s="344" t="s">
        <v>7460</v>
      </c>
      <c r="G376" s="344" t="s">
        <v>7461</v>
      </c>
      <c r="H376" s="345">
        <v>2</v>
      </c>
      <c r="I376" s="344" t="s">
        <v>7785</v>
      </c>
      <c r="J376" s="344" t="s">
        <v>7277</v>
      </c>
      <c r="K376" s="349" t="s">
        <v>8692</v>
      </c>
      <c r="L376" s="349" t="s">
        <v>8692</v>
      </c>
      <c r="M376" s="359" t="s">
        <v>8598</v>
      </c>
      <c r="N376" s="359" t="s">
        <v>8662</v>
      </c>
      <c r="O376" s="359" t="s">
        <v>8688</v>
      </c>
      <c r="P376" s="350" t="s">
        <v>8652</v>
      </c>
      <c r="Q376" s="343" t="s">
        <v>531</v>
      </c>
      <c r="R376" s="343" t="s">
        <v>4</v>
      </c>
      <c r="S376" s="343"/>
      <c r="T376" s="343" t="s">
        <v>6241</v>
      </c>
    </row>
    <row r="377" spans="1:20" ht="22" customHeight="1">
      <c r="A377" s="343" t="s">
        <v>5739</v>
      </c>
      <c r="B377" s="343" t="s">
        <v>5769</v>
      </c>
      <c r="C377" s="350" t="s">
        <v>8686</v>
      </c>
      <c r="D377" s="343" t="s">
        <v>8850</v>
      </c>
      <c r="E377" s="344" t="s">
        <v>7766</v>
      </c>
      <c r="F377" s="344" t="s">
        <v>7175</v>
      </c>
      <c r="G377" s="344" t="s">
        <v>7176</v>
      </c>
      <c r="H377" s="345">
        <v>3</v>
      </c>
      <c r="I377" s="344" t="s">
        <v>7786</v>
      </c>
      <c r="J377" s="344" t="s">
        <v>7278</v>
      </c>
      <c r="K377" s="349" t="s">
        <v>8692</v>
      </c>
      <c r="L377" s="349" t="s">
        <v>8693</v>
      </c>
      <c r="M377" s="359" t="s">
        <v>8281</v>
      </c>
      <c r="N377" s="359" t="s">
        <v>8314</v>
      </c>
      <c r="O377" s="359" t="s">
        <v>8574</v>
      </c>
      <c r="P377" s="350" t="s">
        <v>8649</v>
      </c>
      <c r="Q377" s="343" t="s">
        <v>531</v>
      </c>
      <c r="R377" s="343" t="s">
        <v>4</v>
      </c>
      <c r="S377" s="343"/>
      <c r="T377" s="343" t="s">
        <v>6247</v>
      </c>
    </row>
    <row r="378" spans="1:20" ht="22" customHeight="1">
      <c r="A378" s="343" t="s">
        <v>5740</v>
      </c>
      <c r="B378" s="343" t="s">
        <v>5769</v>
      </c>
      <c r="C378" s="350" t="s">
        <v>8686</v>
      </c>
      <c r="D378" s="343" t="s">
        <v>8850</v>
      </c>
      <c r="E378" s="344" t="s">
        <v>7767</v>
      </c>
      <c r="F378" s="344" t="s">
        <v>7177</v>
      </c>
      <c r="G378" s="344" t="s">
        <v>7178</v>
      </c>
      <c r="H378" s="345">
        <v>3</v>
      </c>
      <c r="I378" s="344" t="s">
        <v>7958</v>
      </c>
      <c r="J378" s="344" t="s">
        <v>7959</v>
      </c>
      <c r="K378" s="349" t="s">
        <v>8692</v>
      </c>
      <c r="L378" s="349" t="s">
        <v>8693</v>
      </c>
      <c r="M378" s="359" t="s">
        <v>8280</v>
      </c>
      <c r="N378" s="359" t="s">
        <v>8315</v>
      </c>
      <c r="O378" s="359" t="s">
        <v>8574</v>
      </c>
      <c r="P378" s="350" t="s">
        <v>8653</v>
      </c>
      <c r="Q378" s="343" t="s">
        <v>531</v>
      </c>
      <c r="R378" s="343" t="s">
        <v>4</v>
      </c>
      <c r="S378" s="343"/>
      <c r="T378" s="343" t="s">
        <v>6701</v>
      </c>
    </row>
    <row r="379" spans="1:20" ht="22" customHeight="1">
      <c r="A379" s="343" t="s">
        <v>5741</v>
      </c>
      <c r="B379" s="343" t="s">
        <v>5769</v>
      </c>
      <c r="C379" s="350" t="s">
        <v>8686</v>
      </c>
      <c r="D379" s="343" t="s">
        <v>8850</v>
      </c>
      <c r="E379" s="344" t="s">
        <v>7768</v>
      </c>
      <c r="F379" s="344" t="s">
        <v>7179</v>
      </c>
      <c r="G379" s="344" t="s">
        <v>7180</v>
      </c>
      <c r="H379" s="345">
        <v>2</v>
      </c>
      <c r="I379" s="344" t="s">
        <v>7828</v>
      </c>
      <c r="J379" s="344" t="s">
        <v>7335</v>
      </c>
      <c r="K379" s="349" t="s">
        <v>8692</v>
      </c>
      <c r="L379" s="349" t="s">
        <v>8693</v>
      </c>
      <c r="M379" s="359" t="s">
        <v>8284</v>
      </c>
      <c r="N379" s="359" t="s">
        <v>8672</v>
      </c>
      <c r="O379" s="359" t="s">
        <v>8574</v>
      </c>
      <c r="P379" s="350" t="s">
        <v>8651</v>
      </c>
      <c r="Q379" s="343" t="s">
        <v>531</v>
      </c>
      <c r="R379" s="343" t="s">
        <v>4</v>
      </c>
      <c r="S379" s="343"/>
      <c r="T379" s="343" t="s">
        <v>6460</v>
      </c>
    </row>
    <row r="380" spans="1:20" ht="22" customHeight="1">
      <c r="A380" s="343" t="s">
        <v>5742</v>
      </c>
      <c r="B380" s="343" t="s">
        <v>5769</v>
      </c>
      <c r="C380" s="350" t="s">
        <v>8686</v>
      </c>
      <c r="D380" s="343" t="s">
        <v>8850</v>
      </c>
      <c r="E380" s="344" t="s">
        <v>7769</v>
      </c>
      <c r="F380" s="344" t="s">
        <v>7181</v>
      </c>
      <c r="G380" s="344" t="s">
        <v>7182</v>
      </c>
      <c r="H380" s="345">
        <v>2</v>
      </c>
      <c r="I380" s="344" t="s">
        <v>2733</v>
      </c>
      <c r="J380" s="344" t="s">
        <v>7262</v>
      </c>
      <c r="K380" s="349" t="s">
        <v>8692</v>
      </c>
      <c r="L380" s="349" t="s">
        <v>8692</v>
      </c>
      <c r="M380" s="359" t="s">
        <v>8282</v>
      </c>
      <c r="N380" s="359" t="s">
        <v>8354</v>
      </c>
      <c r="O380" s="359" t="s">
        <v>8574</v>
      </c>
      <c r="P380" s="350" t="s">
        <v>8650</v>
      </c>
      <c r="Q380" s="343" t="s">
        <v>5743</v>
      </c>
      <c r="R380" s="343" t="s">
        <v>4</v>
      </c>
      <c r="S380" s="343"/>
      <c r="T380" s="343" t="s">
        <v>2733</v>
      </c>
    </row>
    <row r="381" spans="1:20" ht="22" customHeight="1">
      <c r="A381" s="343" t="s">
        <v>5744</v>
      </c>
      <c r="B381" s="343" t="s">
        <v>5769</v>
      </c>
      <c r="C381" s="350" t="s">
        <v>8686</v>
      </c>
      <c r="D381" s="343" t="s">
        <v>8851</v>
      </c>
      <c r="E381" s="344" t="s">
        <v>7770</v>
      </c>
      <c r="F381" s="344" t="s">
        <v>7183</v>
      </c>
      <c r="G381" s="344" t="s">
        <v>7184</v>
      </c>
      <c r="H381" s="345">
        <v>3</v>
      </c>
      <c r="I381" s="344" t="s">
        <v>2733</v>
      </c>
      <c r="J381" s="344" t="s">
        <v>7262</v>
      </c>
      <c r="K381" s="349" t="s">
        <v>8692</v>
      </c>
      <c r="L381" s="349" t="s">
        <v>8692</v>
      </c>
      <c r="M381" s="359" t="s">
        <v>8282</v>
      </c>
      <c r="N381" s="359" t="s">
        <v>8354</v>
      </c>
      <c r="O381" s="359" t="s">
        <v>8574</v>
      </c>
      <c r="P381" s="350" t="s">
        <v>8650</v>
      </c>
      <c r="Q381" s="343" t="s">
        <v>2233</v>
      </c>
      <c r="R381" s="343" t="s">
        <v>4</v>
      </c>
      <c r="S381" s="343"/>
      <c r="T381" s="343" t="s">
        <v>2733</v>
      </c>
    </row>
    <row r="382" spans="1:20" ht="22" customHeight="1">
      <c r="A382" s="343" t="s">
        <v>5745</v>
      </c>
      <c r="B382" s="343" t="s">
        <v>5769</v>
      </c>
      <c r="C382" s="350" t="s">
        <v>8686</v>
      </c>
      <c r="D382" s="343" t="s">
        <v>8852</v>
      </c>
      <c r="E382" s="344" t="s">
        <v>6160</v>
      </c>
      <c r="F382" s="344" t="s">
        <v>7185</v>
      </c>
      <c r="G382" s="344" t="s">
        <v>7186</v>
      </c>
      <c r="H382" s="345">
        <v>2</v>
      </c>
      <c r="I382" s="344" t="s">
        <v>7960</v>
      </c>
      <c r="J382" s="344" t="s">
        <v>7356</v>
      </c>
      <c r="K382" s="349" t="s">
        <v>8692</v>
      </c>
      <c r="L382" s="349" t="s">
        <v>8693</v>
      </c>
      <c r="M382" s="359" t="s">
        <v>8280</v>
      </c>
      <c r="N382" s="359" t="s">
        <v>8315</v>
      </c>
      <c r="O382" s="359" t="s">
        <v>8574</v>
      </c>
      <c r="P382" s="350" t="s">
        <v>8653</v>
      </c>
      <c r="Q382" s="343" t="s">
        <v>5310</v>
      </c>
      <c r="R382" s="343" t="s">
        <v>4</v>
      </c>
      <c r="S382" s="343"/>
      <c r="T382" s="343" t="s">
        <v>6684</v>
      </c>
    </row>
    <row r="383" spans="1:20" ht="22" customHeight="1">
      <c r="A383" s="343" t="s">
        <v>5746</v>
      </c>
      <c r="B383" s="343" t="s">
        <v>5769</v>
      </c>
      <c r="C383" s="350" t="s">
        <v>8686</v>
      </c>
      <c r="D383" s="343" t="s">
        <v>8852</v>
      </c>
      <c r="E383" s="344" t="s">
        <v>6161</v>
      </c>
      <c r="F383" s="344" t="s">
        <v>7187</v>
      </c>
      <c r="G383" s="344" t="s">
        <v>7188</v>
      </c>
      <c r="H383" s="345">
        <v>3</v>
      </c>
      <c r="I383" s="344" t="s">
        <v>2733</v>
      </c>
      <c r="J383" s="344" t="s">
        <v>7262</v>
      </c>
      <c r="K383" s="349" t="s">
        <v>8692</v>
      </c>
      <c r="L383" s="349" t="s">
        <v>8692</v>
      </c>
      <c r="M383" s="359" t="s">
        <v>8282</v>
      </c>
      <c r="N383" s="359" t="s">
        <v>8354</v>
      </c>
      <c r="O383" s="359" t="s">
        <v>8574</v>
      </c>
      <c r="P383" s="350" t="s">
        <v>8650</v>
      </c>
      <c r="Q383" s="343" t="s">
        <v>2233</v>
      </c>
      <c r="R383" s="343" t="s">
        <v>4</v>
      </c>
      <c r="S383" s="343"/>
      <c r="T383" s="343" t="s">
        <v>2733</v>
      </c>
    </row>
    <row r="384" spans="1:20" ht="22" customHeight="1">
      <c r="A384" s="343" t="s">
        <v>7414</v>
      </c>
      <c r="B384" s="343" t="s">
        <v>5769</v>
      </c>
      <c r="C384" s="350" t="s">
        <v>8686</v>
      </c>
      <c r="D384" s="343" t="s">
        <v>8852</v>
      </c>
      <c r="E384" s="344" t="s">
        <v>7771</v>
      </c>
      <c r="F384" s="344" t="s">
        <v>7462</v>
      </c>
      <c r="G384" s="344" t="s">
        <v>7463</v>
      </c>
      <c r="H384" s="345">
        <v>2</v>
      </c>
      <c r="I384" s="344" t="s">
        <v>7787</v>
      </c>
      <c r="J384" s="344" t="s">
        <v>7270</v>
      </c>
      <c r="K384" s="349" t="s">
        <v>8692</v>
      </c>
      <c r="L384" s="349" t="s">
        <v>8692</v>
      </c>
      <c r="M384" s="359" t="s">
        <v>8280</v>
      </c>
      <c r="N384" s="359" t="s">
        <v>8305</v>
      </c>
      <c r="O384" s="359" t="s">
        <v>8574</v>
      </c>
      <c r="P384" s="350" t="s">
        <v>8652</v>
      </c>
      <c r="Q384" s="343" t="s">
        <v>528</v>
      </c>
      <c r="R384" s="343" t="s">
        <v>4</v>
      </c>
      <c r="S384" s="343"/>
      <c r="T384" s="343" t="s">
        <v>6256</v>
      </c>
    </row>
    <row r="385" spans="1:20" ht="22" customHeight="1">
      <c r="A385" s="343" t="s">
        <v>7415</v>
      </c>
      <c r="B385" s="343" t="s">
        <v>5769</v>
      </c>
      <c r="C385" s="350" t="s">
        <v>8686</v>
      </c>
      <c r="D385" s="343" t="s">
        <v>8852</v>
      </c>
      <c r="E385" s="344" t="s">
        <v>7772</v>
      </c>
      <c r="F385" s="344" t="s">
        <v>7464</v>
      </c>
      <c r="G385" s="344" t="s">
        <v>7465</v>
      </c>
      <c r="H385" s="345">
        <v>2</v>
      </c>
      <c r="I385" s="344" t="s">
        <v>7785</v>
      </c>
      <c r="J385" s="344" t="s">
        <v>7277</v>
      </c>
      <c r="K385" s="349" t="s">
        <v>8692</v>
      </c>
      <c r="L385" s="349" t="s">
        <v>8692</v>
      </c>
      <c r="M385" s="359" t="s">
        <v>8598</v>
      </c>
      <c r="N385" s="359" t="s">
        <v>8663</v>
      </c>
      <c r="O385" s="359" t="s">
        <v>8688</v>
      </c>
      <c r="P385" s="350" t="s">
        <v>8652</v>
      </c>
      <c r="Q385" s="343" t="s">
        <v>528</v>
      </c>
      <c r="R385" s="343" t="s">
        <v>4</v>
      </c>
      <c r="S385" s="343"/>
      <c r="T385" s="343" t="s">
        <v>6241</v>
      </c>
    </row>
    <row r="386" spans="1:20" ht="22" customHeight="1">
      <c r="A386" s="343" t="s">
        <v>5747</v>
      </c>
      <c r="B386" s="343" t="s">
        <v>5769</v>
      </c>
      <c r="C386" s="350" t="s">
        <v>8686</v>
      </c>
      <c r="D386" s="343" t="s">
        <v>8852</v>
      </c>
      <c r="E386" s="344" t="s">
        <v>7773</v>
      </c>
      <c r="F386" s="344" t="s">
        <v>7189</v>
      </c>
      <c r="G386" s="344" t="s">
        <v>7190</v>
      </c>
      <c r="H386" s="345">
        <v>3</v>
      </c>
      <c r="I386" s="344" t="s">
        <v>7787</v>
      </c>
      <c r="J386" s="344" t="s">
        <v>7284</v>
      </c>
      <c r="K386" s="349" t="s">
        <v>8692</v>
      </c>
      <c r="L386" s="349" t="s">
        <v>8693</v>
      </c>
      <c r="M386" s="359" t="s">
        <v>8598</v>
      </c>
      <c r="N386" s="359" t="s">
        <v>8673</v>
      </c>
      <c r="O386" s="359" t="s">
        <v>8688</v>
      </c>
      <c r="P386" s="350" t="s">
        <v>8649</v>
      </c>
      <c r="Q386" s="343" t="s">
        <v>5324</v>
      </c>
      <c r="R386" s="343" t="s">
        <v>4</v>
      </c>
      <c r="S386" s="343"/>
      <c r="T386" s="343" t="s">
        <v>6269</v>
      </c>
    </row>
    <row r="387" spans="1:20" ht="22" customHeight="1">
      <c r="A387" s="343" t="s">
        <v>5748</v>
      </c>
      <c r="B387" s="343" t="s">
        <v>5769</v>
      </c>
      <c r="C387" s="350" t="s">
        <v>8686</v>
      </c>
      <c r="D387" s="343" t="s">
        <v>8852</v>
      </c>
      <c r="E387" s="344" t="s">
        <v>7774</v>
      </c>
      <c r="F387" s="344" t="s">
        <v>7191</v>
      </c>
      <c r="G387" s="344" t="s">
        <v>7192</v>
      </c>
      <c r="H387" s="345">
        <v>3</v>
      </c>
      <c r="I387" s="344" t="s">
        <v>2733</v>
      </c>
      <c r="J387" s="344" t="s">
        <v>7262</v>
      </c>
      <c r="K387" s="349" t="s">
        <v>8692</v>
      </c>
      <c r="L387" s="349" t="s">
        <v>8692</v>
      </c>
      <c r="M387" s="359" t="s">
        <v>8282</v>
      </c>
      <c r="N387" s="359" t="s">
        <v>8654</v>
      </c>
      <c r="O387" s="359" t="s">
        <v>8574</v>
      </c>
      <c r="P387" s="350" t="s">
        <v>8650</v>
      </c>
      <c r="Q387" s="343" t="s">
        <v>2233</v>
      </c>
      <c r="R387" s="343" t="s">
        <v>4</v>
      </c>
      <c r="S387" s="343"/>
      <c r="T387" s="343" t="s">
        <v>2733</v>
      </c>
    </row>
    <row r="388" spans="1:20" ht="22" customHeight="1">
      <c r="A388" s="343" t="s">
        <v>5749</v>
      </c>
      <c r="B388" s="343" t="s">
        <v>5769</v>
      </c>
      <c r="C388" s="350" t="s">
        <v>8686</v>
      </c>
      <c r="D388" s="343" t="s">
        <v>8852</v>
      </c>
      <c r="E388" s="344" t="s">
        <v>8853</v>
      </c>
      <c r="F388" s="344" t="s">
        <v>7193</v>
      </c>
      <c r="G388" s="344" t="s">
        <v>7194</v>
      </c>
      <c r="H388" s="345">
        <v>2</v>
      </c>
      <c r="I388" s="344" t="s">
        <v>7798</v>
      </c>
      <c r="J388" s="344" t="s">
        <v>7305</v>
      </c>
      <c r="K388" s="349" t="s">
        <v>8692</v>
      </c>
      <c r="L388" s="349" t="s">
        <v>8693</v>
      </c>
      <c r="M388" s="359" t="s">
        <v>8598</v>
      </c>
      <c r="N388" s="359" t="s">
        <v>8674</v>
      </c>
      <c r="O388" s="359" t="s">
        <v>8688</v>
      </c>
      <c r="P388" s="350" t="s">
        <v>8653</v>
      </c>
      <c r="Q388" s="343" t="s">
        <v>2233</v>
      </c>
      <c r="R388" s="343" t="s">
        <v>4</v>
      </c>
      <c r="S388" s="343"/>
      <c r="T388" s="343" t="s">
        <v>6340</v>
      </c>
    </row>
    <row r="389" spans="1:20" ht="22" customHeight="1">
      <c r="A389" s="343" t="s">
        <v>5750</v>
      </c>
      <c r="B389" s="343" t="s">
        <v>5769</v>
      </c>
      <c r="C389" s="350" t="s">
        <v>8686</v>
      </c>
      <c r="D389" s="343" t="s">
        <v>8852</v>
      </c>
      <c r="E389" s="344" t="s">
        <v>6162</v>
      </c>
      <c r="F389" s="344" t="s">
        <v>7195</v>
      </c>
      <c r="G389" s="344" t="s">
        <v>7196</v>
      </c>
      <c r="H389" s="345">
        <v>4</v>
      </c>
      <c r="I389" s="344" t="s">
        <v>7810</v>
      </c>
      <c r="J389" s="344" t="s">
        <v>7322</v>
      </c>
      <c r="K389" s="349" t="s">
        <v>8692</v>
      </c>
      <c r="L389" s="349" t="s">
        <v>8693</v>
      </c>
      <c r="M389" s="359" t="s">
        <v>8280</v>
      </c>
      <c r="N389" s="359" t="s">
        <v>8326</v>
      </c>
      <c r="O389" s="359" t="s">
        <v>8574</v>
      </c>
      <c r="P389" s="350" t="s">
        <v>8653</v>
      </c>
      <c r="Q389" s="343" t="s">
        <v>5751</v>
      </c>
      <c r="R389" s="343" t="s">
        <v>4</v>
      </c>
      <c r="S389" s="343"/>
      <c r="T389" s="343" t="s">
        <v>6395</v>
      </c>
    </row>
    <row r="390" spans="1:20" ht="22" customHeight="1">
      <c r="A390" s="343" t="s">
        <v>5752</v>
      </c>
      <c r="B390" s="343" t="s">
        <v>5769</v>
      </c>
      <c r="C390" s="350" t="s">
        <v>8686</v>
      </c>
      <c r="D390" s="343" t="s">
        <v>8852</v>
      </c>
      <c r="E390" s="344" t="s">
        <v>6163</v>
      </c>
      <c r="F390" s="344" t="s">
        <v>7197</v>
      </c>
      <c r="G390" s="344" t="s">
        <v>7198</v>
      </c>
      <c r="H390" s="345">
        <v>3</v>
      </c>
      <c r="I390" s="344" t="s">
        <v>7797</v>
      </c>
      <c r="J390" s="344" t="s">
        <v>7302</v>
      </c>
      <c r="K390" s="349" t="s">
        <v>8692</v>
      </c>
      <c r="L390" s="349" t="s">
        <v>8693</v>
      </c>
      <c r="M390" s="359" t="s">
        <v>8280</v>
      </c>
      <c r="N390" s="359" t="s">
        <v>8320</v>
      </c>
      <c r="O390" s="359" t="s">
        <v>8574</v>
      </c>
      <c r="P390" s="350" t="s">
        <v>8653</v>
      </c>
      <c r="Q390" s="343" t="s">
        <v>540</v>
      </c>
      <c r="R390" s="343" t="s">
        <v>4</v>
      </c>
      <c r="S390" s="343"/>
      <c r="T390" s="343" t="s">
        <v>6328</v>
      </c>
    </row>
    <row r="391" spans="1:20" ht="22" customHeight="1">
      <c r="A391" s="343" t="s">
        <v>5753</v>
      </c>
      <c r="B391" s="343" t="s">
        <v>5769</v>
      </c>
      <c r="C391" s="350" t="s">
        <v>8686</v>
      </c>
      <c r="D391" s="343" t="s">
        <v>8852</v>
      </c>
      <c r="E391" s="344" t="s">
        <v>7775</v>
      </c>
      <c r="F391" s="344" t="s">
        <v>7199</v>
      </c>
      <c r="G391" s="344" t="s">
        <v>7200</v>
      </c>
      <c r="H391" s="345">
        <v>3</v>
      </c>
      <c r="I391" s="344" t="s">
        <v>7786</v>
      </c>
      <c r="J391" s="344" t="s">
        <v>7278</v>
      </c>
      <c r="K391" s="349" t="s">
        <v>8692</v>
      </c>
      <c r="L391" s="349" t="s">
        <v>8693</v>
      </c>
      <c r="M391" s="359" t="s">
        <v>8281</v>
      </c>
      <c r="N391" s="359" t="s">
        <v>8314</v>
      </c>
      <c r="O391" s="359" t="s">
        <v>8574</v>
      </c>
      <c r="P391" s="350" t="s">
        <v>8649</v>
      </c>
      <c r="Q391" s="343" t="s">
        <v>2233</v>
      </c>
      <c r="R391" s="343" t="s">
        <v>4</v>
      </c>
      <c r="S391" s="343"/>
      <c r="T391" s="343" t="s">
        <v>6247</v>
      </c>
    </row>
    <row r="392" spans="1:20" ht="22" customHeight="1">
      <c r="A392" s="343" t="s">
        <v>5754</v>
      </c>
      <c r="B392" s="343" t="s">
        <v>5769</v>
      </c>
      <c r="C392" s="350" t="s">
        <v>8686</v>
      </c>
      <c r="D392" s="343" t="s">
        <v>8852</v>
      </c>
      <c r="E392" s="344" t="s">
        <v>7776</v>
      </c>
      <c r="F392" s="344" t="s">
        <v>7201</v>
      </c>
      <c r="G392" s="344" t="s">
        <v>7202</v>
      </c>
      <c r="H392" s="345">
        <v>4</v>
      </c>
      <c r="I392" s="344" t="s">
        <v>2733</v>
      </c>
      <c r="J392" s="344" t="s">
        <v>7261</v>
      </c>
      <c r="K392" s="349" t="s">
        <v>8692</v>
      </c>
      <c r="L392" s="349" t="s">
        <v>8692</v>
      </c>
      <c r="M392" s="359" t="s">
        <v>8282</v>
      </c>
      <c r="N392" s="359" t="s">
        <v>8354</v>
      </c>
      <c r="O392" s="359" t="s">
        <v>8574</v>
      </c>
      <c r="P392" s="350" t="s">
        <v>8650</v>
      </c>
      <c r="Q392" s="343" t="s">
        <v>5324</v>
      </c>
      <c r="R392" s="343" t="s">
        <v>4</v>
      </c>
      <c r="S392" s="343"/>
      <c r="T392" s="343" t="s">
        <v>2233</v>
      </c>
    </row>
    <row r="393" spans="1:20" ht="22" customHeight="1">
      <c r="A393" s="343" t="s">
        <v>5755</v>
      </c>
      <c r="B393" s="343" t="s">
        <v>5769</v>
      </c>
      <c r="C393" s="350" t="s">
        <v>8686</v>
      </c>
      <c r="D393" s="343" t="s">
        <v>8852</v>
      </c>
      <c r="E393" s="344" t="s">
        <v>7777</v>
      </c>
      <c r="F393" s="344" t="s">
        <v>7203</v>
      </c>
      <c r="G393" s="344" t="s">
        <v>7204</v>
      </c>
      <c r="H393" s="345">
        <v>3</v>
      </c>
      <c r="I393" s="344" t="s">
        <v>2733</v>
      </c>
      <c r="J393" s="344" t="s">
        <v>7261</v>
      </c>
      <c r="K393" s="349" t="s">
        <v>8692</v>
      </c>
      <c r="L393" s="349" t="s">
        <v>8692</v>
      </c>
      <c r="M393" s="359" t="s">
        <v>8282</v>
      </c>
      <c r="N393" s="359" t="s">
        <v>8354</v>
      </c>
      <c r="O393" s="359" t="s">
        <v>8574</v>
      </c>
      <c r="P393" s="350" t="s">
        <v>8650</v>
      </c>
      <c r="Q393" s="343" t="s">
        <v>531</v>
      </c>
      <c r="R393" s="343" t="s">
        <v>4</v>
      </c>
      <c r="S393" s="343"/>
      <c r="T393" s="343" t="s">
        <v>2233</v>
      </c>
    </row>
    <row r="394" spans="1:20" ht="22" customHeight="1">
      <c r="A394" s="343" t="s">
        <v>5756</v>
      </c>
      <c r="B394" s="343" t="s">
        <v>5769</v>
      </c>
      <c r="C394" s="350" t="s">
        <v>8686</v>
      </c>
      <c r="D394" s="343" t="s">
        <v>8852</v>
      </c>
      <c r="E394" s="344" t="s">
        <v>7778</v>
      </c>
      <c r="F394" s="344" t="s">
        <v>7205</v>
      </c>
      <c r="G394" s="344" t="s">
        <v>7206</v>
      </c>
      <c r="H394" s="345">
        <v>2</v>
      </c>
      <c r="I394" s="344" t="s">
        <v>2733</v>
      </c>
      <c r="J394" s="344" t="s">
        <v>7261</v>
      </c>
      <c r="K394" s="349" t="s">
        <v>8692</v>
      </c>
      <c r="L394" s="349" t="s">
        <v>8692</v>
      </c>
      <c r="M394" s="359" t="s">
        <v>8282</v>
      </c>
      <c r="N394" s="359" t="s">
        <v>8354</v>
      </c>
      <c r="O394" s="359" t="s">
        <v>8574</v>
      </c>
      <c r="P394" s="350" t="s">
        <v>8650</v>
      </c>
      <c r="Q394" s="343" t="s">
        <v>5757</v>
      </c>
      <c r="R394" s="343" t="s">
        <v>4</v>
      </c>
      <c r="S394" s="343"/>
      <c r="T394" s="343" t="s">
        <v>2233</v>
      </c>
    </row>
    <row r="395" spans="1:20" ht="22" customHeight="1">
      <c r="A395" s="343" t="s">
        <v>5758</v>
      </c>
      <c r="B395" s="343" t="s">
        <v>5770</v>
      </c>
      <c r="C395" s="350" t="s">
        <v>8682</v>
      </c>
      <c r="D395" s="343" t="s">
        <v>2909</v>
      </c>
      <c r="E395" s="344" t="s">
        <v>7779</v>
      </c>
      <c r="F395" s="344" t="s">
        <v>7207</v>
      </c>
      <c r="G395" s="344" t="s">
        <v>7208</v>
      </c>
      <c r="H395" s="345">
        <v>4</v>
      </c>
      <c r="I395" s="344" t="s">
        <v>2733</v>
      </c>
      <c r="J395" s="344" t="s">
        <v>7262</v>
      </c>
      <c r="K395" s="349" t="s">
        <v>8691</v>
      </c>
      <c r="L395" s="349" t="s">
        <v>8692</v>
      </c>
      <c r="M395" s="359" t="s">
        <v>8290</v>
      </c>
      <c r="N395" s="359" t="s">
        <v>8301</v>
      </c>
      <c r="O395" s="359" t="s">
        <v>8574</v>
      </c>
      <c r="P395" s="350" t="s">
        <v>8651</v>
      </c>
      <c r="Q395" s="343" t="s">
        <v>2233</v>
      </c>
      <c r="R395" s="343" t="s">
        <v>4</v>
      </c>
      <c r="S395" s="343"/>
      <c r="T395" s="343" t="s">
        <v>2733</v>
      </c>
    </row>
    <row r="396" spans="1:20" ht="22" customHeight="1">
      <c r="A396" s="343" t="s">
        <v>5759</v>
      </c>
      <c r="B396" s="343" t="s">
        <v>5770</v>
      </c>
      <c r="C396" s="350" t="s">
        <v>8682</v>
      </c>
      <c r="D396" s="343" t="s">
        <v>2909</v>
      </c>
      <c r="E396" s="344" t="s">
        <v>6164</v>
      </c>
      <c r="F396" s="344" t="s">
        <v>7209</v>
      </c>
      <c r="G396" s="344" t="s">
        <v>7210</v>
      </c>
      <c r="H396" s="345">
        <v>3</v>
      </c>
      <c r="I396" s="344" t="s">
        <v>2733</v>
      </c>
      <c r="J396" s="344" t="s">
        <v>7262</v>
      </c>
      <c r="K396" s="349" t="s">
        <v>8691</v>
      </c>
      <c r="L396" s="349" t="s">
        <v>8692</v>
      </c>
      <c r="M396" s="359" t="s">
        <v>8290</v>
      </c>
      <c r="N396" s="359" t="s">
        <v>8301</v>
      </c>
      <c r="O396" s="359" t="s">
        <v>8574</v>
      </c>
      <c r="P396" s="350" t="s">
        <v>8651</v>
      </c>
      <c r="Q396" s="343" t="s">
        <v>5322</v>
      </c>
      <c r="R396" s="343" t="s">
        <v>4</v>
      </c>
      <c r="S396" s="343"/>
      <c r="T396" s="343" t="s">
        <v>2733</v>
      </c>
    </row>
    <row r="397" spans="1:20" ht="22" customHeight="1">
      <c r="A397" s="343" t="s">
        <v>5760</v>
      </c>
      <c r="B397" s="343" t="s">
        <v>5770</v>
      </c>
      <c r="C397" s="350" t="s">
        <v>8685</v>
      </c>
      <c r="D397" s="343" t="s">
        <v>2909</v>
      </c>
      <c r="E397" s="344" t="s">
        <v>7780</v>
      </c>
      <c r="F397" s="344" t="s">
        <v>6732</v>
      </c>
      <c r="G397" s="344" t="s">
        <v>6733</v>
      </c>
      <c r="H397" s="345">
        <v>0</v>
      </c>
      <c r="I397" s="344" t="s">
        <v>2733</v>
      </c>
      <c r="J397" s="344" t="s">
        <v>7269</v>
      </c>
      <c r="K397" s="349" t="s">
        <v>8691</v>
      </c>
      <c r="L397" s="349" t="s">
        <v>8692</v>
      </c>
      <c r="M397" s="359" t="s">
        <v>8290</v>
      </c>
      <c r="N397" s="359" t="s">
        <v>8301</v>
      </c>
      <c r="O397" s="359" t="s">
        <v>8574</v>
      </c>
      <c r="P397" s="350" t="s">
        <v>8651</v>
      </c>
      <c r="Q397" s="343" t="s">
        <v>5761</v>
      </c>
      <c r="R397" s="343" t="s">
        <v>6168</v>
      </c>
      <c r="S397" s="343"/>
      <c r="T397" s="343" t="s">
        <v>2233</v>
      </c>
    </row>
    <row r="398" spans="1:20" ht="22" customHeight="1">
      <c r="A398" s="343" t="s">
        <v>5762</v>
      </c>
      <c r="B398" s="343" t="s">
        <v>5770</v>
      </c>
      <c r="C398" s="350" t="s">
        <v>8685</v>
      </c>
      <c r="D398" s="343" t="s">
        <v>2909</v>
      </c>
      <c r="E398" s="344" t="s">
        <v>6702</v>
      </c>
      <c r="F398" s="344" t="s">
        <v>7211</v>
      </c>
      <c r="G398" s="344" t="s">
        <v>7212</v>
      </c>
      <c r="H398" s="345">
        <v>4</v>
      </c>
      <c r="I398" s="344" t="s">
        <v>2233</v>
      </c>
      <c r="J398" s="344" t="s">
        <v>7347</v>
      </c>
      <c r="K398" s="349" t="s">
        <v>8691</v>
      </c>
      <c r="L398" s="349" t="s">
        <v>8693</v>
      </c>
      <c r="M398" s="359" t="s">
        <v>8290</v>
      </c>
      <c r="N398" s="359" t="s">
        <v>8301</v>
      </c>
      <c r="O398" s="359" t="s">
        <v>8574</v>
      </c>
      <c r="P398" s="350" t="s">
        <v>8651</v>
      </c>
      <c r="Q398" s="343" t="s">
        <v>5675</v>
      </c>
      <c r="R398" s="343" t="s">
        <v>4</v>
      </c>
      <c r="S398" s="343"/>
      <c r="T398" s="343" t="s">
        <v>6690</v>
      </c>
    </row>
    <row r="399" spans="1:20" ht="22" customHeight="1">
      <c r="A399" s="343" t="s">
        <v>5763</v>
      </c>
      <c r="B399" s="343" t="s">
        <v>5770</v>
      </c>
      <c r="C399" s="350" t="s">
        <v>8685</v>
      </c>
      <c r="D399" s="343" t="s">
        <v>2909</v>
      </c>
      <c r="E399" s="344" t="s">
        <v>6165</v>
      </c>
      <c r="F399" s="344" t="s">
        <v>7213</v>
      </c>
      <c r="G399" s="344" t="s">
        <v>7214</v>
      </c>
      <c r="H399" s="345">
        <v>4</v>
      </c>
      <c r="I399" s="344" t="s">
        <v>7810</v>
      </c>
      <c r="J399" s="344" t="s">
        <v>7322</v>
      </c>
      <c r="K399" s="349" t="s">
        <v>8692</v>
      </c>
      <c r="L399" s="349" t="s">
        <v>8693</v>
      </c>
      <c r="M399" s="359" t="s">
        <v>8280</v>
      </c>
      <c r="N399" s="359" t="s">
        <v>8326</v>
      </c>
      <c r="O399" s="359" t="s">
        <v>8574</v>
      </c>
      <c r="P399" s="350" t="s">
        <v>8653</v>
      </c>
      <c r="Q399" s="343" t="s">
        <v>5750</v>
      </c>
      <c r="R399" s="343" t="s">
        <v>4</v>
      </c>
      <c r="S399" s="343"/>
      <c r="T399" s="343" t="s">
        <v>6395</v>
      </c>
    </row>
    <row r="400" spans="1:20" ht="22" customHeight="1">
      <c r="A400" s="343" t="s">
        <v>5764</v>
      </c>
      <c r="B400" s="343" t="s">
        <v>5770</v>
      </c>
      <c r="C400" s="350" t="s">
        <v>8685</v>
      </c>
      <c r="D400" s="343" t="s">
        <v>2909</v>
      </c>
      <c r="E400" s="344" t="s">
        <v>7781</v>
      </c>
      <c r="F400" s="344" t="s">
        <v>7215</v>
      </c>
      <c r="G400" s="344" t="s">
        <v>7216</v>
      </c>
      <c r="H400" s="345">
        <v>3</v>
      </c>
      <c r="I400" s="344" t="s">
        <v>7811</v>
      </c>
      <c r="J400" s="344" t="s">
        <v>7324</v>
      </c>
      <c r="K400" s="349" t="s">
        <v>8695</v>
      </c>
      <c r="L400" s="349" t="s">
        <v>8692</v>
      </c>
      <c r="M400" s="359" t="s">
        <v>8287</v>
      </c>
      <c r="N400" s="359" t="s">
        <v>8327</v>
      </c>
      <c r="O400" s="359" t="s">
        <v>8574</v>
      </c>
      <c r="P400" s="350" t="s">
        <v>8651</v>
      </c>
      <c r="Q400" s="343" t="s">
        <v>2233</v>
      </c>
      <c r="R400" s="343" t="s">
        <v>4</v>
      </c>
      <c r="S400" s="343"/>
      <c r="T400" s="343" t="s">
        <v>6400</v>
      </c>
    </row>
    <row r="401" spans="1:26" ht="22" customHeight="1">
      <c r="A401" s="343" t="s">
        <v>5765</v>
      </c>
      <c r="B401" s="343" t="s">
        <v>5770</v>
      </c>
      <c r="C401" s="350" t="s">
        <v>8685</v>
      </c>
      <c r="D401" s="343" t="s">
        <v>2909</v>
      </c>
      <c r="E401" s="344" t="s">
        <v>7782</v>
      </c>
      <c r="F401" s="344" t="s">
        <v>7217</v>
      </c>
      <c r="G401" s="344" t="s">
        <v>7218</v>
      </c>
      <c r="H401" s="345">
        <v>2</v>
      </c>
      <c r="I401" s="344" t="s">
        <v>7798</v>
      </c>
      <c r="J401" s="344" t="s">
        <v>7304</v>
      </c>
      <c r="K401" s="349" t="s">
        <v>8692</v>
      </c>
      <c r="L401" s="349" t="s">
        <v>8693</v>
      </c>
      <c r="M401" s="359" t="s">
        <v>8284</v>
      </c>
      <c r="N401" s="359" t="s">
        <v>8298</v>
      </c>
      <c r="O401" s="359" t="s">
        <v>8574</v>
      </c>
      <c r="P401" s="350" t="s">
        <v>8653</v>
      </c>
      <c r="Q401" s="343" t="s">
        <v>2233</v>
      </c>
      <c r="R401" s="343" t="s">
        <v>4</v>
      </c>
      <c r="S401" s="343"/>
      <c r="T401" s="343" t="s">
        <v>6333</v>
      </c>
    </row>
    <row r="402" spans="1:26" ht="22" customHeight="1">
      <c r="A402" s="343" t="s">
        <v>5766</v>
      </c>
      <c r="B402" s="343" t="s">
        <v>5770</v>
      </c>
      <c r="C402" s="350" t="s">
        <v>8685</v>
      </c>
      <c r="D402" s="343" t="s">
        <v>2909</v>
      </c>
      <c r="E402" s="344" t="s">
        <v>6166</v>
      </c>
      <c r="F402" s="344" t="s">
        <v>7219</v>
      </c>
      <c r="G402" s="344" t="s">
        <v>7220</v>
      </c>
      <c r="H402" s="345">
        <v>2</v>
      </c>
      <c r="I402" s="344" t="s">
        <v>7805</v>
      </c>
      <c r="J402" s="344" t="s">
        <v>7806</v>
      </c>
      <c r="K402" s="349" t="s">
        <v>8692</v>
      </c>
      <c r="L402" s="349" t="s">
        <v>8693</v>
      </c>
      <c r="M402" s="359" t="s">
        <v>8280</v>
      </c>
      <c r="N402" s="359" t="s">
        <v>8326</v>
      </c>
      <c r="O402" s="359" t="s">
        <v>8574</v>
      </c>
      <c r="P402" s="350" t="s">
        <v>8653</v>
      </c>
      <c r="Q402" s="343" t="s">
        <v>5730</v>
      </c>
      <c r="R402" s="343" t="s">
        <v>4</v>
      </c>
      <c r="S402" s="343"/>
      <c r="T402" s="343" t="s">
        <v>6390</v>
      </c>
    </row>
    <row r="403" spans="1:26" ht="22" customHeight="1">
      <c r="A403" s="343" t="s">
        <v>5767</v>
      </c>
      <c r="B403" s="343" t="s">
        <v>5770</v>
      </c>
      <c r="C403" s="350" t="s">
        <v>8685</v>
      </c>
      <c r="D403" s="343" t="s">
        <v>2909</v>
      </c>
      <c r="E403" s="344" t="s">
        <v>6167</v>
      </c>
      <c r="F403" s="344" t="s">
        <v>7221</v>
      </c>
      <c r="G403" s="344" t="s">
        <v>7222</v>
      </c>
      <c r="H403" s="345">
        <v>3</v>
      </c>
      <c r="I403" s="344" t="s">
        <v>2733</v>
      </c>
      <c r="J403" s="344" t="s">
        <v>7262</v>
      </c>
      <c r="K403" s="349" t="s">
        <v>8691</v>
      </c>
      <c r="L403" s="349" t="s">
        <v>8692</v>
      </c>
      <c r="M403" s="359" t="s">
        <v>8290</v>
      </c>
      <c r="N403" s="359" t="s">
        <v>8301</v>
      </c>
      <c r="O403" s="359" t="s">
        <v>8574</v>
      </c>
      <c r="P403" s="350" t="s">
        <v>8651</v>
      </c>
      <c r="Q403" s="343" t="s">
        <v>2233</v>
      </c>
      <c r="R403" s="343" t="s">
        <v>4</v>
      </c>
      <c r="S403" s="343"/>
      <c r="T403" s="343" t="s">
        <v>2733</v>
      </c>
    </row>
    <row r="404" spans="1:26" ht="22" customHeight="1">
      <c r="A404" s="343" t="s">
        <v>6169</v>
      </c>
      <c r="B404" s="343" t="s">
        <v>6170</v>
      </c>
      <c r="C404" s="350" t="s">
        <v>8685</v>
      </c>
      <c r="D404" s="343" t="s">
        <v>2909</v>
      </c>
      <c r="E404" s="344" t="s">
        <v>7963</v>
      </c>
      <c r="F404" s="344" t="s">
        <v>6734</v>
      </c>
      <c r="G404" s="344" t="s">
        <v>6735</v>
      </c>
      <c r="H404" s="345">
        <v>1</v>
      </c>
      <c r="I404" s="344" t="s">
        <v>2733</v>
      </c>
      <c r="J404" s="344" t="s">
        <v>7262</v>
      </c>
      <c r="K404" s="349" t="s">
        <v>8692</v>
      </c>
      <c r="L404" s="349" t="s">
        <v>8693</v>
      </c>
      <c r="M404" s="359" t="s">
        <v>8280</v>
      </c>
      <c r="N404" s="359" t="s">
        <v>8304</v>
      </c>
      <c r="O404" s="359" t="s">
        <v>8574</v>
      </c>
      <c r="P404" s="350" t="s">
        <v>8653</v>
      </c>
      <c r="Q404" s="343" t="s">
        <v>2233</v>
      </c>
      <c r="R404" s="343" t="s">
        <v>4</v>
      </c>
      <c r="S404" s="343"/>
      <c r="T404" s="343" t="s">
        <v>2733</v>
      </c>
    </row>
    <row r="405" spans="1:26" ht="22" customHeight="1">
      <c r="A405" s="343" t="s">
        <v>6171</v>
      </c>
      <c r="B405" s="343" t="s">
        <v>6170</v>
      </c>
      <c r="C405" s="350" t="s">
        <v>8685</v>
      </c>
      <c r="D405" s="343" t="s">
        <v>2909</v>
      </c>
      <c r="E405" s="344" t="s">
        <v>7964</v>
      </c>
      <c r="F405" s="344" t="s">
        <v>6736</v>
      </c>
      <c r="G405" s="344" t="s">
        <v>6737</v>
      </c>
      <c r="H405" s="345">
        <v>2</v>
      </c>
      <c r="I405" s="344" t="s">
        <v>2733</v>
      </c>
      <c r="J405" s="344" t="s">
        <v>7262</v>
      </c>
      <c r="K405" s="349" t="s">
        <v>8692</v>
      </c>
      <c r="L405" s="349" t="s">
        <v>8693</v>
      </c>
      <c r="M405" s="359" t="s">
        <v>8280</v>
      </c>
      <c r="N405" s="359" t="s">
        <v>8304</v>
      </c>
      <c r="O405" s="359" t="s">
        <v>8574</v>
      </c>
      <c r="P405" s="350" t="s">
        <v>8653</v>
      </c>
      <c r="Q405" s="343" t="s">
        <v>2233</v>
      </c>
      <c r="R405" s="343" t="s">
        <v>4</v>
      </c>
      <c r="S405" s="343"/>
      <c r="T405" s="343" t="s">
        <v>2733</v>
      </c>
    </row>
    <row r="406" spans="1:26" ht="22" customHeight="1">
      <c r="A406" s="343" t="s">
        <v>6172</v>
      </c>
      <c r="B406" s="343" t="s">
        <v>6170</v>
      </c>
      <c r="C406" s="350" t="s">
        <v>8685</v>
      </c>
      <c r="D406" s="343" t="s">
        <v>2909</v>
      </c>
      <c r="E406" s="344" t="s">
        <v>7965</v>
      </c>
      <c r="F406" s="344" t="s">
        <v>6738</v>
      </c>
      <c r="G406" s="344" t="s">
        <v>6739</v>
      </c>
      <c r="H406" s="345">
        <v>1</v>
      </c>
      <c r="I406" s="344" t="s">
        <v>2733</v>
      </c>
      <c r="J406" s="344" t="s">
        <v>7262</v>
      </c>
      <c r="K406" s="349" t="s">
        <v>8692</v>
      </c>
      <c r="L406" s="349" t="s">
        <v>8693</v>
      </c>
      <c r="M406" s="359" t="s">
        <v>8280</v>
      </c>
      <c r="N406" s="359" t="s">
        <v>8304</v>
      </c>
      <c r="O406" s="359" t="s">
        <v>8574</v>
      </c>
      <c r="P406" s="350" t="s">
        <v>8653</v>
      </c>
      <c r="Q406" s="343" t="s">
        <v>2233</v>
      </c>
      <c r="R406" s="343" t="s">
        <v>4</v>
      </c>
      <c r="S406" s="343"/>
      <c r="T406" s="343" t="s">
        <v>2733</v>
      </c>
    </row>
    <row r="407" spans="1:26" ht="22" customHeight="1">
      <c r="A407" s="343" t="s">
        <v>6173</v>
      </c>
      <c r="B407" s="343" t="s">
        <v>6170</v>
      </c>
      <c r="C407" s="350" t="s">
        <v>8685</v>
      </c>
      <c r="D407" s="343" t="s">
        <v>2909</v>
      </c>
      <c r="E407" s="344" t="s">
        <v>7966</v>
      </c>
      <c r="F407" s="344" t="s">
        <v>6740</v>
      </c>
      <c r="G407" s="344" t="s">
        <v>6741</v>
      </c>
      <c r="H407" s="345">
        <v>3</v>
      </c>
      <c r="I407" s="344" t="s">
        <v>2733</v>
      </c>
      <c r="J407" s="344" t="s">
        <v>7262</v>
      </c>
      <c r="K407" s="349" t="s">
        <v>8692</v>
      </c>
      <c r="L407" s="349" t="s">
        <v>8693</v>
      </c>
      <c r="M407" s="359" t="s">
        <v>8280</v>
      </c>
      <c r="N407" s="359" t="s">
        <v>8304</v>
      </c>
      <c r="O407" s="359" t="s">
        <v>8574</v>
      </c>
      <c r="P407" s="350" t="s">
        <v>8653</v>
      </c>
      <c r="Q407" s="343" t="s">
        <v>2233</v>
      </c>
      <c r="R407" s="343" t="s">
        <v>4</v>
      </c>
      <c r="S407" s="343"/>
      <c r="T407" s="343" t="s">
        <v>2733</v>
      </c>
    </row>
    <row r="408" spans="1:26" ht="22" customHeight="1">
      <c r="A408" s="343" t="s">
        <v>6175</v>
      </c>
      <c r="B408" s="343" t="s">
        <v>6170</v>
      </c>
      <c r="C408" s="350" t="s">
        <v>8685</v>
      </c>
      <c r="D408" s="343" t="s">
        <v>2909</v>
      </c>
      <c r="E408" s="344" t="s">
        <v>7967</v>
      </c>
      <c r="F408" s="344" t="s">
        <v>6742</v>
      </c>
      <c r="G408" s="344" t="s">
        <v>6743</v>
      </c>
      <c r="H408" s="345">
        <v>2</v>
      </c>
      <c r="I408" s="344" t="s">
        <v>2733</v>
      </c>
      <c r="J408" s="344" t="s">
        <v>7262</v>
      </c>
      <c r="K408" s="349" t="s">
        <v>8692</v>
      </c>
      <c r="L408" s="349" t="s">
        <v>8693</v>
      </c>
      <c r="M408" s="360" t="s">
        <v>8280</v>
      </c>
      <c r="N408" s="360" t="s">
        <v>8304</v>
      </c>
      <c r="O408" s="359" t="s">
        <v>8574</v>
      </c>
      <c r="P408" s="350" t="s">
        <v>8653</v>
      </c>
      <c r="Q408" s="343" t="s">
        <v>2233</v>
      </c>
      <c r="R408" s="343" t="s">
        <v>4</v>
      </c>
      <c r="S408" s="343"/>
      <c r="T408" s="343" t="s">
        <v>2733</v>
      </c>
    </row>
    <row r="409" spans="1:26" ht="22" customHeight="1">
      <c r="A409" s="343" t="s">
        <v>6176</v>
      </c>
      <c r="B409" s="343" t="s">
        <v>6170</v>
      </c>
      <c r="C409" s="350" t="s">
        <v>8685</v>
      </c>
      <c r="D409" s="343" t="s">
        <v>2909</v>
      </c>
      <c r="E409" s="344" t="s">
        <v>7968</v>
      </c>
      <c r="F409" s="344" t="s">
        <v>6744</v>
      </c>
      <c r="G409" s="344" t="s">
        <v>6745</v>
      </c>
      <c r="H409" s="345">
        <v>2</v>
      </c>
      <c r="I409" s="344" t="s">
        <v>2733</v>
      </c>
      <c r="J409" s="344" t="s">
        <v>7262</v>
      </c>
      <c r="K409" s="349" t="s">
        <v>8692</v>
      </c>
      <c r="L409" s="349" t="s">
        <v>8693</v>
      </c>
      <c r="M409" s="360" t="s">
        <v>8280</v>
      </c>
      <c r="N409" s="360" t="s">
        <v>8304</v>
      </c>
      <c r="O409" s="359" t="s">
        <v>8574</v>
      </c>
      <c r="P409" s="350" t="s">
        <v>8653</v>
      </c>
      <c r="Q409" s="343" t="s">
        <v>2233</v>
      </c>
      <c r="R409" s="343" t="s">
        <v>4</v>
      </c>
      <c r="S409" s="343"/>
      <c r="T409" s="343" t="s">
        <v>2733</v>
      </c>
    </row>
    <row r="410" spans="1:26" ht="22" customHeight="1">
      <c r="A410" s="343" t="s">
        <v>6177</v>
      </c>
      <c r="B410" s="343" t="s">
        <v>6170</v>
      </c>
      <c r="C410" s="350" t="s">
        <v>8685</v>
      </c>
      <c r="D410" s="343" t="s">
        <v>2909</v>
      </c>
      <c r="E410" s="344" t="s">
        <v>7969</v>
      </c>
      <c r="F410" s="344" t="s">
        <v>6746</v>
      </c>
      <c r="G410" s="344" t="s">
        <v>6747</v>
      </c>
      <c r="H410" s="345">
        <v>2</v>
      </c>
      <c r="I410" s="344" t="s">
        <v>2733</v>
      </c>
      <c r="J410" s="344" t="s">
        <v>7262</v>
      </c>
      <c r="K410" s="349" t="s">
        <v>8692</v>
      </c>
      <c r="L410" s="349" t="s">
        <v>8693</v>
      </c>
      <c r="M410" s="360" t="s">
        <v>8280</v>
      </c>
      <c r="N410" s="360" t="s">
        <v>8304</v>
      </c>
      <c r="O410" s="359" t="s">
        <v>8574</v>
      </c>
      <c r="P410" s="350" t="s">
        <v>8653</v>
      </c>
      <c r="Q410" s="343" t="s">
        <v>2233</v>
      </c>
      <c r="R410" s="343" t="s">
        <v>4</v>
      </c>
      <c r="S410" s="343"/>
      <c r="T410" s="343" t="s">
        <v>2733</v>
      </c>
    </row>
    <row r="411" spans="1:26" ht="22" customHeight="1">
      <c r="A411" s="343" t="s">
        <v>6178</v>
      </c>
      <c r="B411" s="343" t="s">
        <v>6170</v>
      </c>
      <c r="C411" s="350" t="s">
        <v>8685</v>
      </c>
      <c r="D411" s="343" t="s">
        <v>2909</v>
      </c>
      <c r="E411" s="344" t="s">
        <v>7970</v>
      </c>
      <c r="F411" s="344" t="s">
        <v>6748</v>
      </c>
      <c r="G411" s="344" t="s">
        <v>6749</v>
      </c>
      <c r="H411" s="345">
        <v>2</v>
      </c>
      <c r="I411" s="344" t="s">
        <v>2733</v>
      </c>
      <c r="J411" s="344" t="s">
        <v>7262</v>
      </c>
      <c r="K411" s="349" t="s">
        <v>8692</v>
      </c>
      <c r="L411" s="349" t="s">
        <v>8693</v>
      </c>
      <c r="M411" s="360" t="s">
        <v>8280</v>
      </c>
      <c r="N411" s="360" t="s">
        <v>8304</v>
      </c>
      <c r="O411" s="359" t="s">
        <v>8574</v>
      </c>
      <c r="P411" s="350" t="s">
        <v>8653</v>
      </c>
      <c r="Q411" s="343" t="s">
        <v>2233</v>
      </c>
      <c r="R411" s="343" t="s">
        <v>4</v>
      </c>
      <c r="S411" s="343"/>
      <c r="T411" s="343" t="s">
        <v>2733</v>
      </c>
    </row>
    <row r="412" spans="1:26" ht="22" customHeight="1">
      <c r="A412" s="343" t="s">
        <v>6179</v>
      </c>
      <c r="B412" s="343" t="s">
        <v>6170</v>
      </c>
      <c r="C412" s="350" t="s">
        <v>8685</v>
      </c>
      <c r="D412" s="343" t="s">
        <v>2909</v>
      </c>
      <c r="E412" s="344" t="s">
        <v>7971</v>
      </c>
      <c r="F412" s="344" t="s">
        <v>6750</v>
      </c>
      <c r="G412" s="344" t="s">
        <v>6751</v>
      </c>
      <c r="H412" s="345">
        <v>3</v>
      </c>
      <c r="I412" s="344" t="s">
        <v>7787</v>
      </c>
      <c r="J412" s="344" t="s">
        <v>7270</v>
      </c>
      <c r="K412" s="349" t="s">
        <v>8692</v>
      </c>
      <c r="L412" s="349" t="s">
        <v>8692</v>
      </c>
      <c r="M412" s="360" t="s">
        <v>8280</v>
      </c>
      <c r="N412" s="360" t="s">
        <v>8305</v>
      </c>
      <c r="O412" s="359" t="s">
        <v>8574</v>
      </c>
      <c r="P412" s="350" t="s">
        <v>8652</v>
      </c>
      <c r="Q412" s="343" t="s">
        <v>2233</v>
      </c>
      <c r="R412" s="343" t="s">
        <v>4</v>
      </c>
      <c r="S412" s="343"/>
      <c r="T412" s="343" t="s">
        <v>6256</v>
      </c>
    </row>
    <row r="413" spans="1:26" ht="22" customHeight="1">
      <c r="A413" s="353" t="s">
        <v>6180</v>
      </c>
      <c r="B413" s="353" t="s">
        <v>6170</v>
      </c>
      <c r="C413" s="350" t="s">
        <v>8685</v>
      </c>
      <c r="D413" s="343" t="s">
        <v>2909</v>
      </c>
      <c r="E413" s="354" t="s">
        <v>7972</v>
      </c>
      <c r="F413" s="344" t="s">
        <v>6752</v>
      </c>
      <c r="G413" s="354" t="s">
        <v>6753</v>
      </c>
      <c r="H413" s="355">
        <v>3</v>
      </c>
      <c r="I413" s="354" t="s">
        <v>7787</v>
      </c>
      <c r="J413" s="355" t="s">
        <v>7270</v>
      </c>
      <c r="K413" s="356" t="s">
        <v>8692</v>
      </c>
      <c r="L413" s="356" t="s">
        <v>8692</v>
      </c>
      <c r="M413" s="361" t="s">
        <v>8280</v>
      </c>
      <c r="N413" s="361" t="s">
        <v>8305</v>
      </c>
      <c r="O413" s="359" t="s">
        <v>8574</v>
      </c>
      <c r="P413" s="350" t="s">
        <v>8652</v>
      </c>
      <c r="Q413" s="353" t="s">
        <v>2233</v>
      </c>
      <c r="R413" s="353" t="s">
        <v>4</v>
      </c>
      <c r="S413" s="343"/>
      <c r="T413" s="353" t="s">
        <v>6256</v>
      </c>
      <c r="U413" s="309"/>
      <c r="V413" s="310"/>
      <c r="W413" s="310"/>
      <c r="X413" s="310"/>
      <c r="Y413" s="332"/>
      <c r="Z413" s="333"/>
    </row>
    <row r="414" spans="1:26" ht="22" customHeight="1">
      <c r="A414" s="353" t="s">
        <v>6181</v>
      </c>
      <c r="B414" s="353" t="s">
        <v>6170</v>
      </c>
      <c r="C414" s="350" t="s">
        <v>8685</v>
      </c>
      <c r="D414" s="343" t="s">
        <v>2909</v>
      </c>
      <c r="E414" s="354" t="s">
        <v>7973</v>
      </c>
      <c r="F414" s="344" t="s">
        <v>6754</v>
      </c>
      <c r="G414" s="354" t="s">
        <v>6755</v>
      </c>
      <c r="H414" s="355">
        <v>2</v>
      </c>
      <c r="I414" s="354" t="s">
        <v>2733</v>
      </c>
      <c r="J414" s="355" t="s">
        <v>7271</v>
      </c>
      <c r="K414" s="356" t="s">
        <v>8692</v>
      </c>
      <c r="L414" s="356" t="s">
        <v>8693</v>
      </c>
      <c r="M414" s="361" t="s">
        <v>8280</v>
      </c>
      <c r="N414" s="361" t="s">
        <v>8304</v>
      </c>
      <c r="O414" s="359" t="s">
        <v>8574</v>
      </c>
      <c r="P414" s="350" t="s">
        <v>8653</v>
      </c>
      <c r="Q414" s="353" t="s">
        <v>2233</v>
      </c>
      <c r="R414" s="353" t="s">
        <v>4</v>
      </c>
      <c r="S414" s="343"/>
      <c r="T414" s="353" t="s">
        <v>2233</v>
      </c>
      <c r="U414" s="309"/>
      <c r="V414" s="310"/>
      <c r="W414" s="310"/>
      <c r="X414" s="310"/>
      <c r="Y414" s="332"/>
      <c r="Z414" s="333"/>
    </row>
    <row r="415" spans="1:26" ht="22" customHeight="1">
      <c r="A415" s="353" t="s">
        <v>6183</v>
      </c>
      <c r="B415" s="353" t="s">
        <v>6170</v>
      </c>
      <c r="C415" s="350" t="s">
        <v>8685</v>
      </c>
      <c r="D415" s="343" t="s">
        <v>2909</v>
      </c>
      <c r="E415" s="354" t="s">
        <v>7974</v>
      </c>
      <c r="F415" s="344" t="s">
        <v>6756</v>
      </c>
      <c r="G415" s="354" t="s">
        <v>6757</v>
      </c>
      <c r="H415" s="355">
        <v>2</v>
      </c>
      <c r="I415" s="354" t="s">
        <v>7817</v>
      </c>
      <c r="J415" s="355" t="s">
        <v>7818</v>
      </c>
      <c r="K415" s="356" t="s">
        <v>8692</v>
      </c>
      <c r="L415" s="356" t="s">
        <v>8693</v>
      </c>
      <c r="M415" s="361" t="s">
        <v>8284</v>
      </c>
      <c r="N415" s="361" t="s">
        <v>8306</v>
      </c>
      <c r="O415" s="359" t="s">
        <v>8574</v>
      </c>
      <c r="P415" s="350" t="s">
        <v>8651</v>
      </c>
      <c r="Q415" s="353" t="s">
        <v>2233</v>
      </c>
      <c r="R415" s="353" t="s">
        <v>4</v>
      </c>
      <c r="S415" s="343"/>
      <c r="T415" s="353" t="s">
        <v>6432</v>
      </c>
      <c r="U415" s="309"/>
      <c r="V415" s="310"/>
      <c r="W415" s="310"/>
      <c r="X415" s="310"/>
      <c r="Y415" s="332"/>
      <c r="Z415" s="333"/>
    </row>
    <row r="416" spans="1:26" ht="22" customHeight="1">
      <c r="A416" s="353" t="s">
        <v>6184</v>
      </c>
      <c r="B416" s="353" t="s">
        <v>6170</v>
      </c>
      <c r="C416" s="350" t="s">
        <v>8685</v>
      </c>
      <c r="D416" s="343" t="s">
        <v>2909</v>
      </c>
      <c r="E416" s="354" t="s">
        <v>7975</v>
      </c>
      <c r="F416" s="344" t="s">
        <v>6758</v>
      </c>
      <c r="G416" s="354" t="s">
        <v>6759</v>
      </c>
      <c r="H416" s="355">
        <v>3</v>
      </c>
      <c r="I416" s="354" t="s">
        <v>7823</v>
      </c>
      <c r="J416" s="355" t="s">
        <v>7272</v>
      </c>
      <c r="K416" s="356" t="s">
        <v>8692</v>
      </c>
      <c r="L416" s="356" t="s">
        <v>8693</v>
      </c>
      <c r="M416" s="361" t="s">
        <v>8283</v>
      </c>
      <c r="N416" s="361" t="s">
        <v>8307</v>
      </c>
      <c r="O416" s="359" t="s">
        <v>8574</v>
      </c>
      <c r="P416" s="350" t="s">
        <v>8653</v>
      </c>
      <c r="Q416" s="353" t="s">
        <v>2233</v>
      </c>
      <c r="R416" s="353" t="s">
        <v>4</v>
      </c>
      <c r="S416" s="343"/>
      <c r="T416" s="353" t="s">
        <v>6440</v>
      </c>
      <c r="U416" s="309"/>
      <c r="V416" s="310"/>
      <c r="W416" s="310"/>
      <c r="X416" s="310"/>
      <c r="Y416" s="332"/>
      <c r="Z416" s="333"/>
    </row>
    <row r="417" spans="1:26" ht="22" customHeight="1">
      <c r="A417" s="353" t="s">
        <v>6185</v>
      </c>
      <c r="B417" s="353" t="s">
        <v>6170</v>
      </c>
      <c r="C417" s="350" t="s">
        <v>8685</v>
      </c>
      <c r="D417" s="343" t="s">
        <v>2909</v>
      </c>
      <c r="E417" s="354" t="s">
        <v>7976</v>
      </c>
      <c r="F417" s="344" t="s">
        <v>6760</v>
      </c>
      <c r="G417" s="354" t="s">
        <v>6761</v>
      </c>
      <c r="H417" s="355">
        <v>2</v>
      </c>
      <c r="I417" s="354" t="s">
        <v>7787</v>
      </c>
      <c r="J417" s="355" t="s">
        <v>7270</v>
      </c>
      <c r="K417" s="356" t="s">
        <v>8692</v>
      </c>
      <c r="L417" s="356" t="s">
        <v>8692</v>
      </c>
      <c r="M417" s="361" t="s">
        <v>8280</v>
      </c>
      <c r="N417" s="361" t="s">
        <v>8305</v>
      </c>
      <c r="O417" s="359" t="s">
        <v>8574</v>
      </c>
      <c r="P417" s="350" t="s">
        <v>8652</v>
      </c>
      <c r="Q417" s="353" t="s">
        <v>2233</v>
      </c>
      <c r="R417" s="353" t="s">
        <v>4</v>
      </c>
      <c r="S417" s="343"/>
      <c r="T417" s="353" t="s">
        <v>6256</v>
      </c>
      <c r="U417" s="309"/>
      <c r="V417" s="310"/>
      <c r="W417" s="310"/>
      <c r="X417" s="310"/>
      <c r="Y417" s="332"/>
      <c r="Z417" s="333"/>
    </row>
    <row r="418" spans="1:26" ht="22" customHeight="1">
      <c r="A418" s="353" t="s">
        <v>6186</v>
      </c>
      <c r="B418" s="353" t="s">
        <v>6170</v>
      </c>
      <c r="C418" s="350" t="s">
        <v>8685</v>
      </c>
      <c r="D418" s="343" t="s">
        <v>2909</v>
      </c>
      <c r="E418" s="354" t="s">
        <v>7977</v>
      </c>
      <c r="F418" s="344" t="s">
        <v>6762</v>
      </c>
      <c r="G418" s="354" t="s">
        <v>6763</v>
      </c>
      <c r="H418" s="355">
        <v>2</v>
      </c>
      <c r="I418" s="354" t="s">
        <v>7787</v>
      </c>
      <c r="J418" s="355" t="s">
        <v>7270</v>
      </c>
      <c r="K418" s="356" t="s">
        <v>8692</v>
      </c>
      <c r="L418" s="356" t="s">
        <v>8692</v>
      </c>
      <c r="M418" s="361" t="s">
        <v>8280</v>
      </c>
      <c r="N418" s="361" t="s">
        <v>8305</v>
      </c>
      <c r="O418" s="359" t="s">
        <v>8574</v>
      </c>
      <c r="P418" s="350" t="s">
        <v>8652</v>
      </c>
      <c r="Q418" s="353" t="s">
        <v>2233</v>
      </c>
      <c r="R418" s="353" t="s">
        <v>4</v>
      </c>
      <c r="S418" s="343"/>
      <c r="T418" s="353" t="s">
        <v>6256</v>
      </c>
      <c r="U418" s="346"/>
      <c r="V418" s="347"/>
      <c r="W418" s="347"/>
      <c r="X418" s="347"/>
      <c r="Y418" s="348"/>
      <c r="Z418" s="333"/>
    </row>
    <row r="419" spans="1:26" ht="22" customHeight="1">
      <c r="A419" s="343" t="s">
        <v>6187</v>
      </c>
      <c r="B419" s="343" t="s">
        <v>6170</v>
      </c>
      <c r="C419" s="350" t="s">
        <v>8685</v>
      </c>
      <c r="D419" s="343" t="s">
        <v>2909</v>
      </c>
      <c r="E419" s="344" t="s">
        <v>7978</v>
      </c>
      <c r="F419" s="344" t="s">
        <v>6764</v>
      </c>
      <c r="G419" s="344" t="s">
        <v>6765</v>
      </c>
      <c r="H419" s="358">
        <v>4</v>
      </c>
      <c r="I419" s="344" t="s">
        <v>7787</v>
      </c>
      <c r="J419" s="358" t="s">
        <v>7270</v>
      </c>
      <c r="K419" s="356" t="s">
        <v>8692</v>
      </c>
      <c r="L419" s="356" t="s">
        <v>8692</v>
      </c>
      <c r="M419" s="361" t="s">
        <v>8280</v>
      </c>
      <c r="N419" s="361" t="s">
        <v>8305</v>
      </c>
      <c r="O419" s="359" t="s">
        <v>8574</v>
      </c>
      <c r="P419" s="350" t="s">
        <v>8652</v>
      </c>
      <c r="Q419" s="343" t="s">
        <v>2233</v>
      </c>
      <c r="R419" s="343" t="s">
        <v>4</v>
      </c>
      <c r="S419" s="343"/>
      <c r="T419" s="343" t="s">
        <v>6256</v>
      </c>
      <c r="U419" s="331"/>
      <c r="V419" s="331"/>
      <c r="W419" s="331"/>
      <c r="X419" s="331"/>
      <c r="Y419" s="331"/>
      <c r="Z419" s="331"/>
    </row>
    <row r="420" spans="1:26" ht="22" customHeight="1">
      <c r="A420" s="343" t="s">
        <v>6188</v>
      </c>
      <c r="B420" s="343" t="s">
        <v>6170</v>
      </c>
      <c r="C420" s="350" t="s">
        <v>8685</v>
      </c>
      <c r="D420" s="343" t="s">
        <v>2909</v>
      </c>
      <c r="E420" s="344" t="s">
        <v>7979</v>
      </c>
      <c r="F420" s="344" t="s">
        <v>6766</v>
      </c>
      <c r="G420" s="344" t="s">
        <v>6767</v>
      </c>
      <c r="H420" s="358">
        <v>2</v>
      </c>
      <c r="I420" s="344" t="s">
        <v>7787</v>
      </c>
      <c r="J420" s="358" t="s">
        <v>7270</v>
      </c>
      <c r="K420" s="356" t="s">
        <v>8692</v>
      </c>
      <c r="L420" s="356" t="s">
        <v>8692</v>
      </c>
      <c r="M420" s="361" t="s">
        <v>8280</v>
      </c>
      <c r="N420" s="361" t="s">
        <v>8305</v>
      </c>
      <c r="O420" s="359" t="s">
        <v>8574</v>
      </c>
      <c r="P420" s="350" t="s">
        <v>8652</v>
      </c>
      <c r="Q420" s="343" t="s">
        <v>2233</v>
      </c>
      <c r="R420" s="343" t="s">
        <v>4</v>
      </c>
      <c r="S420" s="343"/>
      <c r="T420" s="343" t="s">
        <v>6256</v>
      </c>
      <c r="U420" s="331"/>
      <c r="V420" s="331"/>
      <c r="W420" s="331"/>
      <c r="X420" s="331"/>
      <c r="Y420" s="331"/>
      <c r="Z420" s="331"/>
    </row>
    <row r="421" spans="1:26" ht="22" customHeight="1">
      <c r="A421" s="343" t="s">
        <v>6189</v>
      </c>
      <c r="B421" s="343" t="s">
        <v>6170</v>
      </c>
      <c r="C421" s="350" t="s">
        <v>8685</v>
      </c>
      <c r="D421" s="343" t="s">
        <v>2909</v>
      </c>
      <c r="E421" s="344" t="s">
        <v>7980</v>
      </c>
      <c r="F421" s="344" t="s">
        <v>6768</v>
      </c>
      <c r="G421" s="344" t="s">
        <v>6769</v>
      </c>
      <c r="H421" s="358">
        <v>3</v>
      </c>
      <c r="I421" s="344" t="s">
        <v>7787</v>
      </c>
      <c r="J421" s="358" t="s">
        <v>7270</v>
      </c>
      <c r="K421" s="356" t="s">
        <v>8692</v>
      </c>
      <c r="L421" s="356" t="s">
        <v>8692</v>
      </c>
      <c r="M421" s="361" t="s">
        <v>8280</v>
      </c>
      <c r="N421" s="361" t="s">
        <v>8305</v>
      </c>
      <c r="O421" s="359" t="s">
        <v>8574</v>
      </c>
      <c r="P421" s="350" t="s">
        <v>8652</v>
      </c>
      <c r="Q421" s="343" t="s">
        <v>2233</v>
      </c>
      <c r="R421" s="343" t="s">
        <v>4</v>
      </c>
      <c r="S421" s="343"/>
      <c r="T421" s="343" t="s">
        <v>6256</v>
      </c>
      <c r="U421" s="331"/>
      <c r="V421" s="331"/>
      <c r="W421" s="331"/>
      <c r="X421" s="331"/>
      <c r="Y421" s="331"/>
      <c r="Z421" s="331"/>
    </row>
    <row r="422" spans="1:26" ht="22" customHeight="1">
      <c r="A422" s="343" t="s">
        <v>6190</v>
      </c>
      <c r="B422" s="343" t="s">
        <v>6170</v>
      </c>
      <c r="C422" s="350" t="s">
        <v>8685</v>
      </c>
      <c r="D422" s="343" t="s">
        <v>2909</v>
      </c>
      <c r="E422" s="344" t="s">
        <v>7981</v>
      </c>
      <c r="F422" s="344" t="s">
        <v>6770</v>
      </c>
      <c r="G422" s="344" t="s">
        <v>6771</v>
      </c>
      <c r="H422" s="358">
        <v>3</v>
      </c>
      <c r="I422" s="344" t="s">
        <v>7816</v>
      </c>
      <c r="J422" s="358" t="s">
        <v>7265</v>
      </c>
      <c r="K422" s="356" t="s">
        <v>8692</v>
      </c>
      <c r="L422" s="356" t="s">
        <v>8693</v>
      </c>
      <c r="M422" s="361" t="s">
        <v>8284</v>
      </c>
      <c r="N422" s="361" t="s">
        <v>8299</v>
      </c>
      <c r="O422" s="359" t="s">
        <v>8574</v>
      </c>
      <c r="P422" s="350" t="s">
        <v>8653</v>
      </c>
      <c r="Q422" s="343" t="s">
        <v>2233</v>
      </c>
      <c r="R422" s="343" t="s">
        <v>4</v>
      </c>
      <c r="S422" s="343"/>
      <c r="T422" s="343" t="s">
        <v>6426</v>
      </c>
      <c r="U422" s="331"/>
      <c r="V422" s="331"/>
      <c r="W422" s="331"/>
      <c r="X422" s="331"/>
      <c r="Y422" s="331"/>
      <c r="Z422" s="331"/>
    </row>
    <row r="423" spans="1:26" ht="22" customHeight="1">
      <c r="A423" s="343" t="s">
        <v>6191</v>
      </c>
      <c r="B423" s="343" t="s">
        <v>6170</v>
      </c>
      <c r="C423" s="350" t="s">
        <v>8685</v>
      </c>
      <c r="D423" s="343" t="s">
        <v>2909</v>
      </c>
      <c r="E423" s="344" t="s">
        <v>7982</v>
      </c>
      <c r="F423" s="344" t="s">
        <v>6772</v>
      </c>
      <c r="G423" s="344" t="s">
        <v>6773</v>
      </c>
      <c r="H423" s="358">
        <v>3</v>
      </c>
      <c r="I423" s="344" t="s">
        <v>7814</v>
      </c>
      <c r="J423" s="358" t="s">
        <v>7273</v>
      </c>
      <c r="K423" s="356" t="s">
        <v>8693</v>
      </c>
      <c r="L423" s="356" t="s">
        <v>8693</v>
      </c>
      <c r="M423" s="361" t="s">
        <v>8288</v>
      </c>
      <c r="N423" s="361" t="s">
        <v>8308</v>
      </c>
      <c r="O423" s="359" t="s">
        <v>8574</v>
      </c>
      <c r="P423" s="350" t="s">
        <v>8653</v>
      </c>
      <c r="Q423" s="343" t="s">
        <v>2233</v>
      </c>
      <c r="R423" s="343" t="s">
        <v>4</v>
      </c>
      <c r="S423" s="343"/>
      <c r="T423" s="343" t="s">
        <v>6414</v>
      </c>
      <c r="U423" s="331"/>
      <c r="V423" s="331"/>
      <c r="W423" s="331"/>
      <c r="X423" s="331"/>
      <c r="Y423" s="331"/>
      <c r="Z423" s="331"/>
    </row>
    <row r="424" spans="1:26" ht="22" customHeight="1">
      <c r="A424" s="343" t="s">
        <v>6192</v>
      </c>
      <c r="B424" s="343" t="s">
        <v>6170</v>
      </c>
      <c r="C424" s="350" t="s">
        <v>8685</v>
      </c>
      <c r="D424" s="343" t="s">
        <v>2909</v>
      </c>
      <c r="E424" s="344" t="s">
        <v>7983</v>
      </c>
      <c r="F424" s="344" t="s">
        <v>6774</v>
      </c>
      <c r="G424" s="344" t="s">
        <v>6775</v>
      </c>
      <c r="H424" s="358">
        <v>2</v>
      </c>
      <c r="I424" s="344" t="s">
        <v>7787</v>
      </c>
      <c r="J424" s="358" t="s">
        <v>7270</v>
      </c>
      <c r="K424" s="356" t="s">
        <v>8692</v>
      </c>
      <c r="L424" s="356" t="s">
        <v>8692</v>
      </c>
      <c r="M424" s="361" t="s">
        <v>8280</v>
      </c>
      <c r="N424" s="361" t="s">
        <v>8305</v>
      </c>
      <c r="O424" s="359" t="s">
        <v>8574</v>
      </c>
      <c r="P424" s="350" t="s">
        <v>8652</v>
      </c>
      <c r="Q424" s="343" t="s">
        <v>2233</v>
      </c>
      <c r="R424" s="343" t="s">
        <v>4</v>
      </c>
      <c r="S424" s="343"/>
      <c r="T424" s="343" t="s">
        <v>6256</v>
      </c>
      <c r="U424" s="331"/>
      <c r="V424" s="331"/>
      <c r="W424" s="331"/>
      <c r="X424" s="331"/>
      <c r="Y424" s="331"/>
      <c r="Z424" s="331"/>
    </row>
    <row r="425" spans="1:26" ht="22" customHeight="1">
      <c r="A425" s="343" t="s">
        <v>6193</v>
      </c>
      <c r="B425" s="343" t="s">
        <v>6170</v>
      </c>
      <c r="C425" s="350" t="s">
        <v>8685</v>
      </c>
      <c r="D425" s="343" t="s">
        <v>2909</v>
      </c>
      <c r="E425" s="344" t="s">
        <v>7984</v>
      </c>
      <c r="F425" s="344" t="s">
        <v>6776</v>
      </c>
      <c r="G425" s="344" t="s">
        <v>6777</v>
      </c>
      <c r="H425" s="358">
        <v>2</v>
      </c>
      <c r="I425" s="344" t="s">
        <v>7787</v>
      </c>
      <c r="J425" s="358" t="s">
        <v>7270</v>
      </c>
      <c r="K425" s="356" t="s">
        <v>8692</v>
      </c>
      <c r="L425" s="356" t="s">
        <v>8692</v>
      </c>
      <c r="M425" s="361" t="s">
        <v>8280</v>
      </c>
      <c r="N425" s="361" t="s">
        <v>8305</v>
      </c>
      <c r="O425" s="359" t="s">
        <v>8574</v>
      </c>
      <c r="P425" s="350" t="s">
        <v>8652</v>
      </c>
      <c r="Q425" s="343" t="s">
        <v>2233</v>
      </c>
      <c r="R425" s="343" t="s">
        <v>4</v>
      </c>
      <c r="S425" s="343"/>
      <c r="T425" s="343" t="s">
        <v>6256</v>
      </c>
      <c r="U425" s="331"/>
      <c r="V425" s="331"/>
      <c r="W425" s="331"/>
      <c r="X425" s="331"/>
      <c r="Y425" s="331"/>
      <c r="Z425" s="331"/>
    </row>
    <row r="426" spans="1:26" ht="22" customHeight="1">
      <c r="A426" s="343" t="s">
        <v>6194</v>
      </c>
      <c r="B426" s="343" t="s">
        <v>6170</v>
      </c>
      <c r="C426" s="350" t="s">
        <v>8685</v>
      </c>
      <c r="D426" s="343" t="s">
        <v>2909</v>
      </c>
      <c r="E426" s="344" t="s">
        <v>7985</v>
      </c>
      <c r="F426" s="344" t="s">
        <v>6778</v>
      </c>
      <c r="G426" s="344" t="s">
        <v>6779</v>
      </c>
      <c r="H426" s="358">
        <v>3</v>
      </c>
      <c r="I426" s="344" t="s">
        <v>7787</v>
      </c>
      <c r="J426" s="358" t="s">
        <v>7270</v>
      </c>
      <c r="K426" s="356" t="s">
        <v>8692</v>
      </c>
      <c r="L426" s="356" t="s">
        <v>8692</v>
      </c>
      <c r="M426" s="361" t="s">
        <v>8280</v>
      </c>
      <c r="N426" s="361" t="s">
        <v>8305</v>
      </c>
      <c r="O426" s="359" t="s">
        <v>8574</v>
      </c>
      <c r="P426" s="350" t="s">
        <v>8652</v>
      </c>
      <c r="Q426" s="343" t="s">
        <v>2233</v>
      </c>
      <c r="R426" s="343" t="s">
        <v>4</v>
      </c>
      <c r="S426" s="343"/>
      <c r="T426" s="343" t="s">
        <v>6256</v>
      </c>
      <c r="U426" s="331"/>
      <c r="V426" s="331"/>
      <c r="W426" s="331"/>
      <c r="X426" s="331"/>
      <c r="Y426" s="331"/>
      <c r="Z426" s="331"/>
    </row>
    <row r="427" spans="1:26" ht="22" customHeight="1">
      <c r="A427" s="343" t="s">
        <v>6195</v>
      </c>
      <c r="B427" s="343" t="s">
        <v>6170</v>
      </c>
      <c r="C427" s="350" t="s">
        <v>8685</v>
      </c>
      <c r="D427" s="343" t="s">
        <v>2909</v>
      </c>
      <c r="E427" s="344" t="s">
        <v>7986</v>
      </c>
      <c r="F427" s="344" t="s">
        <v>6780</v>
      </c>
      <c r="G427" s="344" t="s">
        <v>6781</v>
      </c>
      <c r="H427" s="358">
        <v>2</v>
      </c>
      <c r="I427" s="344" t="s">
        <v>7787</v>
      </c>
      <c r="J427" s="358" t="s">
        <v>7270</v>
      </c>
      <c r="K427" s="356" t="s">
        <v>8692</v>
      </c>
      <c r="L427" s="356" t="s">
        <v>8692</v>
      </c>
      <c r="M427" s="361" t="s">
        <v>8280</v>
      </c>
      <c r="N427" s="361" t="s">
        <v>8305</v>
      </c>
      <c r="O427" s="359" t="s">
        <v>8574</v>
      </c>
      <c r="P427" s="350" t="s">
        <v>8652</v>
      </c>
      <c r="Q427" s="343" t="s">
        <v>2233</v>
      </c>
      <c r="R427" s="343" t="s">
        <v>4</v>
      </c>
      <c r="S427" s="343"/>
      <c r="T427" s="343" t="s">
        <v>6256</v>
      </c>
      <c r="U427" s="331"/>
      <c r="V427" s="331"/>
      <c r="W427" s="331"/>
      <c r="X427" s="331"/>
      <c r="Y427" s="331"/>
      <c r="Z427" s="331"/>
    </row>
    <row r="428" spans="1:26" ht="22" customHeight="1">
      <c r="A428" s="343" t="s">
        <v>6196</v>
      </c>
      <c r="B428" s="343" t="s">
        <v>6170</v>
      </c>
      <c r="C428" s="350" t="s">
        <v>8685</v>
      </c>
      <c r="D428" s="343" t="s">
        <v>2909</v>
      </c>
      <c r="E428" s="344" t="s">
        <v>7987</v>
      </c>
      <c r="F428" s="344" t="s">
        <v>6782</v>
      </c>
      <c r="G428" s="344" t="s">
        <v>6783</v>
      </c>
      <c r="H428" s="358">
        <v>2</v>
      </c>
      <c r="I428" s="344" t="s">
        <v>7788</v>
      </c>
      <c r="J428" s="358" t="s">
        <v>7274</v>
      </c>
      <c r="K428" s="356" t="s">
        <v>8692</v>
      </c>
      <c r="L428" s="356" t="s">
        <v>8693</v>
      </c>
      <c r="M428" s="361" t="s">
        <v>8281</v>
      </c>
      <c r="N428" s="361" t="s">
        <v>8309</v>
      </c>
      <c r="O428" s="359" t="s">
        <v>8574</v>
      </c>
      <c r="P428" s="350" t="s">
        <v>8652</v>
      </c>
      <c r="Q428" s="343" t="s">
        <v>2233</v>
      </c>
      <c r="R428" s="343" t="s">
        <v>4</v>
      </c>
      <c r="S428" s="343"/>
      <c r="T428" s="343" t="s">
        <v>6290</v>
      </c>
      <c r="U428" s="331"/>
      <c r="V428" s="331"/>
      <c r="W428" s="331"/>
      <c r="X428" s="331"/>
      <c r="Y428" s="331"/>
      <c r="Z428" s="331"/>
    </row>
    <row r="429" spans="1:26" ht="22" customHeight="1">
      <c r="A429" s="343" t="s">
        <v>6197</v>
      </c>
      <c r="B429" s="343" t="s">
        <v>6170</v>
      </c>
      <c r="C429" s="350" t="s">
        <v>8685</v>
      </c>
      <c r="D429" s="343" t="s">
        <v>2909</v>
      </c>
      <c r="E429" s="344" t="s">
        <v>7988</v>
      </c>
      <c r="F429" s="344" t="s">
        <v>6784</v>
      </c>
      <c r="G429" s="344" t="s">
        <v>6785</v>
      </c>
      <c r="H429" s="358">
        <v>2</v>
      </c>
      <c r="I429" s="344" t="s">
        <v>2733</v>
      </c>
      <c r="J429" s="358" t="s">
        <v>7262</v>
      </c>
      <c r="K429" s="356" t="s">
        <v>8692</v>
      </c>
      <c r="L429" s="356" t="s">
        <v>8693</v>
      </c>
      <c r="M429" s="361" t="s">
        <v>8280</v>
      </c>
      <c r="N429" s="361" t="s">
        <v>8304</v>
      </c>
      <c r="O429" s="359" t="s">
        <v>8574</v>
      </c>
      <c r="P429" s="350" t="s">
        <v>8653</v>
      </c>
      <c r="Q429" s="343" t="s">
        <v>2233</v>
      </c>
      <c r="R429" s="343" t="s">
        <v>4</v>
      </c>
      <c r="S429" s="343"/>
      <c r="T429" s="343" t="s">
        <v>2733</v>
      </c>
      <c r="U429" s="331"/>
      <c r="V429" s="331"/>
      <c r="W429" s="331"/>
      <c r="X429" s="331"/>
      <c r="Y429" s="331"/>
      <c r="Z429" s="331"/>
    </row>
    <row r="430" spans="1:26" ht="22" customHeight="1">
      <c r="A430" s="343" t="s">
        <v>6198</v>
      </c>
      <c r="B430" s="343" t="s">
        <v>6170</v>
      </c>
      <c r="C430" s="350" t="s">
        <v>8685</v>
      </c>
      <c r="D430" s="343" t="s">
        <v>2909</v>
      </c>
      <c r="E430" s="344" t="s">
        <v>7989</v>
      </c>
      <c r="F430" s="344" t="s">
        <v>6786</v>
      </c>
      <c r="G430" s="344" t="s">
        <v>6787</v>
      </c>
      <c r="H430" s="358">
        <v>2</v>
      </c>
      <c r="I430" s="344" t="s">
        <v>2733</v>
      </c>
      <c r="J430" s="358" t="s">
        <v>7262</v>
      </c>
      <c r="K430" s="356" t="s">
        <v>8692</v>
      </c>
      <c r="L430" s="356" t="s">
        <v>8693</v>
      </c>
      <c r="M430" s="361" t="s">
        <v>8280</v>
      </c>
      <c r="N430" s="361" t="s">
        <v>8304</v>
      </c>
      <c r="O430" s="359" t="s">
        <v>8574</v>
      </c>
      <c r="P430" s="350" t="s">
        <v>8653</v>
      </c>
      <c r="Q430" s="343" t="s">
        <v>2233</v>
      </c>
      <c r="R430" s="343" t="s">
        <v>4</v>
      </c>
      <c r="S430" s="343"/>
      <c r="T430" s="343" t="s">
        <v>2733</v>
      </c>
      <c r="U430" s="331"/>
      <c r="V430" s="331"/>
      <c r="W430" s="331"/>
      <c r="X430" s="331"/>
      <c r="Y430" s="331"/>
      <c r="Z430" s="331"/>
    </row>
    <row r="431" spans="1:26" ht="22" customHeight="1">
      <c r="A431" s="343" t="s">
        <v>6199</v>
      </c>
      <c r="B431" s="343" t="s">
        <v>6170</v>
      </c>
      <c r="C431" s="350" t="s">
        <v>8685</v>
      </c>
      <c r="D431" s="343" t="s">
        <v>2909</v>
      </c>
      <c r="E431" s="344" t="s">
        <v>7990</v>
      </c>
      <c r="F431" s="344" t="s">
        <v>6788</v>
      </c>
      <c r="G431" s="344" t="s">
        <v>6789</v>
      </c>
      <c r="H431" s="358">
        <v>3</v>
      </c>
      <c r="I431" s="344" t="s">
        <v>2733</v>
      </c>
      <c r="J431" s="358" t="s">
        <v>7262</v>
      </c>
      <c r="K431" s="356" t="s">
        <v>8692</v>
      </c>
      <c r="L431" s="356" t="s">
        <v>8693</v>
      </c>
      <c r="M431" s="361" t="s">
        <v>8280</v>
      </c>
      <c r="N431" s="361" t="s">
        <v>8304</v>
      </c>
      <c r="O431" s="359" t="s">
        <v>8574</v>
      </c>
      <c r="P431" s="350" t="s">
        <v>8653</v>
      </c>
      <c r="Q431" s="343" t="s">
        <v>2233</v>
      </c>
      <c r="R431" s="343" t="s">
        <v>4</v>
      </c>
      <c r="S431" s="343"/>
      <c r="T431" s="343" t="s">
        <v>2733</v>
      </c>
      <c r="U431" s="331"/>
      <c r="V431" s="331"/>
      <c r="W431" s="331"/>
      <c r="X431" s="331"/>
      <c r="Y431" s="331"/>
      <c r="Z431" s="331"/>
    </row>
    <row r="432" spans="1:26" ht="22" customHeight="1">
      <c r="A432" s="343" t="s">
        <v>6200</v>
      </c>
      <c r="B432" s="343" t="s">
        <v>6170</v>
      </c>
      <c r="C432" s="350" t="s">
        <v>8685</v>
      </c>
      <c r="D432" s="343" t="s">
        <v>2909</v>
      </c>
      <c r="E432" s="344" t="s">
        <v>7991</v>
      </c>
      <c r="F432" s="344" t="s">
        <v>6790</v>
      </c>
      <c r="G432" s="344" t="s">
        <v>6791</v>
      </c>
      <c r="H432" s="358">
        <v>1</v>
      </c>
      <c r="I432" s="344" t="s">
        <v>2733</v>
      </c>
      <c r="J432" s="358" t="s">
        <v>7262</v>
      </c>
      <c r="K432" s="356" t="s">
        <v>8692</v>
      </c>
      <c r="L432" s="356" t="s">
        <v>8693</v>
      </c>
      <c r="M432" s="361" t="s">
        <v>8280</v>
      </c>
      <c r="N432" s="361" t="s">
        <v>8304</v>
      </c>
      <c r="O432" s="359" t="s">
        <v>8574</v>
      </c>
      <c r="P432" s="350" t="s">
        <v>8653</v>
      </c>
      <c r="Q432" s="343" t="s">
        <v>2233</v>
      </c>
      <c r="R432" s="343" t="s">
        <v>4</v>
      </c>
      <c r="S432" s="343"/>
      <c r="T432" s="343" t="s">
        <v>2733</v>
      </c>
      <c r="U432" s="331"/>
      <c r="V432" s="331"/>
      <c r="W432" s="331"/>
      <c r="X432" s="331"/>
      <c r="Y432" s="331"/>
      <c r="Z432" s="331"/>
    </row>
    <row r="433" spans="1:20" ht="22" customHeight="1">
      <c r="A433" s="343" t="s">
        <v>6201</v>
      </c>
      <c r="B433" s="343" t="s">
        <v>6170</v>
      </c>
      <c r="C433" s="350" t="s">
        <v>8685</v>
      </c>
      <c r="D433" s="343" t="s">
        <v>2909</v>
      </c>
      <c r="E433" s="344" t="s">
        <v>7992</v>
      </c>
      <c r="F433" s="344" t="s">
        <v>6792</v>
      </c>
      <c r="G433" s="344" t="s">
        <v>6793</v>
      </c>
      <c r="H433" s="345">
        <v>3</v>
      </c>
      <c r="I433" s="344" t="s">
        <v>2733</v>
      </c>
      <c r="J433" s="344" t="s">
        <v>7262</v>
      </c>
      <c r="K433" s="349" t="s">
        <v>8692</v>
      </c>
      <c r="L433" s="349" t="s">
        <v>8693</v>
      </c>
      <c r="M433" s="360" t="s">
        <v>8280</v>
      </c>
      <c r="N433" s="360" t="s">
        <v>8304</v>
      </c>
      <c r="O433" s="359" t="s">
        <v>8574</v>
      </c>
      <c r="P433" s="350" t="s">
        <v>8653</v>
      </c>
      <c r="Q433" s="343" t="s">
        <v>2233</v>
      </c>
      <c r="R433" s="343" t="s">
        <v>4</v>
      </c>
      <c r="S433" s="343"/>
      <c r="T433" s="343" t="s">
        <v>2733</v>
      </c>
    </row>
    <row r="434" spans="1:20" ht="22" customHeight="1">
      <c r="A434" s="343" t="s">
        <v>6202</v>
      </c>
      <c r="B434" s="343" t="s">
        <v>6170</v>
      </c>
      <c r="C434" s="350" t="s">
        <v>8685</v>
      </c>
      <c r="D434" s="343" t="s">
        <v>2909</v>
      </c>
      <c r="E434" s="344" t="s">
        <v>7993</v>
      </c>
      <c r="F434" s="344" t="s">
        <v>6794</v>
      </c>
      <c r="G434" s="344" t="s">
        <v>6795</v>
      </c>
      <c r="H434" s="345">
        <v>1</v>
      </c>
      <c r="I434" s="344" t="s">
        <v>2733</v>
      </c>
      <c r="J434" s="344" t="s">
        <v>7262</v>
      </c>
      <c r="K434" s="349" t="s">
        <v>8692</v>
      </c>
      <c r="L434" s="349" t="s">
        <v>8693</v>
      </c>
      <c r="M434" s="360" t="s">
        <v>8280</v>
      </c>
      <c r="N434" s="360" t="s">
        <v>8304</v>
      </c>
      <c r="O434" s="359" t="s">
        <v>8574</v>
      </c>
      <c r="P434" s="350" t="s">
        <v>8653</v>
      </c>
      <c r="Q434" s="343" t="s">
        <v>2233</v>
      </c>
      <c r="R434" s="343" t="s">
        <v>4</v>
      </c>
      <c r="S434" s="343"/>
      <c r="T434" s="343" t="s">
        <v>2733</v>
      </c>
    </row>
    <row r="435" spans="1:20" ht="22" customHeight="1">
      <c r="A435" s="343" t="s">
        <v>6203</v>
      </c>
      <c r="B435" s="343" t="s">
        <v>6170</v>
      </c>
      <c r="C435" s="350" t="s">
        <v>8685</v>
      </c>
      <c r="D435" s="343" t="s">
        <v>2909</v>
      </c>
      <c r="E435" s="344" t="s">
        <v>7994</v>
      </c>
      <c r="F435" s="344" t="s">
        <v>6796</v>
      </c>
      <c r="G435" s="344" t="s">
        <v>6797</v>
      </c>
      <c r="H435" s="345">
        <v>1</v>
      </c>
      <c r="I435" s="344" t="s">
        <v>2733</v>
      </c>
      <c r="J435" s="344" t="s">
        <v>7262</v>
      </c>
      <c r="K435" s="349" t="s">
        <v>8692</v>
      </c>
      <c r="L435" s="349" t="s">
        <v>8693</v>
      </c>
      <c r="M435" s="360" t="s">
        <v>8280</v>
      </c>
      <c r="N435" s="360" t="s">
        <v>8304</v>
      </c>
      <c r="O435" s="359" t="s">
        <v>8574</v>
      </c>
      <c r="P435" s="350" t="s">
        <v>8653</v>
      </c>
      <c r="Q435" s="343" t="s">
        <v>2233</v>
      </c>
      <c r="R435" s="343" t="s">
        <v>4</v>
      </c>
      <c r="S435" s="343"/>
      <c r="T435" s="343" t="s">
        <v>2733</v>
      </c>
    </row>
    <row r="436" spans="1:20" ht="22" customHeight="1">
      <c r="A436" s="343" t="s">
        <v>6204</v>
      </c>
      <c r="B436" s="343" t="s">
        <v>6170</v>
      </c>
      <c r="C436" s="350" t="s">
        <v>8685</v>
      </c>
      <c r="D436" s="343" t="s">
        <v>2909</v>
      </c>
      <c r="E436" s="344" t="s">
        <v>7995</v>
      </c>
      <c r="F436" s="344" t="s">
        <v>6798</v>
      </c>
      <c r="G436" s="344" t="s">
        <v>6799</v>
      </c>
      <c r="H436" s="345">
        <v>1</v>
      </c>
      <c r="I436" s="344" t="s">
        <v>2733</v>
      </c>
      <c r="J436" s="344" t="s">
        <v>7262</v>
      </c>
      <c r="K436" s="349" t="s">
        <v>8692</v>
      </c>
      <c r="L436" s="349" t="s">
        <v>8693</v>
      </c>
      <c r="M436" s="360" t="s">
        <v>8280</v>
      </c>
      <c r="N436" s="360" t="s">
        <v>8304</v>
      </c>
      <c r="O436" s="359" t="s">
        <v>8574</v>
      </c>
      <c r="P436" s="350" t="s">
        <v>8653</v>
      </c>
      <c r="Q436" s="343" t="s">
        <v>2233</v>
      </c>
      <c r="R436" s="343" t="s">
        <v>4</v>
      </c>
      <c r="S436" s="343"/>
      <c r="T436" s="343" t="s">
        <v>2733</v>
      </c>
    </row>
    <row r="437" spans="1:20" ht="22" customHeight="1">
      <c r="A437" s="343" t="s">
        <v>6205</v>
      </c>
      <c r="B437" s="343" t="s">
        <v>6170</v>
      </c>
      <c r="C437" s="350" t="s">
        <v>8685</v>
      </c>
      <c r="D437" s="343" t="s">
        <v>2909</v>
      </c>
      <c r="E437" s="344" t="s">
        <v>7996</v>
      </c>
      <c r="F437" s="344" t="s">
        <v>6800</v>
      </c>
      <c r="G437" s="344" t="s">
        <v>6801</v>
      </c>
      <c r="H437" s="345">
        <v>2</v>
      </c>
      <c r="I437" s="344" t="s">
        <v>7817</v>
      </c>
      <c r="J437" s="344" t="s">
        <v>7820</v>
      </c>
      <c r="K437" s="349" t="s">
        <v>8692</v>
      </c>
      <c r="L437" s="349" t="s">
        <v>8693</v>
      </c>
      <c r="M437" s="360" t="s">
        <v>8283</v>
      </c>
      <c r="N437" s="360" t="s">
        <v>8310</v>
      </c>
      <c r="O437" s="359" t="s">
        <v>8574</v>
      </c>
      <c r="P437" s="350" t="s">
        <v>8653</v>
      </c>
      <c r="Q437" s="343" t="s">
        <v>2233</v>
      </c>
      <c r="R437" s="343" t="s">
        <v>4</v>
      </c>
      <c r="S437" s="343"/>
      <c r="T437" s="343" t="s">
        <v>6435</v>
      </c>
    </row>
    <row r="438" spans="1:20" ht="22" customHeight="1">
      <c r="A438" s="343" t="s">
        <v>6206</v>
      </c>
      <c r="B438" s="343" t="s">
        <v>6170</v>
      </c>
      <c r="C438" s="350" t="s">
        <v>8685</v>
      </c>
      <c r="D438" s="343" t="s">
        <v>2909</v>
      </c>
      <c r="E438" s="344" t="s">
        <v>7997</v>
      </c>
      <c r="F438" s="344" t="s">
        <v>6802</v>
      </c>
      <c r="G438" s="344" t="s">
        <v>6803</v>
      </c>
      <c r="H438" s="345">
        <v>2</v>
      </c>
      <c r="I438" s="344" t="s">
        <v>7824</v>
      </c>
      <c r="J438" s="344" t="s">
        <v>7275</v>
      </c>
      <c r="K438" s="349" t="s">
        <v>8693</v>
      </c>
      <c r="L438" s="349" t="s">
        <v>8693</v>
      </c>
      <c r="M438" s="360" t="s">
        <v>8281</v>
      </c>
      <c r="N438" s="360" t="s">
        <v>8311</v>
      </c>
      <c r="O438" s="359" t="s">
        <v>8574</v>
      </c>
      <c r="P438" s="350" t="s">
        <v>8653</v>
      </c>
      <c r="Q438" s="343" t="s">
        <v>2233</v>
      </c>
      <c r="R438" s="343" t="s">
        <v>4</v>
      </c>
      <c r="S438" s="343"/>
      <c r="T438" s="343" t="s">
        <v>6449</v>
      </c>
    </row>
    <row r="439" spans="1:20" ht="22" customHeight="1">
      <c r="A439" s="343" t="s">
        <v>6207</v>
      </c>
      <c r="B439" s="343" t="s">
        <v>6170</v>
      </c>
      <c r="C439" s="350" t="s">
        <v>8685</v>
      </c>
      <c r="D439" s="343" t="s">
        <v>2909</v>
      </c>
      <c r="E439" s="344" t="s">
        <v>7998</v>
      </c>
      <c r="F439" s="344" t="s">
        <v>6804</v>
      </c>
      <c r="G439" s="344" t="s">
        <v>6805</v>
      </c>
      <c r="H439" s="345">
        <v>1</v>
      </c>
      <c r="I439" s="344" t="s">
        <v>7824</v>
      </c>
      <c r="J439" s="344" t="s">
        <v>7276</v>
      </c>
      <c r="K439" s="349" t="s">
        <v>8692</v>
      </c>
      <c r="L439" s="349" t="s">
        <v>8693</v>
      </c>
      <c r="M439" s="360" t="s">
        <v>8283</v>
      </c>
      <c r="N439" s="360" t="s">
        <v>8312</v>
      </c>
      <c r="O439" s="359" t="s">
        <v>8574</v>
      </c>
      <c r="P439" s="350" t="s">
        <v>8653</v>
      </c>
      <c r="Q439" s="343" t="s">
        <v>2233</v>
      </c>
      <c r="R439" s="343" t="s">
        <v>4</v>
      </c>
      <c r="S439" s="343"/>
      <c r="T439" s="343" t="s">
        <v>6470</v>
      </c>
    </row>
    <row r="440" spans="1:20" ht="22" customHeight="1">
      <c r="A440" s="343" t="s">
        <v>6208</v>
      </c>
      <c r="B440" s="343" t="s">
        <v>6170</v>
      </c>
      <c r="C440" s="350" t="s">
        <v>8685</v>
      </c>
      <c r="D440" s="343" t="s">
        <v>2909</v>
      </c>
      <c r="E440" s="344" t="s">
        <v>7999</v>
      </c>
      <c r="F440" s="344" t="s">
        <v>6806</v>
      </c>
      <c r="G440" s="344" t="s">
        <v>6807</v>
      </c>
      <c r="H440" s="345">
        <v>2</v>
      </c>
      <c r="I440" s="344" t="s">
        <v>2733</v>
      </c>
      <c r="J440" s="344" t="s">
        <v>7262</v>
      </c>
      <c r="K440" s="349" t="s">
        <v>8692</v>
      </c>
      <c r="L440" s="349" t="s">
        <v>8693</v>
      </c>
      <c r="M440" s="360" t="s">
        <v>8280</v>
      </c>
      <c r="N440" s="360" t="s">
        <v>8304</v>
      </c>
      <c r="O440" s="359" t="s">
        <v>8574</v>
      </c>
      <c r="P440" s="350" t="s">
        <v>8653</v>
      </c>
      <c r="Q440" s="343" t="s">
        <v>2233</v>
      </c>
      <c r="R440" s="343" t="s">
        <v>4</v>
      </c>
      <c r="S440" s="343"/>
      <c r="T440" s="343" t="s">
        <v>2733</v>
      </c>
    </row>
    <row r="441" spans="1:20" ht="22" customHeight="1">
      <c r="A441" s="343" t="s">
        <v>6209</v>
      </c>
      <c r="B441" s="343" t="s">
        <v>6170</v>
      </c>
      <c r="C441" s="350" t="s">
        <v>8685</v>
      </c>
      <c r="D441" s="343" t="s">
        <v>2909</v>
      </c>
      <c r="E441" s="344" t="s">
        <v>8000</v>
      </c>
      <c r="F441" s="344" t="s">
        <v>6808</v>
      </c>
      <c r="G441" s="344" t="s">
        <v>6809</v>
      </c>
      <c r="H441" s="345">
        <v>2</v>
      </c>
      <c r="I441" s="344" t="s">
        <v>2733</v>
      </c>
      <c r="J441" s="344" t="s">
        <v>7262</v>
      </c>
      <c r="K441" s="349" t="s">
        <v>8692</v>
      </c>
      <c r="L441" s="349" t="s">
        <v>8693</v>
      </c>
      <c r="M441" s="360" t="s">
        <v>8280</v>
      </c>
      <c r="N441" s="360" t="s">
        <v>8304</v>
      </c>
      <c r="O441" s="359" t="s">
        <v>8574</v>
      </c>
      <c r="P441" s="350" t="s">
        <v>8653</v>
      </c>
      <c r="Q441" s="343" t="s">
        <v>2233</v>
      </c>
      <c r="R441" s="343" t="s">
        <v>4</v>
      </c>
      <c r="S441" s="343"/>
      <c r="T441" s="343" t="s">
        <v>2733</v>
      </c>
    </row>
    <row r="442" spans="1:20" ht="22" customHeight="1">
      <c r="A442" s="343" t="s">
        <v>6210</v>
      </c>
      <c r="B442" s="343" t="s">
        <v>6170</v>
      </c>
      <c r="C442" s="350" t="s">
        <v>8685</v>
      </c>
      <c r="D442" s="343" t="s">
        <v>2909</v>
      </c>
      <c r="E442" s="344" t="s">
        <v>8001</v>
      </c>
      <c r="F442" s="344" t="s">
        <v>6810</v>
      </c>
      <c r="G442" s="344" t="s">
        <v>6811</v>
      </c>
      <c r="H442" s="345">
        <v>2</v>
      </c>
      <c r="I442" s="344" t="s">
        <v>2733</v>
      </c>
      <c r="J442" s="344" t="s">
        <v>7262</v>
      </c>
      <c r="K442" s="349" t="s">
        <v>8692</v>
      </c>
      <c r="L442" s="349" t="s">
        <v>8693</v>
      </c>
      <c r="M442" s="360" t="s">
        <v>8280</v>
      </c>
      <c r="N442" s="360" t="s">
        <v>8304</v>
      </c>
      <c r="O442" s="359" t="s">
        <v>8574</v>
      </c>
      <c r="P442" s="350" t="s">
        <v>8653</v>
      </c>
      <c r="Q442" s="343" t="s">
        <v>2233</v>
      </c>
      <c r="R442" s="343" t="s">
        <v>4</v>
      </c>
      <c r="S442" s="343"/>
      <c r="T442" s="343" t="s">
        <v>2733</v>
      </c>
    </row>
    <row r="443" spans="1:20" ht="22" customHeight="1">
      <c r="A443" s="343" t="s">
        <v>6211</v>
      </c>
      <c r="B443" s="343" t="s">
        <v>6170</v>
      </c>
      <c r="C443" s="350" t="s">
        <v>8685</v>
      </c>
      <c r="D443" s="343" t="s">
        <v>2909</v>
      </c>
      <c r="E443" s="344" t="s">
        <v>8002</v>
      </c>
      <c r="F443" s="344" t="s">
        <v>6812</v>
      </c>
      <c r="G443" s="344" t="s">
        <v>6813</v>
      </c>
      <c r="H443" s="345">
        <v>2</v>
      </c>
      <c r="I443" s="344" t="s">
        <v>2733</v>
      </c>
      <c r="J443" s="344" t="s">
        <v>7262</v>
      </c>
      <c r="K443" s="349" t="s">
        <v>8692</v>
      </c>
      <c r="L443" s="349" t="s">
        <v>8693</v>
      </c>
      <c r="M443" s="360" t="s">
        <v>8280</v>
      </c>
      <c r="N443" s="360" t="s">
        <v>8304</v>
      </c>
      <c r="O443" s="359" t="s">
        <v>8574</v>
      </c>
      <c r="P443" s="350" t="s">
        <v>8653</v>
      </c>
      <c r="Q443" s="343" t="s">
        <v>2233</v>
      </c>
      <c r="R443" s="343" t="s">
        <v>4</v>
      </c>
      <c r="S443" s="343"/>
      <c r="T443" s="343" t="s">
        <v>2733</v>
      </c>
    </row>
    <row r="444" spans="1:20" ht="22" customHeight="1">
      <c r="A444" s="343" t="s">
        <v>6212</v>
      </c>
      <c r="B444" s="343" t="s">
        <v>6170</v>
      </c>
      <c r="C444" s="350" t="s">
        <v>8685</v>
      </c>
      <c r="D444" s="343" t="s">
        <v>2909</v>
      </c>
      <c r="E444" s="344" t="s">
        <v>8003</v>
      </c>
      <c r="F444" s="344" t="s">
        <v>6814</v>
      </c>
      <c r="G444" s="344" t="s">
        <v>6815</v>
      </c>
      <c r="H444" s="345">
        <v>1</v>
      </c>
      <c r="I444" s="344" t="s">
        <v>2733</v>
      </c>
      <c r="J444" s="344" t="s">
        <v>7262</v>
      </c>
      <c r="K444" s="349" t="s">
        <v>8692</v>
      </c>
      <c r="L444" s="349" t="s">
        <v>8693</v>
      </c>
      <c r="M444" s="360" t="s">
        <v>8280</v>
      </c>
      <c r="N444" s="360" t="s">
        <v>8304</v>
      </c>
      <c r="O444" s="359" t="s">
        <v>8574</v>
      </c>
      <c r="P444" s="350" t="s">
        <v>8653</v>
      </c>
      <c r="Q444" s="343" t="s">
        <v>2233</v>
      </c>
      <c r="R444" s="343" t="s">
        <v>4</v>
      </c>
      <c r="S444" s="343"/>
      <c r="T444" s="343" t="s">
        <v>2733</v>
      </c>
    </row>
    <row r="445" spans="1:20" ht="22" customHeight="1">
      <c r="A445" s="343" t="s">
        <v>6213</v>
      </c>
      <c r="B445" s="343" t="s">
        <v>6170</v>
      </c>
      <c r="C445" s="350" t="s">
        <v>8685</v>
      </c>
      <c r="D445" s="343" t="s">
        <v>2909</v>
      </c>
      <c r="E445" s="344" t="s">
        <v>8004</v>
      </c>
      <c r="F445" s="344" t="s">
        <v>6816</v>
      </c>
      <c r="G445" s="344" t="s">
        <v>6817</v>
      </c>
      <c r="H445" s="345">
        <v>2</v>
      </c>
      <c r="I445" s="344" t="s">
        <v>2733</v>
      </c>
      <c r="J445" s="344" t="s">
        <v>7262</v>
      </c>
      <c r="K445" s="349" t="s">
        <v>8692</v>
      </c>
      <c r="L445" s="349" t="s">
        <v>8693</v>
      </c>
      <c r="M445" s="360" t="s">
        <v>8280</v>
      </c>
      <c r="N445" s="360" t="s">
        <v>8304</v>
      </c>
      <c r="O445" s="359" t="s">
        <v>8574</v>
      </c>
      <c r="P445" s="350" t="s">
        <v>8653</v>
      </c>
      <c r="Q445" s="343" t="s">
        <v>2233</v>
      </c>
      <c r="R445" s="343" t="s">
        <v>4</v>
      </c>
      <c r="S445" s="343"/>
      <c r="T445" s="343" t="s">
        <v>2733</v>
      </c>
    </row>
    <row r="446" spans="1:20" ht="22" customHeight="1">
      <c r="A446" s="343" t="s">
        <v>6214</v>
      </c>
      <c r="B446" s="343" t="s">
        <v>6170</v>
      </c>
      <c r="C446" s="350" t="s">
        <v>8685</v>
      </c>
      <c r="D446" s="343" t="s">
        <v>2909</v>
      </c>
      <c r="E446" s="344" t="s">
        <v>8005</v>
      </c>
      <c r="F446" s="344" t="s">
        <v>6818</v>
      </c>
      <c r="G446" s="344" t="s">
        <v>6819</v>
      </c>
      <c r="H446" s="345">
        <v>3</v>
      </c>
      <c r="I446" s="344" t="s">
        <v>2733</v>
      </c>
      <c r="J446" s="344" t="s">
        <v>7262</v>
      </c>
      <c r="K446" s="349" t="s">
        <v>8692</v>
      </c>
      <c r="L446" s="349" t="s">
        <v>8693</v>
      </c>
      <c r="M446" s="360" t="s">
        <v>8280</v>
      </c>
      <c r="N446" s="360" t="s">
        <v>8304</v>
      </c>
      <c r="O446" s="359" t="s">
        <v>8574</v>
      </c>
      <c r="P446" s="350" t="s">
        <v>8653</v>
      </c>
      <c r="Q446" s="343" t="s">
        <v>2233</v>
      </c>
      <c r="R446" s="343" t="s">
        <v>4</v>
      </c>
      <c r="S446" s="343"/>
      <c r="T446" s="343" t="s">
        <v>2733</v>
      </c>
    </row>
    <row r="447" spans="1:20" ht="22" customHeight="1">
      <c r="A447" s="343" t="s">
        <v>6215</v>
      </c>
      <c r="B447" s="343" t="s">
        <v>6170</v>
      </c>
      <c r="C447" s="350" t="s">
        <v>8685</v>
      </c>
      <c r="D447" s="343" t="s">
        <v>2909</v>
      </c>
      <c r="E447" s="344" t="s">
        <v>8006</v>
      </c>
      <c r="F447" s="344" t="s">
        <v>6820</v>
      </c>
      <c r="G447" s="344" t="s">
        <v>6821</v>
      </c>
      <c r="H447" s="345">
        <v>1</v>
      </c>
      <c r="I447" s="344" t="s">
        <v>2733</v>
      </c>
      <c r="J447" s="344" t="s">
        <v>7262</v>
      </c>
      <c r="K447" s="349" t="s">
        <v>8692</v>
      </c>
      <c r="L447" s="349" t="s">
        <v>8693</v>
      </c>
      <c r="M447" s="360" t="s">
        <v>8280</v>
      </c>
      <c r="N447" s="360" t="s">
        <v>8304</v>
      </c>
      <c r="O447" s="359" t="s">
        <v>8574</v>
      </c>
      <c r="P447" s="350" t="s">
        <v>8653</v>
      </c>
      <c r="Q447" s="343" t="s">
        <v>2233</v>
      </c>
      <c r="R447" s="343" t="s">
        <v>4</v>
      </c>
      <c r="S447" s="343"/>
      <c r="T447" s="343" t="s">
        <v>2733</v>
      </c>
    </row>
    <row r="448" spans="1:20" ht="22" customHeight="1">
      <c r="A448" s="343" t="s">
        <v>6216</v>
      </c>
      <c r="B448" s="343" t="s">
        <v>6170</v>
      </c>
      <c r="C448" s="350" t="s">
        <v>8685</v>
      </c>
      <c r="D448" s="343" t="s">
        <v>2909</v>
      </c>
      <c r="E448" s="344" t="s">
        <v>8007</v>
      </c>
      <c r="F448" s="344" t="s">
        <v>6822</v>
      </c>
      <c r="G448" s="344" t="s">
        <v>6823</v>
      </c>
      <c r="H448" s="345">
        <v>1</v>
      </c>
      <c r="I448" s="344" t="s">
        <v>2733</v>
      </c>
      <c r="J448" s="344" t="s">
        <v>7262</v>
      </c>
      <c r="K448" s="349" t="s">
        <v>8692</v>
      </c>
      <c r="L448" s="349" t="s">
        <v>8693</v>
      </c>
      <c r="M448" s="360" t="s">
        <v>8280</v>
      </c>
      <c r="N448" s="360" t="s">
        <v>8304</v>
      </c>
      <c r="O448" s="359" t="s">
        <v>8574</v>
      </c>
      <c r="P448" s="350" t="s">
        <v>8653</v>
      </c>
      <c r="Q448" s="343" t="s">
        <v>2233</v>
      </c>
      <c r="R448" s="343" t="s">
        <v>4</v>
      </c>
      <c r="S448" s="343"/>
      <c r="T448" s="343" t="s">
        <v>2733</v>
      </c>
    </row>
    <row r="449" spans="1:20" ht="22" customHeight="1">
      <c r="A449" s="343" t="s">
        <v>6217</v>
      </c>
      <c r="B449" s="343" t="s">
        <v>6170</v>
      </c>
      <c r="C449" s="350" t="s">
        <v>8685</v>
      </c>
      <c r="D449" s="343" t="s">
        <v>2909</v>
      </c>
      <c r="E449" s="344" t="s">
        <v>8008</v>
      </c>
      <c r="F449" s="344" t="s">
        <v>6824</v>
      </c>
      <c r="G449" s="344" t="s">
        <v>6825</v>
      </c>
      <c r="H449" s="345">
        <v>1</v>
      </c>
      <c r="I449" s="344" t="s">
        <v>2733</v>
      </c>
      <c r="J449" s="344" t="s">
        <v>7262</v>
      </c>
      <c r="K449" s="349" t="s">
        <v>8692</v>
      </c>
      <c r="L449" s="349" t="s">
        <v>8693</v>
      </c>
      <c r="M449" s="360" t="s">
        <v>8280</v>
      </c>
      <c r="N449" s="360" t="s">
        <v>8304</v>
      </c>
      <c r="O449" s="359" t="s">
        <v>8574</v>
      </c>
      <c r="P449" s="350" t="s">
        <v>8653</v>
      </c>
      <c r="Q449" s="343" t="s">
        <v>2233</v>
      </c>
      <c r="R449" s="343" t="s">
        <v>4</v>
      </c>
      <c r="S449" s="343"/>
      <c r="T449" s="343" t="s">
        <v>2733</v>
      </c>
    </row>
    <row r="450" spans="1:20" ht="22" customHeight="1">
      <c r="A450" s="343" t="s">
        <v>6218</v>
      </c>
      <c r="B450" s="343" t="s">
        <v>6170</v>
      </c>
      <c r="C450" s="350" t="s">
        <v>8685</v>
      </c>
      <c r="D450" s="343" t="s">
        <v>2909</v>
      </c>
      <c r="E450" s="344" t="s">
        <v>8009</v>
      </c>
      <c r="F450" s="344" t="s">
        <v>6826</v>
      </c>
      <c r="G450" s="344" t="s">
        <v>6827</v>
      </c>
      <c r="H450" s="345">
        <v>2</v>
      </c>
      <c r="I450" s="344" t="s">
        <v>2733</v>
      </c>
      <c r="J450" s="344" t="s">
        <v>7262</v>
      </c>
      <c r="K450" s="349" t="s">
        <v>8692</v>
      </c>
      <c r="L450" s="349" t="s">
        <v>8693</v>
      </c>
      <c r="M450" s="360" t="s">
        <v>8280</v>
      </c>
      <c r="N450" s="360" t="s">
        <v>8304</v>
      </c>
      <c r="O450" s="359" t="s">
        <v>8574</v>
      </c>
      <c r="P450" s="350" t="s">
        <v>8653</v>
      </c>
      <c r="Q450" s="343" t="s">
        <v>2233</v>
      </c>
      <c r="R450" s="343" t="s">
        <v>4</v>
      </c>
      <c r="S450" s="343"/>
      <c r="T450" s="343" t="s">
        <v>2733</v>
      </c>
    </row>
    <row r="451" spans="1:20" ht="22" customHeight="1">
      <c r="A451" s="343" t="s">
        <v>6219</v>
      </c>
      <c r="B451" s="343" t="s">
        <v>6170</v>
      </c>
      <c r="C451" s="350" t="s">
        <v>8685</v>
      </c>
      <c r="D451" s="343" t="s">
        <v>2909</v>
      </c>
      <c r="E451" s="344" t="s">
        <v>8010</v>
      </c>
      <c r="F451" s="344" t="s">
        <v>6828</v>
      </c>
      <c r="G451" s="344" t="s">
        <v>6829</v>
      </c>
      <c r="H451" s="345">
        <v>1</v>
      </c>
      <c r="I451" s="344" t="s">
        <v>2733</v>
      </c>
      <c r="J451" s="344" t="s">
        <v>7262</v>
      </c>
      <c r="K451" s="349" t="s">
        <v>8692</v>
      </c>
      <c r="L451" s="349" t="s">
        <v>8693</v>
      </c>
      <c r="M451" s="360" t="s">
        <v>8280</v>
      </c>
      <c r="N451" s="360" t="s">
        <v>8304</v>
      </c>
      <c r="O451" s="359" t="s">
        <v>8574</v>
      </c>
      <c r="P451" s="350" t="s">
        <v>8653</v>
      </c>
      <c r="Q451" s="343" t="s">
        <v>2233</v>
      </c>
      <c r="R451" s="343" t="s">
        <v>4</v>
      </c>
      <c r="S451" s="343"/>
      <c r="T451" s="343" t="s">
        <v>2733</v>
      </c>
    </row>
    <row r="452" spans="1:20" ht="22" customHeight="1">
      <c r="A452" s="343" t="s">
        <v>6220</v>
      </c>
      <c r="B452" s="343" t="s">
        <v>6170</v>
      </c>
      <c r="C452" s="350" t="s">
        <v>8685</v>
      </c>
      <c r="D452" s="343" t="s">
        <v>2909</v>
      </c>
      <c r="E452" s="344" t="s">
        <v>8011</v>
      </c>
      <c r="F452" s="344" t="s">
        <v>6830</v>
      </c>
      <c r="G452" s="344" t="s">
        <v>6831</v>
      </c>
      <c r="H452" s="345">
        <v>1</v>
      </c>
      <c r="I452" s="344" t="s">
        <v>2733</v>
      </c>
      <c r="J452" s="344" t="s">
        <v>7262</v>
      </c>
      <c r="K452" s="349" t="s">
        <v>8692</v>
      </c>
      <c r="L452" s="349" t="s">
        <v>8693</v>
      </c>
      <c r="M452" s="360" t="s">
        <v>8280</v>
      </c>
      <c r="N452" s="360" t="s">
        <v>8304</v>
      </c>
      <c r="O452" s="359" t="s">
        <v>8574</v>
      </c>
      <c r="P452" s="350" t="s">
        <v>8653</v>
      </c>
      <c r="Q452" s="343" t="s">
        <v>2233</v>
      </c>
      <c r="R452" s="343" t="s">
        <v>4</v>
      </c>
      <c r="S452" s="343"/>
      <c r="T452" s="343" t="s">
        <v>2733</v>
      </c>
    </row>
    <row r="453" spans="1:20" ht="22" customHeight="1">
      <c r="A453" s="343" t="s">
        <v>6221</v>
      </c>
      <c r="B453" s="343" t="s">
        <v>6170</v>
      </c>
      <c r="C453" s="350" t="s">
        <v>8685</v>
      </c>
      <c r="D453" s="343" t="s">
        <v>2909</v>
      </c>
      <c r="E453" s="344" t="s">
        <v>8012</v>
      </c>
      <c r="F453" s="344" t="s">
        <v>6832</v>
      </c>
      <c r="G453" s="344" t="s">
        <v>6833</v>
      </c>
      <c r="H453" s="345">
        <v>1</v>
      </c>
      <c r="I453" s="344" t="s">
        <v>2733</v>
      </c>
      <c r="J453" s="344" t="s">
        <v>7262</v>
      </c>
      <c r="K453" s="349" t="s">
        <v>8692</v>
      </c>
      <c r="L453" s="349" t="s">
        <v>8693</v>
      </c>
      <c r="M453" s="360" t="s">
        <v>8280</v>
      </c>
      <c r="N453" s="360" t="s">
        <v>8304</v>
      </c>
      <c r="O453" s="359" t="s">
        <v>8574</v>
      </c>
      <c r="P453" s="350" t="s">
        <v>8653</v>
      </c>
      <c r="Q453" s="343" t="s">
        <v>2233</v>
      </c>
      <c r="R453" s="343" t="s">
        <v>4</v>
      </c>
      <c r="S453" s="343"/>
      <c r="T453" s="343" t="s">
        <v>2733</v>
      </c>
    </row>
    <row r="454" spans="1:20" ht="22" customHeight="1">
      <c r="A454" s="343" t="s">
        <v>6222</v>
      </c>
      <c r="B454" s="343" t="s">
        <v>6170</v>
      </c>
      <c r="C454" s="350" t="s">
        <v>8685</v>
      </c>
      <c r="D454" s="343" t="s">
        <v>2909</v>
      </c>
      <c r="E454" s="344" t="s">
        <v>6223</v>
      </c>
      <c r="F454" s="344" t="s">
        <v>6834</v>
      </c>
      <c r="G454" s="344" t="s">
        <v>6835</v>
      </c>
      <c r="H454" s="345">
        <v>3</v>
      </c>
      <c r="I454" s="344" t="s">
        <v>2733</v>
      </c>
      <c r="J454" s="344" t="s">
        <v>7262</v>
      </c>
      <c r="K454" s="349" t="s">
        <v>8692</v>
      </c>
      <c r="L454" s="349" t="s">
        <v>8693</v>
      </c>
      <c r="M454" s="360" t="s">
        <v>8280</v>
      </c>
      <c r="N454" s="360" t="s">
        <v>8304</v>
      </c>
      <c r="O454" s="359" t="s">
        <v>8574</v>
      </c>
      <c r="P454" s="350" t="s">
        <v>8653</v>
      </c>
      <c r="Q454" s="343" t="s">
        <v>2233</v>
      </c>
      <c r="R454" s="343" t="s">
        <v>4</v>
      </c>
      <c r="S454" s="343"/>
      <c r="T454" s="343" t="s">
        <v>2733</v>
      </c>
    </row>
    <row r="455" spans="1:20" ht="22" customHeight="1">
      <c r="A455" s="343" t="s">
        <v>6224</v>
      </c>
      <c r="B455" s="343" t="s">
        <v>6170</v>
      </c>
      <c r="C455" s="350" t="s">
        <v>8685</v>
      </c>
      <c r="D455" s="343" t="s">
        <v>2909</v>
      </c>
      <c r="E455" s="344" t="s">
        <v>6225</v>
      </c>
      <c r="F455" s="344" t="s">
        <v>6836</v>
      </c>
      <c r="G455" s="344" t="s">
        <v>6837</v>
      </c>
      <c r="H455" s="345">
        <v>3</v>
      </c>
      <c r="I455" s="344" t="s">
        <v>2733</v>
      </c>
      <c r="J455" s="344" t="s">
        <v>7262</v>
      </c>
      <c r="K455" s="349" t="s">
        <v>8692</v>
      </c>
      <c r="L455" s="349" t="s">
        <v>8693</v>
      </c>
      <c r="M455" s="360" t="s">
        <v>8280</v>
      </c>
      <c r="N455" s="344" t="s">
        <v>8304</v>
      </c>
      <c r="O455" s="360" t="s">
        <v>8574</v>
      </c>
      <c r="P455" s="350" t="s">
        <v>8653</v>
      </c>
      <c r="Q455" s="343" t="s">
        <v>2233</v>
      </c>
      <c r="R455" s="343" t="s">
        <v>4</v>
      </c>
      <c r="S455" s="343"/>
      <c r="T455" s="343" t="s">
        <v>2733</v>
      </c>
    </row>
    <row r="456" spans="1:20" ht="22" customHeight="1">
      <c r="A456" s="343" t="s">
        <v>6226</v>
      </c>
      <c r="B456" s="343" t="s">
        <v>6170</v>
      </c>
      <c r="C456" s="350" t="s">
        <v>8685</v>
      </c>
      <c r="D456" s="343" t="s">
        <v>2909</v>
      </c>
      <c r="E456" s="344" t="s">
        <v>6227</v>
      </c>
      <c r="F456" s="344" t="s">
        <v>6838</v>
      </c>
      <c r="G456" s="344" t="s">
        <v>6839</v>
      </c>
      <c r="H456" s="345">
        <v>3</v>
      </c>
      <c r="I456" s="344" t="s">
        <v>2733</v>
      </c>
      <c r="J456" s="344" t="s">
        <v>7262</v>
      </c>
      <c r="K456" s="349" t="s">
        <v>8692</v>
      </c>
      <c r="L456" s="349" t="s">
        <v>8693</v>
      </c>
      <c r="M456" s="360" t="s">
        <v>8280</v>
      </c>
      <c r="N456" s="344" t="s">
        <v>8304</v>
      </c>
      <c r="O456" s="360" t="s">
        <v>8574</v>
      </c>
      <c r="P456" s="350" t="s">
        <v>8653</v>
      </c>
      <c r="Q456" s="343" t="s">
        <v>2233</v>
      </c>
      <c r="R456" s="343" t="s">
        <v>4</v>
      </c>
      <c r="S456" s="343"/>
      <c r="T456" s="343" t="s">
        <v>2733</v>
      </c>
    </row>
  </sheetData>
  <phoneticPr fontId="3"/>
  <conditionalFormatting sqref="C7:C456">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56">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56">
    <cfRule type="expression" dxfId="45" priority="2">
      <formula>LEFT($O7,3)="対象外"</formula>
    </cfRule>
    <cfRule type="expression" dxfId="44" priority="3">
      <formula>$O7="対象"</formula>
    </cfRule>
  </conditionalFormatting>
  <conditionalFormatting sqref="P7:P456">
    <cfRule type="expression" dxfId="43" priority="15">
      <formula>$P7="当初あり"</formula>
    </cfRule>
    <cfRule type="expression" dxfId="42" priority="16">
      <formula>LEFT($P7,2)="新規"</formula>
    </cfRule>
  </conditionalFormatting>
  <conditionalFormatting sqref="T7:T456">
    <cfRule type="expression" dxfId="41" priority="17">
      <formula>LEFT($T7,2)="F-"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6" t="s">
        <v>8229</v>
      </c>
      <c r="B1" s="377"/>
      <c r="C1" s="377"/>
      <c r="D1" s="377"/>
      <c r="E1" s="377"/>
      <c r="F1" s="377"/>
      <c r="G1" s="376" t="s">
        <v>8709</v>
      </c>
      <c r="H1" s="377">
        <f>SUM('WBS(基本設計)'!$H$7:$H$456)</f>
        <v>743.25</v>
      </c>
      <c r="I1" s="377"/>
      <c r="J1" s="377"/>
      <c r="K1" s="377"/>
      <c r="L1" s="377"/>
      <c r="M1" s="377"/>
      <c r="N1" s="377"/>
      <c r="O1" s="377"/>
      <c r="P1" s="377"/>
      <c r="Q1" s="377"/>
      <c r="R1" s="377"/>
      <c r="S1" s="377"/>
      <c r="T1" s="377"/>
      <c r="U1" s="377"/>
    </row>
    <row r="2" spans="1:21">
      <c r="A2" s="352" t="s">
        <v>6073</v>
      </c>
      <c r="B2" s="377"/>
      <c r="C2" s="377"/>
      <c r="D2" s="377"/>
      <c r="E2" s="377"/>
      <c r="F2" s="377"/>
      <c r="G2" s="376" t="s">
        <v>8710</v>
      </c>
      <c r="H2" s="377">
        <f>SUM($U$6:$U$222)</f>
        <v>1216.4000000000003</v>
      </c>
      <c r="I2" s="377"/>
      <c r="J2" s="377"/>
      <c r="K2" s="377"/>
      <c r="L2" s="377"/>
      <c r="M2" s="377"/>
      <c r="N2" s="377"/>
      <c r="O2" s="377"/>
      <c r="P2" s="377"/>
      <c r="Q2" s="377"/>
      <c r="R2" s="377"/>
      <c r="S2" s="377"/>
      <c r="T2" s="377"/>
      <c r="U2" s="377"/>
    </row>
    <row r="3" spans="1:21">
      <c r="A3" s="363" t="s">
        <v>8230</v>
      </c>
      <c r="B3" s="377"/>
      <c r="C3" s="377"/>
      <c r="D3" s="377"/>
      <c r="E3" s="377"/>
      <c r="F3" s="377"/>
      <c r="G3" s="376" t="s">
        <v>8711</v>
      </c>
      <c r="H3" s="377">
        <f>SUM('WBS(テスト)'!$E$6:$E$59)</f>
        <v>429</v>
      </c>
      <c r="I3" s="377"/>
      <c r="J3" s="377"/>
      <c r="K3" s="377"/>
      <c r="L3" s="377"/>
      <c r="M3" s="377"/>
      <c r="N3" s="377"/>
      <c r="O3" s="377"/>
      <c r="P3" s="377"/>
      <c r="Q3" s="377"/>
      <c r="R3" s="377"/>
      <c r="S3" s="377"/>
      <c r="T3" s="377"/>
      <c r="U3" s="377"/>
    </row>
    <row r="4" spans="1:21">
      <c r="A4" s="351" t="s">
        <v>8713</v>
      </c>
      <c r="B4" s="377"/>
      <c r="C4" s="377"/>
      <c r="D4" s="377"/>
      <c r="E4" s="377"/>
      <c r="F4" s="377"/>
      <c r="G4" s="376" t="s">
        <v>8712</v>
      </c>
      <c r="H4" s="377">
        <f>SUM(H1:H3)/20</f>
        <v>119.43250000000003</v>
      </c>
      <c r="I4" s="377"/>
      <c r="J4" s="377"/>
      <c r="K4" s="377"/>
      <c r="L4" s="377"/>
      <c r="M4" s="377"/>
      <c r="N4" s="377"/>
      <c r="O4" s="377"/>
      <c r="P4" s="377"/>
      <c r="Q4" s="377"/>
      <c r="R4" s="377"/>
      <c r="S4" s="377"/>
      <c r="T4" s="377"/>
      <c r="U4" s="377"/>
    </row>
    <row r="5" spans="1:21" ht="26" customHeight="1">
      <c r="A5" s="342" t="s">
        <v>3570</v>
      </c>
      <c r="B5" s="342" t="s">
        <v>3476</v>
      </c>
      <c r="C5" s="342" t="s">
        <v>8013</v>
      </c>
      <c r="D5" s="342" t="s">
        <v>8014</v>
      </c>
      <c r="E5" s="342" t="s">
        <v>8015</v>
      </c>
      <c r="F5" s="407" t="s">
        <v>3571</v>
      </c>
      <c r="G5" s="342" t="s">
        <v>7784</v>
      </c>
      <c r="H5" s="342" t="s">
        <v>7259</v>
      </c>
      <c r="I5" s="342" t="s">
        <v>8016</v>
      </c>
      <c r="J5" s="342" t="s">
        <v>8017</v>
      </c>
      <c r="K5" s="342" t="s">
        <v>2438</v>
      </c>
      <c r="L5" s="342" t="s">
        <v>8018</v>
      </c>
      <c r="M5" s="342" t="s">
        <v>2440</v>
      </c>
      <c r="N5" s="342" t="s">
        <v>2441</v>
      </c>
      <c r="O5" s="342" t="s">
        <v>1549</v>
      </c>
      <c r="P5" s="342" t="s">
        <v>8019</v>
      </c>
      <c r="Q5" s="342" t="s">
        <v>2735</v>
      </c>
      <c r="R5" s="342" t="s">
        <v>8697</v>
      </c>
      <c r="S5" s="342" t="s">
        <v>8699</v>
      </c>
      <c r="T5" s="342" t="s">
        <v>8647</v>
      </c>
      <c r="U5" s="342" t="s">
        <v>8708</v>
      </c>
    </row>
    <row r="6" spans="1:21" ht="19" customHeight="1">
      <c r="A6" s="349" t="s">
        <v>2522</v>
      </c>
      <c r="B6" s="349" t="s">
        <v>5860</v>
      </c>
      <c r="C6" s="343" t="s">
        <v>8262</v>
      </c>
      <c r="D6" s="344" t="s">
        <v>8232</v>
      </c>
      <c r="E6" s="344" t="s">
        <v>8020</v>
      </c>
      <c r="F6" s="358">
        <v>3</v>
      </c>
      <c r="G6" s="360" t="s">
        <v>6229</v>
      </c>
      <c r="H6" s="360" t="s">
        <v>7262</v>
      </c>
      <c r="I6" s="344"/>
      <c r="J6" s="344"/>
      <c r="K6" s="343"/>
      <c r="L6" s="343"/>
      <c r="M6" s="343" t="s">
        <v>4</v>
      </c>
      <c r="N6" s="343" t="s">
        <v>8021</v>
      </c>
      <c r="O6" s="343" t="s">
        <v>8022</v>
      </c>
      <c r="P6" s="343"/>
      <c r="Q6" s="405" t="s">
        <v>8574</v>
      </c>
      <c r="R6" s="405" t="s">
        <v>8691</v>
      </c>
      <c r="S6" s="405" t="s">
        <v>8691</v>
      </c>
      <c r="T6" s="405" t="s">
        <v>8650</v>
      </c>
      <c r="U6" s="406">
        <f>IF($A6="③ 構築（DU）",$F6*0.6,$F6)</f>
        <v>3</v>
      </c>
    </row>
    <row r="7" spans="1:21" ht="19" customHeight="1">
      <c r="A7" s="349" t="s">
        <v>2522</v>
      </c>
      <c r="B7" s="349" t="s">
        <v>5861</v>
      </c>
      <c r="C7" s="343" t="s">
        <v>8262</v>
      </c>
      <c r="D7" s="344" t="s">
        <v>8233</v>
      </c>
      <c r="E7" s="344" t="s">
        <v>8023</v>
      </c>
      <c r="F7" s="358">
        <v>3</v>
      </c>
      <c r="G7" s="360" t="s">
        <v>6229</v>
      </c>
      <c r="H7" s="360" t="s">
        <v>7262</v>
      </c>
      <c r="I7" s="344"/>
      <c r="J7" s="344"/>
      <c r="K7" s="343"/>
      <c r="L7" s="343"/>
      <c r="M7" s="343" t="s">
        <v>4</v>
      </c>
      <c r="N7" s="343" t="s">
        <v>8021</v>
      </c>
      <c r="O7" s="343" t="s">
        <v>8022</v>
      </c>
      <c r="P7" s="343"/>
      <c r="Q7" s="405" t="s">
        <v>8574</v>
      </c>
      <c r="R7" s="405" t="s">
        <v>8691</v>
      </c>
      <c r="S7" s="405" t="s">
        <v>8691</v>
      </c>
      <c r="T7" s="405" t="s">
        <v>8650</v>
      </c>
      <c r="U7" s="406">
        <f t="shared" ref="U7:U70" si="0">IF($A7="③ 構築（DU）",$F7*0.6,$F7)</f>
        <v>3</v>
      </c>
    </row>
    <row r="8" spans="1:21" ht="19" customHeight="1">
      <c r="A8" s="349" t="s">
        <v>2522</v>
      </c>
      <c r="B8" s="349" t="s">
        <v>5862</v>
      </c>
      <c r="C8" s="343" t="s">
        <v>8262</v>
      </c>
      <c r="D8" s="344" t="s">
        <v>8234</v>
      </c>
      <c r="E8" s="344" t="s">
        <v>8024</v>
      </c>
      <c r="F8" s="358">
        <v>3</v>
      </c>
      <c r="G8" s="360" t="s">
        <v>6229</v>
      </c>
      <c r="H8" s="360" t="s">
        <v>7262</v>
      </c>
      <c r="I8" s="344"/>
      <c r="J8" s="344"/>
      <c r="K8" s="343"/>
      <c r="L8" s="343"/>
      <c r="M8" s="343" t="s">
        <v>4</v>
      </c>
      <c r="N8" s="343" t="s">
        <v>8021</v>
      </c>
      <c r="O8" s="343" t="s">
        <v>8022</v>
      </c>
      <c r="P8" s="343"/>
      <c r="Q8" s="405" t="s">
        <v>8574</v>
      </c>
      <c r="R8" s="405" t="s">
        <v>8691</v>
      </c>
      <c r="S8" s="405" t="s">
        <v>8691</v>
      </c>
      <c r="T8" s="405" t="s">
        <v>8650</v>
      </c>
      <c r="U8" s="406">
        <f t="shared" si="0"/>
        <v>3</v>
      </c>
    </row>
    <row r="9" spans="1:21" ht="19" customHeight="1">
      <c r="A9" s="349" t="s">
        <v>2522</v>
      </c>
      <c r="B9" s="349" t="s">
        <v>5863</v>
      </c>
      <c r="C9" s="343" t="s">
        <v>8262</v>
      </c>
      <c r="D9" s="344" t="s">
        <v>8235</v>
      </c>
      <c r="E9" s="344" t="s">
        <v>8025</v>
      </c>
      <c r="F9" s="358">
        <v>3</v>
      </c>
      <c r="G9" s="360" t="s">
        <v>6229</v>
      </c>
      <c r="H9" s="360" t="s">
        <v>7262</v>
      </c>
      <c r="I9" s="344"/>
      <c r="J9" s="344"/>
      <c r="K9" s="343"/>
      <c r="L9" s="343"/>
      <c r="M9" s="343" t="s">
        <v>4</v>
      </c>
      <c r="N9" s="343" t="s">
        <v>8021</v>
      </c>
      <c r="O9" s="343" t="s">
        <v>8022</v>
      </c>
      <c r="P9" s="343"/>
      <c r="Q9" s="405" t="s">
        <v>8574</v>
      </c>
      <c r="R9" s="405" t="s">
        <v>8691</v>
      </c>
      <c r="S9" s="405" t="s">
        <v>8691</v>
      </c>
      <c r="T9" s="405" t="s">
        <v>8650</v>
      </c>
      <c r="U9" s="406">
        <f t="shared" si="0"/>
        <v>3</v>
      </c>
    </row>
    <row r="10" spans="1:21" ht="19" customHeight="1">
      <c r="A10" s="349" t="s">
        <v>2522</v>
      </c>
      <c r="B10" s="349" t="s">
        <v>5864</v>
      </c>
      <c r="C10" s="343" t="s">
        <v>8262</v>
      </c>
      <c r="D10" s="344" t="s">
        <v>8236</v>
      </c>
      <c r="E10" s="344" t="s">
        <v>8026</v>
      </c>
      <c r="F10" s="358">
        <v>3</v>
      </c>
      <c r="G10" s="360" t="s">
        <v>6229</v>
      </c>
      <c r="H10" s="360" t="s">
        <v>7262</v>
      </c>
      <c r="I10" s="344"/>
      <c r="J10" s="344"/>
      <c r="K10" s="343"/>
      <c r="L10" s="343"/>
      <c r="M10" s="343" t="s">
        <v>4</v>
      </c>
      <c r="N10" s="343" t="s">
        <v>8021</v>
      </c>
      <c r="O10" s="343" t="s">
        <v>8022</v>
      </c>
      <c r="P10" s="343"/>
      <c r="Q10" s="405" t="s">
        <v>8574</v>
      </c>
      <c r="R10" s="405" t="s">
        <v>8691</v>
      </c>
      <c r="S10" s="405" t="s">
        <v>8691</v>
      </c>
      <c r="T10" s="405" t="s">
        <v>8650</v>
      </c>
      <c r="U10" s="406">
        <f t="shared" si="0"/>
        <v>3</v>
      </c>
    </row>
    <row r="11" spans="1:21" ht="19" customHeight="1">
      <c r="A11" s="349" t="s">
        <v>2522</v>
      </c>
      <c r="B11" s="349" t="s">
        <v>5865</v>
      </c>
      <c r="C11" s="343" t="s">
        <v>8262</v>
      </c>
      <c r="D11" s="344" t="s">
        <v>8237</v>
      </c>
      <c r="E11" s="344" t="s">
        <v>8027</v>
      </c>
      <c r="F11" s="358">
        <v>2</v>
      </c>
      <c r="G11" s="360" t="s">
        <v>6229</v>
      </c>
      <c r="H11" s="360" t="s">
        <v>7262</v>
      </c>
      <c r="I11" s="344"/>
      <c r="J11" s="344"/>
      <c r="K11" s="343"/>
      <c r="L11" s="343"/>
      <c r="M11" s="343" t="s">
        <v>4</v>
      </c>
      <c r="N11" s="343" t="s">
        <v>8021</v>
      </c>
      <c r="O11" s="343" t="s">
        <v>8022</v>
      </c>
      <c r="P11" s="343"/>
      <c r="Q11" s="405" t="s">
        <v>8574</v>
      </c>
      <c r="R11" s="405" t="s">
        <v>8691</v>
      </c>
      <c r="S11" s="405" t="s">
        <v>8691</v>
      </c>
      <c r="T11" s="405" t="s">
        <v>8650</v>
      </c>
      <c r="U11" s="406">
        <f t="shared" si="0"/>
        <v>2</v>
      </c>
    </row>
    <row r="12" spans="1:21" ht="19" customHeight="1">
      <c r="A12" s="349" t="s">
        <v>2522</v>
      </c>
      <c r="B12" s="349" t="s">
        <v>5866</v>
      </c>
      <c r="C12" s="343" t="s">
        <v>8262</v>
      </c>
      <c r="D12" s="344" t="s">
        <v>8238</v>
      </c>
      <c r="E12" s="344" t="s">
        <v>8028</v>
      </c>
      <c r="F12" s="358">
        <v>4</v>
      </c>
      <c r="G12" s="360" t="s">
        <v>6229</v>
      </c>
      <c r="H12" s="360" t="s">
        <v>7262</v>
      </c>
      <c r="I12" s="344"/>
      <c r="J12" s="344"/>
      <c r="K12" s="343"/>
      <c r="L12" s="343"/>
      <c r="M12" s="343" t="s">
        <v>4</v>
      </c>
      <c r="N12" s="343" t="s">
        <v>8021</v>
      </c>
      <c r="O12" s="343" t="s">
        <v>8022</v>
      </c>
      <c r="P12" s="343"/>
      <c r="Q12" s="405" t="s">
        <v>8574</v>
      </c>
      <c r="R12" s="405" t="s">
        <v>8691</v>
      </c>
      <c r="S12" s="405" t="s">
        <v>8691</v>
      </c>
      <c r="T12" s="405" t="s">
        <v>8650</v>
      </c>
      <c r="U12" s="406">
        <f t="shared" si="0"/>
        <v>4</v>
      </c>
    </row>
    <row r="13" spans="1:21" ht="19" customHeight="1">
      <c r="A13" s="349" t="s">
        <v>2522</v>
      </c>
      <c r="B13" s="349" t="s">
        <v>5867</v>
      </c>
      <c r="C13" s="343" t="s">
        <v>8262</v>
      </c>
      <c r="D13" s="344" t="s">
        <v>8239</v>
      </c>
      <c r="E13" s="344" t="s">
        <v>8029</v>
      </c>
      <c r="F13" s="358">
        <v>2</v>
      </c>
      <c r="G13" s="360" t="s">
        <v>6229</v>
      </c>
      <c r="H13" s="360" t="s">
        <v>7262</v>
      </c>
      <c r="I13" s="344"/>
      <c r="J13" s="344"/>
      <c r="K13" s="343"/>
      <c r="L13" s="343"/>
      <c r="M13" s="343" t="s">
        <v>4</v>
      </c>
      <c r="N13" s="343" t="s">
        <v>8021</v>
      </c>
      <c r="O13" s="343" t="s">
        <v>8022</v>
      </c>
      <c r="P13" s="343"/>
      <c r="Q13" s="405" t="s">
        <v>8574</v>
      </c>
      <c r="R13" s="405" t="s">
        <v>8691</v>
      </c>
      <c r="S13" s="405" t="s">
        <v>8691</v>
      </c>
      <c r="T13" s="405" t="s">
        <v>8650</v>
      </c>
      <c r="U13" s="406">
        <f t="shared" si="0"/>
        <v>2</v>
      </c>
    </row>
    <row r="14" spans="1:21" ht="19" customHeight="1">
      <c r="A14" s="349" t="s">
        <v>2522</v>
      </c>
      <c r="B14" s="349" t="s">
        <v>5868</v>
      </c>
      <c r="C14" s="343" t="s">
        <v>8262</v>
      </c>
      <c r="D14" s="344" t="s">
        <v>8240</v>
      </c>
      <c r="E14" s="344" t="s">
        <v>8030</v>
      </c>
      <c r="F14" s="358">
        <v>2</v>
      </c>
      <c r="G14" s="360" t="s">
        <v>6229</v>
      </c>
      <c r="H14" s="360" t="s">
        <v>7262</v>
      </c>
      <c r="I14" s="344"/>
      <c r="J14" s="344"/>
      <c r="K14" s="343"/>
      <c r="L14" s="343"/>
      <c r="M14" s="343" t="s">
        <v>4</v>
      </c>
      <c r="N14" s="343" t="s">
        <v>8021</v>
      </c>
      <c r="O14" s="343" t="s">
        <v>8022</v>
      </c>
      <c r="P14" s="343"/>
      <c r="Q14" s="405" t="s">
        <v>8574</v>
      </c>
      <c r="R14" s="405" t="s">
        <v>8691</v>
      </c>
      <c r="S14" s="405" t="s">
        <v>8691</v>
      </c>
      <c r="T14" s="405" t="s">
        <v>8650</v>
      </c>
      <c r="U14" s="406">
        <f t="shared" si="0"/>
        <v>2</v>
      </c>
    </row>
    <row r="15" spans="1:21" ht="19" customHeight="1">
      <c r="A15" s="349" t="s">
        <v>2522</v>
      </c>
      <c r="B15" s="349" t="s">
        <v>5869</v>
      </c>
      <c r="C15" s="343" t="s">
        <v>8262</v>
      </c>
      <c r="D15" s="344" t="s">
        <v>8031</v>
      </c>
      <c r="E15" s="344" t="s">
        <v>8032</v>
      </c>
      <c r="F15" s="358">
        <v>7</v>
      </c>
      <c r="G15" s="360" t="s">
        <v>6229</v>
      </c>
      <c r="H15" s="360" t="s">
        <v>7262</v>
      </c>
      <c r="I15" s="344"/>
      <c r="J15" s="344"/>
      <c r="K15" s="343"/>
      <c r="L15" s="343"/>
      <c r="M15" s="343" t="s">
        <v>4</v>
      </c>
      <c r="N15" s="343" t="s">
        <v>8021</v>
      </c>
      <c r="O15" s="343" t="s">
        <v>8022</v>
      </c>
      <c r="P15" s="343"/>
      <c r="Q15" s="405" t="s">
        <v>8574</v>
      </c>
      <c r="R15" s="405" t="s">
        <v>8691</v>
      </c>
      <c r="S15" s="405" t="s">
        <v>8691</v>
      </c>
      <c r="T15" s="405" t="s">
        <v>8650</v>
      </c>
      <c r="U15" s="406">
        <f t="shared" si="0"/>
        <v>7</v>
      </c>
    </row>
    <row r="16" spans="1:21" ht="19" customHeight="1">
      <c r="A16" s="349" t="s">
        <v>2522</v>
      </c>
      <c r="B16" s="349" t="s">
        <v>5870</v>
      </c>
      <c r="C16" s="343" t="s">
        <v>8033</v>
      </c>
      <c r="D16" s="344" t="s">
        <v>8034</v>
      </c>
      <c r="E16" s="344" t="s">
        <v>8035</v>
      </c>
      <c r="F16" s="358">
        <v>2</v>
      </c>
      <c r="G16" s="360" t="s">
        <v>7945</v>
      </c>
      <c r="H16" s="360" t="s">
        <v>8036</v>
      </c>
      <c r="I16" s="344"/>
      <c r="J16" s="344"/>
      <c r="K16" s="343"/>
      <c r="L16" s="343" t="s">
        <v>6242</v>
      </c>
      <c r="M16" s="343" t="s">
        <v>4</v>
      </c>
      <c r="N16" s="343" t="s">
        <v>8021</v>
      </c>
      <c r="O16" s="343" t="s">
        <v>8022</v>
      </c>
      <c r="P16" s="343" t="s">
        <v>8037</v>
      </c>
      <c r="Q16" s="405" t="s">
        <v>8574</v>
      </c>
      <c r="R16" s="405" t="s">
        <v>8691</v>
      </c>
      <c r="S16" s="405" t="s">
        <v>8691</v>
      </c>
      <c r="T16" s="405" t="s">
        <v>8652</v>
      </c>
      <c r="U16" s="406">
        <f t="shared" si="0"/>
        <v>2</v>
      </c>
    </row>
    <row r="17" spans="1:21" ht="19" customHeight="1">
      <c r="A17" s="349" t="s">
        <v>2522</v>
      </c>
      <c r="B17" s="349" t="s">
        <v>5871</v>
      </c>
      <c r="C17" s="343" t="s">
        <v>8033</v>
      </c>
      <c r="D17" s="344" t="s">
        <v>8038</v>
      </c>
      <c r="E17" s="344" t="s">
        <v>8035</v>
      </c>
      <c r="F17" s="358">
        <v>4</v>
      </c>
      <c r="G17" s="360" t="s">
        <v>7934</v>
      </c>
      <c r="H17" s="360" t="s">
        <v>8036</v>
      </c>
      <c r="I17" s="344"/>
      <c r="J17" s="344"/>
      <c r="K17" s="343"/>
      <c r="L17" s="343" t="s">
        <v>6242</v>
      </c>
      <c r="M17" s="343" t="s">
        <v>4</v>
      </c>
      <c r="N17" s="343" t="s">
        <v>8021</v>
      </c>
      <c r="O17" s="343" t="s">
        <v>8022</v>
      </c>
      <c r="P17" s="343" t="s">
        <v>8037</v>
      </c>
      <c r="Q17" s="405" t="s">
        <v>8574</v>
      </c>
      <c r="R17" s="405" t="s">
        <v>8691</v>
      </c>
      <c r="S17" s="405" t="s">
        <v>5168</v>
      </c>
      <c r="T17" s="405" t="s">
        <v>8653</v>
      </c>
      <c r="U17" s="406">
        <f t="shared" si="0"/>
        <v>4</v>
      </c>
    </row>
    <row r="18" spans="1:21" ht="19" customHeight="1">
      <c r="A18" s="349" t="s">
        <v>2522</v>
      </c>
      <c r="B18" s="349" t="s">
        <v>5872</v>
      </c>
      <c r="C18" s="343" t="s">
        <v>8033</v>
      </c>
      <c r="D18" s="344" t="s">
        <v>8039</v>
      </c>
      <c r="E18" s="344" t="s">
        <v>8035</v>
      </c>
      <c r="F18" s="358">
        <v>7</v>
      </c>
      <c r="G18" s="360" t="s">
        <v>7929</v>
      </c>
      <c r="H18" s="360" t="s">
        <v>8036</v>
      </c>
      <c r="I18" s="344"/>
      <c r="J18" s="344"/>
      <c r="K18" s="343"/>
      <c r="L18" s="343" t="s">
        <v>6242</v>
      </c>
      <c r="M18" s="343" t="s">
        <v>4</v>
      </c>
      <c r="N18" s="343" t="s">
        <v>8021</v>
      </c>
      <c r="O18" s="343" t="s">
        <v>8022</v>
      </c>
      <c r="P18" s="343" t="s">
        <v>8037</v>
      </c>
      <c r="Q18" s="405" t="s">
        <v>8574</v>
      </c>
      <c r="R18" s="405" t="s">
        <v>8691</v>
      </c>
      <c r="S18" s="405" t="s">
        <v>8691</v>
      </c>
      <c r="T18" s="405" t="s">
        <v>8653</v>
      </c>
      <c r="U18" s="406">
        <f t="shared" si="0"/>
        <v>7</v>
      </c>
    </row>
    <row r="19" spans="1:21" ht="19" customHeight="1">
      <c r="A19" s="349" t="s">
        <v>2522</v>
      </c>
      <c r="B19" s="349" t="s">
        <v>5873</v>
      </c>
      <c r="C19" s="343" t="s">
        <v>8033</v>
      </c>
      <c r="D19" s="344" t="s">
        <v>8040</v>
      </c>
      <c r="E19" s="344" t="s">
        <v>8035</v>
      </c>
      <c r="F19" s="358">
        <v>6</v>
      </c>
      <c r="G19" s="360" t="s">
        <v>7936</v>
      </c>
      <c r="H19" s="360" t="s">
        <v>8036</v>
      </c>
      <c r="I19" s="344"/>
      <c r="J19" s="344"/>
      <c r="K19" s="343"/>
      <c r="L19" s="343" t="s">
        <v>6242</v>
      </c>
      <c r="M19" s="343" t="s">
        <v>4</v>
      </c>
      <c r="N19" s="343" t="s">
        <v>8021</v>
      </c>
      <c r="O19" s="343" t="s">
        <v>8022</v>
      </c>
      <c r="P19" s="343" t="s">
        <v>8037</v>
      </c>
      <c r="Q19" s="405" t="s">
        <v>8574</v>
      </c>
      <c r="R19" s="405" t="s">
        <v>8691</v>
      </c>
      <c r="S19" s="405" t="s">
        <v>8691</v>
      </c>
      <c r="T19" s="405" t="s">
        <v>8653</v>
      </c>
      <c r="U19" s="406">
        <f t="shared" si="0"/>
        <v>6</v>
      </c>
    </row>
    <row r="20" spans="1:21" ht="19" customHeight="1">
      <c r="A20" s="349" t="s">
        <v>2522</v>
      </c>
      <c r="B20" s="349" t="s">
        <v>5874</v>
      </c>
      <c r="C20" s="343" t="s">
        <v>8033</v>
      </c>
      <c r="D20" s="344" t="s">
        <v>8041</v>
      </c>
      <c r="E20" s="344" t="s">
        <v>8035</v>
      </c>
      <c r="F20" s="358">
        <v>4</v>
      </c>
      <c r="G20" s="360" t="s">
        <v>7932</v>
      </c>
      <c r="H20" s="360" t="s">
        <v>8036</v>
      </c>
      <c r="I20" s="344"/>
      <c r="J20" s="344"/>
      <c r="K20" s="343"/>
      <c r="L20" s="343" t="s">
        <v>6242</v>
      </c>
      <c r="M20" s="343" t="s">
        <v>4</v>
      </c>
      <c r="N20" s="343" t="s">
        <v>8021</v>
      </c>
      <c r="O20" s="343" t="s">
        <v>8022</v>
      </c>
      <c r="P20" s="343" t="s">
        <v>8037</v>
      </c>
      <c r="Q20" s="405" t="s">
        <v>8574</v>
      </c>
      <c r="R20" s="405" t="s">
        <v>8691</v>
      </c>
      <c r="S20" s="405" t="s">
        <v>8691</v>
      </c>
      <c r="T20" s="405" t="s">
        <v>8653</v>
      </c>
      <c r="U20" s="406">
        <f t="shared" si="0"/>
        <v>4</v>
      </c>
    </row>
    <row r="21" spans="1:21" ht="19" customHeight="1">
      <c r="A21" s="349" t="s">
        <v>2522</v>
      </c>
      <c r="B21" s="349" t="s">
        <v>5875</v>
      </c>
      <c r="C21" s="343" t="s">
        <v>8033</v>
      </c>
      <c r="D21" s="344" t="s">
        <v>8042</v>
      </c>
      <c r="E21" s="344" t="s">
        <v>8035</v>
      </c>
      <c r="F21" s="358">
        <v>3</v>
      </c>
      <c r="G21" s="360" t="s">
        <v>7878</v>
      </c>
      <c r="H21" s="360" t="s">
        <v>8036</v>
      </c>
      <c r="I21" s="344"/>
      <c r="J21" s="344"/>
      <c r="K21" s="343"/>
      <c r="L21" s="343" t="s">
        <v>6242</v>
      </c>
      <c r="M21" s="343" t="s">
        <v>4</v>
      </c>
      <c r="N21" s="343" t="s">
        <v>8021</v>
      </c>
      <c r="O21" s="343" t="s">
        <v>8022</v>
      </c>
      <c r="P21" s="343" t="s">
        <v>8037</v>
      </c>
      <c r="Q21" s="405" t="s">
        <v>8574</v>
      </c>
      <c r="R21" s="405" t="s">
        <v>8691</v>
      </c>
      <c r="S21" s="405" t="s">
        <v>8691</v>
      </c>
      <c r="T21" s="405" t="s">
        <v>8649</v>
      </c>
      <c r="U21" s="406">
        <f t="shared" si="0"/>
        <v>3</v>
      </c>
    </row>
    <row r="22" spans="1:21" ht="19" customHeight="1">
      <c r="A22" s="349" t="s">
        <v>2522</v>
      </c>
      <c r="B22" s="349" t="s">
        <v>5876</v>
      </c>
      <c r="C22" s="343" t="s">
        <v>8033</v>
      </c>
      <c r="D22" s="344" t="s">
        <v>8043</v>
      </c>
      <c r="E22" s="344" t="s">
        <v>8035</v>
      </c>
      <c r="F22" s="358">
        <v>3</v>
      </c>
      <c r="G22" s="360" t="s">
        <v>8704</v>
      </c>
      <c r="H22" s="360" t="s">
        <v>8036</v>
      </c>
      <c r="I22" s="344"/>
      <c r="J22" s="344"/>
      <c r="K22" s="343"/>
      <c r="L22" s="343" t="s">
        <v>8044</v>
      </c>
      <c r="M22" s="343" t="s">
        <v>4</v>
      </c>
      <c r="N22" s="343" t="s">
        <v>8021</v>
      </c>
      <c r="O22" s="343" t="s">
        <v>8022</v>
      </c>
      <c r="P22" s="343" t="s">
        <v>8037</v>
      </c>
      <c r="Q22" s="405" t="s">
        <v>8574</v>
      </c>
      <c r="R22" s="405" t="s">
        <v>8691</v>
      </c>
      <c r="S22" s="405" t="s">
        <v>5168</v>
      </c>
      <c r="T22" s="405" t="s">
        <v>8653</v>
      </c>
      <c r="U22" s="406">
        <f t="shared" si="0"/>
        <v>3</v>
      </c>
    </row>
    <row r="23" spans="1:21" ht="19" customHeight="1">
      <c r="A23" s="349" t="s">
        <v>2522</v>
      </c>
      <c r="B23" s="349" t="s">
        <v>5877</v>
      </c>
      <c r="C23" s="343" t="s">
        <v>8033</v>
      </c>
      <c r="D23" s="344" t="s">
        <v>8045</v>
      </c>
      <c r="E23" s="344" t="s">
        <v>8035</v>
      </c>
      <c r="F23" s="358">
        <v>7</v>
      </c>
      <c r="G23" s="360" t="s">
        <v>7927</v>
      </c>
      <c r="H23" s="360" t="s">
        <v>8036</v>
      </c>
      <c r="I23" s="344"/>
      <c r="J23" s="344"/>
      <c r="K23" s="343"/>
      <c r="L23" s="343" t="s">
        <v>8044</v>
      </c>
      <c r="M23" s="343" t="s">
        <v>4</v>
      </c>
      <c r="N23" s="343" t="s">
        <v>8021</v>
      </c>
      <c r="O23" s="343" t="s">
        <v>8022</v>
      </c>
      <c r="P23" s="343" t="s">
        <v>8037</v>
      </c>
      <c r="Q23" s="405" t="s">
        <v>8574</v>
      </c>
      <c r="R23" s="405" t="s">
        <v>8691</v>
      </c>
      <c r="S23" s="405" t="s">
        <v>5168</v>
      </c>
      <c r="T23" s="405" t="s">
        <v>8653</v>
      </c>
      <c r="U23" s="406">
        <f t="shared" si="0"/>
        <v>7</v>
      </c>
    </row>
    <row r="24" spans="1:21" ht="19" customHeight="1">
      <c r="A24" s="349" t="s">
        <v>2522</v>
      </c>
      <c r="B24" s="349" t="s">
        <v>5878</v>
      </c>
      <c r="C24" s="343" t="s">
        <v>8033</v>
      </c>
      <c r="D24" s="344" t="s">
        <v>8046</v>
      </c>
      <c r="E24" s="344" t="s">
        <v>8035</v>
      </c>
      <c r="F24" s="358">
        <v>3</v>
      </c>
      <c r="G24" s="360" t="s">
        <v>7939</v>
      </c>
      <c r="H24" s="360" t="s">
        <v>8036</v>
      </c>
      <c r="I24" s="344"/>
      <c r="J24" s="344"/>
      <c r="K24" s="343"/>
      <c r="L24" s="343" t="s">
        <v>8044</v>
      </c>
      <c r="M24" s="343" t="s">
        <v>4</v>
      </c>
      <c r="N24" s="343" t="s">
        <v>8021</v>
      </c>
      <c r="O24" s="343" t="s">
        <v>8022</v>
      </c>
      <c r="P24" s="343" t="s">
        <v>8037</v>
      </c>
      <c r="Q24" s="405" t="s">
        <v>8574</v>
      </c>
      <c r="R24" s="405" t="s">
        <v>8691</v>
      </c>
      <c r="S24" s="405" t="s">
        <v>5168</v>
      </c>
      <c r="T24" s="405" t="s">
        <v>8653</v>
      </c>
      <c r="U24" s="406">
        <f t="shared" si="0"/>
        <v>3</v>
      </c>
    </row>
    <row r="25" spans="1:21" ht="19" customHeight="1">
      <c r="A25" s="349" t="s">
        <v>2522</v>
      </c>
      <c r="B25" s="349" t="s">
        <v>8047</v>
      </c>
      <c r="C25" s="343" t="s">
        <v>8033</v>
      </c>
      <c r="D25" s="344" t="s">
        <v>8048</v>
      </c>
      <c r="E25" s="344" t="s">
        <v>8035</v>
      </c>
      <c r="F25" s="358">
        <v>6</v>
      </c>
      <c r="G25" s="360" t="s">
        <v>7928</v>
      </c>
      <c r="H25" s="360" t="s">
        <v>8036</v>
      </c>
      <c r="I25" s="344"/>
      <c r="J25" s="344"/>
      <c r="K25" s="343"/>
      <c r="L25" s="343" t="s">
        <v>8044</v>
      </c>
      <c r="M25" s="343" t="s">
        <v>4</v>
      </c>
      <c r="N25" s="343" t="s">
        <v>8021</v>
      </c>
      <c r="O25" s="343" t="s">
        <v>8022</v>
      </c>
      <c r="P25" s="343" t="s">
        <v>8037</v>
      </c>
      <c r="Q25" s="405" t="s">
        <v>8574</v>
      </c>
      <c r="R25" s="405" t="s">
        <v>8691</v>
      </c>
      <c r="S25" s="405" t="s">
        <v>5168</v>
      </c>
      <c r="T25" s="405" t="s">
        <v>8653</v>
      </c>
      <c r="U25" s="406">
        <f t="shared" si="0"/>
        <v>6</v>
      </c>
    </row>
    <row r="26" spans="1:21" ht="19" customHeight="1">
      <c r="A26" s="349" t="s">
        <v>2522</v>
      </c>
      <c r="B26" s="349" t="s">
        <v>8049</v>
      </c>
      <c r="C26" s="343" t="s">
        <v>8033</v>
      </c>
      <c r="D26" s="344" t="s">
        <v>8050</v>
      </c>
      <c r="E26" s="344" t="s">
        <v>8035</v>
      </c>
      <c r="F26" s="358">
        <v>5</v>
      </c>
      <c r="G26" s="360" t="s">
        <v>7948</v>
      </c>
      <c r="H26" s="360" t="s">
        <v>8036</v>
      </c>
      <c r="I26" s="344"/>
      <c r="J26" s="344"/>
      <c r="K26" s="343"/>
      <c r="L26" s="343" t="s">
        <v>8044</v>
      </c>
      <c r="M26" s="343" t="s">
        <v>4</v>
      </c>
      <c r="N26" s="343" t="s">
        <v>8021</v>
      </c>
      <c r="O26" s="343" t="s">
        <v>8022</v>
      </c>
      <c r="P26" s="343" t="s">
        <v>8037</v>
      </c>
      <c r="Q26" s="405" t="s">
        <v>8574</v>
      </c>
      <c r="R26" s="405" t="s">
        <v>5168</v>
      </c>
      <c r="S26" s="405" t="s">
        <v>5168</v>
      </c>
      <c r="T26" s="405" t="s">
        <v>8653</v>
      </c>
      <c r="U26" s="406">
        <f t="shared" si="0"/>
        <v>5</v>
      </c>
    </row>
    <row r="27" spans="1:21" ht="19" customHeight="1">
      <c r="A27" s="349" t="s">
        <v>2522</v>
      </c>
      <c r="B27" s="349" t="s">
        <v>8051</v>
      </c>
      <c r="C27" s="343" t="s">
        <v>8033</v>
      </c>
      <c r="D27" s="344" t="s">
        <v>8052</v>
      </c>
      <c r="E27" s="344" t="s">
        <v>8035</v>
      </c>
      <c r="F27" s="358">
        <v>5</v>
      </c>
      <c r="G27" s="360" t="s">
        <v>8705</v>
      </c>
      <c r="H27" s="360" t="s">
        <v>8036</v>
      </c>
      <c r="I27" s="344"/>
      <c r="J27" s="344"/>
      <c r="K27" s="343"/>
      <c r="L27" s="343" t="s">
        <v>8053</v>
      </c>
      <c r="M27" s="343" t="s">
        <v>4</v>
      </c>
      <c r="N27" s="343" t="s">
        <v>8021</v>
      </c>
      <c r="O27" s="343" t="s">
        <v>8022</v>
      </c>
      <c r="P27" s="343" t="s">
        <v>8037</v>
      </c>
      <c r="Q27" s="405" t="s">
        <v>8574</v>
      </c>
      <c r="R27" s="405" t="s">
        <v>8694</v>
      </c>
      <c r="S27" s="405" t="s">
        <v>5168</v>
      </c>
      <c r="T27" s="405" t="s">
        <v>8653</v>
      </c>
      <c r="U27" s="406">
        <f t="shared" si="0"/>
        <v>5</v>
      </c>
    </row>
    <row r="28" spans="1:21" ht="19" customHeight="1">
      <c r="A28" s="349" t="s">
        <v>2522</v>
      </c>
      <c r="B28" s="349" t="s">
        <v>8054</v>
      </c>
      <c r="C28" s="343" t="s">
        <v>8033</v>
      </c>
      <c r="D28" s="344" t="s">
        <v>8055</v>
      </c>
      <c r="E28" s="344" t="s">
        <v>8035</v>
      </c>
      <c r="F28" s="358">
        <v>3</v>
      </c>
      <c r="G28" s="360" t="s">
        <v>7908</v>
      </c>
      <c r="H28" s="360" t="s">
        <v>8036</v>
      </c>
      <c r="I28" s="344"/>
      <c r="J28" s="344"/>
      <c r="K28" s="343"/>
      <c r="L28" s="343" t="s">
        <v>8053</v>
      </c>
      <c r="M28" s="343" t="s">
        <v>4</v>
      </c>
      <c r="N28" s="343" t="s">
        <v>8021</v>
      </c>
      <c r="O28" s="343" t="s">
        <v>8022</v>
      </c>
      <c r="P28" s="343" t="s">
        <v>8037</v>
      </c>
      <c r="Q28" s="405" t="s">
        <v>8574</v>
      </c>
      <c r="R28" s="405" t="s">
        <v>8691</v>
      </c>
      <c r="S28" s="405" t="s">
        <v>5168</v>
      </c>
      <c r="T28" s="405" t="s">
        <v>8653</v>
      </c>
      <c r="U28" s="406">
        <f t="shared" si="0"/>
        <v>3</v>
      </c>
    </row>
    <row r="29" spans="1:21" ht="19" customHeight="1">
      <c r="A29" s="349" t="s">
        <v>2522</v>
      </c>
      <c r="B29" s="349" t="s">
        <v>8056</v>
      </c>
      <c r="C29" s="343" t="s">
        <v>8033</v>
      </c>
      <c r="D29" s="344" t="s">
        <v>8057</v>
      </c>
      <c r="E29" s="344" t="s">
        <v>8035</v>
      </c>
      <c r="F29" s="358">
        <v>3</v>
      </c>
      <c r="G29" s="360" t="s">
        <v>7940</v>
      </c>
      <c r="H29" s="360" t="s">
        <v>8036</v>
      </c>
      <c r="I29" s="344"/>
      <c r="J29" s="344"/>
      <c r="K29" s="343"/>
      <c r="L29" s="343" t="s">
        <v>8053</v>
      </c>
      <c r="M29" s="343" t="s">
        <v>4</v>
      </c>
      <c r="N29" s="343" t="s">
        <v>8021</v>
      </c>
      <c r="O29" s="343" t="s">
        <v>8022</v>
      </c>
      <c r="P29" s="343" t="s">
        <v>8037</v>
      </c>
      <c r="Q29" s="405" t="s">
        <v>8574</v>
      </c>
      <c r="R29" s="405" t="s">
        <v>5168</v>
      </c>
      <c r="S29" s="405" t="s">
        <v>5168</v>
      </c>
      <c r="T29" s="405" t="s">
        <v>8653</v>
      </c>
      <c r="U29" s="406">
        <f t="shared" si="0"/>
        <v>3</v>
      </c>
    </row>
    <row r="30" spans="1:21" ht="19" customHeight="1">
      <c r="A30" s="349" t="s">
        <v>2522</v>
      </c>
      <c r="B30" s="349" t="s">
        <v>8058</v>
      </c>
      <c r="C30" s="343" t="s">
        <v>8033</v>
      </c>
      <c r="D30" s="344" t="s">
        <v>8059</v>
      </c>
      <c r="E30" s="344" t="s">
        <v>8035</v>
      </c>
      <c r="F30" s="358">
        <v>2</v>
      </c>
      <c r="G30" s="360" t="s">
        <v>7961</v>
      </c>
      <c r="H30" s="360" t="s">
        <v>8036</v>
      </c>
      <c r="I30" s="344"/>
      <c r="J30" s="344"/>
      <c r="K30" s="343"/>
      <c r="L30" s="343" t="s">
        <v>8053</v>
      </c>
      <c r="M30" s="343" t="s">
        <v>4</v>
      </c>
      <c r="N30" s="343" t="s">
        <v>8021</v>
      </c>
      <c r="O30" s="343" t="s">
        <v>8022</v>
      </c>
      <c r="P30" s="343" t="s">
        <v>8037</v>
      </c>
      <c r="Q30" s="405" t="s">
        <v>8574</v>
      </c>
      <c r="R30" s="405" t="s">
        <v>8694</v>
      </c>
      <c r="S30" s="405" t="s">
        <v>5168</v>
      </c>
      <c r="T30" s="405" t="s">
        <v>8653</v>
      </c>
      <c r="U30" s="406">
        <f t="shared" si="0"/>
        <v>2</v>
      </c>
    </row>
    <row r="31" spans="1:21" ht="19" customHeight="1">
      <c r="A31" s="349" t="s">
        <v>2522</v>
      </c>
      <c r="B31" s="349" t="s">
        <v>8060</v>
      </c>
      <c r="C31" s="343" t="s">
        <v>8033</v>
      </c>
      <c r="D31" s="344" t="s">
        <v>8061</v>
      </c>
      <c r="E31" s="344" t="s">
        <v>8035</v>
      </c>
      <c r="F31" s="358">
        <v>3</v>
      </c>
      <c r="G31" s="360" t="s">
        <v>7890</v>
      </c>
      <c r="H31" s="360" t="s">
        <v>8036</v>
      </c>
      <c r="I31" s="344"/>
      <c r="J31" s="344"/>
      <c r="K31" s="343"/>
      <c r="L31" s="343" t="s">
        <v>8053</v>
      </c>
      <c r="M31" s="343" t="s">
        <v>4</v>
      </c>
      <c r="N31" s="343" t="s">
        <v>8021</v>
      </c>
      <c r="O31" s="343" t="s">
        <v>8022</v>
      </c>
      <c r="P31" s="343" t="s">
        <v>8037</v>
      </c>
      <c r="Q31" s="405" t="s">
        <v>8574</v>
      </c>
      <c r="R31" s="405" t="s">
        <v>8691</v>
      </c>
      <c r="S31" s="405" t="s">
        <v>5168</v>
      </c>
      <c r="T31" s="405" t="s">
        <v>8653</v>
      </c>
      <c r="U31" s="406">
        <f t="shared" si="0"/>
        <v>3</v>
      </c>
    </row>
    <row r="32" spans="1:21" ht="19" customHeight="1">
      <c r="A32" s="349" t="s">
        <v>2522</v>
      </c>
      <c r="B32" s="349" t="s">
        <v>8062</v>
      </c>
      <c r="C32" s="343" t="s">
        <v>8033</v>
      </c>
      <c r="D32" s="344" t="s">
        <v>8063</v>
      </c>
      <c r="E32" s="344" t="s">
        <v>8035</v>
      </c>
      <c r="F32" s="358">
        <v>2</v>
      </c>
      <c r="G32" s="360" t="s">
        <v>7875</v>
      </c>
      <c r="H32" s="360" t="s">
        <v>8036</v>
      </c>
      <c r="I32" s="344"/>
      <c r="J32" s="344"/>
      <c r="K32" s="343"/>
      <c r="L32" s="343" t="s">
        <v>8053</v>
      </c>
      <c r="M32" s="343" t="s">
        <v>4</v>
      </c>
      <c r="N32" s="343" t="s">
        <v>8021</v>
      </c>
      <c r="O32" s="343" t="s">
        <v>8022</v>
      </c>
      <c r="P32" s="343" t="s">
        <v>8037</v>
      </c>
      <c r="Q32" s="405" t="s">
        <v>8574</v>
      </c>
      <c r="R32" s="405" t="s">
        <v>8694</v>
      </c>
      <c r="S32" s="405" t="s">
        <v>8691</v>
      </c>
      <c r="T32" s="405" t="s">
        <v>8653</v>
      </c>
      <c r="U32" s="406">
        <f t="shared" si="0"/>
        <v>2</v>
      </c>
    </row>
    <row r="33" spans="1:21" ht="19" customHeight="1">
      <c r="A33" s="349" t="s">
        <v>2522</v>
      </c>
      <c r="B33" s="349" t="s">
        <v>8064</v>
      </c>
      <c r="C33" s="343" t="s">
        <v>8033</v>
      </c>
      <c r="D33" s="344" t="s">
        <v>8065</v>
      </c>
      <c r="E33" s="344" t="s">
        <v>8035</v>
      </c>
      <c r="F33" s="358">
        <v>3</v>
      </c>
      <c r="G33" s="360" t="s">
        <v>7950</v>
      </c>
      <c r="H33" s="360" t="s">
        <v>8036</v>
      </c>
      <c r="I33" s="344"/>
      <c r="J33" s="344"/>
      <c r="K33" s="343"/>
      <c r="L33" s="343" t="s">
        <v>6415</v>
      </c>
      <c r="M33" s="343" t="s">
        <v>4</v>
      </c>
      <c r="N33" s="343" t="s">
        <v>8021</v>
      </c>
      <c r="O33" s="343" t="s">
        <v>8022</v>
      </c>
      <c r="P33" s="343" t="s">
        <v>8037</v>
      </c>
      <c r="Q33" s="405" t="s">
        <v>8574</v>
      </c>
      <c r="R33" s="405" t="s">
        <v>8694</v>
      </c>
      <c r="S33" s="405" t="s">
        <v>5168</v>
      </c>
      <c r="T33" s="405" t="s">
        <v>8653</v>
      </c>
      <c r="U33" s="406">
        <f t="shared" si="0"/>
        <v>3</v>
      </c>
    </row>
    <row r="34" spans="1:21" ht="19" customHeight="1">
      <c r="A34" s="349" t="s">
        <v>2522</v>
      </c>
      <c r="B34" s="349" t="s">
        <v>8066</v>
      </c>
      <c r="C34" s="343" t="s">
        <v>8033</v>
      </c>
      <c r="D34" s="344" t="s">
        <v>8067</v>
      </c>
      <c r="E34" s="344" t="s">
        <v>8035</v>
      </c>
      <c r="F34" s="358">
        <v>2</v>
      </c>
      <c r="G34" s="360" t="s">
        <v>7946</v>
      </c>
      <c r="H34" s="360" t="s">
        <v>8036</v>
      </c>
      <c r="I34" s="344"/>
      <c r="J34" s="344"/>
      <c r="K34" s="343"/>
      <c r="L34" s="343" t="s">
        <v>6415</v>
      </c>
      <c r="M34" s="343" t="s">
        <v>4</v>
      </c>
      <c r="N34" s="343" t="s">
        <v>8021</v>
      </c>
      <c r="O34" s="343" t="s">
        <v>8022</v>
      </c>
      <c r="P34" s="343" t="s">
        <v>8037</v>
      </c>
      <c r="Q34" s="405" t="s">
        <v>8574</v>
      </c>
      <c r="R34" s="405" t="s">
        <v>5168</v>
      </c>
      <c r="S34" s="405" t="s">
        <v>5168</v>
      </c>
      <c r="T34" s="405" t="s">
        <v>8653</v>
      </c>
      <c r="U34" s="406">
        <f t="shared" si="0"/>
        <v>2</v>
      </c>
    </row>
    <row r="35" spans="1:21" ht="19" customHeight="1">
      <c r="A35" s="349" t="s">
        <v>2522</v>
      </c>
      <c r="B35" s="349" t="s">
        <v>8068</v>
      </c>
      <c r="C35" s="343" t="s">
        <v>8033</v>
      </c>
      <c r="D35" s="344" t="s">
        <v>8069</v>
      </c>
      <c r="E35" s="344" t="s">
        <v>8035</v>
      </c>
      <c r="F35" s="358">
        <v>2</v>
      </c>
      <c r="G35" s="360" t="s">
        <v>7951</v>
      </c>
      <c r="H35" s="360" t="s">
        <v>8036</v>
      </c>
      <c r="I35" s="344"/>
      <c r="J35" s="344"/>
      <c r="K35" s="343"/>
      <c r="L35" s="343" t="s">
        <v>6415</v>
      </c>
      <c r="M35" s="343" t="s">
        <v>4</v>
      </c>
      <c r="N35" s="343" t="s">
        <v>8021</v>
      </c>
      <c r="O35" s="343" t="s">
        <v>8022</v>
      </c>
      <c r="P35" s="343" t="s">
        <v>8037</v>
      </c>
      <c r="Q35" s="405" t="s">
        <v>8574</v>
      </c>
      <c r="R35" s="405" t="s">
        <v>8694</v>
      </c>
      <c r="S35" s="405" t="s">
        <v>5168</v>
      </c>
      <c r="T35" s="405" t="s">
        <v>8653</v>
      </c>
      <c r="U35" s="406">
        <f t="shared" si="0"/>
        <v>2</v>
      </c>
    </row>
    <row r="36" spans="1:21" ht="19" customHeight="1">
      <c r="A36" s="349" t="s">
        <v>2522</v>
      </c>
      <c r="B36" s="349" t="s">
        <v>8070</v>
      </c>
      <c r="C36" s="343" t="s">
        <v>8033</v>
      </c>
      <c r="D36" s="344" t="s">
        <v>8071</v>
      </c>
      <c r="E36" s="344" t="s">
        <v>8035</v>
      </c>
      <c r="F36" s="358">
        <v>2</v>
      </c>
      <c r="G36" s="360" t="s">
        <v>7937</v>
      </c>
      <c r="H36" s="360" t="s">
        <v>8036</v>
      </c>
      <c r="I36" s="344"/>
      <c r="J36" s="344"/>
      <c r="K36" s="343"/>
      <c r="L36" s="343" t="s">
        <v>6415</v>
      </c>
      <c r="M36" s="343" t="s">
        <v>4</v>
      </c>
      <c r="N36" s="343" t="s">
        <v>8021</v>
      </c>
      <c r="O36" s="343" t="s">
        <v>8022</v>
      </c>
      <c r="P36" s="343" t="s">
        <v>8037</v>
      </c>
      <c r="Q36" s="405" t="s">
        <v>8574</v>
      </c>
      <c r="R36" s="405" t="s">
        <v>8691</v>
      </c>
      <c r="S36" s="405" t="s">
        <v>5168</v>
      </c>
      <c r="T36" s="405" t="s">
        <v>8653</v>
      </c>
      <c r="U36" s="406">
        <f t="shared" si="0"/>
        <v>2</v>
      </c>
    </row>
    <row r="37" spans="1:21" ht="19" customHeight="1">
      <c r="A37" s="349" t="s">
        <v>2522</v>
      </c>
      <c r="B37" s="349" t="s">
        <v>8072</v>
      </c>
      <c r="C37" s="343" t="s">
        <v>8033</v>
      </c>
      <c r="D37" s="344" t="s">
        <v>8073</v>
      </c>
      <c r="E37" s="344" t="s">
        <v>8035</v>
      </c>
      <c r="F37" s="358">
        <v>1</v>
      </c>
      <c r="G37" s="360" t="s">
        <v>7938</v>
      </c>
      <c r="H37" s="360" t="s">
        <v>8036</v>
      </c>
      <c r="I37" s="344"/>
      <c r="J37" s="344"/>
      <c r="K37" s="343"/>
      <c r="L37" s="343" t="s">
        <v>6415</v>
      </c>
      <c r="M37" s="343" t="s">
        <v>4</v>
      </c>
      <c r="N37" s="343" t="s">
        <v>8021</v>
      </c>
      <c r="O37" s="343" t="s">
        <v>8022</v>
      </c>
      <c r="P37" s="343" t="s">
        <v>8037</v>
      </c>
      <c r="Q37" s="405" t="s">
        <v>8574</v>
      </c>
      <c r="R37" s="405" t="s">
        <v>8691</v>
      </c>
      <c r="S37" s="405" t="s">
        <v>8691</v>
      </c>
      <c r="T37" s="405" t="s">
        <v>8651</v>
      </c>
      <c r="U37" s="406">
        <f t="shared" si="0"/>
        <v>1</v>
      </c>
    </row>
    <row r="38" spans="1:21" ht="19" customHeight="1">
      <c r="A38" s="349" t="s">
        <v>2522</v>
      </c>
      <c r="B38" s="349" t="s">
        <v>8074</v>
      </c>
      <c r="C38" s="343" t="s">
        <v>8033</v>
      </c>
      <c r="D38" s="344" t="s">
        <v>8075</v>
      </c>
      <c r="E38" s="344" t="s">
        <v>8035</v>
      </c>
      <c r="F38" s="358">
        <v>3</v>
      </c>
      <c r="G38" s="360" t="s">
        <v>7943</v>
      </c>
      <c r="H38" s="360" t="s">
        <v>8036</v>
      </c>
      <c r="I38" s="344"/>
      <c r="J38" s="344"/>
      <c r="K38" s="343"/>
      <c r="L38" s="343" t="s">
        <v>6441</v>
      </c>
      <c r="M38" s="343" t="s">
        <v>4</v>
      </c>
      <c r="N38" s="343" t="s">
        <v>8021</v>
      </c>
      <c r="O38" s="343" t="s">
        <v>8022</v>
      </c>
      <c r="P38" s="343" t="s">
        <v>8037</v>
      </c>
      <c r="Q38" s="405" t="s">
        <v>8574</v>
      </c>
      <c r="R38" s="405" t="s">
        <v>8691</v>
      </c>
      <c r="S38" s="405" t="s">
        <v>5168</v>
      </c>
      <c r="T38" s="405" t="s">
        <v>8653</v>
      </c>
      <c r="U38" s="406">
        <f t="shared" si="0"/>
        <v>3</v>
      </c>
    </row>
    <row r="39" spans="1:21" ht="19" customHeight="1">
      <c r="A39" s="349" t="s">
        <v>2522</v>
      </c>
      <c r="B39" s="349" t="s">
        <v>8076</v>
      </c>
      <c r="C39" s="343" t="s">
        <v>8033</v>
      </c>
      <c r="D39" s="344" t="s">
        <v>8077</v>
      </c>
      <c r="E39" s="344" t="s">
        <v>8035</v>
      </c>
      <c r="F39" s="358">
        <v>3</v>
      </c>
      <c r="G39" s="360" t="s">
        <v>7935</v>
      </c>
      <c r="H39" s="360" t="s">
        <v>8036</v>
      </c>
      <c r="I39" s="344"/>
      <c r="J39" s="344"/>
      <c r="K39" s="343"/>
      <c r="L39" s="343" t="s">
        <v>6441</v>
      </c>
      <c r="M39" s="343" t="s">
        <v>4</v>
      </c>
      <c r="N39" s="343" t="s">
        <v>8021</v>
      </c>
      <c r="O39" s="343" t="s">
        <v>8022</v>
      </c>
      <c r="P39" s="343" t="s">
        <v>8037</v>
      </c>
      <c r="Q39" s="405" t="s">
        <v>8574</v>
      </c>
      <c r="R39" s="405" t="s">
        <v>8694</v>
      </c>
      <c r="S39" s="405" t="s">
        <v>5168</v>
      </c>
      <c r="T39" s="405" t="s">
        <v>8653</v>
      </c>
      <c r="U39" s="406">
        <f t="shared" si="0"/>
        <v>3</v>
      </c>
    </row>
    <row r="40" spans="1:21" ht="19" customHeight="1">
      <c r="A40" s="349" t="s">
        <v>2522</v>
      </c>
      <c r="B40" s="349" t="s">
        <v>8078</v>
      </c>
      <c r="C40" s="343" t="s">
        <v>8033</v>
      </c>
      <c r="D40" s="344" t="s">
        <v>8079</v>
      </c>
      <c r="E40" s="344" t="s">
        <v>8035</v>
      </c>
      <c r="F40" s="358">
        <v>2</v>
      </c>
      <c r="G40" s="360" t="s">
        <v>7953</v>
      </c>
      <c r="H40" s="360" t="s">
        <v>8036</v>
      </c>
      <c r="I40" s="344"/>
      <c r="J40" s="344"/>
      <c r="K40" s="343"/>
      <c r="L40" s="343" t="s">
        <v>6441</v>
      </c>
      <c r="M40" s="343" t="s">
        <v>4</v>
      </c>
      <c r="N40" s="343" t="s">
        <v>8021</v>
      </c>
      <c r="O40" s="343" t="s">
        <v>8022</v>
      </c>
      <c r="P40" s="343" t="s">
        <v>8037</v>
      </c>
      <c r="Q40" s="405" t="s">
        <v>8688</v>
      </c>
      <c r="R40" s="405" t="s">
        <v>8694</v>
      </c>
      <c r="S40" s="405" t="s">
        <v>5168</v>
      </c>
      <c r="T40" s="405" t="s">
        <v>8653</v>
      </c>
      <c r="U40" s="406">
        <f t="shared" si="0"/>
        <v>2</v>
      </c>
    </row>
    <row r="41" spans="1:21" ht="19" customHeight="1">
      <c r="A41" s="349" t="s">
        <v>2522</v>
      </c>
      <c r="B41" s="349" t="s">
        <v>8080</v>
      </c>
      <c r="C41" s="343" t="s">
        <v>8033</v>
      </c>
      <c r="D41" s="344" t="s">
        <v>8081</v>
      </c>
      <c r="E41" s="344" t="s">
        <v>8035</v>
      </c>
      <c r="F41" s="358">
        <v>1</v>
      </c>
      <c r="G41" s="360" t="s">
        <v>7856</v>
      </c>
      <c r="H41" s="360" t="s">
        <v>8036</v>
      </c>
      <c r="I41" s="344"/>
      <c r="J41" s="344"/>
      <c r="K41" s="343"/>
      <c r="L41" s="343" t="s">
        <v>6441</v>
      </c>
      <c r="M41" s="343" t="s">
        <v>4</v>
      </c>
      <c r="N41" s="343" t="s">
        <v>8021</v>
      </c>
      <c r="O41" s="343" t="s">
        <v>8022</v>
      </c>
      <c r="P41" s="343" t="s">
        <v>8037</v>
      </c>
      <c r="Q41" s="405" t="s">
        <v>8574</v>
      </c>
      <c r="R41" s="405" t="s">
        <v>8691</v>
      </c>
      <c r="S41" s="405" t="s">
        <v>5168</v>
      </c>
      <c r="T41" s="405" t="s">
        <v>8653</v>
      </c>
      <c r="U41" s="406">
        <f t="shared" si="0"/>
        <v>1</v>
      </c>
    </row>
    <row r="42" spans="1:21" ht="19" customHeight="1">
      <c r="A42" s="349" t="s">
        <v>2522</v>
      </c>
      <c r="B42" s="349" t="s">
        <v>8082</v>
      </c>
      <c r="C42" s="343" t="s">
        <v>8033</v>
      </c>
      <c r="D42" s="344" t="s">
        <v>8083</v>
      </c>
      <c r="E42" s="344" t="s">
        <v>8035</v>
      </c>
      <c r="F42" s="358">
        <v>1</v>
      </c>
      <c r="G42" s="360" t="s">
        <v>8706</v>
      </c>
      <c r="H42" s="360" t="s">
        <v>8036</v>
      </c>
      <c r="I42" s="344"/>
      <c r="J42" s="344"/>
      <c r="K42" s="343"/>
      <c r="L42" s="343" t="s">
        <v>6441</v>
      </c>
      <c r="M42" s="343" t="s">
        <v>4</v>
      </c>
      <c r="N42" s="343" t="s">
        <v>8021</v>
      </c>
      <c r="O42" s="343" t="s">
        <v>8022</v>
      </c>
      <c r="P42" s="343" t="s">
        <v>8037</v>
      </c>
      <c r="Q42" s="405" t="s">
        <v>8574</v>
      </c>
      <c r="R42" s="405" t="s">
        <v>8691</v>
      </c>
      <c r="S42" s="405" t="s">
        <v>5168</v>
      </c>
      <c r="T42" s="405" t="s">
        <v>8653</v>
      </c>
      <c r="U42" s="406">
        <f t="shared" si="0"/>
        <v>1</v>
      </c>
    </row>
    <row r="43" spans="1:21" ht="19" customHeight="1">
      <c r="A43" s="349" t="s">
        <v>2522</v>
      </c>
      <c r="B43" s="349" t="s">
        <v>8084</v>
      </c>
      <c r="C43" s="343" t="s">
        <v>8085</v>
      </c>
      <c r="D43" s="344" t="s">
        <v>8086</v>
      </c>
      <c r="E43" s="344" t="s">
        <v>8087</v>
      </c>
      <c r="F43" s="358">
        <v>8</v>
      </c>
      <c r="G43" s="360" t="s">
        <v>6229</v>
      </c>
      <c r="H43" s="360" t="s">
        <v>7262</v>
      </c>
      <c r="I43" s="344"/>
      <c r="J43" s="344"/>
      <c r="K43" s="343"/>
      <c r="L43" s="343"/>
      <c r="M43" s="343" t="s">
        <v>4</v>
      </c>
      <c r="N43" s="343" t="s">
        <v>8021</v>
      </c>
      <c r="O43" s="343" t="s">
        <v>8022</v>
      </c>
      <c r="P43" s="343" t="s">
        <v>8088</v>
      </c>
      <c r="Q43" s="405" t="s">
        <v>8574</v>
      </c>
      <c r="R43" s="405" t="s">
        <v>8691</v>
      </c>
      <c r="S43" s="405" t="s">
        <v>8691</v>
      </c>
      <c r="T43" s="405" t="s">
        <v>8650</v>
      </c>
      <c r="U43" s="406">
        <f t="shared" si="0"/>
        <v>8</v>
      </c>
    </row>
    <row r="44" spans="1:21" ht="19" customHeight="1">
      <c r="A44" s="349" t="s">
        <v>2522</v>
      </c>
      <c r="B44" s="349" t="s">
        <v>8089</v>
      </c>
      <c r="C44" s="343" t="s">
        <v>8085</v>
      </c>
      <c r="D44" s="344" t="s">
        <v>8090</v>
      </c>
      <c r="E44" s="344" t="s">
        <v>8091</v>
      </c>
      <c r="F44" s="358">
        <v>6</v>
      </c>
      <c r="G44" s="360" t="s">
        <v>6229</v>
      </c>
      <c r="H44" s="360" t="s">
        <v>7262</v>
      </c>
      <c r="I44" s="344"/>
      <c r="J44" s="344"/>
      <c r="K44" s="343"/>
      <c r="L44" s="343"/>
      <c r="M44" s="343" t="s">
        <v>4</v>
      </c>
      <c r="N44" s="343" t="s">
        <v>8021</v>
      </c>
      <c r="O44" s="343" t="s">
        <v>8022</v>
      </c>
      <c r="P44" s="343" t="s">
        <v>8088</v>
      </c>
      <c r="Q44" s="405" t="s">
        <v>8574</v>
      </c>
      <c r="R44" s="405" t="s">
        <v>8691</v>
      </c>
      <c r="S44" s="405" t="s">
        <v>8691</v>
      </c>
      <c r="T44" s="405" t="s">
        <v>8650</v>
      </c>
      <c r="U44" s="406">
        <f t="shared" si="0"/>
        <v>6</v>
      </c>
    </row>
    <row r="45" spans="1:21" ht="19" customHeight="1">
      <c r="A45" s="349" t="s">
        <v>2522</v>
      </c>
      <c r="B45" s="349" t="s">
        <v>8092</v>
      </c>
      <c r="C45" s="343" t="s">
        <v>8085</v>
      </c>
      <c r="D45" s="344" t="s">
        <v>8093</v>
      </c>
      <c r="E45" s="344" t="s">
        <v>8094</v>
      </c>
      <c r="F45" s="358">
        <v>6</v>
      </c>
      <c r="G45" s="360" t="s">
        <v>6229</v>
      </c>
      <c r="H45" s="360" t="s">
        <v>7262</v>
      </c>
      <c r="I45" s="344"/>
      <c r="J45" s="344"/>
      <c r="K45" s="343"/>
      <c r="L45" s="343"/>
      <c r="M45" s="343" t="s">
        <v>4</v>
      </c>
      <c r="N45" s="343" t="s">
        <v>8021</v>
      </c>
      <c r="O45" s="343" t="s">
        <v>8022</v>
      </c>
      <c r="P45" s="343" t="s">
        <v>8088</v>
      </c>
      <c r="Q45" s="405" t="s">
        <v>8574</v>
      </c>
      <c r="R45" s="405" t="s">
        <v>8691</v>
      </c>
      <c r="S45" s="405" t="s">
        <v>8691</v>
      </c>
      <c r="T45" s="405" t="s">
        <v>8650</v>
      </c>
      <c r="U45" s="406">
        <f t="shared" si="0"/>
        <v>6</v>
      </c>
    </row>
    <row r="46" spans="1:21" ht="19" customHeight="1">
      <c r="A46" s="349" t="s">
        <v>2522</v>
      </c>
      <c r="B46" s="349" t="s">
        <v>8095</v>
      </c>
      <c r="C46" s="343" t="s">
        <v>8085</v>
      </c>
      <c r="D46" s="344" t="s">
        <v>8096</v>
      </c>
      <c r="E46" s="344" t="s">
        <v>8097</v>
      </c>
      <c r="F46" s="358">
        <v>8</v>
      </c>
      <c r="G46" s="360" t="s">
        <v>6229</v>
      </c>
      <c r="H46" s="360" t="s">
        <v>7262</v>
      </c>
      <c r="I46" s="344"/>
      <c r="J46" s="344"/>
      <c r="K46" s="343"/>
      <c r="L46" s="343"/>
      <c r="M46" s="343" t="s">
        <v>4</v>
      </c>
      <c r="N46" s="343" t="s">
        <v>8021</v>
      </c>
      <c r="O46" s="343" t="s">
        <v>8022</v>
      </c>
      <c r="P46" s="343" t="s">
        <v>8088</v>
      </c>
      <c r="Q46" s="405" t="s">
        <v>8574</v>
      </c>
      <c r="R46" s="405" t="s">
        <v>8691</v>
      </c>
      <c r="S46" s="405" t="s">
        <v>8691</v>
      </c>
      <c r="T46" s="405" t="s">
        <v>8650</v>
      </c>
      <c r="U46" s="406">
        <f t="shared" si="0"/>
        <v>8</v>
      </c>
    </row>
    <row r="47" spans="1:21" ht="19" customHeight="1">
      <c r="A47" s="349" t="s">
        <v>2522</v>
      </c>
      <c r="B47" s="349" t="s">
        <v>8098</v>
      </c>
      <c r="C47" s="343" t="s">
        <v>8085</v>
      </c>
      <c r="D47" s="344" t="s">
        <v>8099</v>
      </c>
      <c r="E47" s="344" t="s">
        <v>8100</v>
      </c>
      <c r="F47" s="358">
        <v>8</v>
      </c>
      <c r="G47" s="360" t="s">
        <v>6229</v>
      </c>
      <c r="H47" s="360" t="s">
        <v>7262</v>
      </c>
      <c r="I47" s="344"/>
      <c r="J47" s="344"/>
      <c r="K47" s="343"/>
      <c r="L47" s="343"/>
      <c r="M47" s="343" t="s">
        <v>4</v>
      </c>
      <c r="N47" s="343" t="s">
        <v>8021</v>
      </c>
      <c r="O47" s="343" t="s">
        <v>8022</v>
      </c>
      <c r="P47" s="343" t="s">
        <v>8088</v>
      </c>
      <c r="Q47" s="405" t="s">
        <v>8574</v>
      </c>
      <c r="R47" s="405" t="s">
        <v>8691</v>
      </c>
      <c r="S47" s="405" t="s">
        <v>8691</v>
      </c>
      <c r="T47" s="405" t="s">
        <v>8650</v>
      </c>
      <c r="U47" s="406">
        <f t="shared" si="0"/>
        <v>8</v>
      </c>
    </row>
    <row r="48" spans="1:21" ht="19" customHeight="1">
      <c r="A48" s="349" t="s">
        <v>2522</v>
      </c>
      <c r="B48" s="349" t="s">
        <v>8101</v>
      </c>
      <c r="C48" s="343" t="s">
        <v>8085</v>
      </c>
      <c r="D48" s="344" t="s">
        <v>8102</v>
      </c>
      <c r="E48" s="344" t="s">
        <v>8103</v>
      </c>
      <c r="F48" s="358">
        <v>10</v>
      </c>
      <c r="G48" s="360" t="s">
        <v>6229</v>
      </c>
      <c r="H48" s="360" t="s">
        <v>7262</v>
      </c>
      <c r="I48" s="344"/>
      <c r="J48" s="344"/>
      <c r="K48" s="343"/>
      <c r="L48" s="343"/>
      <c r="M48" s="343" t="s">
        <v>4</v>
      </c>
      <c r="N48" s="343" t="s">
        <v>8021</v>
      </c>
      <c r="O48" s="343" t="s">
        <v>8022</v>
      </c>
      <c r="P48" s="343" t="s">
        <v>8088</v>
      </c>
      <c r="Q48" s="405" t="s">
        <v>8574</v>
      </c>
      <c r="R48" s="405" t="s">
        <v>8691</v>
      </c>
      <c r="S48" s="405" t="s">
        <v>8691</v>
      </c>
      <c r="T48" s="405" t="s">
        <v>8650</v>
      </c>
      <c r="U48" s="406">
        <f t="shared" si="0"/>
        <v>10</v>
      </c>
    </row>
    <row r="49" spans="1:21" ht="19" customHeight="1">
      <c r="A49" s="349" t="s">
        <v>2522</v>
      </c>
      <c r="B49" s="349" t="s">
        <v>8104</v>
      </c>
      <c r="C49" s="343" t="s">
        <v>8085</v>
      </c>
      <c r="D49" s="344" t="s">
        <v>8105</v>
      </c>
      <c r="E49" s="344" t="s">
        <v>8106</v>
      </c>
      <c r="F49" s="358">
        <v>14</v>
      </c>
      <c r="G49" s="360" t="s">
        <v>6229</v>
      </c>
      <c r="H49" s="360" t="s">
        <v>7262</v>
      </c>
      <c r="I49" s="344"/>
      <c r="J49" s="344"/>
      <c r="K49" s="343"/>
      <c r="L49" s="343"/>
      <c r="M49" s="343" t="s">
        <v>4</v>
      </c>
      <c r="N49" s="343" t="s">
        <v>8021</v>
      </c>
      <c r="O49" s="343" t="s">
        <v>8022</v>
      </c>
      <c r="P49" s="343" t="s">
        <v>8088</v>
      </c>
      <c r="Q49" s="405" t="s">
        <v>8574</v>
      </c>
      <c r="R49" s="405" t="s">
        <v>8691</v>
      </c>
      <c r="S49" s="405" t="s">
        <v>8691</v>
      </c>
      <c r="T49" s="405" t="s">
        <v>8650</v>
      </c>
      <c r="U49" s="406">
        <f t="shared" si="0"/>
        <v>14</v>
      </c>
    </row>
    <row r="50" spans="1:21" ht="19" customHeight="1">
      <c r="A50" s="349" t="s">
        <v>2522</v>
      </c>
      <c r="B50" s="349" t="s">
        <v>8107</v>
      </c>
      <c r="C50" s="343" t="s">
        <v>8085</v>
      </c>
      <c r="D50" s="344" t="s">
        <v>8108</v>
      </c>
      <c r="E50" s="344" t="s">
        <v>8109</v>
      </c>
      <c r="F50" s="358">
        <v>24</v>
      </c>
      <c r="G50" s="360" t="s">
        <v>6229</v>
      </c>
      <c r="H50" s="360" t="s">
        <v>7262</v>
      </c>
      <c r="I50" s="344"/>
      <c r="J50" s="344"/>
      <c r="K50" s="343"/>
      <c r="L50" s="343"/>
      <c r="M50" s="343" t="s">
        <v>4</v>
      </c>
      <c r="N50" s="343" t="s">
        <v>8021</v>
      </c>
      <c r="O50" s="343" t="s">
        <v>8022</v>
      </c>
      <c r="P50" s="343" t="s">
        <v>8088</v>
      </c>
      <c r="Q50" s="405" t="s">
        <v>8574</v>
      </c>
      <c r="R50" s="405" t="s">
        <v>8691</v>
      </c>
      <c r="S50" s="405" t="s">
        <v>8691</v>
      </c>
      <c r="T50" s="405" t="s">
        <v>8650</v>
      </c>
      <c r="U50" s="406">
        <f t="shared" si="0"/>
        <v>24</v>
      </c>
    </row>
    <row r="51" spans="1:21" ht="19" customHeight="1">
      <c r="A51" s="349" t="s">
        <v>2522</v>
      </c>
      <c r="B51" s="349" t="s">
        <v>5879</v>
      </c>
      <c r="C51" s="343" t="s">
        <v>8110</v>
      </c>
      <c r="D51" s="344" t="s">
        <v>8241</v>
      </c>
      <c r="E51" s="344" t="s">
        <v>8111</v>
      </c>
      <c r="F51" s="358">
        <v>7</v>
      </c>
      <c r="G51" s="360" t="s">
        <v>6229</v>
      </c>
      <c r="H51" s="360" t="s">
        <v>8112</v>
      </c>
      <c r="I51" s="344"/>
      <c r="J51" s="344"/>
      <c r="K51" s="343"/>
      <c r="L51" s="343"/>
      <c r="M51" s="343" t="s">
        <v>4</v>
      </c>
      <c r="N51" s="343" t="s">
        <v>8021</v>
      </c>
      <c r="O51" s="343" t="s">
        <v>8022</v>
      </c>
      <c r="P51" s="343"/>
      <c r="Q51" s="405" t="s">
        <v>8574</v>
      </c>
      <c r="R51" s="405" t="s">
        <v>8691</v>
      </c>
      <c r="S51" s="405" t="s">
        <v>8691</v>
      </c>
      <c r="T51" s="405" t="s">
        <v>8650</v>
      </c>
      <c r="U51" s="406">
        <f t="shared" si="0"/>
        <v>7</v>
      </c>
    </row>
    <row r="52" spans="1:21" ht="19" customHeight="1">
      <c r="A52" s="349" t="s">
        <v>2522</v>
      </c>
      <c r="B52" s="349" t="s">
        <v>5880</v>
      </c>
      <c r="C52" s="343" t="s">
        <v>8110</v>
      </c>
      <c r="D52" s="344" t="s">
        <v>8242</v>
      </c>
      <c r="E52" s="344" t="s">
        <v>8113</v>
      </c>
      <c r="F52" s="358">
        <v>12</v>
      </c>
      <c r="G52" s="360" t="s">
        <v>6229</v>
      </c>
      <c r="H52" s="360" t="s">
        <v>8114</v>
      </c>
      <c r="I52" s="344"/>
      <c r="J52" s="344"/>
      <c r="K52" s="343"/>
      <c r="L52" s="343"/>
      <c r="M52" s="343" t="s">
        <v>4</v>
      </c>
      <c r="N52" s="343" t="s">
        <v>8021</v>
      </c>
      <c r="O52" s="343" t="s">
        <v>8022</v>
      </c>
      <c r="P52" s="343"/>
      <c r="Q52" s="405" t="s">
        <v>8574</v>
      </c>
      <c r="R52" s="405" t="s">
        <v>8691</v>
      </c>
      <c r="S52" s="405" t="s">
        <v>8691</v>
      </c>
      <c r="T52" s="405" t="s">
        <v>8650</v>
      </c>
      <c r="U52" s="406">
        <f t="shared" si="0"/>
        <v>12</v>
      </c>
    </row>
    <row r="53" spans="1:21" ht="19" customHeight="1">
      <c r="A53" s="349" t="s">
        <v>2522</v>
      </c>
      <c r="B53" s="349" t="s">
        <v>5881</v>
      </c>
      <c r="C53" s="343" t="s">
        <v>8110</v>
      </c>
      <c r="D53" s="344" t="s">
        <v>8243</v>
      </c>
      <c r="E53" s="344" t="s">
        <v>8115</v>
      </c>
      <c r="F53" s="358">
        <v>4</v>
      </c>
      <c r="G53" s="360" t="s">
        <v>6229</v>
      </c>
      <c r="H53" s="360" t="s">
        <v>7262</v>
      </c>
      <c r="I53" s="344"/>
      <c r="J53" s="344"/>
      <c r="K53" s="343"/>
      <c r="L53" s="343"/>
      <c r="M53" s="343" t="s">
        <v>4</v>
      </c>
      <c r="N53" s="343" t="s">
        <v>8021</v>
      </c>
      <c r="O53" s="343" t="s">
        <v>8022</v>
      </c>
      <c r="P53" s="343"/>
      <c r="Q53" s="405" t="s">
        <v>8574</v>
      </c>
      <c r="R53" s="405" t="s">
        <v>8691</v>
      </c>
      <c r="S53" s="405" t="s">
        <v>8691</v>
      </c>
      <c r="T53" s="405" t="s">
        <v>8650</v>
      </c>
      <c r="U53" s="406">
        <f t="shared" si="0"/>
        <v>4</v>
      </c>
    </row>
    <row r="54" spans="1:21" ht="19" customHeight="1">
      <c r="A54" s="349" t="s">
        <v>2522</v>
      </c>
      <c r="B54" s="349" t="s">
        <v>5882</v>
      </c>
      <c r="C54" s="343" t="s">
        <v>8110</v>
      </c>
      <c r="D54" s="344" t="s">
        <v>8244</v>
      </c>
      <c r="E54" s="344" t="s">
        <v>8116</v>
      </c>
      <c r="F54" s="358">
        <v>3</v>
      </c>
      <c r="G54" s="360" t="s">
        <v>6229</v>
      </c>
      <c r="H54" s="360" t="s">
        <v>7262</v>
      </c>
      <c r="I54" s="344"/>
      <c r="J54" s="344"/>
      <c r="K54" s="343"/>
      <c r="L54" s="343"/>
      <c r="M54" s="343" t="s">
        <v>4</v>
      </c>
      <c r="N54" s="343" t="s">
        <v>8021</v>
      </c>
      <c r="O54" s="343" t="s">
        <v>8022</v>
      </c>
      <c r="P54" s="343"/>
      <c r="Q54" s="405" t="s">
        <v>8574</v>
      </c>
      <c r="R54" s="405" t="s">
        <v>8691</v>
      </c>
      <c r="S54" s="405" t="s">
        <v>8691</v>
      </c>
      <c r="T54" s="405" t="s">
        <v>8650</v>
      </c>
      <c r="U54" s="406">
        <f t="shared" si="0"/>
        <v>3</v>
      </c>
    </row>
    <row r="55" spans="1:21" ht="19" customHeight="1">
      <c r="A55" s="349" t="s">
        <v>2522</v>
      </c>
      <c r="B55" s="349" t="s">
        <v>5883</v>
      </c>
      <c r="C55" s="343" t="s">
        <v>8110</v>
      </c>
      <c r="D55" s="344" t="s">
        <v>8245</v>
      </c>
      <c r="E55" s="344" t="s">
        <v>8117</v>
      </c>
      <c r="F55" s="358">
        <v>3</v>
      </c>
      <c r="G55" s="360" t="s">
        <v>6229</v>
      </c>
      <c r="H55" s="360" t="s">
        <v>7262</v>
      </c>
      <c r="I55" s="344"/>
      <c r="J55" s="344"/>
      <c r="K55" s="343"/>
      <c r="L55" s="343"/>
      <c r="M55" s="343" t="s">
        <v>4</v>
      </c>
      <c r="N55" s="343" t="s">
        <v>8021</v>
      </c>
      <c r="O55" s="343" t="s">
        <v>8022</v>
      </c>
      <c r="P55" s="343"/>
      <c r="Q55" s="405" t="s">
        <v>8574</v>
      </c>
      <c r="R55" s="405" t="s">
        <v>8691</v>
      </c>
      <c r="S55" s="405" t="s">
        <v>8691</v>
      </c>
      <c r="T55" s="405" t="s">
        <v>8650</v>
      </c>
      <c r="U55" s="406">
        <f t="shared" si="0"/>
        <v>3</v>
      </c>
    </row>
    <row r="56" spans="1:21" ht="19" customHeight="1">
      <c r="A56" s="349" t="s">
        <v>2522</v>
      </c>
      <c r="B56" s="349" t="s">
        <v>8118</v>
      </c>
      <c r="C56" s="343" t="s">
        <v>8110</v>
      </c>
      <c r="D56" s="344" t="s">
        <v>8119</v>
      </c>
      <c r="E56" s="344" t="s">
        <v>8120</v>
      </c>
      <c r="F56" s="358">
        <v>3</v>
      </c>
      <c r="G56" s="360" t="s">
        <v>6229</v>
      </c>
      <c r="H56" s="360" t="s">
        <v>8121</v>
      </c>
      <c r="I56" s="344"/>
      <c r="J56" s="344"/>
      <c r="K56" s="343"/>
      <c r="L56" s="343"/>
      <c r="M56" s="343" t="s">
        <v>4</v>
      </c>
      <c r="N56" s="343" t="s">
        <v>8021</v>
      </c>
      <c r="O56" s="343" t="s">
        <v>8022</v>
      </c>
      <c r="P56" s="343" t="s">
        <v>8122</v>
      </c>
      <c r="Q56" s="405" t="s">
        <v>8574</v>
      </c>
      <c r="R56" s="405" t="s">
        <v>8691</v>
      </c>
      <c r="S56" s="405" t="s">
        <v>8691</v>
      </c>
      <c r="T56" s="405" t="s">
        <v>8650</v>
      </c>
      <c r="U56" s="406">
        <f t="shared" si="0"/>
        <v>3</v>
      </c>
    </row>
    <row r="57" spans="1:21" ht="19" customHeight="1">
      <c r="A57" s="349" t="s">
        <v>2522</v>
      </c>
      <c r="B57" s="349" t="s">
        <v>5884</v>
      </c>
      <c r="C57" s="343" t="s">
        <v>8123</v>
      </c>
      <c r="D57" s="344" t="s">
        <v>8124</v>
      </c>
      <c r="E57" s="344" t="s">
        <v>8125</v>
      </c>
      <c r="F57" s="358">
        <v>3</v>
      </c>
      <c r="G57" s="360" t="s">
        <v>7940</v>
      </c>
      <c r="H57" s="360" t="s">
        <v>7319</v>
      </c>
      <c r="I57" s="344"/>
      <c r="J57" s="344"/>
      <c r="K57" s="343"/>
      <c r="L57" s="343" t="s">
        <v>8126</v>
      </c>
      <c r="M57" s="343" t="s">
        <v>4</v>
      </c>
      <c r="N57" s="343" t="s">
        <v>8021</v>
      </c>
      <c r="O57" s="343" t="s">
        <v>8022</v>
      </c>
      <c r="P57" s="343"/>
      <c r="Q57" s="405" t="s">
        <v>8574</v>
      </c>
      <c r="R57" s="405" t="s">
        <v>5168</v>
      </c>
      <c r="S57" s="405" t="s">
        <v>5168</v>
      </c>
      <c r="T57" s="405" t="s">
        <v>8653</v>
      </c>
      <c r="U57" s="406">
        <f t="shared" si="0"/>
        <v>3</v>
      </c>
    </row>
    <row r="58" spans="1:21" ht="19" customHeight="1">
      <c r="A58" s="349" t="s">
        <v>2522</v>
      </c>
      <c r="B58" s="349" t="s">
        <v>5885</v>
      </c>
      <c r="C58" s="343" t="s">
        <v>8123</v>
      </c>
      <c r="D58" s="344" t="s">
        <v>8127</v>
      </c>
      <c r="E58" s="344" t="s">
        <v>8128</v>
      </c>
      <c r="F58" s="358">
        <v>2</v>
      </c>
      <c r="G58" s="360" t="s">
        <v>7948</v>
      </c>
      <c r="H58" s="360" t="s">
        <v>7309</v>
      </c>
      <c r="I58" s="344"/>
      <c r="J58" s="344"/>
      <c r="K58" s="343"/>
      <c r="L58" s="343" t="s">
        <v>8129</v>
      </c>
      <c r="M58" s="343" t="s">
        <v>4</v>
      </c>
      <c r="N58" s="343" t="s">
        <v>8021</v>
      </c>
      <c r="O58" s="343" t="s">
        <v>8022</v>
      </c>
      <c r="P58" s="343"/>
      <c r="Q58" s="405" t="s">
        <v>8574</v>
      </c>
      <c r="R58" s="405" t="s">
        <v>5168</v>
      </c>
      <c r="S58" s="405" t="s">
        <v>5168</v>
      </c>
      <c r="T58" s="405" t="s">
        <v>8653</v>
      </c>
      <c r="U58" s="406">
        <f t="shared" si="0"/>
        <v>2</v>
      </c>
    </row>
    <row r="59" spans="1:21" ht="19" customHeight="1">
      <c r="A59" s="349" t="s">
        <v>2522</v>
      </c>
      <c r="B59" s="349" t="s">
        <v>5886</v>
      </c>
      <c r="C59" s="343" t="s">
        <v>8123</v>
      </c>
      <c r="D59" s="344" t="s">
        <v>8130</v>
      </c>
      <c r="E59" s="344" t="s">
        <v>8131</v>
      </c>
      <c r="F59" s="358">
        <v>3</v>
      </c>
      <c r="G59" s="360" t="s">
        <v>7948</v>
      </c>
      <c r="H59" s="360" t="s">
        <v>7310</v>
      </c>
      <c r="I59" s="344"/>
      <c r="J59" s="344"/>
      <c r="K59" s="343"/>
      <c r="L59" s="343" t="s">
        <v>8132</v>
      </c>
      <c r="M59" s="343" t="s">
        <v>4</v>
      </c>
      <c r="N59" s="343" t="s">
        <v>8021</v>
      </c>
      <c r="O59" s="343" t="s">
        <v>8022</v>
      </c>
      <c r="P59" s="343"/>
      <c r="Q59" s="405" t="s">
        <v>8574</v>
      </c>
      <c r="R59" s="405" t="s">
        <v>5168</v>
      </c>
      <c r="S59" s="405" t="s">
        <v>5168</v>
      </c>
      <c r="T59" s="405" t="s">
        <v>8653</v>
      </c>
      <c r="U59" s="406">
        <f t="shared" si="0"/>
        <v>3</v>
      </c>
    </row>
    <row r="60" spans="1:21" ht="19" customHeight="1">
      <c r="A60" s="349" t="s">
        <v>2522</v>
      </c>
      <c r="B60" s="349" t="s">
        <v>5887</v>
      </c>
      <c r="C60" s="343" t="s">
        <v>8123</v>
      </c>
      <c r="D60" s="344" t="s">
        <v>8133</v>
      </c>
      <c r="E60" s="344" t="s">
        <v>8134</v>
      </c>
      <c r="F60" s="358">
        <v>2</v>
      </c>
      <c r="G60" s="360" t="s">
        <v>7928</v>
      </c>
      <c r="H60" s="360" t="s">
        <v>7305</v>
      </c>
      <c r="I60" s="344"/>
      <c r="J60" s="344"/>
      <c r="K60" s="343"/>
      <c r="L60" s="343" t="s">
        <v>8135</v>
      </c>
      <c r="M60" s="343" t="s">
        <v>4</v>
      </c>
      <c r="N60" s="343" t="s">
        <v>8021</v>
      </c>
      <c r="O60" s="343" t="s">
        <v>8022</v>
      </c>
      <c r="P60" s="343"/>
      <c r="Q60" s="405" t="s">
        <v>8574</v>
      </c>
      <c r="R60" s="405" t="s">
        <v>8691</v>
      </c>
      <c r="S60" s="405" t="s">
        <v>5168</v>
      </c>
      <c r="T60" s="405" t="s">
        <v>8653</v>
      </c>
      <c r="U60" s="406">
        <f t="shared" si="0"/>
        <v>2</v>
      </c>
    </row>
    <row r="61" spans="1:21" ht="19" customHeight="1">
      <c r="A61" s="349" t="s">
        <v>2522</v>
      </c>
      <c r="B61" s="349" t="s">
        <v>5888</v>
      </c>
      <c r="C61" s="343" t="s">
        <v>8123</v>
      </c>
      <c r="D61" s="344" t="s">
        <v>8136</v>
      </c>
      <c r="E61" s="344" t="s">
        <v>8137</v>
      </c>
      <c r="F61" s="358">
        <v>2</v>
      </c>
      <c r="G61" s="360" t="s">
        <v>7875</v>
      </c>
      <c r="H61" s="360" t="s">
        <v>7325</v>
      </c>
      <c r="I61" s="344"/>
      <c r="J61" s="344"/>
      <c r="K61" s="343"/>
      <c r="L61" s="343" t="s">
        <v>8138</v>
      </c>
      <c r="M61" s="343" t="s">
        <v>4</v>
      </c>
      <c r="N61" s="343" t="s">
        <v>8021</v>
      </c>
      <c r="O61" s="343" t="s">
        <v>8022</v>
      </c>
      <c r="P61" s="343"/>
      <c r="Q61" s="405" t="s">
        <v>8574</v>
      </c>
      <c r="R61" s="405" t="s">
        <v>8694</v>
      </c>
      <c r="S61" s="405" t="s">
        <v>8691</v>
      </c>
      <c r="T61" s="405" t="s">
        <v>8653</v>
      </c>
      <c r="U61" s="406">
        <f t="shared" si="0"/>
        <v>2</v>
      </c>
    </row>
    <row r="62" spans="1:21" ht="19" customHeight="1">
      <c r="A62" s="349" t="s">
        <v>2522</v>
      </c>
      <c r="B62" s="349" t="s">
        <v>5889</v>
      </c>
      <c r="C62" s="343" t="s">
        <v>8123</v>
      </c>
      <c r="D62" s="344" t="s">
        <v>8139</v>
      </c>
      <c r="E62" s="344" t="s">
        <v>8140</v>
      </c>
      <c r="F62" s="358">
        <v>2</v>
      </c>
      <c r="G62" s="360" t="s">
        <v>6229</v>
      </c>
      <c r="H62" s="360" t="s">
        <v>7382</v>
      </c>
      <c r="I62" s="344"/>
      <c r="J62" s="344"/>
      <c r="K62" s="343"/>
      <c r="L62" s="343" t="s">
        <v>8141</v>
      </c>
      <c r="M62" s="343" t="s">
        <v>4</v>
      </c>
      <c r="N62" s="343" t="s">
        <v>8021</v>
      </c>
      <c r="O62" s="343" t="s">
        <v>8022</v>
      </c>
      <c r="P62" s="343" t="s">
        <v>8088</v>
      </c>
      <c r="Q62" s="405" t="s">
        <v>8574</v>
      </c>
      <c r="R62" s="405" t="s">
        <v>8691</v>
      </c>
      <c r="S62" s="405" t="s">
        <v>8691</v>
      </c>
      <c r="T62" s="405" t="s">
        <v>8650</v>
      </c>
      <c r="U62" s="406">
        <f t="shared" si="0"/>
        <v>2</v>
      </c>
    </row>
    <row r="63" spans="1:21" ht="19" customHeight="1">
      <c r="A63" s="349" t="s">
        <v>2522</v>
      </c>
      <c r="B63" s="349" t="s">
        <v>5890</v>
      </c>
      <c r="C63" s="343" t="s">
        <v>8123</v>
      </c>
      <c r="D63" s="344" t="s">
        <v>8142</v>
      </c>
      <c r="E63" s="344" t="s">
        <v>8143</v>
      </c>
      <c r="F63" s="358">
        <v>2</v>
      </c>
      <c r="G63" s="360" t="s">
        <v>7875</v>
      </c>
      <c r="H63" s="360" t="s">
        <v>7324</v>
      </c>
      <c r="I63" s="344"/>
      <c r="J63" s="344"/>
      <c r="K63" s="343"/>
      <c r="L63" s="343" t="s">
        <v>8144</v>
      </c>
      <c r="M63" s="343" t="s">
        <v>4</v>
      </c>
      <c r="N63" s="343" t="s">
        <v>8021</v>
      </c>
      <c r="O63" s="343" t="s">
        <v>8022</v>
      </c>
      <c r="P63" s="343" t="s">
        <v>8088</v>
      </c>
      <c r="Q63" s="405" t="s">
        <v>8574</v>
      </c>
      <c r="R63" s="405" t="s">
        <v>8694</v>
      </c>
      <c r="S63" s="405" t="s">
        <v>8691</v>
      </c>
      <c r="T63" s="405" t="s">
        <v>8653</v>
      </c>
      <c r="U63" s="406">
        <f t="shared" si="0"/>
        <v>2</v>
      </c>
    </row>
    <row r="64" spans="1:21" ht="19" customHeight="1">
      <c r="A64" s="349" t="s">
        <v>2522</v>
      </c>
      <c r="B64" s="349" t="s">
        <v>5891</v>
      </c>
      <c r="C64" s="343" t="s">
        <v>8123</v>
      </c>
      <c r="D64" s="344" t="s">
        <v>8145</v>
      </c>
      <c r="E64" s="344" t="s">
        <v>8146</v>
      </c>
      <c r="F64" s="358">
        <v>3</v>
      </c>
      <c r="G64" s="360" t="s">
        <v>7875</v>
      </c>
      <c r="H64" s="360" t="s">
        <v>7324</v>
      </c>
      <c r="I64" s="344"/>
      <c r="J64" s="344"/>
      <c r="K64" s="343"/>
      <c r="L64" s="343" t="s">
        <v>8147</v>
      </c>
      <c r="M64" s="343" t="s">
        <v>4</v>
      </c>
      <c r="N64" s="343" t="s">
        <v>8021</v>
      </c>
      <c r="O64" s="343" t="s">
        <v>8022</v>
      </c>
      <c r="P64" s="343" t="s">
        <v>8088</v>
      </c>
      <c r="Q64" s="405" t="s">
        <v>8574</v>
      </c>
      <c r="R64" s="405" t="s">
        <v>8694</v>
      </c>
      <c r="S64" s="405" t="s">
        <v>8691</v>
      </c>
      <c r="T64" s="405" t="s">
        <v>8653</v>
      </c>
      <c r="U64" s="406">
        <f t="shared" si="0"/>
        <v>3</v>
      </c>
    </row>
    <row r="65" spans="1:21" ht="19" customHeight="1">
      <c r="A65" s="349" t="s">
        <v>2522</v>
      </c>
      <c r="B65" s="349" t="s">
        <v>8148</v>
      </c>
      <c r="C65" s="343" t="s">
        <v>8123</v>
      </c>
      <c r="D65" s="344" t="s">
        <v>8149</v>
      </c>
      <c r="E65" s="344" t="s">
        <v>8150</v>
      </c>
      <c r="F65" s="358">
        <v>5</v>
      </c>
      <c r="G65" s="360" t="s">
        <v>6229</v>
      </c>
      <c r="H65" s="360" t="s">
        <v>7262</v>
      </c>
      <c r="I65" s="344"/>
      <c r="J65" s="344"/>
      <c r="K65" s="343"/>
      <c r="L65" s="343" t="s">
        <v>8151</v>
      </c>
      <c r="M65" s="343" t="s">
        <v>4</v>
      </c>
      <c r="N65" s="343" t="s">
        <v>8021</v>
      </c>
      <c r="O65" s="343" t="s">
        <v>8022</v>
      </c>
      <c r="P65" s="343"/>
      <c r="Q65" s="405" t="s">
        <v>8574</v>
      </c>
      <c r="R65" s="405" t="s">
        <v>8691</v>
      </c>
      <c r="S65" s="405" t="s">
        <v>8691</v>
      </c>
      <c r="T65" s="405" t="s">
        <v>8650</v>
      </c>
      <c r="U65" s="406">
        <f t="shared" si="0"/>
        <v>5</v>
      </c>
    </row>
    <row r="66" spans="1:21" ht="19" customHeight="1">
      <c r="A66" s="349" t="s">
        <v>2522</v>
      </c>
      <c r="B66" s="349" t="s">
        <v>8152</v>
      </c>
      <c r="C66" s="343" t="s">
        <v>8123</v>
      </c>
      <c r="D66" s="344" t="s">
        <v>8153</v>
      </c>
      <c r="E66" s="344" t="s">
        <v>8150</v>
      </c>
      <c r="F66" s="358">
        <v>3</v>
      </c>
      <c r="G66" s="360" t="s">
        <v>6229</v>
      </c>
      <c r="H66" s="360" t="s">
        <v>7262</v>
      </c>
      <c r="I66" s="344"/>
      <c r="J66" s="344"/>
      <c r="K66" s="343"/>
      <c r="L66" s="343" t="s">
        <v>8151</v>
      </c>
      <c r="M66" s="343" t="s">
        <v>4</v>
      </c>
      <c r="N66" s="343" t="s">
        <v>8021</v>
      </c>
      <c r="O66" s="343" t="s">
        <v>8022</v>
      </c>
      <c r="P66" s="343"/>
      <c r="Q66" s="405" t="s">
        <v>8574</v>
      </c>
      <c r="R66" s="405" t="s">
        <v>8691</v>
      </c>
      <c r="S66" s="405" t="s">
        <v>8691</v>
      </c>
      <c r="T66" s="405" t="s">
        <v>8650</v>
      </c>
      <c r="U66" s="406">
        <f t="shared" si="0"/>
        <v>3</v>
      </c>
    </row>
    <row r="67" spans="1:21" ht="19" customHeight="1">
      <c r="A67" s="349" t="s">
        <v>2522</v>
      </c>
      <c r="B67" s="349" t="s">
        <v>8154</v>
      </c>
      <c r="C67" s="343" t="s">
        <v>8123</v>
      </c>
      <c r="D67" s="344" t="s">
        <v>8155</v>
      </c>
      <c r="E67" s="344" t="s">
        <v>8150</v>
      </c>
      <c r="F67" s="358">
        <v>4</v>
      </c>
      <c r="G67" s="360" t="s">
        <v>6229</v>
      </c>
      <c r="H67" s="360" t="s">
        <v>7262</v>
      </c>
      <c r="I67" s="344"/>
      <c r="J67" s="344"/>
      <c r="K67" s="343"/>
      <c r="L67" s="343" t="s">
        <v>8151</v>
      </c>
      <c r="M67" s="343" t="s">
        <v>4</v>
      </c>
      <c r="N67" s="343" t="s">
        <v>8021</v>
      </c>
      <c r="O67" s="343" t="s">
        <v>8022</v>
      </c>
      <c r="P67" s="343"/>
      <c r="Q67" s="405" t="s">
        <v>8574</v>
      </c>
      <c r="R67" s="405" t="s">
        <v>8691</v>
      </c>
      <c r="S67" s="405" t="s">
        <v>8691</v>
      </c>
      <c r="T67" s="405" t="s">
        <v>8650</v>
      </c>
      <c r="U67" s="406">
        <f t="shared" si="0"/>
        <v>4</v>
      </c>
    </row>
    <row r="68" spans="1:21" ht="19" customHeight="1">
      <c r="A68" s="349" t="s">
        <v>2522</v>
      </c>
      <c r="B68" s="349" t="s">
        <v>8156</v>
      </c>
      <c r="C68" s="343" t="s">
        <v>8123</v>
      </c>
      <c r="D68" s="344" t="s">
        <v>8157</v>
      </c>
      <c r="E68" s="344" t="s">
        <v>8150</v>
      </c>
      <c r="F68" s="358">
        <v>3</v>
      </c>
      <c r="G68" s="360" t="s">
        <v>6229</v>
      </c>
      <c r="H68" s="360" t="s">
        <v>7262</v>
      </c>
      <c r="I68" s="344"/>
      <c r="J68" s="344"/>
      <c r="K68" s="343"/>
      <c r="L68" s="343" t="s">
        <v>8151</v>
      </c>
      <c r="M68" s="343" t="s">
        <v>4</v>
      </c>
      <c r="N68" s="343" t="s">
        <v>8021</v>
      </c>
      <c r="O68" s="343" t="s">
        <v>8022</v>
      </c>
      <c r="P68" s="343"/>
      <c r="Q68" s="405" t="s">
        <v>8574</v>
      </c>
      <c r="R68" s="405" t="s">
        <v>8691</v>
      </c>
      <c r="S68" s="405" t="s">
        <v>8691</v>
      </c>
      <c r="T68" s="405" t="s">
        <v>8650</v>
      </c>
      <c r="U68" s="406">
        <f t="shared" si="0"/>
        <v>3</v>
      </c>
    </row>
    <row r="69" spans="1:21" ht="19" customHeight="1">
      <c r="A69" s="349" t="s">
        <v>2522</v>
      </c>
      <c r="B69" s="349" t="s">
        <v>8158</v>
      </c>
      <c r="C69" s="343" t="s">
        <v>8123</v>
      </c>
      <c r="D69" s="344" t="s">
        <v>8159</v>
      </c>
      <c r="E69" s="344" t="s">
        <v>8160</v>
      </c>
      <c r="F69" s="358">
        <v>1</v>
      </c>
      <c r="G69" s="360" t="s">
        <v>6229</v>
      </c>
      <c r="H69" s="360" t="s">
        <v>7367</v>
      </c>
      <c r="I69" s="344"/>
      <c r="J69" s="344"/>
      <c r="K69" s="343"/>
      <c r="L69" s="343" t="s">
        <v>8161</v>
      </c>
      <c r="M69" s="343" t="s">
        <v>4</v>
      </c>
      <c r="N69" s="343" t="s">
        <v>8021</v>
      </c>
      <c r="O69" s="343" t="s">
        <v>8022</v>
      </c>
      <c r="P69" s="343" t="s">
        <v>8088</v>
      </c>
      <c r="Q69" s="405" t="s">
        <v>8574</v>
      </c>
      <c r="R69" s="405" t="s">
        <v>8691</v>
      </c>
      <c r="S69" s="405" t="s">
        <v>8691</v>
      </c>
      <c r="T69" s="405" t="s">
        <v>8650</v>
      </c>
      <c r="U69" s="406">
        <f t="shared" si="0"/>
        <v>1</v>
      </c>
    </row>
    <row r="70" spans="1:21" ht="19" customHeight="1">
      <c r="A70" s="349" t="s">
        <v>2522</v>
      </c>
      <c r="B70" s="349" t="s">
        <v>8162</v>
      </c>
      <c r="C70" s="343" t="s">
        <v>8123</v>
      </c>
      <c r="D70" s="344" t="s">
        <v>8163</v>
      </c>
      <c r="E70" s="344" t="s">
        <v>8164</v>
      </c>
      <c r="F70" s="358">
        <v>1</v>
      </c>
      <c r="G70" s="360" t="s">
        <v>7945</v>
      </c>
      <c r="H70" s="360" t="s">
        <v>7277</v>
      </c>
      <c r="I70" s="344"/>
      <c r="J70" s="344"/>
      <c r="K70" s="343"/>
      <c r="L70" s="343" t="s">
        <v>8165</v>
      </c>
      <c r="M70" s="343" t="s">
        <v>4</v>
      </c>
      <c r="N70" s="343" t="s">
        <v>8021</v>
      </c>
      <c r="O70" s="343" t="s">
        <v>8022</v>
      </c>
      <c r="P70" s="343" t="s">
        <v>8088</v>
      </c>
      <c r="Q70" s="405" t="s">
        <v>8574</v>
      </c>
      <c r="R70" s="405" t="s">
        <v>8691</v>
      </c>
      <c r="S70" s="405" t="s">
        <v>8691</v>
      </c>
      <c r="T70" s="405" t="s">
        <v>8652</v>
      </c>
      <c r="U70" s="406">
        <f t="shared" si="0"/>
        <v>1</v>
      </c>
    </row>
    <row r="71" spans="1:21" ht="19" customHeight="1">
      <c r="A71" s="349" t="s">
        <v>2522</v>
      </c>
      <c r="B71" s="349" t="s">
        <v>8166</v>
      </c>
      <c r="C71" s="343" t="s">
        <v>8123</v>
      </c>
      <c r="D71" s="344" t="s">
        <v>8167</v>
      </c>
      <c r="E71" s="344" t="s">
        <v>8168</v>
      </c>
      <c r="F71" s="358">
        <v>2</v>
      </c>
      <c r="G71" s="360" t="s">
        <v>7939</v>
      </c>
      <c r="H71" s="360" t="s">
        <v>7371</v>
      </c>
      <c r="I71" s="344"/>
      <c r="J71" s="344"/>
      <c r="K71" s="343"/>
      <c r="L71" s="343" t="s">
        <v>8169</v>
      </c>
      <c r="M71" s="343" t="s">
        <v>4</v>
      </c>
      <c r="N71" s="343" t="s">
        <v>8021</v>
      </c>
      <c r="O71" s="343" t="s">
        <v>8022</v>
      </c>
      <c r="P71" s="343"/>
      <c r="Q71" s="405" t="s">
        <v>8574</v>
      </c>
      <c r="R71" s="405" t="s">
        <v>8691</v>
      </c>
      <c r="S71" s="405" t="s">
        <v>5168</v>
      </c>
      <c r="T71" s="405" t="s">
        <v>8653</v>
      </c>
      <c r="U71" s="406">
        <f t="shared" ref="U71:U134" si="1">IF($A71="③ 構築（DU）",$F71*0.6,$F71)</f>
        <v>2</v>
      </c>
    </row>
    <row r="72" spans="1:21" ht="19" customHeight="1">
      <c r="A72" s="349" t="s">
        <v>2522</v>
      </c>
      <c r="B72" s="349" t="s">
        <v>8170</v>
      </c>
      <c r="C72" s="343" t="s">
        <v>8123</v>
      </c>
      <c r="D72" s="344" t="s">
        <v>8171</v>
      </c>
      <c r="E72" s="344" t="s">
        <v>8172</v>
      </c>
      <c r="F72" s="358">
        <v>2</v>
      </c>
      <c r="G72" s="360" t="s">
        <v>7928</v>
      </c>
      <c r="H72" s="360" t="s">
        <v>7304</v>
      </c>
      <c r="I72" s="344"/>
      <c r="J72" s="344"/>
      <c r="K72" s="343"/>
      <c r="L72" s="343" t="s">
        <v>8173</v>
      </c>
      <c r="M72" s="343" t="s">
        <v>4</v>
      </c>
      <c r="N72" s="343" t="s">
        <v>8021</v>
      </c>
      <c r="O72" s="343" t="s">
        <v>8022</v>
      </c>
      <c r="P72" s="343" t="s">
        <v>8088</v>
      </c>
      <c r="Q72" s="405" t="s">
        <v>8574</v>
      </c>
      <c r="R72" s="405" t="s">
        <v>8691</v>
      </c>
      <c r="S72" s="405" t="s">
        <v>5168</v>
      </c>
      <c r="T72" s="405" t="s">
        <v>8653</v>
      </c>
      <c r="U72" s="406">
        <f t="shared" si="1"/>
        <v>2</v>
      </c>
    </row>
    <row r="73" spans="1:21" ht="19" customHeight="1">
      <c r="A73" s="349" t="s">
        <v>2522</v>
      </c>
      <c r="B73" s="349" t="s">
        <v>5892</v>
      </c>
      <c r="C73" s="343" t="s">
        <v>8174</v>
      </c>
      <c r="D73" s="344" t="s">
        <v>8175</v>
      </c>
      <c r="E73" s="344" t="s">
        <v>8176</v>
      </c>
      <c r="F73" s="358">
        <v>12</v>
      </c>
      <c r="G73" s="360" t="s">
        <v>6229</v>
      </c>
      <c r="H73" s="360" t="s">
        <v>8177</v>
      </c>
      <c r="I73" s="344"/>
      <c r="J73" s="344"/>
      <c r="K73" s="343"/>
      <c r="L73" s="343"/>
      <c r="M73" s="343" t="s">
        <v>4</v>
      </c>
      <c r="N73" s="343" t="s">
        <v>8021</v>
      </c>
      <c r="O73" s="343" t="s">
        <v>8022</v>
      </c>
      <c r="P73" s="343"/>
      <c r="Q73" s="405" t="s">
        <v>8574</v>
      </c>
      <c r="R73" s="405" t="s">
        <v>8691</v>
      </c>
      <c r="S73" s="405" t="s">
        <v>8691</v>
      </c>
      <c r="T73" s="405" t="s">
        <v>8650</v>
      </c>
      <c r="U73" s="406">
        <f t="shared" si="1"/>
        <v>12</v>
      </c>
    </row>
    <row r="74" spans="1:21" ht="19" customHeight="1">
      <c r="A74" s="349" t="s">
        <v>2522</v>
      </c>
      <c r="B74" s="349" t="s">
        <v>5893</v>
      </c>
      <c r="C74" s="343" t="s">
        <v>8174</v>
      </c>
      <c r="D74" s="344" t="s">
        <v>8246</v>
      </c>
      <c r="E74" s="344" t="s">
        <v>8178</v>
      </c>
      <c r="F74" s="358">
        <v>5</v>
      </c>
      <c r="G74" s="360" t="s">
        <v>7927</v>
      </c>
      <c r="H74" s="360" t="s">
        <v>7297</v>
      </c>
      <c r="I74" s="344"/>
      <c r="J74" s="344"/>
      <c r="K74" s="343"/>
      <c r="L74" s="343"/>
      <c r="M74" s="343" t="s">
        <v>4</v>
      </c>
      <c r="N74" s="343" t="s">
        <v>8021</v>
      </c>
      <c r="O74" s="343" t="s">
        <v>8022</v>
      </c>
      <c r="P74" s="343"/>
      <c r="Q74" s="405" t="s">
        <v>8574</v>
      </c>
      <c r="R74" s="405" t="s">
        <v>8691</v>
      </c>
      <c r="S74" s="405" t="s">
        <v>5168</v>
      </c>
      <c r="T74" s="405" t="s">
        <v>8653</v>
      </c>
      <c r="U74" s="406">
        <f t="shared" si="1"/>
        <v>5</v>
      </c>
    </row>
    <row r="75" spans="1:21" ht="19" customHeight="1">
      <c r="A75" s="349" t="s">
        <v>2522</v>
      </c>
      <c r="B75" s="349" t="s">
        <v>5894</v>
      </c>
      <c r="C75" s="343" t="s">
        <v>8174</v>
      </c>
      <c r="D75" s="344" t="s">
        <v>8179</v>
      </c>
      <c r="E75" s="344" t="s">
        <v>8180</v>
      </c>
      <c r="F75" s="358">
        <v>4</v>
      </c>
      <c r="G75" s="360" t="s">
        <v>7953</v>
      </c>
      <c r="H75" s="360" t="s">
        <v>7954</v>
      </c>
      <c r="I75" s="344"/>
      <c r="J75" s="344"/>
      <c r="K75" s="343"/>
      <c r="L75" s="343"/>
      <c r="M75" s="343" t="s">
        <v>4</v>
      </c>
      <c r="N75" s="343" t="s">
        <v>8021</v>
      </c>
      <c r="O75" s="343" t="s">
        <v>8022</v>
      </c>
      <c r="P75" s="343"/>
      <c r="Q75" s="405" t="s">
        <v>8688</v>
      </c>
      <c r="R75" s="405" t="s">
        <v>8694</v>
      </c>
      <c r="S75" s="405" t="s">
        <v>5168</v>
      </c>
      <c r="T75" s="405" t="s">
        <v>8653</v>
      </c>
      <c r="U75" s="406">
        <f t="shared" si="1"/>
        <v>4</v>
      </c>
    </row>
    <row r="76" spans="1:21" ht="19" customHeight="1">
      <c r="A76" s="349" t="s">
        <v>2522</v>
      </c>
      <c r="B76" s="349" t="s">
        <v>5895</v>
      </c>
      <c r="C76" s="343" t="s">
        <v>8174</v>
      </c>
      <c r="D76" s="344" t="s">
        <v>8181</v>
      </c>
      <c r="E76" s="344" t="s">
        <v>8182</v>
      </c>
      <c r="F76" s="358">
        <v>4</v>
      </c>
      <c r="G76" s="360" t="s">
        <v>7935</v>
      </c>
      <c r="H76" s="360" t="s">
        <v>7275</v>
      </c>
      <c r="I76" s="344"/>
      <c r="J76" s="344"/>
      <c r="K76" s="343"/>
      <c r="L76" s="343"/>
      <c r="M76" s="343" t="s">
        <v>4</v>
      </c>
      <c r="N76" s="343" t="s">
        <v>8021</v>
      </c>
      <c r="O76" s="343" t="s">
        <v>8022</v>
      </c>
      <c r="P76" s="343"/>
      <c r="Q76" s="405" t="s">
        <v>8574</v>
      </c>
      <c r="R76" s="405" t="s">
        <v>8694</v>
      </c>
      <c r="S76" s="405" t="s">
        <v>5168</v>
      </c>
      <c r="T76" s="405" t="s">
        <v>8653</v>
      </c>
      <c r="U76" s="406">
        <f t="shared" si="1"/>
        <v>4</v>
      </c>
    </row>
    <row r="77" spans="1:21" ht="19" customHeight="1">
      <c r="A77" s="349" t="s">
        <v>2522</v>
      </c>
      <c r="B77" s="349" t="s">
        <v>5896</v>
      </c>
      <c r="C77" s="343" t="s">
        <v>8174</v>
      </c>
      <c r="D77" s="344" t="s">
        <v>8247</v>
      </c>
      <c r="E77" s="344" t="s">
        <v>8183</v>
      </c>
      <c r="F77" s="358">
        <v>6</v>
      </c>
      <c r="G77" s="360" t="s">
        <v>6229</v>
      </c>
      <c r="H77" s="360" t="s">
        <v>7262</v>
      </c>
      <c r="I77" s="344"/>
      <c r="J77" s="344"/>
      <c r="K77" s="343"/>
      <c r="L77" s="343"/>
      <c r="M77" s="343" t="s">
        <v>4</v>
      </c>
      <c r="N77" s="343" t="s">
        <v>8021</v>
      </c>
      <c r="O77" s="343" t="s">
        <v>8022</v>
      </c>
      <c r="P77" s="343"/>
      <c r="Q77" s="405" t="s">
        <v>8574</v>
      </c>
      <c r="R77" s="405" t="s">
        <v>8691</v>
      </c>
      <c r="S77" s="405" t="s">
        <v>8691</v>
      </c>
      <c r="T77" s="405" t="s">
        <v>8650</v>
      </c>
      <c r="U77" s="406">
        <f t="shared" si="1"/>
        <v>6</v>
      </c>
    </row>
    <row r="78" spans="1:21" ht="19" customHeight="1">
      <c r="A78" s="349" t="s">
        <v>2522</v>
      </c>
      <c r="B78" s="349" t="s">
        <v>5897</v>
      </c>
      <c r="C78" s="343" t="s">
        <v>8174</v>
      </c>
      <c r="D78" s="344" t="s">
        <v>8248</v>
      </c>
      <c r="E78" s="344" t="s">
        <v>8184</v>
      </c>
      <c r="F78" s="358">
        <v>5</v>
      </c>
      <c r="G78" s="360" t="s">
        <v>7929</v>
      </c>
      <c r="H78" s="360" t="s">
        <v>7270</v>
      </c>
      <c r="I78" s="344"/>
      <c r="J78" s="344"/>
      <c r="K78" s="343"/>
      <c r="L78" s="343"/>
      <c r="M78" s="343" t="s">
        <v>4</v>
      </c>
      <c r="N78" s="343" t="s">
        <v>8021</v>
      </c>
      <c r="O78" s="343" t="s">
        <v>8022</v>
      </c>
      <c r="P78" s="343"/>
      <c r="Q78" s="405" t="s">
        <v>8574</v>
      </c>
      <c r="R78" s="405" t="s">
        <v>8691</v>
      </c>
      <c r="S78" s="405" t="s">
        <v>8691</v>
      </c>
      <c r="T78" s="405" t="s">
        <v>8653</v>
      </c>
      <c r="U78" s="406">
        <f t="shared" si="1"/>
        <v>5</v>
      </c>
    </row>
    <row r="79" spans="1:21" ht="19" customHeight="1">
      <c r="A79" s="349" t="s">
        <v>2522</v>
      </c>
      <c r="B79" s="349" t="s">
        <v>5898</v>
      </c>
      <c r="C79" s="343" t="s">
        <v>8185</v>
      </c>
      <c r="D79" s="344" t="s">
        <v>8249</v>
      </c>
      <c r="E79" s="344" t="s">
        <v>8186</v>
      </c>
      <c r="F79" s="358">
        <v>8</v>
      </c>
      <c r="G79" s="360" t="s">
        <v>6229</v>
      </c>
      <c r="H79" s="360" t="s">
        <v>7352</v>
      </c>
      <c r="I79" s="344"/>
      <c r="J79" s="344"/>
      <c r="K79" s="343"/>
      <c r="L79" s="343"/>
      <c r="M79" s="343" t="s">
        <v>4</v>
      </c>
      <c r="N79" s="343" t="s">
        <v>8021</v>
      </c>
      <c r="O79" s="343" t="s">
        <v>8022</v>
      </c>
      <c r="P79" s="343"/>
      <c r="Q79" s="405" t="s">
        <v>8574</v>
      </c>
      <c r="R79" s="405" t="s">
        <v>8691</v>
      </c>
      <c r="S79" s="405" t="s">
        <v>8691</v>
      </c>
      <c r="T79" s="405" t="s">
        <v>8650</v>
      </c>
      <c r="U79" s="406">
        <f t="shared" si="1"/>
        <v>8</v>
      </c>
    </row>
    <row r="80" spans="1:21" ht="19" customHeight="1">
      <c r="A80" s="349" t="s">
        <v>2522</v>
      </c>
      <c r="B80" s="349" t="s">
        <v>5899</v>
      </c>
      <c r="C80" s="343" t="s">
        <v>8185</v>
      </c>
      <c r="D80" s="344" t="s">
        <v>8250</v>
      </c>
      <c r="E80" s="344" t="s">
        <v>8187</v>
      </c>
      <c r="F80" s="358">
        <v>3</v>
      </c>
      <c r="G80" s="360" t="s">
        <v>6229</v>
      </c>
      <c r="H80" s="360" t="s">
        <v>7352</v>
      </c>
      <c r="I80" s="344"/>
      <c r="J80" s="344"/>
      <c r="K80" s="343"/>
      <c r="L80" s="343"/>
      <c r="M80" s="343" t="s">
        <v>4</v>
      </c>
      <c r="N80" s="343" t="s">
        <v>8021</v>
      </c>
      <c r="O80" s="343" t="s">
        <v>8022</v>
      </c>
      <c r="P80" s="343"/>
      <c r="Q80" s="405" t="s">
        <v>8574</v>
      </c>
      <c r="R80" s="405" t="s">
        <v>8691</v>
      </c>
      <c r="S80" s="405" t="s">
        <v>8691</v>
      </c>
      <c r="T80" s="405" t="s">
        <v>8650</v>
      </c>
      <c r="U80" s="406">
        <f t="shared" si="1"/>
        <v>3</v>
      </c>
    </row>
    <row r="81" spans="1:21" ht="19" customHeight="1">
      <c r="A81" s="349" t="s">
        <v>2522</v>
      </c>
      <c r="B81" s="349" t="s">
        <v>5900</v>
      </c>
      <c r="C81" s="343" t="s">
        <v>8185</v>
      </c>
      <c r="D81" s="344" t="s">
        <v>8251</v>
      </c>
      <c r="E81" s="344" t="s">
        <v>8188</v>
      </c>
      <c r="F81" s="358">
        <v>2</v>
      </c>
      <c r="G81" s="360" t="s">
        <v>6229</v>
      </c>
      <c r="H81" s="360" t="s">
        <v>7352</v>
      </c>
      <c r="I81" s="344"/>
      <c r="J81" s="344"/>
      <c r="K81" s="343"/>
      <c r="L81" s="343"/>
      <c r="M81" s="343" t="s">
        <v>4</v>
      </c>
      <c r="N81" s="343" t="s">
        <v>8021</v>
      </c>
      <c r="O81" s="343" t="s">
        <v>8022</v>
      </c>
      <c r="P81" s="343"/>
      <c r="Q81" s="405" t="s">
        <v>8574</v>
      </c>
      <c r="R81" s="405" t="s">
        <v>8691</v>
      </c>
      <c r="S81" s="405" t="s">
        <v>8691</v>
      </c>
      <c r="T81" s="405" t="s">
        <v>8650</v>
      </c>
      <c r="U81" s="406">
        <f t="shared" si="1"/>
        <v>2</v>
      </c>
    </row>
    <row r="82" spans="1:21" ht="19" customHeight="1">
      <c r="A82" s="349" t="s">
        <v>2522</v>
      </c>
      <c r="B82" s="349" t="s">
        <v>5901</v>
      </c>
      <c r="C82" s="343" t="s">
        <v>8259</v>
      </c>
      <c r="D82" s="344" t="s">
        <v>8189</v>
      </c>
      <c r="E82" s="344" t="s">
        <v>8190</v>
      </c>
      <c r="F82" s="358">
        <v>8</v>
      </c>
      <c r="G82" s="360" t="s">
        <v>6229</v>
      </c>
      <c r="H82" s="360" t="s">
        <v>7262</v>
      </c>
      <c r="I82" s="344"/>
      <c r="J82" s="344"/>
      <c r="K82" s="343"/>
      <c r="L82" s="343"/>
      <c r="M82" s="343" t="s">
        <v>4</v>
      </c>
      <c r="N82" s="343" t="s">
        <v>8021</v>
      </c>
      <c r="O82" s="343" t="s">
        <v>8022</v>
      </c>
      <c r="P82" s="343"/>
      <c r="Q82" s="405" t="s">
        <v>8574</v>
      </c>
      <c r="R82" s="405" t="s">
        <v>8691</v>
      </c>
      <c r="S82" s="405" t="s">
        <v>8691</v>
      </c>
      <c r="T82" s="405" t="s">
        <v>8650</v>
      </c>
      <c r="U82" s="406">
        <f t="shared" si="1"/>
        <v>8</v>
      </c>
    </row>
    <row r="83" spans="1:21" ht="19" customHeight="1">
      <c r="A83" s="349" t="s">
        <v>2522</v>
      </c>
      <c r="B83" s="349" t="s">
        <v>5902</v>
      </c>
      <c r="C83" s="343" t="s">
        <v>8259</v>
      </c>
      <c r="D83" s="344" t="s">
        <v>8191</v>
      </c>
      <c r="E83" s="344" t="s">
        <v>8192</v>
      </c>
      <c r="F83" s="358">
        <v>4</v>
      </c>
      <c r="G83" s="360" t="s">
        <v>6229</v>
      </c>
      <c r="H83" s="360" t="s">
        <v>7262</v>
      </c>
      <c r="I83" s="344"/>
      <c r="J83" s="344"/>
      <c r="K83" s="343"/>
      <c r="L83" s="343"/>
      <c r="M83" s="343" t="s">
        <v>4</v>
      </c>
      <c r="N83" s="343" t="s">
        <v>8021</v>
      </c>
      <c r="O83" s="343" t="s">
        <v>8022</v>
      </c>
      <c r="P83" s="343"/>
      <c r="Q83" s="405" t="s">
        <v>8574</v>
      </c>
      <c r="R83" s="405" t="s">
        <v>8691</v>
      </c>
      <c r="S83" s="405" t="s">
        <v>8691</v>
      </c>
      <c r="T83" s="405" t="s">
        <v>8650</v>
      </c>
      <c r="U83" s="406">
        <f t="shared" si="1"/>
        <v>4</v>
      </c>
    </row>
    <row r="84" spans="1:21" ht="19" customHeight="1">
      <c r="A84" s="349" t="s">
        <v>2522</v>
      </c>
      <c r="B84" s="349" t="s">
        <v>5903</v>
      </c>
      <c r="C84" s="343" t="s">
        <v>8259</v>
      </c>
      <c r="D84" s="344" t="s">
        <v>8252</v>
      </c>
      <c r="E84" s="344" t="s">
        <v>8193</v>
      </c>
      <c r="F84" s="358">
        <v>4</v>
      </c>
      <c r="G84" s="360" t="s">
        <v>6229</v>
      </c>
      <c r="H84" s="360" t="s">
        <v>7262</v>
      </c>
      <c r="I84" s="344"/>
      <c r="J84" s="344"/>
      <c r="K84" s="343"/>
      <c r="L84" s="343"/>
      <c r="M84" s="343" t="s">
        <v>4</v>
      </c>
      <c r="N84" s="343" t="s">
        <v>8021</v>
      </c>
      <c r="O84" s="343" t="s">
        <v>8022</v>
      </c>
      <c r="P84" s="343"/>
      <c r="Q84" s="405" t="s">
        <v>8574</v>
      </c>
      <c r="R84" s="405" t="s">
        <v>8691</v>
      </c>
      <c r="S84" s="405" t="s">
        <v>8691</v>
      </c>
      <c r="T84" s="405" t="s">
        <v>8650</v>
      </c>
      <c r="U84" s="406">
        <f t="shared" si="1"/>
        <v>4</v>
      </c>
    </row>
    <row r="85" spans="1:21" ht="19" customHeight="1">
      <c r="A85" s="349" t="s">
        <v>2522</v>
      </c>
      <c r="B85" s="349" t="s">
        <v>5904</v>
      </c>
      <c r="C85" s="343" t="s">
        <v>8259</v>
      </c>
      <c r="D85" s="344" t="s">
        <v>8194</v>
      </c>
      <c r="E85" s="344" t="s">
        <v>8195</v>
      </c>
      <c r="F85" s="358">
        <v>4</v>
      </c>
      <c r="G85" s="360" t="s">
        <v>6229</v>
      </c>
      <c r="H85" s="360" t="s">
        <v>7262</v>
      </c>
      <c r="I85" s="344"/>
      <c r="J85" s="344"/>
      <c r="K85" s="343"/>
      <c r="L85" s="343"/>
      <c r="M85" s="343" t="s">
        <v>4</v>
      </c>
      <c r="N85" s="343" t="s">
        <v>8021</v>
      </c>
      <c r="O85" s="343" t="s">
        <v>8022</v>
      </c>
      <c r="P85" s="343"/>
      <c r="Q85" s="405" t="s">
        <v>8574</v>
      </c>
      <c r="R85" s="405" t="s">
        <v>8691</v>
      </c>
      <c r="S85" s="405" t="s">
        <v>8691</v>
      </c>
      <c r="T85" s="405" t="s">
        <v>8650</v>
      </c>
      <c r="U85" s="406">
        <f t="shared" si="1"/>
        <v>4</v>
      </c>
    </row>
    <row r="86" spans="1:21" ht="19" customHeight="1">
      <c r="A86" s="349" t="s">
        <v>2522</v>
      </c>
      <c r="B86" s="349" t="s">
        <v>5905</v>
      </c>
      <c r="C86" s="343" t="s">
        <v>8259</v>
      </c>
      <c r="D86" s="344" t="s">
        <v>8196</v>
      </c>
      <c r="E86" s="344" t="s">
        <v>8197</v>
      </c>
      <c r="F86" s="358">
        <v>3</v>
      </c>
      <c r="G86" s="360" t="s">
        <v>6229</v>
      </c>
      <c r="H86" s="360" t="s">
        <v>7262</v>
      </c>
      <c r="I86" s="344"/>
      <c r="J86" s="344"/>
      <c r="K86" s="343"/>
      <c r="L86" s="343"/>
      <c r="M86" s="343" t="s">
        <v>4</v>
      </c>
      <c r="N86" s="343" t="s">
        <v>8021</v>
      </c>
      <c r="O86" s="343" t="s">
        <v>8022</v>
      </c>
      <c r="P86" s="343"/>
      <c r="Q86" s="405" t="s">
        <v>8574</v>
      </c>
      <c r="R86" s="405" t="s">
        <v>8691</v>
      </c>
      <c r="S86" s="405" t="s">
        <v>8691</v>
      </c>
      <c r="T86" s="405" t="s">
        <v>8650</v>
      </c>
      <c r="U86" s="406">
        <f t="shared" si="1"/>
        <v>3</v>
      </c>
    </row>
    <row r="87" spans="1:21" ht="19" customHeight="1">
      <c r="A87" s="349" t="s">
        <v>2522</v>
      </c>
      <c r="B87" s="349" t="s">
        <v>5906</v>
      </c>
      <c r="C87" s="343" t="s">
        <v>8259</v>
      </c>
      <c r="D87" s="344" t="s">
        <v>8198</v>
      </c>
      <c r="E87" s="344" t="s">
        <v>8199</v>
      </c>
      <c r="F87" s="358">
        <v>2</v>
      </c>
      <c r="G87" s="360" t="s">
        <v>6229</v>
      </c>
      <c r="H87" s="360" t="s">
        <v>7262</v>
      </c>
      <c r="I87" s="344"/>
      <c r="J87" s="344"/>
      <c r="K87" s="343"/>
      <c r="L87" s="343"/>
      <c r="M87" s="343" t="s">
        <v>4</v>
      </c>
      <c r="N87" s="343" t="s">
        <v>8021</v>
      </c>
      <c r="O87" s="343" t="s">
        <v>8022</v>
      </c>
      <c r="P87" s="343" t="s">
        <v>8088</v>
      </c>
      <c r="Q87" s="405" t="s">
        <v>8574</v>
      </c>
      <c r="R87" s="405" t="s">
        <v>8691</v>
      </c>
      <c r="S87" s="405" t="s">
        <v>8691</v>
      </c>
      <c r="T87" s="405" t="s">
        <v>8650</v>
      </c>
      <c r="U87" s="406">
        <f t="shared" si="1"/>
        <v>2</v>
      </c>
    </row>
    <row r="88" spans="1:21" ht="19" customHeight="1">
      <c r="A88" s="349" t="s">
        <v>2522</v>
      </c>
      <c r="B88" s="349" t="s">
        <v>8200</v>
      </c>
      <c r="C88" s="343" t="s">
        <v>8259</v>
      </c>
      <c r="D88" s="344" t="s">
        <v>8201</v>
      </c>
      <c r="E88" s="344" t="s">
        <v>8202</v>
      </c>
      <c r="F88" s="358">
        <v>2</v>
      </c>
      <c r="G88" s="360" t="s">
        <v>6229</v>
      </c>
      <c r="H88" s="360" t="s">
        <v>7262</v>
      </c>
      <c r="I88" s="344"/>
      <c r="J88" s="344"/>
      <c r="K88" s="343"/>
      <c r="L88" s="343"/>
      <c r="M88" s="343" t="s">
        <v>4</v>
      </c>
      <c r="N88" s="343" t="s">
        <v>8021</v>
      </c>
      <c r="O88" s="343" t="s">
        <v>8022</v>
      </c>
      <c r="P88" s="343" t="s">
        <v>8088</v>
      </c>
      <c r="Q88" s="405" t="s">
        <v>8574</v>
      </c>
      <c r="R88" s="405" t="s">
        <v>8691</v>
      </c>
      <c r="S88" s="405" t="s">
        <v>8691</v>
      </c>
      <c r="T88" s="405" t="s">
        <v>8650</v>
      </c>
      <c r="U88" s="406">
        <f t="shared" si="1"/>
        <v>2</v>
      </c>
    </row>
    <row r="89" spans="1:21" ht="19" customHeight="1">
      <c r="A89" s="349" t="s">
        <v>2522</v>
      </c>
      <c r="B89" s="349" t="s">
        <v>8203</v>
      </c>
      <c r="C89" s="343" t="s">
        <v>8259</v>
      </c>
      <c r="D89" s="344" t="s">
        <v>8253</v>
      </c>
      <c r="E89" s="344" t="s">
        <v>8204</v>
      </c>
      <c r="F89" s="358">
        <v>3</v>
      </c>
      <c r="G89" s="360" t="s">
        <v>6229</v>
      </c>
      <c r="H89" s="360" t="s">
        <v>7262</v>
      </c>
      <c r="I89" s="344"/>
      <c r="J89" s="344"/>
      <c r="K89" s="343"/>
      <c r="L89" s="343"/>
      <c r="M89" s="343" t="s">
        <v>4</v>
      </c>
      <c r="N89" s="343" t="s">
        <v>8021</v>
      </c>
      <c r="O89" s="343" t="s">
        <v>8022</v>
      </c>
      <c r="P89" s="343" t="s">
        <v>8088</v>
      </c>
      <c r="Q89" s="405" t="s">
        <v>8574</v>
      </c>
      <c r="R89" s="405" t="s">
        <v>8691</v>
      </c>
      <c r="S89" s="405" t="s">
        <v>8691</v>
      </c>
      <c r="T89" s="405" t="s">
        <v>8650</v>
      </c>
      <c r="U89" s="406">
        <f t="shared" si="1"/>
        <v>3</v>
      </c>
    </row>
    <row r="90" spans="1:21" ht="19" customHeight="1">
      <c r="A90" s="349" t="s">
        <v>2522</v>
      </c>
      <c r="B90" s="349" t="s">
        <v>5907</v>
      </c>
      <c r="C90" s="343" t="s">
        <v>8260</v>
      </c>
      <c r="D90" s="344" t="s">
        <v>8205</v>
      </c>
      <c r="E90" s="344" t="s">
        <v>8206</v>
      </c>
      <c r="F90" s="358">
        <v>3</v>
      </c>
      <c r="G90" s="360" t="s">
        <v>7934</v>
      </c>
      <c r="H90" s="360" t="s">
        <v>7278</v>
      </c>
      <c r="I90" s="344"/>
      <c r="J90" s="344"/>
      <c r="K90" s="343"/>
      <c r="L90" s="343"/>
      <c r="M90" s="343" t="s">
        <v>4</v>
      </c>
      <c r="N90" s="343" t="s">
        <v>8021</v>
      </c>
      <c r="O90" s="343" t="s">
        <v>8022</v>
      </c>
      <c r="P90" s="343"/>
      <c r="Q90" s="405" t="s">
        <v>8574</v>
      </c>
      <c r="R90" s="405" t="s">
        <v>8691</v>
      </c>
      <c r="S90" s="405" t="s">
        <v>5168</v>
      </c>
      <c r="T90" s="405" t="s">
        <v>8653</v>
      </c>
      <c r="U90" s="406">
        <f t="shared" si="1"/>
        <v>3</v>
      </c>
    </row>
    <row r="91" spans="1:21" ht="19" customHeight="1">
      <c r="A91" s="349" t="s">
        <v>2522</v>
      </c>
      <c r="B91" s="349" t="s">
        <v>5908</v>
      </c>
      <c r="C91" s="343" t="s">
        <v>8260</v>
      </c>
      <c r="D91" s="344" t="s">
        <v>8254</v>
      </c>
      <c r="E91" s="344" t="s">
        <v>8207</v>
      </c>
      <c r="F91" s="358">
        <v>4</v>
      </c>
      <c r="G91" s="360" t="s">
        <v>8707</v>
      </c>
      <c r="H91" s="360" t="s">
        <v>7959</v>
      </c>
      <c r="I91" s="344"/>
      <c r="J91" s="344"/>
      <c r="K91" s="343"/>
      <c r="L91" s="343"/>
      <c r="M91" s="343" t="s">
        <v>4</v>
      </c>
      <c r="N91" s="343" t="s">
        <v>8021</v>
      </c>
      <c r="O91" s="343" t="s">
        <v>8022</v>
      </c>
      <c r="P91" s="343"/>
      <c r="Q91" s="405" t="s">
        <v>8574</v>
      </c>
      <c r="R91" s="405" t="s">
        <v>8691</v>
      </c>
      <c r="S91" s="405" t="s">
        <v>5168</v>
      </c>
      <c r="T91" s="405" t="s">
        <v>8653</v>
      </c>
      <c r="U91" s="406">
        <f t="shared" si="1"/>
        <v>4</v>
      </c>
    </row>
    <row r="92" spans="1:21" ht="19" customHeight="1">
      <c r="A92" s="349" t="s">
        <v>2522</v>
      </c>
      <c r="B92" s="349" t="s">
        <v>5909</v>
      </c>
      <c r="C92" s="343" t="s">
        <v>8260</v>
      </c>
      <c r="D92" s="344" t="s">
        <v>8208</v>
      </c>
      <c r="E92" s="344" t="s">
        <v>8209</v>
      </c>
      <c r="F92" s="358">
        <v>3</v>
      </c>
      <c r="G92" s="360" t="s">
        <v>7936</v>
      </c>
      <c r="H92" s="360" t="s">
        <v>7274</v>
      </c>
      <c r="I92" s="344"/>
      <c r="J92" s="344"/>
      <c r="K92" s="343"/>
      <c r="L92" s="343"/>
      <c r="M92" s="343" t="s">
        <v>4</v>
      </c>
      <c r="N92" s="343" t="s">
        <v>8021</v>
      </c>
      <c r="O92" s="343" t="s">
        <v>8022</v>
      </c>
      <c r="P92" s="343"/>
      <c r="Q92" s="405" t="s">
        <v>8574</v>
      </c>
      <c r="R92" s="405" t="s">
        <v>8691</v>
      </c>
      <c r="S92" s="405" t="s">
        <v>8691</v>
      </c>
      <c r="T92" s="405" t="s">
        <v>8653</v>
      </c>
      <c r="U92" s="406">
        <f t="shared" si="1"/>
        <v>3</v>
      </c>
    </row>
    <row r="93" spans="1:21" ht="19" customHeight="1">
      <c r="A93" s="349" t="s">
        <v>2522</v>
      </c>
      <c r="B93" s="349" t="s">
        <v>5910</v>
      </c>
      <c r="C93" s="343" t="s">
        <v>8260</v>
      </c>
      <c r="D93" s="344" t="s">
        <v>8255</v>
      </c>
      <c r="E93" s="344" t="s">
        <v>8210</v>
      </c>
      <c r="F93" s="358">
        <v>3</v>
      </c>
      <c r="G93" s="360" t="s">
        <v>6229</v>
      </c>
      <c r="H93" s="360" t="s">
        <v>7608</v>
      </c>
      <c r="I93" s="344"/>
      <c r="J93" s="344"/>
      <c r="K93" s="343"/>
      <c r="L93" s="343"/>
      <c r="M93" s="343" t="s">
        <v>4</v>
      </c>
      <c r="N93" s="343" t="s">
        <v>8021</v>
      </c>
      <c r="O93" s="343" t="s">
        <v>8022</v>
      </c>
      <c r="P93" s="343"/>
      <c r="Q93" s="405" t="s">
        <v>8574</v>
      </c>
      <c r="R93" s="405" t="s">
        <v>8691</v>
      </c>
      <c r="S93" s="405" t="s">
        <v>8691</v>
      </c>
      <c r="T93" s="405" t="s">
        <v>8650</v>
      </c>
      <c r="U93" s="406">
        <f t="shared" si="1"/>
        <v>3</v>
      </c>
    </row>
    <row r="94" spans="1:21" ht="19" customHeight="1">
      <c r="A94" s="349" t="s">
        <v>2522</v>
      </c>
      <c r="B94" s="349" t="s">
        <v>5911</v>
      </c>
      <c r="C94" s="343" t="s">
        <v>8260</v>
      </c>
      <c r="D94" s="344" t="s">
        <v>8211</v>
      </c>
      <c r="E94" s="344" t="s">
        <v>8212</v>
      </c>
      <c r="F94" s="358">
        <v>2</v>
      </c>
      <c r="G94" s="360" t="s">
        <v>6229</v>
      </c>
      <c r="H94" s="360" t="s">
        <v>7608</v>
      </c>
      <c r="I94" s="344"/>
      <c r="J94" s="344"/>
      <c r="K94" s="343"/>
      <c r="L94" s="343"/>
      <c r="M94" s="343" t="s">
        <v>4</v>
      </c>
      <c r="N94" s="343" t="s">
        <v>8021</v>
      </c>
      <c r="O94" s="343" t="s">
        <v>8022</v>
      </c>
      <c r="P94" s="343" t="s">
        <v>8088</v>
      </c>
      <c r="Q94" s="405" t="s">
        <v>8574</v>
      </c>
      <c r="R94" s="405" t="s">
        <v>8691</v>
      </c>
      <c r="S94" s="405" t="s">
        <v>8691</v>
      </c>
      <c r="T94" s="405" t="s">
        <v>8650</v>
      </c>
      <c r="U94" s="406">
        <f t="shared" si="1"/>
        <v>2</v>
      </c>
    </row>
    <row r="95" spans="1:21" ht="19" customHeight="1">
      <c r="A95" s="349" t="s">
        <v>2522</v>
      </c>
      <c r="B95" s="349" t="s">
        <v>8213</v>
      </c>
      <c r="C95" s="343" t="s">
        <v>8260</v>
      </c>
      <c r="D95" s="344" t="s">
        <v>8214</v>
      </c>
      <c r="E95" s="344" t="s">
        <v>8215</v>
      </c>
      <c r="F95" s="358">
        <v>2</v>
      </c>
      <c r="G95" s="360" t="s">
        <v>6229</v>
      </c>
      <c r="H95" s="360" t="s">
        <v>7608</v>
      </c>
      <c r="I95" s="344"/>
      <c r="J95" s="344"/>
      <c r="K95" s="343"/>
      <c r="L95" s="343"/>
      <c r="M95" s="343" t="s">
        <v>4</v>
      </c>
      <c r="N95" s="343" t="s">
        <v>8021</v>
      </c>
      <c r="O95" s="343" t="s">
        <v>8022</v>
      </c>
      <c r="P95" s="343" t="s">
        <v>8216</v>
      </c>
      <c r="Q95" s="405" t="s">
        <v>8574</v>
      </c>
      <c r="R95" s="405" t="s">
        <v>8691</v>
      </c>
      <c r="S95" s="405" t="s">
        <v>8691</v>
      </c>
      <c r="T95" s="405" t="s">
        <v>8650</v>
      </c>
      <c r="U95" s="406">
        <f t="shared" si="1"/>
        <v>2</v>
      </c>
    </row>
    <row r="96" spans="1:21" ht="19" customHeight="1">
      <c r="A96" s="349" t="s">
        <v>2522</v>
      </c>
      <c r="B96" s="349" t="s">
        <v>5912</v>
      </c>
      <c r="C96" s="343" t="s">
        <v>8261</v>
      </c>
      <c r="D96" s="344" t="s">
        <v>8217</v>
      </c>
      <c r="E96" s="344" t="s">
        <v>8218</v>
      </c>
      <c r="F96" s="358">
        <v>3</v>
      </c>
      <c r="G96" s="360" t="s">
        <v>6229</v>
      </c>
      <c r="H96" s="360" t="s">
        <v>7262</v>
      </c>
      <c r="I96" s="344"/>
      <c r="J96" s="344"/>
      <c r="K96" s="343"/>
      <c r="L96" s="343"/>
      <c r="M96" s="343" t="s">
        <v>4</v>
      </c>
      <c r="N96" s="343" t="s">
        <v>8021</v>
      </c>
      <c r="O96" s="343" t="s">
        <v>8022</v>
      </c>
      <c r="P96" s="343"/>
      <c r="Q96" s="405" t="s">
        <v>8574</v>
      </c>
      <c r="R96" s="405" t="s">
        <v>8691</v>
      </c>
      <c r="S96" s="405" t="s">
        <v>8691</v>
      </c>
      <c r="T96" s="405" t="s">
        <v>8650</v>
      </c>
      <c r="U96" s="406">
        <f t="shared" si="1"/>
        <v>3</v>
      </c>
    </row>
    <row r="97" spans="1:21" ht="19" customHeight="1">
      <c r="A97" s="349" t="s">
        <v>2522</v>
      </c>
      <c r="B97" s="349" t="s">
        <v>5913</v>
      </c>
      <c r="C97" s="343" t="s">
        <v>8261</v>
      </c>
      <c r="D97" s="344" t="s">
        <v>8219</v>
      </c>
      <c r="E97" s="344" t="s">
        <v>8220</v>
      </c>
      <c r="F97" s="358">
        <v>14</v>
      </c>
      <c r="G97" s="360" t="s">
        <v>6229</v>
      </c>
      <c r="H97" s="360" t="s">
        <v>7262</v>
      </c>
      <c r="I97" s="344"/>
      <c r="J97" s="344"/>
      <c r="K97" s="343"/>
      <c r="L97" s="343"/>
      <c r="M97" s="343" t="s">
        <v>4</v>
      </c>
      <c r="N97" s="343" t="s">
        <v>8021</v>
      </c>
      <c r="O97" s="343" t="s">
        <v>8022</v>
      </c>
      <c r="P97" s="343"/>
      <c r="Q97" s="405" t="s">
        <v>8574</v>
      </c>
      <c r="R97" s="405" t="s">
        <v>8691</v>
      </c>
      <c r="S97" s="405" t="s">
        <v>8691</v>
      </c>
      <c r="T97" s="405" t="s">
        <v>8650</v>
      </c>
      <c r="U97" s="406">
        <f t="shared" si="1"/>
        <v>14</v>
      </c>
    </row>
    <row r="98" spans="1:21" ht="19" customHeight="1">
      <c r="A98" s="349" t="s">
        <v>2522</v>
      </c>
      <c r="B98" s="349" t="s">
        <v>5914</v>
      </c>
      <c r="C98" s="343" t="s">
        <v>8261</v>
      </c>
      <c r="D98" s="344" t="s">
        <v>8221</v>
      </c>
      <c r="E98" s="344" t="s">
        <v>8220</v>
      </c>
      <c r="F98" s="358">
        <v>12</v>
      </c>
      <c r="G98" s="360" t="s">
        <v>6229</v>
      </c>
      <c r="H98" s="360" t="s">
        <v>7262</v>
      </c>
      <c r="I98" s="344"/>
      <c r="J98" s="344"/>
      <c r="K98" s="343"/>
      <c r="L98" s="343"/>
      <c r="M98" s="343" t="s">
        <v>4</v>
      </c>
      <c r="N98" s="343" t="s">
        <v>8021</v>
      </c>
      <c r="O98" s="343" t="s">
        <v>8022</v>
      </c>
      <c r="P98" s="343"/>
      <c r="Q98" s="405" t="s">
        <v>8574</v>
      </c>
      <c r="R98" s="405" t="s">
        <v>8691</v>
      </c>
      <c r="S98" s="405" t="s">
        <v>8691</v>
      </c>
      <c r="T98" s="405" t="s">
        <v>8650</v>
      </c>
      <c r="U98" s="406">
        <f t="shared" si="1"/>
        <v>12</v>
      </c>
    </row>
    <row r="99" spans="1:21" ht="19" customHeight="1">
      <c r="A99" s="349" t="s">
        <v>2522</v>
      </c>
      <c r="B99" s="349" t="s">
        <v>5915</v>
      </c>
      <c r="C99" s="343" t="s">
        <v>8261</v>
      </c>
      <c r="D99" s="344" t="s">
        <v>8222</v>
      </c>
      <c r="E99" s="344" t="s">
        <v>8220</v>
      </c>
      <c r="F99" s="358">
        <v>20</v>
      </c>
      <c r="G99" s="360" t="s">
        <v>6229</v>
      </c>
      <c r="H99" s="360" t="s">
        <v>7262</v>
      </c>
      <c r="I99" s="344"/>
      <c r="J99" s="344"/>
      <c r="K99" s="343"/>
      <c r="L99" s="343"/>
      <c r="M99" s="343" t="s">
        <v>4</v>
      </c>
      <c r="N99" s="343" t="s">
        <v>8021</v>
      </c>
      <c r="O99" s="343" t="s">
        <v>8022</v>
      </c>
      <c r="P99" s="343"/>
      <c r="Q99" s="405" t="s">
        <v>8574</v>
      </c>
      <c r="R99" s="405" t="s">
        <v>8691</v>
      </c>
      <c r="S99" s="405" t="s">
        <v>8691</v>
      </c>
      <c r="T99" s="405" t="s">
        <v>8650</v>
      </c>
      <c r="U99" s="406">
        <f t="shared" si="1"/>
        <v>20</v>
      </c>
    </row>
    <row r="100" spans="1:21" ht="19" customHeight="1">
      <c r="A100" s="349" t="s">
        <v>2522</v>
      </c>
      <c r="B100" s="349" t="s">
        <v>5916</v>
      </c>
      <c r="C100" s="343" t="s">
        <v>8261</v>
      </c>
      <c r="D100" s="344" t="s">
        <v>8223</v>
      </c>
      <c r="E100" s="344" t="s">
        <v>8220</v>
      </c>
      <c r="F100" s="358">
        <v>18</v>
      </c>
      <c r="G100" s="360" t="s">
        <v>6229</v>
      </c>
      <c r="H100" s="360" t="s">
        <v>7262</v>
      </c>
      <c r="I100" s="344"/>
      <c r="J100" s="344"/>
      <c r="K100" s="343"/>
      <c r="L100" s="343"/>
      <c r="M100" s="343" t="s">
        <v>4</v>
      </c>
      <c r="N100" s="343" t="s">
        <v>8021</v>
      </c>
      <c r="O100" s="343" t="s">
        <v>8022</v>
      </c>
      <c r="P100" s="343"/>
      <c r="Q100" s="405" t="s">
        <v>8574</v>
      </c>
      <c r="R100" s="405" t="s">
        <v>8691</v>
      </c>
      <c r="S100" s="405" t="s">
        <v>8691</v>
      </c>
      <c r="T100" s="405" t="s">
        <v>8650</v>
      </c>
      <c r="U100" s="406">
        <f t="shared" si="1"/>
        <v>18</v>
      </c>
    </row>
    <row r="101" spans="1:21" ht="19" customHeight="1">
      <c r="A101" s="349" t="s">
        <v>2522</v>
      </c>
      <c r="B101" s="349" t="s">
        <v>5917</v>
      </c>
      <c r="C101" s="343" t="s">
        <v>8261</v>
      </c>
      <c r="D101" s="344" t="s">
        <v>8256</v>
      </c>
      <c r="E101" s="344" t="s">
        <v>8224</v>
      </c>
      <c r="F101" s="358">
        <v>5</v>
      </c>
      <c r="G101" s="360" t="s">
        <v>6229</v>
      </c>
      <c r="H101" s="360" t="s">
        <v>7262</v>
      </c>
      <c r="I101" s="344"/>
      <c r="J101" s="344"/>
      <c r="K101" s="343"/>
      <c r="L101" s="343"/>
      <c r="M101" s="343" t="s">
        <v>4</v>
      </c>
      <c r="N101" s="343" t="s">
        <v>8021</v>
      </c>
      <c r="O101" s="343" t="s">
        <v>8022</v>
      </c>
      <c r="P101" s="343"/>
      <c r="Q101" s="405" t="s">
        <v>8574</v>
      </c>
      <c r="R101" s="405" t="s">
        <v>8691</v>
      </c>
      <c r="S101" s="405" t="s">
        <v>8691</v>
      </c>
      <c r="T101" s="405" t="s">
        <v>8650</v>
      </c>
      <c r="U101" s="406">
        <f t="shared" si="1"/>
        <v>5</v>
      </c>
    </row>
    <row r="102" spans="1:21" ht="19" customHeight="1">
      <c r="A102" s="349" t="s">
        <v>2522</v>
      </c>
      <c r="B102" s="349" t="s">
        <v>5918</v>
      </c>
      <c r="C102" s="343" t="s">
        <v>5919</v>
      </c>
      <c r="D102" s="344" t="s">
        <v>5920</v>
      </c>
      <c r="E102" s="344" t="s">
        <v>8225</v>
      </c>
      <c r="F102" s="358">
        <v>4</v>
      </c>
      <c r="G102" s="360" t="s">
        <v>6229</v>
      </c>
      <c r="H102" s="360" t="s">
        <v>7262</v>
      </c>
      <c r="I102" s="344"/>
      <c r="J102" s="344"/>
      <c r="K102" s="343"/>
      <c r="L102" s="343"/>
      <c r="M102" s="343" t="s">
        <v>4</v>
      </c>
      <c r="N102" s="343" t="s">
        <v>8021</v>
      </c>
      <c r="O102" s="343" t="s">
        <v>8022</v>
      </c>
      <c r="P102" s="343"/>
      <c r="Q102" s="405" t="s">
        <v>8574</v>
      </c>
      <c r="R102" s="405" t="s">
        <v>8691</v>
      </c>
      <c r="S102" s="405" t="s">
        <v>8691</v>
      </c>
      <c r="T102" s="405" t="s">
        <v>8650</v>
      </c>
      <c r="U102" s="406">
        <f t="shared" si="1"/>
        <v>4</v>
      </c>
    </row>
    <row r="103" spans="1:21" ht="19" customHeight="1">
      <c r="A103" s="349" t="s">
        <v>2522</v>
      </c>
      <c r="B103" s="349" t="s">
        <v>5921</v>
      </c>
      <c r="C103" s="343" t="s">
        <v>5919</v>
      </c>
      <c r="D103" s="344" t="s">
        <v>5922</v>
      </c>
      <c r="E103" s="344" t="s">
        <v>8226</v>
      </c>
      <c r="F103" s="358">
        <v>4</v>
      </c>
      <c r="G103" s="360" t="s">
        <v>6229</v>
      </c>
      <c r="H103" s="360" t="s">
        <v>7262</v>
      </c>
      <c r="I103" s="344"/>
      <c r="J103" s="344"/>
      <c r="K103" s="343"/>
      <c r="L103" s="343"/>
      <c r="M103" s="343" t="s">
        <v>4</v>
      </c>
      <c r="N103" s="343" t="s">
        <v>8021</v>
      </c>
      <c r="O103" s="343" t="s">
        <v>8022</v>
      </c>
      <c r="P103" s="343"/>
      <c r="Q103" s="405" t="s">
        <v>8574</v>
      </c>
      <c r="R103" s="405" t="s">
        <v>8691</v>
      </c>
      <c r="S103" s="405" t="s">
        <v>8691</v>
      </c>
      <c r="T103" s="405" t="s">
        <v>8650</v>
      </c>
      <c r="U103" s="406">
        <f t="shared" si="1"/>
        <v>4</v>
      </c>
    </row>
    <row r="104" spans="1:21" ht="19" customHeight="1">
      <c r="A104" s="349" t="s">
        <v>2522</v>
      </c>
      <c r="B104" s="349" t="s">
        <v>5923</v>
      </c>
      <c r="C104" s="343" t="s">
        <v>5919</v>
      </c>
      <c r="D104" s="344" t="s">
        <v>5924</v>
      </c>
      <c r="E104" s="344" t="s">
        <v>8225</v>
      </c>
      <c r="F104" s="358">
        <v>4</v>
      </c>
      <c r="G104" s="360" t="s">
        <v>6229</v>
      </c>
      <c r="H104" s="360" t="s">
        <v>7262</v>
      </c>
      <c r="I104" s="344"/>
      <c r="J104" s="344"/>
      <c r="K104" s="343"/>
      <c r="L104" s="343"/>
      <c r="M104" s="343" t="s">
        <v>4</v>
      </c>
      <c r="N104" s="343" t="s">
        <v>8021</v>
      </c>
      <c r="O104" s="343" t="s">
        <v>8022</v>
      </c>
      <c r="P104" s="343"/>
      <c r="Q104" s="405" t="s">
        <v>8574</v>
      </c>
      <c r="R104" s="405" t="s">
        <v>8691</v>
      </c>
      <c r="S104" s="405" t="s">
        <v>8691</v>
      </c>
      <c r="T104" s="405" t="s">
        <v>8650</v>
      </c>
      <c r="U104" s="406">
        <f t="shared" si="1"/>
        <v>4</v>
      </c>
    </row>
    <row r="105" spans="1:21" ht="19" customHeight="1">
      <c r="A105" s="349" t="s">
        <v>2522</v>
      </c>
      <c r="B105" s="349" t="s">
        <v>5925</v>
      </c>
      <c r="C105" s="343" t="s">
        <v>5919</v>
      </c>
      <c r="D105" s="344" t="s">
        <v>5926</v>
      </c>
      <c r="E105" s="344" t="s">
        <v>8226</v>
      </c>
      <c r="F105" s="358">
        <v>4</v>
      </c>
      <c r="G105" s="360" t="s">
        <v>6229</v>
      </c>
      <c r="H105" s="360" t="s">
        <v>7262</v>
      </c>
      <c r="I105" s="344"/>
      <c r="J105" s="344"/>
      <c r="K105" s="343"/>
      <c r="L105" s="343"/>
      <c r="M105" s="343" t="s">
        <v>4</v>
      </c>
      <c r="N105" s="343" t="s">
        <v>8021</v>
      </c>
      <c r="O105" s="343" t="s">
        <v>8022</v>
      </c>
      <c r="P105" s="343"/>
      <c r="Q105" s="405" t="s">
        <v>8574</v>
      </c>
      <c r="R105" s="405" t="s">
        <v>8691</v>
      </c>
      <c r="S105" s="405" t="s">
        <v>8691</v>
      </c>
      <c r="T105" s="405" t="s">
        <v>8650</v>
      </c>
      <c r="U105" s="406">
        <f t="shared" si="1"/>
        <v>4</v>
      </c>
    </row>
    <row r="106" spans="1:21" ht="19" customHeight="1">
      <c r="A106" s="349" t="s">
        <v>2522</v>
      </c>
      <c r="B106" s="349" t="s">
        <v>5927</v>
      </c>
      <c r="C106" s="343" t="s">
        <v>5919</v>
      </c>
      <c r="D106" s="344" t="s">
        <v>8257</v>
      </c>
      <c r="E106" s="344" t="s">
        <v>8227</v>
      </c>
      <c r="F106" s="358">
        <v>5</v>
      </c>
      <c r="G106" s="360" t="s">
        <v>6229</v>
      </c>
      <c r="H106" s="360" t="s">
        <v>7262</v>
      </c>
      <c r="I106" s="344"/>
      <c r="J106" s="344"/>
      <c r="K106" s="343"/>
      <c r="L106" s="343"/>
      <c r="M106" s="343" t="s">
        <v>4</v>
      </c>
      <c r="N106" s="343" t="s">
        <v>8021</v>
      </c>
      <c r="O106" s="343" t="s">
        <v>8022</v>
      </c>
      <c r="P106" s="343"/>
      <c r="Q106" s="405" t="s">
        <v>8574</v>
      </c>
      <c r="R106" s="405" t="s">
        <v>8691</v>
      </c>
      <c r="S106" s="405" t="s">
        <v>8691</v>
      </c>
      <c r="T106" s="405" t="s">
        <v>8650</v>
      </c>
      <c r="U106" s="406">
        <f t="shared" si="1"/>
        <v>5</v>
      </c>
    </row>
    <row r="107" spans="1:21" ht="19" customHeight="1">
      <c r="A107" s="349" t="s">
        <v>2522</v>
      </c>
      <c r="B107" s="349" t="s">
        <v>5928</v>
      </c>
      <c r="C107" s="343" t="s">
        <v>5919</v>
      </c>
      <c r="D107" s="344" t="s">
        <v>8258</v>
      </c>
      <c r="E107" s="344" t="s">
        <v>8228</v>
      </c>
      <c r="F107" s="358">
        <v>8</v>
      </c>
      <c r="G107" s="360" t="s">
        <v>6229</v>
      </c>
      <c r="H107" s="360" t="s">
        <v>7262</v>
      </c>
      <c r="I107" s="344"/>
      <c r="J107" s="344"/>
      <c r="K107" s="343"/>
      <c r="L107" s="343"/>
      <c r="M107" s="343" t="s">
        <v>4</v>
      </c>
      <c r="N107" s="343" t="s">
        <v>8021</v>
      </c>
      <c r="O107" s="343" t="s">
        <v>8022</v>
      </c>
      <c r="P107" s="343"/>
      <c r="Q107" s="405" t="s">
        <v>8574</v>
      </c>
      <c r="R107" s="405" t="s">
        <v>8691</v>
      </c>
      <c r="S107" s="405" t="s">
        <v>8691</v>
      </c>
      <c r="T107" s="405" t="s">
        <v>8650</v>
      </c>
      <c r="U107" s="406">
        <f t="shared" si="1"/>
        <v>8</v>
      </c>
    </row>
    <row r="108" spans="1:21" ht="19" customHeight="1">
      <c r="A108" s="349" t="s">
        <v>5933</v>
      </c>
      <c r="B108" s="349" t="s">
        <v>2229</v>
      </c>
      <c r="C108" s="343" t="s">
        <v>503</v>
      </c>
      <c r="D108" s="344" t="s">
        <v>2230</v>
      </c>
      <c r="E108" s="344" t="s">
        <v>5934</v>
      </c>
      <c r="F108" s="358">
        <v>4</v>
      </c>
      <c r="G108" s="360"/>
      <c r="H108" s="360"/>
      <c r="I108" s="344" t="s">
        <v>5419</v>
      </c>
      <c r="J108" s="344" t="s">
        <v>2232</v>
      </c>
      <c r="K108" s="343" t="s">
        <v>2231</v>
      </c>
      <c r="L108" s="343" t="s">
        <v>2442</v>
      </c>
      <c r="M108" s="343" t="s">
        <v>2234</v>
      </c>
      <c r="N108" s="343" t="s">
        <v>2235</v>
      </c>
      <c r="O108" s="343" t="s">
        <v>2443</v>
      </c>
      <c r="P108" s="343" t="s">
        <v>5935</v>
      </c>
      <c r="Q108" s="405" t="s">
        <v>8574</v>
      </c>
      <c r="R108" s="405" t="s">
        <v>8691</v>
      </c>
      <c r="S108" s="405" t="s">
        <v>8691</v>
      </c>
      <c r="T108" s="405" t="s">
        <v>8650</v>
      </c>
      <c r="U108" s="406">
        <f t="shared" si="1"/>
        <v>2.4</v>
      </c>
    </row>
    <row r="109" spans="1:21" ht="19" customHeight="1">
      <c r="A109" s="349" t="s">
        <v>5933</v>
      </c>
      <c r="B109" s="349" t="s">
        <v>2236</v>
      </c>
      <c r="C109" s="343" t="s">
        <v>503</v>
      </c>
      <c r="D109" s="344" t="s">
        <v>2237</v>
      </c>
      <c r="E109" s="344" t="s">
        <v>5936</v>
      </c>
      <c r="F109" s="358">
        <v>10</v>
      </c>
      <c r="G109" s="360"/>
      <c r="H109" s="360"/>
      <c r="I109" s="344" t="s">
        <v>5420</v>
      </c>
      <c r="J109" s="344" t="s">
        <v>2238</v>
      </c>
      <c r="K109" s="343" t="s">
        <v>2231</v>
      </c>
      <c r="L109" s="343" t="s">
        <v>2442</v>
      </c>
      <c r="M109" s="343" t="s">
        <v>2239</v>
      </c>
      <c r="N109" s="343" t="s">
        <v>2235</v>
      </c>
      <c r="O109" s="343" t="s">
        <v>2443</v>
      </c>
      <c r="P109" s="343" t="s">
        <v>5937</v>
      </c>
      <c r="Q109" s="405" t="s">
        <v>8574</v>
      </c>
      <c r="R109" s="405" t="s">
        <v>8691</v>
      </c>
      <c r="S109" s="405" t="s">
        <v>8691</v>
      </c>
      <c r="T109" s="405" t="s">
        <v>8650</v>
      </c>
      <c r="U109" s="406">
        <f t="shared" si="1"/>
        <v>6</v>
      </c>
    </row>
    <row r="110" spans="1:21" ht="19" customHeight="1">
      <c r="A110" s="349" t="s">
        <v>5933</v>
      </c>
      <c r="B110" s="349" t="s">
        <v>2240</v>
      </c>
      <c r="C110" s="343" t="s">
        <v>503</v>
      </c>
      <c r="D110" s="344" t="s">
        <v>2241</v>
      </c>
      <c r="E110" s="344" t="s">
        <v>5938</v>
      </c>
      <c r="F110" s="358">
        <v>11</v>
      </c>
      <c r="G110" s="360"/>
      <c r="H110" s="360"/>
      <c r="I110" s="344" t="s">
        <v>5421</v>
      </c>
      <c r="J110" s="344" t="s">
        <v>2242</v>
      </c>
      <c r="K110" s="343" t="s">
        <v>2231</v>
      </c>
      <c r="L110" s="343" t="s">
        <v>2442</v>
      </c>
      <c r="M110" s="343" t="s">
        <v>2239</v>
      </c>
      <c r="N110" s="343" t="s">
        <v>2235</v>
      </c>
      <c r="O110" s="343" t="s">
        <v>2443</v>
      </c>
      <c r="P110" s="343" t="s">
        <v>5937</v>
      </c>
      <c r="Q110" s="405" t="s">
        <v>8574</v>
      </c>
      <c r="R110" s="405" t="s">
        <v>8691</v>
      </c>
      <c r="S110" s="405" t="s">
        <v>8691</v>
      </c>
      <c r="T110" s="405" t="s">
        <v>8650</v>
      </c>
      <c r="U110" s="406">
        <f t="shared" si="1"/>
        <v>6.6</v>
      </c>
    </row>
    <row r="111" spans="1:21" ht="19" customHeight="1">
      <c r="A111" s="349" t="s">
        <v>5933</v>
      </c>
      <c r="B111" s="349" t="s">
        <v>2242</v>
      </c>
      <c r="C111" s="343" t="s">
        <v>503</v>
      </c>
      <c r="D111" s="344" t="s">
        <v>2243</v>
      </c>
      <c r="E111" s="344" t="s">
        <v>5939</v>
      </c>
      <c r="F111" s="358">
        <v>24</v>
      </c>
      <c r="G111" s="360"/>
      <c r="H111" s="360"/>
      <c r="I111" s="344" t="s">
        <v>5422</v>
      </c>
      <c r="J111" s="344" t="s">
        <v>2240</v>
      </c>
      <c r="K111" s="343" t="s">
        <v>2244</v>
      </c>
      <c r="L111" s="343" t="s">
        <v>2442</v>
      </c>
      <c r="M111" s="343" t="s">
        <v>2239</v>
      </c>
      <c r="N111" s="343" t="s">
        <v>2235</v>
      </c>
      <c r="O111" s="343" t="s">
        <v>2443</v>
      </c>
      <c r="P111" s="343" t="s">
        <v>5940</v>
      </c>
      <c r="Q111" s="405" t="s">
        <v>8574</v>
      </c>
      <c r="R111" s="405" t="s">
        <v>8691</v>
      </c>
      <c r="S111" s="405" t="s">
        <v>8691</v>
      </c>
      <c r="T111" s="405" t="s">
        <v>8650</v>
      </c>
      <c r="U111" s="406">
        <f t="shared" si="1"/>
        <v>14.399999999999999</v>
      </c>
    </row>
    <row r="112" spans="1:21" ht="19" customHeight="1">
      <c r="A112" s="349" t="s">
        <v>5933</v>
      </c>
      <c r="B112" s="349" t="s">
        <v>2245</v>
      </c>
      <c r="C112" s="343" t="s">
        <v>503</v>
      </c>
      <c r="D112" s="344" t="s">
        <v>2246</v>
      </c>
      <c r="E112" s="344" t="s">
        <v>6230</v>
      </c>
      <c r="F112" s="358">
        <v>4</v>
      </c>
      <c r="G112" s="360"/>
      <c r="H112" s="360"/>
      <c r="I112" s="344" t="s">
        <v>5423</v>
      </c>
      <c r="J112" s="344" t="s">
        <v>2247</v>
      </c>
      <c r="K112" s="343" t="s">
        <v>2231</v>
      </c>
      <c r="L112" s="343" t="s">
        <v>2442</v>
      </c>
      <c r="M112" s="343" t="s">
        <v>2234</v>
      </c>
      <c r="N112" s="343" t="s">
        <v>2235</v>
      </c>
      <c r="O112" s="343" t="s">
        <v>2443</v>
      </c>
      <c r="P112" s="343" t="s">
        <v>5935</v>
      </c>
      <c r="Q112" s="405" t="s">
        <v>8574</v>
      </c>
      <c r="R112" s="405" t="s">
        <v>8691</v>
      </c>
      <c r="S112" s="405" t="s">
        <v>8691</v>
      </c>
      <c r="T112" s="405" t="s">
        <v>8650</v>
      </c>
      <c r="U112" s="406">
        <f t="shared" si="1"/>
        <v>2.4</v>
      </c>
    </row>
    <row r="113" spans="1:21" ht="19" customHeight="1">
      <c r="A113" s="349" t="s">
        <v>5933</v>
      </c>
      <c r="B113" s="349" t="s">
        <v>2248</v>
      </c>
      <c r="C113" s="343" t="s">
        <v>503</v>
      </c>
      <c r="D113" s="344" t="s">
        <v>2249</v>
      </c>
      <c r="E113" s="344" t="s">
        <v>5941</v>
      </c>
      <c r="F113" s="358">
        <v>9</v>
      </c>
      <c r="G113" s="360"/>
      <c r="H113" s="360"/>
      <c r="I113" s="344" t="s">
        <v>5424</v>
      </c>
      <c r="J113" s="344" t="s">
        <v>2229</v>
      </c>
      <c r="K113" s="343" t="s">
        <v>2231</v>
      </c>
      <c r="L113" s="343" t="s">
        <v>2442</v>
      </c>
      <c r="M113" s="343" t="s">
        <v>2239</v>
      </c>
      <c r="N113" s="343" t="s">
        <v>2235</v>
      </c>
      <c r="O113" s="343" t="s">
        <v>2443</v>
      </c>
      <c r="P113" s="343" t="s">
        <v>5942</v>
      </c>
      <c r="Q113" s="405" t="s">
        <v>8574</v>
      </c>
      <c r="R113" s="405" t="s">
        <v>8691</v>
      </c>
      <c r="S113" s="405" t="s">
        <v>8691</v>
      </c>
      <c r="T113" s="405" t="s">
        <v>8650</v>
      </c>
      <c r="U113" s="406">
        <f t="shared" si="1"/>
        <v>5.3999999999999995</v>
      </c>
    </row>
    <row r="114" spans="1:21" ht="19" customHeight="1">
      <c r="A114" s="349" t="s">
        <v>5933</v>
      </c>
      <c r="B114" s="349" t="s">
        <v>2250</v>
      </c>
      <c r="C114" s="343" t="s">
        <v>503</v>
      </c>
      <c r="D114" s="344" t="s">
        <v>2251</v>
      </c>
      <c r="E114" s="344" t="s">
        <v>5943</v>
      </c>
      <c r="F114" s="358">
        <v>4</v>
      </c>
      <c r="G114" s="360"/>
      <c r="H114" s="360"/>
      <c r="I114" s="344" t="s">
        <v>5425</v>
      </c>
      <c r="J114" s="344" t="s">
        <v>2229</v>
      </c>
      <c r="K114" s="343" t="s">
        <v>2231</v>
      </c>
      <c r="L114" s="343" t="s">
        <v>2442</v>
      </c>
      <c r="M114" s="343" t="s">
        <v>2234</v>
      </c>
      <c r="N114" s="343" t="s">
        <v>2235</v>
      </c>
      <c r="O114" s="343" t="s">
        <v>2443</v>
      </c>
      <c r="P114" s="343" t="s">
        <v>5935</v>
      </c>
      <c r="Q114" s="405" t="s">
        <v>8574</v>
      </c>
      <c r="R114" s="405" t="s">
        <v>8691</v>
      </c>
      <c r="S114" s="405" t="s">
        <v>8691</v>
      </c>
      <c r="T114" s="405" t="s">
        <v>8650</v>
      </c>
      <c r="U114" s="406">
        <f t="shared" si="1"/>
        <v>2.4</v>
      </c>
    </row>
    <row r="115" spans="1:21" ht="19" customHeight="1">
      <c r="A115" s="349" t="s">
        <v>5933</v>
      </c>
      <c r="B115" s="349" t="s">
        <v>2252</v>
      </c>
      <c r="C115" s="343" t="s">
        <v>503</v>
      </c>
      <c r="D115" s="344" t="s">
        <v>2253</v>
      </c>
      <c r="E115" s="344" t="s">
        <v>5944</v>
      </c>
      <c r="F115" s="358">
        <v>12</v>
      </c>
      <c r="G115" s="360"/>
      <c r="H115" s="360"/>
      <c r="I115" s="344" t="s">
        <v>5426</v>
      </c>
      <c r="J115" s="344" t="s">
        <v>2255</v>
      </c>
      <c r="K115" s="343" t="s">
        <v>2254</v>
      </c>
      <c r="L115" s="343" t="s">
        <v>2442</v>
      </c>
      <c r="M115" s="343" t="s">
        <v>2239</v>
      </c>
      <c r="N115" s="343" t="s">
        <v>2235</v>
      </c>
      <c r="O115" s="343" t="s">
        <v>2443</v>
      </c>
      <c r="P115" s="343" t="s">
        <v>5945</v>
      </c>
      <c r="Q115" s="405" t="s">
        <v>8574</v>
      </c>
      <c r="R115" s="405" t="s">
        <v>8691</v>
      </c>
      <c r="S115" s="405" t="s">
        <v>8691</v>
      </c>
      <c r="T115" s="405" t="s">
        <v>8650</v>
      </c>
      <c r="U115" s="406">
        <f t="shared" si="1"/>
        <v>7.1999999999999993</v>
      </c>
    </row>
    <row r="116" spans="1:21" ht="19" customHeight="1">
      <c r="A116" s="349" t="s">
        <v>5933</v>
      </c>
      <c r="B116" s="349" t="s">
        <v>2444</v>
      </c>
      <c r="C116" s="343" t="s">
        <v>503</v>
      </c>
      <c r="D116" s="344" t="s">
        <v>2445</v>
      </c>
      <c r="E116" s="344" t="s">
        <v>5946</v>
      </c>
      <c r="F116" s="358">
        <v>8</v>
      </c>
      <c r="G116" s="360"/>
      <c r="H116" s="360"/>
      <c r="I116" s="344" t="s">
        <v>5519</v>
      </c>
      <c r="J116" s="344" t="s">
        <v>2229</v>
      </c>
      <c r="K116" s="343" t="s">
        <v>2305</v>
      </c>
      <c r="L116" s="343" t="s">
        <v>2446</v>
      </c>
      <c r="M116" s="343" t="s">
        <v>2447</v>
      </c>
      <c r="N116" s="343" t="s">
        <v>2448</v>
      </c>
      <c r="O116" s="343" t="s">
        <v>2449</v>
      </c>
      <c r="P116" s="343" t="s">
        <v>5947</v>
      </c>
      <c r="Q116" s="405" t="s">
        <v>8574</v>
      </c>
      <c r="R116" s="405" t="s">
        <v>8691</v>
      </c>
      <c r="S116" s="405" t="s">
        <v>8691</v>
      </c>
      <c r="T116" s="405" t="s">
        <v>8650</v>
      </c>
      <c r="U116" s="406">
        <f t="shared" si="1"/>
        <v>4.8</v>
      </c>
    </row>
    <row r="117" spans="1:21" ht="19" customHeight="1">
      <c r="A117" s="349" t="s">
        <v>5933</v>
      </c>
      <c r="B117" s="349" t="s">
        <v>2450</v>
      </c>
      <c r="C117" s="343" t="s">
        <v>503</v>
      </c>
      <c r="D117" s="344" t="s">
        <v>2451</v>
      </c>
      <c r="E117" s="344" t="s">
        <v>5948</v>
      </c>
      <c r="F117" s="358">
        <v>10</v>
      </c>
      <c r="G117" s="360"/>
      <c r="H117" s="360"/>
      <c r="I117" s="344" t="s">
        <v>5427</v>
      </c>
      <c r="J117" s="344" t="s">
        <v>2236</v>
      </c>
      <c r="K117" s="343" t="s">
        <v>2231</v>
      </c>
      <c r="L117" s="343" t="s">
        <v>2442</v>
      </c>
      <c r="M117" s="343" t="s">
        <v>2234</v>
      </c>
      <c r="N117" s="343" t="s">
        <v>2448</v>
      </c>
      <c r="O117" s="343" t="s">
        <v>2452</v>
      </c>
      <c r="P117" s="343" t="s">
        <v>5949</v>
      </c>
      <c r="Q117" s="405" t="s">
        <v>8574</v>
      </c>
      <c r="R117" s="405" t="s">
        <v>8691</v>
      </c>
      <c r="S117" s="405" t="s">
        <v>8691</v>
      </c>
      <c r="T117" s="405" t="s">
        <v>8650</v>
      </c>
      <c r="U117" s="406">
        <f t="shared" si="1"/>
        <v>6</v>
      </c>
    </row>
    <row r="118" spans="1:21" ht="19" customHeight="1">
      <c r="A118" s="349" t="s">
        <v>5933</v>
      </c>
      <c r="B118" s="349" t="s">
        <v>2256</v>
      </c>
      <c r="C118" s="343" t="s">
        <v>510</v>
      </c>
      <c r="D118" s="344" t="s">
        <v>2257</v>
      </c>
      <c r="E118" s="344" t="s">
        <v>5950</v>
      </c>
      <c r="F118" s="358">
        <v>10</v>
      </c>
      <c r="G118" s="360"/>
      <c r="H118" s="360"/>
      <c r="I118" s="344" t="s">
        <v>5428</v>
      </c>
      <c r="J118" s="344" t="s">
        <v>2259</v>
      </c>
      <c r="K118" s="343" t="s">
        <v>2258</v>
      </c>
      <c r="L118" s="343" t="s">
        <v>2442</v>
      </c>
      <c r="M118" s="343" t="s">
        <v>2234</v>
      </c>
      <c r="N118" s="343" t="s">
        <v>2235</v>
      </c>
      <c r="O118" s="343" t="s">
        <v>2443</v>
      </c>
      <c r="P118" s="343" t="s">
        <v>5949</v>
      </c>
      <c r="Q118" s="405" t="s">
        <v>8574</v>
      </c>
      <c r="R118" s="405" t="s">
        <v>8691</v>
      </c>
      <c r="S118" s="405" t="s">
        <v>8691</v>
      </c>
      <c r="T118" s="405" t="s">
        <v>8650</v>
      </c>
      <c r="U118" s="406">
        <f t="shared" si="1"/>
        <v>6</v>
      </c>
    </row>
    <row r="119" spans="1:21" ht="19" customHeight="1">
      <c r="A119" s="349" t="s">
        <v>5933</v>
      </c>
      <c r="B119" s="349" t="s">
        <v>2260</v>
      </c>
      <c r="C119" s="343" t="s">
        <v>510</v>
      </c>
      <c r="D119" s="344" t="s">
        <v>2261</v>
      </c>
      <c r="E119" s="344" t="s">
        <v>5951</v>
      </c>
      <c r="F119" s="358">
        <v>11</v>
      </c>
      <c r="G119" s="360"/>
      <c r="H119" s="360"/>
      <c r="I119" s="344" t="s">
        <v>5429</v>
      </c>
      <c r="J119" s="344" t="s">
        <v>2242</v>
      </c>
      <c r="K119" s="343" t="s">
        <v>2262</v>
      </c>
      <c r="L119" s="343" t="s">
        <v>2442</v>
      </c>
      <c r="M119" s="343" t="s">
        <v>2239</v>
      </c>
      <c r="N119" s="343" t="s">
        <v>2235</v>
      </c>
      <c r="O119" s="343" t="s">
        <v>2443</v>
      </c>
      <c r="P119" s="343" t="s">
        <v>5937</v>
      </c>
      <c r="Q119" s="405" t="s">
        <v>8574</v>
      </c>
      <c r="R119" s="405" t="s">
        <v>8691</v>
      </c>
      <c r="S119" s="405" t="s">
        <v>8691</v>
      </c>
      <c r="T119" s="405" t="s">
        <v>8650</v>
      </c>
      <c r="U119" s="406">
        <f t="shared" si="1"/>
        <v>6.6</v>
      </c>
    </row>
    <row r="120" spans="1:21" ht="19" customHeight="1">
      <c r="A120" s="349" t="s">
        <v>5933</v>
      </c>
      <c r="B120" s="349" t="s">
        <v>2263</v>
      </c>
      <c r="C120" s="343" t="s">
        <v>510</v>
      </c>
      <c r="D120" s="344" t="s">
        <v>2264</v>
      </c>
      <c r="E120" s="344" t="s">
        <v>5952</v>
      </c>
      <c r="F120" s="358">
        <v>22</v>
      </c>
      <c r="G120" s="360"/>
      <c r="H120" s="360"/>
      <c r="I120" s="344" t="s">
        <v>5430</v>
      </c>
      <c r="J120" s="344" t="s">
        <v>2256</v>
      </c>
      <c r="K120" s="343" t="s">
        <v>2265</v>
      </c>
      <c r="L120" s="343" t="s">
        <v>2442</v>
      </c>
      <c r="M120" s="343" t="s">
        <v>2239</v>
      </c>
      <c r="N120" s="343" t="s">
        <v>2235</v>
      </c>
      <c r="O120" s="343" t="s">
        <v>2443</v>
      </c>
      <c r="P120" s="343" t="s">
        <v>5953</v>
      </c>
      <c r="Q120" s="405" t="s">
        <v>8574</v>
      </c>
      <c r="R120" s="405" t="s">
        <v>8691</v>
      </c>
      <c r="S120" s="405" t="s">
        <v>8691</v>
      </c>
      <c r="T120" s="405" t="s">
        <v>8650</v>
      </c>
      <c r="U120" s="406">
        <f t="shared" si="1"/>
        <v>13.2</v>
      </c>
    </row>
    <row r="121" spans="1:21" ht="19" customHeight="1">
      <c r="A121" s="349" t="s">
        <v>5933</v>
      </c>
      <c r="B121" s="349" t="s">
        <v>2266</v>
      </c>
      <c r="C121" s="343" t="s">
        <v>510</v>
      </c>
      <c r="D121" s="344" t="s">
        <v>2267</v>
      </c>
      <c r="E121" s="344" t="s">
        <v>5954</v>
      </c>
      <c r="F121" s="358">
        <v>22</v>
      </c>
      <c r="G121" s="360"/>
      <c r="H121" s="360"/>
      <c r="I121" s="344" t="s">
        <v>5431</v>
      </c>
      <c r="J121" s="344" t="s">
        <v>2269</v>
      </c>
      <c r="K121" s="343" t="s">
        <v>2268</v>
      </c>
      <c r="L121" s="343" t="s">
        <v>2442</v>
      </c>
      <c r="M121" s="343" t="s">
        <v>2239</v>
      </c>
      <c r="N121" s="343" t="s">
        <v>2235</v>
      </c>
      <c r="O121" s="343" t="s">
        <v>2443</v>
      </c>
      <c r="P121" s="343" t="s">
        <v>5953</v>
      </c>
      <c r="Q121" s="405" t="s">
        <v>8574</v>
      </c>
      <c r="R121" s="405" t="s">
        <v>8691</v>
      </c>
      <c r="S121" s="405" t="s">
        <v>8691</v>
      </c>
      <c r="T121" s="405" t="s">
        <v>8650</v>
      </c>
      <c r="U121" s="406">
        <f t="shared" si="1"/>
        <v>13.2</v>
      </c>
    </row>
    <row r="122" spans="1:21" ht="19" customHeight="1">
      <c r="A122" s="349" t="s">
        <v>5933</v>
      </c>
      <c r="B122" s="349" t="s">
        <v>2270</v>
      </c>
      <c r="C122" s="343" t="s">
        <v>510</v>
      </c>
      <c r="D122" s="344" t="s">
        <v>2271</v>
      </c>
      <c r="E122" s="344" t="s">
        <v>5955</v>
      </c>
      <c r="F122" s="358">
        <v>12</v>
      </c>
      <c r="G122" s="360"/>
      <c r="H122" s="360"/>
      <c r="I122" s="344" t="s">
        <v>5432</v>
      </c>
      <c r="J122" s="344" t="s">
        <v>2272</v>
      </c>
      <c r="K122" s="343" t="s">
        <v>2265</v>
      </c>
      <c r="L122" s="343" t="s">
        <v>2442</v>
      </c>
      <c r="M122" s="343" t="s">
        <v>2234</v>
      </c>
      <c r="N122" s="343" t="s">
        <v>2235</v>
      </c>
      <c r="O122" s="343" t="s">
        <v>2443</v>
      </c>
      <c r="P122" s="343" t="s">
        <v>5949</v>
      </c>
      <c r="Q122" s="405" t="s">
        <v>8574</v>
      </c>
      <c r="R122" s="405" t="s">
        <v>8691</v>
      </c>
      <c r="S122" s="405" t="s">
        <v>8691</v>
      </c>
      <c r="T122" s="405" t="s">
        <v>8650</v>
      </c>
      <c r="U122" s="406">
        <f t="shared" si="1"/>
        <v>7.1999999999999993</v>
      </c>
    </row>
    <row r="123" spans="1:21" ht="19" customHeight="1">
      <c r="A123" s="349" t="s">
        <v>5933</v>
      </c>
      <c r="B123" s="349" t="s">
        <v>2273</v>
      </c>
      <c r="C123" s="343" t="s">
        <v>510</v>
      </c>
      <c r="D123" s="344" t="s">
        <v>2274</v>
      </c>
      <c r="E123" s="344" t="s">
        <v>5956</v>
      </c>
      <c r="F123" s="358">
        <v>10</v>
      </c>
      <c r="G123" s="360"/>
      <c r="H123" s="360"/>
      <c r="I123" s="344" t="s">
        <v>5433</v>
      </c>
      <c r="J123" s="344" t="s">
        <v>2270</v>
      </c>
      <c r="K123" s="343" t="s">
        <v>2275</v>
      </c>
      <c r="L123" s="343" t="s">
        <v>2442</v>
      </c>
      <c r="M123" s="343" t="s">
        <v>2234</v>
      </c>
      <c r="N123" s="343" t="s">
        <v>2235</v>
      </c>
      <c r="O123" s="343" t="s">
        <v>2443</v>
      </c>
      <c r="P123" s="343" t="s">
        <v>5949</v>
      </c>
      <c r="Q123" s="405" t="s">
        <v>8574</v>
      </c>
      <c r="R123" s="405" t="s">
        <v>8691</v>
      </c>
      <c r="S123" s="405" t="s">
        <v>8691</v>
      </c>
      <c r="T123" s="405" t="s">
        <v>8650</v>
      </c>
      <c r="U123" s="406">
        <f t="shared" si="1"/>
        <v>6</v>
      </c>
    </row>
    <row r="124" spans="1:21" ht="19" customHeight="1">
      <c r="A124" s="349" t="s">
        <v>5933</v>
      </c>
      <c r="B124" s="349" t="s">
        <v>2276</v>
      </c>
      <c r="C124" s="343" t="s">
        <v>510</v>
      </c>
      <c r="D124" s="344" t="s">
        <v>2277</v>
      </c>
      <c r="E124" s="344" t="s">
        <v>5957</v>
      </c>
      <c r="F124" s="358">
        <v>11</v>
      </c>
      <c r="G124" s="360"/>
      <c r="H124" s="360"/>
      <c r="I124" s="344" t="s">
        <v>5434</v>
      </c>
      <c r="J124" s="344" t="s">
        <v>2278</v>
      </c>
      <c r="K124" s="343" t="s">
        <v>2244</v>
      </c>
      <c r="L124" s="343" t="s">
        <v>2442</v>
      </c>
      <c r="M124" s="343" t="s">
        <v>2239</v>
      </c>
      <c r="N124" s="343" t="s">
        <v>2235</v>
      </c>
      <c r="O124" s="343" t="s">
        <v>2443</v>
      </c>
      <c r="P124" s="343" t="s">
        <v>5937</v>
      </c>
      <c r="Q124" s="405" t="s">
        <v>8574</v>
      </c>
      <c r="R124" s="405" t="s">
        <v>8691</v>
      </c>
      <c r="S124" s="405" t="s">
        <v>8691</v>
      </c>
      <c r="T124" s="405" t="s">
        <v>8650</v>
      </c>
      <c r="U124" s="406">
        <f t="shared" si="1"/>
        <v>6.6</v>
      </c>
    </row>
    <row r="125" spans="1:21" ht="19" customHeight="1">
      <c r="A125" s="349" t="s">
        <v>5933</v>
      </c>
      <c r="B125" s="349" t="s">
        <v>2279</v>
      </c>
      <c r="C125" s="343" t="s">
        <v>510</v>
      </c>
      <c r="D125" s="344" t="s">
        <v>2280</v>
      </c>
      <c r="E125" s="344" t="s">
        <v>5958</v>
      </c>
      <c r="F125" s="358">
        <v>12</v>
      </c>
      <c r="G125" s="360"/>
      <c r="H125" s="360"/>
      <c r="I125" s="344" t="s">
        <v>5435</v>
      </c>
      <c r="J125" s="344" t="s">
        <v>2281</v>
      </c>
      <c r="K125" s="343" t="s">
        <v>2265</v>
      </c>
      <c r="L125" s="343" t="s">
        <v>2442</v>
      </c>
      <c r="M125" s="343" t="s">
        <v>2234</v>
      </c>
      <c r="N125" s="343" t="s">
        <v>2235</v>
      </c>
      <c r="O125" s="343" t="s">
        <v>2443</v>
      </c>
      <c r="P125" s="343" t="s">
        <v>5949</v>
      </c>
      <c r="Q125" s="405" t="s">
        <v>8574</v>
      </c>
      <c r="R125" s="405" t="s">
        <v>8691</v>
      </c>
      <c r="S125" s="405" t="s">
        <v>8691</v>
      </c>
      <c r="T125" s="405" t="s">
        <v>8650</v>
      </c>
      <c r="U125" s="406">
        <f t="shared" si="1"/>
        <v>7.1999999999999993</v>
      </c>
    </row>
    <row r="126" spans="1:21" ht="19" customHeight="1">
      <c r="A126" s="349" t="s">
        <v>5933</v>
      </c>
      <c r="B126" s="349" t="s">
        <v>2453</v>
      </c>
      <c r="C126" s="343" t="s">
        <v>510</v>
      </c>
      <c r="D126" s="344" t="s">
        <v>2454</v>
      </c>
      <c r="E126" s="344" t="s">
        <v>5959</v>
      </c>
      <c r="F126" s="358">
        <v>9</v>
      </c>
      <c r="G126" s="360"/>
      <c r="H126" s="360"/>
      <c r="I126" s="344" t="s">
        <v>5436</v>
      </c>
      <c r="J126" s="344" t="s">
        <v>2270</v>
      </c>
      <c r="K126" s="343" t="s">
        <v>2265</v>
      </c>
      <c r="L126" s="343" t="s">
        <v>2442</v>
      </c>
      <c r="M126" s="343" t="s">
        <v>2234</v>
      </c>
      <c r="N126" s="343" t="s">
        <v>2448</v>
      </c>
      <c r="O126" s="343" t="s">
        <v>916</v>
      </c>
      <c r="P126" s="343" t="s">
        <v>5949</v>
      </c>
      <c r="Q126" s="405" t="s">
        <v>8574</v>
      </c>
      <c r="R126" s="405" t="s">
        <v>8691</v>
      </c>
      <c r="S126" s="405" t="s">
        <v>8691</v>
      </c>
      <c r="T126" s="405" t="s">
        <v>8650</v>
      </c>
      <c r="U126" s="406">
        <f t="shared" si="1"/>
        <v>5.3999999999999995</v>
      </c>
    </row>
    <row r="127" spans="1:21" ht="19" customHeight="1">
      <c r="A127" s="349" t="s">
        <v>5933</v>
      </c>
      <c r="B127" s="349" t="s">
        <v>2455</v>
      </c>
      <c r="C127" s="343" t="s">
        <v>510</v>
      </c>
      <c r="D127" s="344" t="s">
        <v>2456</v>
      </c>
      <c r="E127" s="344" t="s">
        <v>5960</v>
      </c>
      <c r="F127" s="358">
        <v>9</v>
      </c>
      <c r="G127" s="360"/>
      <c r="H127" s="360"/>
      <c r="I127" s="344" t="s">
        <v>5437</v>
      </c>
      <c r="J127" s="344" t="s">
        <v>2266</v>
      </c>
      <c r="K127" s="343" t="s">
        <v>2265</v>
      </c>
      <c r="L127" s="343" t="s">
        <v>2442</v>
      </c>
      <c r="M127" s="343" t="s">
        <v>2234</v>
      </c>
      <c r="N127" s="343" t="s">
        <v>2448</v>
      </c>
      <c r="O127" s="343" t="s">
        <v>915</v>
      </c>
      <c r="P127" s="343" t="s">
        <v>5949</v>
      </c>
      <c r="Q127" s="405" t="s">
        <v>8574</v>
      </c>
      <c r="R127" s="405" t="s">
        <v>8691</v>
      </c>
      <c r="S127" s="405" t="s">
        <v>8691</v>
      </c>
      <c r="T127" s="405" t="s">
        <v>8650</v>
      </c>
      <c r="U127" s="406">
        <f t="shared" si="1"/>
        <v>5.3999999999999995</v>
      </c>
    </row>
    <row r="128" spans="1:21" ht="19" customHeight="1">
      <c r="A128" s="349" t="s">
        <v>5933</v>
      </c>
      <c r="B128" s="349" t="s">
        <v>2457</v>
      </c>
      <c r="C128" s="343" t="s">
        <v>510</v>
      </c>
      <c r="D128" s="344" t="s">
        <v>2458</v>
      </c>
      <c r="E128" s="344" t="s">
        <v>5961</v>
      </c>
      <c r="F128" s="358">
        <v>6</v>
      </c>
      <c r="G128" s="360"/>
      <c r="H128" s="360"/>
      <c r="I128" s="344" t="s">
        <v>5438</v>
      </c>
      <c r="J128" s="344" t="s">
        <v>2263</v>
      </c>
      <c r="K128" s="343" t="s">
        <v>2305</v>
      </c>
      <c r="L128" s="343" t="s">
        <v>2442</v>
      </c>
      <c r="M128" s="343" t="s">
        <v>2234</v>
      </c>
      <c r="N128" s="343" t="s">
        <v>2448</v>
      </c>
      <c r="O128" s="343" t="s">
        <v>914</v>
      </c>
      <c r="P128" s="343" t="s">
        <v>5935</v>
      </c>
      <c r="Q128" s="405" t="s">
        <v>8574</v>
      </c>
      <c r="R128" s="405" t="s">
        <v>8691</v>
      </c>
      <c r="S128" s="405" t="s">
        <v>8691</v>
      </c>
      <c r="T128" s="405" t="s">
        <v>8650</v>
      </c>
      <c r="U128" s="406">
        <f t="shared" si="1"/>
        <v>3.5999999999999996</v>
      </c>
    </row>
    <row r="129" spans="1:21" ht="19" customHeight="1">
      <c r="A129" s="349" t="s">
        <v>5933</v>
      </c>
      <c r="B129" s="349" t="s">
        <v>2282</v>
      </c>
      <c r="C129" s="343" t="s">
        <v>1047</v>
      </c>
      <c r="D129" s="344" t="s">
        <v>2283</v>
      </c>
      <c r="E129" s="344" t="s">
        <v>5962</v>
      </c>
      <c r="F129" s="358">
        <v>10</v>
      </c>
      <c r="G129" s="360"/>
      <c r="H129" s="360"/>
      <c r="I129" s="344" t="s">
        <v>5439</v>
      </c>
      <c r="J129" s="344" t="s">
        <v>2240</v>
      </c>
      <c r="K129" s="343" t="s">
        <v>2284</v>
      </c>
      <c r="L129" s="343" t="s">
        <v>2442</v>
      </c>
      <c r="M129" s="343" t="s">
        <v>2234</v>
      </c>
      <c r="N129" s="343" t="s">
        <v>2235</v>
      </c>
      <c r="O129" s="343" t="s">
        <v>2443</v>
      </c>
      <c r="P129" s="343" t="s">
        <v>5949</v>
      </c>
      <c r="Q129" s="405" t="s">
        <v>8574</v>
      </c>
      <c r="R129" s="405" t="s">
        <v>8691</v>
      </c>
      <c r="S129" s="405" t="s">
        <v>8691</v>
      </c>
      <c r="T129" s="405" t="s">
        <v>8650</v>
      </c>
      <c r="U129" s="406">
        <f t="shared" si="1"/>
        <v>6</v>
      </c>
    </row>
    <row r="130" spans="1:21" ht="19" customHeight="1">
      <c r="A130" s="349" t="s">
        <v>5933</v>
      </c>
      <c r="B130" s="349" t="s">
        <v>2285</v>
      </c>
      <c r="C130" s="343" t="s">
        <v>1047</v>
      </c>
      <c r="D130" s="344" t="s">
        <v>2286</v>
      </c>
      <c r="E130" s="344" t="s">
        <v>5963</v>
      </c>
      <c r="F130" s="358">
        <v>5</v>
      </c>
      <c r="G130" s="360"/>
      <c r="H130" s="360"/>
      <c r="I130" s="344" t="s">
        <v>5440</v>
      </c>
      <c r="J130" s="344" t="s">
        <v>2282</v>
      </c>
      <c r="K130" s="343" t="s">
        <v>2287</v>
      </c>
      <c r="L130" s="343" t="s">
        <v>2442</v>
      </c>
      <c r="M130" s="343" t="s">
        <v>2234</v>
      </c>
      <c r="N130" s="343" t="s">
        <v>2235</v>
      </c>
      <c r="O130" s="343" t="s">
        <v>2443</v>
      </c>
      <c r="P130" s="343" t="s">
        <v>5935</v>
      </c>
      <c r="Q130" s="405" t="s">
        <v>8574</v>
      </c>
      <c r="R130" s="405" t="s">
        <v>8691</v>
      </c>
      <c r="S130" s="405" t="s">
        <v>8691</v>
      </c>
      <c r="T130" s="405" t="s">
        <v>8650</v>
      </c>
      <c r="U130" s="406">
        <f t="shared" si="1"/>
        <v>3</v>
      </c>
    </row>
    <row r="131" spans="1:21" ht="19" customHeight="1">
      <c r="A131" s="349" t="s">
        <v>5933</v>
      </c>
      <c r="B131" s="349" t="s">
        <v>2288</v>
      </c>
      <c r="C131" s="343" t="s">
        <v>1047</v>
      </c>
      <c r="D131" s="344" t="s">
        <v>2289</v>
      </c>
      <c r="E131" s="344" t="s">
        <v>5964</v>
      </c>
      <c r="F131" s="358">
        <v>12</v>
      </c>
      <c r="G131" s="360"/>
      <c r="H131" s="360"/>
      <c r="I131" s="344" t="s">
        <v>5441</v>
      </c>
      <c r="J131" s="344" t="s">
        <v>2291</v>
      </c>
      <c r="K131" s="343" t="s">
        <v>2290</v>
      </c>
      <c r="L131" s="343" t="s">
        <v>2442</v>
      </c>
      <c r="M131" s="343" t="s">
        <v>2234</v>
      </c>
      <c r="N131" s="343" t="s">
        <v>2235</v>
      </c>
      <c r="O131" s="343" t="s">
        <v>2443</v>
      </c>
      <c r="P131" s="343" t="s">
        <v>5949</v>
      </c>
      <c r="Q131" s="405" t="s">
        <v>8574</v>
      </c>
      <c r="R131" s="405" t="s">
        <v>8691</v>
      </c>
      <c r="S131" s="405" t="s">
        <v>8691</v>
      </c>
      <c r="T131" s="405" t="s">
        <v>8650</v>
      </c>
      <c r="U131" s="406">
        <f t="shared" si="1"/>
        <v>7.1999999999999993</v>
      </c>
    </row>
    <row r="132" spans="1:21" ht="19" customHeight="1">
      <c r="A132" s="349" t="s">
        <v>5933</v>
      </c>
      <c r="B132" s="349" t="s">
        <v>2292</v>
      </c>
      <c r="C132" s="343" t="s">
        <v>1047</v>
      </c>
      <c r="D132" s="344" t="s">
        <v>2293</v>
      </c>
      <c r="E132" s="344" t="s">
        <v>5965</v>
      </c>
      <c r="F132" s="358">
        <v>12</v>
      </c>
      <c r="G132" s="360"/>
      <c r="H132" s="360"/>
      <c r="I132" s="344" t="s">
        <v>5442</v>
      </c>
      <c r="J132" s="344" t="s">
        <v>2294</v>
      </c>
      <c r="K132" s="343" t="s">
        <v>2265</v>
      </c>
      <c r="L132" s="343" t="s">
        <v>2442</v>
      </c>
      <c r="M132" s="343" t="s">
        <v>2234</v>
      </c>
      <c r="N132" s="343" t="s">
        <v>2235</v>
      </c>
      <c r="O132" s="343" t="s">
        <v>2443</v>
      </c>
      <c r="P132" s="343" t="s">
        <v>5949</v>
      </c>
      <c r="Q132" s="405" t="s">
        <v>8574</v>
      </c>
      <c r="R132" s="405" t="s">
        <v>8691</v>
      </c>
      <c r="S132" s="405" t="s">
        <v>8691</v>
      </c>
      <c r="T132" s="405" t="s">
        <v>8650</v>
      </c>
      <c r="U132" s="406">
        <f t="shared" si="1"/>
        <v>7.1999999999999993</v>
      </c>
    </row>
    <row r="133" spans="1:21" ht="19" customHeight="1">
      <c r="A133" s="349" t="s">
        <v>5933</v>
      </c>
      <c r="B133" s="349" t="s">
        <v>2295</v>
      </c>
      <c r="C133" s="343" t="s">
        <v>1047</v>
      </c>
      <c r="D133" s="344" t="s">
        <v>2296</v>
      </c>
      <c r="E133" s="344" t="s">
        <v>5966</v>
      </c>
      <c r="F133" s="358">
        <v>5</v>
      </c>
      <c r="G133" s="360"/>
      <c r="H133" s="360"/>
      <c r="I133" s="344" t="s">
        <v>5443</v>
      </c>
      <c r="J133" s="344" t="s">
        <v>2297</v>
      </c>
      <c r="K133" s="343" t="s">
        <v>2265</v>
      </c>
      <c r="L133" s="343" t="s">
        <v>2442</v>
      </c>
      <c r="M133" s="343" t="s">
        <v>2234</v>
      </c>
      <c r="N133" s="343" t="s">
        <v>2235</v>
      </c>
      <c r="O133" s="343" t="s">
        <v>2443</v>
      </c>
      <c r="P133" s="343" t="s">
        <v>5935</v>
      </c>
      <c r="Q133" s="405" t="s">
        <v>8574</v>
      </c>
      <c r="R133" s="405" t="s">
        <v>8691</v>
      </c>
      <c r="S133" s="405" t="s">
        <v>8691</v>
      </c>
      <c r="T133" s="405" t="s">
        <v>8650</v>
      </c>
      <c r="U133" s="406">
        <f t="shared" si="1"/>
        <v>3</v>
      </c>
    </row>
    <row r="134" spans="1:21" ht="19" customHeight="1">
      <c r="A134" s="349" t="s">
        <v>5933</v>
      </c>
      <c r="B134" s="349" t="s">
        <v>2298</v>
      </c>
      <c r="C134" s="343" t="s">
        <v>1047</v>
      </c>
      <c r="D134" s="344" t="s">
        <v>2299</v>
      </c>
      <c r="E134" s="344" t="s">
        <v>5967</v>
      </c>
      <c r="F134" s="358">
        <v>10</v>
      </c>
      <c r="G134" s="360"/>
      <c r="H134" s="360"/>
      <c r="I134" s="344" t="s">
        <v>5444</v>
      </c>
      <c r="J134" s="344" t="s">
        <v>2301</v>
      </c>
      <c r="K134" s="343" t="s">
        <v>2300</v>
      </c>
      <c r="L134" s="343" t="s">
        <v>2442</v>
      </c>
      <c r="M134" s="343" t="s">
        <v>2302</v>
      </c>
      <c r="N134" s="343" t="s">
        <v>2235</v>
      </c>
      <c r="O134" s="343" t="s">
        <v>2443</v>
      </c>
      <c r="P134" s="343" t="s">
        <v>5949</v>
      </c>
      <c r="Q134" s="405" t="s">
        <v>8574</v>
      </c>
      <c r="R134" s="405" t="s">
        <v>8691</v>
      </c>
      <c r="S134" s="405" t="s">
        <v>8691</v>
      </c>
      <c r="T134" s="405" t="s">
        <v>8650</v>
      </c>
      <c r="U134" s="406">
        <f t="shared" si="1"/>
        <v>6</v>
      </c>
    </row>
    <row r="135" spans="1:21" ht="19" customHeight="1">
      <c r="A135" s="349" t="s">
        <v>5933</v>
      </c>
      <c r="B135" s="349" t="s">
        <v>2303</v>
      </c>
      <c r="C135" s="343" t="s">
        <v>1047</v>
      </c>
      <c r="D135" s="344" t="s">
        <v>2304</v>
      </c>
      <c r="E135" s="344" t="s">
        <v>5968</v>
      </c>
      <c r="F135" s="358">
        <v>3</v>
      </c>
      <c r="G135" s="360"/>
      <c r="H135" s="360"/>
      <c r="I135" s="344" t="s">
        <v>5445</v>
      </c>
      <c r="J135" s="344" t="s">
        <v>2285</v>
      </c>
      <c r="K135" s="343" t="s">
        <v>2305</v>
      </c>
      <c r="L135" s="343" t="s">
        <v>2442</v>
      </c>
      <c r="M135" s="343" t="s">
        <v>2306</v>
      </c>
      <c r="N135" s="343" t="s">
        <v>2235</v>
      </c>
      <c r="O135" s="343" t="s">
        <v>2443</v>
      </c>
      <c r="P135" s="343" t="s">
        <v>5935</v>
      </c>
      <c r="Q135" s="405" t="s">
        <v>8574</v>
      </c>
      <c r="R135" s="405" t="s">
        <v>8691</v>
      </c>
      <c r="S135" s="405" t="s">
        <v>8691</v>
      </c>
      <c r="T135" s="405" t="s">
        <v>8650</v>
      </c>
      <c r="U135" s="406">
        <f t="shared" ref="U135:U198" si="2">IF($A135="③ 構築（DU）",$F135*0.6,$F135)</f>
        <v>1.7999999999999998</v>
      </c>
    </row>
    <row r="136" spans="1:21" ht="19" customHeight="1">
      <c r="A136" s="349" t="s">
        <v>5933</v>
      </c>
      <c r="B136" s="349" t="s">
        <v>2307</v>
      </c>
      <c r="C136" s="343" t="s">
        <v>1047</v>
      </c>
      <c r="D136" s="344" t="s">
        <v>2308</v>
      </c>
      <c r="E136" s="344" t="s">
        <v>5969</v>
      </c>
      <c r="F136" s="358">
        <v>4</v>
      </c>
      <c r="G136" s="360"/>
      <c r="H136" s="360"/>
      <c r="I136" s="344" t="s">
        <v>5446</v>
      </c>
      <c r="J136" s="344" t="s">
        <v>2291</v>
      </c>
      <c r="K136" s="343" t="s">
        <v>2287</v>
      </c>
      <c r="L136" s="343" t="s">
        <v>2442</v>
      </c>
      <c r="M136" s="343" t="s">
        <v>2239</v>
      </c>
      <c r="N136" s="343" t="s">
        <v>2235</v>
      </c>
      <c r="O136" s="343" t="s">
        <v>2443</v>
      </c>
      <c r="P136" s="343" t="s">
        <v>5935</v>
      </c>
      <c r="Q136" s="405" t="s">
        <v>8574</v>
      </c>
      <c r="R136" s="405" t="s">
        <v>8691</v>
      </c>
      <c r="S136" s="405" t="s">
        <v>8691</v>
      </c>
      <c r="T136" s="405" t="s">
        <v>8650</v>
      </c>
      <c r="U136" s="406">
        <f t="shared" si="2"/>
        <v>2.4</v>
      </c>
    </row>
    <row r="137" spans="1:21" ht="19" customHeight="1">
      <c r="A137" s="349" t="s">
        <v>5933</v>
      </c>
      <c r="B137" s="349" t="s">
        <v>2309</v>
      </c>
      <c r="C137" s="343" t="s">
        <v>1047</v>
      </c>
      <c r="D137" s="344" t="s">
        <v>1429</v>
      </c>
      <c r="E137" s="344" t="s">
        <v>5970</v>
      </c>
      <c r="F137" s="358">
        <v>5</v>
      </c>
      <c r="G137" s="360"/>
      <c r="H137" s="360"/>
      <c r="I137" s="344" t="s">
        <v>5447</v>
      </c>
      <c r="J137" s="344" t="s">
        <v>2282</v>
      </c>
      <c r="K137" s="343" t="s">
        <v>2310</v>
      </c>
      <c r="L137" s="343" t="s">
        <v>2442</v>
      </c>
      <c r="M137" s="343" t="s">
        <v>2234</v>
      </c>
      <c r="N137" s="343" t="s">
        <v>2311</v>
      </c>
      <c r="O137" s="343" t="s">
        <v>2443</v>
      </c>
      <c r="P137" s="343" t="s">
        <v>5935</v>
      </c>
      <c r="Q137" s="405" t="s">
        <v>8574</v>
      </c>
      <c r="R137" s="405" t="s">
        <v>8691</v>
      </c>
      <c r="S137" s="405" t="s">
        <v>8691</v>
      </c>
      <c r="T137" s="405" t="s">
        <v>8650</v>
      </c>
      <c r="U137" s="406">
        <f t="shared" si="2"/>
        <v>3</v>
      </c>
    </row>
    <row r="138" spans="1:21" ht="19" customHeight="1">
      <c r="A138" s="349" t="s">
        <v>5933</v>
      </c>
      <c r="B138" s="349" t="s">
        <v>2312</v>
      </c>
      <c r="C138" s="343" t="s">
        <v>1047</v>
      </c>
      <c r="D138" s="344" t="s">
        <v>1431</v>
      </c>
      <c r="E138" s="344" t="s">
        <v>5971</v>
      </c>
      <c r="F138" s="358">
        <v>4</v>
      </c>
      <c r="G138" s="360"/>
      <c r="H138" s="360"/>
      <c r="I138" s="344" t="s">
        <v>5448</v>
      </c>
      <c r="J138" s="344" t="s">
        <v>2288</v>
      </c>
      <c r="K138" s="343" t="s">
        <v>2231</v>
      </c>
      <c r="L138" s="343" t="s">
        <v>2442</v>
      </c>
      <c r="M138" s="343" t="s">
        <v>2234</v>
      </c>
      <c r="N138" s="343" t="s">
        <v>2311</v>
      </c>
      <c r="O138" s="343" t="s">
        <v>2443</v>
      </c>
      <c r="P138" s="343" t="s">
        <v>5935</v>
      </c>
      <c r="Q138" s="405" t="s">
        <v>8574</v>
      </c>
      <c r="R138" s="405" t="s">
        <v>8691</v>
      </c>
      <c r="S138" s="405" t="s">
        <v>8691</v>
      </c>
      <c r="T138" s="405" t="s">
        <v>8650</v>
      </c>
      <c r="U138" s="406">
        <f t="shared" si="2"/>
        <v>2.4</v>
      </c>
    </row>
    <row r="139" spans="1:21" ht="19" customHeight="1">
      <c r="A139" s="349" t="s">
        <v>5933</v>
      </c>
      <c r="B139" s="349" t="s">
        <v>2459</v>
      </c>
      <c r="C139" s="343" t="s">
        <v>1047</v>
      </c>
      <c r="D139" s="344" t="s">
        <v>2460</v>
      </c>
      <c r="E139" s="344" t="s">
        <v>5972</v>
      </c>
      <c r="F139" s="358">
        <v>4</v>
      </c>
      <c r="G139" s="360"/>
      <c r="H139" s="360"/>
      <c r="I139" s="344" t="s">
        <v>5449</v>
      </c>
      <c r="J139" s="344" t="s">
        <v>2312</v>
      </c>
      <c r="K139" s="343" t="s">
        <v>2305</v>
      </c>
      <c r="L139" s="343" t="s">
        <v>2442</v>
      </c>
      <c r="M139" s="343" t="s">
        <v>2234</v>
      </c>
      <c r="N139" s="343" t="s">
        <v>2448</v>
      </c>
      <c r="O139" s="343" t="s">
        <v>1432</v>
      </c>
      <c r="P139" s="343" t="s">
        <v>5935</v>
      </c>
      <c r="Q139" s="405" t="s">
        <v>8574</v>
      </c>
      <c r="R139" s="405" t="s">
        <v>8691</v>
      </c>
      <c r="S139" s="405" t="s">
        <v>8691</v>
      </c>
      <c r="T139" s="405" t="s">
        <v>8650</v>
      </c>
      <c r="U139" s="406">
        <f t="shared" si="2"/>
        <v>2.4</v>
      </c>
    </row>
    <row r="140" spans="1:21" ht="19" customHeight="1">
      <c r="A140" s="349" t="s">
        <v>5933</v>
      </c>
      <c r="B140" s="349" t="s">
        <v>2313</v>
      </c>
      <c r="C140" s="343" t="s">
        <v>917</v>
      </c>
      <c r="D140" s="344" t="s">
        <v>2314</v>
      </c>
      <c r="E140" s="344" t="s">
        <v>5973</v>
      </c>
      <c r="F140" s="358">
        <v>5</v>
      </c>
      <c r="G140" s="360"/>
      <c r="H140" s="360"/>
      <c r="I140" s="344" t="s">
        <v>5450</v>
      </c>
      <c r="J140" s="344" t="s">
        <v>2245</v>
      </c>
      <c r="K140" s="343" t="s">
        <v>2231</v>
      </c>
      <c r="L140" s="343" t="s">
        <v>2442</v>
      </c>
      <c r="M140" s="343" t="s">
        <v>2234</v>
      </c>
      <c r="N140" s="343" t="s">
        <v>2235</v>
      </c>
      <c r="O140" s="343" t="s">
        <v>2443</v>
      </c>
      <c r="P140" s="343" t="s">
        <v>5935</v>
      </c>
      <c r="Q140" s="405" t="s">
        <v>8574</v>
      </c>
      <c r="R140" s="405" t="s">
        <v>8691</v>
      </c>
      <c r="S140" s="405" t="s">
        <v>8691</v>
      </c>
      <c r="T140" s="405" t="s">
        <v>8650</v>
      </c>
      <c r="U140" s="406">
        <f t="shared" si="2"/>
        <v>3</v>
      </c>
    </row>
    <row r="141" spans="1:21" ht="19" customHeight="1">
      <c r="A141" s="349" t="s">
        <v>5933</v>
      </c>
      <c r="B141" s="349" t="s">
        <v>2315</v>
      </c>
      <c r="C141" s="343" t="s">
        <v>917</v>
      </c>
      <c r="D141" s="344" t="s">
        <v>2316</v>
      </c>
      <c r="E141" s="344" t="s">
        <v>5974</v>
      </c>
      <c r="F141" s="358">
        <v>8</v>
      </c>
      <c r="G141" s="360"/>
      <c r="H141" s="360"/>
      <c r="I141" s="344" t="s">
        <v>5451</v>
      </c>
      <c r="J141" s="344" t="s">
        <v>2313</v>
      </c>
      <c r="K141" s="343" t="s">
        <v>2231</v>
      </c>
      <c r="L141" s="343" t="s">
        <v>2442</v>
      </c>
      <c r="M141" s="343" t="s">
        <v>2234</v>
      </c>
      <c r="N141" s="343" t="s">
        <v>2235</v>
      </c>
      <c r="O141" s="343" t="s">
        <v>2443</v>
      </c>
      <c r="P141" s="343" t="s">
        <v>5949</v>
      </c>
      <c r="Q141" s="405" t="s">
        <v>8574</v>
      </c>
      <c r="R141" s="405" t="s">
        <v>8691</v>
      </c>
      <c r="S141" s="405" t="s">
        <v>8691</v>
      </c>
      <c r="T141" s="405" t="s">
        <v>8650</v>
      </c>
      <c r="U141" s="406">
        <f t="shared" si="2"/>
        <v>4.8</v>
      </c>
    </row>
    <row r="142" spans="1:21" ht="19" customHeight="1">
      <c r="A142" s="349" t="s">
        <v>5933</v>
      </c>
      <c r="B142" s="349" t="s">
        <v>2317</v>
      </c>
      <c r="C142" s="343" t="s">
        <v>917</v>
      </c>
      <c r="D142" s="344" t="s">
        <v>2318</v>
      </c>
      <c r="E142" s="344" t="s">
        <v>5975</v>
      </c>
      <c r="F142" s="358">
        <v>12</v>
      </c>
      <c r="G142" s="360"/>
      <c r="H142" s="360"/>
      <c r="I142" s="344" t="s">
        <v>5452</v>
      </c>
      <c r="J142" s="344" t="s">
        <v>2319</v>
      </c>
      <c r="K142" s="343" t="s">
        <v>2275</v>
      </c>
      <c r="L142" s="343" t="s">
        <v>2442</v>
      </c>
      <c r="M142" s="343" t="s">
        <v>2234</v>
      </c>
      <c r="N142" s="343" t="s">
        <v>2235</v>
      </c>
      <c r="O142" s="343" t="s">
        <v>2443</v>
      </c>
      <c r="P142" s="343" t="s">
        <v>5949</v>
      </c>
      <c r="Q142" s="405" t="s">
        <v>8574</v>
      </c>
      <c r="R142" s="405" t="s">
        <v>8691</v>
      </c>
      <c r="S142" s="405" t="s">
        <v>8691</v>
      </c>
      <c r="T142" s="405" t="s">
        <v>8650</v>
      </c>
      <c r="U142" s="406">
        <f t="shared" si="2"/>
        <v>7.1999999999999993</v>
      </c>
    </row>
    <row r="143" spans="1:21" ht="19" customHeight="1">
      <c r="A143" s="349" t="s">
        <v>5933</v>
      </c>
      <c r="B143" s="349" t="s">
        <v>2320</v>
      </c>
      <c r="C143" s="343" t="s">
        <v>917</v>
      </c>
      <c r="D143" s="344" t="s">
        <v>2321</v>
      </c>
      <c r="E143" s="344" t="s">
        <v>5976</v>
      </c>
      <c r="F143" s="358">
        <v>5</v>
      </c>
      <c r="G143" s="360"/>
      <c r="H143" s="360"/>
      <c r="I143" s="344" t="s">
        <v>5453</v>
      </c>
      <c r="J143" s="344" t="s">
        <v>2322</v>
      </c>
      <c r="K143" s="343" t="s">
        <v>2231</v>
      </c>
      <c r="L143" s="343" t="s">
        <v>2442</v>
      </c>
      <c r="M143" s="343" t="s">
        <v>2234</v>
      </c>
      <c r="N143" s="343" t="s">
        <v>2235</v>
      </c>
      <c r="O143" s="343" t="s">
        <v>2443</v>
      </c>
      <c r="P143" s="343" t="s">
        <v>5935</v>
      </c>
      <c r="Q143" s="405" t="s">
        <v>8574</v>
      </c>
      <c r="R143" s="405" t="s">
        <v>8691</v>
      </c>
      <c r="S143" s="405" t="s">
        <v>8691</v>
      </c>
      <c r="T143" s="405" t="s">
        <v>8650</v>
      </c>
      <c r="U143" s="406">
        <f t="shared" si="2"/>
        <v>3</v>
      </c>
    </row>
    <row r="144" spans="1:21" ht="19" customHeight="1">
      <c r="A144" s="349" t="s">
        <v>5933</v>
      </c>
      <c r="B144" s="349" t="s">
        <v>2297</v>
      </c>
      <c r="C144" s="343" t="s">
        <v>917</v>
      </c>
      <c r="D144" s="344" t="s">
        <v>2323</v>
      </c>
      <c r="E144" s="344" t="s">
        <v>5977</v>
      </c>
      <c r="F144" s="358">
        <v>10</v>
      </c>
      <c r="G144" s="360"/>
      <c r="H144" s="360"/>
      <c r="I144" s="344" t="s">
        <v>5454</v>
      </c>
      <c r="J144" s="344" t="s">
        <v>2313</v>
      </c>
      <c r="K144" s="343" t="s">
        <v>2324</v>
      </c>
      <c r="L144" s="343" t="s">
        <v>2442</v>
      </c>
      <c r="M144" s="343" t="s">
        <v>2234</v>
      </c>
      <c r="N144" s="343" t="s">
        <v>2235</v>
      </c>
      <c r="O144" s="343" t="s">
        <v>2443</v>
      </c>
      <c r="P144" s="343" t="s">
        <v>5949</v>
      </c>
      <c r="Q144" s="405" t="s">
        <v>8574</v>
      </c>
      <c r="R144" s="405" t="s">
        <v>8691</v>
      </c>
      <c r="S144" s="405" t="s">
        <v>8691</v>
      </c>
      <c r="T144" s="405" t="s">
        <v>8650</v>
      </c>
      <c r="U144" s="406">
        <f t="shared" si="2"/>
        <v>6</v>
      </c>
    </row>
    <row r="145" spans="1:21" ht="19" customHeight="1">
      <c r="A145" s="349" t="s">
        <v>5933</v>
      </c>
      <c r="B145" s="349" t="s">
        <v>2325</v>
      </c>
      <c r="C145" s="343" t="s">
        <v>917</v>
      </c>
      <c r="D145" s="344" t="s">
        <v>1463</v>
      </c>
      <c r="E145" s="344" t="s">
        <v>5978</v>
      </c>
      <c r="F145" s="358">
        <v>20</v>
      </c>
      <c r="G145" s="360"/>
      <c r="H145" s="360"/>
      <c r="I145" s="344" t="s">
        <v>5455</v>
      </c>
      <c r="J145" s="344" t="s">
        <v>2326</v>
      </c>
      <c r="K145" s="343" t="s">
        <v>2265</v>
      </c>
      <c r="L145" s="343" t="s">
        <v>2442</v>
      </c>
      <c r="M145" s="343" t="s">
        <v>2239</v>
      </c>
      <c r="N145" s="343" t="s">
        <v>2311</v>
      </c>
      <c r="O145" s="343" t="s">
        <v>2443</v>
      </c>
      <c r="P145" s="343" t="s">
        <v>5979</v>
      </c>
      <c r="Q145" s="405" t="s">
        <v>8574</v>
      </c>
      <c r="R145" s="405" t="s">
        <v>8691</v>
      </c>
      <c r="S145" s="405" t="s">
        <v>8691</v>
      </c>
      <c r="T145" s="405" t="s">
        <v>8650</v>
      </c>
      <c r="U145" s="406">
        <f t="shared" si="2"/>
        <v>12</v>
      </c>
    </row>
    <row r="146" spans="1:21" ht="19" customHeight="1">
      <c r="A146" s="349" t="s">
        <v>5933</v>
      </c>
      <c r="B146" s="349" t="s">
        <v>2327</v>
      </c>
      <c r="C146" s="343" t="s">
        <v>917</v>
      </c>
      <c r="D146" s="344" t="s">
        <v>2328</v>
      </c>
      <c r="E146" s="344" t="s">
        <v>5980</v>
      </c>
      <c r="F146" s="358">
        <v>10</v>
      </c>
      <c r="G146" s="360"/>
      <c r="H146" s="360"/>
      <c r="I146" s="344" t="s">
        <v>5456</v>
      </c>
      <c r="J146" s="344" t="s">
        <v>2329</v>
      </c>
      <c r="K146" s="343" t="s">
        <v>2231</v>
      </c>
      <c r="L146" s="343" t="s">
        <v>2442</v>
      </c>
      <c r="M146" s="343" t="s">
        <v>2234</v>
      </c>
      <c r="N146" s="343" t="s">
        <v>2311</v>
      </c>
      <c r="O146" s="343" t="s">
        <v>2443</v>
      </c>
      <c r="P146" s="343" t="s">
        <v>5949</v>
      </c>
      <c r="Q146" s="405" t="s">
        <v>8574</v>
      </c>
      <c r="R146" s="405" t="s">
        <v>8691</v>
      </c>
      <c r="S146" s="405" t="s">
        <v>8691</v>
      </c>
      <c r="T146" s="405" t="s">
        <v>8650</v>
      </c>
      <c r="U146" s="406">
        <f t="shared" si="2"/>
        <v>6</v>
      </c>
    </row>
    <row r="147" spans="1:21" ht="19" customHeight="1">
      <c r="A147" s="349" t="s">
        <v>5933</v>
      </c>
      <c r="B147" s="349" t="s">
        <v>2461</v>
      </c>
      <c r="C147" s="343" t="s">
        <v>917</v>
      </c>
      <c r="D147" s="344" t="s">
        <v>2462</v>
      </c>
      <c r="E147" s="344" t="s">
        <v>5981</v>
      </c>
      <c r="F147" s="358">
        <v>4</v>
      </c>
      <c r="G147" s="360"/>
      <c r="H147" s="360"/>
      <c r="I147" s="344" t="s">
        <v>5457</v>
      </c>
      <c r="J147" s="344" t="s">
        <v>2313</v>
      </c>
      <c r="K147" s="343" t="s">
        <v>2342</v>
      </c>
      <c r="L147" s="343" t="s">
        <v>2446</v>
      </c>
      <c r="M147" s="343" t="s">
        <v>2463</v>
      </c>
      <c r="N147" s="343" t="s">
        <v>2448</v>
      </c>
      <c r="O147" s="343" t="s">
        <v>1426</v>
      </c>
      <c r="P147" s="343" t="s">
        <v>5935</v>
      </c>
      <c r="Q147" s="405" t="s">
        <v>8574</v>
      </c>
      <c r="R147" s="405" t="s">
        <v>8691</v>
      </c>
      <c r="S147" s="405" t="s">
        <v>8691</v>
      </c>
      <c r="T147" s="405" t="s">
        <v>8650</v>
      </c>
      <c r="U147" s="406">
        <f t="shared" si="2"/>
        <v>2.4</v>
      </c>
    </row>
    <row r="148" spans="1:21" ht="19" customHeight="1">
      <c r="A148" s="349" t="s">
        <v>5933</v>
      </c>
      <c r="B148" s="349" t="s">
        <v>2232</v>
      </c>
      <c r="C148" s="343" t="s">
        <v>513</v>
      </c>
      <c r="D148" s="344" t="s">
        <v>2330</v>
      </c>
      <c r="E148" s="344" t="s">
        <v>5982</v>
      </c>
      <c r="F148" s="358">
        <v>12</v>
      </c>
      <c r="G148" s="360"/>
      <c r="H148" s="360"/>
      <c r="I148" s="344" t="s">
        <v>5458</v>
      </c>
      <c r="J148" s="344" t="s">
        <v>5983</v>
      </c>
      <c r="K148" s="343" t="s">
        <v>2258</v>
      </c>
      <c r="L148" s="343" t="s">
        <v>2442</v>
      </c>
      <c r="M148" s="343" t="s">
        <v>2234</v>
      </c>
      <c r="N148" s="343" t="s">
        <v>2235</v>
      </c>
      <c r="O148" s="343" t="s">
        <v>2443</v>
      </c>
      <c r="P148" s="343" t="s">
        <v>5949</v>
      </c>
      <c r="Q148" s="405" t="s">
        <v>8574</v>
      </c>
      <c r="R148" s="405" t="s">
        <v>8691</v>
      </c>
      <c r="S148" s="405" t="s">
        <v>8691</v>
      </c>
      <c r="T148" s="405" t="s">
        <v>8650</v>
      </c>
      <c r="U148" s="406">
        <f t="shared" si="2"/>
        <v>7.1999999999999993</v>
      </c>
    </row>
    <row r="149" spans="1:21" ht="19" customHeight="1">
      <c r="A149" s="349" t="s">
        <v>5933</v>
      </c>
      <c r="B149" s="349" t="s">
        <v>2255</v>
      </c>
      <c r="C149" s="343" t="s">
        <v>513</v>
      </c>
      <c r="D149" s="344" t="s">
        <v>2332</v>
      </c>
      <c r="E149" s="344" t="s">
        <v>5984</v>
      </c>
      <c r="F149" s="358">
        <v>24</v>
      </c>
      <c r="G149" s="360"/>
      <c r="H149" s="360"/>
      <c r="I149" s="344" t="s">
        <v>5459</v>
      </c>
      <c r="J149" s="344" t="s">
        <v>5985</v>
      </c>
      <c r="K149" s="343" t="s">
        <v>2258</v>
      </c>
      <c r="L149" s="343" t="s">
        <v>2442</v>
      </c>
      <c r="M149" s="343" t="s">
        <v>2239</v>
      </c>
      <c r="N149" s="343" t="s">
        <v>2235</v>
      </c>
      <c r="O149" s="343" t="s">
        <v>2443</v>
      </c>
      <c r="P149" s="343" t="s">
        <v>5986</v>
      </c>
      <c r="Q149" s="405" t="s">
        <v>8574</v>
      </c>
      <c r="R149" s="405" t="s">
        <v>8691</v>
      </c>
      <c r="S149" s="405" t="s">
        <v>8691</v>
      </c>
      <c r="T149" s="405" t="s">
        <v>8650</v>
      </c>
      <c r="U149" s="406">
        <f t="shared" si="2"/>
        <v>14.399999999999999</v>
      </c>
    </row>
    <row r="150" spans="1:21" ht="19" customHeight="1">
      <c r="A150" s="349" t="s">
        <v>5933</v>
      </c>
      <c r="B150" s="349" t="s">
        <v>2259</v>
      </c>
      <c r="C150" s="343" t="s">
        <v>513</v>
      </c>
      <c r="D150" s="344" t="s">
        <v>2333</v>
      </c>
      <c r="E150" s="344" t="s">
        <v>5987</v>
      </c>
      <c r="F150" s="358">
        <v>12</v>
      </c>
      <c r="G150" s="360"/>
      <c r="H150" s="360"/>
      <c r="I150" s="344" t="s">
        <v>5460</v>
      </c>
      <c r="J150" s="344" t="s">
        <v>5988</v>
      </c>
      <c r="K150" s="343" t="s">
        <v>2258</v>
      </c>
      <c r="L150" s="343" t="s">
        <v>2442</v>
      </c>
      <c r="M150" s="343" t="s">
        <v>2234</v>
      </c>
      <c r="N150" s="343" t="s">
        <v>2235</v>
      </c>
      <c r="O150" s="343" t="s">
        <v>2443</v>
      </c>
      <c r="P150" s="343" t="s">
        <v>5949</v>
      </c>
      <c r="Q150" s="405" t="s">
        <v>8574</v>
      </c>
      <c r="R150" s="405" t="s">
        <v>8691</v>
      </c>
      <c r="S150" s="405" t="s">
        <v>8691</v>
      </c>
      <c r="T150" s="405" t="s">
        <v>8650</v>
      </c>
      <c r="U150" s="406">
        <f t="shared" si="2"/>
        <v>7.1999999999999993</v>
      </c>
    </row>
    <row r="151" spans="1:21" ht="19" customHeight="1">
      <c r="A151" s="349" t="s">
        <v>5933</v>
      </c>
      <c r="B151" s="349" t="s">
        <v>2334</v>
      </c>
      <c r="C151" s="343" t="s">
        <v>513</v>
      </c>
      <c r="D151" s="344" t="s">
        <v>2335</v>
      </c>
      <c r="E151" s="344" t="s">
        <v>5989</v>
      </c>
      <c r="F151" s="358">
        <v>13</v>
      </c>
      <c r="G151" s="360"/>
      <c r="H151" s="360"/>
      <c r="I151" s="344" t="s">
        <v>5461</v>
      </c>
      <c r="J151" s="344" t="s">
        <v>5985</v>
      </c>
      <c r="K151" s="343" t="s">
        <v>2258</v>
      </c>
      <c r="L151" s="343" t="s">
        <v>2442</v>
      </c>
      <c r="M151" s="343" t="s">
        <v>2239</v>
      </c>
      <c r="N151" s="343" t="s">
        <v>2235</v>
      </c>
      <c r="O151" s="343" t="s">
        <v>2443</v>
      </c>
      <c r="P151" s="343" t="s">
        <v>5990</v>
      </c>
      <c r="Q151" s="405" t="s">
        <v>8574</v>
      </c>
      <c r="R151" s="405" t="s">
        <v>8691</v>
      </c>
      <c r="S151" s="405" t="s">
        <v>8691</v>
      </c>
      <c r="T151" s="405" t="s">
        <v>8650</v>
      </c>
      <c r="U151" s="406">
        <f t="shared" si="2"/>
        <v>7.8</v>
      </c>
    </row>
    <row r="152" spans="1:21" ht="19" customHeight="1">
      <c r="A152" s="349" t="s">
        <v>5933</v>
      </c>
      <c r="B152" s="349" t="s">
        <v>2336</v>
      </c>
      <c r="C152" s="343" t="s">
        <v>513</v>
      </c>
      <c r="D152" s="344" t="s">
        <v>2337</v>
      </c>
      <c r="E152" s="344" t="s">
        <v>5991</v>
      </c>
      <c r="F152" s="358">
        <v>12</v>
      </c>
      <c r="G152" s="360"/>
      <c r="H152" s="360"/>
      <c r="I152" s="344" t="s">
        <v>5462</v>
      </c>
      <c r="J152" s="344" t="s">
        <v>5992</v>
      </c>
      <c r="K152" s="343" t="s">
        <v>2258</v>
      </c>
      <c r="L152" s="343" t="s">
        <v>2442</v>
      </c>
      <c r="M152" s="343" t="s">
        <v>2234</v>
      </c>
      <c r="N152" s="343" t="s">
        <v>2235</v>
      </c>
      <c r="O152" s="343" t="s">
        <v>2443</v>
      </c>
      <c r="P152" s="343" t="s">
        <v>5949</v>
      </c>
      <c r="Q152" s="405" t="s">
        <v>8574</v>
      </c>
      <c r="R152" s="405" t="s">
        <v>8691</v>
      </c>
      <c r="S152" s="405" t="s">
        <v>8691</v>
      </c>
      <c r="T152" s="405" t="s">
        <v>8650</v>
      </c>
      <c r="U152" s="406">
        <f t="shared" si="2"/>
        <v>7.1999999999999993</v>
      </c>
    </row>
    <row r="153" spans="1:21" ht="19" customHeight="1">
      <c r="A153" s="349" t="s">
        <v>5933</v>
      </c>
      <c r="B153" s="349" t="s">
        <v>2338</v>
      </c>
      <c r="C153" s="343" t="s">
        <v>513</v>
      </c>
      <c r="D153" s="344" t="s">
        <v>2339</v>
      </c>
      <c r="E153" s="344" t="s">
        <v>5993</v>
      </c>
      <c r="F153" s="358">
        <v>10</v>
      </c>
      <c r="G153" s="360"/>
      <c r="H153" s="360"/>
      <c r="I153" s="344" t="s">
        <v>5463</v>
      </c>
      <c r="J153" s="344" t="s">
        <v>5994</v>
      </c>
      <c r="K153" s="343" t="s">
        <v>2258</v>
      </c>
      <c r="L153" s="343" t="s">
        <v>2442</v>
      </c>
      <c r="M153" s="343" t="s">
        <v>2234</v>
      </c>
      <c r="N153" s="343" t="s">
        <v>2235</v>
      </c>
      <c r="O153" s="343" t="s">
        <v>2443</v>
      </c>
      <c r="P153" s="343" t="s">
        <v>5949</v>
      </c>
      <c r="Q153" s="405" t="s">
        <v>8574</v>
      </c>
      <c r="R153" s="405" t="s">
        <v>8691</v>
      </c>
      <c r="S153" s="405" t="s">
        <v>8691</v>
      </c>
      <c r="T153" s="405" t="s">
        <v>8650</v>
      </c>
      <c r="U153" s="406">
        <f t="shared" si="2"/>
        <v>6</v>
      </c>
    </row>
    <row r="154" spans="1:21" ht="19" customHeight="1">
      <c r="A154" s="349" t="s">
        <v>5933</v>
      </c>
      <c r="B154" s="349" t="s">
        <v>2340</v>
      </c>
      <c r="C154" s="343" t="s">
        <v>513</v>
      </c>
      <c r="D154" s="344" t="s">
        <v>2341</v>
      </c>
      <c r="E154" s="344" t="s">
        <v>5995</v>
      </c>
      <c r="F154" s="358">
        <v>12</v>
      </c>
      <c r="G154" s="360"/>
      <c r="H154" s="360"/>
      <c r="I154" s="344" t="s">
        <v>5464</v>
      </c>
      <c r="J154" s="344" t="s">
        <v>5985</v>
      </c>
      <c r="K154" s="343" t="s">
        <v>2342</v>
      </c>
      <c r="L154" s="343" t="s">
        <v>2442</v>
      </c>
      <c r="M154" s="343" t="s">
        <v>2239</v>
      </c>
      <c r="N154" s="343" t="s">
        <v>2235</v>
      </c>
      <c r="O154" s="343" t="s">
        <v>2443</v>
      </c>
      <c r="P154" s="343" t="s">
        <v>5990</v>
      </c>
      <c r="Q154" s="405" t="s">
        <v>8574</v>
      </c>
      <c r="R154" s="405" t="s">
        <v>8691</v>
      </c>
      <c r="S154" s="405" t="s">
        <v>8691</v>
      </c>
      <c r="T154" s="405" t="s">
        <v>8650</v>
      </c>
      <c r="U154" s="406">
        <f t="shared" si="2"/>
        <v>7.1999999999999993</v>
      </c>
    </row>
    <row r="155" spans="1:21" ht="19" customHeight="1">
      <c r="A155" s="349" t="s">
        <v>5933</v>
      </c>
      <c r="B155" s="349" t="s">
        <v>2343</v>
      </c>
      <c r="C155" s="343" t="s">
        <v>513</v>
      </c>
      <c r="D155" s="344" t="s">
        <v>2344</v>
      </c>
      <c r="E155" s="344" t="s">
        <v>5996</v>
      </c>
      <c r="F155" s="358">
        <v>5</v>
      </c>
      <c r="G155" s="360"/>
      <c r="H155" s="360"/>
      <c r="I155" s="344" t="s">
        <v>5465</v>
      </c>
      <c r="J155" s="344" t="s">
        <v>5997</v>
      </c>
      <c r="K155" s="343" t="s">
        <v>2345</v>
      </c>
      <c r="L155" s="343" t="s">
        <v>2442</v>
      </c>
      <c r="M155" s="343" t="s">
        <v>2234</v>
      </c>
      <c r="N155" s="343" t="s">
        <v>2235</v>
      </c>
      <c r="O155" s="343" t="s">
        <v>2443</v>
      </c>
      <c r="P155" s="343" t="s">
        <v>5935</v>
      </c>
      <c r="Q155" s="405" t="s">
        <v>8574</v>
      </c>
      <c r="R155" s="405" t="s">
        <v>8691</v>
      </c>
      <c r="S155" s="405" t="s">
        <v>8691</v>
      </c>
      <c r="T155" s="405" t="s">
        <v>8650</v>
      </c>
      <c r="U155" s="406">
        <f t="shared" si="2"/>
        <v>3</v>
      </c>
    </row>
    <row r="156" spans="1:21" ht="19" customHeight="1">
      <c r="A156" s="349" t="s">
        <v>5933</v>
      </c>
      <c r="B156" s="349" t="s">
        <v>2346</v>
      </c>
      <c r="C156" s="343" t="s">
        <v>513</v>
      </c>
      <c r="D156" s="344" t="s">
        <v>2347</v>
      </c>
      <c r="E156" s="344" t="s">
        <v>5998</v>
      </c>
      <c r="F156" s="358">
        <v>5</v>
      </c>
      <c r="G156" s="360"/>
      <c r="H156" s="360"/>
      <c r="I156" s="344" t="s">
        <v>5466</v>
      </c>
      <c r="J156" s="344" t="s">
        <v>5985</v>
      </c>
      <c r="K156" s="343" t="s">
        <v>2348</v>
      </c>
      <c r="L156" s="343" t="s">
        <v>2442</v>
      </c>
      <c r="M156" s="343" t="s">
        <v>2234</v>
      </c>
      <c r="N156" s="343" t="s">
        <v>2235</v>
      </c>
      <c r="O156" s="343" t="s">
        <v>2443</v>
      </c>
      <c r="P156" s="343" t="s">
        <v>5935</v>
      </c>
      <c r="Q156" s="405" t="s">
        <v>8574</v>
      </c>
      <c r="R156" s="405" t="s">
        <v>8691</v>
      </c>
      <c r="S156" s="405" t="s">
        <v>8691</v>
      </c>
      <c r="T156" s="405" t="s">
        <v>8650</v>
      </c>
      <c r="U156" s="406">
        <f t="shared" si="2"/>
        <v>3</v>
      </c>
    </row>
    <row r="157" spans="1:21" ht="19" customHeight="1">
      <c r="A157" s="349" t="s">
        <v>5933</v>
      </c>
      <c r="B157" s="349" t="s">
        <v>2349</v>
      </c>
      <c r="C157" s="343" t="s">
        <v>513</v>
      </c>
      <c r="D157" s="344" t="s">
        <v>2350</v>
      </c>
      <c r="E157" s="344" t="s">
        <v>5999</v>
      </c>
      <c r="F157" s="358">
        <v>9</v>
      </c>
      <c r="G157" s="360"/>
      <c r="H157" s="360"/>
      <c r="I157" s="344" t="s">
        <v>5467</v>
      </c>
      <c r="J157" s="344" t="s">
        <v>6000</v>
      </c>
      <c r="K157" s="343" t="s">
        <v>2345</v>
      </c>
      <c r="L157" s="343" t="s">
        <v>2442</v>
      </c>
      <c r="M157" s="343" t="s">
        <v>2239</v>
      </c>
      <c r="N157" s="343" t="s">
        <v>2311</v>
      </c>
      <c r="O157" s="343" t="s">
        <v>2443</v>
      </c>
      <c r="P157" s="343" t="s">
        <v>5949</v>
      </c>
      <c r="Q157" s="405" t="s">
        <v>8574</v>
      </c>
      <c r="R157" s="405" t="s">
        <v>8691</v>
      </c>
      <c r="S157" s="405" t="s">
        <v>8691</v>
      </c>
      <c r="T157" s="405" t="s">
        <v>8650</v>
      </c>
      <c r="U157" s="406">
        <f t="shared" si="2"/>
        <v>5.3999999999999995</v>
      </c>
    </row>
    <row r="158" spans="1:21" ht="19" customHeight="1">
      <c r="A158" s="349" t="s">
        <v>5933</v>
      </c>
      <c r="B158" s="349" t="s">
        <v>2464</v>
      </c>
      <c r="C158" s="343" t="s">
        <v>513</v>
      </c>
      <c r="D158" s="344" t="s">
        <v>2465</v>
      </c>
      <c r="E158" s="344" t="s">
        <v>6001</v>
      </c>
      <c r="F158" s="358">
        <v>10</v>
      </c>
      <c r="G158" s="360"/>
      <c r="H158" s="360"/>
      <c r="I158" s="344" t="s">
        <v>5468</v>
      </c>
      <c r="J158" s="344" t="s">
        <v>6002</v>
      </c>
      <c r="K158" s="343" t="s">
        <v>2258</v>
      </c>
      <c r="L158" s="343" t="s">
        <v>2442</v>
      </c>
      <c r="M158" s="343" t="s">
        <v>2234</v>
      </c>
      <c r="N158" s="343" t="s">
        <v>2448</v>
      </c>
      <c r="O158" s="343" t="s">
        <v>2466</v>
      </c>
      <c r="P158" s="343" t="s">
        <v>5949</v>
      </c>
      <c r="Q158" s="405" t="s">
        <v>8574</v>
      </c>
      <c r="R158" s="405" t="s">
        <v>8691</v>
      </c>
      <c r="S158" s="405" t="s">
        <v>8691</v>
      </c>
      <c r="T158" s="405" t="s">
        <v>8650</v>
      </c>
      <c r="U158" s="406">
        <f t="shared" si="2"/>
        <v>6</v>
      </c>
    </row>
    <row r="159" spans="1:21" ht="19" customHeight="1">
      <c r="A159" s="349" t="s">
        <v>5933</v>
      </c>
      <c r="B159" s="349" t="s">
        <v>2467</v>
      </c>
      <c r="C159" s="343" t="s">
        <v>513</v>
      </c>
      <c r="D159" s="344" t="s">
        <v>2468</v>
      </c>
      <c r="E159" s="344" t="s">
        <v>6003</v>
      </c>
      <c r="F159" s="358">
        <v>6</v>
      </c>
      <c r="G159" s="360"/>
      <c r="H159" s="360"/>
      <c r="I159" s="344" t="s">
        <v>5469</v>
      </c>
      <c r="J159" s="344" t="s">
        <v>5985</v>
      </c>
      <c r="K159" s="343" t="s">
        <v>2258</v>
      </c>
      <c r="L159" s="343" t="s">
        <v>2442</v>
      </c>
      <c r="M159" s="343" t="s">
        <v>2234</v>
      </c>
      <c r="N159" s="343" t="s">
        <v>2448</v>
      </c>
      <c r="O159" s="343" t="s">
        <v>2469</v>
      </c>
      <c r="P159" s="343" t="s">
        <v>5935</v>
      </c>
      <c r="Q159" s="405" t="s">
        <v>8574</v>
      </c>
      <c r="R159" s="405" t="s">
        <v>8691</v>
      </c>
      <c r="S159" s="405" t="s">
        <v>8691</v>
      </c>
      <c r="T159" s="405" t="s">
        <v>8650</v>
      </c>
      <c r="U159" s="406">
        <f t="shared" si="2"/>
        <v>3.5999999999999996</v>
      </c>
    </row>
    <row r="160" spans="1:21" ht="19" customHeight="1">
      <c r="A160" s="349" t="s">
        <v>5933</v>
      </c>
      <c r="B160" s="349" t="s">
        <v>2470</v>
      </c>
      <c r="C160" s="343" t="s">
        <v>513</v>
      </c>
      <c r="D160" s="344" t="s">
        <v>2471</v>
      </c>
      <c r="E160" s="344" t="s">
        <v>6004</v>
      </c>
      <c r="F160" s="358">
        <v>8</v>
      </c>
      <c r="G160" s="360"/>
      <c r="H160" s="360"/>
      <c r="I160" s="344" t="s">
        <v>5470</v>
      </c>
      <c r="J160" s="344" t="s">
        <v>5985</v>
      </c>
      <c r="K160" s="343" t="s">
        <v>2258</v>
      </c>
      <c r="L160" s="343" t="s">
        <v>2442</v>
      </c>
      <c r="M160" s="343" t="s">
        <v>2234</v>
      </c>
      <c r="N160" s="343" t="s">
        <v>2448</v>
      </c>
      <c r="O160" s="343" t="s">
        <v>2472</v>
      </c>
      <c r="P160" s="343" t="s">
        <v>5935</v>
      </c>
      <c r="Q160" s="405" t="s">
        <v>8574</v>
      </c>
      <c r="R160" s="405" t="s">
        <v>8691</v>
      </c>
      <c r="S160" s="405" t="s">
        <v>8691</v>
      </c>
      <c r="T160" s="405" t="s">
        <v>8650</v>
      </c>
      <c r="U160" s="406">
        <f t="shared" si="2"/>
        <v>4.8</v>
      </c>
    </row>
    <row r="161" spans="1:21" ht="19" customHeight="1">
      <c r="A161" s="349" t="s">
        <v>5933</v>
      </c>
      <c r="B161" s="349" t="s">
        <v>5413</v>
      </c>
      <c r="C161" s="343" t="s">
        <v>513</v>
      </c>
      <c r="D161" s="344" t="s">
        <v>5414</v>
      </c>
      <c r="E161" s="344" t="s">
        <v>6005</v>
      </c>
      <c r="F161" s="358">
        <v>8</v>
      </c>
      <c r="G161" s="360"/>
      <c r="H161" s="360"/>
      <c r="I161" s="344" t="s">
        <v>5418</v>
      </c>
      <c r="J161" s="344" t="s">
        <v>5985</v>
      </c>
      <c r="K161" s="343" t="s">
        <v>2258</v>
      </c>
      <c r="L161" s="343" t="s">
        <v>2442</v>
      </c>
      <c r="M161" s="343" t="s">
        <v>5415</v>
      </c>
      <c r="N161" s="343" t="s">
        <v>5416</v>
      </c>
      <c r="O161" s="343" t="s">
        <v>5417</v>
      </c>
      <c r="P161" s="343" t="s">
        <v>5949</v>
      </c>
      <c r="Q161" s="405" t="s">
        <v>8574</v>
      </c>
      <c r="R161" s="405" t="s">
        <v>8691</v>
      </c>
      <c r="S161" s="405" t="s">
        <v>8691</v>
      </c>
      <c r="T161" s="405" t="s">
        <v>8650</v>
      </c>
      <c r="U161" s="406">
        <f t="shared" si="2"/>
        <v>4.8</v>
      </c>
    </row>
    <row r="162" spans="1:21" ht="19" customHeight="1">
      <c r="A162" s="349" t="s">
        <v>5933</v>
      </c>
      <c r="B162" s="349" t="s">
        <v>2351</v>
      </c>
      <c r="C162" s="343" t="s">
        <v>517</v>
      </c>
      <c r="D162" s="344" t="s">
        <v>2352</v>
      </c>
      <c r="E162" s="344" t="s">
        <v>6006</v>
      </c>
      <c r="F162" s="358">
        <v>12</v>
      </c>
      <c r="G162" s="360"/>
      <c r="H162" s="360"/>
      <c r="I162" s="344" t="s">
        <v>5471</v>
      </c>
      <c r="J162" s="344" t="s">
        <v>2232</v>
      </c>
      <c r="K162" s="343" t="s">
        <v>2258</v>
      </c>
      <c r="L162" s="343" t="s">
        <v>2442</v>
      </c>
      <c r="M162" s="343" t="s">
        <v>2234</v>
      </c>
      <c r="N162" s="343" t="s">
        <v>2235</v>
      </c>
      <c r="O162" s="343" t="s">
        <v>2443</v>
      </c>
      <c r="P162" s="343" t="s">
        <v>5949</v>
      </c>
      <c r="Q162" s="405" t="s">
        <v>8574</v>
      </c>
      <c r="R162" s="405" t="s">
        <v>8691</v>
      </c>
      <c r="S162" s="405" t="s">
        <v>8691</v>
      </c>
      <c r="T162" s="405" t="s">
        <v>8650</v>
      </c>
      <c r="U162" s="406">
        <f t="shared" si="2"/>
        <v>7.1999999999999993</v>
      </c>
    </row>
    <row r="163" spans="1:21" ht="19" customHeight="1">
      <c r="A163" s="349" t="s">
        <v>5933</v>
      </c>
      <c r="B163" s="349" t="s">
        <v>2353</v>
      </c>
      <c r="C163" s="343" t="s">
        <v>517</v>
      </c>
      <c r="D163" s="344" t="s">
        <v>2354</v>
      </c>
      <c r="E163" s="344" t="s">
        <v>6007</v>
      </c>
      <c r="F163" s="358">
        <v>6</v>
      </c>
      <c r="G163" s="360"/>
      <c r="H163" s="360"/>
      <c r="I163" s="344" t="s">
        <v>5472</v>
      </c>
      <c r="J163" s="344" t="s">
        <v>2355</v>
      </c>
      <c r="K163" s="343" t="s">
        <v>2275</v>
      </c>
      <c r="L163" s="343" t="s">
        <v>2442</v>
      </c>
      <c r="M163" s="343" t="s">
        <v>2234</v>
      </c>
      <c r="N163" s="343" t="s">
        <v>2235</v>
      </c>
      <c r="O163" s="343" t="s">
        <v>2443</v>
      </c>
      <c r="P163" s="343" t="s">
        <v>5935</v>
      </c>
      <c r="Q163" s="405" t="s">
        <v>8574</v>
      </c>
      <c r="R163" s="405" t="s">
        <v>8691</v>
      </c>
      <c r="S163" s="405" t="s">
        <v>8691</v>
      </c>
      <c r="T163" s="405" t="s">
        <v>8650</v>
      </c>
      <c r="U163" s="406">
        <f t="shared" si="2"/>
        <v>3.5999999999999996</v>
      </c>
    </row>
    <row r="164" spans="1:21" ht="19" customHeight="1">
      <c r="A164" s="349" t="s">
        <v>5933</v>
      </c>
      <c r="B164" s="349" t="s">
        <v>2356</v>
      </c>
      <c r="C164" s="343" t="s">
        <v>517</v>
      </c>
      <c r="D164" s="344" t="s">
        <v>2357</v>
      </c>
      <c r="E164" s="344" t="s">
        <v>6008</v>
      </c>
      <c r="F164" s="358">
        <v>22</v>
      </c>
      <c r="G164" s="360"/>
      <c r="H164" s="360"/>
      <c r="I164" s="344" t="s">
        <v>5473</v>
      </c>
      <c r="J164" s="344" t="s">
        <v>2358</v>
      </c>
      <c r="K164" s="343" t="s">
        <v>2265</v>
      </c>
      <c r="L164" s="343" t="s">
        <v>2442</v>
      </c>
      <c r="M164" s="343" t="s">
        <v>2234</v>
      </c>
      <c r="N164" s="343" t="s">
        <v>2235</v>
      </c>
      <c r="O164" s="343" t="s">
        <v>2443</v>
      </c>
      <c r="P164" s="343" t="s">
        <v>5947</v>
      </c>
      <c r="Q164" s="405" t="s">
        <v>8574</v>
      </c>
      <c r="R164" s="405" t="s">
        <v>8691</v>
      </c>
      <c r="S164" s="405" t="s">
        <v>8691</v>
      </c>
      <c r="T164" s="405" t="s">
        <v>8650</v>
      </c>
      <c r="U164" s="406">
        <f t="shared" si="2"/>
        <v>13.2</v>
      </c>
    </row>
    <row r="165" spans="1:21" ht="19" customHeight="1">
      <c r="A165" s="349" t="s">
        <v>5933</v>
      </c>
      <c r="B165" s="349" t="s">
        <v>2359</v>
      </c>
      <c r="C165" s="343" t="s">
        <v>517</v>
      </c>
      <c r="D165" s="344" t="s">
        <v>2360</v>
      </c>
      <c r="E165" s="344" t="s">
        <v>6009</v>
      </c>
      <c r="F165" s="358">
        <v>12</v>
      </c>
      <c r="G165" s="360"/>
      <c r="H165" s="360"/>
      <c r="I165" s="344" t="s">
        <v>5474</v>
      </c>
      <c r="J165" s="344" t="s">
        <v>2362</v>
      </c>
      <c r="K165" s="343" t="s">
        <v>2361</v>
      </c>
      <c r="L165" s="343" t="s">
        <v>2442</v>
      </c>
      <c r="M165" s="343" t="s">
        <v>2234</v>
      </c>
      <c r="N165" s="343" t="s">
        <v>2235</v>
      </c>
      <c r="O165" s="343" t="s">
        <v>2443</v>
      </c>
      <c r="P165" s="343" t="s">
        <v>5949</v>
      </c>
      <c r="Q165" s="405" t="s">
        <v>8574</v>
      </c>
      <c r="R165" s="405" t="s">
        <v>8691</v>
      </c>
      <c r="S165" s="405" t="s">
        <v>8691</v>
      </c>
      <c r="T165" s="405" t="s">
        <v>8650</v>
      </c>
      <c r="U165" s="406">
        <f t="shared" si="2"/>
        <v>7.1999999999999993</v>
      </c>
    </row>
    <row r="166" spans="1:21" ht="19" customHeight="1">
      <c r="A166" s="349" t="s">
        <v>5933</v>
      </c>
      <c r="B166" s="349" t="s">
        <v>2363</v>
      </c>
      <c r="C166" s="343" t="s">
        <v>517</v>
      </c>
      <c r="D166" s="344" t="s">
        <v>2364</v>
      </c>
      <c r="E166" s="344" t="s">
        <v>6010</v>
      </c>
      <c r="F166" s="358">
        <v>5</v>
      </c>
      <c r="G166" s="360"/>
      <c r="H166" s="360"/>
      <c r="I166" s="344" t="s">
        <v>5475</v>
      </c>
      <c r="J166" s="344" t="s">
        <v>2365</v>
      </c>
      <c r="K166" s="343" t="s">
        <v>2258</v>
      </c>
      <c r="L166" s="343" t="s">
        <v>2442</v>
      </c>
      <c r="M166" s="343" t="s">
        <v>2234</v>
      </c>
      <c r="N166" s="343" t="s">
        <v>2235</v>
      </c>
      <c r="O166" s="343" t="s">
        <v>2443</v>
      </c>
      <c r="P166" s="343" t="s">
        <v>5935</v>
      </c>
      <c r="Q166" s="405" t="s">
        <v>8574</v>
      </c>
      <c r="R166" s="405" t="s">
        <v>8691</v>
      </c>
      <c r="S166" s="405" t="s">
        <v>8691</v>
      </c>
      <c r="T166" s="405" t="s">
        <v>8650</v>
      </c>
      <c r="U166" s="406">
        <f t="shared" si="2"/>
        <v>3</v>
      </c>
    </row>
    <row r="167" spans="1:21" ht="19" customHeight="1">
      <c r="A167" s="349" t="s">
        <v>5933</v>
      </c>
      <c r="B167" s="349" t="s">
        <v>2366</v>
      </c>
      <c r="C167" s="343" t="s">
        <v>517</v>
      </c>
      <c r="D167" s="344" t="s">
        <v>2367</v>
      </c>
      <c r="E167" s="344" t="s">
        <v>6011</v>
      </c>
      <c r="F167" s="358">
        <v>22</v>
      </c>
      <c r="G167" s="360"/>
      <c r="H167" s="360"/>
      <c r="I167" s="344" t="s">
        <v>5476</v>
      </c>
      <c r="J167" s="344" t="s">
        <v>2368</v>
      </c>
      <c r="K167" s="343" t="s">
        <v>2342</v>
      </c>
      <c r="L167" s="343" t="s">
        <v>2442</v>
      </c>
      <c r="M167" s="343" t="s">
        <v>2234</v>
      </c>
      <c r="N167" s="343" t="s">
        <v>2235</v>
      </c>
      <c r="O167" s="343" t="s">
        <v>2443</v>
      </c>
      <c r="P167" s="343" t="s">
        <v>5947</v>
      </c>
      <c r="Q167" s="405" t="s">
        <v>8574</v>
      </c>
      <c r="R167" s="405" t="s">
        <v>8691</v>
      </c>
      <c r="S167" s="405" t="s">
        <v>8691</v>
      </c>
      <c r="T167" s="405" t="s">
        <v>8650</v>
      </c>
      <c r="U167" s="406">
        <f t="shared" si="2"/>
        <v>13.2</v>
      </c>
    </row>
    <row r="168" spans="1:21" ht="19" customHeight="1">
      <c r="A168" s="349" t="s">
        <v>5933</v>
      </c>
      <c r="B168" s="349" t="s">
        <v>2369</v>
      </c>
      <c r="C168" s="343" t="s">
        <v>517</v>
      </c>
      <c r="D168" s="344" t="s">
        <v>2370</v>
      </c>
      <c r="E168" s="344" t="s">
        <v>6012</v>
      </c>
      <c r="F168" s="358">
        <v>10</v>
      </c>
      <c r="G168" s="360"/>
      <c r="H168" s="360"/>
      <c r="I168" s="344" t="s">
        <v>5477</v>
      </c>
      <c r="J168" s="344" t="s">
        <v>2259</v>
      </c>
      <c r="K168" s="343" t="s">
        <v>2258</v>
      </c>
      <c r="L168" s="343" t="s">
        <v>2442</v>
      </c>
      <c r="M168" s="343" t="s">
        <v>2234</v>
      </c>
      <c r="N168" s="343" t="s">
        <v>2235</v>
      </c>
      <c r="O168" s="343" t="s">
        <v>2443</v>
      </c>
      <c r="P168" s="343" t="s">
        <v>5949</v>
      </c>
      <c r="Q168" s="405" t="s">
        <v>8574</v>
      </c>
      <c r="R168" s="405" t="s">
        <v>8691</v>
      </c>
      <c r="S168" s="405" t="s">
        <v>8691</v>
      </c>
      <c r="T168" s="405" t="s">
        <v>8650</v>
      </c>
      <c r="U168" s="406">
        <f t="shared" si="2"/>
        <v>6</v>
      </c>
    </row>
    <row r="169" spans="1:21" ht="19" customHeight="1">
      <c r="A169" s="349" t="s">
        <v>5933</v>
      </c>
      <c r="B169" s="349" t="s">
        <v>2371</v>
      </c>
      <c r="C169" s="343" t="s">
        <v>517</v>
      </c>
      <c r="D169" s="344" t="s">
        <v>2372</v>
      </c>
      <c r="E169" s="344" t="s">
        <v>6013</v>
      </c>
      <c r="F169" s="358">
        <v>5</v>
      </c>
      <c r="G169" s="360"/>
      <c r="H169" s="360"/>
      <c r="I169" s="344" t="s">
        <v>5478</v>
      </c>
      <c r="J169" s="344" t="s">
        <v>2229</v>
      </c>
      <c r="K169" s="343" t="s">
        <v>2231</v>
      </c>
      <c r="L169" s="343" t="s">
        <v>2442</v>
      </c>
      <c r="M169" s="343" t="s">
        <v>2234</v>
      </c>
      <c r="N169" s="343" t="s">
        <v>2235</v>
      </c>
      <c r="O169" s="343" t="s">
        <v>2443</v>
      </c>
      <c r="P169" s="343" t="s">
        <v>5935</v>
      </c>
      <c r="Q169" s="405" t="s">
        <v>8574</v>
      </c>
      <c r="R169" s="405" t="s">
        <v>8691</v>
      </c>
      <c r="S169" s="405" t="s">
        <v>8691</v>
      </c>
      <c r="T169" s="405" t="s">
        <v>8650</v>
      </c>
      <c r="U169" s="406">
        <f t="shared" si="2"/>
        <v>3</v>
      </c>
    </row>
    <row r="170" spans="1:21" ht="19" customHeight="1">
      <c r="A170" s="349" t="s">
        <v>5933</v>
      </c>
      <c r="B170" s="349" t="s">
        <v>2373</v>
      </c>
      <c r="C170" s="343" t="s">
        <v>517</v>
      </c>
      <c r="D170" s="344" t="s">
        <v>2374</v>
      </c>
      <c r="E170" s="344" t="s">
        <v>6014</v>
      </c>
      <c r="F170" s="358">
        <v>9</v>
      </c>
      <c r="G170" s="360"/>
      <c r="H170" s="360"/>
      <c r="I170" s="344" t="s">
        <v>5479</v>
      </c>
      <c r="J170" s="344" t="s">
        <v>2334</v>
      </c>
      <c r="K170" s="343" t="s">
        <v>2375</v>
      </c>
      <c r="L170" s="343" t="s">
        <v>2442</v>
      </c>
      <c r="M170" s="343" t="s">
        <v>2234</v>
      </c>
      <c r="N170" s="343" t="s">
        <v>2235</v>
      </c>
      <c r="O170" s="343" t="s">
        <v>2443</v>
      </c>
      <c r="P170" s="343" t="s">
        <v>5949</v>
      </c>
      <c r="Q170" s="405" t="s">
        <v>8574</v>
      </c>
      <c r="R170" s="405" t="s">
        <v>8691</v>
      </c>
      <c r="S170" s="405" t="s">
        <v>8691</v>
      </c>
      <c r="T170" s="405" t="s">
        <v>8650</v>
      </c>
      <c r="U170" s="406">
        <f t="shared" si="2"/>
        <v>5.3999999999999995</v>
      </c>
    </row>
    <row r="171" spans="1:21" ht="19" customHeight="1">
      <c r="A171" s="349" t="s">
        <v>5933</v>
      </c>
      <c r="B171" s="349" t="s">
        <v>2376</v>
      </c>
      <c r="C171" s="343" t="s">
        <v>517</v>
      </c>
      <c r="D171" s="344" t="s">
        <v>2377</v>
      </c>
      <c r="E171" s="344" t="s">
        <v>6015</v>
      </c>
      <c r="F171" s="358">
        <v>10</v>
      </c>
      <c r="G171" s="360"/>
      <c r="H171" s="360"/>
      <c r="I171" s="344" t="s">
        <v>5480</v>
      </c>
      <c r="J171" s="344" t="s">
        <v>2378</v>
      </c>
      <c r="K171" s="343" t="s">
        <v>2268</v>
      </c>
      <c r="L171" s="343" t="s">
        <v>2442</v>
      </c>
      <c r="M171" s="343" t="s">
        <v>2234</v>
      </c>
      <c r="N171" s="343" t="s">
        <v>2311</v>
      </c>
      <c r="O171" s="343" t="s">
        <v>2443</v>
      </c>
      <c r="P171" s="343" t="s">
        <v>5949</v>
      </c>
      <c r="Q171" s="405" t="s">
        <v>8574</v>
      </c>
      <c r="R171" s="405" t="s">
        <v>8691</v>
      </c>
      <c r="S171" s="405" t="s">
        <v>8691</v>
      </c>
      <c r="T171" s="405" t="s">
        <v>8650</v>
      </c>
      <c r="U171" s="406">
        <f t="shared" si="2"/>
        <v>6</v>
      </c>
    </row>
    <row r="172" spans="1:21" ht="19" customHeight="1">
      <c r="A172" s="349" t="s">
        <v>5933</v>
      </c>
      <c r="B172" s="349" t="s">
        <v>2379</v>
      </c>
      <c r="C172" s="343" t="s">
        <v>517</v>
      </c>
      <c r="D172" s="344" t="s">
        <v>1441</v>
      </c>
      <c r="E172" s="344" t="s">
        <v>6016</v>
      </c>
      <c r="F172" s="358">
        <v>5</v>
      </c>
      <c r="G172" s="360"/>
      <c r="H172" s="360"/>
      <c r="I172" s="344" t="s">
        <v>5481</v>
      </c>
      <c r="J172" s="344" t="s">
        <v>2294</v>
      </c>
      <c r="K172" s="343" t="s">
        <v>2380</v>
      </c>
      <c r="L172" s="343" t="s">
        <v>2442</v>
      </c>
      <c r="M172" s="343" t="s">
        <v>2239</v>
      </c>
      <c r="N172" s="343" t="s">
        <v>2311</v>
      </c>
      <c r="O172" s="343" t="s">
        <v>2443</v>
      </c>
      <c r="P172" s="343" t="s">
        <v>5935</v>
      </c>
      <c r="Q172" s="405" t="s">
        <v>8574</v>
      </c>
      <c r="R172" s="405" t="s">
        <v>8691</v>
      </c>
      <c r="S172" s="405" t="s">
        <v>8691</v>
      </c>
      <c r="T172" s="405" t="s">
        <v>8650</v>
      </c>
      <c r="U172" s="406">
        <f t="shared" si="2"/>
        <v>3</v>
      </c>
    </row>
    <row r="173" spans="1:21" ht="19" customHeight="1">
      <c r="A173" s="349" t="s">
        <v>5933</v>
      </c>
      <c r="B173" s="349" t="s">
        <v>2473</v>
      </c>
      <c r="C173" s="343" t="s">
        <v>517</v>
      </c>
      <c r="D173" s="344" t="s">
        <v>2474</v>
      </c>
      <c r="E173" s="344" t="s">
        <v>6017</v>
      </c>
      <c r="F173" s="358">
        <v>10</v>
      </c>
      <c r="G173" s="360"/>
      <c r="H173" s="360"/>
      <c r="I173" s="344" t="s">
        <v>5482</v>
      </c>
      <c r="J173" s="344" t="s">
        <v>2351</v>
      </c>
      <c r="K173" s="343" t="s">
        <v>2268</v>
      </c>
      <c r="L173" s="343" t="s">
        <v>2442</v>
      </c>
      <c r="M173" s="343" t="s">
        <v>2234</v>
      </c>
      <c r="N173" s="343" t="s">
        <v>2448</v>
      </c>
      <c r="O173" s="343" t="s">
        <v>1086</v>
      </c>
      <c r="P173" s="343" t="s">
        <v>5949</v>
      </c>
      <c r="Q173" s="405" t="s">
        <v>8574</v>
      </c>
      <c r="R173" s="405" t="s">
        <v>8691</v>
      </c>
      <c r="S173" s="405" t="s">
        <v>8691</v>
      </c>
      <c r="T173" s="405" t="s">
        <v>8650</v>
      </c>
      <c r="U173" s="406">
        <f t="shared" si="2"/>
        <v>6</v>
      </c>
    </row>
    <row r="174" spans="1:21" ht="19" customHeight="1">
      <c r="A174" s="349" t="s">
        <v>5933</v>
      </c>
      <c r="B174" s="349" t="s">
        <v>2475</v>
      </c>
      <c r="C174" s="343" t="s">
        <v>517</v>
      </c>
      <c r="D174" s="344" t="s">
        <v>2476</v>
      </c>
      <c r="E174" s="344" t="s">
        <v>6018</v>
      </c>
      <c r="F174" s="358">
        <v>9</v>
      </c>
      <c r="G174" s="360"/>
      <c r="H174" s="360"/>
      <c r="I174" s="344" t="s">
        <v>5483</v>
      </c>
      <c r="J174" s="344" t="s">
        <v>2395</v>
      </c>
      <c r="K174" s="343" t="s">
        <v>2414</v>
      </c>
      <c r="L174" s="343" t="s">
        <v>2442</v>
      </c>
      <c r="M174" s="343" t="s">
        <v>2234</v>
      </c>
      <c r="N174" s="343" t="s">
        <v>2448</v>
      </c>
      <c r="O174" s="343" t="s">
        <v>2477</v>
      </c>
      <c r="P174" s="343" t="s">
        <v>5949</v>
      </c>
      <c r="Q174" s="405" t="s">
        <v>8574</v>
      </c>
      <c r="R174" s="405" t="s">
        <v>8691</v>
      </c>
      <c r="S174" s="405" t="s">
        <v>8691</v>
      </c>
      <c r="T174" s="405" t="s">
        <v>8650</v>
      </c>
      <c r="U174" s="406">
        <f t="shared" si="2"/>
        <v>5.3999999999999995</v>
      </c>
    </row>
    <row r="175" spans="1:21" ht="19" customHeight="1">
      <c r="A175" s="349" t="s">
        <v>5933</v>
      </c>
      <c r="B175" s="349" t="s">
        <v>2478</v>
      </c>
      <c r="C175" s="343" t="s">
        <v>517</v>
      </c>
      <c r="D175" s="344" t="s">
        <v>2479</v>
      </c>
      <c r="E175" s="344" t="s">
        <v>6019</v>
      </c>
      <c r="F175" s="358">
        <v>9</v>
      </c>
      <c r="G175" s="360"/>
      <c r="H175" s="360"/>
      <c r="I175" s="344" t="s">
        <v>5484</v>
      </c>
      <c r="J175" s="344" t="s">
        <v>2366</v>
      </c>
      <c r="K175" s="343" t="s">
        <v>2324</v>
      </c>
      <c r="L175" s="343" t="s">
        <v>2442</v>
      </c>
      <c r="M175" s="343" t="s">
        <v>2234</v>
      </c>
      <c r="N175" s="343" t="s">
        <v>2448</v>
      </c>
      <c r="O175" s="343" t="s">
        <v>2480</v>
      </c>
      <c r="P175" s="343" t="s">
        <v>5949</v>
      </c>
      <c r="Q175" s="405" t="s">
        <v>8574</v>
      </c>
      <c r="R175" s="405" t="s">
        <v>8691</v>
      </c>
      <c r="S175" s="405" t="s">
        <v>8691</v>
      </c>
      <c r="T175" s="405" t="s">
        <v>8650</v>
      </c>
      <c r="U175" s="406">
        <f t="shared" si="2"/>
        <v>5.3999999999999995</v>
      </c>
    </row>
    <row r="176" spans="1:21" ht="19" customHeight="1">
      <c r="A176" s="349" t="s">
        <v>5933</v>
      </c>
      <c r="B176" s="349" t="s">
        <v>2481</v>
      </c>
      <c r="C176" s="343" t="s">
        <v>517</v>
      </c>
      <c r="D176" s="344" t="s">
        <v>2482</v>
      </c>
      <c r="E176" s="344" t="s">
        <v>6020</v>
      </c>
      <c r="F176" s="358">
        <v>10</v>
      </c>
      <c r="G176" s="360"/>
      <c r="H176" s="360"/>
      <c r="I176" s="344" t="s">
        <v>5485</v>
      </c>
      <c r="J176" s="344" t="s">
        <v>2369</v>
      </c>
      <c r="K176" s="343" t="s">
        <v>2254</v>
      </c>
      <c r="L176" s="343" t="s">
        <v>2442</v>
      </c>
      <c r="M176" s="343" t="s">
        <v>2234</v>
      </c>
      <c r="N176" s="343" t="s">
        <v>2448</v>
      </c>
      <c r="O176" s="343" t="s">
        <v>1087</v>
      </c>
      <c r="P176" s="343" t="s">
        <v>5949</v>
      </c>
      <c r="Q176" s="405" t="s">
        <v>8574</v>
      </c>
      <c r="R176" s="405" t="s">
        <v>8691</v>
      </c>
      <c r="S176" s="405" t="s">
        <v>8691</v>
      </c>
      <c r="T176" s="405" t="s">
        <v>8650</v>
      </c>
      <c r="U176" s="406">
        <f t="shared" si="2"/>
        <v>6</v>
      </c>
    </row>
    <row r="177" spans="1:21" ht="19" customHeight="1">
      <c r="A177" s="349" t="s">
        <v>5933</v>
      </c>
      <c r="B177" s="349" t="s">
        <v>5524</v>
      </c>
      <c r="C177" s="343" t="s">
        <v>517</v>
      </c>
      <c r="D177" s="344" t="s">
        <v>5525</v>
      </c>
      <c r="E177" s="344" t="s">
        <v>6021</v>
      </c>
      <c r="F177" s="358">
        <v>10</v>
      </c>
      <c r="G177" s="360"/>
      <c r="H177" s="360"/>
      <c r="I177" s="344" t="s">
        <v>5528</v>
      </c>
      <c r="J177" s="344" t="s">
        <v>2359</v>
      </c>
      <c r="K177" s="343" t="s">
        <v>2361</v>
      </c>
      <c r="L177" s="343" t="s">
        <v>2442</v>
      </c>
      <c r="M177" s="343" t="s">
        <v>2239</v>
      </c>
      <c r="N177" s="343" t="s">
        <v>5526</v>
      </c>
      <c r="O177" s="343" t="s">
        <v>5527</v>
      </c>
      <c r="P177" s="343" t="s">
        <v>6022</v>
      </c>
      <c r="Q177" s="405" t="s">
        <v>8574</v>
      </c>
      <c r="R177" s="405" t="s">
        <v>8691</v>
      </c>
      <c r="S177" s="405" t="s">
        <v>8691</v>
      </c>
      <c r="T177" s="405" t="s">
        <v>8650</v>
      </c>
      <c r="U177" s="406">
        <f t="shared" si="2"/>
        <v>6</v>
      </c>
    </row>
    <row r="178" spans="1:21" ht="19" customHeight="1">
      <c r="A178" s="349" t="s">
        <v>5933</v>
      </c>
      <c r="B178" s="349" t="s">
        <v>5793</v>
      </c>
      <c r="C178" s="343" t="s">
        <v>517</v>
      </c>
      <c r="D178" s="344" t="s">
        <v>5794</v>
      </c>
      <c r="E178" s="344" t="s">
        <v>6023</v>
      </c>
      <c r="F178" s="358">
        <v>6</v>
      </c>
      <c r="G178" s="360"/>
      <c r="H178" s="360"/>
      <c r="I178" s="344" t="s">
        <v>5796</v>
      </c>
      <c r="J178" s="344" t="s">
        <v>5795</v>
      </c>
      <c r="K178" s="343" t="s">
        <v>2300</v>
      </c>
      <c r="L178" s="343" t="s">
        <v>2442</v>
      </c>
      <c r="M178" s="343" t="s">
        <v>2234</v>
      </c>
      <c r="N178" s="343" t="s">
        <v>5791</v>
      </c>
      <c r="O178" s="343" t="s">
        <v>2674</v>
      </c>
      <c r="P178" s="343" t="s">
        <v>5949</v>
      </c>
      <c r="Q178" s="405" t="s">
        <v>8574</v>
      </c>
      <c r="R178" s="405" t="s">
        <v>8691</v>
      </c>
      <c r="S178" s="405" t="s">
        <v>8691</v>
      </c>
      <c r="T178" s="405" t="s">
        <v>8650</v>
      </c>
      <c r="U178" s="406">
        <f t="shared" si="2"/>
        <v>3.5999999999999996</v>
      </c>
    </row>
    <row r="179" spans="1:21" ht="19" customHeight="1">
      <c r="A179" s="349" t="s">
        <v>5933</v>
      </c>
      <c r="B179" s="349" t="s">
        <v>2381</v>
      </c>
      <c r="C179" s="343" t="s">
        <v>519</v>
      </c>
      <c r="D179" s="344" t="s">
        <v>2382</v>
      </c>
      <c r="E179" s="344" t="s">
        <v>6024</v>
      </c>
      <c r="F179" s="358">
        <v>10</v>
      </c>
      <c r="G179" s="360"/>
      <c r="H179" s="360"/>
      <c r="I179" s="344" t="s">
        <v>5486</v>
      </c>
      <c r="J179" s="344" t="s">
        <v>2383</v>
      </c>
      <c r="K179" s="343" t="s">
        <v>2345</v>
      </c>
      <c r="L179" s="343" t="s">
        <v>2442</v>
      </c>
      <c r="M179" s="343" t="s">
        <v>2234</v>
      </c>
      <c r="N179" s="343" t="s">
        <v>2235</v>
      </c>
      <c r="O179" s="343" t="s">
        <v>2443</v>
      </c>
      <c r="P179" s="343" t="s">
        <v>5949</v>
      </c>
      <c r="Q179" s="405" t="s">
        <v>8574</v>
      </c>
      <c r="R179" s="405" t="s">
        <v>8691</v>
      </c>
      <c r="S179" s="405" t="s">
        <v>8691</v>
      </c>
      <c r="T179" s="405" t="s">
        <v>8650</v>
      </c>
      <c r="U179" s="406">
        <f t="shared" si="2"/>
        <v>6</v>
      </c>
    </row>
    <row r="180" spans="1:21" ht="19" customHeight="1">
      <c r="A180" s="349" t="s">
        <v>5933</v>
      </c>
      <c r="B180" s="349" t="s">
        <v>2384</v>
      </c>
      <c r="C180" s="343" t="s">
        <v>519</v>
      </c>
      <c r="D180" s="344" t="s">
        <v>2385</v>
      </c>
      <c r="E180" s="344" t="s">
        <v>6025</v>
      </c>
      <c r="F180" s="358">
        <v>12</v>
      </c>
      <c r="G180" s="360"/>
      <c r="H180" s="360"/>
      <c r="I180" s="344" t="s">
        <v>5487</v>
      </c>
      <c r="J180" s="344" t="s">
        <v>6026</v>
      </c>
      <c r="K180" s="343" t="s">
        <v>2342</v>
      </c>
      <c r="L180" s="343" t="s">
        <v>2442</v>
      </c>
      <c r="M180" s="343" t="s">
        <v>2239</v>
      </c>
      <c r="N180" s="343" t="s">
        <v>2235</v>
      </c>
      <c r="O180" s="343" t="s">
        <v>2443</v>
      </c>
      <c r="P180" s="343" t="s">
        <v>6027</v>
      </c>
      <c r="Q180" s="405" t="s">
        <v>8574</v>
      </c>
      <c r="R180" s="405" t="s">
        <v>8691</v>
      </c>
      <c r="S180" s="405" t="s">
        <v>8691</v>
      </c>
      <c r="T180" s="405" t="s">
        <v>8650</v>
      </c>
      <c r="U180" s="406">
        <f t="shared" si="2"/>
        <v>7.1999999999999993</v>
      </c>
    </row>
    <row r="181" spans="1:21" ht="19" customHeight="1">
      <c r="A181" s="349" t="s">
        <v>5933</v>
      </c>
      <c r="B181" s="349" t="s">
        <v>2386</v>
      </c>
      <c r="C181" s="343" t="s">
        <v>519</v>
      </c>
      <c r="D181" s="344" t="s">
        <v>2387</v>
      </c>
      <c r="E181" s="344" t="s">
        <v>6028</v>
      </c>
      <c r="F181" s="358">
        <v>12</v>
      </c>
      <c r="G181" s="360"/>
      <c r="H181" s="360"/>
      <c r="I181" s="344" t="s">
        <v>5488</v>
      </c>
      <c r="J181" s="344" t="s">
        <v>6029</v>
      </c>
      <c r="K181" s="343" t="s">
        <v>2258</v>
      </c>
      <c r="L181" s="343" t="s">
        <v>2442</v>
      </c>
      <c r="M181" s="343" t="s">
        <v>2234</v>
      </c>
      <c r="N181" s="343" t="s">
        <v>2235</v>
      </c>
      <c r="O181" s="343" t="s">
        <v>2443</v>
      </c>
      <c r="P181" s="343" t="s">
        <v>5949</v>
      </c>
      <c r="Q181" s="405" t="s">
        <v>8574</v>
      </c>
      <c r="R181" s="405" t="s">
        <v>8691</v>
      </c>
      <c r="S181" s="405" t="s">
        <v>8691</v>
      </c>
      <c r="T181" s="405" t="s">
        <v>8650</v>
      </c>
      <c r="U181" s="406">
        <f t="shared" si="2"/>
        <v>7.1999999999999993</v>
      </c>
    </row>
    <row r="182" spans="1:21" ht="19" customHeight="1">
      <c r="A182" s="349" t="s">
        <v>5933</v>
      </c>
      <c r="B182" s="349" t="s">
        <v>2388</v>
      </c>
      <c r="C182" s="343" t="s">
        <v>519</v>
      </c>
      <c r="D182" s="344" t="s">
        <v>2389</v>
      </c>
      <c r="E182" s="344" t="s">
        <v>6030</v>
      </c>
      <c r="F182" s="358">
        <v>15</v>
      </c>
      <c r="G182" s="360"/>
      <c r="H182" s="360"/>
      <c r="I182" s="344" t="s">
        <v>5489</v>
      </c>
      <c r="J182" s="344" t="s">
        <v>6031</v>
      </c>
      <c r="K182" s="343" t="s">
        <v>2300</v>
      </c>
      <c r="L182" s="343" t="s">
        <v>2442</v>
      </c>
      <c r="M182" s="343" t="s">
        <v>2234</v>
      </c>
      <c r="N182" s="343" t="s">
        <v>2235</v>
      </c>
      <c r="O182" s="343" t="s">
        <v>2443</v>
      </c>
      <c r="P182" s="343" t="s">
        <v>5949</v>
      </c>
      <c r="Q182" s="405" t="s">
        <v>8574</v>
      </c>
      <c r="R182" s="405" t="s">
        <v>8691</v>
      </c>
      <c r="S182" s="405" t="s">
        <v>8691</v>
      </c>
      <c r="T182" s="405" t="s">
        <v>8650</v>
      </c>
      <c r="U182" s="406">
        <f t="shared" si="2"/>
        <v>9</v>
      </c>
    </row>
    <row r="183" spans="1:21" ht="19" customHeight="1">
      <c r="A183" s="349" t="s">
        <v>5933</v>
      </c>
      <c r="B183" s="349" t="s">
        <v>2390</v>
      </c>
      <c r="C183" s="343" t="s">
        <v>519</v>
      </c>
      <c r="D183" s="344" t="s">
        <v>2391</v>
      </c>
      <c r="E183" s="344" t="s">
        <v>6032</v>
      </c>
      <c r="F183" s="358">
        <v>5</v>
      </c>
      <c r="G183" s="360"/>
      <c r="H183" s="360"/>
      <c r="I183" s="344" t="s">
        <v>5490</v>
      </c>
      <c r="J183" s="344" t="s">
        <v>2392</v>
      </c>
      <c r="K183" s="343" t="s">
        <v>2342</v>
      </c>
      <c r="L183" s="343" t="s">
        <v>2442</v>
      </c>
      <c r="M183" s="343" t="s">
        <v>2234</v>
      </c>
      <c r="N183" s="343" t="s">
        <v>2235</v>
      </c>
      <c r="O183" s="343" t="s">
        <v>2443</v>
      </c>
      <c r="P183" s="343" t="s">
        <v>5935</v>
      </c>
      <c r="Q183" s="405" t="s">
        <v>8574</v>
      </c>
      <c r="R183" s="405" t="s">
        <v>8691</v>
      </c>
      <c r="S183" s="405" t="s">
        <v>8691</v>
      </c>
      <c r="T183" s="405" t="s">
        <v>8650</v>
      </c>
      <c r="U183" s="406">
        <f t="shared" si="2"/>
        <v>3</v>
      </c>
    </row>
    <row r="184" spans="1:21" ht="19" customHeight="1">
      <c r="A184" s="349" t="s">
        <v>5933</v>
      </c>
      <c r="B184" s="349" t="s">
        <v>2483</v>
      </c>
      <c r="C184" s="343" t="s">
        <v>519</v>
      </c>
      <c r="D184" s="344" t="s">
        <v>2484</v>
      </c>
      <c r="E184" s="344" t="s">
        <v>6033</v>
      </c>
      <c r="F184" s="358">
        <v>5</v>
      </c>
      <c r="G184" s="360"/>
      <c r="H184" s="360"/>
      <c r="I184" s="344" t="s">
        <v>5491</v>
      </c>
      <c r="J184" s="344" t="s">
        <v>2255</v>
      </c>
      <c r="K184" s="343" t="s">
        <v>2258</v>
      </c>
      <c r="L184" s="343" t="s">
        <v>2442</v>
      </c>
      <c r="M184" s="343" t="s">
        <v>2234</v>
      </c>
      <c r="N184" s="343" t="s">
        <v>2448</v>
      </c>
      <c r="O184" s="343" t="s">
        <v>1127</v>
      </c>
      <c r="P184" s="343" t="s">
        <v>5935</v>
      </c>
      <c r="Q184" s="405" t="s">
        <v>8574</v>
      </c>
      <c r="R184" s="405" t="s">
        <v>8691</v>
      </c>
      <c r="S184" s="405" t="s">
        <v>8691</v>
      </c>
      <c r="T184" s="405" t="s">
        <v>8650</v>
      </c>
      <c r="U184" s="406">
        <f t="shared" si="2"/>
        <v>3</v>
      </c>
    </row>
    <row r="185" spans="1:21" ht="26" customHeight="1">
      <c r="A185" s="343" t="s">
        <v>5933</v>
      </c>
      <c r="B185" s="343" t="s">
        <v>2485</v>
      </c>
      <c r="C185" s="343" t="s">
        <v>519</v>
      </c>
      <c r="D185" s="344" t="s">
        <v>2486</v>
      </c>
      <c r="E185" s="344" t="s">
        <v>6034</v>
      </c>
      <c r="F185" s="358">
        <v>8</v>
      </c>
      <c r="G185" s="344"/>
      <c r="H185" s="344"/>
      <c r="I185" s="344" t="s">
        <v>5492</v>
      </c>
      <c r="J185" s="343" t="s">
        <v>2259</v>
      </c>
      <c r="K185" s="343" t="s">
        <v>2345</v>
      </c>
      <c r="L185" s="343" t="s">
        <v>2442</v>
      </c>
      <c r="M185" s="343" t="s">
        <v>2234</v>
      </c>
      <c r="N185" s="343" t="s">
        <v>2448</v>
      </c>
      <c r="O185" s="343" t="s">
        <v>1128</v>
      </c>
      <c r="P185" s="343" t="s">
        <v>5935</v>
      </c>
      <c r="Q185" s="405" t="s">
        <v>8574</v>
      </c>
      <c r="R185" s="405" t="s">
        <v>8691</v>
      </c>
      <c r="S185" s="405" t="s">
        <v>8691</v>
      </c>
      <c r="T185" s="405" t="s">
        <v>8650</v>
      </c>
      <c r="U185" s="406">
        <f t="shared" si="2"/>
        <v>4.8</v>
      </c>
    </row>
    <row r="186" spans="1:21" ht="26" customHeight="1">
      <c r="A186" s="343" t="s">
        <v>5933</v>
      </c>
      <c r="B186" s="343" t="s">
        <v>2487</v>
      </c>
      <c r="C186" s="343" t="s">
        <v>519</v>
      </c>
      <c r="D186" s="344" t="s">
        <v>2488</v>
      </c>
      <c r="E186" s="344" t="s">
        <v>6035</v>
      </c>
      <c r="F186" s="358">
        <v>8</v>
      </c>
      <c r="G186" s="344"/>
      <c r="H186" s="344"/>
      <c r="I186" s="344" t="s">
        <v>5493</v>
      </c>
      <c r="J186" s="343" t="s">
        <v>2395</v>
      </c>
      <c r="K186" s="343" t="s">
        <v>2342</v>
      </c>
      <c r="L186" s="343" t="s">
        <v>2442</v>
      </c>
      <c r="M186" s="343" t="s">
        <v>2234</v>
      </c>
      <c r="N186" s="343" t="s">
        <v>2448</v>
      </c>
      <c r="O186" s="343" t="s">
        <v>1129</v>
      </c>
      <c r="P186" s="343" t="s">
        <v>5935</v>
      </c>
      <c r="Q186" s="405" t="s">
        <v>8574</v>
      </c>
      <c r="R186" s="405" t="s">
        <v>8691</v>
      </c>
      <c r="S186" s="405" t="s">
        <v>8691</v>
      </c>
      <c r="T186" s="405" t="s">
        <v>8650</v>
      </c>
      <c r="U186" s="406">
        <f t="shared" si="2"/>
        <v>4.8</v>
      </c>
    </row>
    <row r="187" spans="1:21" ht="26" customHeight="1">
      <c r="A187" s="349" t="s">
        <v>5933</v>
      </c>
      <c r="B187" s="343" t="s">
        <v>2489</v>
      </c>
      <c r="C187" s="343" t="s">
        <v>519</v>
      </c>
      <c r="D187" s="344" t="s">
        <v>2490</v>
      </c>
      <c r="E187" s="344" t="s">
        <v>6036</v>
      </c>
      <c r="F187" s="358">
        <v>6</v>
      </c>
      <c r="G187" s="344"/>
      <c r="H187" s="344"/>
      <c r="I187" s="344" t="s">
        <v>5494</v>
      </c>
      <c r="J187" s="343" t="s">
        <v>2384</v>
      </c>
      <c r="K187" s="343" t="s">
        <v>2324</v>
      </c>
      <c r="L187" s="343" t="s">
        <v>2442</v>
      </c>
      <c r="M187" s="343" t="s">
        <v>2234</v>
      </c>
      <c r="N187" s="343" t="s">
        <v>2448</v>
      </c>
      <c r="O187" s="343" t="s">
        <v>1132</v>
      </c>
      <c r="P187" s="343" t="s">
        <v>5935</v>
      </c>
      <c r="Q187" s="405" t="s">
        <v>8574</v>
      </c>
      <c r="R187" s="405" t="s">
        <v>8691</v>
      </c>
      <c r="S187" s="405" t="s">
        <v>8691</v>
      </c>
      <c r="T187" s="405" t="s">
        <v>8650</v>
      </c>
      <c r="U187" s="406">
        <f t="shared" si="2"/>
        <v>3.5999999999999996</v>
      </c>
    </row>
    <row r="188" spans="1:21" ht="26" customHeight="1">
      <c r="A188" s="343" t="s">
        <v>5933</v>
      </c>
      <c r="B188" s="343" t="s">
        <v>2491</v>
      </c>
      <c r="C188" s="343" t="s">
        <v>519</v>
      </c>
      <c r="D188" s="344" t="s">
        <v>2492</v>
      </c>
      <c r="E188" s="344" t="s">
        <v>6037</v>
      </c>
      <c r="F188" s="358">
        <v>10</v>
      </c>
      <c r="G188" s="344"/>
      <c r="H188" s="344"/>
      <c r="I188" s="344" t="s">
        <v>5495</v>
      </c>
      <c r="J188" s="343" t="s">
        <v>2386</v>
      </c>
      <c r="K188" s="343" t="s">
        <v>2258</v>
      </c>
      <c r="L188" s="343" t="s">
        <v>2442</v>
      </c>
      <c r="M188" s="343" t="s">
        <v>2234</v>
      </c>
      <c r="N188" s="343" t="s">
        <v>2448</v>
      </c>
      <c r="O188" s="343" t="s">
        <v>2493</v>
      </c>
      <c r="P188" s="343" t="s">
        <v>5949</v>
      </c>
      <c r="Q188" s="405" t="s">
        <v>8574</v>
      </c>
      <c r="R188" s="405" t="s">
        <v>8691</v>
      </c>
      <c r="S188" s="405" t="s">
        <v>8691</v>
      </c>
      <c r="T188" s="405" t="s">
        <v>8650</v>
      </c>
      <c r="U188" s="406">
        <f t="shared" si="2"/>
        <v>6</v>
      </c>
    </row>
    <row r="189" spans="1:21" ht="26" customHeight="1">
      <c r="A189" s="343" t="s">
        <v>5933</v>
      </c>
      <c r="B189" s="343" t="s">
        <v>2494</v>
      </c>
      <c r="C189" s="343" t="s">
        <v>519</v>
      </c>
      <c r="D189" s="344" t="s">
        <v>2495</v>
      </c>
      <c r="E189" s="344" t="s">
        <v>6038</v>
      </c>
      <c r="F189" s="358">
        <v>8</v>
      </c>
      <c r="G189" s="344"/>
      <c r="H189" s="344"/>
      <c r="I189" s="344" t="s">
        <v>5496</v>
      </c>
      <c r="J189" s="343" t="s">
        <v>2496</v>
      </c>
      <c r="K189" s="343" t="s">
        <v>2265</v>
      </c>
      <c r="L189" s="343" t="s">
        <v>2442</v>
      </c>
      <c r="M189" s="343" t="s">
        <v>2234</v>
      </c>
      <c r="N189" s="343" t="s">
        <v>2448</v>
      </c>
      <c r="O189" s="343" t="s">
        <v>2497</v>
      </c>
      <c r="P189" s="343" t="s">
        <v>5935</v>
      </c>
      <c r="Q189" s="405" t="s">
        <v>8574</v>
      </c>
      <c r="R189" s="405" t="s">
        <v>8691</v>
      </c>
      <c r="S189" s="405" t="s">
        <v>8691</v>
      </c>
      <c r="T189" s="405" t="s">
        <v>8650</v>
      </c>
      <c r="U189" s="406">
        <f t="shared" si="2"/>
        <v>4.8</v>
      </c>
    </row>
    <row r="190" spans="1:21" ht="26" customHeight="1">
      <c r="A190" s="343" t="s">
        <v>5933</v>
      </c>
      <c r="B190" s="343" t="s">
        <v>2498</v>
      </c>
      <c r="C190" s="343" t="s">
        <v>519</v>
      </c>
      <c r="D190" s="344" t="s">
        <v>2499</v>
      </c>
      <c r="E190" s="344" t="s">
        <v>6039</v>
      </c>
      <c r="F190" s="358">
        <v>3</v>
      </c>
      <c r="G190" s="344"/>
      <c r="H190" s="344"/>
      <c r="I190" s="344" t="s">
        <v>5497</v>
      </c>
      <c r="J190" s="343" t="s">
        <v>2384</v>
      </c>
      <c r="K190" s="343" t="s">
        <v>2324</v>
      </c>
      <c r="L190" s="343" t="s">
        <v>2442</v>
      </c>
      <c r="M190" s="343" t="s">
        <v>2234</v>
      </c>
      <c r="N190" s="343" t="s">
        <v>2448</v>
      </c>
      <c r="O190" s="343" t="s">
        <v>2500</v>
      </c>
      <c r="P190" s="343" t="s">
        <v>5935</v>
      </c>
      <c r="Q190" s="405" t="s">
        <v>8574</v>
      </c>
      <c r="R190" s="405" t="s">
        <v>8691</v>
      </c>
      <c r="S190" s="405" t="s">
        <v>8691</v>
      </c>
      <c r="T190" s="405" t="s">
        <v>8650</v>
      </c>
      <c r="U190" s="406">
        <f t="shared" si="2"/>
        <v>1.7999999999999998</v>
      </c>
    </row>
    <row r="191" spans="1:21" ht="26" customHeight="1">
      <c r="A191" s="343" t="s">
        <v>5933</v>
      </c>
      <c r="B191" s="343" t="s">
        <v>2331</v>
      </c>
      <c r="C191" s="343" t="s">
        <v>2393</v>
      </c>
      <c r="D191" s="344" t="s">
        <v>2394</v>
      </c>
      <c r="E191" s="344" t="s">
        <v>6040</v>
      </c>
      <c r="F191" s="358">
        <v>22</v>
      </c>
      <c r="G191" s="344"/>
      <c r="H191" s="344"/>
      <c r="I191" s="344" t="s">
        <v>5498</v>
      </c>
      <c r="J191" s="343" t="s">
        <v>2233</v>
      </c>
      <c r="K191" s="343" t="s">
        <v>2258</v>
      </c>
      <c r="L191" s="343" t="s">
        <v>2442</v>
      </c>
      <c r="M191" s="343" t="s">
        <v>2234</v>
      </c>
      <c r="N191" s="343" t="s">
        <v>2235</v>
      </c>
      <c r="O191" s="343" t="s">
        <v>2443</v>
      </c>
      <c r="P191" s="343" t="s">
        <v>5947</v>
      </c>
      <c r="Q191" s="405" t="s">
        <v>8574</v>
      </c>
      <c r="R191" s="405" t="s">
        <v>8691</v>
      </c>
      <c r="S191" s="405" t="s">
        <v>8691</v>
      </c>
      <c r="T191" s="405" t="s">
        <v>8650</v>
      </c>
      <c r="U191" s="406">
        <f t="shared" si="2"/>
        <v>13.2</v>
      </c>
    </row>
    <row r="192" spans="1:21" ht="26" customHeight="1">
      <c r="A192" s="343" t="s">
        <v>5933</v>
      </c>
      <c r="B192" s="343" t="s">
        <v>2395</v>
      </c>
      <c r="C192" s="343" t="s">
        <v>2393</v>
      </c>
      <c r="D192" s="344" t="s">
        <v>2396</v>
      </c>
      <c r="E192" s="344" t="s">
        <v>6041</v>
      </c>
      <c r="F192" s="358">
        <v>14</v>
      </c>
      <c r="G192" s="344"/>
      <c r="H192" s="344"/>
      <c r="I192" s="344" t="s">
        <v>5499</v>
      </c>
      <c r="J192" s="343" t="s">
        <v>2331</v>
      </c>
      <c r="K192" s="343" t="s">
        <v>2258</v>
      </c>
      <c r="L192" s="343" t="s">
        <v>2442</v>
      </c>
      <c r="M192" s="343" t="s">
        <v>2234</v>
      </c>
      <c r="N192" s="343" t="s">
        <v>2235</v>
      </c>
      <c r="O192" s="343" t="s">
        <v>2443</v>
      </c>
      <c r="P192" s="343" t="s">
        <v>5949</v>
      </c>
      <c r="Q192" s="405" t="s">
        <v>8574</v>
      </c>
      <c r="R192" s="405" t="s">
        <v>8691</v>
      </c>
      <c r="S192" s="405" t="s">
        <v>8691</v>
      </c>
      <c r="T192" s="405" t="s">
        <v>8650</v>
      </c>
      <c r="U192" s="406">
        <f t="shared" si="2"/>
        <v>8.4</v>
      </c>
    </row>
    <row r="193" spans="1:21" ht="26" customHeight="1">
      <c r="A193" s="343" t="s">
        <v>5933</v>
      </c>
      <c r="B193" s="343" t="s">
        <v>2501</v>
      </c>
      <c r="C193" s="343" t="s">
        <v>2393</v>
      </c>
      <c r="D193" s="344" t="s">
        <v>2502</v>
      </c>
      <c r="E193" s="344" t="s">
        <v>6042</v>
      </c>
      <c r="F193" s="358">
        <v>12</v>
      </c>
      <c r="G193" s="344"/>
      <c r="H193" s="344"/>
      <c r="I193" s="344" t="s">
        <v>5500</v>
      </c>
      <c r="J193" s="343" t="s">
        <v>2395</v>
      </c>
      <c r="K193" s="343" t="s">
        <v>2258</v>
      </c>
      <c r="L193" s="343" t="s">
        <v>2442</v>
      </c>
      <c r="M193" s="343" t="s">
        <v>2234</v>
      </c>
      <c r="N193" s="343" t="s">
        <v>2448</v>
      </c>
      <c r="O193" s="343" t="s">
        <v>1210</v>
      </c>
      <c r="P193" s="343" t="s">
        <v>5949</v>
      </c>
      <c r="Q193" s="405" t="s">
        <v>8574</v>
      </c>
      <c r="R193" s="405" t="s">
        <v>8691</v>
      </c>
      <c r="S193" s="405" t="s">
        <v>8691</v>
      </c>
      <c r="T193" s="405" t="s">
        <v>8650</v>
      </c>
      <c r="U193" s="406">
        <f t="shared" si="2"/>
        <v>7.1999999999999993</v>
      </c>
    </row>
    <row r="194" spans="1:21" ht="26" customHeight="1">
      <c r="A194" s="343" t="s">
        <v>5933</v>
      </c>
      <c r="B194" s="343" t="s">
        <v>2383</v>
      </c>
      <c r="C194" s="343" t="s">
        <v>2397</v>
      </c>
      <c r="D194" s="344" t="s">
        <v>2398</v>
      </c>
      <c r="E194" s="344" t="s">
        <v>6043</v>
      </c>
      <c r="F194" s="358">
        <v>13</v>
      </c>
      <c r="G194" s="344"/>
      <c r="H194" s="344"/>
      <c r="I194" s="344" t="s">
        <v>5501</v>
      </c>
      <c r="J194" s="343" t="s">
        <v>2255</v>
      </c>
      <c r="K194" s="343" t="s">
        <v>2399</v>
      </c>
      <c r="L194" s="343" t="s">
        <v>2442</v>
      </c>
      <c r="M194" s="343" t="s">
        <v>2234</v>
      </c>
      <c r="N194" s="343" t="s">
        <v>2235</v>
      </c>
      <c r="O194" s="343" t="s">
        <v>2443</v>
      </c>
      <c r="P194" s="343" t="s">
        <v>5949</v>
      </c>
      <c r="Q194" s="405" t="s">
        <v>8574</v>
      </c>
      <c r="R194" s="405" t="s">
        <v>8691</v>
      </c>
      <c r="S194" s="405" t="s">
        <v>8691</v>
      </c>
      <c r="T194" s="405" t="s">
        <v>8650</v>
      </c>
      <c r="U194" s="406">
        <f t="shared" si="2"/>
        <v>7.8</v>
      </c>
    </row>
    <row r="195" spans="1:21" ht="26" customHeight="1">
      <c r="A195" s="343" t="s">
        <v>5933</v>
      </c>
      <c r="B195" s="343" t="s">
        <v>2362</v>
      </c>
      <c r="C195" s="343" t="s">
        <v>2397</v>
      </c>
      <c r="D195" s="344" t="s">
        <v>2400</v>
      </c>
      <c r="E195" s="344" t="s">
        <v>6044</v>
      </c>
      <c r="F195" s="358">
        <v>13</v>
      </c>
      <c r="G195" s="344"/>
      <c r="H195" s="344"/>
      <c r="I195" s="344" t="s">
        <v>5502</v>
      </c>
      <c r="J195" s="343" t="s">
        <v>2401</v>
      </c>
      <c r="K195" s="343" t="s">
        <v>2258</v>
      </c>
      <c r="L195" s="343" t="s">
        <v>2442</v>
      </c>
      <c r="M195" s="343" t="s">
        <v>2234</v>
      </c>
      <c r="N195" s="343" t="s">
        <v>2235</v>
      </c>
      <c r="O195" s="343" t="s">
        <v>2443</v>
      </c>
      <c r="P195" s="343" t="s">
        <v>5949</v>
      </c>
      <c r="Q195" s="405" t="s">
        <v>8574</v>
      </c>
      <c r="R195" s="405" t="s">
        <v>8691</v>
      </c>
      <c r="S195" s="405" t="s">
        <v>8691</v>
      </c>
      <c r="T195" s="405" t="s">
        <v>8650</v>
      </c>
      <c r="U195" s="406">
        <f t="shared" si="2"/>
        <v>7.8</v>
      </c>
    </row>
    <row r="196" spans="1:21" ht="26" customHeight="1">
      <c r="A196" s="343" t="s">
        <v>5933</v>
      </c>
      <c r="B196" s="343" t="s">
        <v>2402</v>
      </c>
      <c r="C196" s="343" t="s">
        <v>2397</v>
      </c>
      <c r="D196" s="344" t="s">
        <v>2403</v>
      </c>
      <c r="E196" s="344" t="s">
        <v>6045</v>
      </c>
      <c r="F196" s="358">
        <v>25</v>
      </c>
      <c r="G196" s="344"/>
      <c r="H196" s="344"/>
      <c r="I196" s="344" t="s">
        <v>5503</v>
      </c>
      <c r="J196" s="343" t="s">
        <v>2404</v>
      </c>
      <c r="K196" s="343" t="s">
        <v>2324</v>
      </c>
      <c r="L196" s="343" t="s">
        <v>2442</v>
      </c>
      <c r="M196" s="343" t="s">
        <v>2234</v>
      </c>
      <c r="N196" s="343" t="s">
        <v>2235</v>
      </c>
      <c r="O196" s="343" t="s">
        <v>2443</v>
      </c>
      <c r="P196" s="343" t="s">
        <v>5947</v>
      </c>
      <c r="Q196" s="405" t="s">
        <v>8574</v>
      </c>
      <c r="R196" s="405" t="s">
        <v>8691</v>
      </c>
      <c r="S196" s="405" t="s">
        <v>8691</v>
      </c>
      <c r="T196" s="405" t="s">
        <v>8650</v>
      </c>
      <c r="U196" s="406">
        <f t="shared" si="2"/>
        <v>15</v>
      </c>
    </row>
    <row r="197" spans="1:21" ht="26" customHeight="1">
      <c r="A197" s="343" t="s">
        <v>5933</v>
      </c>
      <c r="B197" s="343" t="s">
        <v>2405</v>
      </c>
      <c r="C197" s="343" t="s">
        <v>2397</v>
      </c>
      <c r="D197" s="344" t="s">
        <v>2406</v>
      </c>
      <c r="E197" s="344" t="s">
        <v>6046</v>
      </c>
      <c r="F197" s="358">
        <v>12</v>
      </c>
      <c r="G197" s="344"/>
      <c r="H197" s="344"/>
      <c r="I197" s="344" t="s">
        <v>5504</v>
      </c>
      <c r="J197" s="343" t="s">
        <v>2407</v>
      </c>
      <c r="K197" s="343" t="s">
        <v>2268</v>
      </c>
      <c r="L197" s="343" t="s">
        <v>2442</v>
      </c>
      <c r="M197" s="343" t="s">
        <v>2234</v>
      </c>
      <c r="N197" s="343" t="s">
        <v>2235</v>
      </c>
      <c r="O197" s="343" t="s">
        <v>2443</v>
      </c>
      <c r="P197" s="343" t="s">
        <v>5949</v>
      </c>
      <c r="Q197" s="405" t="s">
        <v>8574</v>
      </c>
      <c r="R197" s="405" t="s">
        <v>8691</v>
      </c>
      <c r="S197" s="405" t="s">
        <v>8691</v>
      </c>
      <c r="T197" s="405" t="s">
        <v>8650</v>
      </c>
      <c r="U197" s="406">
        <f t="shared" si="2"/>
        <v>7.1999999999999993</v>
      </c>
    </row>
    <row r="198" spans="1:21" ht="26" customHeight="1">
      <c r="A198" s="343" t="s">
        <v>5933</v>
      </c>
      <c r="B198" s="343" t="s">
        <v>2408</v>
      </c>
      <c r="C198" s="343" t="s">
        <v>2397</v>
      </c>
      <c r="D198" s="344" t="s">
        <v>2409</v>
      </c>
      <c r="E198" s="344" t="s">
        <v>6047</v>
      </c>
      <c r="F198" s="358">
        <v>11</v>
      </c>
      <c r="G198" s="344"/>
      <c r="H198" s="344"/>
      <c r="I198" s="344" t="s">
        <v>5505</v>
      </c>
      <c r="J198" s="343" t="s">
        <v>2383</v>
      </c>
      <c r="K198" s="343" t="s">
        <v>2268</v>
      </c>
      <c r="L198" s="343" t="s">
        <v>2442</v>
      </c>
      <c r="M198" s="343" t="s">
        <v>2234</v>
      </c>
      <c r="N198" s="343" t="s">
        <v>2235</v>
      </c>
      <c r="O198" s="343" t="s">
        <v>2443</v>
      </c>
      <c r="P198" s="343" t="s">
        <v>5949</v>
      </c>
      <c r="Q198" s="405" t="s">
        <v>8574</v>
      </c>
      <c r="R198" s="405" t="s">
        <v>8691</v>
      </c>
      <c r="S198" s="405" t="s">
        <v>8691</v>
      </c>
      <c r="T198" s="405" t="s">
        <v>8650</v>
      </c>
      <c r="U198" s="406">
        <f t="shared" si="2"/>
        <v>6.6</v>
      </c>
    </row>
    <row r="199" spans="1:21" ht="26" customHeight="1">
      <c r="A199" s="343" t="s">
        <v>5933</v>
      </c>
      <c r="B199" s="343" t="s">
        <v>2410</v>
      </c>
      <c r="C199" s="343" t="s">
        <v>2397</v>
      </c>
      <c r="D199" s="344" t="s">
        <v>1440</v>
      </c>
      <c r="E199" s="344" t="s">
        <v>6048</v>
      </c>
      <c r="F199" s="358">
        <v>10</v>
      </c>
      <c r="G199" s="344"/>
      <c r="H199" s="344"/>
      <c r="I199" s="344" t="s">
        <v>5506</v>
      </c>
      <c r="J199" s="343" t="s">
        <v>2411</v>
      </c>
      <c r="K199" s="343" t="s">
        <v>2380</v>
      </c>
      <c r="L199" s="343" t="s">
        <v>2442</v>
      </c>
      <c r="M199" s="343" t="s">
        <v>2234</v>
      </c>
      <c r="N199" s="343" t="s">
        <v>2311</v>
      </c>
      <c r="O199" s="343" t="s">
        <v>2443</v>
      </c>
      <c r="P199" s="343" t="s">
        <v>5949</v>
      </c>
      <c r="Q199" s="405" t="s">
        <v>8574</v>
      </c>
      <c r="R199" s="405" t="s">
        <v>8691</v>
      </c>
      <c r="S199" s="405" t="s">
        <v>8691</v>
      </c>
      <c r="T199" s="405" t="s">
        <v>8650</v>
      </c>
      <c r="U199" s="406">
        <f t="shared" ref="U199:U222" si="3">IF($A199="③ 構築（DU）",$F199*0.6,$F199)</f>
        <v>6</v>
      </c>
    </row>
    <row r="200" spans="1:21" ht="26" customHeight="1">
      <c r="A200" s="343" t="s">
        <v>5933</v>
      </c>
      <c r="B200" s="343" t="s">
        <v>2412</v>
      </c>
      <c r="C200" s="343" t="s">
        <v>2397</v>
      </c>
      <c r="D200" s="344" t="s">
        <v>2413</v>
      </c>
      <c r="E200" s="344" t="s">
        <v>6049</v>
      </c>
      <c r="F200" s="358">
        <v>5</v>
      </c>
      <c r="G200" s="344"/>
      <c r="H200" s="344"/>
      <c r="I200" s="344" t="s">
        <v>5507</v>
      </c>
      <c r="J200" s="343" t="s">
        <v>2331</v>
      </c>
      <c r="K200" s="343" t="s">
        <v>2414</v>
      </c>
      <c r="L200" s="343" t="s">
        <v>2442</v>
      </c>
      <c r="M200" s="343" t="s">
        <v>2234</v>
      </c>
      <c r="N200" s="343" t="s">
        <v>2311</v>
      </c>
      <c r="O200" s="343" t="s">
        <v>2443</v>
      </c>
      <c r="P200" s="343" t="s">
        <v>5935</v>
      </c>
      <c r="Q200" s="405" t="s">
        <v>8574</v>
      </c>
      <c r="R200" s="405" t="s">
        <v>8691</v>
      </c>
      <c r="S200" s="405" t="s">
        <v>8691</v>
      </c>
      <c r="T200" s="405" t="s">
        <v>8650</v>
      </c>
      <c r="U200" s="406">
        <f t="shared" si="3"/>
        <v>3</v>
      </c>
    </row>
    <row r="201" spans="1:21" ht="38">
      <c r="A201" s="343" t="s">
        <v>5933</v>
      </c>
      <c r="B201" s="343" t="s">
        <v>2503</v>
      </c>
      <c r="C201" s="343" t="s">
        <v>2397</v>
      </c>
      <c r="D201" s="344" t="s">
        <v>2504</v>
      </c>
      <c r="E201" s="344" t="s">
        <v>6050</v>
      </c>
      <c r="F201" s="358">
        <v>8</v>
      </c>
      <c r="G201" s="344"/>
      <c r="H201" s="344"/>
      <c r="I201" s="344" t="s">
        <v>5508</v>
      </c>
      <c r="J201" s="343" t="s">
        <v>2383</v>
      </c>
      <c r="K201" s="343" t="s">
        <v>2399</v>
      </c>
      <c r="L201" s="343" t="s">
        <v>2442</v>
      </c>
      <c r="M201" s="343" t="s">
        <v>2234</v>
      </c>
      <c r="N201" s="343" t="s">
        <v>2448</v>
      </c>
      <c r="O201" s="343" t="s">
        <v>2505</v>
      </c>
      <c r="P201" s="343" t="s">
        <v>5935</v>
      </c>
      <c r="Q201" s="405" t="s">
        <v>8574</v>
      </c>
      <c r="R201" s="405" t="s">
        <v>8691</v>
      </c>
      <c r="S201" s="405" t="s">
        <v>8691</v>
      </c>
      <c r="T201" s="405" t="s">
        <v>8650</v>
      </c>
      <c r="U201" s="406">
        <f t="shared" si="3"/>
        <v>4.8</v>
      </c>
    </row>
    <row r="202" spans="1:21" ht="57">
      <c r="A202" s="343" t="s">
        <v>5933</v>
      </c>
      <c r="B202" s="343" t="s">
        <v>2506</v>
      </c>
      <c r="C202" s="343" t="s">
        <v>2397</v>
      </c>
      <c r="D202" s="344" t="s">
        <v>2507</v>
      </c>
      <c r="E202" s="344" t="s">
        <v>6051</v>
      </c>
      <c r="F202" s="358">
        <v>5</v>
      </c>
      <c r="G202" s="344"/>
      <c r="H202" s="344"/>
      <c r="I202" s="344" t="s">
        <v>5509</v>
      </c>
      <c r="J202" s="343" t="s">
        <v>2362</v>
      </c>
      <c r="K202" s="343" t="s">
        <v>2324</v>
      </c>
      <c r="L202" s="343" t="s">
        <v>2442</v>
      </c>
      <c r="M202" s="343" t="s">
        <v>2508</v>
      </c>
      <c r="N202" s="343" t="s">
        <v>2448</v>
      </c>
      <c r="O202" s="343" t="s">
        <v>2509</v>
      </c>
      <c r="P202" s="343" t="s">
        <v>5935</v>
      </c>
      <c r="Q202" s="405" t="s">
        <v>8574</v>
      </c>
      <c r="R202" s="405" t="s">
        <v>8691</v>
      </c>
      <c r="S202" s="405" t="s">
        <v>8691</v>
      </c>
      <c r="T202" s="405" t="s">
        <v>8650</v>
      </c>
      <c r="U202" s="406">
        <f t="shared" si="3"/>
        <v>3</v>
      </c>
    </row>
    <row r="203" spans="1:21" ht="38">
      <c r="A203" s="343" t="s">
        <v>5933</v>
      </c>
      <c r="B203" s="343" t="s">
        <v>5789</v>
      </c>
      <c r="C203" s="343" t="s">
        <v>2397</v>
      </c>
      <c r="D203" s="344" t="s">
        <v>5790</v>
      </c>
      <c r="E203" s="344" t="s">
        <v>6052</v>
      </c>
      <c r="F203" s="358">
        <v>8</v>
      </c>
      <c r="G203" s="344"/>
      <c r="H203" s="344"/>
      <c r="I203" s="344" t="s">
        <v>5792</v>
      </c>
      <c r="J203" s="343" t="s">
        <v>2395</v>
      </c>
      <c r="K203" s="343" t="s">
        <v>2361</v>
      </c>
      <c r="L203" s="343" t="s">
        <v>2442</v>
      </c>
      <c r="M203" s="343" t="s">
        <v>2234</v>
      </c>
      <c r="N203" s="343" t="s">
        <v>5791</v>
      </c>
      <c r="O203" s="343" t="s">
        <v>2677</v>
      </c>
      <c r="P203" s="343" t="s">
        <v>5949</v>
      </c>
      <c r="Q203" s="405" t="s">
        <v>8574</v>
      </c>
      <c r="R203" s="405" t="s">
        <v>8691</v>
      </c>
      <c r="S203" s="405" t="s">
        <v>8691</v>
      </c>
      <c r="T203" s="405" t="s">
        <v>8650</v>
      </c>
      <c r="U203" s="406">
        <f t="shared" si="3"/>
        <v>4.8</v>
      </c>
    </row>
    <row r="204" spans="1:21" ht="57">
      <c r="A204" s="343" t="s">
        <v>5933</v>
      </c>
      <c r="B204" s="343" t="s">
        <v>2415</v>
      </c>
      <c r="C204" s="343" t="s">
        <v>1241</v>
      </c>
      <c r="D204" s="344" t="s">
        <v>2416</v>
      </c>
      <c r="E204" s="344" t="s">
        <v>6053</v>
      </c>
      <c r="F204" s="358">
        <v>14</v>
      </c>
      <c r="G204" s="344"/>
      <c r="H204" s="344"/>
      <c r="I204" s="344" t="s">
        <v>5510</v>
      </c>
      <c r="J204" s="343" t="s">
        <v>2418</v>
      </c>
      <c r="K204" s="343" t="s">
        <v>2417</v>
      </c>
      <c r="L204" s="343" t="s">
        <v>2442</v>
      </c>
      <c r="M204" s="343" t="s">
        <v>2234</v>
      </c>
      <c r="N204" s="343" t="s">
        <v>2235</v>
      </c>
      <c r="O204" s="343" t="s">
        <v>2443</v>
      </c>
      <c r="P204" s="343" t="s">
        <v>5949</v>
      </c>
      <c r="Q204" s="405" t="s">
        <v>8574</v>
      </c>
      <c r="R204" s="405" t="s">
        <v>8691</v>
      </c>
      <c r="S204" s="405" t="s">
        <v>8691</v>
      </c>
      <c r="T204" s="405" t="s">
        <v>8650</v>
      </c>
      <c r="U204" s="406">
        <f t="shared" si="3"/>
        <v>8.4</v>
      </c>
    </row>
    <row r="205" spans="1:21" ht="76">
      <c r="A205" s="343" t="s">
        <v>5933</v>
      </c>
      <c r="B205" s="343" t="s">
        <v>2294</v>
      </c>
      <c r="C205" s="343" t="s">
        <v>1241</v>
      </c>
      <c r="D205" s="344" t="s">
        <v>2419</v>
      </c>
      <c r="E205" s="344" t="s">
        <v>6054</v>
      </c>
      <c r="F205" s="358">
        <v>24</v>
      </c>
      <c r="G205" s="344"/>
      <c r="H205" s="344"/>
      <c r="I205" s="344" t="s">
        <v>5511</v>
      </c>
      <c r="J205" s="343" t="s">
        <v>2420</v>
      </c>
      <c r="K205" s="343" t="s">
        <v>2265</v>
      </c>
      <c r="L205" s="343" t="s">
        <v>2442</v>
      </c>
      <c r="M205" s="343" t="s">
        <v>2234</v>
      </c>
      <c r="N205" s="343" t="s">
        <v>2235</v>
      </c>
      <c r="O205" s="343" t="s">
        <v>2443</v>
      </c>
      <c r="P205" s="343" t="s">
        <v>5947</v>
      </c>
      <c r="Q205" s="405" t="s">
        <v>8574</v>
      </c>
      <c r="R205" s="405" t="s">
        <v>8691</v>
      </c>
      <c r="S205" s="405" t="s">
        <v>8691</v>
      </c>
      <c r="T205" s="405" t="s">
        <v>8650</v>
      </c>
      <c r="U205" s="406">
        <f t="shared" si="3"/>
        <v>14.399999999999999</v>
      </c>
    </row>
    <row r="206" spans="1:21" ht="38">
      <c r="A206" s="343" t="s">
        <v>5933</v>
      </c>
      <c r="B206" s="343" t="s">
        <v>2421</v>
      </c>
      <c r="C206" s="343" t="s">
        <v>1241</v>
      </c>
      <c r="D206" s="344" t="s">
        <v>2422</v>
      </c>
      <c r="E206" s="344" t="s">
        <v>6055</v>
      </c>
      <c r="F206" s="358">
        <v>12</v>
      </c>
      <c r="G206" s="344"/>
      <c r="H206" s="344"/>
      <c r="I206" s="344" t="s">
        <v>5512</v>
      </c>
      <c r="J206" s="343" t="s">
        <v>2294</v>
      </c>
      <c r="K206" s="343" t="s">
        <v>2265</v>
      </c>
      <c r="L206" s="343" t="s">
        <v>2442</v>
      </c>
      <c r="M206" s="343" t="s">
        <v>2234</v>
      </c>
      <c r="N206" s="343" t="s">
        <v>2235</v>
      </c>
      <c r="O206" s="343" t="s">
        <v>2443</v>
      </c>
      <c r="P206" s="343" t="s">
        <v>5949</v>
      </c>
      <c r="Q206" s="405" t="s">
        <v>8574</v>
      </c>
      <c r="R206" s="405" t="s">
        <v>8691</v>
      </c>
      <c r="S206" s="405" t="s">
        <v>8691</v>
      </c>
      <c r="T206" s="405" t="s">
        <v>8650</v>
      </c>
      <c r="U206" s="406">
        <f t="shared" si="3"/>
        <v>7.1999999999999993</v>
      </c>
    </row>
    <row r="207" spans="1:21" ht="57">
      <c r="A207" s="343" t="s">
        <v>5933</v>
      </c>
      <c r="B207" s="343" t="s">
        <v>2423</v>
      </c>
      <c r="C207" s="343" t="s">
        <v>1241</v>
      </c>
      <c r="D207" s="344" t="s">
        <v>2424</v>
      </c>
      <c r="E207" s="344" t="s">
        <v>6056</v>
      </c>
      <c r="F207" s="358">
        <v>0</v>
      </c>
      <c r="G207" s="344"/>
      <c r="H207" s="344"/>
      <c r="I207" s="344" t="s">
        <v>5520</v>
      </c>
      <c r="J207" s="343" t="s">
        <v>2269</v>
      </c>
      <c r="K207" s="343" t="s">
        <v>2425</v>
      </c>
      <c r="L207" s="343" t="s">
        <v>2442</v>
      </c>
      <c r="M207" s="343" t="s">
        <v>5522</v>
      </c>
      <c r="N207" s="343" t="s">
        <v>2235</v>
      </c>
      <c r="O207" s="343" t="s">
        <v>2443</v>
      </c>
      <c r="P207" s="343" t="s">
        <v>5949</v>
      </c>
      <c r="Q207" s="405" t="s">
        <v>8574</v>
      </c>
      <c r="R207" s="405" t="s">
        <v>8691</v>
      </c>
      <c r="S207" s="405" t="s">
        <v>8691</v>
      </c>
      <c r="T207" s="405" t="s">
        <v>8650</v>
      </c>
      <c r="U207" s="406">
        <f t="shared" si="3"/>
        <v>0</v>
      </c>
    </row>
    <row r="208" spans="1:21" ht="38">
      <c r="A208" s="343" t="s">
        <v>5933</v>
      </c>
      <c r="B208" s="343" t="s">
        <v>2426</v>
      </c>
      <c r="C208" s="343" t="s">
        <v>1241</v>
      </c>
      <c r="D208" s="344" t="s">
        <v>2427</v>
      </c>
      <c r="E208" s="344" t="s">
        <v>6057</v>
      </c>
      <c r="F208" s="358">
        <v>5</v>
      </c>
      <c r="G208" s="344"/>
      <c r="H208" s="344"/>
      <c r="I208" s="344" t="s">
        <v>5513</v>
      </c>
      <c r="J208" s="343" t="s">
        <v>2273</v>
      </c>
      <c r="K208" s="343" t="s">
        <v>2324</v>
      </c>
      <c r="L208" s="343" t="s">
        <v>2442</v>
      </c>
      <c r="M208" s="343" t="s">
        <v>2239</v>
      </c>
      <c r="N208" s="343" t="s">
        <v>2235</v>
      </c>
      <c r="O208" s="343" t="s">
        <v>2443</v>
      </c>
      <c r="P208" s="343" t="s">
        <v>5935</v>
      </c>
      <c r="Q208" s="405" t="s">
        <v>8574</v>
      </c>
      <c r="R208" s="405" t="s">
        <v>8691</v>
      </c>
      <c r="S208" s="405" t="s">
        <v>8691</v>
      </c>
      <c r="T208" s="405" t="s">
        <v>8650</v>
      </c>
      <c r="U208" s="406">
        <f t="shared" si="3"/>
        <v>3</v>
      </c>
    </row>
    <row r="209" spans="1:21" ht="38">
      <c r="A209" s="343" t="s">
        <v>5933</v>
      </c>
      <c r="B209" s="343" t="s">
        <v>2428</v>
      </c>
      <c r="C209" s="343" t="s">
        <v>1241</v>
      </c>
      <c r="D209" s="344" t="s">
        <v>2429</v>
      </c>
      <c r="E209" s="344" t="s">
        <v>6058</v>
      </c>
      <c r="F209" s="358">
        <v>6</v>
      </c>
      <c r="G209" s="344"/>
      <c r="H209" s="344"/>
      <c r="I209" s="344" t="s">
        <v>5514</v>
      </c>
      <c r="J209" s="343" t="s">
        <v>2326</v>
      </c>
      <c r="K209" s="343" t="s">
        <v>2425</v>
      </c>
      <c r="L209" s="343" t="s">
        <v>2442</v>
      </c>
      <c r="M209" s="343" t="s">
        <v>2234</v>
      </c>
      <c r="N209" s="343" t="s">
        <v>2235</v>
      </c>
      <c r="O209" s="343" t="s">
        <v>2443</v>
      </c>
      <c r="P209" s="343" t="s">
        <v>5935</v>
      </c>
      <c r="Q209" s="405" t="s">
        <v>8574</v>
      </c>
      <c r="R209" s="405" t="s">
        <v>8691</v>
      </c>
      <c r="S209" s="405" t="s">
        <v>8691</v>
      </c>
      <c r="T209" s="405" t="s">
        <v>8650</v>
      </c>
      <c r="U209" s="406">
        <f t="shared" si="3"/>
        <v>3.5999999999999996</v>
      </c>
    </row>
    <row r="210" spans="1:21" ht="38">
      <c r="A210" s="343" t="s">
        <v>5933</v>
      </c>
      <c r="B210" s="343" t="s">
        <v>2430</v>
      </c>
      <c r="C210" s="343" t="s">
        <v>1241</v>
      </c>
      <c r="D210" s="344" t="s">
        <v>2431</v>
      </c>
      <c r="E210" s="344" t="s">
        <v>6059</v>
      </c>
      <c r="F210" s="358">
        <v>4</v>
      </c>
      <c r="G210" s="344"/>
      <c r="H210" s="344"/>
      <c r="I210" s="344" t="s">
        <v>5515</v>
      </c>
      <c r="J210" s="343" t="s">
        <v>2273</v>
      </c>
      <c r="K210" s="343" t="s">
        <v>2324</v>
      </c>
      <c r="L210" s="343" t="s">
        <v>2442</v>
      </c>
      <c r="M210" s="343" t="s">
        <v>2239</v>
      </c>
      <c r="N210" s="343" t="s">
        <v>2311</v>
      </c>
      <c r="O210" s="343" t="s">
        <v>2443</v>
      </c>
      <c r="P210" s="343" t="s">
        <v>5935</v>
      </c>
      <c r="Q210" s="405" t="s">
        <v>8574</v>
      </c>
      <c r="R210" s="405" t="s">
        <v>8691</v>
      </c>
      <c r="S210" s="405" t="s">
        <v>8691</v>
      </c>
      <c r="T210" s="405" t="s">
        <v>8650</v>
      </c>
      <c r="U210" s="406">
        <f t="shared" si="3"/>
        <v>2.4</v>
      </c>
    </row>
    <row r="211" spans="1:21" ht="57">
      <c r="A211" s="343" t="s">
        <v>5933</v>
      </c>
      <c r="B211" s="343" t="s">
        <v>2510</v>
      </c>
      <c r="C211" s="343" t="s">
        <v>1241</v>
      </c>
      <c r="D211" s="344" t="s">
        <v>2511</v>
      </c>
      <c r="E211" s="344" t="s">
        <v>6060</v>
      </c>
      <c r="F211" s="358">
        <v>12</v>
      </c>
      <c r="G211" s="344"/>
      <c r="H211" s="344"/>
      <c r="I211" s="344" t="s">
        <v>5516</v>
      </c>
      <c r="J211" s="343" t="s">
        <v>2415</v>
      </c>
      <c r="K211" s="343" t="s">
        <v>2324</v>
      </c>
      <c r="L211" s="343" t="s">
        <v>2442</v>
      </c>
      <c r="M211" s="343" t="s">
        <v>2234</v>
      </c>
      <c r="N211" s="343" t="s">
        <v>2448</v>
      </c>
      <c r="O211" s="343" t="s">
        <v>1245</v>
      </c>
      <c r="P211" s="343" t="s">
        <v>5949</v>
      </c>
      <c r="Q211" s="405" t="s">
        <v>8574</v>
      </c>
      <c r="R211" s="405" t="s">
        <v>8691</v>
      </c>
      <c r="S211" s="405" t="s">
        <v>8691</v>
      </c>
      <c r="T211" s="405" t="s">
        <v>8650</v>
      </c>
      <c r="U211" s="406">
        <f t="shared" si="3"/>
        <v>7.1999999999999993</v>
      </c>
    </row>
    <row r="212" spans="1:21" ht="38">
      <c r="A212" s="343" t="s">
        <v>5933</v>
      </c>
      <c r="B212" s="343" t="s">
        <v>2512</v>
      </c>
      <c r="C212" s="343" t="s">
        <v>1241</v>
      </c>
      <c r="D212" s="344" t="s">
        <v>2513</v>
      </c>
      <c r="E212" s="344" t="s">
        <v>6061</v>
      </c>
      <c r="F212" s="358">
        <v>5</v>
      </c>
      <c r="G212" s="344"/>
      <c r="H212" s="344"/>
      <c r="I212" s="344" t="s">
        <v>5517</v>
      </c>
      <c r="J212" s="343" t="s">
        <v>2415</v>
      </c>
      <c r="K212" s="343" t="s">
        <v>2305</v>
      </c>
      <c r="L212" s="343" t="s">
        <v>2442</v>
      </c>
      <c r="M212" s="343" t="s">
        <v>2234</v>
      </c>
      <c r="N212" s="343" t="s">
        <v>2448</v>
      </c>
      <c r="O212" s="343" t="s">
        <v>1246</v>
      </c>
      <c r="P212" s="343" t="s">
        <v>5935</v>
      </c>
      <c r="Q212" s="405" t="s">
        <v>8574</v>
      </c>
      <c r="R212" s="405" t="s">
        <v>8691</v>
      </c>
      <c r="S212" s="405" t="s">
        <v>8691</v>
      </c>
      <c r="T212" s="405" t="s">
        <v>8650</v>
      </c>
      <c r="U212" s="406">
        <f t="shared" si="3"/>
        <v>3</v>
      </c>
    </row>
    <row r="213" spans="1:21" ht="38">
      <c r="A213" s="343" t="s">
        <v>5933</v>
      </c>
      <c r="B213" s="343" t="s">
        <v>2514</v>
      </c>
      <c r="C213" s="343" t="s">
        <v>1241</v>
      </c>
      <c r="D213" s="344" t="s">
        <v>2515</v>
      </c>
      <c r="E213" s="344" t="s">
        <v>6062</v>
      </c>
      <c r="F213" s="358">
        <v>6</v>
      </c>
      <c r="G213" s="344"/>
      <c r="H213" s="344"/>
      <c r="I213" s="344" t="s">
        <v>5518</v>
      </c>
      <c r="J213" s="343" t="s">
        <v>2294</v>
      </c>
      <c r="K213" s="343" t="s">
        <v>2231</v>
      </c>
      <c r="L213" s="343" t="s">
        <v>2442</v>
      </c>
      <c r="M213" s="343" t="s">
        <v>2234</v>
      </c>
      <c r="N213" s="343" t="s">
        <v>2448</v>
      </c>
      <c r="O213" s="343" t="s">
        <v>2516</v>
      </c>
      <c r="P213" s="343" t="s">
        <v>5935</v>
      </c>
      <c r="Q213" s="405" t="s">
        <v>8574</v>
      </c>
      <c r="R213" s="405" t="s">
        <v>8691</v>
      </c>
      <c r="S213" s="405" t="s">
        <v>8691</v>
      </c>
      <c r="T213" s="405" t="s">
        <v>8650</v>
      </c>
      <c r="U213" s="406">
        <f t="shared" si="3"/>
        <v>3.5999999999999996</v>
      </c>
    </row>
    <row r="214" spans="1:21" ht="76">
      <c r="A214" s="343" t="s">
        <v>5933</v>
      </c>
      <c r="B214" s="343" t="s">
        <v>2517</v>
      </c>
      <c r="C214" s="343" t="s">
        <v>1241</v>
      </c>
      <c r="D214" s="344" t="s">
        <v>2518</v>
      </c>
      <c r="E214" s="344" t="s">
        <v>6063</v>
      </c>
      <c r="F214" s="358">
        <v>0</v>
      </c>
      <c r="G214" s="344"/>
      <c r="H214" s="344"/>
      <c r="I214" s="344" t="s">
        <v>5521</v>
      </c>
      <c r="J214" s="343" t="s">
        <v>2423</v>
      </c>
      <c r="K214" s="343" t="s">
        <v>2244</v>
      </c>
      <c r="L214" s="343" t="s">
        <v>2446</v>
      </c>
      <c r="M214" s="343" t="s">
        <v>5523</v>
      </c>
      <c r="N214" s="343" t="s">
        <v>2448</v>
      </c>
      <c r="O214" s="343" t="s">
        <v>4083</v>
      </c>
      <c r="P214" s="343" t="s">
        <v>5935</v>
      </c>
      <c r="Q214" s="405" t="s">
        <v>8574</v>
      </c>
      <c r="R214" s="405" t="s">
        <v>8691</v>
      </c>
      <c r="S214" s="405" t="s">
        <v>8691</v>
      </c>
      <c r="T214" s="405" t="s">
        <v>8650</v>
      </c>
      <c r="U214" s="406">
        <f t="shared" si="3"/>
        <v>0</v>
      </c>
    </row>
    <row r="215" spans="1:21" ht="38">
      <c r="A215" s="343" t="s">
        <v>6064</v>
      </c>
      <c r="B215" s="343" t="s">
        <v>5797</v>
      </c>
      <c r="C215" s="343" t="s">
        <v>5798</v>
      </c>
      <c r="D215" s="344" t="s">
        <v>5799</v>
      </c>
      <c r="E215" s="344" t="s">
        <v>6065</v>
      </c>
      <c r="F215" s="358">
        <v>10</v>
      </c>
      <c r="G215" s="344"/>
      <c r="H215" s="344"/>
      <c r="I215" s="344" t="s">
        <v>5802</v>
      </c>
      <c r="J215" s="343" t="s">
        <v>2233</v>
      </c>
      <c r="K215" s="343" t="s">
        <v>2305</v>
      </c>
      <c r="L215" s="343" t="s">
        <v>2442</v>
      </c>
      <c r="M215" s="343" t="s">
        <v>2234</v>
      </c>
      <c r="N215" s="343" t="s">
        <v>5800</v>
      </c>
      <c r="O215" s="343" t="s">
        <v>5801</v>
      </c>
      <c r="P215" s="343" t="s">
        <v>5947</v>
      </c>
      <c r="Q215" s="405" t="s">
        <v>8574</v>
      </c>
      <c r="R215" s="405" t="s">
        <v>8691</v>
      </c>
      <c r="S215" s="405" t="s">
        <v>8691</v>
      </c>
      <c r="T215" s="405" t="s">
        <v>8650</v>
      </c>
      <c r="U215" s="406">
        <f t="shared" si="3"/>
        <v>10</v>
      </c>
    </row>
    <row r="216" spans="1:21" ht="38">
      <c r="A216" s="343" t="s">
        <v>6064</v>
      </c>
      <c r="B216" s="343" t="s">
        <v>5803</v>
      </c>
      <c r="C216" s="343" t="s">
        <v>5798</v>
      </c>
      <c r="D216" s="344" t="s">
        <v>5804</v>
      </c>
      <c r="E216" s="344" t="s">
        <v>6066</v>
      </c>
      <c r="F216" s="358">
        <v>12</v>
      </c>
      <c r="G216" s="344"/>
      <c r="H216" s="344"/>
      <c r="I216" s="344" t="s">
        <v>5805</v>
      </c>
      <c r="J216" s="343" t="s">
        <v>5797</v>
      </c>
      <c r="K216" s="343" t="s">
        <v>2380</v>
      </c>
      <c r="L216" s="343" t="s">
        <v>2442</v>
      </c>
      <c r="M216" s="343" t="s">
        <v>2234</v>
      </c>
      <c r="N216" s="343" t="s">
        <v>5800</v>
      </c>
      <c r="O216" s="343" t="s">
        <v>5801</v>
      </c>
      <c r="P216" s="343" t="s">
        <v>5947</v>
      </c>
      <c r="Q216" s="405" t="s">
        <v>8574</v>
      </c>
      <c r="R216" s="405" t="s">
        <v>8691</v>
      </c>
      <c r="S216" s="405" t="s">
        <v>8691</v>
      </c>
      <c r="T216" s="405" t="s">
        <v>8650</v>
      </c>
      <c r="U216" s="406">
        <f t="shared" si="3"/>
        <v>12</v>
      </c>
    </row>
    <row r="217" spans="1:21" ht="38">
      <c r="A217" s="343" t="s">
        <v>6064</v>
      </c>
      <c r="B217" s="343" t="s">
        <v>5806</v>
      </c>
      <c r="C217" s="343" t="s">
        <v>5798</v>
      </c>
      <c r="D217" s="344" t="s">
        <v>5807</v>
      </c>
      <c r="E217" s="344" t="s">
        <v>6067</v>
      </c>
      <c r="F217" s="358">
        <v>25</v>
      </c>
      <c r="G217" s="344"/>
      <c r="H217" s="344"/>
      <c r="I217" s="344" t="s">
        <v>5808</v>
      </c>
      <c r="J217" s="343" t="s">
        <v>5803</v>
      </c>
      <c r="K217" s="343" t="s">
        <v>2233</v>
      </c>
      <c r="L217" s="343" t="s">
        <v>2442</v>
      </c>
      <c r="M217" s="343" t="s">
        <v>2234</v>
      </c>
      <c r="N217" s="343" t="s">
        <v>5800</v>
      </c>
      <c r="O217" s="343" t="s">
        <v>5801</v>
      </c>
      <c r="P217" s="343" t="s">
        <v>5947</v>
      </c>
      <c r="Q217" s="405" t="s">
        <v>8574</v>
      </c>
      <c r="R217" s="405" t="s">
        <v>8691</v>
      </c>
      <c r="S217" s="405" t="s">
        <v>8691</v>
      </c>
      <c r="T217" s="405" t="s">
        <v>8650</v>
      </c>
      <c r="U217" s="406">
        <f t="shared" si="3"/>
        <v>25</v>
      </c>
    </row>
    <row r="218" spans="1:21" ht="38">
      <c r="A218" s="343" t="s">
        <v>6064</v>
      </c>
      <c r="B218" s="343" t="s">
        <v>5809</v>
      </c>
      <c r="C218" s="343" t="s">
        <v>5798</v>
      </c>
      <c r="D218" s="344" t="s">
        <v>5810</v>
      </c>
      <c r="E218" s="344" t="s">
        <v>6068</v>
      </c>
      <c r="F218" s="358">
        <v>30</v>
      </c>
      <c r="G218" s="344"/>
      <c r="H218" s="344"/>
      <c r="I218" s="344" t="s">
        <v>5811</v>
      </c>
      <c r="J218" s="343" t="s">
        <v>2233</v>
      </c>
      <c r="K218" s="343" t="s">
        <v>2233</v>
      </c>
      <c r="L218" s="343" t="s">
        <v>2442</v>
      </c>
      <c r="M218" s="343" t="s">
        <v>2234</v>
      </c>
      <c r="N218" s="343" t="s">
        <v>5800</v>
      </c>
      <c r="O218" s="343" t="s">
        <v>5801</v>
      </c>
      <c r="P218" s="343" t="s">
        <v>5947</v>
      </c>
      <c r="Q218" s="405" t="s">
        <v>8574</v>
      </c>
      <c r="R218" s="405" t="s">
        <v>8691</v>
      </c>
      <c r="S218" s="405" t="s">
        <v>8691</v>
      </c>
      <c r="T218" s="405" t="s">
        <v>8650</v>
      </c>
      <c r="U218" s="406">
        <f t="shared" si="3"/>
        <v>30</v>
      </c>
    </row>
    <row r="219" spans="1:21" ht="38">
      <c r="A219" s="343" t="s">
        <v>6064</v>
      </c>
      <c r="B219" s="343" t="s">
        <v>5812</v>
      </c>
      <c r="C219" s="343" t="s">
        <v>5798</v>
      </c>
      <c r="D219" s="344" t="s">
        <v>5813</v>
      </c>
      <c r="E219" s="344" t="s">
        <v>6069</v>
      </c>
      <c r="F219" s="358">
        <v>10</v>
      </c>
      <c r="G219" s="344"/>
      <c r="H219" s="344"/>
      <c r="I219" s="344" t="s">
        <v>5814</v>
      </c>
      <c r="J219" s="343" t="s">
        <v>2475</v>
      </c>
      <c r="K219" s="343" t="s">
        <v>2233</v>
      </c>
      <c r="L219" s="343" t="s">
        <v>2442</v>
      </c>
      <c r="M219" s="343" t="s">
        <v>2234</v>
      </c>
      <c r="N219" s="343" t="s">
        <v>5800</v>
      </c>
      <c r="O219" s="343" t="s">
        <v>5801</v>
      </c>
      <c r="P219" s="343" t="s">
        <v>5947</v>
      </c>
      <c r="Q219" s="405" t="s">
        <v>8574</v>
      </c>
      <c r="R219" s="405" t="s">
        <v>8691</v>
      </c>
      <c r="S219" s="405" t="s">
        <v>8691</v>
      </c>
      <c r="T219" s="405" t="s">
        <v>8650</v>
      </c>
      <c r="U219" s="406">
        <f t="shared" si="3"/>
        <v>10</v>
      </c>
    </row>
    <row r="220" spans="1:21" ht="38">
      <c r="A220" s="343" t="s">
        <v>6064</v>
      </c>
      <c r="B220" s="343" t="s">
        <v>5815</v>
      </c>
      <c r="C220" s="343" t="s">
        <v>5798</v>
      </c>
      <c r="D220" s="344" t="s">
        <v>5816</v>
      </c>
      <c r="E220" s="344" t="s">
        <v>6070</v>
      </c>
      <c r="F220" s="358">
        <v>8</v>
      </c>
      <c r="G220" s="344"/>
      <c r="H220" s="344"/>
      <c r="I220" s="344" t="s">
        <v>5817</v>
      </c>
      <c r="J220" s="343" t="s">
        <v>2233</v>
      </c>
      <c r="K220" s="343" t="s">
        <v>2324</v>
      </c>
      <c r="L220" s="343" t="s">
        <v>2442</v>
      </c>
      <c r="M220" s="343" t="s">
        <v>2234</v>
      </c>
      <c r="N220" s="343" t="s">
        <v>5800</v>
      </c>
      <c r="O220" s="343" t="s">
        <v>5801</v>
      </c>
      <c r="P220" s="343" t="s">
        <v>5949</v>
      </c>
      <c r="Q220" s="405" t="s">
        <v>8574</v>
      </c>
      <c r="R220" s="405" t="s">
        <v>8691</v>
      </c>
      <c r="S220" s="405" t="s">
        <v>8691</v>
      </c>
      <c r="T220" s="405" t="s">
        <v>8650</v>
      </c>
      <c r="U220" s="406">
        <f t="shared" si="3"/>
        <v>8</v>
      </c>
    </row>
    <row r="221" spans="1:21" ht="38">
      <c r="A221" s="343" t="s">
        <v>6064</v>
      </c>
      <c r="B221" s="343" t="s">
        <v>5818</v>
      </c>
      <c r="C221" s="343" t="s">
        <v>5798</v>
      </c>
      <c r="D221" s="344" t="s">
        <v>5819</v>
      </c>
      <c r="E221" s="344" t="s">
        <v>6071</v>
      </c>
      <c r="F221" s="358">
        <v>10</v>
      </c>
      <c r="G221" s="344"/>
      <c r="H221" s="344"/>
      <c r="I221" s="344" t="s">
        <v>5820</v>
      </c>
      <c r="J221" s="343" t="s">
        <v>5815</v>
      </c>
      <c r="K221" s="343" t="s">
        <v>2375</v>
      </c>
      <c r="L221" s="343" t="s">
        <v>2442</v>
      </c>
      <c r="M221" s="343" t="s">
        <v>2234</v>
      </c>
      <c r="N221" s="343" t="s">
        <v>5800</v>
      </c>
      <c r="O221" s="343" t="s">
        <v>5801</v>
      </c>
      <c r="P221" s="343" t="s">
        <v>5947</v>
      </c>
      <c r="Q221" s="405" t="s">
        <v>8574</v>
      </c>
      <c r="R221" s="405" t="s">
        <v>8691</v>
      </c>
      <c r="S221" s="405" t="s">
        <v>8691</v>
      </c>
      <c r="T221" s="405" t="s">
        <v>8650</v>
      </c>
      <c r="U221" s="406">
        <f t="shared" si="3"/>
        <v>10</v>
      </c>
    </row>
    <row r="222" spans="1:21" ht="38">
      <c r="A222" s="343" t="s">
        <v>6064</v>
      </c>
      <c r="B222" s="343" t="s">
        <v>5821</v>
      </c>
      <c r="C222" s="343" t="s">
        <v>5798</v>
      </c>
      <c r="D222" s="344" t="s">
        <v>5822</v>
      </c>
      <c r="E222" s="344" t="s">
        <v>6072</v>
      </c>
      <c r="F222" s="358">
        <v>12</v>
      </c>
      <c r="G222" s="344"/>
      <c r="H222" s="344"/>
      <c r="I222" s="344" t="s">
        <v>5823</v>
      </c>
      <c r="J222" s="343" t="s">
        <v>2233</v>
      </c>
      <c r="K222" s="343" t="s">
        <v>2233</v>
      </c>
      <c r="L222" s="343" t="s">
        <v>2442</v>
      </c>
      <c r="M222" s="343" t="s">
        <v>2234</v>
      </c>
      <c r="N222" s="343" t="s">
        <v>5800</v>
      </c>
      <c r="O222" s="343" t="s">
        <v>5801</v>
      </c>
      <c r="P222" s="343" t="s">
        <v>5947</v>
      </c>
      <c r="Q222" s="405" t="s">
        <v>8574</v>
      </c>
      <c r="R222" s="405" t="s">
        <v>8691</v>
      </c>
      <c r="S222" s="405" t="s">
        <v>8691</v>
      </c>
      <c r="T222" s="405" t="s">
        <v>8650</v>
      </c>
      <c r="U222" s="406">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6" t="s">
        <v>8716</v>
      </c>
      <c r="B1" s="377"/>
      <c r="C1" s="377"/>
      <c r="D1" s="376" t="s">
        <v>8709</v>
      </c>
      <c r="E1" s="377">
        <f>SUM('WBS(基本設計)'!$H$7:$H$456)</f>
        <v>743.25</v>
      </c>
      <c r="F1" s="377"/>
      <c r="G1" s="377"/>
      <c r="H1" s="377"/>
      <c r="I1" s="377"/>
      <c r="J1" s="377"/>
      <c r="K1" s="377"/>
      <c r="L1" s="377"/>
      <c r="M1" s="377"/>
      <c r="N1" s="377"/>
    </row>
    <row r="2" spans="1:14">
      <c r="A2" s="352" t="s">
        <v>5613</v>
      </c>
      <c r="B2" s="377"/>
      <c r="C2" s="377"/>
      <c r="D2" s="376" t="s">
        <v>8710</v>
      </c>
      <c r="E2" s="377">
        <f>SUM('WBS(詳細設計_製造)'!$U$6:$U$222)</f>
        <v>1216.4000000000003</v>
      </c>
      <c r="F2" s="377"/>
      <c r="G2" s="377"/>
      <c r="H2" s="377"/>
      <c r="I2" s="377"/>
      <c r="J2" s="377"/>
      <c r="K2" s="377"/>
      <c r="L2" s="377"/>
      <c r="M2" s="377"/>
      <c r="N2" s="377"/>
    </row>
    <row r="3" spans="1:14">
      <c r="A3" s="363" t="s">
        <v>8717</v>
      </c>
      <c r="B3" s="377"/>
      <c r="C3" s="377"/>
      <c r="D3" s="376" t="s">
        <v>8711</v>
      </c>
      <c r="E3" s="377">
        <f>SUM($E$6:$E$59)</f>
        <v>429</v>
      </c>
      <c r="F3" s="377"/>
      <c r="G3" s="377"/>
      <c r="H3" s="377"/>
      <c r="I3" s="377"/>
      <c r="J3" s="377"/>
      <c r="K3" s="377"/>
      <c r="L3" s="377"/>
      <c r="M3" s="377"/>
      <c r="N3" s="377"/>
    </row>
    <row r="4" spans="1:14">
      <c r="A4" s="351" t="s">
        <v>8718</v>
      </c>
      <c r="B4" s="377"/>
      <c r="C4" s="377"/>
      <c r="D4" s="376"/>
      <c r="E4" s="377">
        <f>SUM(E1:E3)</f>
        <v>2388.6500000000005</v>
      </c>
      <c r="F4" s="377">
        <f>E4/20</f>
        <v>119.43250000000003</v>
      </c>
      <c r="G4" s="377">
        <f>F4*160</f>
        <v>19109.200000000004</v>
      </c>
      <c r="H4" s="377"/>
      <c r="I4" s="377"/>
      <c r="J4" s="377"/>
      <c r="K4" s="377"/>
      <c r="L4" s="377"/>
      <c r="M4" s="377"/>
      <c r="N4" s="377"/>
    </row>
    <row r="5" spans="1:14" ht="24" customHeight="1">
      <c r="A5" s="174" t="s">
        <v>1</v>
      </c>
      <c r="B5" s="175" t="s">
        <v>9</v>
      </c>
      <c r="C5" s="175" t="s">
        <v>2730</v>
      </c>
      <c r="D5" s="175" t="s">
        <v>2736</v>
      </c>
      <c r="E5" s="175" t="s">
        <v>2521</v>
      </c>
      <c r="F5" s="175" t="s">
        <v>2737</v>
      </c>
      <c r="G5" s="404" t="s">
        <v>2728</v>
      </c>
      <c r="H5" s="379" t="s">
        <v>5535</v>
      </c>
      <c r="I5" s="379" t="s">
        <v>3573</v>
      </c>
      <c r="J5" s="135" t="s">
        <v>7784</v>
      </c>
      <c r="K5" s="135" t="s">
        <v>7259</v>
      </c>
      <c r="L5" s="135" t="s">
        <v>8698</v>
      </c>
      <c r="M5" s="135" t="s">
        <v>8700</v>
      </c>
      <c r="N5" s="135" t="s">
        <v>8648</v>
      </c>
    </row>
    <row r="6" spans="1:14">
      <c r="A6" s="380" t="s">
        <v>2738</v>
      </c>
      <c r="B6" s="381" t="s">
        <v>2739</v>
      </c>
      <c r="C6" s="381" t="s">
        <v>2740</v>
      </c>
      <c r="D6" s="382" t="s">
        <v>2741</v>
      </c>
      <c r="E6" s="382">
        <v>6</v>
      </c>
      <c r="F6" s="381" t="s">
        <v>2742</v>
      </c>
      <c r="G6" s="383" t="s">
        <v>2743</v>
      </c>
      <c r="H6" s="357" t="s">
        <v>5536</v>
      </c>
      <c r="I6" s="378" t="s">
        <v>8607</v>
      </c>
      <c r="J6" s="378" t="s">
        <v>7262</v>
      </c>
      <c r="K6" s="378" t="s">
        <v>7262</v>
      </c>
      <c r="L6" s="378" t="s">
        <v>8691</v>
      </c>
      <c r="M6" s="378" t="s">
        <v>8691</v>
      </c>
      <c r="N6" s="378" t="s">
        <v>8653</v>
      </c>
    </row>
    <row r="7" spans="1:14">
      <c r="A7" s="380" t="s">
        <v>2738</v>
      </c>
      <c r="B7" s="381" t="s">
        <v>2744</v>
      </c>
      <c r="C7" s="381" t="s">
        <v>2745</v>
      </c>
      <c r="D7" s="382" t="s">
        <v>2746</v>
      </c>
      <c r="E7" s="382">
        <v>6</v>
      </c>
      <c r="F7" s="381" t="s">
        <v>2747</v>
      </c>
      <c r="G7" s="383" t="s">
        <v>2743</v>
      </c>
      <c r="H7" s="357" t="s">
        <v>5537</v>
      </c>
      <c r="I7" s="378" t="s">
        <v>8607</v>
      </c>
      <c r="J7" s="378" t="s">
        <v>7796</v>
      </c>
      <c r="K7" s="378" t="s">
        <v>7297</v>
      </c>
      <c r="L7" s="378" t="s">
        <v>8691</v>
      </c>
      <c r="M7" s="378" t="s">
        <v>5168</v>
      </c>
      <c r="N7" s="378" t="s">
        <v>8653</v>
      </c>
    </row>
    <row r="8" spans="1:14">
      <c r="A8" s="380" t="s">
        <v>2738</v>
      </c>
      <c r="B8" s="381" t="s">
        <v>2748</v>
      </c>
      <c r="C8" s="381" t="s">
        <v>2749</v>
      </c>
      <c r="D8" s="382" t="s">
        <v>2750</v>
      </c>
      <c r="E8" s="382">
        <v>6</v>
      </c>
      <c r="F8" s="381" t="s">
        <v>2751</v>
      </c>
      <c r="G8" s="383" t="s">
        <v>2743</v>
      </c>
      <c r="H8" s="357" t="s">
        <v>5538</v>
      </c>
      <c r="I8" s="378" t="s">
        <v>8607</v>
      </c>
      <c r="J8" s="378" t="s">
        <v>7831</v>
      </c>
      <c r="K8" s="378" t="s">
        <v>7340</v>
      </c>
      <c r="L8" s="378" t="s">
        <v>8691</v>
      </c>
      <c r="M8" s="378" t="s">
        <v>5168</v>
      </c>
      <c r="N8" s="378" t="s">
        <v>8651</v>
      </c>
    </row>
    <row r="9" spans="1:14">
      <c r="A9" s="380" t="s">
        <v>2738</v>
      </c>
      <c r="B9" s="381" t="s">
        <v>2752</v>
      </c>
      <c r="C9" s="381" t="s">
        <v>2753</v>
      </c>
      <c r="D9" s="382" t="s">
        <v>2754</v>
      </c>
      <c r="E9" s="382">
        <v>5</v>
      </c>
      <c r="F9" s="381" t="s">
        <v>2755</v>
      </c>
      <c r="G9" s="383" t="s">
        <v>2743</v>
      </c>
      <c r="H9" s="357" t="s">
        <v>5539</v>
      </c>
      <c r="I9" s="378" t="s">
        <v>8607</v>
      </c>
      <c r="J9" s="378" t="s">
        <v>7825</v>
      </c>
      <c r="K9" s="378" t="s">
        <v>7826</v>
      </c>
      <c r="L9" s="378" t="s">
        <v>8694</v>
      </c>
      <c r="M9" s="378" t="s">
        <v>5168</v>
      </c>
      <c r="N9" s="378" t="s">
        <v>8653</v>
      </c>
    </row>
    <row r="10" spans="1:14">
      <c r="A10" s="380" t="s">
        <v>2738</v>
      </c>
      <c r="B10" s="381" t="s">
        <v>2756</v>
      </c>
      <c r="C10" s="381" t="s">
        <v>2757</v>
      </c>
      <c r="D10" s="382" t="s">
        <v>2758</v>
      </c>
      <c r="E10" s="382">
        <v>5</v>
      </c>
      <c r="F10" s="381" t="s">
        <v>2759</v>
      </c>
      <c r="G10" s="383" t="s">
        <v>2743</v>
      </c>
      <c r="H10" s="357" t="s">
        <v>5540</v>
      </c>
      <c r="I10" s="378" t="s">
        <v>8607</v>
      </c>
      <c r="J10" s="378" t="s">
        <v>7800</v>
      </c>
      <c r="K10" s="378" t="s">
        <v>7309</v>
      </c>
      <c r="L10" s="378" t="s">
        <v>5168</v>
      </c>
      <c r="M10" s="378" t="s">
        <v>5168</v>
      </c>
      <c r="N10" s="378" t="s">
        <v>8653</v>
      </c>
    </row>
    <row r="11" spans="1:14">
      <c r="A11" s="380" t="s">
        <v>2738</v>
      </c>
      <c r="B11" s="381" t="s">
        <v>2760</v>
      </c>
      <c r="C11" s="381" t="s">
        <v>2761</v>
      </c>
      <c r="D11" s="382" t="s">
        <v>2762</v>
      </c>
      <c r="E11" s="382">
        <v>6</v>
      </c>
      <c r="F11" s="381" t="s">
        <v>2763</v>
      </c>
      <c r="G11" s="383" t="s">
        <v>2743</v>
      </c>
      <c r="H11" s="357" t="s">
        <v>5541</v>
      </c>
      <c r="I11" s="378" t="s">
        <v>8714</v>
      </c>
      <c r="J11" s="378" t="s">
        <v>7787</v>
      </c>
      <c r="K11" s="378" t="s">
        <v>7270</v>
      </c>
      <c r="L11" s="378" t="s">
        <v>8691</v>
      </c>
      <c r="M11" s="378" t="s">
        <v>8691</v>
      </c>
      <c r="N11" s="378" t="s">
        <v>8653</v>
      </c>
    </row>
    <row r="12" spans="1:14">
      <c r="A12" s="380" t="s">
        <v>2738</v>
      </c>
      <c r="B12" s="381" t="s">
        <v>2764</v>
      </c>
      <c r="C12" s="381" t="s">
        <v>2765</v>
      </c>
      <c r="D12" s="382" t="s">
        <v>2766</v>
      </c>
      <c r="E12" s="382">
        <v>4</v>
      </c>
      <c r="F12" s="381" t="s">
        <v>2767</v>
      </c>
      <c r="G12" s="383" t="s">
        <v>2743</v>
      </c>
      <c r="H12" s="357" t="s">
        <v>5542</v>
      </c>
      <c r="I12" s="378" t="s">
        <v>8607</v>
      </c>
      <c r="J12" s="378" t="s">
        <v>7814</v>
      </c>
      <c r="K12" s="378" t="s">
        <v>7273</v>
      </c>
      <c r="L12" s="378" t="s">
        <v>8694</v>
      </c>
      <c r="M12" s="378" t="s">
        <v>5168</v>
      </c>
      <c r="N12" s="378" t="s">
        <v>8653</v>
      </c>
    </row>
    <row r="13" spans="1:14" ht="38">
      <c r="A13" s="384" t="s">
        <v>2738</v>
      </c>
      <c r="B13" s="385" t="s">
        <v>5580</v>
      </c>
      <c r="C13" s="385" t="s">
        <v>5581</v>
      </c>
      <c r="D13" s="386" t="s">
        <v>5582</v>
      </c>
      <c r="E13" s="386">
        <v>5</v>
      </c>
      <c r="F13" s="385" t="s">
        <v>5583</v>
      </c>
      <c r="G13" s="387" t="s">
        <v>2743</v>
      </c>
      <c r="H13" s="388" t="s">
        <v>5584</v>
      </c>
      <c r="I13" s="378" t="s">
        <v>8607</v>
      </c>
      <c r="J13" s="378" t="s">
        <v>7262</v>
      </c>
      <c r="K13" s="378" t="s">
        <v>7262</v>
      </c>
      <c r="L13" s="378" t="s">
        <v>8691</v>
      </c>
      <c r="M13" s="378" t="s">
        <v>8691</v>
      </c>
      <c r="N13" s="378" t="s">
        <v>8653</v>
      </c>
    </row>
    <row r="14" spans="1:14" ht="38">
      <c r="A14" s="384" t="s">
        <v>2738</v>
      </c>
      <c r="B14" s="385" t="s">
        <v>5585</v>
      </c>
      <c r="C14" s="385" t="s">
        <v>5586</v>
      </c>
      <c r="D14" s="386" t="s">
        <v>5587</v>
      </c>
      <c r="E14" s="386">
        <v>4</v>
      </c>
      <c r="F14" s="385" t="s">
        <v>5588</v>
      </c>
      <c r="G14" s="387" t="s">
        <v>2743</v>
      </c>
      <c r="H14" s="388" t="s">
        <v>5589</v>
      </c>
      <c r="I14" s="378" t="s">
        <v>8607</v>
      </c>
      <c r="J14" s="378" t="s">
        <v>7262</v>
      </c>
      <c r="K14" s="378" t="s">
        <v>7262</v>
      </c>
      <c r="L14" s="378" t="s">
        <v>8691</v>
      </c>
      <c r="M14" s="378" t="s">
        <v>8691</v>
      </c>
      <c r="N14" s="378" t="s">
        <v>8653</v>
      </c>
    </row>
    <row r="15" spans="1:14" ht="38">
      <c r="A15" s="380" t="s">
        <v>2768</v>
      </c>
      <c r="B15" s="381" t="s">
        <v>2769</v>
      </c>
      <c r="C15" s="381" t="s">
        <v>2770</v>
      </c>
      <c r="D15" s="382" t="s">
        <v>2771</v>
      </c>
      <c r="E15" s="382">
        <v>12</v>
      </c>
      <c r="F15" s="381" t="s">
        <v>2772</v>
      </c>
      <c r="G15" s="383" t="s">
        <v>2743</v>
      </c>
      <c r="H15" s="357" t="s">
        <v>5543</v>
      </c>
      <c r="I15" s="378" t="s">
        <v>8607</v>
      </c>
      <c r="J15" s="378" t="s">
        <v>7785</v>
      </c>
      <c r="K15" s="378" t="s">
        <v>7277</v>
      </c>
      <c r="L15" s="378" t="s">
        <v>8691</v>
      </c>
      <c r="M15" s="378" t="s">
        <v>8691</v>
      </c>
      <c r="N15" s="378" t="s">
        <v>8652</v>
      </c>
    </row>
    <row r="16" spans="1:14" ht="38">
      <c r="A16" s="380" t="s">
        <v>2768</v>
      </c>
      <c r="B16" s="381" t="s">
        <v>2773</v>
      </c>
      <c r="C16" s="381" t="s">
        <v>2774</v>
      </c>
      <c r="D16" s="382" t="s">
        <v>2775</v>
      </c>
      <c r="E16" s="382">
        <v>10</v>
      </c>
      <c r="F16" s="381" t="s">
        <v>2776</v>
      </c>
      <c r="G16" s="383" t="s">
        <v>2743</v>
      </c>
      <c r="H16" s="357" t="s">
        <v>5544</v>
      </c>
      <c r="I16" s="378" t="s">
        <v>8607</v>
      </c>
      <c r="J16" s="378" t="s">
        <v>7788</v>
      </c>
      <c r="K16" s="378" t="s">
        <v>7274</v>
      </c>
      <c r="L16" s="378" t="s">
        <v>8691</v>
      </c>
      <c r="M16" s="378" t="s">
        <v>8691</v>
      </c>
      <c r="N16" s="378" t="s">
        <v>8653</v>
      </c>
    </row>
    <row r="17" spans="1:14">
      <c r="A17" s="380" t="s">
        <v>2768</v>
      </c>
      <c r="B17" s="381" t="s">
        <v>2777</v>
      </c>
      <c r="C17" s="381" t="s">
        <v>2778</v>
      </c>
      <c r="D17" s="382" t="s">
        <v>2779</v>
      </c>
      <c r="E17" s="382">
        <v>12</v>
      </c>
      <c r="F17" s="381" t="s">
        <v>2780</v>
      </c>
      <c r="G17" s="383" t="s">
        <v>2743</v>
      </c>
      <c r="H17" s="357" t="s">
        <v>5545</v>
      </c>
      <c r="I17" s="378" t="s">
        <v>8607</v>
      </c>
      <c r="J17" s="378" t="s">
        <v>7795</v>
      </c>
      <c r="K17" s="378" t="s">
        <v>7295</v>
      </c>
      <c r="L17" s="378" t="s">
        <v>8691</v>
      </c>
      <c r="M17" s="378" t="s">
        <v>5168</v>
      </c>
      <c r="N17" s="378" t="s">
        <v>8653</v>
      </c>
    </row>
    <row r="18" spans="1:14" ht="38">
      <c r="A18" s="380" t="s">
        <v>2768</v>
      </c>
      <c r="B18" s="381" t="s">
        <v>2781</v>
      </c>
      <c r="C18" s="381" t="s">
        <v>2782</v>
      </c>
      <c r="D18" s="382" t="s">
        <v>2783</v>
      </c>
      <c r="E18" s="382">
        <v>10</v>
      </c>
      <c r="F18" s="381" t="s">
        <v>2784</v>
      </c>
      <c r="G18" s="383" t="s">
        <v>2743</v>
      </c>
      <c r="H18" s="357" t="s">
        <v>5546</v>
      </c>
      <c r="I18" s="378" t="s">
        <v>8607</v>
      </c>
      <c r="J18" s="378" t="s">
        <v>7798</v>
      </c>
      <c r="K18" s="378" t="s">
        <v>7304</v>
      </c>
      <c r="L18" s="378" t="s">
        <v>8691</v>
      </c>
      <c r="M18" s="378" t="s">
        <v>5168</v>
      </c>
      <c r="N18" s="378" t="s">
        <v>8653</v>
      </c>
    </row>
    <row r="19" spans="1:14">
      <c r="A19" s="380" t="s">
        <v>2768</v>
      </c>
      <c r="B19" s="381" t="s">
        <v>2785</v>
      </c>
      <c r="C19" s="381" t="s">
        <v>2786</v>
      </c>
      <c r="D19" s="382" t="s">
        <v>2787</v>
      </c>
      <c r="E19" s="382">
        <v>12</v>
      </c>
      <c r="F19" s="381" t="s">
        <v>2731</v>
      </c>
      <c r="G19" s="383" t="s">
        <v>2743</v>
      </c>
      <c r="H19" s="357" t="s">
        <v>5547</v>
      </c>
      <c r="I19" s="378" t="s">
        <v>8607</v>
      </c>
      <c r="J19" s="378" t="s">
        <v>7817</v>
      </c>
      <c r="K19" s="378" t="s">
        <v>7818</v>
      </c>
      <c r="L19" s="378" t="s">
        <v>8691</v>
      </c>
      <c r="M19" s="378" t="s">
        <v>5168</v>
      </c>
      <c r="N19" s="378" t="s">
        <v>8653</v>
      </c>
    </row>
    <row r="20" spans="1:14">
      <c r="A20" s="380" t="s">
        <v>2768</v>
      </c>
      <c r="B20" s="381" t="s">
        <v>2788</v>
      </c>
      <c r="C20" s="381" t="s">
        <v>2789</v>
      </c>
      <c r="D20" s="382" t="s">
        <v>2790</v>
      </c>
      <c r="E20" s="382">
        <v>8</v>
      </c>
      <c r="F20" s="381" t="s">
        <v>2732</v>
      </c>
      <c r="G20" s="383" t="s">
        <v>2743</v>
      </c>
      <c r="H20" s="357" t="s">
        <v>5548</v>
      </c>
      <c r="I20" s="378" t="s">
        <v>8607</v>
      </c>
      <c r="J20" s="378" t="s">
        <v>7815</v>
      </c>
      <c r="K20" s="378" t="s">
        <v>7327</v>
      </c>
      <c r="L20" s="378" t="s">
        <v>5168</v>
      </c>
      <c r="M20" s="378" t="s">
        <v>5168</v>
      </c>
      <c r="N20" s="378" t="s">
        <v>8653</v>
      </c>
    </row>
    <row r="21" spans="1:14">
      <c r="A21" s="380" t="s">
        <v>2768</v>
      </c>
      <c r="B21" s="381" t="s">
        <v>2791</v>
      </c>
      <c r="C21" s="381" t="s">
        <v>2792</v>
      </c>
      <c r="D21" s="382" t="s">
        <v>2793</v>
      </c>
      <c r="E21" s="382">
        <v>12</v>
      </c>
      <c r="F21" s="381" t="s">
        <v>2794</v>
      </c>
      <c r="G21" s="383" t="s">
        <v>2743</v>
      </c>
      <c r="H21" s="357" t="s">
        <v>5549</v>
      </c>
      <c r="I21" s="378" t="s">
        <v>8607</v>
      </c>
      <c r="J21" s="378" t="s">
        <v>7801</v>
      </c>
      <c r="K21" s="378" t="s">
        <v>7266</v>
      </c>
      <c r="L21" s="378" t="s">
        <v>8694</v>
      </c>
      <c r="M21" s="378" t="s">
        <v>5168</v>
      </c>
      <c r="N21" s="378" t="s">
        <v>8653</v>
      </c>
    </row>
    <row r="22" spans="1:14">
      <c r="A22" s="380" t="s">
        <v>2768</v>
      </c>
      <c r="B22" s="381" t="s">
        <v>2795</v>
      </c>
      <c r="C22" s="381" t="s">
        <v>2796</v>
      </c>
      <c r="D22" s="382" t="s">
        <v>2797</v>
      </c>
      <c r="E22" s="382">
        <v>6</v>
      </c>
      <c r="F22" s="381" t="s">
        <v>2798</v>
      </c>
      <c r="G22" s="383" t="s">
        <v>2743</v>
      </c>
      <c r="H22" s="357" t="s">
        <v>5550</v>
      </c>
      <c r="I22" s="378" t="s">
        <v>8607</v>
      </c>
      <c r="J22" s="378" t="s">
        <v>7786</v>
      </c>
      <c r="K22" s="378" t="s">
        <v>7278</v>
      </c>
      <c r="L22" s="378" t="s">
        <v>8691</v>
      </c>
      <c r="M22" s="378" t="s">
        <v>5168</v>
      </c>
      <c r="N22" s="378" t="s">
        <v>8653</v>
      </c>
    </row>
    <row r="23" spans="1:14">
      <c r="A23" s="380" t="s">
        <v>2768</v>
      </c>
      <c r="B23" s="381" t="s">
        <v>2799</v>
      </c>
      <c r="C23" s="381" t="s">
        <v>2800</v>
      </c>
      <c r="D23" s="382" t="s">
        <v>2801</v>
      </c>
      <c r="E23" s="382">
        <v>5</v>
      </c>
      <c r="F23" s="381" t="s">
        <v>2802</v>
      </c>
      <c r="G23" s="383" t="s">
        <v>2743</v>
      </c>
      <c r="H23" s="357" t="s">
        <v>5551</v>
      </c>
      <c r="I23" s="378" t="s">
        <v>8607</v>
      </c>
      <c r="J23" s="378" t="s">
        <v>7816</v>
      </c>
      <c r="K23" s="378" t="s">
        <v>7265</v>
      </c>
      <c r="L23" s="378" t="s">
        <v>8694</v>
      </c>
      <c r="M23" s="378" t="s">
        <v>5168</v>
      </c>
      <c r="N23" s="378" t="s">
        <v>8653</v>
      </c>
    </row>
    <row r="24" spans="1:14">
      <c r="A24" s="380" t="s">
        <v>2803</v>
      </c>
      <c r="B24" s="381" t="s">
        <v>2804</v>
      </c>
      <c r="C24" s="381" t="s">
        <v>2805</v>
      </c>
      <c r="D24" s="382" t="s">
        <v>2806</v>
      </c>
      <c r="E24" s="382">
        <v>10</v>
      </c>
      <c r="F24" s="381" t="s">
        <v>2807</v>
      </c>
      <c r="G24" s="383" t="s">
        <v>1522</v>
      </c>
      <c r="H24" s="357" t="s">
        <v>5552</v>
      </c>
      <c r="I24" s="378" t="s">
        <v>8607</v>
      </c>
      <c r="J24" s="378" t="s">
        <v>7787</v>
      </c>
      <c r="K24" s="378" t="s">
        <v>7270</v>
      </c>
      <c r="L24" s="378" t="s">
        <v>8691</v>
      </c>
      <c r="M24" s="378" t="s">
        <v>8691</v>
      </c>
      <c r="N24" s="378" t="s">
        <v>8653</v>
      </c>
    </row>
    <row r="25" spans="1:14">
      <c r="A25" s="380" t="s">
        <v>2803</v>
      </c>
      <c r="B25" s="381" t="s">
        <v>2808</v>
      </c>
      <c r="C25" s="381" t="s">
        <v>2809</v>
      </c>
      <c r="D25" s="382" t="s">
        <v>2810</v>
      </c>
      <c r="E25" s="382">
        <v>8</v>
      </c>
      <c r="F25" s="381" t="s">
        <v>2811</v>
      </c>
      <c r="G25" s="383" t="s">
        <v>1522</v>
      </c>
      <c r="H25" s="357" t="s">
        <v>5553</v>
      </c>
      <c r="I25" s="378" t="s">
        <v>8607</v>
      </c>
      <c r="J25" s="378" t="s">
        <v>7787</v>
      </c>
      <c r="K25" s="378" t="s">
        <v>7270</v>
      </c>
      <c r="L25" s="378" t="s">
        <v>8691</v>
      </c>
      <c r="M25" s="378" t="s">
        <v>8691</v>
      </c>
      <c r="N25" s="378" t="s">
        <v>8653</v>
      </c>
    </row>
    <row r="26" spans="1:14">
      <c r="A26" s="380" t="s">
        <v>2803</v>
      </c>
      <c r="B26" s="381" t="s">
        <v>2812</v>
      </c>
      <c r="C26" s="381" t="s">
        <v>2813</v>
      </c>
      <c r="D26" s="382" t="s">
        <v>2814</v>
      </c>
      <c r="E26" s="382">
        <v>12</v>
      </c>
      <c r="F26" s="381" t="s">
        <v>2815</v>
      </c>
      <c r="G26" s="383" t="s">
        <v>1522</v>
      </c>
      <c r="H26" s="357" t="s">
        <v>5554</v>
      </c>
      <c r="I26" s="378" t="s">
        <v>8607</v>
      </c>
      <c r="J26" s="378" t="s">
        <v>7823</v>
      </c>
      <c r="K26" s="378" t="s">
        <v>7357</v>
      </c>
      <c r="L26" s="378" t="s">
        <v>8691</v>
      </c>
      <c r="M26" s="378" t="s">
        <v>5168</v>
      </c>
      <c r="N26" s="378" t="s">
        <v>8653</v>
      </c>
    </row>
    <row r="27" spans="1:14">
      <c r="A27" s="380" t="s">
        <v>2803</v>
      </c>
      <c r="B27" s="381" t="s">
        <v>2816</v>
      </c>
      <c r="C27" s="381" t="s">
        <v>2817</v>
      </c>
      <c r="D27" s="382" t="s">
        <v>2818</v>
      </c>
      <c r="E27" s="382">
        <v>8</v>
      </c>
      <c r="F27" s="381" t="s">
        <v>2819</v>
      </c>
      <c r="G27" s="383" t="s">
        <v>1522</v>
      </c>
      <c r="H27" s="357" t="s">
        <v>5555</v>
      </c>
      <c r="I27" s="378" t="s">
        <v>8607</v>
      </c>
      <c r="J27" s="378" t="s">
        <v>7796</v>
      </c>
      <c r="K27" s="378" t="s">
        <v>7297</v>
      </c>
      <c r="L27" s="378" t="s">
        <v>8691</v>
      </c>
      <c r="M27" s="378" t="s">
        <v>5168</v>
      </c>
      <c r="N27" s="378" t="s">
        <v>8653</v>
      </c>
    </row>
    <row r="28" spans="1:14" ht="38">
      <c r="A28" s="380" t="s">
        <v>2820</v>
      </c>
      <c r="B28" s="381" t="s">
        <v>2821</v>
      </c>
      <c r="C28" s="381" t="s">
        <v>2822</v>
      </c>
      <c r="D28" s="382" t="s">
        <v>2823</v>
      </c>
      <c r="E28" s="382">
        <v>18</v>
      </c>
      <c r="F28" s="381" t="s">
        <v>5579</v>
      </c>
      <c r="G28" s="383" t="s">
        <v>2743</v>
      </c>
      <c r="H28" s="357" t="s">
        <v>5556</v>
      </c>
      <c r="I28" s="378" t="s">
        <v>8607</v>
      </c>
      <c r="J28" s="378" t="s">
        <v>7262</v>
      </c>
      <c r="K28" s="378" t="s">
        <v>7262</v>
      </c>
      <c r="L28" s="378" t="s">
        <v>8691</v>
      </c>
      <c r="M28" s="378" t="s">
        <v>8691</v>
      </c>
      <c r="N28" s="378" t="s">
        <v>8653</v>
      </c>
    </row>
    <row r="29" spans="1:14">
      <c r="A29" s="380" t="s">
        <v>2820</v>
      </c>
      <c r="B29" s="381" t="s">
        <v>2824</v>
      </c>
      <c r="C29" s="381" t="s">
        <v>2825</v>
      </c>
      <c r="D29" s="382" t="s">
        <v>2826</v>
      </c>
      <c r="E29" s="382">
        <v>14</v>
      </c>
      <c r="F29" s="381" t="s">
        <v>5838</v>
      </c>
      <c r="G29" s="383" t="s">
        <v>2743</v>
      </c>
      <c r="H29" s="357" t="s">
        <v>5557</v>
      </c>
      <c r="I29" s="378" t="s">
        <v>8607</v>
      </c>
      <c r="J29" s="378" t="s">
        <v>7786</v>
      </c>
      <c r="K29" s="378" t="s">
        <v>7278</v>
      </c>
      <c r="L29" s="378" t="s">
        <v>8691</v>
      </c>
      <c r="M29" s="378" t="s">
        <v>5168</v>
      </c>
      <c r="N29" s="378" t="s">
        <v>8653</v>
      </c>
    </row>
    <row r="30" spans="1:14">
      <c r="A30" s="380" t="s">
        <v>2820</v>
      </c>
      <c r="B30" s="381" t="s">
        <v>2827</v>
      </c>
      <c r="C30" s="381" t="s">
        <v>2828</v>
      </c>
      <c r="D30" s="382" t="s">
        <v>2829</v>
      </c>
      <c r="E30" s="382">
        <v>12</v>
      </c>
      <c r="F30" s="381" t="s">
        <v>5839</v>
      </c>
      <c r="G30" s="383" t="s">
        <v>2743</v>
      </c>
      <c r="H30" s="357" t="s">
        <v>5558</v>
      </c>
      <c r="I30" s="378" t="s">
        <v>8607</v>
      </c>
      <c r="J30" s="378" t="s">
        <v>7796</v>
      </c>
      <c r="K30" s="378" t="s">
        <v>7297</v>
      </c>
      <c r="L30" s="378" t="s">
        <v>8691</v>
      </c>
      <c r="M30" s="378" t="s">
        <v>5168</v>
      </c>
      <c r="N30" s="378" t="s">
        <v>8653</v>
      </c>
    </row>
    <row r="31" spans="1:14">
      <c r="A31" s="380" t="s">
        <v>2820</v>
      </c>
      <c r="B31" s="381" t="s">
        <v>2830</v>
      </c>
      <c r="C31" s="381" t="s">
        <v>2831</v>
      </c>
      <c r="D31" s="382" t="s">
        <v>2832</v>
      </c>
      <c r="E31" s="382">
        <v>8</v>
      </c>
      <c r="F31" s="381" t="s">
        <v>5840</v>
      </c>
      <c r="G31" s="383" t="s">
        <v>2743</v>
      </c>
      <c r="H31" s="357" t="s">
        <v>5559</v>
      </c>
      <c r="I31" s="378" t="s">
        <v>8607</v>
      </c>
      <c r="J31" s="378" t="s">
        <v>7262</v>
      </c>
      <c r="K31" s="378" t="s">
        <v>7262</v>
      </c>
      <c r="L31" s="378" t="s">
        <v>8691</v>
      </c>
      <c r="M31" s="378" t="s">
        <v>8691</v>
      </c>
      <c r="N31" s="378" t="s">
        <v>8653</v>
      </c>
    </row>
    <row r="32" spans="1:14">
      <c r="A32" s="380" t="s">
        <v>2820</v>
      </c>
      <c r="B32" s="381" t="s">
        <v>2833</v>
      </c>
      <c r="C32" s="381" t="s">
        <v>2834</v>
      </c>
      <c r="D32" s="382" t="s">
        <v>2835</v>
      </c>
      <c r="E32" s="382">
        <v>6</v>
      </c>
      <c r="F32" s="381" t="s">
        <v>5841</v>
      </c>
      <c r="G32" s="383" t="s">
        <v>2743</v>
      </c>
      <c r="H32" s="357" t="s">
        <v>5560</v>
      </c>
      <c r="I32" s="378" t="s">
        <v>8607</v>
      </c>
      <c r="J32" s="378" t="s">
        <v>7262</v>
      </c>
      <c r="K32" s="378" t="s">
        <v>7262</v>
      </c>
      <c r="L32" s="378" t="s">
        <v>8691</v>
      </c>
      <c r="M32" s="378" t="s">
        <v>8691</v>
      </c>
      <c r="N32" s="378" t="s">
        <v>8653</v>
      </c>
    </row>
    <row r="33" spans="1:14">
      <c r="A33" s="380" t="s">
        <v>2820</v>
      </c>
      <c r="B33" s="381" t="s">
        <v>2836</v>
      </c>
      <c r="C33" s="381" t="s">
        <v>2837</v>
      </c>
      <c r="D33" s="382" t="s">
        <v>2838</v>
      </c>
      <c r="E33" s="382">
        <v>6</v>
      </c>
      <c r="F33" s="381" t="s">
        <v>5842</v>
      </c>
      <c r="G33" s="383" t="s">
        <v>2743</v>
      </c>
      <c r="H33" s="357" t="s">
        <v>5561</v>
      </c>
      <c r="I33" s="378" t="s">
        <v>8607</v>
      </c>
      <c r="J33" s="378" t="s">
        <v>7811</v>
      </c>
      <c r="K33" s="378" t="s">
        <v>7324</v>
      </c>
      <c r="L33" s="378" t="s">
        <v>8694</v>
      </c>
      <c r="M33" s="378" t="s">
        <v>8691</v>
      </c>
      <c r="N33" s="378" t="s">
        <v>8653</v>
      </c>
    </row>
    <row r="34" spans="1:14">
      <c r="A34" s="380" t="s">
        <v>2820</v>
      </c>
      <c r="B34" s="381" t="s">
        <v>7468</v>
      </c>
      <c r="C34" s="381" t="s">
        <v>7469</v>
      </c>
      <c r="D34" s="382" t="s">
        <v>7470</v>
      </c>
      <c r="E34" s="382">
        <v>2</v>
      </c>
      <c r="F34" s="381" t="s">
        <v>7471</v>
      </c>
      <c r="G34" s="383" t="s">
        <v>2743</v>
      </c>
      <c r="H34" s="357" t="s">
        <v>7472</v>
      </c>
      <c r="I34" s="378" t="s">
        <v>8607</v>
      </c>
      <c r="J34" s="378" t="s">
        <v>7785</v>
      </c>
      <c r="K34" s="378" t="s">
        <v>7277</v>
      </c>
      <c r="L34" s="378" t="s">
        <v>8691</v>
      </c>
      <c r="M34" s="378" t="s">
        <v>8691</v>
      </c>
      <c r="N34" s="378" t="s">
        <v>8652</v>
      </c>
    </row>
    <row r="35" spans="1:14">
      <c r="A35" s="380" t="s">
        <v>2820</v>
      </c>
      <c r="B35" s="381" t="s">
        <v>7473</v>
      </c>
      <c r="C35" s="381" t="s">
        <v>7474</v>
      </c>
      <c r="D35" s="382" t="s">
        <v>2826</v>
      </c>
      <c r="E35" s="382">
        <v>2</v>
      </c>
      <c r="F35" s="381" t="s">
        <v>7475</v>
      </c>
      <c r="G35" s="383" t="s">
        <v>2743</v>
      </c>
      <c r="H35" s="357" t="s">
        <v>7476</v>
      </c>
      <c r="I35" s="378" t="s">
        <v>8607</v>
      </c>
      <c r="J35" s="378" t="s">
        <v>7810</v>
      </c>
      <c r="K35" s="378" t="s">
        <v>7322</v>
      </c>
      <c r="L35" s="378" t="s">
        <v>8691</v>
      </c>
      <c r="M35" s="378" t="s">
        <v>5168</v>
      </c>
      <c r="N35" s="378" t="s">
        <v>8653</v>
      </c>
    </row>
    <row r="36" spans="1:14">
      <c r="A36" s="380" t="s">
        <v>2820</v>
      </c>
      <c r="B36" s="381" t="s">
        <v>7477</v>
      </c>
      <c r="C36" s="381" t="s">
        <v>7478</v>
      </c>
      <c r="D36" s="382" t="s">
        <v>2733</v>
      </c>
      <c r="E36" s="382">
        <v>1</v>
      </c>
      <c r="F36" s="381" t="s">
        <v>7479</v>
      </c>
      <c r="G36" s="383" t="s">
        <v>2743</v>
      </c>
      <c r="H36" s="357" t="s">
        <v>7480</v>
      </c>
      <c r="I36" s="378" t="s">
        <v>8607</v>
      </c>
      <c r="J36" s="378" t="s">
        <v>2733</v>
      </c>
      <c r="K36" s="378" t="s">
        <v>7262</v>
      </c>
      <c r="L36" s="378" t="s">
        <v>8691</v>
      </c>
      <c r="M36" s="378" t="s">
        <v>8691</v>
      </c>
      <c r="N36" s="378" t="s">
        <v>8653</v>
      </c>
    </row>
    <row r="37" spans="1:14">
      <c r="A37" s="380" t="s">
        <v>2839</v>
      </c>
      <c r="B37" s="381" t="s">
        <v>2840</v>
      </c>
      <c r="C37" s="381" t="s">
        <v>2841</v>
      </c>
      <c r="D37" s="382" t="s">
        <v>2842</v>
      </c>
      <c r="E37" s="382">
        <v>12</v>
      </c>
      <c r="F37" s="381" t="s">
        <v>5843</v>
      </c>
      <c r="G37" s="383" t="s">
        <v>2743</v>
      </c>
      <c r="H37" s="357" t="s">
        <v>5562</v>
      </c>
      <c r="I37" s="378" t="s">
        <v>8715</v>
      </c>
      <c r="J37" s="378" t="s">
        <v>7262</v>
      </c>
      <c r="K37" s="378" t="s">
        <v>7262</v>
      </c>
      <c r="L37" s="378" t="s">
        <v>8691</v>
      </c>
      <c r="M37" s="378" t="s">
        <v>8691</v>
      </c>
      <c r="N37" s="378" t="s">
        <v>8653</v>
      </c>
    </row>
    <row r="38" spans="1:14">
      <c r="A38" s="380" t="s">
        <v>2839</v>
      </c>
      <c r="B38" s="381" t="s">
        <v>2843</v>
      </c>
      <c r="C38" s="381" t="s">
        <v>2844</v>
      </c>
      <c r="D38" s="382" t="s">
        <v>2845</v>
      </c>
      <c r="E38" s="382">
        <v>8</v>
      </c>
      <c r="F38" s="381" t="s">
        <v>5844</v>
      </c>
      <c r="G38" s="383" t="s">
        <v>2743</v>
      </c>
      <c r="H38" s="357" t="s">
        <v>5563</v>
      </c>
      <c r="I38" s="378" t="s">
        <v>8607</v>
      </c>
      <c r="J38" s="378" t="s">
        <v>7262</v>
      </c>
      <c r="K38" s="378" t="s">
        <v>7262</v>
      </c>
      <c r="L38" s="378" t="s">
        <v>8691</v>
      </c>
      <c r="M38" s="378" t="s">
        <v>8691</v>
      </c>
      <c r="N38" s="378" t="s">
        <v>8653</v>
      </c>
    </row>
    <row r="39" spans="1:14">
      <c r="A39" s="380" t="s">
        <v>2839</v>
      </c>
      <c r="B39" s="381" t="s">
        <v>2846</v>
      </c>
      <c r="C39" s="381" t="s">
        <v>2847</v>
      </c>
      <c r="D39" s="382" t="s">
        <v>2848</v>
      </c>
      <c r="E39" s="382">
        <v>8</v>
      </c>
      <c r="F39" s="381" t="s">
        <v>5845</v>
      </c>
      <c r="G39" s="383" t="s">
        <v>2743</v>
      </c>
      <c r="H39" s="357" t="s">
        <v>5564</v>
      </c>
      <c r="I39" s="378" t="s">
        <v>8607</v>
      </c>
      <c r="J39" s="378" t="s">
        <v>7262</v>
      </c>
      <c r="K39" s="378" t="s">
        <v>7262</v>
      </c>
      <c r="L39" s="378" t="s">
        <v>8691</v>
      </c>
      <c r="M39" s="378" t="s">
        <v>8691</v>
      </c>
      <c r="N39" s="378" t="s">
        <v>8653</v>
      </c>
    </row>
    <row r="40" spans="1:14">
      <c r="A40" s="380" t="s">
        <v>2839</v>
      </c>
      <c r="B40" s="381" t="s">
        <v>2849</v>
      </c>
      <c r="C40" s="381" t="s">
        <v>2850</v>
      </c>
      <c r="D40" s="382" t="s">
        <v>2851</v>
      </c>
      <c r="E40" s="382">
        <v>6</v>
      </c>
      <c r="F40" s="381" t="s">
        <v>5846</v>
      </c>
      <c r="G40" s="383" t="s">
        <v>2743</v>
      </c>
      <c r="H40" s="357" t="s">
        <v>5565</v>
      </c>
      <c r="I40" s="378" t="s">
        <v>8714</v>
      </c>
      <c r="J40" s="378" t="s">
        <v>7831</v>
      </c>
      <c r="K40" s="378" t="s">
        <v>7340</v>
      </c>
      <c r="L40" s="378" t="s">
        <v>8691</v>
      </c>
      <c r="M40" s="378" t="s">
        <v>5168</v>
      </c>
      <c r="N40" s="378" t="s">
        <v>8651</v>
      </c>
    </row>
    <row r="41" spans="1:14">
      <c r="A41" s="380" t="s">
        <v>2839</v>
      </c>
      <c r="B41" s="381" t="s">
        <v>2852</v>
      </c>
      <c r="C41" s="381" t="s">
        <v>2853</v>
      </c>
      <c r="D41" s="382" t="s">
        <v>2854</v>
      </c>
      <c r="E41" s="382">
        <v>6</v>
      </c>
      <c r="F41" s="381" t="s">
        <v>5847</v>
      </c>
      <c r="G41" s="383" t="s">
        <v>2743</v>
      </c>
      <c r="H41" s="357" t="s">
        <v>5566</v>
      </c>
      <c r="I41" s="378" t="s">
        <v>8607</v>
      </c>
      <c r="J41" s="378" t="s">
        <v>7814</v>
      </c>
      <c r="K41" s="378" t="s">
        <v>7273</v>
      </c>
      <c r="L41" s="378" t="s">
        <v>8694</v>
      </c>
      <c r="M41" s="378" t="s">
        <v>5168</v>
      </c>
      <c r="N41" s="378" t="s">
        <v>8653</v>
      </c>
    </row>
    <row r="42" spans="1:14">
      <c r="A42" s="380" t="s">
        <v>2855</v>
      </c>
      <c r="B42" s="381" t="s">
        <v>2856</v>
      </c>
      <c r="C42" s="381" t="s">
        <v>2857</v>
      </c>
      <c r="D42" s="382" t="s">
        <v>2858</v>
      </c>
      <c r="E42" s="382">
        <v>15</v>
      </c>
      <c r="F42" s="381" t="s">
        <v>2859</v>
      </c>
      <c r="G42" s="383" t="s">
        <v>1522</v>
      </c>
      <c r="H42" s="357" t="s">
        <v>5567</v>
      </c>
      <c r="I42" s="378" t="s">
        <v>8607</v>
      </c>
      <c r="J42" s="378" t="s">
        <v>7262</v>
      </c>
      <c r="K42" s="378" t="s">
        <v>7262</v>
      </c>
      <c r="L42" s="378" t="s">
        <v>8691</v>
      </c>
      <c r="M42" s="378" t="s">
        <v>8691</v>
      </c>
      <c r="N42" s="378" t="s">
        <v>8653</v>
      </c>
    </row>
    <row r="43" spans="1:14">
      <c r="A43" s="380" t="s">
        <v>2855</v>
      </c>
      <c r="B43" s="381" t="s">
        <v>2860</v>
      </c>
      <c r="C43" s="381" t="s">
        <v>2861</v>
      </c>
      <c r="D43" s="382" t="s">
        <v>2862</v>
      </c>
      <c r="E43" s="382">
        <v>8</v>
      </c>
      <c r="F43" s="381" t="s">
        <v>2863</v>
      </c>
      <c r="G43" s="383" t="s">
        <v>2743</v>
      </c>
      <c r="H43" s="357" t="s">
        <v>5568</v>
      </c>
      <c r="I43" s="378" t="s">
        <v>8607</v>
      </c>
      <c r="J43" s="378" t="s">
        <v>7790</v>
      </c>
      <c r="K43" s="378" t="s">
        <v>7294</v>
      </c>
      <c r="L43" s="378" t="s">
        <v>8691</v>
      </c>
      <c r="M43" s="378" t="s">
        <v>8691</v>
      </c>
      <c r="N43" s="378" t="s">
        <v>8649</v>
      </c>
    </row>
    <row r="44" spans="1:14">
      <c r="A44" s="380" t="s">
        <v>2855</v>
      </c>
      <c r="B44" s="381" t="s">
        <v>2864</v>
      </c>
      <c r="C44" s="381" t="s">
        <v>2865</v>
      </c>
      <c r="D44" s="382" t="s">
        <v>2866</v>
      </c>
      <c r="E44" s="382">
        <v>6</v>
      </c>
      <c r="F44" s="381" t="s">
        <v>2867</v>
      </c>
      <c r="G44" s="383" t="s">
        <v>2743</v>
      </c>
      <c r="H44" s="357" t="s">
        <v>5569</v>
      </c>
      <c r="I44" s="378" t="s">
        <v>8607</v>
      </c>
      <c r="J44" s="378" t="s">
        <v>7832</v>
      </c>
      <c r="K44" s="378" t="s">
        <v>7342</v>
      </c>
      <c r="L44" s="378" t="s">
        <v>8691</v>
      </c>
      <c r="M44" s="378" t="s">
        <v>8691</v>
      </c>
      <c r="N44" s="378" t="s">
        <v>8651</v>
      </c>
    </row>
    <row r="45" spans="1:14">
      <c r="A45" s="380" t="s">
        <v>2855</v>
      </c>
      <c r="B45" s="381" t="s">
        <v>2868</v>
      </c>
      <c r="C45" s="381" t="s">
        <v>2869</v>
      </c>
      <c r="D45" s="382" t="s">
        <v>2870</v>
      </c>
      <c r="E45" s="382">
        <v>5</v>
      </c>
      <c r="F45" s="381" t="s">
        <v>2871</v>
      </c>
      <c r="G45" s="383" t="s">
        <v>2743</v>
      </c>
      <c r="H45" s="357" t="s">
        <v>5570</v>
      </c>
      <c r="I45" s="378" t="s">
        <v>8607</v>
      </c>
      <c r="J45" s="378" t="s">
        <v>7262</v>
      </c>
      <c r="K45" s="378" t="s">
        <v>7262</v>
      </c>
      <c r="L45" s="378" t="s">
        <v>8691</v>
      </c>
      <c r="M45" s="378" t="s">
        <v>8691</v>
      </c>
      <c r="N45" s="378" t="s">
        <v>8653</v>
      </c>
    </row>
    <row r="46" spans="1:14">
      <c r="A46" s="380" t="s">
        <v>2855</v>
      </c>
      <c r="B46" s="381" t="s">
        <v>2872</v>
      </c>
      <c r="C46" s="381" t="s">
        <v>2873</v>
      </c>
      <c r="D46" s="382" t="s">
        <v>2874</v>
      </c>
      <c r="E46" s="382">
        <v>4</v>
      </c>
      <c r="F46" s="381" t="s">
        <v>2875</v>
      </c>
      <c r="G46" s="383" t="s">
        <v>2743</v>
      </c>
      <c r="H46" s="357" t="s">
        <v>5571</v>
      </c>
      <c r="I46" s="378" t="s">
        <v>8607</v>
      </c>
      <c r="J46" s="378" t="s">
        <v>7817</v>
      </c>
      <c r="K46" s="378" t="s">
        <v>7818</v>
      </c>
      <c r="L46" s="378" t="s">
        <v>8691</v>
      </c>
      <c r="M46" s="378" t="s">
        <v>5168</v>
      </c>
      <c r="N46" s="378" t="s">
        <v>8653</v>
      </c>
    </row>
    <row r="47" spans="1:14" ht="38">
      <c r="A47" s="384" t="s">
        <v>2855</v>
      </c>
      <c r="B47" s="385" t="s">
        <v>5590</v>
      </c>
      <c r="C47" s="385" t="s">
        <v>5591</v>
      </c>
      <c r="D47" s="386" t="s">
        <v>5592</v>
      </c>
      <c r="E47" s="386">
        <v>5</v>
      </c>
      <c r="F47" s="385" t="s">
        <v>5593</v>
      </c>
      <c r="G47" s="387" t="s">
        <v>2743</v>
      </c>
      <c r="H47" s="388" t="s">
        <v>5594</v>
      </c>
      <c r="I47" s="378" t="s">
        <v>8607</v>
      </c>
      <c r="J47" s="378" t="s">
        <v>7828</v>
      </c>
      <c r="K47" s="378" t="s">
        <v>7335</v>
      </c>
      <c r="L47" s="378" t="s">
        <v>8691</v>
      </c>
      <c r="M47" s="378" t="s">
        <v>5168</v>
      </c>
      <c r="N47" s="378" t="s">
        <v>8653</v>
      </c>
    </row>
    <row r="48" spans="1:14">
      <c r="A48" s="380" t="s">
        <v>2876</v>
      </c>
      <c r="B48" s="381" t="s">
        <v>2877</v>
      </c>
      <c r="C48" s="381" t="s">
        <v>2878</v>
      </c>
      <c r="D48" s="382" t="s">
        <v>2879</v>
      </c>
      <c r="E48" s="382">
        <v>10</v>
      </c>
      <c r="F48" s="381" t="s">
        <v>2880</v>
      </c>
      <c r="G48" s="383" t="s">
        <v>2743</v>
      </c>
      <c r="H48" s="357" t="s">
        <v>5572</v>
      </c>
      <c r="I48" s="378" t="s">
        <v>8607</v>
      </c>
      <c r="J48" s="378" t="s">
        <v>7828</v>
      </c>
      <c r="K48" s="378" t="s">
        <v>7335</v>
      </c>
      <c r="L48" s="378" t="s">
        <v>8691</v>
      </c>
      <c r="M48" s="378" t="s">
        <v>5168</v>
      </c>
      <c r="N48" s="378" t="s">
        <v>8653</v>
      </c>
    </row>
    <row r="49" spans="1:14">
      <c r="A49" s="380" t="s">
        <v>2876</v>
      </c>
      <c r="B49" s="381" t="s">
        <v>2881</v>
      </c>
      <c r="C49" s="381" t="s">
        <v>2882</v>
      </c>
      <c r="D49" s="382" t="s">
        <v>2883</v>
      </c>
      <c r="E49" s="382">
        <v>12</v>
      </c>
      <c r="F49" s="381" t="s">
        <v>2884</v>
      </c>
      <c r="G49" s="383" t="s">
        <v>2743</v>
      </c>
      <c r="H49" s="357" t="s">
        <v>5573</v>
      </c>
      <c r="I49" s="378" t="s">
        <v>8607</v>
      </c>
      <c r="J49" s="378" t="s">
        <v>7262</v>
      </c>
      <c r="K49" s="378" t="s">
        <v>7262</v>
      </c>
      <c r="L49" s="378" t="s">
        <v>8691</v>
      </c>
      <c r="M49" s="378" t="s">
        <v>8691</v>
      </c>
      <c r="N49" s="378" t="s">
        <v>8653</v>
      </c>
    </row>
    <row r="50" spans="1:14">
      <c r="A50" s="380" t="s">
        <v>2876</v>
      </c>
      <c r="B50" s="381" t="s">
        <v>2885</v>
      </c>
      <c r="C50" s="381" t="s">
        <v>2886</v>
      </c>
      <c r="D50" s="382" t="s">
        <v>2887</v>
      </c>
      <c r="E50" s="382">
        <v>8</v>
      </c>
      <c r="F50" s="381" t="s">
        <v>2888</v>
      </c>
      <c r="G50" s="383" t="s">
        <v>2743</v>
      </c>
      <c r="H50" s="357" t="s">
        <v>5574</v>
      </c>
      <c r="I50" s="378" t="s">
        <v>8607</v>
      </c>
      <c r="J50" s="378" t="s">
        <v>7942</v>
      </c>
      <c r="K50" s="378" t="s">
        <v>7358</v>
      </c>
      <c r="L50" s="378" t="s">
        <v>8691</v>
      </c>
      <c r="M50" s="378" t="s">
        <v>8691</v>
      </c>
      <c r="N50" s="378" t="s">
        <v>8653</v>
      </c>
    </row>
    <row r="51" spans="1:14">
      <c r="A51" s="380" t="s">
        <v>2876</v>
      </c>
      <c r="B51" s="381" t="s">
        <v>2889</v>
      </c>
      <c r="C51" s="381" t="s">
        <v>2890</v>
      </c>
      <c r="D51" s="382" t="s">
        <v>2891</v>
      </c>
      <c r="E51" s="382">
        <v>6</v>
      </c>
      <c r="F51" s="381" t="s">
        <v>2892</v>
      </c>
      <c r="G51" s="383" t="s">
        <v>2743</v>
      </c>
      <c r="H51" s="357" t="s">
        <v>5575</v>
      </c>
      <c r="I51" s="378" t="s">
        <v>8607</v>
      </c>
      <c r="J51" s="378" t="s">
        <v>7811</v>
      </c>
      <c r="K51" s="378" t="s">
        <v>7324</v>
      </c>
      <c r="L51" s="378" t="s">
        <v>8694</v>
      </c>
      <c r="M51" s="378" t="s">
        <v>8691</v>
      </c>
      <c r="N51" s="378" t="s">
        <v>8653</v>
      </c>
    </row>
    <row r="52" spans="1:14">
      <c r="A52" s="380" t="s">
        <v>2876</v>
      </c>
      <c r="B52" s="381" t="s">
        <v>7481</v>
      </c>
      <c r="C52" s="381" t="s">
        <v>7482</v>
      </c>
      <c r="D52" s="382" t="s">
        <v>7483</v>
      </c>
      <c r="E52" s="382">
        <v>3</v>
      </c>
      <c r="F52" s="381" t="s">
        <v>7484</v>
      </c>
      <c r="G52" s="383" t="s">
        <v>2743</v>
      </c>
      <c r="H52" s="357" t="s">
        <v>7485</v>
      </c>
      <c r="I52" s="378" t="s">
        <v>8607</v>
      </c>
      <c r="J52" s="378" t="s">
        <v>2733</v>
      </c>
      <c r="K52" s="378" t="s">
        <v>7262</v>
      </c>
      <c r="L52" s="378" t="s">
        <v>8691</v>
      </c>
      <c r="M52" s="378" t="s">
        <v>8691</v>
      </c>
      <c r="N52" s="378" t="s">
        <v>8653</v>
      </c>
    </row>
    <row r="53" spans="1:14">
      <c r="A53" s="380" t="s">
        <v>2893</v>
      </c>
      <c r="B53" s="381" t="s">
        <v>2894</v>
      </c>
      <c r="C53" s="381" t="s">
        <v>2895</v>
      </c>
      <c r="D53" s="382" t="s">
        <v>2896</v>
      </c>
      <c r="E53" s="382">
        <v>8</v>
      </c>
      <c r="F53" s="381" t="s">
        <v>2897</v>
      </c>
      <c r="G53" s="383" t="s">
        <v>2743</v>
      </c>
      <c r="H53" s="357" t="s">
        <v>5576</v>
      </c>
      <c r="I53" s="378" t="s">
        <v>8607</v>
      </c>
      <c r="J53" s="378" t="s">
        <v>7801</v>
      </c>
      <c r="K53" s="378" t="s">
        <v>7266</v>
      </c>
      <c r="L53" s="378" t="s">
        <v>8694</v>
      </c>
      <c r="M53" s="378" t="s">
        <v>5168</v>
      </c>
      <c r="N53" s="378" t="s">
        <v>8653</v>
      </c>
    </row>
    <row r="54" spans="1:14">
      <c r="A54" s="380" t="s">
        <v>2893</v>
      </c>
      <c r="B54" s="381" t="s">
        <v>2898</v>
      </c>
      <c r="C54" s="381" t="s">
        <v>2899</v>
      </c>
      <c r="D54" s="382" t="s">
        <v>2900</v>
      </c>
      <c r="E54" s="382">
        <v>6</v>
      </c>
      <c r="F54" s="381" t="s">
        <v>2901</v>
      </c>
      <c r="G54" s="383" t="s">
        <v>2743</v>
      </c>
      <c r="H54" s="357" t="s">
        <v>5577</v>
      </c>
      <c r="I54" s="378" t="s">
        <v>8607</v>
      </c>
      <c r="J54" s="378" t="s">
        <v>7785</v>
      </c>
      <c r="K54" s="378" t="s">
        <v>7277</v>
      </c>
      <c r="L54" s="378" t="s">
        <v>8691</v>
      </c>
      <c r="M54" s="378" t="s">
        <v>8691</v>
      </c>
      <c r="N54" s="378" t="s">
        <v>8652</v>
      </c>
    </row>
    <row r="55" spans="1:14">
      <c r="A55" s="389" t="s">
        <v>2893</v>
      </c>
      <c r="B55" s="390" t="s">
        <v>2902</v>
      </c>
      <c r="C55" s="390" t="s">
        <v>2903</v>
      </c>
      <c r="D55" s="391" t="s">
        <v>2904</v>
      </c>
      <c r="E55" s="391">
        <v>8</v>
      </c>
      <c r="F55" s="390" t="s">
        <v>2905</v>
      </c>
      <c r="G55" s="392" t="s">
        <v>2743</v>
      </c>
      <c r="H55" s="357" t="s">
        <v>5578</v>
      </c>
      <c r="I55" s="378" t="s">
        <v>8607</v>
      </c>
      <c r="J55" s="378" t="s">
        <v>7787</v>
      </c>
      <c r="K55" s="378" t="s">
        <v>7270</v>
      </c>
      <c r="L55" s="378" t="s">
        <v>8691</v>
      </c>
      <c r="M55" s="378" t="s">
        <v>8691</v>
      </c>
      <c r="N55" s="378" t="s">
        <v>8653</v>
      </c>
    </row>
    <row r="56" spans="1:14" ht="38">
      <c r="A56" s="393" t="s">
        <v>5595</v>
      </c>
      <c r="B56" s="394" t="s">
        <v>5596</v>
      </c>
      <c r="C56" s="394" t="s">
        <v>5597</v>
      </c>
      <c r="D56" s="395" t="s">
        <v>2733</v>
      </c>
      <c r="E56" s="395">
        <v>12</v>
      </c>
      <c r="F56" s="394" t="s">
        <v>5598</v>
      </c>
      <c r="G56" s="396" t="s">
        <v>2743</v>
      </c>
      <c r="H56" s="397" t="s">
        <v>5599</v>
      </c>
      <c r="I56" s="378" t="s">
        <v>8607</v>
      </c>
      <c r="J56" s="378" t="s">
        <v>7262</v>
      </c>
      <c r="K56" s="378" t="s">
        <v>7262</v>
      </c>
      <c r="L56" s="378" t="s">
        <v>8691</v>
      </c>
      <c r="M56" s="378" t="s">
        <v>8691</v>
      </c>
      <c r="N56" s="378" t="s">
        <v>8653</v>
      </c>
    </row>
    <row r="57" spans="1:14" ht="38">
      <c r="A57" s="393" t="s">
        <v>5595</v>
      </c>
      <c r="B57" s="394" t="s">
        <v>5600</v>
      </c>
      <c r="C57" s="394" t="s">
        <v>5601</v>
      </c>
      <c r="D57" s="395" t="s">
        <v>2733</v>
      </c>
      <c r="E57" s="395">
        <v>10</v>
      </c>
      <c r="F57" s="394" t="s">
        <v>5602</v>
      </c>
      <c r="G57" s="396" t="s">
        <v>2743</v>
      </c>
      <c r="H57" s="397" t="s">
        <v>5603</v>
      </c>
      <c r="I57" s="378" t="s">
        <v>8607</v>
      </c>
      <c r="J57" s="378" t="s">
        <v>7262</v>
      </c>
      <c r="K57" s="378" t="s">
        <v>7262</v>
      </c>
      <c r="L57" s="378" t="s">
        <v>8691</v>
      </c>
      <c r="M57" s="378" t="s">
        <v>8691</v>
      </c>
      <c r="N57" s="378" t="s">
        <v>8653</v>
      </c>
    </row>
    <row r="58" spans="1:14">
      <c r="A58" s="393" t="s">
        <v>5595</v>
      </c>
      <c r="B58" s="394" t="s">
        <v>5604</v>
      </c>
      <c r="C58" s="394" t="s">
        <v>5605</v>
      </c>
      <c r="D58" s="395" t="s">
        <v>2733</v>
      </c>
      <c r="E58" s="395">
        <v>12</v>
      </c>
      <c r="F58" s="394" t="s">
        <v>5606</v>
      </c>
      <c r="G58" s="396" t="s">
        <v>2743</v>
      </c>
      <c r="H58" s="397" t="s">
        <v>5607</v>
      </c>
      <c r="I58" s="378" t="s">
        <v>8607</v>
      </c>
      <c r="J58" s="378" t="s">
        <v>7262</v>
      </c>
      <c r="K58" s="378" t="s">
        <v>7262</v>
      </c>
      <c r="L58" s="378" t="s">
        <v>8691</v>
      </c>
      <c r="M58" s="378" t="s">
        <v>8691</v>
      </c>
      <c r="N58" s="378" t="s">
        <v>8653</v>
      </c>
    </row>
    <row r="59" spans="1:14" ht="57">
      <c r="A59" s="393" t="s">
        <v>5608</v>
      </c>
      <c r="B59" s="394" t="s">
        <v>5609</v>
      </c>
      <c r="C59" s="394" t="s">
        <v>5610</v>
      </c>
      <c r="D59" s="395" t="s">
        <v>2733</v>
      </c>
      <c r="E59" s="395">
        <v>10</v>
      </c>
      <c r="F59" s="394" t="s">
        <v>5611</v>
      </c>
      <c r="G59" s="396" t="s">
        <v>2743</v>
      </c>
      <c r="H59" s="397" t="s">
        <v>5612</v>
      </c>
      <c r="I59" s="378" t="s">
        <v>8607</v>
      </c>
      <c r="J59" s="378" t="s">
        <v>7262</v>
      </c>
      <c r="K59" s="378" t="s">
        <v>7262</v>
      </c>
      <c r="L59" s="378" t="s">
        <v>8691</v>
      </c>
      <c r="M59" s="378" t="s">
        <v>8691</v>
      </c>
      <c r="N59" s="378" t="s">
        <v>8653</v>
      </c>
    </row>
    <row r="60" spans="1:14">
      <c r="A60" s="377"/>
      <c r="B60" s="377"/>
      <c r="C60" s="377"/>
      <c r="D60" s="377"/>
      <c r="E60" s="377"/>
      <c r="F60" s="377"/>
      <c r="G60" s="377"/>
      <c r="H60" s="357"/>
      <c r="I60" s="377"/>
      <c r="J60" s="377"/>
      <c r="K60" s="377"/>
      <c r="L60" s="377"/>
      <c r="M60" s="377"/>
      <c r="N60" s="377"/>
    </row>
    <row r="61" spans="1:14">
      <c r="A61" s="377"/>
      <c r="B61" s="377"/>
      <c r="C61" s="377"/>
      <c r="D61" s="377"/>
      <c r="E61" s="377"/>
      <c r="F61" s="377"/>
      <c r="G61" s="377"/>
      <c r="H61" s="377"/>
      <c r="I61" s="377"/>
      <c r="J61" s="377"/>
      <c r="K61" s="377"/>
      <c r="L61" s="377"/>
      <c r="M61" s="377"/>
      <c r="N61" s="377"/>
    </row>
    <row r="62" spans="1:14">
      <c r="A62" s="377" t="s">
        <v>5614</v>
      </c>
      <c r="B62" s="377"/>
      <c r="C62" s="377"/>
      <c r="D62" s="377"/>
      <c r="E62" s="377"/>
      <c r="F62" s="377"/>
      <c r="G62" s="377"/>
      <c r="H62" s="377"/>
      <c r="I62" s="377"/>
      <c r="J62" s="377"/>
      <c r="K62" s="377"/>
      <c r="L62" s="377"/>
      <c r="M62" s="377"/>
      <c r="N62" s="377"/>
    </row>
    <row r="63" spans="1:14">
      <c r="A63" s="268" t="s">
        <v>1</v>
      </c>
      <c r="B63" s="269" t="s">
        <v>2734</v>
      </c>
      <c r="C63" s="269" t="s">
        <v>5390</v>
      </c>
      <c r="D63" s="279" t="s">
        <v>5388</v>
      </c>
      <c r="E63" s="134" t="s">
        <v>2729</v>
      </c>
      <c r="F63" s="377"/>
      <c r="G63" s="377"/>
      <c r="H63" s="377"/>
      <c r="I63" s="377"/>
      <c r="J63" s="377"/>
      <c r="K63" s="377"/>
      <c r="L63" s="377"/>
      <c r="M63" s="377"/>
      <c r="N63" s="377"/>
    </row>
    <row r="64" spans="1:14">
      <c r="A64" s="398" t="s">
        <v>2738</v>
      </c>
      <c r="B64" s="399">
        <f t="shared" ref="B64:B73" si="0">COUNTIFS($A$6:$A$59,$A64)</f>
        <v>9</v>
      </c>
      <c r="C64" s="399">
        <f t="shared" ref="C64:C73" si="1">SUMIFS($E$6:$E$59,$A$6:$A$59,$A64)</f>
        <v>47</v>
      </c>
      <c r="D64" s="400">
        <v>47</v>
      </c>
      <c r="E64" s="377">
        <f t="shared" ref="E64:E74" si="2">C64-D64</f>
        <v>0</v>
      </c>
      <c r="F64" s="377"/>
      <c r="G64" s="377"/>
      <c r="H64" s="377"/>
      <c r="I64" s="377"/>
      <c r="J64" s="377"/>
      <c r="K64" s="377"/>
      <c r="L64" s="377"/>
      <c r="M64" s="377"/>
      <c r="N64" s="377"/>
    </row>
    <row r="65" spans="1:14">
      <c r="A65" s="398" t="s">
        <v>2768</v>
      </c>
      <c r="B65" s="399">
        <f t="shared" si="0"/>
        <v>9</v>
      </c>
      <c r="C65" s="399">
        <f t="shared" si="1"/>
        <v>87</v>
      </c>
      <c r="D65" s="400">
        <v>87</v>
      </c>
      <c r="E65" s="377">
        <f t="shared" si="2"/>
        <v>0</v>
      </c>
      <c r="F65" s="377"/>
      <c r="G65" s="377"/>
      <c r="H65" s="377"/>
      <c r="I65" s="377"/>
      <c r="J65" s="377"/>
      <c r="K65" s="377"/>
      <c r="L65" s="377"/>
      <c r="M65" s="377"/>
      <c r="N65" s="377"/>
    </row>
    <row r="66" spans="1:14">
      <c r="A66" s="398" t="s">
        <v>2803</v>
      </c>
      <c r="B66" s="399">
        <f t="shared" si="0"/>
        <v>4</v>
      </c>
      <c r="C66" s="399">
        <f t="shared" si="1"/>
        <v>38</v>
      </c>
      <c r="D66" s="400">
        <v>38</v>
      </c>
      <c r="E66" s="377">
        <f t="shared" si="2"/>
        <v>0</v>
      </c>
      <c r="F66" s="377"/>
      <c r="G66" s="377"/>
      <c r="H66" s="377"/>
      <c r="I66" s="377"/>
      <c r="J66" s="377"/>
      <c r="K66" s="377"/>
      <c r="L66" s="377"/>
      <c r="M66" s="377"/>
      <c r="N66" s="377"/>
    </row>
    <row r="67" spans="1:14">
      <c r="A67" s="398" t="s">
        <v>2820</v>
      </c>
      <c r="B67" s="399">
        <f t="shared" si="0"/>
        <v>9</v>
      </c>
      <c r="C67" s="399">
        <f t="shared" si="1"/>
        <v>69</v>
      </c>
      <c r="D67" s="400">
        <v>69</v>
      </c>
      <c r="E67" s="377">
        <f t="shared" si="2"/>
        <v>0</v>
      </c>
      <c r="F67" s="377"/>
      <c r="G67" s="377"/>
      <c r="H67" s="377"/>
      <c r="I67" s="377"/>
      <c r="J67" s="377"/>
      <c r="K67" s="377"/>
      <c r="L67" s="377"/>
      <c r="M67" s="377"/>
      <c r="N67" s="377"/>
    </row>
    <row r="68" spans="1:14">
      <c r="A68" s="398" t="s">
        <v>2839</v>
      </c>
      <c r="B68" s="399">
        <f t="shared" si="0"/>
        <v>5</v>
      </c>
      <c r="C68" s="399">
        <f t="shared" si="1"/>
        <v>40</v>
      </c>
      <c r="D68" s="400">
        <v>40</v>
      </c>
      <c r="E68" s="377">
        <f t="shared" si="2"/>
        <v>0</v>
      </c>
      <c r="F68" s="377"/>
      <c r="G68" s="377"/>
      <c r="H68" s="377"/>
      <c r="I68" s="377"/>
      <c r="J68" s="377"/>
      <c r="K68" s="377"/>
      <c r="L68" s="377"/>
      <c r="M68" s="377"/>
      <c r="N68" s="377"/>
    </row>
    <row r="69" spans="1:14">
      <c r="A69" s="398" t="s">
        <v>2855</v>
      </c>
      <c r="B69" s="399">
        <f t="shared" si="0"/>
        <v>6</v>
      </c>
      <c r="C69" s="399">
        <f t="shared" si="1"/>
        <v>43</v>
      </c>
      <c r="D69" s="400">
        <v>43</v>
      </c>
      <c r="E69" s="377">
        <f t="shared" si="2"/>
        <v>0</v>
      </c>
      <c r="F69" s="377"/>
      <c r="G69" s="377"/>
      <c r="H69" s="377"/>
      <c r="I69" s="377"/>
      <c r="J69" s="377"/>
      <c r="K69" s="377"/>
      <c r="L69" s="377"/>
      <c r="M69" s="377"/>
      <c r="N69" s="377"/>
    </row>
    <row r="70" spans="1:14">
      <c r="A70" s="398" t="s">
        <v>2876</v>
      </c>
      <c r="B70" s="399">
        <f t="shared" si="0"/>
        <v>5</v>
      </c>
      <c r="C70" s="399">
        <f t="shared" si="1"/>
        <v>39</v>
      </c>
      <c r="D70" s="400">
        <v>39</v>
      </c>
      <c r="E70" s="377">
        <f t="shared" si="2"/>
        <v>0</v>
      </c>
      <c r="F70" s="377"/>
      <c r="G70" s="377"/>
      <c r="H70" s="377"/>
      <c r="I70" s="377"/>
      <c r="J70" s="377"/>
      <c r="K70" s="377"/>
      <c r="L70" s="377"/>
      <c r="M70" s="377"/>
      <c r="N70" s="377"/>
    </row>
    <row r="71" spans="1:14">
      <c r="A71" s="398" t="s">
        <v>2893</v>
      </c>
      <c r="B71" s="399">
        <f t="shared" si="0"/>
        <v>3</v>
      </c>
      <c r="C71" s="399">
        <f t="shared" si="1"/>
        <v>22</v>
      </c>
      <c r="D71" s="400">
        <v>22</v>
      </c>
      <c r="E71" s="377">
        <f t="shared" si="2"/>
        <v>0</v>
      </c>
      <c r="F71" s="377"/>
      <c r="G71" s="377"/>
      <c r="H71" s="377"/>
      <c r="I71" s="377"/>
      <c r="J71" s="377"/>
      <c r="K71" s="377"/>
      <c r="L71" s="377"/>
      <c r="M71" s="377"/>
      <c r="N71" s="377"/>
    </row>
    <row r="72" spans="1:14">
      <c r="A72" s="398" t="s">
        <v>5595</v>
      </c>
      <c r="B72" s="399">
        <f t="shared" si="0"/>
        <v>3</v>
      </c>
      <c r="C72" s="399">
        <f t="shared" si="1"/>
        <v>34</v>
      </c>
      <c r="D72" s="400">
        <v>34</v>
      </c>
      <c r="E72" s="377">
        <f t="shared" si="2"/>
        <v>0</v>
      </c>
      <c r="F72" s="377"/>
      <c r="G72" s="377"/>
      <c r="H72" s="377"/>
      <c r="I72" s="377"/>
      <c r="J72" s="377"/>
      <c r="K72" s="377"/>
      <c r="L72" s="377"/>
      <c r="M72" s="377"/>
      <c r="N72" s="377"/>
    </row>
    <row r="73" spans="1:14">
      <c r="A73" s="398" t="s">
        <v>5608</v>
      </c>
      <c r="B73" s="399">
        <f t="shared" si="0"/>
        <v>1</v>
      </c>
      <c r="C73" s="399">
        <f t="shared" si="1"/>
        <v>10</v>
      </c>
      <c r="D73" s="400">
        <v>10</v>
      </c>
      <c r="E73" s="377">
        <f t="shared" si="2"/>
        <v>0</v>
      </c>
      <c r="F73" s="377"/>
      <c r="G73" s="377"/>
      <c r="H73" s="377"/>
      <c r="I73" s="377"/>
      <c r="J73" s="377"/>
      <c r="K73" s="377"/>
      <c r="L73" s="377"/>
      <c r="M73" s="377"/>
      <c r="N73" s="377"/>
    </row>
    <row r="74" spans="1:14">
      <c r="A74" s="401" t="s">
        <v>7</v>
      </c>
      <c r="B74" s="402">
        <f>SUM(B64:B73)</f>
        <v>54</v>
      </c>
      <c r="C74" s="402">
        <f>SUM(C64:C73)</f>
        <v>429</v>
      </c>
      <c r="D74" s="403">
        <v>429</v>
      </c>
      <c r="E74" s="377">
        <f t="shared" si="2"/>
        <v>0</v>
      </c>
      <c r="F74" s="377"/>
      <c r="G74" s="377"/>
      <c r="H74" s="377"/>
      <c r="I74" s="377"/>
      <c r="J74" s="377"/>
      <c r="K74" s="377"/>
      <c r="L74" s="377"/>
      <c r="M74" s="377"/>
      <c r="N74" s="377"/>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7701</v>
      </c>
      <c r="B1" s="30"/>
      <c r="C1" s="30"/>
      <c r="D1" s="30"/>
      <c r="E1" s="30"/>
      <c r="F1" s="30"/>
    </row>
    <row r="2" spans="1:7">
      <c r="A2" s="55" t="s">
        <v>5771</v>
      </c>
      <c r="B2" s="30"/>
      <c r="C2" s="30"/>
      <c r="D2" s="30"/>
      <c r="E2" s="30"/>
      <c r="F2" s="30"/>
    </row>
    <row r="3" spans="1:7">
      <c r="A3" s="267" t="s">
        <v>7702</v>
      </c>
      <c r="B3" s="30"/>
      <c r="C3" s="30"/>
      <c r="D3" s="30"/>
      <c r="E3" s="30"/>
      <c r="F3" s="30"/>
    </row>
    <row r="4" spans="1:7">
      <c r="A4" s="267" t="s">
        <v>5772</v>
      </c>
      <c r="B4" s="30"/>
      <c r="C4" s="30"/>
      <c r="D4" s="30"/>
      <c r="E4" s="30"/>
      <c r="F4" s="30"/>
    </row>
    <row r="5" spans="1:7">
      <c r="A5" s="267" t="s">
        <v>7703</v>
      </c>
      <c r="B5" s="30"/>
      <c r="C5" s="30"/>
      <c r="D5" s="30"/>
      <c r="E5" s="30"/>
      <c r="F5" s="30"/>
    </row>
    <row r="6" spans="1:7">
      <c r="A6" s="267" t="s">
        <v>5837</v>
      </c>
      <c r="B6" s="30"/>
      <c r="C6" s="30"/>
      <c r="D6" s="30"/>
      <c r="E6" s="30"/>
      <c r="F6" s="30"/>
    </row>
    <row r="7" spans="1:7">
      <c r="A7" s="268" t="s">
        <v>2520</v>
      </c>
      <c r="B7" s="269" t="s">
        <v>5360</v>
      </c>
      <c r="C7" s="269" t="s">
        <v>5361</v>
      </c>
      <c r="D7" s="269" t="s">
        <v>5362</v>
      </c>
      <c r="E7" s="269" t="s">
        <v>5399</v>
      </c>
      <c r="F7" s="279" t="s">
        <v>666</v>
      </c>
      <c r="G7" s="362" t="s">
        <v>8573</v>
      </c>
    </row>
    <row r="8" spans="1:7" ht="40" customHeight="1">
      <c r="A8" s="296" t="s">
        <v>5773</v>
      </c>
      <c r="B8" s="128" t="s">
        <v>5363</v>
      </c>
      <c r="C8" s="273" t="s">
        <v>7692</v>
      </c>
      <c r="D8" s="273" t="s">
        <v>2233</v>
      </c>
      <c r="E8" s="128">
        <v>0</v>
      </c>
      <c r="F8" s="288" t="s">
        <v>5305</v>
      </c>
      <c r="G8" t="s">
        <v>8574</v>
      </c>
    </row>
    <row r="9" spans="1:7" ht="40" customHeight="1">
      <c r="A9" s="296" t="s">
        <v>5773</v>
      </c>
      <c r="B9" s="128" t="s">
        <v>5364</v>
      </c>
      <c r="C9" s="273" t="s">
        <v>7682</v>
      </c>
      <c r="D9" s="273" t="s">
        <v>7683</v>
      </c>
      <c r="E9" s="128">
        <v>5</v>
      </c>
      <c r="F9" s="288"/>
      <c r="G9" t="s">
        <v>8574</v>
      </c>
    </row>
    <row r="10" spans="1:7" ht="40" customHeight="1">
      <c r="A10" s="296" t="s">
        <v>5773</v>
      </c>
      <c r="B10" s="128" t="s">
        <v>5365</v>
      </c>
      <c r="C10" s="273" t="s">
        <v>7684</v>
      </c>
      <c r="D10" s="273" t="s">
        <v>7685</v>
      </c>
      <c r="E10" s="128">
        <v>3</v>
      </c>
      <c r="F10" s="288"/>
      <c r="G10" t="s">
        <v>8574</v>
      </c>
    </row>
    <row r="11" spans="1:7" ht="40" customHeight="1">
      <c r="A11" s="296" t="s">
        <v>5773</v>
      </c>
      <c r="B11" s="128" t="s">
        <v>5366</v>
      </c>
      <c r="C11" s="273" t="s">
        <v>7686</v>
      </c>
      <c r="D11" s="273" t="s">
        <v>7687</v>
      </c>
      <c r="E11" s="128">
        <v>3</v>
      </c>
      <c r="F11" s="288"/>
      <c r="G11" t="s">
        <v>8574</v>
      </c>
    </row>
    <row r="12" spans="1:7" ht="40" customHeight="1">
      <c r="A12" s="296" t="s">
        <v>5773</v>
      </c>
      <c r="B12" s="128" t="s">
        <v>5367</v>
      </c>
      <c r="C12" s="273" t="s">
        <v>7688</v>
      </c>
      <c r="D12" s="273" t="s">
        <v>7689</v>
      </c>
      <c r="E12" s="128">
        <v>2</v>
      </c>
      <c r="F12" s="288"/>
      <c r="G12" t="s">
        <v>8574</v>
      </c>
    </row>
    <row r="13" spans="1:7" ht="40" customHeight="1">
      <c r="A13" s="296" t="s">
        <v>5773</v>
      </c>
      <c r="B13" s="128" t="s">
        <v>5368</v>
      </c>
      <c r="C13" s="273" t="s">
        <v>7693</v>
      </c>
      <c r="D13" s="273" t="s">
        <v>2233</v>
      </c>
      <c r="E13" s="128">
        <v>0</v>
      </c>
      <c r="F13" s="288" t="s">
        <v>5305</v>
      </c>
      <c r="G13" t="s">
        <v>8574</v>
      </c>
    </row>
    <row r="14" spans="1:7" ht="40" customHeight="1">
      <c r="A14" s="296" t="s">
        <v>5773</v>
      </c>
      <c r="B14" s="128" t="s">
        <v>5369</v>
      </c>
      <c r="C14" s="273" t="s">
        <v>7690</v>
      </c>
      <c r="D14" s="273" t="s">
        <v>7691</v>
      </c>
      <c r="E14" s="128">
        <v>6</v>
      </c>
      <c r="F14" s="288"/>
      <c r="G14" t="s">
        <v>8574</v>
      </c>
    </row>
    <row r="15" spans="1:7" ht="40" customHeight="1">
      <c r="A15" s="296" t="s">
        <v>5773</v>
      </c>
      <c r="B15" s="128" t="s">
        <v>7694</v>
      </c>
      <c r="C15" s="273" t="s">
        <v>7695</v>
      </c>
      <c r="D15" s="273" t="s">
        <v>7696</v>
      </c>
      <c r="E15" s="128">
        <v>4</v>
      </c>
      <c r="F15" s="288"/>
      <c r="G15" t="s">
        <v>8574</v>
      </c>
    </row>
    <row r="16" spans="1:7" ht="40" customHeight="1">
      <c r="A16" s="296" t="s">
        <v>5773</v>
      </c>
      <c r="B16" s="128" t="s">
        <v>7697</v>
      </c>
      <c r="C16" s="273" t="s">
        <v>7698</v>
      </c>
      <c r="D16" s="273" t="s">
        <v>7699</v>
      </c>
      <c r="E16" s="128">
        <v>6</v>
      </c>
      <c r="F16" s="288"/>
      <c r="G16" t="s">
        <v>8574</v>
      </c>
    </row>
    <row r="17" spans="1:7" ht="40" customHeight="1">
      <c r="A17" s="296" t="s">
        <v>5773</v>
      </c>
      <c r="B17" s="128" t="s">
        <v>5370</v>
      </c>
      <c r="C17" s="273" t="s">
        <v>7744</v>
      </c>
      <c r="D17" s="273" t="s">
        <v>5371</v>
      </c>
      <c r="E17" s="128">
        <v>6</v>
      </c>
      <c r="F17" s="288" t="s">
        <v>5386</v>
      </c>
      <c r="G17" t="s">
        <v>8574</v>
      </c>
    </row>
    <row r="18" spans="1:7" ht="40" customHeight="1">
      <c r="A18" s="296" t="s">
        <v>5773</v>
      </c>
      <c r="B18" s="128" t="s">
        <v>5372</v>
      </c>
      <c r="C18" s="273" t="s">
        <v>7745</v>
      </c>
      <c r="D18" s="273" t="s">
        <v>5373</v>
      </c>
      <c r="E18" s="128">
        <v>3</v>
      </c>
      <c r="F18" s="288" t="s">
        <v>5386</v>
      </c>
      <c r="G18" t="s">
        <v>8574</v>
      </c>
    </row>
    <row r="19" spans="1:7" ht="40" customHeight="1">
      <c r="A19" s="296" t="s">
        <v>5773</v>
      </c>
      <c r="B19" s="128" t="s">
        <v>5374</v>
      </c>
      <c r="C19" s="273" t="s">
        <v>7746</v>
      </c>
      <c r="D19" s="273" t="s">
        <v>5375</v>
      </c>
      <c r="E19" s="128">
        <v>2</v>
      </c>
      <c r="F19" s="288" t="s">
        <v>5386</v>
      </c>
      <c r="G19" t="s">
        <v>8574</v>
      </c>
    </row>
    <row r="20" spans="1:7" ht="40" customHeight="1">
      <c r="A20" s="296" t="s">
        <v>5773</v>
      </c>
      <c r="B20" s="128" t="s">
        <v>5376</v>
      </c>
      <c r="C20" s="273" t="s">
        <v>7747</v>
      </c>
      <c r="D20" s="273" t="s">
        <v>5774</v>
      </c>
      <c r="E20" s="128">
        <v>1</v>
      </c>
      <c r="F20" s="288" t="s">
        <v>5386</v>
      </c>
      <c r="G20" t="s">
        <v>8574</v>
      </c>
    </row>
    <row r="21" spans="1:7" ht="40" customHeight="1">
      <c r="A21" s="296" t="s">
        <v>5773</v>
      </c>
      <c r="B21" s="128" t="s">
        <v>5377</v>
      </c>
      <c r="C21" s="273" t="s">
        <v>7560</v>
      </c>
      <c r="D21" s="273" t="s">
        <v>7561</v>
      </c>
      <c r="E21" s="128">
        <v>5</v>
      </c>
      <c r="F21" s="288" t="s">
        <v>7564</v>
      </c>
      <c r="G21" t="s">
        <v>8575</v>
      </c>
    </row>
    <row r="22" spans="1:7" ht="40" customHeight="1">
      <c r="A22" s="296" t="s">
        <v>5773</v>
      </c>
      <c r="B22" s="128" t="s">
        <v>5378</v>
      </c>
      <c r="C22" s="273" t="s">
        <v>7562</v>
      </c>
      <c r="D22" s="273" t="s">
        <v>7563</v>
      </c>
      <c r="E22" s="128">
        <v>8</v>
      </c>
      <c r="F22" s="288" t="s">
        <v>5386</v>
      </c>
      <c r="G22" t="s">
        <v>8574</v>
      </c>
    </row>
    <row r="23" spans="1:7" ht="40" customHeight="1">
      <c r="A23" s="296" t="s">
        <v>5773</v>
      </c>
      <c r="B23" s="128" t="s">
        <v>5379</v>
      </c>
      <c r="C23" s="273" t="s">
        <v>7748</v>
      </c>
      <c r="D23" s="273" t="s">
        <v>5380</v>
      </c>
      <c r="E23" s="128">
        <v>8</v>
      </c>
      <c r="F23" s="288" t="s">
        <v>5386</v>
      </c>
      <c r="G23" t="s">
        <v>8574</v>
      </c>
    </row>
    <row r="24" spans="1:7" ht="40" customHeight="1">
      <c r="A24" s="296" t="s">
        <v>5773</v>
      </c>
      <c r="B24" s="128" t="s">
        <v>5381</v>
      </c>
      <c r="C24" s="273" t="s">
        <v>7749</v>
      </c>
      <c r="D24" s="273" t="s">
        <v>5382</v>
      </c>
      <c r="E24" s="128">
        <v>2</v>
      </c>
      <c r="F24" s="288" t="s">
        <v>5386</v>
      </c>
      <c r="G24" t="s">
        <v>8574</v>
      </c>
    </row>
    <row r="25" spans="1:7" ht="40" customHeight="1">
      <c r="A25" s="296" t="s">
        <v>5773</v>
      </c>
      <c r="B25" s="128" t="s">
        <v>5383</v>
      </c>
      <c r="C25" s="273" t="s">
        <v>5384</v>
      </c>
      <c r="D25" s="273" t="s">
        <v>5385</v>
      </c>
      <c r="E25" s="128">
        <v>3</v>
      </c>
      <c r="F25" s="288" t="s">
        <v>5386</v>
      </c>
      <c r="G25" t="s">
        <v>8574</v>
      </c>
    </row>
    <row r="26" spans="1:7" ht="40" customHeight="1">
      <c r="A26" s="296" t="s">
        <v>5775</v>
      </c>
      <c r="B26" s="128" t="s">
        <v>5400</v>
      </c>
      <c r="C26" s="273" t="s">
        <v>5401</v>
      </c>
      <c r="D26" s="273" t="s">
        <v>5402</v>
      </c>
      <c r="E26" s="128">
        <v>20</v>
      </c>
      <c r="F26" s="288" t="s">
        <v>5386</v>
      </c>
      <c r="G26" t="s">
        <v>8574</v>
      </c>
    </row>
    <row r="27" spans="1:7" ht="40" customHeight="1">
      <c r="A27" s="296" t="s">
        <v>5775</v>
      </c>
      <c r="B27" s="128" t="s">
        <v>5403</v>
      </c>
      <c r="C27" s="273" t="s">
        <v>6502</v>
      </c>
      <c r="D27" s="273" t="s">
        <v>6503</v>
      </c>
      <c r="E27" s="128">
        <v>18</v>
      </c>
      <c r="F27" s="288" t="s">
        <v>5386</v>
      </c>
      <c r="G27" t="s">
        <v>8574</v>
      </c>
    </row>
    <row r="28" spans="1:7" ht="40" customHeight="1">
      <c r="A28" s="296" t="s">
        <v>5775</v>
      </c>
      <c r="B28" s="128" t="s">
        <v>5404</v>
      </c>
      <c r="C28" s="273" t="s">
        <v>5405</v>
      </c>
      <c r="D28" s="273" t="s">
        <v>5406</v>
      </c>
      <c r="E28" s="128">
        <v>9</v>
      </c>
      <c r="F28" s="288" t="s">
        <v>5386</v>
      </c>
      <c r="G28" t="s">
        <v>8574</v>
      </c>
    </row>
    <row r="29" spans="1:7" ht="40" customHeight="1">
      <c r="A29" s="296" t="s">
        <v>5775</v>
      </c>
      <c r="B29" s="128" t="s">
        <v>5407</v>
      </c>
      <c r="C29" s="273" t="s">
        <v>5408</v>
      </c>
      <c r="D29" s="273" t="s">
        <v>5409</v>
      </c>
      <c r="E29" s="128">
        <v>15</v>
      </c>
      <c r="F29" s="288" t="s">
        <v>5386</v>
      </c>
      <c r="G29" t="s">
        <v>8574</v>
      </c>
    </row>
    <row r="30" spans="1:7" ht="40" customHeight="1">
      <c r="A30" s="296" t="s">
        <v>5775</v>
      </c>
      <c r="B30" s="128" t="s">
        <v>5410</v>
      </c>
      <c r="C30" s="273" t="s">
        <v>5411</v>
      </c>
      <c r="D30" s="273" t="s">
        <v>5412</v>
      </c>
      <c r="E30" s="128">
        <v>25</v>
      </c>
      <c r="F30" s="288" t="s">
        <v>5386</v>
      </c>
      <c r="G30" t="s">
        <v>8574</v>
      </c>
    </row>
    <row r="31" spans="1:7" ht="40" customHeight="1">
      <c r="A31" s="296" t="s">
        <v>5776</v>
      </c>
      <c r="B31" s="128" t="s">
        <v>5529</v>
      </c>
      <c r="C31" s="273" t="s">
        <v>5777</v>
      </c>
      <c r="D31" s="273" t="s">
        <v>5778</v>
      </c>
      <c r="E31" s="128">
        <v>15</v>
      </c>
      <c r="F31" s="288" t="s">
        <v>5386</v>
      </c>
      <c r="G31" t="s">
        <v>8574</v>
      </c>
    </row>
    <row r="32" spans="1:7" ht="40" customHeight="1">
      <c r="A32" s="296" t="s">
        <v>5776</v>
      </c>
      <c r="B32" s="128" t="s">
        <v>5530</v>
      </c>
      <c r="C32" s="273" t="s">
        <v>5779</v>
      </c>
      <c r="D32" s="273" t="s">
        <v>5780</v>
      </c>
      <c r="E32" s="128">
        <v>20</v>
      </c>
      <c r="F32" s="288" t="s">
        <v>5386</v>
      </c>
      <c r="G32" t="s">
        <v>8574</v>
      </c>
    </row>
    <row r="33" spans="1:7" ht="40" customHeight="1">
      <c r="A33" s="296" t="s">
        <v>5776</v>
      </c>
      <c r="B33" s="128" t="s">
        <v>5531</v>
      </c>
      <c r="C33" s="273" t="s">
        <v>5825</v>
      </c>
      <c r="D33" s="273" t="s">
        <v>5782</v>
      </c>
      <c r="E33" s="128">
        <v>12</v>
      </c>
      <c r="F33" s="288" t="s">
        <v>5386</v>
      </c>
      <c r="G33" t="s">
        <v>8574</v>
      </c>
    </row>
    <row r="34" spans="1:7" ht="40" customHeight="1">
      <c r="A34" s="296" t="s">
        <v>5776</v>
      </c>
      <c r="B34" s="128" t="s">
        <v>5532</v>
      </c>
      <c r="C34" s="273" t="s">
        <v>5826</v>
      </c>
      <c r="D34" s="273" t="s">
        <v>5827</v>
      </c>
      <c r="E34" s="128">
        <v>8</v>
      </c>
      <c r="F34" s="288" t="s">
        <v>5386</v>
      </c>
      <c r="G34" t="s">
        <v>8574</v>
      </c>
    </row>
    <row r="35" spans="1:7" ht="40" customHeight="1">
      <c r="A35" s="296" t="s">
        <v>5776</v>
      </c>
      <c r="B35" s="128" t="s">
        <v>5533</v>
      </c>
      <c r="C35" s="273" t="s">
        <v>5828</v>
      </c>
      <c r="D35" s="273" t="s">
        <v>5829</v>
      </c>
      <c r="E35" s="128">
        <v>8</v>
      </c>
      <c r="F35" s="288" t="s">
        <v>5386</v>
      </c>
      <c r="G35" t="s">
        <v>8574</v>
      </c>
    </row>
    <row r="36" spans="1:7" ht="40" customHeight="1">
      <c r="A36" s="296" t="s">
        <v>5776</v>
      </c>
      <c r="B36" s="128" t="s">
        <v>5534</v>
      </c>
      <c r="C36" s="273" t="s">
        <v>5783</v>
      </c>
      <c r="D36" s="273" t="s">
        <v>5784</v>
      </c>
      <c r="E36" s="128">
        <v>10</v>
      </c>
      <c r="F36" s="288" t="s">
        <v>5386</v>
      </c>
      <c r="G36" t="s">
        <v>8574</v>
      </c>
    </row>
    <row r="37" spans="1:7" ht="40" customHeight="1">
      <c r="A37" s="296" t="s">
        <v>5776</v>
      </c>
      <c r="B37" s="128" t="s">
        <v>5830</v>
      </c>
      <c r="C37" s="273" t="s">
        <v>5831</v>
      </c>
      <c r="D37" s="273" t="s">
        <v>5832</v>
      </c>
      <c r="E37" s="128">
        <v>15</v>
      </c>
      <c r="F37" s="288" t="s">
        <v>5386</v>
      </c>
      <c r="G37" t="s">
        <v>8574</v>
      </c>
    </row>
    <row r="38" spans="1:7" ht="40" customHeight="1">
      <c r="A38" s="296" t="s">
        <v>5776</v>
      </c>
      <c r="B38" s="128" t="s">
        <v>5833</v>
      </c>
      <c r="C38" s="273" t="s">
        <v>5834</v>
      </c>
      <c r="D38" s="273" t="s">
        <v>5835</v>
      </c>
      <c r="E38" s="128">
        <v>10</v>
      </c>
      <c r="F38" s="288" t="s">
        <v>5386</v>
      </c>
      <c r="G38" t="s">
        <v>8574</v>
      </c>
    </row>
    <row r="39" spans="1:7" ht="40" customHeight="1">
      <c r="A39" s="296" t="s">
        <v>2523</v>
      </c>
      <c r="B39" s="128" t="s">
        <v>5615</v>
      </c>
      <c r="C39" s="273" t="s">
        <v>5616</v>
      </c>
      <c r="D39" s="273" t="s">
        <v>5617</v>
      </c>
      <c r="E39" s="128">
        <v>10</v>
      </c>
      <c r="F39" s="288" t="s">
        <v>5386</v>
      </c>
      <c r="G39" t="s">
        <v>8574</v>
      </c>
    </row>
    <row r="40" spans="1:7" ht="40" customHeight="1">
      <c r="A40" s="296" t="s">
        <v>2523</v>
      </c>
      <c r="B40" s="128" t="s">
        <v>5618</v>
      </c>
      <c r="C40" s="273" t="s">
        <v>7486</v>
      </c>
      <c r="D40" s="273" t="s">
        <v>7487</v>
      </c>
      <c r="E40" s="128">
        <v>25</v>
      </c>
      <c r="F40" s="288" t="s">
        <v>7488</v>
      </c>
      <c r="G40" t="s">
        <v>8574</v>
      </c>
    </row>
    <row r="41" spans="1:7" ht="40" customHeight="1">
      <c r="A41" s="296" t="s">
        <v>2523</v>
      </c>
      <c r="B41" s="128" t="s">
        <v>5619</v>
      </c>
      <c r="C41" s="273" t="s">
        <v>5781</v>
      </c>
      <c r="D41" s="273" t="s">
        <v>5620</v>
      </c>
      <c r="E41" s="128">
        <v>6</v>
      </c>
      <c r="F41" s="288" t="s">
        <v>5386</v>
      </c>
      <c r="G41" t="s">
        <v>8575</v>
      </c>
    </row>
    <row r="42" spans="1:7" ht="40" customHeight="1">
      <c r="A42" s="296" t="s">
        <v>2523</v>
      </c>
      <c r="B42" s="128" t="s">
        <v>5621</v>
      </c>
      <c r="C42" s="273" t="s">
        <v>5622</v>
      </c>
      <c r="D42" s="273" t="s">
        <v>5623</v>
      </c>
      <c r="E42" s="128">
        <v>8</v>
      </c>
      <c r="F42" s="288" t="s">
        <v>5386</v>
      </c>
      <c r="G42" t="s">
        <v>8574</v>
      </c>
    </row>
    <row r="43" spans="1:7" ht="40" customHeight="1">
      <c r="A43" s="296" t="s">
        <v>2523</v>
      </c>
      <c r="B43" s="128" t="s">
        <v>5624</v>
      </c>
      <c r="C43" s="273" t="s">
        <v>5625</v>
      </c>
      <c r="D43" s="273" t="s">
        <v>5626</v>
      </c>
      <c r="E43" s="128">
        <v>6</v>
      </c>
      <c r="F43" s="288" t="s">
        <v>5386</v>
      </c>
      <c r="G43" t="s">
        <v>8574</v>
      </c>
    </row>
    <row r="44" spans="1:7" ht="40" customHeight="1">
      <c r="A44" s="297" t="s">
        <v>2523</v>
      </c>
      <c r="B44" s="289" t="s">
        <v>5627</v>
      </c>
      <c r="C44" s="276" t="s">
        <v>5785</v>
      </c>
      <c r="D44" s="276" t="s">
        <v>5628</v>
      </c>
      <c r="E44" s="289">
        <v>8</v>
      </c>
      <c r="F44" s="290" t="s">
        <v>5386</v>
      </c>
      <c r="G44" t="s">
        <v>8574</v>
      </c>
    </row>
    <row r="45" spans="1:7">
      <c r="A45" s="30"/>
      <c r="B45" s="30"/>
      <c r="C45" s="30"/>
      <c r="D45" s="30"/>
      <c r="E45" s="30"/>
      <c r="F45" s="30"/>
    </row>
    <row r="46" spans="1:7">
      <c r="A46" s="229" t="s">
        <v>5786</v>
      </c>
      <c r="B46" s="30"/>
      <c r="C46" s="30"/>
      <c r="D46" s="30"/>
      <c r="E46" s="30"/>
      <c r="F46" s="30"/>
    </row>
    <row r="47" spans="1:7">
      <c r="A47" s="268" t="s">
        <v>2520</v>
      </c>
      <c r="B47" s="269" t="s">
        <v>5390</v>
      </c>
      <c r="C47" s="279" t="s">
        <v>5388</v>
      </c>
      <c r="D47" s="30"/>
      <c r="E47" s="30"/>
      <c r="F47" s="30"/>
      <c r="G47" t="s">
        <v>8574</v>
      </c>
    </row>
    <row r="48" spans="1:7">
      <c r="A48" s="291" t="s">
        <v>7700</v>
      </c>
      <c r="B48" s="292">
        <f>SUMIF($A$8:$A$45,"① 設計",$E$8:$E$45)</f>
        <v>67</v>
      </c>
      <c r="C48" s="293">
        <v>67</v>
      </c>
      <c r="D48" s="30"/>
      <c r="E48" s="30"/>
      <c r="F48" s="30"/>
      <c r="G48" t="s">
        <v>8574</v>
      </c>
    </row>
    <row r="49" spans="1:7">
      <c r="A49" s="291" t="s">
        <v>5787</v>
      </c>
      <c r="B49" s="292">
        <f>SUMIF($A$8:$A$45,"① 設計(H)",$E$8:$E$45)</f>
        <v>87</v>
      </c>
      <c r="C49" s="293">
        <v>87</v>
      </c>
      <c r="D49" s="30"/>
      <c r="E49" s="30"/>
      <c r="F49" s="30"/>
      <c r="G49" t="s">
        <v>8574</v>
      </c>
    </row>
    <row r="50" spans="1:7">
      <c r="A50" s="291" t="s">
        <v>5836</v>
      </c>
      <c r="B50" s="292">
        <f>SUMIF($A$8:$A$45,"③ 構築",$E$8:$E$45)</f>
        <v>98</v>
      </c>
      <c r="C50" s="293">
        <v>98</v>
      </c>
      <c r="D50" s="30"/>
      <c r="E50" s="30"/>
      <c r="F50" s="30"/>
      <c r="G50" t="s">
        <v>8574</v>
      </c>
    </row>
    <row r="51" spans="1:7">
      <c r="A51" s="291" t="s">
        <v>5788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7704</v>
      </c>
      <c r="B54" s="30"/>
      <c r="C54" s="30"/>
      <c r="D54" s="30"/>
      <c r="E54" s="30"/>
      <c r="F54" s="30"/>
    </row>
    <row r="55" spans="1:7">
      <c r="A55" s="281" t="s">
        <v>5932</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6231</v>
      </c>
      <c r="B1" s="30"/>
      <c r="C1" s="30"/>
      <c r="D1" s="30"/>
      <c r="E1" s="30"/>
      <c r="F1" s="30"/>
      <c r="G1" s="30"/>
      <c r="H1" s="30"/>
    </row>
    <row r="2" spans="1:8">
      <c r="A2" s="55" t="s">
        <v>6232</v>
      </c>
      <c r="B2" s="30"/>
      <c r="C2" s="30"/>
      <c r="D2" s="30"/>
      <c r="E2" s="30"/>
      <c r="F2" s="30"/>
      <c r="G2" s="30"/>
      <c r="H2" s="30"/>
    </row>
    <row r="3" spans="1:8">
      <c r="A3" s="267" t="s">
        <v>6233</v>
      </c>
      <c r="B3" s="30"/>
      <c r="C3" s="30"/>
      <c r="D3" s="30"/>
      <c r="E3" s="30"/>
      <c r="F3" s="30"/>
      <c r="G3" s="30"/>
      <c r="H3" s="30"/>
    </row>
    <row r="4" spans="1:8">
      <c r="A4" s="281" t="s">
        <v>6234</v>
      </c>
      <c r="B4" s="30"/>
      <c r="C4" s="30"/>
      <c r="D4" s="30"/>
      <c r="E4" s="30"/>
      <c r="F4" s="30"/>
      <c r="G4" s="30"/>
      <c r="H4" s="30"/>
    </row>
    <row r="5" spans="1:8">
      <c r="A5" s="267" t="s">
        <v>6682</v>
      </c>
      <c r="B5" s="30"/>
      <c r="C5" s="30"/>
      <c r="D5" s="30"/>
      <c r="E5" s="30"/>
      <c r="F5" s="30"/>
      <c r="G5" s="30"/>
      <c r="H5" s="30"/>
    </row>
    <row r="6" spans="1:8">
      <c r="A6" s="268" t="s">
        <v>6235</v>
      </c>
      <c r="B6" s="269" t="s">
        <v>665</v>
      </c>
      <c r="C6" s="269" t="s">
        <v>6236</v>
      </c>
      <c r="D6" s="269" t="s">
        <v>6237</v>
      </c>
      <c r="E6" s="269" t="s">
        <v>6238</v>
      </c>
      <c r="F6" s="269" t="s">
        <v>6239</v>
      </c>
      <c r="G6" s="269" t="s">
        <v>6240</v>
      </c>
      <c r="H6" s="279" t="s">
        <v>666</v>
      </c>
    </row>
    <row r="7" spans="1:8" ht="26" customHeight="1">
      <c r="A7" s="296" t="s">
        <v>6241</v>
      </c>
      <c r="B7" s="128" t="s">
        <v>6242</v>
      </c>
      <c r="C7" s="273" t="s">
        <v>6243</v>
      </c>
      <c r="D7" s="273" t="s">
        <v>6244</v>
      </c>
      <c r="E7" s="128" t="s">
        <v>6174</v>
      </c>
      <c r="F7" s="128" t="s">
        <v>6245</v>
      </c>
      <c r="G7" s="128" t="s">
        <v>6246</v>
      </c>
      <c r="H7" s="288" t="s">
        <v>4</v>
      </c>
    </row>
    <row r="8" spans="1:8" ht="26" customHeight="1">
      <c r="A8" s="296" t="s">
        <v>6247</v>
      </c>
      <c r="B8" s="128" t="s">
        <v>6242</v>
      </c>
      <c r="C8" s="273" t="s">
        <v>6248</v>
      </c>
      <c r="D8" s="273" t="s">
        <v>6249</v>
      </c>
      <c r="E8" s="128" t="s">
        <v>6174</v>
      </c>
      <c r="F8" s="128" t="s">
        <v>6245</v>
      </c>
      <c r="G8" s="128" t="s">
        <v>6246</v>
      </c>
      <c r="H8" s="288" t="s">
        <v>4</v>
      </c>
    </row>
    <row r="9" spans="1:8" ht="26" customHeight="1">
      <c r="A9" s="296" t="s">
        <v>6250</v>
      </c>
      <c r="B9" s="128" t="s">
        <v>6242</v>
      </c>
      <c r="C9" s="273" t="s">
        <v>6251</v>
      </c>
      <c r="D9" s="273" t="s">
        <v>6252</v>
      </c>
      <c r="E9" s="128" t="s">
        <v>6174</v>
      </c>
      <c r="F9" s="128"/>
      <c r="G9" s="128" t="s">
        <v>6246</v>
      </c>
      <c r="H9" s="288" t="s">
        <v>4</v>
      </c>
    </row>
    <row r="10" spans="1:8" ht="26" customHeight="1">
      <c r="A10" s="296" t="s">
        <v>6253</v>
      </c>
      <c r="B10" s="128" t="s">
        <v>6242</v>
      </c>
      <c r="C10" s="273" t="s">
        <v>6254</v>
      </c>
      <c r="D10" s="273" t="s">
        <v>6255</v>
      </c>
      <c r="E10" s="128" t="s">
        <v>6174</v>
      </c>
      <c r="F10" s="128"/>
      <c r="G10" s="128" t="s">
        <v>6246</v>
      </c>
      <c r="H10" s="288" t="s">
        <v>4</v>
      </c>
    </row>
    <row r="11" spans="1:8" ht="26" customHeight="1">
      <c r="A11" s="296" t="s">
        <v>6256</v>
      </c>
      <c r="B11" s="128" t="s">
        <v>6242</v>
      </c>
      <c r="C11" s="273" t="s">
        <v>6257</v>
      </c>
      <c r="D11" s="273" t="s">
        <v>6258</v>
      </c>
      <c r="E11" s="128" t="s">
        <v>6174</v>
      </c>
      <c r="F11" s="128" t="s">
        <v>6245</v>
      </c>
      <c r="G11" s="128" t="s">
        <v>6259</v>
      </c>
      <c r="H11" s="288" t="s">
        <v>4</v>
      </c>
    </row>
    <row r="12" spans="1:8" ht="26" customHeight="1">
      <c r="A12" s="296" t="s">
        <v>6260</v>
      </c>
      <c r="B12" s="128" t="s">
        <v>6242</v>
      </c>
      <c r="C12" s="273" t="s">
        <v>6261</v>
      </c>
      <c r="D12" s="273" t="s">
        <v>6262</v>
      </c>
      <c r="E12" s="128" t="s">
        <v>6174</v>
      </c>
      <c r="F12" s="128" t="s">
        <v>6245</v>
      </c>
      <c r="G12" s="128" t="s">
        <v>6259</v>
      </c>
      <c r="H12" s="288" t="s">
        <v>4</v>
      </c>
    </row>
    <row r="13" spans="1:8" ht="26" customHeight="1">
      <c r="A13" s="296" t="s">
        <v>6263</v>
      </c>
      <c r="B13" s="128" t="s">
        <v>6242</v>
      </c>
      <c r="C13" s="273" t="s">
        <v>6264</v>
      </c>
      <c r="D13" s="273" t="s">
        <v>6265</v>
      </c>
      <c r="E13" s="128" t="s">
        <v>6174</v>
      </c>
      <c r="F13" s="128" t="s">
        <v>6245</v>
      </c>
      <c r="G13" s="128" t="s">
        <v>6259</v>
      </c>
      <c r="H13" s="288" t="s">
        <v>4</v>
      </c>
    </row>
    <row r="14" spans="1:8" ht="26" customHeight="1">
      <c r="A14" s="296" t="s">
        <v>6266</v>
      </c>
      <c r="B14" s="128" t="s">
        <v>6242</v>
      </c>
      <c r="C14" s="273" t="s">
        <v>6267</v>
      </c>
      <c r="D14" s="273" t="s">
        <v>6268</v>
      </c>
      <c r="E14" s="128" t="s">
        <v>6174</v>
      </c>
      <c r="F14" s="128"/>
      <c r="G14" s="128" t="s">
        <v>6259</v>
      </c>
      <c r="H14" s="288" t="s">
        <v>4</v>
      </c>
    </row>
    <row r="15" spans="1:8" ht="26" customHeight="1">
      <c r="A15" s="296" t="s">
        <v>6269</v>
      </c>
      <c r="B15" s="128" t="s">
        <v>6242</v>
      </c>
      <c r="C15" s="273" t="s">
        <v>6270</v>
      </c>
      <c r="D15" s="273" t="s">
        <v>6271</v>
      </c>
      <c r="E15" s="128" t="s">
        <v>6174</v>
      </c>
      <c r="F15" s="128" t="s">
        <v>6245</v>
      </c>
      <c r="G15" s="128" t="s">
        <v>6259</v>
      </c>
      <c r="H15" s="288" t="s">
        <v>4</v>
      </c>
    </row>
    <row r="16" spans="1:8" ht="26" customHeight="1">
      <c r="A16" s="296" t="s">
        <v>6272</v>
      </c>
      <c r="B16" s="128" t="s">
        <v>6242</v>
      </c>
      <c r="C16" s="273" t="s">
        <v>6273</v>
      </c>
      <c r="D16" s="273" t="s">
        <v>6274</v>
      </c>
      <c r="E16" s="128" t="s">
        <v>6174</v>
      </c>
      <c r="F16" s="128"/>
      <c r="G16" s="128" t="s">
        <v>6275</v>
      </c>
      <c r="H16" s="288" t="s">
        <v>4</v>
      </c>
    </row>
    <row r="17" spans="1:8" ht="26" customHeight="1">
      <c r="A17" s="296" t="s">
        <v>6276</v>
      </c>
      <c r="B17" s="128" t="s">
        <v>6242</v>
      </c>
      <c r="C17" s="273" t="s">
        <v>6277</v>
      </c>
      <c r="D17" s="273" t="s">
        <v>6274</v>
      </c>
      <c r="E17" s="128" t="s">
        <v>6174</v>
      </c>
      <c r="F17" s="128" t="s">
        <v>6245</v>
      </c>
      <c r="G17" s="128" t="s">
        <v>6275</v>
      </c>
      <c r="H17" s="288" t="s">
        <v>4</v>
      </c>
    </row>
    <row r="18" spans="1:8" ht="26" customHeight="1">
      <c r="A18" s="296" t="s">
        <v>6278</v>
      </c>
      <c r="B18" s="128" t="s">
        <v>6242</v>
      </c>
      <c r="C18" s="273" t="s">
        <v>6279</v>
      </c>
      <c r="D18" s="273" t="s">
        <v>6280</v>
      </c>
      <c r="E18" s="128" t="s">
        <v>6174</v>
      </c>
      <c r="F18" s="128"/>
      <c r="G18" s="128" t="s">
        <v>6275</v>
      </c>
      <c r="H18" s="288" t="s">
        <v>4</v>
      </c>
    </row>
    <row r="19" spans="1:8" ht="26" customHeight="1">
      <c r="A19" s="296" t="s">
        <v>6281</v>
      </c>
      <c r="B19" s="128" t="s">
        <v>6242</v>
      </c>
      <c r="C19" s="273" t="s">
        <v>6282</v>
      </c>
      <c r="D19" s="273" t="s">
        <v>6280</v>
      </c>
      <c r="E19" s="128" t="s">
        <v>6174</v>
      </c>
      <c r="F19" s="128"/>
      <c r="G19" s="128" t="s">
        <v>6275</v>
      </c>
      <c r="H19" s="288" t="s">
        <v>4</v>
      </c>
    </row>
    <row r="20" spans="1:8" ht="26" customHeight="1">
      <c r="A20" s="296" t="s">
        <v>6283</v>
      </c>
      <c r="B20" s="128" t="s">
        <v>6242</v>
      </c>
      <c r="C20" s="273" t="s">
        <v>6284</v>
      </c>
      <c r="D20" s="273" t="s">
        <v>1430</v>
      </c>
      <c r="E20" s="128" t="s">
        <v>6174</v>
      </c>
      <c r="F20" s="128"/>
      <c r="G20" s="128" t="s">
        <v>6275</v>
      </c>
      <c r="H20" s="288" t="s">
        <v>4</v>
      </c>
    </row>
    <row r="21" spans="1:8" ht="26" customHeight="1">
      <c r="A21" s="296" t="s">
        <v>6285</v>
      </c>
      <c r="B21" s="128" t="s">
        <v>6242</v>
      </c>
      <c r="C21" s="273" t="s">
        <v>6286</v>
      </c>
      <c r="D21" s="273" t="s">
        <v>1432</v>
      </c>
      <c r="E21" s="128" t="s">
        <v>6174</v>
      </c>
      <c r="F21" s="128"/>
      <c r="G21" s="128" t="s">
        <v>6287</v>
      </c>
      <c r="H21" s="288" t="s">
        <v>4</v>
      </c>
    </row>
    <row r="22" spans="1:8" ht="26" customHeight="1">
      <c r="A22" s="296" t="s">
        <v>6288</v>
      </c>
      <c r="B22" s="128" t="s">
        <v>6242</v>
      </c>
      <c r="C22" s="273" t="s">
        <v>6289</v>
      </c>
      <c r="D22" s="273" t="s">
        <v>1432</v>
      </c>
      <c r="E22" s="128" t="s">
        <v>6174</v>
      </c>
      <c r="F22" s="128"/>
      <c r="G22" s="128" t="s">
        <v>6287</v>
      </c>
      <c r="H22" s="288" t="s">
        <v>4</v>
      </c>
    </row>
    <row r="23" spans="1:8" ht="26" customHeight="1">
      <c r="A23" s="296" t="s">
        <v>6290</v>
      </c>
      <c r="B23" s="128" t="s">
        <v>6242</v>
      </c>
      <c r="C23" s="273" t="s">
        <v>6291</v>
      </c>
      <c r="D23" s="273" t="s">
        <v>6292</v>
      </c>
      <c r="E23" s="128" t="s">
        <v>6174</v>
      </c>
      <c r="F23" s="128"/>
      <c r="G23" s="128" t="s">
        <v>6287</v>
      </c>
      <c r="H23" s="288" t="s">
        <v>4</v>
      </c>
    </row>
    <row r="24" spans="1:8" ht="26" customHeight="1">
      <c r="A24" s="296" t="s">
        <v>6293</v>
      </c>
      <c r="B24" s="128" t="s">
        <v>6242</v>
      </c>
      <c r="C24" s="273" t="s">
        <v>6294</v>
      </c>
      <c r="D24" s="273" t="s">
        <v>40</v>
      </c>
      <c r="E24" s="128" t="s">
        <v>6174</v>
      </c>
      <c r="F24" s="128"/>
      <c r="G24" s="128" t="s">
        <v>6287</v>
      </c>
      <c r="H24" s="288" t="s">
        <v>4</v>
      </c>
    </row>
    <row r="25" spans="1:8" ht="26" customHeight="1">
      <c r="A25" s="296" t="s">
        <v>6295</v>
      </c>
      <c r="B25" s="128" t="s">
        <v>6242</v>
      </c>
      <c r="C25" s="273" t="s">
        <v>6296</v>
      </c>
      <c r="D25" s="273" t="s">
        <v>6274</v>
      </c>
      <c r="E25" s="128" t="s">
        <v>6174</v>
      </c>
      <c r="F25" s="128"/>
      <c r="G25" s="128" t="s">
        <v>6287</v>
      </c>
      <c r="H25" s="288" t="s">
        <v>4</v>
      </c>
    </row>
    <row r="26" spans="1:8" ht="26" customHeight="1">
      <c r="A26" s="296" t="s">
        <v>6297</v>
      </c>
      <c r="B26" s="128" t="s">
        <v>6242</v>
      </c>
      <c r="C26" s="273" t="s">
        <v>6298</v>
      </c>
      <c r="D26" s="273" t="s">
        <v>6299</v>
      </c>
      <c r="E26" s="128" t="s">
        <v>6174</v>
      </c>
      <c r="F26" s="128"/>
      <c r="G26" s="128" t="s">
        <v>6300</v>
      </c>
      <c r="H26" s="288" t="s">
        <v>4</v>
      </c>
    </row>
    <row r="27" spans="1:8" ht="26" customHeight="1">
      <c r="A27" s="296" t="s">
        <v>6301</v>
      </c>
      <c r="B27" s="128" t="s">
        <v>6242</v>
      </c>
      <c r="C27" s="273" t="s">
        <v>6302</v>
      </c>
      <c r="D27" s="273" t="s">
        <v>6303</v>
      </c>
      <c r="E27" s="128" t="s">
        <v>6174</v>
      </c>
      <c r="F27" s="128"/>
      <c r="G27" s="128" t="s">
        <v>6300</v>
      </c>
      <c r="H27" s="288" t="s">
        <v>4</v>
      </c>
    </row>
    <row r="28" spans="1:8" ht="26" customHeight="1">
      <c r="A28" s="296" t="s">
        <v>6304</v>
      </c>
      <c r="B28" s="128" t="s">
        <v>6242</v>
      </c>
      <c r="C28" s="273" t="s">
        <v>6305</v>
      </c>
      <c r="D28" s="273" t="s">
        <v>2606</v>
      </c>
      <c r="E28" s="128" t="s">
        <v>6174</v>
      </c>
      <c r="F28" s="128"/>
      <c r="G28" s="128" t="s">
        <v>6300</v>
      </c>
      <c r="H28" s="288" t="s">
        <v>4</v>
      </c>
    </row>
    <row r="29" spans="1:8" ht="26" customHeight="1">
      <c r="A29" s="296" t="s">
        <v>6306</v>
      </c>
      <c r="B29" s="128" t="s">
        <v>6307</v>
      </c>
      <c r="C29" s="273" t="s">
        <v>6308</v>
      </c>
      <c r="D29" s="273" t="s">
        <v>6309</v>
      </c>
      <c r="E29" s="128" t="s">
        <v>6174</v>
      </c>
      <c r="F29" s="128" t="s">
        <v>6245</v>
      </c>
      <c r="G29" s="128" t="s">
        <v>6310</v>
      </c>
      <c r="H29" s="288" t="s">
        <v>4</v>
      </c>
    </row>
    <row r="30" spans="1:8" ht="26" customHeight="1">
      <c r="A30" s="296" t="s">
        <v>6311</v>
      </c>
      <c r="B30" s="128" t="s">
        <v>6307</v>
      </c>
      <c r="C30" s="273" t="s">
        <v>6312</v>
      </c>
      <c r="D30" s="273" t="s">
        <v>6313</v>
      </c>
      <c r="E30" s="128" t="s">
        <v>6174</v>
      </c>
      <c r="F30" s="128"/>
      <c r="G30" s="128" t="s">
        <v>6310</v>
      </c>
      <c r="H30" s="288" t="s">
        <v>4</v>
      </c>
    </row>
    <row r="31" spans="1:8" ht="26" customHeight="1">
      <c r="A31" s="296" t="s">
        <v>6314</v>
      </c>
      <c r="B31" s="128" t="s">
        <v>6307</v>
      </c>
      <c r="C31" s="273" t="s">
        <v>6315</v>
      </c>
      <c r="D31" s="273" t="s">
        <v>6316</v>
      </c>
      <c r="E31" s="128" t="s">
        <v>6174</v>
      </c>
      <c r="F31" s="128" t="s">
        <v>6245</v>
      </c>
      <c r="G31" s="128" t="s">
        <v>6317</v>
      </c>
      <c r="H31" s="288" t="s">
        <v>4</v>
      </c>
    </row>
    <row r="32" spans="1:8" ht="26" customHeight="1">
      <c r="A32" s="296" t="s">
        <v>6318</v>
      </c>
      <c r="B32" s="128" t="s">
        <v>6307</v>
      </c>
      <c r="C32" s="273" t="s">
        <v>6319</v>
      </c>
      <c r="D32" s="273" t="s">
        <v>6320</v>
      </c>
      <c r="E32" s="128" t="s">
        <v>6174</v>
      </c>
      <c r="F32" s="128" t="s">
        <v>6245</v>
      </c>
      <c r="G32" s="128" t="s">
        <v>6317</v>
      </c>
      <c r="H32" s="288" t="s">
        <v>4</v>
      </c>
    </row>
    <row r="33" spans="1:8" ht="26" customHeight="1">
      <c r="A33" s="296" t="s">
        <v>6321</v>
      </c>
      <c r="B33" s="128" t="s">
        <v>6307</v>
      </c>
      <c r="C33" s="273" t="s">
        <v>6322</v>
      </c>
      <c r="D33" s="273" t="s">
        <v>6323</v>
      </c>
      <c r="E33" s="128" t="s">
        <v>6174</v>
      </c>
      <c r="F33" s="128" t="s">
        <v>6245</v>
      </c>
      <c r="G33" s="128" t="s">
        <v>6317</v>
      </c>
      <c r="H33" s="288" t="s">
        <v>4</v>
      </c>
    </row>
    <row r="34" spans="1:8" ht="26" customHeight="1">
      <c r="A34" s="296" t="s">
        <v>6324</v>
      </c>
      <c r="B34" s="128" t="s">
        <v>6307</v>
      </c>
      <c r="C34" s="273" t="s">
        <v>6325</v>
      </c>
      <c r="D34" s="273" t="s">
        <v>511</v>
      </c>
      <c r="E34" s="128" t="s">
        <v>6174</v>
      </c>
      <c r="F34" s="128"/>
      <c r="G34" s="128" t="s">
        <v>6317</v>
      </c>
      <c r="H34" s="288" t="s">
        <v>4</v>
      </c>
    </row>
    <row r="35" spans="1:8" ht="26" customHeight="1">
      <c r="A35" s="296" t="s">
        <v>6326</v>
      </c>
      <c r="B35" s="128" t="s">
        <v>6307</v>
      </c>
      <c r="C35" s="273" t="s">
        <v>6327</v>
      </c>
      <c r="D35" s="273" t="s">
        <v>2583</v>
      </c>
      <c r="E35" s="128" t="s">
        <v>6182</v>
      </c>
      <c r="F35" s="128"/>
      <c r="G35" s="128" t="s">
        <v>6317</v>
      </c>
      <c r="H35" s="288" t="s">
        <v>4</v>
      </c>
    </row>
    <row r="36" spans="1:8" ht="26" customHeight="1">
      <c r="A36" s="296" t="s">
        <v>6328</v>
      </c>
      <c r="B36" s="128" t="s">
        <v>6307</v>
      </c>
      <c r="C36" s="273" t="s">
        <v>6329</v>
      </c>
      <c r="D36" s="273" t="s">
        <v>914</v>
      </c>
      <c r="E36" s="128" t="s">
        <v>6174</v>
      </c>
      <c r="F36" s="128" t="s">
        <v>6245</v>
      </c>
      <c r="G36" s="128" t="s">
        <v>6330</v>
      </c>
      <c r="H36" s="288" t="s">
        <v>4</v>
      </c>
    </row>
    <row r="37" spans="1:8" ht="26" customHeight="1">
      <c r="A37" s="296" t="s">
        <v>6331</v>
      </c>
      <c r="B37" s="128" t="s">
        <v>6307</v>
      </c>
      <c r="C37" s="273" t="s">
        <v>6332</v>
      </c>
      <c r="D37" s="273" t="s">
        <v>909</v>
      </c>
      <c r="E37" s="128" t="s">
        <v>6174</v>
      </c>
      <c r="F37" s="128" t="s">
        <v>6245</v>
      </c>
      <c r="G37" s="128" t="s">
        <v>6330</v>
      </c>
      <c r="H37" s="288" t="s">
        <v>4</v>
      </c>
    </row>
    <row r="38" spans="1:8" ht="26" customHeight="1">
      <c r="A38" s="296" t="s">
        <v>6333</v>
      </c>
      <c r="B38" s="128" t="s">
        <v>6307</v>
      </c>
      <c r="C38" s="273" t="s">
        <v>6334</v>
      </c>
      <c r="D38" s="273" t="s">
        <v>6335</v>
      </c>
      <c r="E38" s="128" t="s">
        <v>6174</v>
      </c>
      <c r="F38" s="128" t="s">
        <v>6245</v>
      </c>
      <c r="G38" s="128" t="s">
        <v>6336</v>
      </c>
      <c r="H38" s="288" t="s">
        <v>4</v>
      </c>
    </row>
    <row r="39" spans="1:8" ht="26" customHeight="1">
      <c r="A39" s="296" t="s">
        <v>6337</v>
      </c>
      <c r="B39" s="128" t="s">
        <v>6307</v>
      </c>
      <c r="C39" s="273" t="s">
        <v>6338</v>
      </c>
      <c r="D39" s="273" t="s">
        <v>6339</v>
      </c>
      <c r="E39" s="128" t="s">
        <v>6174</v>
      </c>
      <c r="F39" s="128" t="s">
        <v>6245</v>
      </c>
      <c r="G39" s="128" t="s">
        <v>6336</v>
      </c>
      <c r="H39" s="288" t="s">
        <v>4</v>
      </c>
    </row>
    <row r="40" spans="1:8" ht="26" customHeight="1">
      <c r="A40" s="296" t="s">
        <v>6340</v>
      </c>
      <c r="B40" s="128" t="s">
        <v>6307</v>
      </c>
      <c r="C40" s="273" t="s">
        <v>6341</v>
      </c>
      <c r="D40" s="273" t="s">
        <v>2497</v>
      </c>
      <c r="E40" s="128" t="s">
        <v>6174</v>
      </c>
      <c r="F40" s="128" t="s">
        <v>6245</v>
      </c>
      <c r="G40" s="128" t="s">
        <v>6336</v>
      </c>
      <c r="H40" s="288" t="s">
        <v>4</v>
      </c>
    </row>
    <row r="41" spans="1:8" ht="26" customHeight="1">
      <c r="A41" s="296" t="s">
        <v>6342</v>
      </c>
      <c r="B41" s="128" t="s">
        <v>6307</v>
      </c>
      <c r="C41" s="273" t="s">
        <v>2454</v>
      </c>
      <c r="D41" s="273" t="s">
        <v>2453</v>
      </c>
      <c r="E41" s="128" t="s">
        <v>6174</v>
      </c>
      <c r="F41" s="128"/>
      <c r="G41" s="128" t="s">
        <v>6336</v>
      </c>
      <c r="H41" s="288" t="s">
        <v>4</v>
      </c>
    </row>
    <row r="42" spans="1:8" ht="26" customHeight="1">
      <c r="A42" s="296" t="s">
        <v>6343</v>
      </c>
      <c r="B42" s="128" t="s">
        <v>6307</v>
      </c>
      <c r="C42" s="273" t="s">
        <v>6344</v>
      </c>
      <c r="D42" s="273" t="s">
        <v>6345</v>
      </c>
      <c r="E42" s="128" t="s">
        <v>6174</v>
      </c>
      <c r="F42" s="128"/>
      <c r="G42" s="128" t="s">
        <v>6346</v>
      </c>
      <c r="H42" s="288" t="s">
        <v>4</v>
      </c>
    </row>
    <row r="43" spans="1:8" ht="26" customHeight="1">
      <c r="A43" s="296" t="s">
        <v>6347</v>
      </c>
      <c r="B43" s="128" t="s">
        <v>6307</v>
      </c>
      <c r="C43" s="273" t="s">
        <v>6348</v>
      </c>
      <c r="D43" s="273" t="s">
        <v>2685</v>
      </c>
      <c r="E43" s="128" t="s">
        <v>6174</v>
      </c>
      <c r="F43" s="128"/>
      <c r="G43" s="128" t="s">
        <v>6346</v>
      </c>
      <c r="H43" s="288" t="s">
        <v>4</v>
      </c>
    </row>
    <row r="44" spans="1:8" ht="26" customHeight="1">
      <c r="A44" s="296" t="s">
        <v>6349</v>
      </c>
      <c r="B44" s="128" t="s">
        <v>6307</v>
      </c>
      <c r="C44" s="273" t="s">
        <v>6350</v>
      </c>
      <c r="D44" s="273" t="s">
        <v>6351</v>
      </c>
      <c r="E44" s="128" t="s">
        <v>6174</v>
      </c>
      <c r="F44" s="128"/>
      <c r="G44" s="128" t="s">
        <v>6346</v>
      </c>
      <c r="H44" s="288" t="s">
        <v>4</v>
      </c>
    </row>
    <row r="45" spans="1:8" ht="26" customHeight="1">
      <c r="A45" s="296" t="s">
        <v>6352</v>
      </c>
      <c r="B45" s="128" t="s">
        <v>6307</v>
      </c>
      <c r="C45" s="273" t="s">
        <v>6353</v>
      </c>
      <c r="D45" s="273" t="s">
        <v>6354</v>
      </c>
      <c r="E45" s="128" t="s">
        <v>6174</v>
      </c>
      <c r="F45" s="128" t="s">
        <v>6245</v>
      </c>
      <c r="G45" s="128" t="s">
        <v>6346</v>
      </c>
      <c r="H45" s="288" t="s">
        <v>4</v>
      </c>
    </row>
    <row r="46" spans="1:8" ht="26" customHeight="1">
      <c r="A46" s="296" t="s">
        <v>6355</v>
      </c>
      <c r="B46" s="128" t="s">
        <v>6356</v>
      </c>
      <c r="C46" s="273" t="s">
        <v>6357</v>
      </c>
      <c r="D46" s="273" t="s">
        <v>2614</v>
      </c>
      <c r="E46" s="128" t="s">
        <v>6174</v>
      </c>
      <c r="F46" s="128" t="s">
        <v>6245</v>
      </c>
      <c r="G46" s="128" t="s">
        <v>6358</v>
      </c>
      <c r="H46" s="288" t="s">
        <v>4</v>
      </c>
    </row>
    <row r="47" spans="1:8" ht="26" customHeight="1">
      <c r="A47" s="296" t="s">
        <v>6359</v>
      </c>
      <c r="B47" s="128" t="s">
        <v>6356</v>
      </c>
      <c r="C47" s="273" t="s">
        <v>6360</v>
      </c>
      <c r="D47" s="273" t="s">
        <v>2614</v>
      </c>
      <c r="E47" s="128" t="s">
        <v>6174</v>
      </c>
      <c r="F47" s="128"/>
      <c r="G47" s="128" t="s">
        <v>6358</v>
      </c>
      <c r="H47" s="288" t="s">
        <v>4</v>
      </c>
    </row>
    <row r="48" spans="1:8" ht="26" customHeight="1">
      <c r="A48" s="296" t="s">
        <v>6361</v>
      </c>
      <c r="B48" s="128" t="s">
        <v>6356</v>
      </c>
      <c r="C48" s="273" t="s">
        <v>6362</v>
      </c>
      <c r="D48" s="273" t="s">
        <v>6363</v>
      </c>
      <c r="E48" s="128" t="s">
        <v>6174</v>
      </c>
      <c r="F48" s="128" t="s">
        <v>6245</v>
      </c>
      <c r="G48" s="128" t="s">
        <v>6358</v>
      </c>
      <c r="H48" s="288" t="s">
        <v>4</v>
      </c>
    </row>
    <row r="49" spans="1:8" ht="26" customHeight="1">
      <c r="A49" s="296" t="s">
        <v>6364</v>
      </c>
      <c r="B49" s="128" t="s">
        <v>6356</v>
      </c>
      <c r="C49" s="273" t="s">
        <v>6365</v>
      </c>
      <c r="D49" s="273" t="s">
        <v>2614</v>
      </c>
      <c r="E49" s="128" t="s">
        <v>6174</v>
      </c>
      <c r="F49" s="128" t="s">
        <v>6245</v>
      </c>
      <c r="G49" s="128" t="s">
        <v>6358</v>
      </c>
      <c r="H49" s="288" t="s">
        <v>4</v>
      </c>
    </row>
    <row r="50" spans="1:8" ht="26" customHeight="1">
      <c r="A50" s="296" t="s">
        <v>6366</v>
      </c>
      <c r="B50" s="128" t="s">
        <v>6356</v>
      </c>
      <c r="C50" s="273" t="s">
        <v>6367</v>
      </c>
      <c r="D50" s="273" t="s">
        <v>2614</v>
      </c>
      <c r="E50" s="128" t="s">
        <v>6174</v>
      </c>
      <c r="F50" s="128" t="s">
        <v>6245</v>
      </c>
      <c r="G50" s="128" t="s">
        <v>6358</v>
      </c>
      <c r="H50" s="288" t="s">
        <v>4</v>
      </c>
    </row>
    <row r="51" spans="1:8" ht="26" customHeight="1">
      <c r="A51" s="296" t="s">
        <v>6368</v>
      </c>
      <c r="B51" s="128" t="s">
        <v>6356</v>
      </c>
      <c r="C51" s="273" t="s">
        <v>6369</v>
      </c>
      <c r="D51" s="273" t="s">
        <v>2497</v>
      </c>
      <c r="E51" s="128" t="s">
        <v>6174</v>
      </c>
      <c r="F51" s="128" t="s">
        <v>6245</v>
      </c>
      <c r="G51" s="128" t="s">
        <v>6358</v>
      </c>
      <c r="H51" s="288" t="s">
        <v>4</v>
      </c>
    </row>
    <row r="52" spans="1:8" ht="26" customHeight="1">
      <c r="A52" s="296" t="s">
        <v>6370</v>
      </c>
      <c r="B52" s="128" t="s">
        <v>6356</v>
      </c>
      <c r="C52" s="273" t="s">
        <v>6371</v>
      </c>
      <c r="D52" s="273" t="s">
        <v>2614</v>
      </c>
      <c r="E52" s="128" t="s">
        <v>6174</v>
      </c>
      <c r="F52" s="128"/>
      <c r="G52" s="128" t="s">
        <v>6372</v>
      </c>
      <c r="H52" s="288" t="s">
        <v>4</v>
      </c>
    </row>
    <row r="53" spans="1:8" ht="26" customHeight="1">
      <c r="A53" s="296" t="s">
        <v>6373</v>
      </c>
      <c r="B53" s="128" t="s">
        <v>6356</v>
      </c>
      <c r="C53" s="273" t="s">
        <v>6374</v>
      </c>
      <c r="D53" s="273" t="s">
        <v>6375</v>
      </c>
      <c r="E53" s="128" t="s">
        <v>6174</v>
      </c>
      <c r="F53" s="128"/>
      <c r="G53" s="128" t="s">
        <v>6372</v>
      </c>
      <c r="H53" s="288" t="s">
        <v>4</v>
      </c>
    </row>
    <row r="54" spans="1:8" ht="26" customHeight="1">
      <c r="A54" s="296" t="s">
        <v>6376</v>
      </c>
      <c r="B54" s="128" t="s">
        <v>6356</v>
      </c>
      <c r="C54" s="273" t="s">
        <v>6377</v>
      </c>
      <c r="D54" s="273" t="s">
        <v>2614</v>
      </c>
      <c r="E54" s="128" t="s">
        <v>6174</v>
      </c>
      <c r="F54" s="128"/>
      <c r="G54" s="128" t="s">
        <v>6372</v>
      </c>
      <c r="H54" s="288" t="s">
        <v>4</v>
      </c>
    </row>
    <row r="55" spans="1:8" ht="26" customHeight="1">
      <c r="A55" s="296" t="s">
        <v>6378</v>
      </c>
      <c r="B55" s="128" t="s">
        <v>6356</v>
      </c>
      <c r="C55" s="273" t="s">
        <v>6379</v>
      </c>
      <c r="D55" s="273" t="s">
        <v>6380</v>
      </c>
      <c r="E55" s="128" t="s">
        <v>6174</v>
      </c>
      <c r="F55" s="128"/>
      <c r="G55" s="128" t="s">
        <v>6372</v>
      </c>
      <c r="H55" s="288" t="s">
        <v>4</v>
      </c>
    </row>
    <row r="56" spans="1:8" ht="26" customHeight="1">
      <c r="A56" s="296" t="s">
        <v>6381</v>
      </c>
      <c r="B56" s="128" t="s">
        <v>6356</v>
      </c>
      <c r="C56" s="273" t="s">
        <v>6382</v>
      </c>
      <c r="D56" s="273" t="s">
        <v>6383</v>
      </c>
      <c r="E56" s="128" t="s">
        <v>6174</v>
      </c>
      <c r="F56" s="128" t="s">
        <v>6245</v>
      </c>
      <c r="G56" s="128" t="s">
        <v>6384</v>
      </c>
      <c r="H56" s="288" t="s">
        <v>4</v>
      </c>
    </row>
    <row r="57" spans="1:8" ht="26" customHeight="1">
      <c r="A57" s="296" t="s">
        <v>6385</v>
      </c>
      <c r="B57" s="128" t="s">
        <v>6356</v>
      </c>
      <c r="C57" s="273" t="s">
        <v>6386</v>
      </c>
      <c r="D57" s="273" t="s">
        <v>6387</v>
      </c>
      <c r="E57" s="128" t="s">
        <v>6174</v>
      </c>
      <c r="F57" s="128" t="s">
        <v>6245</v>
      </c>
      <c r="G57" s="128" t="s">
        <v>6384</v>
      </c>
      <c r="H57" s="288" t="s">
        <v>4</v>
      </c>
    </row>
    <row r="58" spans="1:8" ht="26" customHeight="1">
      <c r="A58" s="296" t="s">
        <v>6388</v>
      </c>
      <c r="B58" s="128" t="s">
        <v>6356</v>
      </c>
      <c r="C58" s="273" t="s">
        <v>6389</v>
      </c>
      <c r="D58" s="273" t="s">
        <v>2614</v>
      </c>
      <c r="E58" s="128" t="s">
        <v>6174</v>
      </c>
      <c r="F58" s="128"/>
      <c r="G58" s="128" t="s">
        <v>6384</v>
      </c>
      <c r="H58" s="288" t="s">
        <v>4</v>
      </c>
    </row>
    <row r="59" spans="1:8" ht="26" customHeight="1">
      <c r="A59" s="296" t="s">
        <v>6390</v>
      </c>
      <c r="B59" s="128" t="s">
        <v>6356</v>
      </c>
      <c r="C59" s="273" t="s">
        <v>6391</v>
      </c>
      <c r="D59" s="273" t="s">
        <v>886</v>
      </c>
      <c r="E59" s="128" t="s">
        <v>6174</v>
      </c>
      <c r="F59" s="128"/>
      <c r="G59" s="128" t="s">
        <v>6392</v>
      </c>
      <c r="H59" s="288" t="s">
        <v>4</v>
      </c>
    </row>
    <row r="60" spans="1:8" ht="26" customHeight="1">
      <c r="A60" s="296" t="s">
        <v>6393</v>
      </c>
      <c r="B60" s="128" t="s">
        <v>6356</v>
      </c>
      <c r="C60" s="273" t="s">
        <v>6394</v>
      </c>
      <c r="D60" s="273" t="s">
        <v>886</v>
      </c>
      <c r="E60" s="128" t="s">
        <v>6174</v>
      </c>
      <c r="F60" s="128"/>
      <c r="G60" s="128" t="s">
        <v>6392</v>
      </c>
      <c r="H60" s="288" t="s">
        <v>4</v>
      </c>
    </row>
    <row r="61" spans="1:8" ht="26" customHeight="1">
      <c r="A61" s="296" t="s">
        <v>6395</v>
      </c>
      <c r="B61" s="128" t="s">
        <v>6356</v>
      </c>
      <c r="C61" s="273" t="s">
        <v>6396</v>
      </c>
      <c r="D61" s="273" t="s">
        <v>1211</v>
      </c>
      <c r="E61" s="128" t="s">
        <v>6174</v>
      </c>
      <c r="F61" s="128" t="s">
        <v>6245</v>
      </c>
      <c r="G61" s="128" t="s">
        <v>6392</v>
      </c>
      <c r="H61" s="288" t="s">
        <v>4</v>
      </c>
    </row>
    <row r="62" spans="1:8" ht="26" customHeight="1">
      <c r="A62" s="296" t="s">
        <v>6397</v>
      </c>
      <c r="B62" s="128" t="s">
        <v>6356</v>
      </c>
      <c r="C62" s="273" t="s">
        <v>6398</v>
      </c>
      <c r="D62" s="273" t="s">
        <v>6399</v>
      </c>
      <c r="E62" s="128" t="s">
        <v>6174</v>
      </c>
      <c r="F62" s="128"/>
      <c r="G62" s="128" t="s">
        <v>6392</v>
      </c>
      <c r="H62" s="288" t="s">
        <v>4</v>
      </c>
    </row>
    <row r="63" spans="1:8" ht="26" customHeight="1">
      <c r="A63" s="296" t="s">
        <v>6400</v>
      </c>
      <c r="B63" s="128" t="s">
        <v>6356</v>
      </c>
      <c r="C63" s="273" t="s">
        <v>6401</v>
      </c>
      <c r="D63" s="273" t="s">
        <v>6402</v>
      </c>
      <c r="E63" s="128" t="s">
        <v>6174</v>
      </c>
      <c r="F63" s="128"/>
      <c r="G63" s="128" t="s">
        <v>6403</v>
      </c>
      <c r="H63" s="288" t="s">
        <v>4</v>
      </c>
    </row>
    <row r="64" spans="1:8" ht="26" customHeight="1">
      <c r="A64" s="296" t="s">
        <v>6404</v>
      </c>
      <c r="B64" s="128" t="s">
        <v>6356</v>
      </c>
      <c r="C64" s="273" t="s">
        <v>6405</v>
      </c>
      <c r="D64" s="273" t="s">
        <v>1439</v>
      </c>
      <c r="E64" s="128" t="s">
        <v>6174</v>
      </c>
      <c r="F64" s="128"/>
      <c r="G64" s="128" t="s">
        <v>6403</v>
      </c>
      <c r="H64" s="288" t="s">
        <v>4</v>
      </c>
    </row>
    <row r="65" spans="1:8" ht="26" customHeight="1">
      <c r="A65" s="296" t="s">
        <v>6406</v>
      </c>
      <c r="B65" s="128" t="s">
        <v>6356</v>
      </c>
      <c r="C65" s="273" t="s">
        <v>6407</v>
      </c>
      <c r="D65" s="273" t="s">
        <v>6408</v>
      </c>
      <c r="E65" s="128" t="s">
        <v>6174</v>
      </c>
      <c r="F65" s="128"/>
      <c r="G65" s="128" t="s">
        <v>6403</v>
      </c>
      <c r="H65" s="288" t="s">
        <v>4</v>
      </c>
    </row>
    <row r="66" spans="1:8" ht="26" customHeight="1">
      <c r="A66" s="296" t="s">
        <v>6409</v>
      </c>
      <c r="B66" s="128" t="s">
        <v>6356</v>
      </c>
      <c r="C66" s="273" t="s">
        <v>6410</v>
      </c>
      <c r="D66" s="273" t="s">
        <v>6411</v>
      </c>
      <c r="E66" s="128" t="s">
        <v>6174</v>
      </c>
      <c r="F66" s="128"/>
      <c r="G66" s="128" t="s">
        <v>6403</v>
      </c>
      <c r="H66" s="288" t="s">
        <v>4</v>
      </c>
    </row>
    <row r="67" spans="1:8" ht="26" customHeight="1">
      <c r="A67" s="296" t="s">
        <v>6412</v>
      </c>
      <c r="B67" s="128" t="s">
        <v>6356</v>
      </c>
      <c r="C67" s="273" t="s">
        <v>6413</v>
      </c>
      <c r="D67" s="273" t="s">
        <v>1437</v>
      </c>
      <c r="E67" s="128" t="s">
        <v>6174</v>
      </c>
      <c r="F67" s="128"/>
      <c r="G67" s="128" t="s">
        <v>6403</v>
      </c>
      <c r="H67" s="288" t="s">
        <v>4</v>
      </c>
    </row>
    <row r="68" spans="1:8" ht="26" customHeight="1">
      <c r="A68" s="296" t="s">
        <v>6414</v>
      </c>
      <c r="B68" s="128" t="s">
        <v>6415</v>
      </c>
      <c r="C68" s="273" t="s">
        <v>6416</v>
      </c>
      <c r="D68" s="273" t="s">
        <v>6417</v>
      </c>
      <c r="E68" s="128" t="s">
        <v>6174</v>
      </c>
      <c r="F68" s="128" t="s">
        <v>6245</v>
      </c>
      <c r="G68" s="128" t="s">
        <v>6418</v>
      </c>
      <c r="H68" s="288" t="s">
        <v>4</v>
      </c>
    </row>
    <row r="69" spans="1:8" ht="26" customHeight="1">
      <c r="A69" s="296" t="s">
        <v>6419</v>
      </c>
      <c r="B69" s="128" t="s">
        <v>6415</v>
      </c>
      <c r="C69" s="273" t="s">
        <v>6420</v>
      </c>
      <c r="D69" s="273" t="s">
        <v>1049</v>
      </c>
      <c r="E69" s="128" t="s">
        <v>6174</v>
      </c>
      <c r="F69" s="128"/>
      <c r="G69" s="128" t="s">
        <v>6418</v>
      </c>
      <c r="H69" s="288" t="s">
        <v>4</v>
      </c>
    </row>
    <row r="70" spans="1:8" ht="26" customHeight="1">
      <c r="A70" s="296" t="s">
        <v>6421</v>
      </c>
      <c r="B70" s="128" t="s">
        <v>6415</v>
      </c>
      <c r="C70" s="273" t="s">
        <v>6422</v>
      </c>
      <c r="D70" s="273" t="s">
        <v>913</v>
      </c>
      <c r="E70" s="128" t="s">
        <v>6174</v>
      </c>
      <c r="F70" s="128" t="s">
        <v>6245</v>
      </c>
      <c r="G70" s="128" t="s">
        <v>6418</v>
      </c>
      <c r="H70" s="288" t="s">
        <v>4</v>
      </c>
    </row>
    <row r="71" spans="1:8" ht="26" customHeight="1">
      <c r="A71" s="296" t="s">
        <v>6423</v>
      </c>
      <c r="B71" s="128" t="s">
        <v>6415</v>
      </c>
      <c r="C71" s="273" t="s">
        <v>6424</v>
      </c>
      <c r="D71" s="273" t="s">
        <v>6425</v>
      </c>
      <c r="E71" s="128" t="s">
        <v>6174</v>
      </c>
      <c r="F71" s="128"/>
      <c r="G71" s="128" t="s">
        <v>6418</v>
      </c>
      <c r="H71" s="288" t="s">
        <v>4</v>
      </c>
    </row>
    <row r="72" spans="1:8" ht="26" customHeight="1">
      <c r="A72" s="296" t="s">
        <v>6426</v>
      </c>
      <c r="B72" s="128" t="s">
        <v>6415</v>
      </c>
      <c r="C72" s="273" t="s">
        <v>6427</v>
      </c>
      <c r="D72" s="273" t="s">
        <v>6428</v>
      </c>
      <c r="E72" s="128" t="s">
        <v>6174</v>
      </c>
      <c r="F72" s="128" t="s">
        <v>6245</v>
      </c>
      <c r="G72" s="128" t="s">
        <v>6429</v>
      </c>
      <c r="H72" s="288" t="s">
        <v>4</v>
      </c>
    </row>
    <row r="73" spans="1:8" ht="26" customHeight="1">
      <c r="A73" s="296" t="s">
        <v>6430</v>
      </c>
      <c r="B73" s="128" t="s">
        <v>6415</v>
      </c>
      <c r="C73" s="273" t="s">
        <v>6431</v>
      </c>
      <c r="D73" s="273" t="s">
        <v>2614</v>
      </c>
      <c r="E73" s="128" t="s">
        <v>6174</v>
      </c>
      <c r="F73" s="128" t="s">
        <v>6245</v>
      </c>
      <c r="G73" s="128" t="s">
        <v>6429</v>
      </c>
      <c r="H73" s="288" t="s">
        <v>4</v>
      </c>
    </row>
    <row r="74" spans="1:8" ht="26" customHeight="1">
      <c r="A74" s="296" t="s">
        <v>6432</v>
      </c>
      <c r="B74" s="128" t="s">
        <v>6415</v>
      </c>
      <c r="C74" s="273" t="s">
        <v>6433</v>
      </c>
      <c r="D74" s="273" t="s">
        <v>6434</v>
      </c>
      <c r="E74" s="128" t="s">
        <v>6174</v>
      </c>
      <c r="F74" s="128"/>
      <c r="G74" s="128" t="s">
        <v>6429</v>
      </c>
      <c r="H74" s="288" t="s">
        <v>4</v>
      </c>
    </row>
    <row r="75" spans="1:8" ht="26" customHeight="1">
      <c r="A75" s="296" t="s">
        <v>6435</v>
      </c>
      <c r="B75" s="128" t="s">
        <v>6415</v>
      </c>
      <c r="C75" s="273" t="s">
        <v>6436</v>
      </c>
      <c r="D75" s="273" t="s">
        <v>6437</v>
      </c>
      <c r="E75" s="128" t="s">
        <v>6174</v>
      </c>
      <c r="F75" s="128"/>
      <c r="G75" s="128" t="s">
        <v>6429</v>
      </c>
      <c r="H75" s="288" t="s">
        <v>4</v>
      </c>
    </row>
    <row r="76" spans="1:8" ht="26" customHeight="1">
      <c r="A76" s="296" t="s">
        <v>6438</v>
      </c>
      <c r="B76" s="128" t="s">
        <v>6415</v>
      </c>
      <c r="C76" s="273" t="s">
        <v>6439</v>
      </c>
      <c r="D76" s="273" t="s">
        <v>1439</v>
      </c>
      <c r="E76" s="128" t="s">
        <v>6174</v>
      </c>
      <c r="F76" s="128"/>
      <c r="G76" s="128" t="s">
        <v>6429</v>
      </c>
      <c r="H76" s="288" t="s">
        <v>4</v>
      </c>
    </row>
    <row r="77" spans="1:8" ht="26" customHeight="1">
      <c r="A77" s="296" t="s">
        <v>6440</v>
      </c>
      <c r="B77" s="128" t="s">
        <v>6441</v>
      </c>
      <c r="C77" s="273" t="s">
        <v>6442</v>
      </c>
      <c r="D77" s="273" t="s">
        <v>2578</v>
      </c>
      <c r="E77" s="128" t="s">
        <v>6174</v>
      </c>
      <c r="F77" s="128" t="s">
        <v>6245</v>
      </c>
      <c r="G77" s="128" t="s">
        <v>6443</v>
      </c>
      <c r="H77" s="288" t="s">
        <v>4</v>
      </c>
    </row>
    <row r="78" spans="1:8" ht="26" customHeight="1">
      <c r="A78" s="296" t="s">
        <v>6444</v>
      </c>
      <c r="B78" s="128" t="s">
        <v>6441</v>
      </c>
      <c r="C78" s="273" t="s">
        <v>6445</v>
      </c>
      <c r="D78" s="273" t="s">
        <v>6446</v>
      </c>
      <c r="E78" s="128" t="s">
        <v>6174</v>
      </c>
      <c r="F78" s="128"/>
      <c r="G78" s="128" t="s">
        <v>6443</v>
      </c>
      <c r="H78" s="288" t="s">
        <v>4</v>
      </c>
    </row>
    <row r="79" spans="1:8" ht="26" customHeight="1">
      <c r="A79" s="296" t="s">
        <v>6447</v>
      </c>
      <c r="B79" s="128" t="s">
        <v>6441</v>
      </c>
      <c r="C79" s="273" t="s">
        <v>6448</v>
      </c>
      <c r="D79" s="273" t="s">
        <v>2516</v>
      </c>
      <c r="E79" s="128" t="s">
        <v>6174</v>
      </c>
      <c r="F79" s="128"/>
      <c r="G79" s="128" t="s">
        <v>6443</v>
      </c>
      <c r="H79" s="288" t="s">
        <v>4</v>
      </c>
    </row>
    <row r="80" spans="1:8" ht="26" customHeight="1">
      <c r="A80" s="296" t="s">
        <v>6449</v>
      </c>
      <c r="B80" s="128" t="s">
        <v>6441</v>
      </c>
      <c r="C80" s="273" t="s">
        <v>6450</v>
      </c>
      <c r="D80" s="273" t="s">
        <v>1254</v>
      </c>
      <c r="E80" s="128" t="s">
        <v>6174</v>
      </c>
      <c r="F80" s="128" t="s">
        <v>6245</v>
      </c>
      <c r="G80" s="128" t="s">
        <v>6451</v>
      </c>
      <c r="H80" s="288" t="s">
        <v>4</v>
      </c>
    </row>
    <row r="81" spans="1:8" ht="26" customHeight="1">
      <c r="A81" s="296" t="s">
        <v>6452</v>
      </c>
      <c r="B81" s="128" t="s">
        <v>6441</v>
      </c>
      <c r="C81" s="273" t="s">
        <v>6453</v>
      </c>
      <c r="D81" s="273" t="s">
        <v>2497</v>
      </c>
      <c r="E81" s="128" t="s">
        <v>6174</v>
      </c>
      <c r="F81" s="128"/>
      <c r="G81" s="128" t="s">
        <v>6451</v>
      </c>
      <c r="H81" s="288" t="s">
        <v>4</v>
      </c>
    </row>
    <row r="82" spans="1:8" ht="26" customHeight="1">
      <c r="A82" s="296" t="s">
        <v>6454</v>
      </c>
      <c r="B82" s="128" t="s">
        <v>6441</v>
      </c>
      <c r="C82" s="273" t="s">
        <v>6455</v>
      </c>
      <c r="D82" s="273" t="s">
        <v>2685</v>
      </c>
      <c r="E82" s="128" t="s">
        <v>6174</v>
      </c>
      <c r="F82" s="128"/>
      <c r="G82" s="128" t="s">
        <v>6451</v>
      </c>
      <c r="H82" s="288" t="s">
        <v>4</v>
      </c>
    </row>
    <row r="83" spans="1:8" ht="26" customHeight="1">
      <c r="A83" s="296" t="s">
        <v>6456</v>
      </c>
      <c r="B83" s="128" t="s">
        <v>6441</v>
      </c>
      <c r="C83" s="273" t="s">
        <v>6457</v>
      </c>
      <c r="D83" s="273" t="s">
        <v>6458</v>
      </c>
      <c r="E83" s="128" t="s">
        <v>6174</v>
      </c>
      <c r="F83" s="128"/>
      <c r="G83" s="128" t="s">
        <v>6459</v>
      </c>
      <c r="H83" s="288" t="s">
        <v>4</v>
      </c>
    </row>
    <row r="84" spans="1:8" ht="26" customHeight="1">
      <c r="A84" s="296" t="s">
        <v>6460</v>
      </c>
      <c r="B84" s="128" t="s">
        <v>6441</v>
      </c>
      <c r="C84" s="273" t="s">
        <v>6461</v>
      </c>
      <c r="D84" s="273" t="s">
        <v>6462</v>
      </c>
      <c r="E84" s="128" t="s">
        <v>6174</v>
      </c>
      <c r="F84" s="128" t="s">
        <v>6245</v>
      </c>
      <c r="G84" s="128" t="s">
        <v>6459</v>
      </c>
      <c r="H84" s="288" t="s">
        <v>4</v>
      </c>
    </row>
    <row r="85" spans="1:8" ht="26" customHeight="1">
      <c r="A85" s="296" t="s">
        <v>6463</v>
      </c>
      <c r="B85" s="128" t="s">
        <v>6441</v>
      </c>
      <c r="C85" s="273" t="s">
        <v>6464</v>
      </c>
      <c r="D85" s="273" t="s">
        <v>2671</v>
      </c>
      <c r="E85" s="128" t="s">
        <v>6174</v>
      </c>
      <c r="F85" s="128"/>
      <c r="G85" s="128" t="s">
        <v>6459</v>
      </c>
      <c r="H85" s="288" t="s">
        <v>4</v>
      </c>
    </row>
    <row r="86" spans="1:8" ht="26" customHeight="1">
      <c r="A86" s="296" t="s">
        <v>6465</v>
      </c>
      <c r="B86" s="128" t="s">
        <v>6441</v>
      </c>
      <c r="C86" s="273" t="s">
        <v>6466</v>
      </c>
      <c r="D86" s="273" t="s">
        <v>2677</v>
      </c>
      <c r="E86" s="128" t="s">
        <v>6174</v>
      </c>
      <c r="F86" s="128"/>
      <c r="G86" s="128" t="s">
        <v>6459</v>
      </c>
      <c r="H86" s="288" t="s">
        <v>4</v>
      </c>
    </row>
    <row r="87" spans="1:8" ht="26" customHeight="1">
      <c r="A87" s="296" t="s">
        <v>6467</v>
      </c>
      <c r="B87" s="128" t="s">
        <v>6441</v>
      </c>
      <c r="C87" s="273" t="s">
        <v>6468</v>
      </c>
      <c r="D87" s="273" t="s">
        <v>6469</v>
      </c>
      <c r="E87" s="128" t="s">
        <v>6174</v>
      </c>
      <c r="F87" s="128"/>
      <c r="G87" s="128" t="s">
        <v>6459</v>
      </c>
      <c r="H87" s="288" t="s">
        <v>4</v>
      </c>
    </row>
    <row r="88" spans="1:8" ht="26" customHeight="1">
      <c r="A88" s="296" t="s">
        <v>6470</v>
      </c>
      <c r="B88" s="128" t="s">
        <v>6441</v>
      </c>
      <c r="C88" s="273" t="s">
        <v>6471</v>
      </c>
      <c r="D88" s="273" t="s">
        <v>6472</v>
      </c>
      <c r="E88" s="128" t="s">
        <v>6182</v>
      </c>
      <c r="F88" s="128"/>
      <c r="G88" s="128" t="s">
        <v>6459</v>
      </c>
      <c r="H88" s="288" t="s">
        <v>4</v>
      </c>
    </row>
    <row r="89" spans="1:8" ht="26" customHeight="1">
      <c r="A89" s="296" t="s">
        <v>6473</v>
      </c>
      <c r="B89" s="128" t="s">
        <v>6474</v>
      </c>
      <c r="C89" s="273" t="s">
        <v>6475</v>
      </c>
      <c r="D89" s="273" t="s">
        <v>6476</v>
      </c>
      <c r="E89" s="128" t="s">
        <v>6174</v>
      </c>
      <c r="F89" s="128" t="s">
        <v>6245</v>
      </c>
      <c r="G89" s="128" t="s">
        <v>6477</v>
      </c>
      <c r="H89" s="288" t="s">
        <v>4</v>
      </c>
    </row>
    <row r="90" spans="1:8" ht="26" customHeight="1">
      <c r="A90" s="296" t="s">
        <v>6478</v>
      </c>
      <c r="B90" s="128" t="s">
        <v>6474</v>
      </c>
      <c r="C90" s="273" t="s">
        <v>6479</v>
      </c>
      <c r="D90" s="273" t="s">
        <v>2497</v>
      </c>
      <c r="E90" s="128" t="s">
        <v>6174</v>
      </c>
      <c r="F90" s="128" t="s">
        <v>6245</v>
      </c>
      <c r="G90" s="128" t="s">
        <v>6477</v>
      </c>
      <c r="H90" s="288" t="s">
        <v>4</v>
      </c>
    </row>
    <row r="91" spans="1:8" ht="26" customHeight="1">
      <c r="A91" s="296" t="s">
        <v>6480</v>
      </c>
      <c r="B91" s="128" t="s">
        <v>6474</v>
      </c>
      <c r="C91" s="273" t="s">
        <v>6481</v>
      </c>
      <c r="D91" s="273" t="s">
        <v>6482</v>
      </c>
      <c r="E91" s="128" t="s">
        <v>6174</v>
      </c>
      <c r="F91" s="128"/>
      <c r="G91" s="128" t="s">
        <v>6477</v>
      </c>
      <c r="H91" s="288" t="s">
        <v>4</v>
      </c>
    </row>
    <row r="92" spans="1:8" ht="26" customHeight="1">
      <c r="A92" s="296" t="s">
        <v>6483</v>
      </c>
      <c r="B92" s="128" t="s">
        <v>6474</v>
      </c>
      <c r="C92" s="273" t="s">
        <v>6484</v>
      </c>
      <c r="D92" s="273" t="s">
        <v>6485</v>
      </c>
      <c r="E92" s="128" t="s">
        <v>6174</v>
      </c>
      <c r="F92" s="128"/>
      <c r="G92" s="128" t="s">
        <v>6486</v>
      </c>
      <c r="H92" s="288" t="s">
        <v>4</v>
      </c>
    </row>
    <row r="93" spans="1:8" ht="26" customHeight="1">
      <c r="A93" s="296" t="s">
        <v>6487</v>
      </c>
      <c r="B93" s="128" t="s">
        <v>6474</v>
      </c>
      <c r="C93" s="273" t="s">
        <v>6488</v>
      </c>
      <c r="D93" s="273" t="s">
        <v>6489</v>
      </c>
      <c r="E93" s="128" t="s">
        <v>6174</v>
      </c>
      <c r="F93" s="128"/>
      <c r="G93" s="128" t="s">
        <v>6486</v>
      </c>
      <c r="H93" s="288" t="s">
        <v>4</v>
      </c>
    </row>
    <row r="94" spans="1:8" ht="26" customHeight="1">
      <c r="A94" s="296" t="s">
        <v>6490</v>
      </c>
      <c r="B94" s="128" t="s">
        <v>6474</v>
      </c>
      <c r="C94" s="273" t="s">
        <v>6491</v>
      </c>
      <c r="D94" s="273" t="s">
        <v>1437</v>
      </c>
      <c r="E94" s="128" t="s">
        <v>6174</v>
      </c>
      <c r="F94" s="128"/>
      <c r="G94" s="128" t="s">
        <v>6486</v>
      </c>
      <c r="H94" s="288" t="s">
        <v>4</v>
      </c>
    </row>
    <row r="95" spans="1:8" ht="26" customHeight="1">
      <c r="A95" s="296" t="s">
        <v>6492</v>
      </c>
      <c r="B95" s="128" t="s">
        <v>6474</v>
      </c>
      <c r="C95" s="273" t="s">
        <v>6493</v>
      </c>
      <c r="D95" s="273" t="s">
        <v>609</v>
      </c>
      <c r="E95" s="128" t="s">
        <v>6174</v>
      </c>
      <c r="F95" s="128"/>
      <c r="G95" s="128" t="s">
        <v>6486</v>
      </c>
      <c r="H95" s="288" t="s">
        <v>4</v>
      </c>
    </row>
    <row r="96" spans="1:8" ht="26" customHeight="1">
      <c r="A96" s="296" t="s">
        <v>6494</v>
      </c>
      <c r="B96" s="128" t="s">
        <v>6474</v>
      </c>
      <c r="C96" s="273" t="s">
        <v>6495</v>
      </c>
      <c r="D96" s="273" t="s">
        <v>1439</v>
      </c>
      <c r="E96" s="128" t="s">
        <v>6174</v>
      </c>
      <c r="F96" s="128"/>
      <c r="G96" s="128" t="s">
        <v>6486</v>
      </c>
      <c r="H96" s="288" t="s">
        <v>4</v>
      </c>
    </row>
    <row r="97" spans="1:8" ht="26" customHeight="1">
      <c r="A97" s="297" t="s">
        <v>6496</v>
      </c>
      <c r="B97" s="289" t="s">
        <v>6474</v>
      </c>
      <c r="C97" s="276" t="s">
        <v>6497</v>
      </c>
      <c r="D97" s="276" t="s">
        <v>6498</v>
      </c>
      <c r="E97" s="289" t="s">
        <v>6182</v>
      </c>
      <c r="F97" s="289"/>
      <c r="G97" s="289" t="s">
        <v>6477</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3" t="s">
        <v>7576</v>
      </c>
    </row>
    <row r="2" spans="1:9">
      <c r="A2" s="314" t="s">
        <v>7577</v>
      </c>
    </row>
    <row r="4" spans="1:9">
      <c r="A4" s="3" t="s">
        <v>5163</v>
      </c>
      <c r="B4" s="3" t="s">
        <v>7578</v>
      </c>
      <c r="C4" s="3" t="s">
        <v>7579</v>
      </c>
      <c r="D4" s="3" t="s">
        <v>5112</v>
      </c>
      <c r="E4" s="3" t="s">
        <v>7580</v>
      </c>
      <c r="F4" s="3" t="s">
        <v>7581</v>
      </c>
      <c r="G4" s="3" t="s">
        <v>7582</v>
      </c>
      <c r="H4" s="3" t="s">
        <v>7583</v>
      </c>
      <c r="I4" s="3" t="s">
        <v>666</v>
      </c>
    </row>
    <row r="5" spans="1:9" ht="110" customHeight="1">
      <c r="A5" s="315" t="s">
        <v>7584</v>
      </c>
      <c r="B5" s="327">
        <v>46261</v>
      </c>
      <c r="C5" s="316"/>
      <c r="D5" s="317" t="s">
        <v>7585</v>
      </c>
      <c r="E5" s="317" t="s">
        <v>7586</v>
      </c>
      <c r="F5" s="317" t="s">
        <v>7587</v>
      </c>
      <c r="G5" s="317" t="s">
        <v>7588</v>
      </c>
      <c r="H5" s="317" t="s">
        <v>2233</v>
      </c>
      <c r="I5" s="318" t="s">
        <v>7589</v>
      </c>
    </row>
    <row r="6" spans="1:9" ht="110" customHeight="1">
      <c r="A6" s="319" t="s">
        <v>7590</v>
      </c>
      <c r="B6" s="328">
        <v>46261</v>
      </c>
      <c r="C6" s="320"/>
      <c r="D6" s="321" t="s">
        <v>7591</v>
      </c>
      <c r="E6" s="321" t="s">
        <v>7592</v>
      </c>
      <c r="F6" s="321" t="s">
        <v>7593</v>
      </c>
      <c r="G6" s="321" t="s">
        <v>7594</v>
      </c>
      <c r="H6" s="321" t="s">
        <v>7595</v>
      </c>
      <c r="I6" s="322" t="s">
        <v>7589</v>
      </c>
    </row>
    <row r="7" spans="1:9" ht="110" customHeight="1">
      <c r="A7" s="323" t="s">
        <v>7596</v>
      </c>
      <c r="B7" s="329">
        <v>46261</v>
      </c>
      <c r="C7" s="324"/>
      <c r="D7" s="325" t="s">
        <v>7597</v>
      </c>
      <c r="E7" s="325" t="s">
        <v>7598</v>
      </c>
      <c r="F7" s="325" t="s">
        <v>7599</v>
      </c>
      <c r="G7" s="325" t="s">
        <v>7600</v>
      </c>
      <c r="H7" s="325" t="s">
        <v>5167</v>
      </c>
      <c r="I7" s="326" t="s">
        <v>7589</v>
      </c>
    </row>
    <row r="8" spans="1:9">
      <c r="B8" s="330"/>
    </row>
    <row r="9" spans="1:9">
      <c r="B9" s="330"/>
    </row>
    <row r="10" spans="1:9">
      <c r="B10" s="330"/>
    </row>
    <row r="11" spans="1:9">
      <c r="B11" s="330"/>
    </row>
    <row r="12" spans="1:9">
      <c r="B12" s="330"/>
    </row>
    <row r="13" spans="1:9">
      <c r="B13" s="330"/>
    </row>
    <row r="14" spans="1:9">
      <c r="B14" s="330"/>
    </row>
    <row r="15" spans="1:9">
      <c r="B15" s="330"/>
    </row>
    <row r="16" spans="1:9">
      <c r="B16" s="330"/>
    </row>
    <row r="17" spans="2:2">
      <c r="B17" s="330"/>
    </row>
    <row r="18" spans="2:2">
      <c r="B18" s="330"/>
    </row>
    <row r="19" spans="2:2">
      <c r="B19" s="330"/>
    </row>
    <row r="20" spans="2:2">
      <c r="B20" s="330"/>
    </row>
    <row r="21" spans="2:2">
      <c r="B21" s="330"/>
    </row>
    <row r="22" spans="2:2">
      <c r="B22" s="330"/>
    </row>
    <row r="23" spans="2:2">
      <c r="B23" s="330"/>
    </row>
    <row r="24" spans="2:2">
      <c r="B24" s="330"/>
    </row>
    <row r="25" spans="2:2">
      <c r="B25" s="330"/>
    </row>
    <row r="26" spans="2:2">
      <c r="B26" s="330"/>
    </row>
    <row r="27" spans="2:2">
      <c r="B27" s="330"/>
    </row>
    <row r="28" spans="2:2">
      <c r="B28" s="330"/>
    </row>
    <row r="29" spans="2:2">
      <c r="B29" s="330"/>
    </row>
    <row r="30" spans="2:2">
      <c r="B30" s="330"/>
    </row>
    <row r="31" spans="2:2">
      <c r="B31" s="330"/>
    </row>
    <row r="32" spans="2:2">
      <c r="B32" s="330"/>
    </row>
    <row r="33" spans="2:2">
      <c r="B33" s="330"/>
    </row>
    <row r="34" spans="2:2">
      <c r="B34" s="330"/>
    </row>
    <row r="35" spans="2:2">
      <c r="B35" s="330"/>
    </row>
    <row r="36" spans="2:2">
      <c r="B36" s="330"/>
    </row>
    <row r="37" spans="2:2">
      <c r="B37" s="330"/>
    </row>
    <row r="38" spans="2:2">
      <c r="B38" s="330"/>
    </row>
    <row r="39" spans="2:2">
      <c r="B39" s="330"/>
    </row>
    <row r="40" spans="2:2">
      <c r="B40" s="330"/>
    </row>
    <row r="41" spans="2:2">
      <c r="B41" s="330"/>
    </row>
    <row r="42" spans="2:2">
      <c r="B42" s="330"/>
    </row>
    <row r="43" spans="2:2">
      <c r="B43" s="330"/>
    </row>
    <row r="44" spans="2:2">
      <c r="B44" s="330"/>
    </row>
    <row r="45" spans="2:2">
      <c r="B45" s="330"/>
    </row>
    <row r="46" spans="2:2">
      <c r="B46" s="330"/>
    </row>
    <row r="47" spans="2:2">
      <c r="B47" s="330"/>
    </row>
    <row r="48" spans="2:2">
      <c r="B48" s="330"/>
    </row>
    <row r="49" spans="2:2">
      <c r="B49" s="330"/>
    </row>
    <row r="50" spans="2:2">
      <c r="B50" s="330"/>
    </row>
    <row r="51" spans="2:2">
      <c r="B51" s="330"/>
    </row>
    <row r="52" spans="2:2">
      <c r="B52" s="330"/>
    </row>
    <row r="53" spans="2:2">
      <c r="B53" s="330"/>
    </row>
    <row r="54" spans="2:2">
      <c r="B54" s="330"/>
    </row>
    <row r="55" spans="2:2">
      <c r="B55" s="330"/>
    </row>
    <row r="56" spans="2:2">
      <c r="B56" s="330"/>
    </row>
    <row r="57" spans="2:2">
      <c r="B57" s="330"/>
    </row>
    <row r="58" spans="2:2">
      <c r="B58" s="330"/>
    </row>
    <row r="59" spans="2:2">
      <c r="B59" s="330"/>
    </row>
    <row r="60" spans="2:2">
      <c r="B60" s="330"/>
    </row>
    <row r="61" spans="2:2">
      <c r="B61" s="330"/>
    </row>
    <row r="62" spans="2:2">
      <c r="B62" s="330"/>
    </row>
    <row r="63" spans="2:2">
      <c r="B63" s="330"/>
    </row>
    <row r="64" spans="2:2">
      <c r="B64" s="330"/>
    </row>
    <row r="65" spans="2:2">
      <c r="B65" s="330"/>
    </row>
    <row r="66" spans="2:2">
      <c r="B66" s="330"/>
    </row>
    <row r="67" spans="2:2">
      <c r="B67" s="330"/>
    </row>
    <row r="68" spans="2:2">
      <c r="B68" s="330"/>
    </row>
    <row r="69" spans="2:2">
      <c r="B69" s="330"/>
    </row>
    <row r="70" spans="2:2">
      <c r="B70" s="330"/>
    </row>
    <row r="71" spans="2:2">
      <c r="B71" s="330"/>
    </row>
    <row r="72" spans="2:2">
      <c r="B72" s="330"/>
    </row>
    <row r="73" spans="2:2">
      <c r="B73" s="330"/>
    </row>
    <row r="74" spans="2:2">
      <c r="B74" s="330"/>
    </row>
    <row r="75" spans="2:2">
      <c r="B75" s="330"/>
    </row>
    <row r="76" spans="2:2">
      <c r="B76" s="330"/>
    </row>
    <row r="77" spans="2:2">
      <c r="B77" s="330"/>
    </row>
    <row r="78" spans="2:2">
      <c r="B78" s="330"/>
    </row>
    <row r="79" spans="2:2">
      <c r="B79" s="330"/>
    </row>
    <row r="80" spans="2:2">
      <c r="B80" s="330"/>
    </row>
    <row r="81" spans="2:2">
      <c r="B81" s="330"/>
    </row>
    <row r="82" spans="2:2">
      <c r="B82" s="330"/>
    </row>
    <row r="83" spans="2:2">
      <c r="B83" s="330"/>
    </row>
    <row r="84" spans="2:2">
      <c r="B84" s="330"/>
    </row>
    <row r="85" spans="2:2">
      <c r="B85" s="330"/>
    </row>
    <row r="86" spans="2:2">
      <c r="B86" s="330"/>
    </row>
    <row r="87" spans="2:2">
      <c r="B87" s="330"/>
    </row>
    <row r="88" spans="2:2">
      <c r="B88" s="330"/>
    </row>
    <row r="89" spans="2:2">
      <c r="B89" s="330"/>
    </row>
    <row r="90" spans="2:2">
      <c r="B90" s="330"/>
    </row>
    <row r="91" spans="2:2">
      <c r="B91" s="330"/>
    </row>
    <row r="92" spans="2:2">
      <c r="B92" s="330"/>
    </row>
    <row r="93" spans="2:2">
      <c r="B93" s="330"/>
    </row>
    <row r="94" spans="2:2">
      <c r="B94" s="330"/>
    </row>
    <row r="95" spans="2:2">
      <c r="B95" s="330"/>
    </row>
    <row r="96" spans="2:2">
      <c r="B96" s="330"/>
    </row>
    <row r="97" spans="2:2">
      <c r="B97" s="330"/>
    </row>
    <row r="98" spans="2:2">
      <c r="B98" s="330"/>
    </row>
    <row r="99" spans="2:2">
      <c r="B99" s="330"/>
    </row>
    <row r="100" spans="2:2">
      <c r="B100" s="330"/>
    </row>
    <row r="101" spans="2:2">
      <c r="B101" s="330"/>
    </row>
    <row r="102" spans="2:2">
      <c r="B102" s="330"/>
    </row>
    <row r="103" spans="2:2">
      <c r="B103" s="330"/>
    </row>
    <row r="104" spans="2:2">
      <c r="B104" s="330"/>
    </row>
    <row r="105" spans="2:2">
      <c r="B105" s="330"/>
    </row>
    <row r="106" spans="2:2">
      <c r="B106" s="330"/>
    </row>
    <row r="107" spans="2:2">
      <c r="B107" s="330"/>
    </row>
    <row r="108" spans="2:2">
      <c r="B108" s="330"/>
    </row>
    <row r="109" spans="2:2">
      <c r="B109" s="330"/>
    </row>
    <row r="110" spans="2:2">
      <c r="B110" s="330"/>
    </row>
    <row r="111" spans="2:2">
      <c r="B111" s="330"/>
    </row>
    <row r="112" spans="2:2">
      <c r="B112" s="330"/>
    </row>
    <row r="113" spans="2:2">
      <c r="B113" s="330"/>
    </row>
    <row r="114" spans="2:2">
      <c r="B114" s="330"/>
    </row>
    <row r="115" spans="2:2">
      <c r="B115" s="330"/>
    </row>
    <row r="116" spans="2:2">
      <c r="B116" s="330"/>
    </row>
    <row r="117" spans="2:2">
      <c r="B117" s="330"/>
    </row>
    <row r="118" spans="2:2">
      <c r="B118" s="330"/>
    </row>
    <row r="119" spans="2:2">
      <c r="B119" s="330"/>
    </row>
    <row r="120" spans="2:2">
      <c r="B120" s="330"/>
    </row>
    <row r="121" spans="2:2">
      <c r="B121" s="330"/>
    </row>
    <row r="122" spans="2:2">
      <c r="B122" s="330"/>
    </row>
    <row r="123" spans="2:2">
      <c r="B123" s="330"/>
    </row>
    <row r="124" spans="2:2">
      <c r="B124" s="330"/>
    </row>
    <row r="125" spans="2:2">
      <c r="B125" s="330"/>
    </row>
    <row r="126" spans="2:2">
      <c r="B126" s="330"/>
    </row>
    <row r="127" spans="2:2">
      <c r="B127" s="330"/>
    </row>
    <row r="128" spans="2:2">
      <c r="B128" s="330"/>
    </row>
    <row r="129" spans="2:2">
      <c r="B129" s="330"/>
    </row>
    <row r="130" spans="2:2">
      <c r="B130" s="330"/>
    </row>
    <row r="131" spans="2:2">
      <c r="B131" s="330"/>
    </row>
    <row r="132" spans="2:2">
      <c r="B132" s="330"/>
    </row>
    <row r="133" spans="2:2">
      <c r="B133" s="330"/>
    </row>
    <row r="134" spans="2:2">
      <c r="B134" s="330"/>
    </row>
    <row r="135" spans="2:2">
      <c r="B135" s="330"/>
    </row>
    <row r="136" spans="2:2">
      <c r="B136" s="330"/>
    </row>
    <row r="137" spans="2:2">
      <c r="B137" s="330"/>
    </row>
    <row r="138" spans="2:2">
      <c r="B138" s="330"/>
    </row>
    <row r="139" spans="2:2">
      <c r="B139" s="330"/>
    </row>
    <row r="140" spans="2:2">
      <c r="B140" s="330"/>
    </row>
    <row r="141" spans="2:2">
      <c r="B141" s="330"/>
    </row>
    <row r="142" spans="2:2">
      <c r="B142" s="330"/>
    </row>
    <row r="143" spans="2:2">
      <c r="B143" s="330"/>
    </row>
    <row r="144" spans="2:2">
      <c r="B144" s="330"/>
    </row>
    <row r="145" spans="2:2">
      <c r="B145" s="330"/>
    </row>
    <row r="146" spans="2:2">
      <c r="B146" s="330"/>
    </row>
    <row r="147" spans="2:2">
      <c r="B147" s="330"/>
    </row>
    <row r="148" spans="2:2">
      <c r="B148" s="330"/>
    </row>
    <row r="149" spans="2:2">
      <c r="B149" s="330"/>
    </row>
    <row r="150" spans="2:2">
      <c r="B150" s="330"/>
    </row>
    <row r="151" spans="2:2">
      <c r="B151" s="330"/>
    </row>
    <row r="152" spans="2:2">
      <c r="B152" s="330"/>
    </row>
    <row r="153" spans="2:2">
      <c r="B153" s="330"/>
    </row>
    <row r="154" spans="2:2">
      <c r="B154" s="330"/>
    </row>
    <row r="155" spans="2:2">
      <c r="B155" s="330"/>
    </row>
    <row r="156" spans="2:2">
      <c r="B156" s="330"/>
    </row>
    <row r="157" spans="2:2">
      <c r="B157" s="330"/>
    </row>
    <row r="158" spans="2:2">
      <c r="B158" s="330"/>
    </row>
    <row r="159" spans="2:2">
      <c r="B159" s="330"/>
    </row>
    <row r="160" spans="2:2">
      <c r="B160" s="330"/>
    </row>
    <row r="161" spans="2:2">
      <c r="B161" s="330"/>
    </row>
    <row r="162" spans="2:2">
      <c r="B162" s="330"/>
    </row>
    <row r="163" spans="2:2">
      <c r="B163" s="330"/>
    </row>
    <row r="164" spans="2:2">
      <c r="B164" s="330"/>
    </row>
    <row r="165" spans="2:2">
      <c r="B165" s="330"/>
    </row>
    <row r="166" spans="2:2">
      <c r="B166" s="330"/>
    </row>
    <row r="167" spans="2:2">
      <c r="B167" s="330"/>
    </row>
    <row r="168" spans="2:2">
      <c r="B168" s="330"/>
    </row>
    <row r="169" spans="2:2">
      <c r="B169" s="330"/>
    </row>
    <row r="170" spans="2:2">
      <c r="B170" s="330"/>
    </row>
    <row r="171" spans="2:2">
      <c r="B171" s="330"/>
    </row>
    <row r="172" spans="2:2">
      <c r="B172" s="330"/>
    </row>
    <row r="173" spans="2:2">
      <c r="B173" s="330"/>
    </row>
    <row r="174" spans="2:2">
      <c r="B174" s="330"/>
    </row>
    <row r="175" spans="2:2">
      <c r="B175" s="330"/>
    </row>
    <row r="176" spans="2:2">
      <c r="B176" s="330"/>
    </row>
    <row r="177" spans="2:2">
      <c r="B177" s="330"/>
    </row>
    <row r="178" spans="2:2">
      <c r="B178" s="330"/>
    </row>
    <row r="179" spans="2:2">
      <c r="B179" s="330"/>
    </row>
    <row r="180" spans="2:2">
      <c r="B180" s="330"/>
    </row>
    <row r="181" spans="2:2">
      <c r="B181" s="330"/>
    </row>
    <row r="182" spans="2:2">
      <c r="B182" s="330"/>
    </row>
    <row r="183" spans="2:2">
      <c r="B183" s="330"/>
    </row>
    <row r="184" spans="2:2">
      <c r="B184" s="330"/>
    </row>
    <row r="185" spans="2:2">
      <c r="B185" s="330"/>
    </row>
    <row r="186" spans="2:2">
      <c r="B186" s="330"/>
    </row>
    <row r="187" spans="2:2">
      <c r="B187" s="330"/>
    </row>
    <row r="188" spans="2:2">
      <c r="B188" s="330"/>
    </row>
    <row r="189" spans="2:2">
      <c r="B189" s="330"/>
    </row>
    <row r="190" spans="2:2">
      <c r="B190" s="330"/>
    </row>
    <row r="191" spans="2:2">
      <c r="B191" s="330"/>
    </row>
    <row r="192" spans="2:2">
      <c r="B192" s="330"/>
    </row>
    <row r="193" spans="2:2">
      <c r="B193" s="330"/>
    </row>
    <row r="194" spans="2:2">
      <c r="B194" s="330"/>
    </row>
    <row r="195" spans="2:2">
      <c r="B195" s="330"/>
    </row>
    <row r="196" spans="2:2">
      <c r="B196" s="330"/>
    </row>
    <row r="197" spans="2:2">
      <c r="B197" s="330"/>
    </row>
    <row r="198" spans="2:2">
      <c r="B198" s="330"/>
    </row>
    <row r="199" spans="2:2">
      <c r="B199" s="330"/>
    </row>
    <row r="200" spans="2:2">
      <c r="B200" s="330"/>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3" t="s">
        <v>8622</v>
      </c>
      <c r="Y1" s="308" t="s">
        <v>8632</v>
      </c>
      <c r="Z1" s="308"/>
    </row>
    <row r="2" spans="1:26">
      <c r="A2" s="308" t="s">
        <v>8623</v>
      </c>
      <c r="Y2" s="372" t="s">
        <v>7783</v>
      </c>
      <c r="Z2" s="372" t="s">
        <v>665</v>
      </c>
    </row>
    <row r="3" spans="1:26">
      <c r="Y3" t="s">
        <v>7785</v>
      </c>
      <c r="Z3" t="s">
        <v>8633</v>
      </c>
    </row>
    <row r="4" spans="1:26">
      <c r="A4" s="366" t="s">
        <v>8624</v>
      </c>
      <c r="Y4" t="s">
        <v>7786</v>
      </c>
      <c r="Z4" t="s">
        <v>8633</v>
      </c>
    </row>
    <row r="5" spans="1:26">
      <c r="A5" s="3" t="s">
        <v>8625</v>
      </c>
      <c r="B5" s="3" t="s">
        <v>8626</v>
      </c>
      <c r="C5" s="3" t="s">
        <v>8627</v>
      </c>
      <c r="D5" s="3" t="s">
        <v>8628</v>
      </c>
      <c r="E5" s="3" t="s">
        <v>8629</v>
      </c>
      <c r="F5" s="3" t="s">
        <v>8630</v>
      </c>
      <c r="Y5" t="s">
        <v>7787</v>
      </c>
      <c r="Z5" t="s">
        <v>8633</v>
      </c>
    </row>
    <row r="6" spans="1:26">
      <c r="A6" t="s">
        <v>8265</v>
      </c>
      <c r="B6" s="368">
        <f>COUNTIFS('WBS(基本設計)'!$K$7:$K$456,$A6)</f>
        <v>0</v>
      </c>
      <c r="C6" s="368">
        <f>SUMIFS('WBS(基本設計)'!$H$7:$H$456,'WBS(基本設計)'!$K$7:$K$456,$A6)</f>
        <v>0</v>
      </c>
      <c r="D6" s="368" cm="1">
        <f t="array" ref="D6">SUMPRODUCT(('WBS(基本設計)'!$K$7:$K$456=$A6)*(NOT(ISNUMBER(SEARCH("（不採用）",'WBS(基本設計)'!$O$7:$O$456))))*('WBS(基本設計)'!$A$7:$A$456&lt;&gt;""))</f>
        <v>0</v>
      </c>
      <c r="E6" s="368" cm="1">
        <f t="array" ref="E6">SUMPRODUCT(('WBS(基本設計)'!$K$7:$K$456=$A6)*(NOT(ISNUMBER(SEARCH("（不採用）",'WBS(基本設計)'!$O$7:$O$456))))*'WBS(基本設計)'!$H$7:$H$456)</f>
        <v>0</v>
      </c>
      <c r="F6" s="4">
        <f>IFERROR($E6/$E$10,0)</f>
        <v>0</v>
      </c>
      <c r="Y6" t="s">
        <v>7788</v>
      </c>
      <c r="Z6" t="s">
        <v>8633</v>
      </c>
    </row>
    <row r="7" spans="1:26">
      <c r="A7" t="s">
        <v>8267</v>
      </c>
      <c r="B7" s="368">
        <f>COUNTIFS('WBS(基本設計)'!$K$7:$K$456,$A7)</f>
        <v>0</v>
      </c>
      <c r="C7" s="368">
        <f>SUMIFS('WBS(基本設計)'!$H$7:$H$456,'WBS(基本設計)'!$K$7:$K$456,$A7)</f>
        <v>0</v>
      </c>
      <c r="D7" s="368" cm="1">
        <f t="array" ref="D7">SUMPRODUCT(('WBS(基本設計)'!$K$7:$K$456=$A7)*(NOT(ISNUMBER(SEARCH("（不採用）",'WBS(基本設計)'!$O$7:$O$456))))*('WBS(基本設計)'!$A$7:$A$456&lt;&gt;""))</f>
        <v>0</v>
      </c>
      <c r="E7" s="368" cm="1">
        <f t="array" ref="E7">SUMPRODUCT(('WBS(基本設計)'!$K$7:$K$456=$A7)*(NOT(ISNUMBER(SEARCH("（不採用）",'WBS(基本設計)'!$O$7:$O$456))))*'WBS(基本設計)'!$H$7:$H$456)</f>
        <v>0</v>
      </c>
      <c r="F7" s="4">
        <f>IFERROR($E7/$E$10,0)</f>
        <v>0</v>
      </c>
      <c r="Y7" t="s">
        <v>7789</v>
      </c>
      <c r="Z7" t="s">
        <v>8633</v>
      </c>
    </row>
    <row r="8" spans="1:26">
      <c r="A8" t="s">
        <v>8264</v>
      </c>
      <c r="B8" s="368">
        <f>COUNTIFS('WBS(基本設計)'!$K$7:$K$456,$A8)</f>
        <v>0</v>
      </c>
      <c r="C8" s="368">
        <f>SUMIFS('WBS(基本設計)'!$H$7:$H$456,'WBS(基本設計)'!$K$7:$K$456,$A8)</f>
        <v>0</v>
      </c>
      <c r="D8" s="368" cm="1">
        <f t="array" ref="D8">SUMPRODUCT(('WBS(基本設計)'!$K$7:$K$456=$A8)*(NOT(ISNUMBER(SEARCH("（不採用）",'WBS(基本設計)'!$O$7:$O$456))))*('WBS(基本設計)'!$A$7:$A$456&lt;&gt;""))</f>
        <v>0</v>
      </c>
      <c r="E8" s="368" cm="1">
        <f t="array" ref="E8">SUMPRODUCT(('WBS(基本設計)'!$K$7:$K$456=$A8)*(NOT(ISNUMBER(SEARCH("（不採用）",'WBS(基本設計)'!$O$7:$O$456))))*'WBS(基本設計)'!$H$7:$H$456)</f>
        <v>0</v>
      </c>
      <c r="F8" s="4">
        <f>IFERROR($E8/$E$10,0)</f>
        <v>0</v>
      </c>
      <c r="Y8" t="s">
        <v>7790</v>
      </c>
      <c r="Z8" t="s">
        <v>8633</v>
      </c>
    </row>
    <row r="9" spans="1:26">
      <c r="A9" t="s">
        <v>8266</v>
      </c>
      <c r="B9" s="368">
        <f>COUNTIFS('WBS(基本設計)'!$K$7:$K$456,$A9)</f>
        <v>0</v>
      </c>
      <c r="C9" s="368">
        <f>SUMIFS('WBS(基本設計)'!$H$7:$H$456,'WBS(基本設計)'!$K$7:$K$456,$A9)</f>
        <v>0</v>
      </c>
      <c r="D9" s="368" cm="1">
        <f t="array" ref="D9">SUMPRODUCT(('WBS(基本設計)'!$K$7:$K$456=$A9)*(NOT(ISNUMBER(SEARCH("（不採用）",'WBS(基本設計)'!$O$7:$O$456))))*('WBS(基本設計)'!$A$7:$A$456&lt;&gt;""))</f>
        <v>0</v>
      </c>
      <c r="E9" s="368" cm="1">
        <f t="array" ref="E9">SUMPRODUCT(('WBS(基本設計)'!$K$7:$K$456=$A9)*(NOT(ISNUMBER(SEARCH("（不採用）",'WBS(基本設計)'!$O$7:$O$456))))*'WBS(基本設計)'!$H$7:$H$456)</f>
        <v>0</v>
      </c>
      <c r="F9" s="4">
        <f>IFERROR($E9/$E$10,0)</f>
        <v>0</v>
      </c>
      <c r="Y9" t="s">
        <v>7795</v>
      </c>
      <c r="Z9" t="s">
        <v>477</v>
      </c>
    </row>
    <row r="10" spans="1:26">
      <c r="A10" s="367" t="s">
        <v>7</v>
      </c>
      <c r="B10" s="369">
        <f>SUM(B6:B9)</f>
        <v>0</v>
      </c>
      <c r="C10" s="369">
        <f>SUM(C6:C9)</f>
        <v>0</v>
      </c>
      <c r="D10" s="369">
        <f>SUM(D6:D9)</f>
        <v>0</v>
      </c>
      <c r="E10" s="369">
        <f>SUM(E6:E9)</f>
        <v>0</v>
      </c>
      <c r="F10" s="370">
        <f>SUM(F6:F9)</f>
        <v>0</v>
      </c>
      <c r="Y10" t="s">
        <v>7796</v>
      </c>
      <c r="Z10" t="s">
        <v>477</v>
      </c>
    </row>
    <row r="11" spans="1:26">
      <c r="A11" s="371" t="s">
        <v>8631</v>
      </c>
      <c r="Y11" t="s">
        <v>7797</v>
      </c>
      <c r="Z11" t="s">
        <v>477</v>
      </c>
    </row>
    <row r="12" spans="1:26">
      <c r="Y12" t="s">
        <v>7798</v>
      </c>
      <c r="Z12" t="s">
        <v>477</v>
      </c>
    </row>
    <row r="13" spans="1:26">
      <c r="A13" s="366" t="s">
        <v>8638</v>
      </c>
      <c r="Y13" t="s">
        <v>7800</v>
      </c>
      <c r="Z13" t="s">
        <v>477</v>
      </c>
    </row>
    <row r="14" spans="1:26">
      <c r="A14" s="334" t="s">
        <v>665</v>
      </c>
      <c r="B14" s="334" t="s">
        <v>8265</v>
      </c>
      <c r="C14" s="334" t="s">
        <v>8267</v>
      </c>
      <c r="D14" s="334" t="s">
        <v>8264</v>
      </c>
      <c r="E14" s="334" t="s">
        <v>8266</v>
      </c>
      <c r="F14" s="334" t="s">
        <v>8639</v>
      </c>
      <c r="Y14" t="s">
        <v>7958</v>
      </c>
      <c r="Z14" t="s">
        <v>477</v>
      </c>
    </row>
    <row r="15" spans="1:26">
      <c r="A15" s="295" t="s">
        <v>2733</v>
      </c>
      <c r="B15" s="373" cm="1">
        <f t="array" ref="B15">SUMPRODUCT((IFERROR(VLOOKUP('WBS(基本設計)'!$I$7:$I$456,$Y$3:$Z$42,2,FALSE),"横断")="横断")*('WBS(基本設計)'!$K$7:$K$456="基盤")*(NOT(ISNUMBER(SEARCH("（不採用）",'WBS(基本設計)'!$O$7:$O$456))))*'WBS(基本設計)'!$H$7:$H$456)</f>
        <v>0</v>
      </c>
      <c r="C15" s="373" cm="1">
        <f t="array" ref="C15">SUMPRODUCT((IFERROR(VLOOKUP('WBS(基本設計)'!$I$7:$I$456,$Y$3:$Z$42,2,FALSE),"横断")="横断")*('WBS(基本設計)'!$K$7:$K$456="基盤（縮小）")*(NOT(ISNUMBER(SEARCH("（不採用）",'WBS(基本設計)'!$O$7:$O$456))))*'WBS(基本設計)'!$H$7:$H$456)</f>
        <v>0</v>
      </c>
      <c r="D15" s="373" cm="1">
        <f t="array" ref="D15">SUMPRODUCT((IFERROR(VLOOKUP('WBS(基本設計)'!$I$7:$I$456,$Y$3:$Z$42,2,FALSE),"横断")="横断")*('WBS(基本設計)'!$K$7:$K$456="アプリ移管")*(NOT(ISNUMBER(SEARCH("（不採用）",'WBS(基本設計)'!$O$7:$O$456))))*'WBS(基本設計)'!$H$7:$H$456)</f>
        <v>0</v>
      </c>
      <c r="E15" s="373" cm="1">
        <f t="array" ref="E15">SUMPRODUCT((IFERROR(VLOOKUP('WBS(基本設計)'!$I$7:$I$456,$Y$3:$Z$42,2,FALSE),"横断")="横断")*('WBS(基本設計)'!$K$7:$K$456="追加移管候補")*(NOT(ISNUMBER(SEARCH("（不採用）",'WBS(基本設計)'!$O$7:$O$456))))*'WBS(基本設計)'!$H$7:$H$456)</f>
        <v>0</v>
      </c>
      <c r="F15" s="373">
        <f t="shared" ref="F15:F21" si="0">SUM(B15:E15)</f>
        <v>0</v>
      </c>
      <c r="Y15" t="s">
        <v>7960</v>
      </c>
      <c r="Z15" t="s">
        <v>477</v>
      </c>
    </row>
    <row r="16" spans="1:26">
      <c r="A16" s="295" t="s">
        <v>8633</v>
      </c>
      <c r="B16" s="373" cm="1">
        <f t="array" ref="B16">SUMPRODUCT((IFERROR(VLOOKUP('WBS(基本設計)'!$I$7:$I$456,$Y$3:$Z$42,2,FALSE),"横断")=$A16)*('WBS(基本設計)'!$K$7:$K$456="基盤")*(NOT(ISNUMBER(SEARCH("（不採用）",'WBS(基本設計)'!$O$7:$O$456))))*'WBS(基本設計)'!$H$7:$H$456)</f>
        <v>0</v>
      </c>
      <c r="C16" s="373" cm="1">
        <f t="array" ref="C16">SUMPRODUCT((IFERROR(VLOOKUP('WBS(基本設計)'!$I$7:$I$456,$Y$3:$Z$42,2,FALSE),"横断")=$A16)*('WBS(基本設計)'!$K$7:$K$456="基盤（縮小）")*(NOT(ISNUMBER(SEARCH("（不採用）",'WBS(基本設計)'!$O$7:$O$456))))*'WBS(基本設計)'!$H$7:$H$456)</f>
        <v>0</v>
      </c>
      <c r="D16" s="373" cm="1">
        <f t="array" ref="D16">SUMPRODUCT((IFERROR(VLOOKUP('WBS(基本設計)'!$I$7:$I$456,$Y$3:$Z$42,2,FALSE),"横断")=$A16)*('WBS(基本設計)'!$K$7:$K$456="アプリ移管")*(NOT(ISNUMBER(SEARCH("（不採用）",'WBS(基本設計)'!$O$7:$O$456))))*'WBS(基本設計)'!$H$7:$H$456)</f>
        <v>0</v>
      </c>
      <c r="E16" s="373" cm="1">
        <f t="array" ref="E16">SUMPRODUCT((IFERROR(VLOOKUP('WBS(基本設計)'!$I$7:$I$456,$Y$3:$Z$42,2,FALSE),"横断")=$A16)*('WBS(基本設計)'!$K$7:$K$456="追加移管候補")*(NOT(ISNUMBER(SEARCH("（不採用）",'WBS(基本設計)'!$O$7:$O$456))))*'WBS(基本設計)'!$H$7:$H$456)</f>
        <v>0</v>
      </c>
      <c r="F16" s="373">
        <f t="shared" si="0"/>
        <v>0</v>
      </c>
      <c r="Y16" t="s">
        <v>7801</v>
      </c>
      <c r="Z16" t="s">
        <v>8634</v>
      </c>
    </row>
    <row r="17" spans="1:26">
      <c r="A17" s="295" t="s">
        <v>477</v>
      </c>
      <c r="B17" s="373" cm="1">
        <f t="array" ref="B17">SUMPRODUCT((IFERROR(VLOOKUP('WBS(基本設計)'!$I$7:$I$456,$Y$3:$Z$42,2,FALSE),"横断")=$A17)*('WBS(基本設計)'!$K$7:$K$456="基盤")*(NOT(ISNUMBER(SEARCH("（不採用）",'WBS(基本設計)'!$O$7:$O$456))))*'WBS(基本設計)'!$H$7:$H$456)</f>
        <v>0</v>
      </c>
      <c r="C17" s="373" cm="1">
        <f t="array" ref="C17">SUMPRODUCT((IFERROR(VLOOKUP('WBS(基本設計)'!$I$7:$I$456,$Y$3:$Z$42,2,FALSE),"横断")=$A17)*('WBS(基本設計)'!$K$7:$K$456="基盤（縮小）")*(NOT(ISNUMBER(SEARCH("（不採用）",'WBS(基本設計)'!$O$7:$O$456))))*'WBS(基本設計)'!$H$7:$H$456)</f>
        <v>0</v>
      </c>
      <c r="D17" s="373" cm="1">
        <f t="array" ref="D17">SUMPRODUCT((IFERROR(VLOOKUP('WBS(基本設計)'!$I$7:$I$456,$Y$3:$Z$42,2,FALSE),"横断")=$A17)*('WBS(基本設計)'!$K$7:$K$456="アプリ移管")*(NOT(ISNUMBER(SEARCH("（不採用）",'WBS(基本設計)'!$O$7:$O$456))))*'WBS(基本設計)'!$H$7:$H$456)</f>
        <v>0</v>
      </c>
      <c r="E17" s="373" cm="1">
        <f t="array" ref="E17">SUMPRODUCT((IFERROR(VLOOKUP('WBS(基本設計)'!$I$7:$I$456,$Y$3:$Z$42,2,FALSE),"横断")=$A17)*('WBS(基本設計)'!$K$7:$K$456="追加移管候補")*(NOT(ISNUMBER(SEARCH("（不採用）",'WBS(基本設計)'!$O$7:$O$456))))*'WBS(基本設計)'!$H$7:$H$456)</f>
        <v>0</v>
      </c>
      <c r="F17" s="373">
        <f t="shared" si="0"/>
        <v>0</v>
      </c>
      <c r="Y17" t="s">
        <v>7803</v>
      </c>
      <c r="Z17" t="s">
        <v>8634</v>
      </c>
    </row>
    <row r="18" spans="1:26">
      <c r="A18" s="295" t="s">
        <v>8634</v>
      </c>
      <c r="B18" s="373" cm="1">
        <f t="array" ref="B18">SUMPRODUCT((IFERROR(VLOOKUP('WBS(基本設計)'!$I$7:$I$456,$Y$3:$Z$42,2,FALSE),"横断")=$A18)*('WBS(基本設計)'!$K$7:$K$456="基盤")*(NOT(ISNUMBER(SEARCH("（不採用）",'WBS(基本設計)'!$O$7:$O$456))))*'WBS(基本設計)'!$H$7:$H$456)</f>
        <v>0</v>
      </c>
      <c r="C18" s="373" cm="1">
        <f t="array" ref="C18">SUMPRODUCT((IFERROR(VLOOKUP('WBS(基本設計)'!$I$7:$I$456,$Y$3:$Z$42,2,FALSE),"横断")=$A18)*('WBS(基本設計)'!$K$7:$K$456="基盤（縮小）")*(NOT(ISNUMBER(SEARCH("（不採用）",'WBS(基本設計)'!$O$7:$O$456))))*'WBS(基本設計)'!$H$7:$H$456)</f>
        <v>0</v>
      </c>
      <c r="D18" s="373" cm="1">
        <f t="array" ref="D18">SUMPRODUCT((IFERROR(VLOOKUP('WBS(基本設計)'!$I$7:$I$456,$Y$3:$Z$42,2,FALSE),"横断")=$A18)*('WBS(基本設計)'!$K$7:$K$456="アプリ移管")*(NOT(ISNUMBER(SEARCH("（不採用）",'WBS(基本設計)'!$O$7:$O$456))))*'WBS(基本設計)'!$H$7:$H$456)</f>
        <v>0</v>
      </c>
      <c r="E18" s="373" cm="1">
        <f t="array" ref="E18">SUMPRODUCT((IFERROR(VLOOKUP('WBS(基本設計)'!$I$7:$I$456,$Y$3:$Z$42,2,FALSE),"横断")=$A18)*('WBS(基本設計)'!$K$7:$K$456="追加移管候補")*(NOT(ISNUMBER(SEARCH("（不採用）",'WBS(基本設計)'!$O$7:$O$456))))*'WBS(基本設計)'!$H$7:$H$456)</f>
        <v>0</v>
      </c>
      <c r="F18" s="373">
        <f t="shared" si="0"/>
        <v>0</v>
      </c>
      <c r="Y18" t="s">
        <v>7804</v>
      </c>
      <c r="Z18" t="s">
        <v>8634</v>
      </c>
    </row>
    <row r="19" spans="1:26">
      <c r="A19" s="295" t="s">
        <v>8635</v>
      </c>
      <c r="B19" s="373" cm="1">
        <f t="array" ref="B19">SUMPRODUCT((IFERROR(VLOOKUP('WBS(基本設計)'!$I$7:$I$456,$Y$3:$Z$42,2,FALSE),"横断")=$A19)*('WBS(基本設計)'!$K$7:$K$456="基盤")*(NOT(ISNUMBER(SEARCH("（不採用）",'WBS(基本設計)'!$O$7:$O$456))))*'WBS(基本設計)'!$H$7:$H$456)</f>
        <v>0</v>
      </c>
      <c r="C19" s="373" cm="1">
        <f t="array" ref="C19">SUMPRODUCT((IFERROR(VLOOKUP('WBS(基本設計)'!$I$7:$I$456,$Y$3:$Z$42,2,FALSE),"横断")=$A19)*('WBS(基本設計)'!$K$7:$K$456="基盤（縮小）")*(NOT(ISNUMBER(SEARCH("（不採用）",'WBS(基本設計)'!$O$7:$O$456))))*'WBS(基本設計)'!$H$7:$H$456)</f>
        <v>0</v>
      </c>
      <c r="D19" s="373" cm="1">
        <f t="array" ref="D19">SUMPRODUCT((IFERROR(VLOOKUP('WBS(基本設計)'!$I$7:$I$456,$Y$3:$Z$42,2,FALSE),"横断")=$A19)*('WBS(基本設計)'!$K$7:$K$456="アプリ移管")*(NOT(ISNUMBER(SEARCH("（不採用）",'WBS(基本設計)'!$O$7:$O$456))))*'WBS(基本設計)'!$H$7:$H$456)</f>
        <v>0</v>
      </c>
      <c r="E19" s="373" cm="1">
        <f t="array" ref="E19">SUMPRODUCT((IFERROR(VLOOKUP('WBS(基本設計)'!$I$7:$I$456,$Y$3:$Z$42,2,FALSE),"横断")=$A19)*('WBS(基本設計)'!$K$7:$K$456="追加移管候補")*(NOT(ISNUMBER(SEARCH("（不採用）",'WBS(基本設計)'!$O$7:$O$456))))*'WBS(基本設計)'!$H$7:$H$456)</f>
        <v>0</v>
      </c>
      <c r="F19" s="373">
        <f t="shared" si="0"/>
        <v>0</v>
      </c>
      <c r="Y19" t="s">
        <v>7805</v>
      </c>
      <c r="Z19" t="s">
        <v>8634</v>
      </c>
    </row>
    <row r="20" spans="1:26">
      <c r="A20" s="295" t="s">
        <v>8636</v>
      </c>
      <c r="B20" s="373" cm="1">
        <f t="array" ref="B20">SUMPRODUCT((IFERROR(VLOOKUP('WBS(基本設計)'!$I$7:$I$456,$Y$3:$Z$42,2,FALSE),"横断")=$A20)*('WBS(基本設計)'!$K$7:$K$456="基盤")*(NOT(ISNUMBER(SEARCH("（不採用）",'WBS(基本設計)'!$O$7:$O$456))))*'WBS(基本設計)'!$H$7:$H$456)</f>
        <v>0</v>
      </c>
      <c r="C20" s="373" cm="1">
        <f t="array" ref="C20">SUMPRODUCT((IFERROR(VLOOKUP('WBS(基本設計)'!$I$7:$I$456,$Y$3:$Z$42,2,FALSE),"横断")=$A20)*('WBS(基本設計)'!$K$7:$K$456="基盤（縮小）")*(NOT(ISNUMBER(SEARCH("（不採用）",'WBS(基本設計)'!$O$7:$O$456))))*'WBS(基本設計)'!$H$7:$H$456)</f>
        <v>0</v>
      </c>
      <c r="D20" s="373" cm="1">
        <f t="array" ref="D20">SUMPRODUCT((IFERROR(VLOOKUP('WBS(基本設計)'!$I$7:$I$456,$Y$3:$Z$42,2,FALSE),"横断")=$A20)*('WBS(基本設計)'!$K$7:$K$456="アプリ移管")*(NOT(ISNUMBER(SEARCH("（不採用）",'WBS(基本設計)'!$O$7:$O$456))))*'WBS(基本設計)'!$H$7:$H$456)</f>
        <v>0</v>
      </c>
      <c r="E20" s="373" cm="1">
        <f t="array" ref="E20">SUMPRODUCT((IFERROR(VLOOKUP('WBS(基本設計)'!$I$7:$I$456,$Y$3:$Z$42,2,FALSE),"横断")=$A20)*('WBS(基本設計)'!$K$7:$K$456="追加移管候補")*(NOT(ISNUMBER(SEARCH("（不採用）",'WBS(基本設計)'!$O$7:$O$456))))*'WBS(基本設計)'!$H$7:$H$456)</f>
        <v>0</v>
      </c>
      <c r="F20" s="373">
        <f t="shared" si="0"/>
        <v>0</v>
      </c>
      <c r="Y20" t="s">
        <v>7810</v>
      </c>
      <c r="Z20" t="s">
        <v>8634</v>
      </c>
    </row>
    <row r="21" spans="1:26">
      <c r="A21" s="295" t="s">
        <v>8637</v>
      </c>
      <c r="B21" s="373" cm="1">
        <f t="array" ref="B21">SUMPRODUCT((IFERROR(VLOOKUP('WBS(基本設計)'!$I$7:$I$456,$Y$3:$Z$42,2,FALSE),"横断")=$A21)*('WBS(基本設計)'!$K$7:$K$456="基盤")*(NOT(ISNUMBER(SEARCH("（不採用）",'WBS(基本設計)'!$O$7:$O$456))))*'WBS(基本設計)'!$H$7:$H$456)</f>
        <v>0</v>
      </c>
      <c r="C21" s="373" cm="1">
        <f t="array" ref="C21">SUMPRODUCT((IFERROR(VLOOKUP('WBS(基本設計)'!$I$7:$I$456,$Y$3:$Z$42,2,FALSE),"横断")=$A21)*('WBS(基本設計)'!$K$7:$K$456="基盤（縮小）")*(NOT(ISNUMBER(SEARCH("（不採用）",'WBS(基本設計)'!$O$7:$O$456))))*'WBS(基本設計)'!$H$7:$H$456)</f>
        <v>0</v>
      </c>
      <c r="D21" s="373" cm="1">
        <f t="array" ref="D21">SUMPRODUCT((IFERROR(VLOOKUP('WBS(基本設計)'!$I$7:$I$456,$Y$3:$Z$42,2,FALSE),"横断")=$A21)*('WBS(基本設計)'!$K$7:$K$456="アプリ移管")*(NOT(ISNUMBER(SEARCH("（不採用）",'WBS(基本設計)'!$O$7:$O$456))))*'WBS(基本設計)'!$H$7:$H$456)</f>
        <v>0</v>
      </c>
      <c r="E21" s="373" cm="1">
        <f t="array" ref="E21">SUMPRODUCT((IFERROR(VLOOKUP('WBS(基本設計)'!$I$7:$I$456,$Y$3:$Z$42,2,FALSE),"横断")=$A21)*('WBS(基本設計)'!$K$7:$K$456="追加移管候補")*(NOT(ISNUMBER(SEARCH("（不採用）",'WBS(基本設計)'!$O$7:$O$456))))*'WBS(基本設計)'!$H$7:$H$456)</f>
        <v>0</v>
      </c>
      <c r="F21" s="373">
        <f t="shared" si="0"/>
        <v>0</v>
      </c>
      <c r="Y21" t="s">
        <v>7811</v>
      </c>
      <c r="Z21" t="s">
        <v>8634</v>
      </c>
    </row>
    <row r="22" spans="1:26">
      <c r="A22" s="374" t="s">
        <v>7</v>
      </c>
      <c r="B22" s="375">
        <f>SUM(B15:B21)</f>
        <v>0</v>
      </c>
      <c r="C22" s="375">
        <f>SUM(C15:C21)</f>
        <v>0</v>
      </c>
      <c r="D22" s="375">
        <f>SUM(D15:D21)</f>
        <v>0</v>
      </c>
      <c r="E22" s="375">
        <f>SUM(E15:E21)</f>
        <v>0</v>
      </c>
      <c r="F22" s="375">
        <f>SUM(F15:F21)</f>
        <v>0</v>
      </c>
      <c r="Y22" t="s">
        <v>7947</v>
      </c>
      <c r="Z22" t="s">
        <v>8634</v>
      </c>
    </row>
    <row r="23" spans="1:26">
      <c r="A23" s="371" t="s">
        <v>8640</v>
      </c>
      <c r="Y23" t="s">
        <v>7952</v>
      </c>
      <c r="Z23" t="s">
        <v>8634</v>
      </c>
    </row>
    <row r="24" spans="1:26">
      <c r="Y24" t="s">
        <v>7814</v>
      </c>
      <c r="Z24" t="s">
        <v>8635</v>
      </c>
    </row>
    <row r="25" spans="1:26">
      <c r="A25" s="366" t="s">
        <v>8641</v>
      </c>
      <c r="Y25" t="s">
        <v>7815</v>
      </c>
      <c r="Z25" t="s">
        <v>8635</v>
      </c>
    </row>
    <row r="26" spans="1:26">
      <c r="A26" s="334" t="s">
        <v>665</v>
      </c>
      <c r="B26" s="334" t="s">
        <v>7783</v>
      </c>
      <c r="C26" s="334" t="s">
        <v>8642</v>
      </c>
      <c r="D26" s="334" t="s">
        <v>2521</v>
      </c>
      <c r="E26" s="334" t="s">
        <v>8643</v>
      </c>
      <c r="F26" s="334" t="s">
        <v>8644</v>
      </c>
      <c r="G26" s="334" t="s">
        <v>8625</v>
      </c>
      <c r="Y26" t="s">
        <v>7816</v>
      </c>
      <c r="Z26" t="s">
        <v>8635</v>
      </c>
    </row>
    <row r="27" spans="1:26">
      <c r="A27" s="295" t="str">
        <f t="shared" ref="A27:A57" si="1">IFERROR(VLOOKUP($B27,$Y$3:$Z$42,2,FALSE),"横断")</f>
        <v>認証</v>
      </c>
      <c r="B27" s="295" t="s">
        <v>7787</v>
      </c>
      <c r="C27" s="373" cm="1">
        <f t="array" ref="C27">SUMPRODUCT(('WBS(基本設計)'!$I$7:$I$456=$B27)*(NOT(ISNUMBER(SEARCH("（不採用）",'WBS(基本設計)'!$O$7:$O$456))))*('WBS(基本設計)'!$A$7:$A$456&lt;&gt;""))</f>
        <v>29</v>
      </c>
      <c r="D27" s="373" cm="1">
        <f t="array" ref="D27">SUMPRODUCT(('WBS(基本設計)'!$I$7:$I$456=$B27)*(NOT(ISNUMBER(SEARCH("（不採用）",'WBS(基本設計)'!$O$7:$O$456))))*'WBS(基本設計)'!$H$7:$H$456)</f>
        <v>62.25</v>
      </c>
      <c r="E27" s="373" cm="1">
        <f t="array" ref="E27">SUMPRODUCT(('WBS(基本設計)'!$I$7:$I$456=$B27)*(LEFT('WBS(基本設計)'!$K$7:$K$456,2)="基盤")*(NOT(ISNUMBER(SEARCH("（不採用）",'WBS(基本設計)'!$O$7:$O$456))))*'WBS(基本設計)'!$H$7:$H$456)</f>
        <v>62.25</v>
      </c>
      <c r="F27" s="373" cm="1">
        <f t="array" ref="F27">SUMPRODUCT(('WBS(基本設計)'!$I$7:$I$456=$B27)*('WBS(基本設計)'!$K$7:$K$456="アプリ移管")*(NOT(ISNUMBER(SEARCH("（不採用）",'WBS(基本設計)'!$O$7:$O$456))))*'WBS(基本設計)'!$H$7:$H$456)</f>
        <v>0</v>
      </c>
      <c r="G27" s="295" t="str">
        <f t="shared" ref="G27:G58" si="2">IF($D27=0,"—",IF($F27=0,"基盤",IF($E27=0,"アプリ移管","混在")))</f>
        <v>基盤</v>
      </c>
      <c r="Y27" t="s">
        <v>7817</v>
      </c>
      <c r="Z27" t="s">
        <v>8635</v>
      </c>
    </row>
    <row r="28" spans="1:26">
      <c r="A28" s="295" t="str">
        <f t="shared" si="1"/>
        <v>管理</v>
      </c>
      <c r="B28" s="295" t="s">
        <v>7811</v>
      </c>
      <c r="C28" s="373" cm="1">
        <f t="array" ref="C28">SUMPRODUCT(('WBS(基本設計)'!$I$7:$I$456=$B28)*(NOT(ISNUMBER(SEARCH("（不採用）",'WBS(基本設計)'!$O$7:$O$456))))*('WBS(基本設計)'!$A$7:$A$456&lt;&gt;""))</f>
        <v>19</v>
      </c>
      <c r="D28" s="373" cm="1">
        <f t="array" ref="D28">SUMPRODUCT(('WBS(基本設計)'!$I$7:$I$456=$B28)*(NOT(ISNUMBER(SEARCH("（不採用）",'WBS(基本設計)'!$O$7:$O$456))))*'WBS(基本設計)'!$H$7:$H$456)</f>
        <v>31</v>
      </c>
      <c r="E28" s="373" cm="1">
        <f t="array" ref="E28">SUMPRODUCT(('WBS(基本設計)'!$I$7:$I$456=$B28)*(LEFT('WBS(基本設計)'!$K$7:$K$456,2)="基盤")*(NOT(ISNUMBER(SEARCH("（不採用）",'WBS(基本設計)'!$O$7:$O$456))))*'WBS(基本設計)'!$H$7:$H$456)</f>
        <v>16.5</v>
      </c>
      <c r="F28" s="373" cm="1">
        <f t="array" ref="F28">SUMPRODUCT(('WBS(基本設計)'!$I$7:$I$456=$B28)*('WBS(基本設計)'!$K$7:$K$456="アプリ移管")*(NOT(ISNUMBER(SEARCH("（不採用）",'WBS(基本設計)'!$O$7:$O$456))))*'WBS(基本設計)'!$H$7:$H$456)</f>
        <v>0</v>
      </c>
      <c r="G28" s="295" t="str">
        <f t="shared" si="2"/>
        <v>基盤</v>
      </c>
      <c r="Y28" t="s">
        <v>7822</v>
      </c>
      <c r="Z28" t="s">
        <v>8635</v>
      </c>
    </row>
    <row r="29" spans="1:26">
      <c r="A29" s="295" t="str">
        <f t="shared" si="1"/>
        <v>管理</v>
      </c>
      <c r="B29" s="295" t="s">
        <v>7804</v>
      </c>
      <c r="C29" s="373" cm="1">
        <f t="array" ref="C29">SUMPRODUCT(('WBS(基本設計)'!$I$7:$I$456=$B29)*(NOT(ISNUMBER(SEARCH("（不採用）",'WBS(基本設計)'!$O$7:$O$456))))*('WBS(基本設計)'!$A$7:$A$456&lt;&gt;""))</f>
        <v>17</v>
      </c>
      <c r="D29" s="373" cm="1">
        <f t="array" ref="D29">SUMPRODUCT(('WBS(基本設計)'!$I$7:$I$456=$B29)*(NOT(ISNUMBER(SEARCH("（不採用）",'WBS(基本設計)'!$O$7:$O$456))))*'WBS(基本設計)'!$H$7:$H$456)</f>
        <v>11.75</v>
      </c>
      <c r="E29" s="373" cm="1">
        <f t="array" ref="E29">SUMPRODUCT(('WBS(基本設計)'!$I$7:$I$456=$B29)*(LEFT('WBS(基本設計)'!$K$7:$K$456,2)="基盤")*(NOT(ISNUMBER(SEARCH("（不採用）",'WBS(基本設計)'!$O$7:$O$456))))*'WBS(基本設計)'!$H$7:$H$456)</f>
        <v>0</v>
      </c>
      <c r="F29" s="373" cm="1">
        <f t="array" ref="F29">SUMPRODUCT(('WBS(基本設計)'!$I$7:$I$456=$B29)*('WBS(基本設計)'!$K$7:$K$456="アプリ移管")*(NOT(ISNUMBER(SEARCH("（不採用）",'WBS(基本設計)'!$O$7:$O$456))))*'WBS(基本設計)'!$H$7:$H$456)</f>
        <v>0</v>
      </c>
      <c r="G29" s="295" t="str">
        <f t="shared" si="2"/>
        <v>基盤</v>
      </c>
      <c r="Y29" t="s">
        <v>7949</v>
      </c>
      <c r="Z29" t="s">
        <v>8635</v>
      </c>
    </row>
    <row r="30" spans="1:26">
      <c r="A30" s="295" t="str">
        <f t="shared" si="1"/>
        <v>管理</v>
      </c>
      <c r="B30" s="295" t="s">
        <v>7810</v>
      </c>
      <c r="C30" s="373" cm="1">
        <f t="array" ref="C30">SUMPRODUCT(('WBS(基本設計)'!$I$7:$I$456=$B30)*(NOT(ISNUMBER(SEARCH("（不採用）",'WBS(基本設計)'!$O$7:$O$456))))*('WBS(基本設計)'!$A$7:$A$456&lt;&gt;""))</f>
        <v>13</v>
      </c>
      <c r="D30" s="373" cm="1">
        <f t="array" ref="D30">SUMPRODUCT(('WBS(基本設計)'!$I$7:$I$456=$B30)*(NOT(ISNUMBER(SEARCH("（不採用）",'WBS(基本設計)'!$O$7:$O$456))))*'WBS(基本設計)'!$H$7:$H$456)</f>
        <v>20.25</v>
      </c>
      <c r="E30" s="373" cm="1">
        <f t="array" ref="E30">SUMPRODUCT(('WBS(基本設計)'!$I$7:$I$456=$B30)*(LEFT('WBS(基本設計)'!$K$7:$K$456,2)="基盤")*(NOT(ISNUMBER(SEARCH("（不採用）",'WBS(基本設計)'!$O$7:$O$456))))*'WBS(基本設計)'!$H$7:$H$456)</f>
        <v>20.25</v>
      </c>
      <c r="F30" s="373" cm="1">
        <f t="array" ref="F30">SUMPRODUCT(('WBS(基本設計)'!$I$7:$I$456=$B30)*('WBS(基本設計)'!$K$7:$K$456="アプリ移管")*(NOT(ISNUMBER(SEARCH("（不採用）",'WBS(基本設計)'!$O$7:$O$456))))*'WBS(基本設計)'!$H$7:$H$456)</f>
        <v>0</v>
      </c>
      <c r="G30" s="295" t="str">
        <f t="shared" si="2"/>
        <v>基盤</v>
      </c>
      <c r="Y30" t="s">
        <v>7823</v>
      </c>
      <c r="Z30" t="s">
        <v>8636</v>
      </c>
    </row>
    <row r="31" spans="1:26">
      <c r="A31" s="295" t="str">
        <f t="shared" si="1"/>
        <v>認可</v>
      </c>
      <c r="B31" s="295" t="s">
        <v>7816</v>
      </c>
      <c r="C31" s="373" cm="1">
        <f t="array" ref="C31">SUMPRODUCT(('WBS(基本設計)'!$I$7:$I$456=$B31)*(NOT(ISNUMBER(SEARCH("（不採用）",'WBS(基本設計)'!$O$7:$O$456))))*('WBS(基本設計)'!$A$7:$A$456&lt;&gt;""))</f>
        <v>9</v>
      </c>
      <c r="D31" s="373" cm="1">
        <f t="array" ref="D31">SUMPRODUCT(('WBS(基本設計)'!$I$7:$I$456=$B31)*(NOT(ISNUMBER(SEARCH("（不採用）",'WBS(基本設計)'!$O$7:$O$456))))*'WBS(基本設計)'!$H$7:$H$456)</f>
        <v>18.5</v>
      </c>
      <c r="E31" s="373" cm="1">
        <f t="array" ref="E31">SUMPRODUCT(('WBS(基本設計)'!$I$7:$I$456=$B31)*(LEFT('WBS(基本設計)'!$K$7:$K$456,2)="基盤")*(NOT(ISNUMBER(SEARCH("（不採用）",'WBS(基本設計)'!$O$7:$O$456))))*'WBS(基本設計)'!$H$7:$H$456)</f>
        <v>15.75</v>
      </c>
      <c r="F31" s="373" cm="1">
        <f t="array" ref="F31">SUMPRODUCT(('WBS(基本設計)'!$I$7:$I$456=$B31)*('WBS(基本設計)'!$K$7:$K$456="アプリ移管")*(NOT(ISNUMBER(SEARCH("（不採用）",'WBS(基本設計)'!$O$7:$O$456))))*'WBS(基本設計)'!$H$7:$H$456)</f>
        <v>0</v>
      </c>
      <c r="G31" s="295" t="str">
        <f t="shared" si="2"/>
        <v>基盤</v>
      </c>
      <c r="Y31" t="s">
        <v>7824</v>
      </c>
      <c r="Z31" t="s">
        <v>8636</v>
      </c>
    </row>
    <row r="32" spans="1:26">
      <c r="A32" s="295" t="str">
        <f t="shared" si="1"/>
        <v>認証</v>
      </c>
      <c r="B32" s="295" t="s">
        <v>7786</v>
      </c>
      <c r="C32" s="373" cm="1">
        <f t="array" ref="C32">SUMPRODUCT(('WBS(基本設計)'!$I$7:$I$456=$B32)*(NOT(ISNUMBER(SEARCH("（不採用）",'WBS(基本設計)'!$O$7:$O$456))))*('WBS(基本設計)'!$A$7:$A$456&lt;&gt;""))</f>
        <v>11</v>
      </c>
      <c r="D32" s="373" cm="1">
        <f t="array" ref="D32">SUMPRODUCT(('WBS(基本設計)'!$I$7:$I$456=$B32)*(NOT(ISNUMBER(SEARCH("（不採用）",'WBS(基本設計)'!$O$7:$O$456))))*'WBS(基本設計)'!$H$7:$H$456)</f>
        <v>13</v>
      </c>
      <c r="E32" s="373" cm="1">
        <f t="array" ref="E32">SUMPRODUCT(('WBS(基本設計)'!$I$7:$I$456=$B32)*(LEFT('WBS(基本設計)'!$K$7:$K$456,2)="基盤")*(NOT(ISNUMBER(SEARCH("（不採用）",'WBS(基本設計)'!$O$7:$O$456))))*'WBS(基本設計)'!$H$7:$H$456)</f>
        <v>13</v>
      </c>
      <c r="F32" s="373" cm="1">
        <f t="array" ref="F32">SUMPRODUCT(('WBS(基本設計)'!$I$7:$I$456=$B32)*('WBS(基本設計)'!$K$7:$K$456="アプリ移管")*(NOT(ISNUMBER(SEARCH("（不採用）",'WBS(基本設計)'!$O$7:$O$456))))*'WBS(基本設計)'!$H$7:$H$456)</f>
        <v>0</v>
      </c>
      <c r="G32" s="295" t="str">
        <f t="shared" si="2"/>
        <v>基盤</v>
      </c>
      <c r="Y32" t="s">
        <v>7825</v>
      </c>
      <c r="Z32" t="s">
        <v>8636</v>
      </c>
    </row>
    <row r="33" spans="1:26">
      <c r="A33" s="295" t="str">
        <f t="shared" si="1"/>
        <v>管理</v>
      </c>
      <c r="B33" s="295" t="s">
        <v>7801</v>
      </c>
      <c r="C33" s="373" cm="1">
        <f t="array" ref="C33">SUMPRODUCT(('WBS(基本設計)'!$I$7:$I$456=$B33)*(NOT(ISNUMBER(SEARCH("（不採用）",'WBS(基本設計)'!$O$7:$O$456))))*('WBS(基本設計)'!$A$7:$A$456&lt;&gt;""))</f>
        <v>16</v>
      </c>
      <c r="D33" s="373" cm="1">
        <f t="array" ref="D33">SUMPRODUCT(('WBS(基本設計)'!$I$7:$I$456=$B33)*(NOT(ISNUMBER(SEARCH("（不採用）",'WBS(基本設計)'!$O$7:$O$456))))*'WBS(基本設計)'!$H$7:$H$456)</f>
        <v>14.75</v>
      </c>
      <c r="E33" s="373" cm="1">
        <f t="array" ref="E33">SUMPRODUCT(('WBS(基本設計)'!$I$7:$I$456=$B33)*(LEFT('WBS(基本設計)'!$K$7:$K$456,2)="基盤")*(NOT(ISNUMBER(SEARCH("（不採用）",'WBS(基本設計)'!$O$7:$O$456))))*'WBS(基本設計)'!$H$7:$H$456)</f>
        <v>7.75</v>
      </c>
      <c r="F33" s="373" cm="1">
        <f t="array" ref="F33">SUMPRODUCT(('WBS(基本設計)'!$I$7:$I$456=$B33)*('WBS(基本設計)'!$K$7:$K$456="アプリ移管")*(NOT(ISNUMBER(SEARCH("（不採用）",'WBS(基本設計)'!$O$7:$O$456))))*'WBS(基本設計)'!$H$7:$H$456)</f>
        <v>0</v>
      </c>
      <c r="G33" s="295" t="str">
        <f t="shared" si="2"/>
        <v>基盤</v>
      </c>
      <c r="Y33" t="s">
        <v>7828</v>
      </c>
      <c r="Z33" t="s">
        <v>8636</v>
      </c>
    </row>
    <row r="34" spans="1:26">
      <c r="A34" s="295" t="str">
        <f t="shared" si="1"/>
        <v>プロビジョニング</v>
      </c>
      <c r="B34" s="295" t="s">
        <v>7797</v>
      </c>
      <c r="C34" s="373" cm="1">
        <f t="array" ref="C34">SUMPRODUCT(('WBS(基本設計)'!$I$7:$I$456=$B34)*(NOT(ISNUMBER(SEARCH("（不採用）",'WBS(基本設計)'!$O$7:$O$456))))*('WBS(基本設計)'!$A$7:$A$456&lt;&gt;""))</f>
        <v>9</v>
      </c>
      <c r="D34" s="373" cm="1">
        <f t="array" ref="D34">SUMPRODUCT(('WBS(基本設計)'!$I$7:$I$456=$B34)*(NOT(ISNUMBER(SEARCH("（不採用）",'WBS(基本設計)'!$O$7:$O$456))))*'WBS(基本設計)'!$H$7:$H$456)</f>
        <v>15.75</v>
      </c>
      <c r="E34" s="373" cm="1">
        <f t="array" ref="E34">SUMPRODUCT(('WBS(基本設計)'!$I$7:$I$456=$B34)*(LEFT('WBS(基本設計)'!$K$7:$K$456,2)="基盤")*(NOT(ISNUMBER(SEARCH("（不採用）",'WBS(基本設計)'!$O$7:$O$456))))*'WBS(基本設計)'!$H$7:$H$456)</f>
        <v>15.75</v>
      </c>
      <c r="F34" s="373" cm="1">
        <f t="array" ref="F34">SUMPRODUCT(('WBS(基本設計)'!$I$7:$I$456=$B34)*('WBS(基本設計)'!$K$7:$K$456="アプリ移管")*(NOT(ISNUMBER(SEARCH("（不採用）",'WBS(基本設計)'!$O$7:$O$456))))*'WBS(基本設計)'!$H$7:$H$456)</f>
        <v>0</v>
      </c>
      <c r="G34" s="295" t="str">
        <f t="shared" si="2"/>
        <v>基盤</v>
      </c>
      <c r="Y34" t="s">
        <v>7829</v>
      </c>
      <c r="Z34" t="s">
        <v>8636</v>
      </c>
    </row>
    <row r="35" spans="1:26">
      <c r="A35" s="295" t="str">
        <f t="shared" si="1"/>
        <v>認証</v>
      </c>
      <c r="B35" s="295" t="s">
        <v>7788</v>
      </c>
      <c r="C35" s="373" cm="1">
        <f t="array" ref="C35">SUMPRODUCT(('WBS(基本設計)'!$I$7:$I$456=$B35)*(NOT(ISNUMBER(SEARCH("（不採用）",'WBS(基本設計)'!$O$7:$O$456))))*('WBS(基本設計)'!$A$7:$A$456&lt;&gt;""))</f>
        <v>12</v>
      </c>
      <c r="D35" s="373" cm="1">
        <f t="array" ref="D35">SUMPRODUCT(('WBS(基本設計)'!$I$7:$I$456=$B35)*(NOT(ISNUMBER(SEARCH("（不採用）",'WBS(基本設計)'!$O$7:$O$456))))*'WBS(基本設計)'!$H$7:$H$456)</f>
        <v>11.5</v>
      </c>
      <c r="E35" s="373" cm="1">
        <f t="array" ref="E35">SUMPRODUCT(('WBS(基本設計)'!$I$7:$I$456=$B35)*(LEFT('WBS(基本設計)'!$K$7:$K$456,2)="基盤")*(NOT(ISNUMBER(SEARCH("（不採用）",'WBS(基本設計)'!$O$7:$O$456))))*'WBS(基本設計)'!$H$7:$H$456)</f>
        <v>11.5</v>
      </c>
      <c r="F35" s="373" cm="1">
        <f t="array" ref="F35">SUMPRODUCT(('WBS(基本設計)'!$I$7:$I$456=$B35)*('WBS(基本設計)'!$K$7:$K$456="アプリ移管")*(NOT(ISNUMBER(SEARCH("（不採用）",'WBS(基本設計)'!$O$7:$O$456))))*'WBS(基本設計)'!$H$7:$H$456)</f>
        <v>0</v>
      </c>
      <c r="G35" s="295" t="str">
        <f t="shared" si="2"/>
        <v>基盤</v>
      </c>
      <c r="Y35" t="s">
        <v>7955</v>
      </c>
      <c r="Z35" t="s">
        <v>8636</v>
      </c>
    </row>
    <row r="36" spans="1:26">
      <c r="A36" s="295" t="str">
        <f t="shared" si="1"/>
        <v>連携</v>
      </c>
      <c r="B36" s="295" t="s">
        <v>7828</v>
      </c>
      <c r="C36" s="373" cm="1">
        <f t="array" ref="C36">SUMPRODUCT(('WBS(基本設計)'!$I$7:$I$456=$B36)*(NOT(ISNUMBER(SEARCH("（不採用）",'WBS(基本設計)'!$O$7:$O$456))))*('WBS(基本設計)'!$A$7:$A$456&lt;&gt;""))</f>
        <v>8</v>
      </c>
      <c r="D36" s="373" cm="1">
        <f t="array" ref="D36">SUMPRODUCT(('WBS(基本設計)'!$I$7:$I$456=$B36)*(NOT(ISNUMBER(SEARCH("（不採用）",'WBS(基本設計)'!$O$7:$O$456))))*'WBS(基本設計)'!$H$7:$H$456)</f>
        <v>9.5</v>
      </c>
      <c r="E36" s="373" cm="1">
        <f t="array" ref="E36">SUMPRODUCT(('WBS(基本設計)'!$I$7:$I$456=$B36)*(LEFT('WBS(基本設計)'!$K$7:$K$456,2)="基盤")*(NOT(ISNUMBER(SEARCH("（不採用）",'WBS(基本設計)'!$O$7:$O$456))))*'WBS(基本設計)'!$H$7:$H$456)</f>
        <v>9.5</v>
      </c>
      <c r="F36" s="373" cm="1">
        <f t="array" ref="F36">SUMPRODUCT(('WBS(基本設計)'!$I$7:$I$456=$B36)*('WBS(基本設計)'!$K$7:$K$456="アプリ移管")*(NOT(ISNUMBER(SEARCH("（不採用）",'WBS(基本設計)'!$O$7:$O$456))))*'WBS(基本設計)'!$H$7:$H$456)</f>
        <v>0</v>
      </c>
      <c r="G36" s="295" t="str">
        <f t="shared" si="2"/>
        <v>基盤</v>
      </c>
      <c r="Y36" t="s">
        <v>7942</v>
      </c>
      <c r="Z36" t="s">
        <v>8637</v>
      </c>
    </row>
    <row r="37" spans="1:26">
      <c r="A37" s="295" t="str">
        <f t="shared" si="1"/>
        <v>認可</v>
      </c>
      <c r="B37" s="295" t="s">
        <v>7814</v>
      </c>
      <c r="C37" s="373" cm="1">
        <f t="array" ref="C37">SUMPRODUCT(('WBS(基本設計)'!$I$7:$I$456=$B37)*(NOT(ISNUMBER(SEARCH("（不採用）",'WBS(基本設計)'!$O$7:$O$456))))*('WBS(基本設計)'!$A$7:$A$456&lt;&gt;""))</f>
        <v>8</v>
      </c>
      <c r="D37" s="373" cm="1">
        <f t="array" ref="D37">SUMPRODUCT(('WBS(基本設計)'!$I$7:$I$456=$B37)*(NOT(ISNUMBER(SEARCH("（不採用）",'WBS(基本設計)'!$O$7:$O$456))))*'WBS(基本設計)'!$H$7:$H$456)</f>
        <v>11</v>
      </c>
      <c r="E37" s="373" cm="1">
        <f t="array" ref="E37">SUMPRODUCT(('WBS(基本設計)'!$I$7:$I$456=$B37)*(LEFT('WBS(基本設計)'!$K$7:$K$456,2)="基盤")*(NOT(ISNUMBER(SEARCH("（不採用）",'WBS(基本設計)'!$O$7:$O$456))))*'WBS(基本設計)'!$H$7:$H$456)</f>
        <v>3.5</v>
      </c>
      <c r="F37" s="373" cm="1">
        <f t="array" ref="F37">SUMPRODUCT(('WBS(基本設計)'!$I$7:$I$456=$B37)*('WBS(基本設計)'!$K$7:$K$456="アプリ移管")*(NOT(ISNUMBER(SEARCH("（不採用）",'WBS(基本設計)'!$O$7:$O$456))))*'WBS(基本設計)'!$H$7:$H$456)</f>
        <v>0</v>
      </c>
      <c r="G37" s="295" t="str">
        <f t="shared" si="2"/>
        <v>基盤</v>
      </c>
      <c r="Y37" t="s">
        <v>7830</v>
      </c>
      <c r="Z37" t="s">
        <v>8637</v>
      </c>
    </row>
    <row r="38" spans="1:26">
      <c r="A38" s="295" t="str">
        <f t="shared" si="1"/>
        <v>連携</v>
      </c>
      <c r="B38" s="295" t="s">
        <v>7824</v>
      </c>
      <c r="C38" s="373" cm="1">
        <f t="array" ref="C38">SUMPRODUCT(('WBS(基本設計)'!$I$7:$I$456=$B38)*(NOT(ISNUMBER(SEARCH("（不採用）",'WBS(基本設計)'!$O$7:$O$456))))*('WBS(基本設計)'!$A$7:$A$456&lt;&gt;""))</f>
        <v>8</v>
      </c>
      <c r="D38" s="373" cm="1">
        <f t="array" ref="D38">SUMPRODUCT(('WBS(基本設計)'!$I$7:$I$456=$B38)*(NOT(ISNUMBER(SEARCH("（不採用）",'WBS(基本設計)'!$O$7:$O$456))))*'WBS(基本設計)'!$H$7:$H$456)</f>
        <v>12</v>
      </c>
      <c r="E38" s="373" cm="1">
        <f t="array" ref="E38">SUMPRODUCT(('WBS(基本設計)'!$I$7:$I$456=$B38)*(LEFT('WBS(基本設計)'!$K$7:$K$456,2)="基盤")*(NOT(ISNUMBER(SEARCH("（不採用）",'WBS(基本設計)'!$O$7:$O$456))))*'WBS(基本設計)'!$H$7:$H$456)</f>
        <v>7</v>
      </c>
      <c r="F38" s="373" cm="1">
        <f t="array" ref="F38">SUMPRODUCT(('WBS(基本設計)'!$I$7:$I$456=$B38)*('WBS(基本設計)'!$K$7:$K$456="アプリ移管")*(NOT(ISNUMBER(SEARCH("（不採用）",'WBS(基本設計)'!$O$7:$O$456))))*'WBS(基本設計)'!$H$7:$H$456)</f>
        <v>0</v>
      </c>
      <c r="G38" s="295" t="str">
        <f t="shared" si="2"/>
        <v>基盤</v>
      </c>
      <c r="Y38" t="s">
        <v>7831</v>
      </c>
      <c r="Z38" t="s">
        <v>8637</v>
      </c>
    </row>
    <row r="39" spans="1:26">
      <c r="A39" s="295" t="str">
        <f t="shared" si="1"/>
        <v>管理</v>
      </c>
      <c r="B39" s="295" t="s">
        <v>7803</v>
      </c>
      <c r="C39" s="373" cm="1">
        <f t="array" ref="C39">SUMPRODUCT(('WBS(基本設計)'!$I$7:$I$456=$B39)*(NOT(ISNUMBER(SEARCH("（不採用）",'WBS(基本設計)'!$O$7:$O$456))))*('WBS(基本設計)'!$A$7:$A$456&lt;&gt;""))</f>
        <v>10</v>
      </c>
      <c r="D39" s="373" cm="1">
        <f t="array" ref="D39">SUMPRODUCT(('WBS(基本設計)'!$I$7:$I$456=$B39)*(NOT(ISNUMBER(SEARCH("（不採用）",'WBS(基本設計)'!$O$7:$O$456))))*'WBS(基本設計)'!$H$7:$H$456)</f>
        <v>5.5</v>
      </c>
      <c r="E39" s="373" cm="1">
        <f t="array" ref="E39">SUMPRODUCT(('WBS(基本設計)'!$I$7:$I$456=$B39)*(LEFT('WBS(基本設計)'!$K$7:$K$456,2)="基盤")*(NOT(ISNUMBER(SEARCH("（不採用）",'WBS(基本設計)'!$O$7:$O$456))))*'WBS(基本設計)'!$H$7:$H$456)</f>
        <v>5.5</v>
      </c>
      <c r="F39" s="373" cm="1">
        <f t="array" ref="F39">SUMPRODUCT(('WBS(基本設計)'!$I$7:$I$456=$B39)*('WBS(基本設計)'!$K$7:$K$456="アプリ移管")*(NOT(ISNUMBER(SEARCH("（不採用）",'WBS(基本設計)'!$O$7:$O$456))))*'WBS(基本設計)'!$H$7:$H$456)</f>
        <v>0</v>
      </c>
      <c r="G39" s="295" t="str">
        <f t="shared" si="2"/>
        <v>基盤</v>
      </c>
      <c r="Y39" t="s">
        <v>7832</v>
      </c>
      <c r="Z39" t="s">
        <v>8637</v>
      </c>
    </row>
    <row r="40" spans="1:26">
      <c r="A40" s="295" t="str">
        <f t="shared" si="1"/>
        <v>プロビジョニング</v>
      </c>
      <c r="B40" s="295" t="s">
        <v>7798</v>
      </c>
      <c r="C40" s="373" cm="1">
        <f t="array" ref="C40">SUMPRODUCT(('WBS(基本設計)'!$I$7:$I$456=$B40)*(NOT(ISNUMBER(SEARCH("（不採用）",'WBS(基本設計)'!$O$7:$O$456))))*('WBS(基本設計)'!$A$7:$A$456&lt;&gt;""))</f>
        <v>11</v>
      </c>
      <c r="D40" s="373" cm="1">
        <f t="array" ref="D40">SUMPRODUCT(('WBS(基本設計)'!$I$7:$I$456=$B40)*(NOT(ISNUMBER(SEARCH("（不採用）",'WBS(基本設計)'!$O$7:$O$456))))*'WBS(基本設計)'!$H$7:$H$456)</f>
        <v>18</v>
      </c>
      <c r="E40" s="373" cm="1">
        <f t="array" ref="E40">SUMPRODUCT(('WBS(基本設計)'!$I$7:$I$456=$B40)*(LEFT('WBS(基本設計)'!$K$7:$K$456,2)="基盤")*(NOT(ISNUMBER(SEARCH("（不採用）",'WBS(基本設計)'!$O$7:$O$456))))*'WBS(基本設計)'!$H$7:$H$456)</f>
        <v>18</v>
      </c>
      <c r="F40" s="373" cm="1">
        <f t="array" ref="F40">SUMPRODUCT(('WBS(基本設計)'!$I$7:$I$456=$B40)*('WBS(基本設計)'!$K$7:$K$456="アプリ移管")*(NOT(ISNUMBER(SEARCH("（不採用）",'WBS(基本設計)'!$O$7:$O$456))))*'WBS(基本設計)'!$H$7:$H$456)</f>
        <v>0</v>
      </c>
      <c r="G40" s="295" t="str">
        <f t="shared" si="2"/>
        <v>基盤</v>
      </c>
      <c r="Y40" t="s">
        <v>7833</v>
      </c>
      <c r="Z40" t="s">
        <v>8637</v>
      </c>
    </row>
    <row r="41" spans="1:26">
      <c r="A41" s="295" t="str">
        <f t="shared" si="1"/>
        <v>連携</v>
      </c>
      <c r="B41" s="295" t="s">
        <v>7823</v>
      </c>
      <c r="C41" s="373" cm="1">
        <f t="array" ref="C41">SUMPRODUCT(('WBS(基本設計)'!$I$7:$I$456=$B41)*(NOT(ISNUMBER(SEARCH("（不採用）",'WBS(基本設計)'!$O$7:$O$456))))*('WBS(基本設計)'!$A$7:$A$456&lt;&gt;""))</f>
        <v>8</v>
      </c>
      <c r="D41" s="373" cm="1">
        <f t="array" ref="D41">SUMPRODUCT(('WBS(基本設計)'!$I$7:$I$456=$B41)*(NOT(ISNUMBER(SEARCH("（不採用）",'WBS(基本設計)'!$O$7:$O$456))))*'WBS(基本設計)'!$H$7:$H$456)</f>
        <v>16</v>
      </c>
      <c r="E41" s="373" cm="1">
        <f t="array" ref="E41">SUMPRODUCT(('WBS(基本設計)'!$I$7:$I$456=$B41)*(LEFT('WBS(基本設計)'!$K$7:$K$456,2)="基盤")*(NOT(ISNUMBER(SEARCH("（不採用）",'WBS(基本設計)'!$O$7:$O$456))))*'WBS(基本設計)'!$H$7:$H$456)</f>
        <v>11</v>
      </c>
      <c r="F41" s="373" cm="1">
        <f t="array" ref="F41">SUMPRODUCT(('WBS(基本設計)'!$I$7:$I$456=$B41)*('WBS(基本設計)'!$K$7:$K$456="アプリ移管")*(NOT(ISNUMBER(SEARCH("（不採用）",'WBS(基本設計)'!$O$7:$O$456))))*'WBS(基本設計)'!$H$7:$H$456)</f>
        <v>0</v>
      </c>
      <c r="G41" s="295" t="str">
        <f t="shared" si="2"/>
        <v>基盤</v>
      </c>
      <c r="Y41" t="s">
        <v>7925</v>
      </c>
      <c r="Z41" t="s">
        <v>8633</v>
      </c>
    </row>
    <row r="42" spans="1:26">
      <c r="A42" s="295" t="str">
        <f t="shared" si="1"/>
        <v>プロビジョニング</v>
      </c>
      <c r="B42" s="295" t="s">
        <v>7800</v>
      </c>
      <c r="C42" s="373" cm="1">
        <f t="array" ref="C42">SUMPRODUCT(('WBS(基本設計)'!$I$7:$I$456=$B42)*(NOT(ISNUMBER(SEARCH("（不採用）",'WBS(基本設計)'!$O$7:$O$456))))*('WBS(基本設計)'!$A$7:$A$456&lt;&gt;""))</f>
        <v>8</v>
      </c>
      <c r="D42" s="373" cm="1">
        <f t="array" ref="D42">SUMPRODUCT(('WBS(基本設計)'!$I$7:$I$456=$B42)*(NOT(ISNUMBER(SEARCH("（不採用）",'WBS(基本設計)'!$O$7:$O$456))))*'WBS(基本設計)'!$H$7:$H$456)</f>
        <v>9</v>
      </c>
      <c r="E42" s="373" cm="1">
        <f t="array" ref="E42">SUMPRODUCT(('WBS(基本設計)'!$I$7:$I$456=$B42)*(LEFT('WBS(基本設計)'!$K$7:$K$456,2)="基盤")*(NOT(ISNUMBER(SEARCH("（不採用）",'WBS(基本設計)'!$O$7:$O$456))))*'WBS(基本設計)'!$H$7:$H$456)</f>
        <v>0</v>
      </c>
      <c r="F42" s="373" cm="1">
        <f t="array" ref="F42">SUMPRODUCT(('WBS(基本設計)'!$I$7:$I$456=$B42)*('WBS(基本設計)'!$K$7:$K$456="アプリ移管")*(NOT(ISNUMBER(SEARCH("（不採用）",'WBS(基本設計)'!$O$7:$O$456))))*'WBS(基本設計)'!$H$7:$H$456)</f>
        <v>0</v>
      </c>
      <c r="G42" s="295" t="str">
        <f t="shared" si="2"/>
        <v>基盤</v>
      </c>
      <c r="Y42" t="s">
        <v>7944</v>
      </c>
      <c r="Z42" t="s">
        <v>8633</v>
      </c>
    </row>
    <row r="43" spans="1:26">
      <c r="A43" s="295" t="str">
        <f t="shared" si="1"/>
        <v>認証</v>
      </c>
      <c r="B43" s="295" t="s">
        <v>7789</v>
      </c>
      <c r="C43" s="373" cm="1">
        <f t="array" ref="C43">SUMPRODUCT(('WBS(基本設計)'!$I$7:$I$456=$B43)*(NOT(ISNUMBER(SEARCH("（不採用）",'WBS(基本設計)'!$O$7:$O$456))))*('WBS(基本設計)'!$A$7:$A$456&lt;&gt;""))</f>
        <v>9</v>
      </c>
      <c r="D43" s="373" cm="1">
        <f t="array" ref="D43">SUMPRODUCT(('WBS(基本設計)'!$I$7:$I$456=$B43)*(NOT(ISNUMBER(SEARCH("（不採用）",'WBS(基本設計)'!$O$7:$O$456))))*'WBS(基本設計)'!$H$7:$H$456)</f>
        <v>7</v>
      </c>
      <c r="E43" s="373" cm="1">
        <f t="array" ref="E43">SUMPRODUCT(('WBS(基本設計)'!$I$7:$I$456=$B43)*(LEFT('WBS(基本設計)'!$K$7:$K$456,2)="基盤")*(NOT(ISNUMBER(SEARCH("（不採用）",'WBS(基本設計)'!$O$7:$O$456))))*'WBS(基本設計)'!$H$7:$H$456)</f>
        <v>7</v>
      </c>
      <c r="F43" s="373" cm="1">
        <f t="array" ref="F43">SUMPRODUCT(('WBS(基本設計)'!$I$7:$I$456=$B43)*('WBS(基本設計)'!$K$7:$K$456="アプリ移管")*(NOT(ISNUMBER(SEARCH("（不採用）",'WBS(基本設計)'!$O$7:$O$456))))*'WBS(基本設計)'!$H$7:$H$456)</f>
        <v>0</v>
      </c>
      <c r="G43" s="295" t="str">
        <f t="shared" si="2"/>
        <v>基盤</v>
      </c>
    </row>
    <row r="44" spans="1:26">
      <c r="A44" s="295" t="str">
        <f t="shared" si="1"/>
        <v>プロビジョニング</v>
      </c>
      <c r="B44" s="295" t="s">
        <v>7796</v>
      </c>
      <c r="C44" s="373" cm="1">
        <f t="array" ref="C44">SUMPRODUCT(('WBS(基本設計)'!$I$7:$I$456=$B44)*(NOT(ISNUMBER(SEARCH("（不採用）",'WBS(基本設計)'!$O$7:$O$456))))*('WBS(基本設計)'!$A$7:$A$456&lt;&gt;""))</f>
        <v>8</v>
      </c>
      <c r="D44" s="373" cm="1">
        <f t="array" ref="D44">SUMPRODUCT(('WBS(基本設計)'!$I$7:$I$456=$B44)*(NOT(ISNUMBER(SEARCH("（不採用）",'WBS(基本設計)'!$O$7:$O$456))))*'WBS(基本設計)'!$H$7:$H$456)</f>
        <v>13.75</v>
      </c>
      <c r="E44" s="373" cm="1">
        <f t="array" ref="E44">SUMPRODUCT(('WBS(基本設計)'!$I$7:$I$456=$B44)*(LEFT('WBS(基本設計)'!$K$7:$K$456,2)="基盤")*(NOT(ISNUMBER(SEARCH("（不採用）",'WBS(基本設計)'!$O$7:$O$456))))*'WBS(基本設計)'!$H$7:$H$456)</f>
        <v>13.75</v>
      </c>
      <c r="F44" s="373" cm="1">
        <f t="array" ref="F44">SUMPRODUCT(('WBS(基本設計)'!$I$7:$I$456=$B44)*('WBS(基本設計)'!$K$7:$K$456="アプリ移管")*(NOT(ISNUMBER(SEARCH("（不採用）",'WBS(基本設計)'!$O$7:$O$456))))*'WBS(基本設計)'!$H$7:$H$456)</f>
        <v>0</v>
      </c>
      <c r="G44" s="295" t="str">
        <f t="shared" si="2"/>
        <v>基盤</v>
      </c>
    </row>
    <row r="45" spans="1:26">
      <c r="A45" s="295" t="str">
        <f t="shared" si="1"/>
        <v>管理</v>
      </c>
      <c r="B45" s="295" t="s">
        <v>7805</v>
      </c>
      <c r="C45" s="373" cm="1">
        <f t="array" ref="C45">SUMPRODUCT(('WBS(基本設計)'!$I$7:$I$456=$B45)*(NOT(ISNUMBER(SEARCH("（不採用）",'WBS(基本設計)'!$O$7:$O$456))))*('WBS(基本設計)'!$A$7:$A$456&lt;&gt;""))</f>
        <v>7</v>
      </c>
      <c r="D45" s="373" cm="1">
        <f t="array" ref="D45">SUMPRODUCT(('WBS(基本設計)'!$I$7:$I$456=$B45)*(NOT(ISNUMBER(SEARCH("（不採用）",'WBS(基本設計)'!$O$7:$O$456))))*'WBS(基本設計)'!$H$7:$H$456)</f>
        <v>5</v>
      </c>
      <c r="E45" s="373" cm="1">
        <f t="array" ref="E45">SUMPRODUCT(('WBS(基本設計)'!$I$7:$I$456=$B45)*(LEFT('WBS(基本設計)'!$K$7:$K$456,2)="基盤")*(NOT(ISNUMBER(SEARCH("（不採用）",'WBS(基本設計)'!$O$7:$O$456))))*'WBS(基本設計)'!$H$7:$H$456)</f>
        <v>4.5</v>
      </c>
      <c r="F45" s="373" cm="1">
        <f t="array" ref="F45">SUMPRODUCT(('WBS(基本設計)'!$I$7:$I$456=$B45)*('WBS(基本設計)'!$K$7:$K$456="アプリ移管")*(NOT(ISNUMBER(SEARCH("（不採用）",'WBS(基本設計)'!$O$7:$O$456))))*'WBS(基本設計)'!$H$7:$H$456)</f>
        <v>0</v>
      </c>
      <c r="G45" s="295" t="str">
        <f t="shared" si="2"/>
        <v>基盤</v>
      </c>
    </row>
    <row r="46" spans="1:26">
      <c r="A46" s="295" t="str">
        <f t="shared" si="1"/>
        <v>認証</v>
      </c>
      <c r="B46" s="295" t="s">
        <v>7785</v>
      </c>
      <c r="C46" s="373" cm="1">
        <f t="array" ref="C46">SUMPRODUCT(('WBS(基本設計)'!$I$7:$I$456=$B46)*(NOT(ISNUMBER(SEARCH("（不採用）",'WBS(基本設計)'!$O$7:$O$456))))*('WBS(基本設計)'!$A$7:$A$456&lt;&gt;""))</f>
        <v>6</v>
      </c>
      <c r="D46" s="373" cm="1">
        <f t="array" ref="D46">SUMPRODUCT(('WBS(基本設計)'!$I$7:$I$456=$B46)*(NOT(ISNUMBER(SEARCH("（不採用）",'WBS(基本設計)'!$O$7:$O$456))))*'WBS(基本設計)'!$H$7:$H$456)</f>
        <v>9.25</v>
      </c>
      <c r="E46" s="373" cm="1">
        <f t="array" ref="E46">SUMPRODUCT(('WBS(基本設計)'!$I$7:$I$456=$B46)*(LEFT('WBS(基本設計)'!$K$7:$K$456,2)="基盤")*(NOT(ISNUMBER(SEARCH("（不採用）",'WBS(基本設計)'!$O$7:$O$456))))*'WBS(基本設計)'!$H$7:$H$456)</f>
        <v>9.25</v>
      </c>
      <c r="F46" s="373" cm="1">
        <f t="array" ref="F46">SUMPRODUCT(('WBS(基本設計)'!$I$7:$I$456=$B46)*('WBS(基本設計)'!$K$7:$K$456="アプリ移管")*(NOT(ISNUMBER(SEARCH("（不採用）",'WBS(基本設計)'!$O$7:$O$456))))*'WBS(基本設計)'!$H$7:$H$456)</f>
        <v>0</v>
      </c>
      <c r="G46" s="295" t="str">
        <f t="shared" si="2"/>
        <v>基盤</v>
      </c>
    </row>
    <row r="47" spans="1:26">
      <c r="A47" s="295" t="str">
        <f t="shared" si="1"/>
        <v>認可</v>
      </c>
      <c r="B47" s="295" t="s">
        <v>7817</v>
      </c>
      <c r="C47" s="373" cm="1">
        <f t="array" ref="C47">SUMPRODUCT(('WBS(基本設計)'!$I$7:$I$456=$B47)*(NOT(ISNUMBER(SEARCH("（不採用）",'WBS(基本設計)'!$O$7:$O$456))))*('WBS(基本設計)'!$A$7:$A$456&lt;&gt;""))</f>
        <v>5</v>
      </c>
      <c r="D47" s="373" cm="1">
        <f t="array" ref="D47">SUMPRODUCT(('WBS(基本設計)'!$I$7:$I$456=$B47)*(NOT(ISNUMBER(SEARCH("（不採用）",'WBS(基本設計)'!$O$7:$O$456))))*'WBS(基本設計)'!$H$7:$H$456)</f>
        <v>6</v>
      </c>
      <c r="E47" s="373" cm="1">
        <f t="array" ref="E47">SUMPRODUCT(('WBS(基本設計)'!$I$7:$I$456=$B47)*(LEFT('WBS(基本設計)'!$K$7:$K$456,2)="基盤")*(NOT(ISNUMBER(SEARCH("（不採用）",'WBS(基本設計)'!$O$7:$O$456))))*'WBS(基本設計)'!$H$7:$H$456)</f>
        <v>5</v>
      </c>
      <c r="F47" s="373" cm="1">
        <f t="array" ref="F47">SUMPRODUCT(('WBS(基本設計)'!$I$7:$I$456=$B47)*('WBS(基本設計)'!$K$7:$K$456="アプリ移管")*(NOT(ISNUMBER(SEARCH("（不採用）",'WBS(基本設計)'!$O$7:$O$456))))*'WBS(基本設計)'!$H$7:$H$456)</f>
        <v>0</v>
      </c>
      <c r="G47" s="295" t="str">
        <f t="shared" si="2"/>
        <v>基盤</v>
      </c>
    </row>
    <row r="48" spans="1:26">
      <c r="A48" s="295" t="str">
        <f t="shared" si="1"/>
        <v>認証</v>
      </c>
      <c r="B48" s="295" t="s">
        <v>7790</v>
      </c>
      <c r="C48" s="373" cm="1">
        <f t="array" ref="C48">SUMPRODUCT(('WBS(基本設計)'!$I$7:$I$456=$B48)*(NOT(ISNUMBER(SEARCH("（不採用）",'WBS(基本設計)'!$O$7:$O$456))))*('WBS(基本設計)'!$A$7:$A$456&lt;&gt;""))</f>
        <v>5</v>
      </c>
      <c r="D48" s="373" cm="1">
        <f t="array" ref="D48">SUMPRODUCT(('WBS(基本設計)'!$I$7:$I$456=$B48)*(NOT(ISNUMBER(SEARCH("（不採用）",'WBS(基本設計)'!$O$7:$O$456))))*'WBS(基本設計)'!$H$7:$H$456)</f>
        <v>4.5</v>
      </c>
      <c r="E48" s="373" cm="1">
        <f t="array" ref="E48">SUMPRODUCT(('WBS(基本設計)'!$I$7:$I$456=$B48)*(LEFT('WBS(基本設計)'!$K$7:$K$456,2)="基盤")*(NOT(ISNUMBER(SEARCH("（不採用）",'WBS(基本設計)'!$O$7:$O$456))))*'WBS(基本設計)'!$H$7:$H$456)</f>
        <v>4.5</v>
      </c>
      <c r="F48" s="373" cm="1">
        <f t="array" ref="F48">SUMPRODUCT(('WBS(基本設計)'!$I$7:$I$456=$B48)*('WBS(基本設計)'!$K$7:$K$456="アプリ移管")*(NOT(ISNUMBER(SEARCH("（不採用）",'WBS(基本設計)'!$O$7:$O$456))))*'WBS(基本設計)'!$H$7:$H$456)</f>
        <v>0</v>
      </c>
      <c r="G48" s="295" t="str">
        <f t="shared" si="2"/>
        <v>基盤</v>
      </c>
    </row>
    <row r="49" spans="1:7">
      <c r="A49" s="295" t="str">
        <f t="shared" si="1"/>
        <v>バッチ</v>
      </c>
      <c r="B49" s="295" t="s">
        <v>7832</v>
      </c>
      <c r="C49" s="373" cm="1">
        <f t="array" ref="C49">SUMPRODUCT(('WBS(基本設計)'!$I$7:$I$456=$B49)*(NOT(ISNUMBER(SEARCH("（不採用）",'WBS(基本設計)'!$O$7:$O$456))))*('WBS(基本設計)'!$A$7:$A$456&lt;&gt;""))</f>
        <v>6</v>
      </c>
      <c r="D49" s="373" cm="1">
        <f t="array" ref="D49">SUMPRODUCT(('WBS(基本設計)'!$I$7:$I$456=$B49)*(NOT(ISNUMBER(SEARCH("（不採用）",'WBS(基本設計)'!$O$7:$O$456))))*'WBS(基本設計)'!$H$7:$H$456)</f>
        <v>6.5</v>
      </c>
      <c r="E49" s="373" cm="1">
        <f t="array" ref="E49">SUMPRODUCT(('WBS(基本設計)'!$I$7:$I$456=$B49)*(LEFT('WBS(基本設計)'!$K$7:$K$456,2)="基盤")*(NOT(ISNUMBER(SEARCH("（不採用）",'WBS(基本設計)'!$O$7:$O$456))))*'WBS(基本設計)'!$H$7:$H$456)</f>
        <v>6.5</v>
      </c>
      <c r="F49" s="373" cm="1">
        <f t="array" ref="F49">SUMPRODUCT(('WBS(基本設計)'!$I$7:$I$456=$B49)*('WBS(基本設計)'!$K$7:$K$456="アプリ移管")*(NOT(ISNUMBER(SEARCH("（不採用）",'WBS(基本設計)'!$O$7:$O$456))))*'WBS(基本設計)'!$H$7:$H$456)</f>
        <v>0</v>
      </c>
      <c r="G49" s="295" t="str">
        <f t="shared" si="2"/>
        <v>基盤</v>
      </c>
    </row>
    <row r="50" spans="1:7">
      <c r="A50" s="295" t="str">
        <f t="shared" si="1"/>
        <v>プロビジョニング</v>
      </c>
      <c r="B50" s="295" t="s">
        <v>7795</v>
      </c>
      <c r="C50" s="373" cm="1">
        <f t="array" ref="C50">SUMPRODUCT(('WBS(基本設計)'!$I$7:$I$456=$B50)*(NOT(ISNUMBER(SEARCH("（不採用）",'WBS(基本設計)'!$O$7:$O$456))))*('WBS(基本設計)'!$A$7:$A$456&lt;&gt;""))</f>
        <v>2</v>
      </c>
      <c r="D50" s="373" cm="1">
        <f t="array" ref="D50">SUMPRODUCT(('WBS(基本設計)'!$I$7:$I$456=$B50)*(NOT(ISNUMBER(SEARCH("（不採用）",'WBS(基本設計)'!$O$7:$O$456))))*'WBS(基本設計)'!$H$7:$H$456)</f>
        <v>1.25</v>
      </c>
      <c r="E50" s="373" cm="1">
        <f t="array" ref="E50">SUMPRODUCT(('WBS(基本設計)'!$I$7:$I$456=$B50)*(LEFT('WBS(基本設計)'!$K$7:$K$456,2)="基盤")*(NOT(ISNUMBER(SEARCH("（不採用）",'WBS(基本設計)'!$O$7:$O$456))))*'WBS(基本設計)'!$H$7:$H$456)</f>
        <v>1.25</v>
      </c>
      <c r="F50" s="373" cm="1">
        <f t="array" ref="F50">SUMPRODUCT(('WBS(基本設計)'!$I$7:$I$456=$B50)*('WBS(基本設計)'!$K$7:$K$456="アプリ移管")*(NOT(ISNUMBER(SEARCH("（不採用）",'WBS(基本設計)'!$O$7:$O$456))))*'WBS(基本設計)'!$H$7:$H$456)</f>
        <v>0</v>
      </c>
      <c r="G50" s="295" t="str">
        <f t="shared" si="2"/>
        <v>基盤</v>
      </c>
    </row>
    <row r="51" spans="1:7">
      <c r="A51" s="295" t="str">
        <f t="shared" si="1"/>
        <v>認可</v>
      </c>
      <c r="B51" s="295" t="s">
        <v>7815</v>
      </c>
      <c r="C51" s="373" cm="1">
        <f t="array" ref="C51">SUMPRODUCT(('WBS(基本設計)'!$I$7:$I$456=$B51)*(NOT(ISNUMBER(SEARCH("（不採用）",'WBS(基本設計)'!$O$7:$O$456))))*('WBS(基本設計)'!$A$7:$A$456&lt;&gt;""))</f>
        <v>4</v>
      </c>
      <c r="D51" s="373" cm="1">
        <f t="array" ref="D51">SUMPRODUCT(('WBS(基本設計)'!$I$7:$I$456=$B51)*(NOT(ISNUMBER(SEARCH("（不採用）",'WBS(基本設計)'!$O$7:$O$456))))*'WBS(基本設計)'!$H$7:$H$456)</f>
        <v>6.25</v>
      </c>
      <c r="E51" s="373" cm="1">
        <f t="array" ref="E51">SUMPRODUCT(('WBS(基本設計)'!$I$7:$I$456=$B51)*(LEFT('WBS(基本設計)'!$K$7:$K$456,2)="基盤")*(NOT(ISNUMBER(SEARCH("（不採用）",'WBS(基本設計)'!$O$7:$O$456))))*'WBS(基本設計)'!$H$7:$H$456)</f>
        <v>0</v>
      </c>
      <c r="F51" s="373" cm="1">
        <f t="array" ref="F51">SUMPRODUCT(('WBS(基本設計)'!$I$7:$I$456=$B51)*('WBS(基本設計)'!$K$7:$K$456="アプリ移管")*(NOT(ISNUMBER(SEARCH("（不採用）",'WBS(基本設計)'!$O$7:$O$456))))*'WBS(基本設計)'!$H$7:$H$456)</f>
        <v>0</v>
      </c>
      <c r="G51" s="295" t="str">
        <f t="shared" si="2"/>
        <v>基盤</v>
      </c>
    </row>
    <row r="52" spans="1:7">
      <c r="A52" s="295" t="str">
        <f t="shared" si="1"/>
        <v>バッチ</v>
      </c>
      <c r="B52" s="295" t="s">
        <v>7830</v>
      </c>
      <c r="C52" s="373" cm="1">
        <f t="array" ref="C52">SUMPRODUCT(('WBS(基本設計)'!$I$7:$I$456=$B52)*(NOT(ISNUMBER(SEARCH("（不採用）",'WBS(基本設計)'!$O$7:$O$456))))*('WBS(基本設計)'!$A$7:$A$456&lt;&gt;""))</f>
        <v>4</v>
      </c>
      <c r="D52" s="373" cm="1">
        <f t="array" ref="D52">SUMPRODUCT(('WBS(基本設計)'!$I$7:$I$456=$B52)*(NOT(ISNUMBER(SEARCH("（不採用）",'WBS(基本設計)'!$O$7:$O$456))))*'WBS(基本設計)'!$H$7:$H$456)</f>
        <v>3.25</v>
      </c>
      <c r="E52" s="373" cm="1">
        <f t="array" ref="E52">SUMPRODUCT(('WBS(基本設計)'!$I$7:$I$456=$B52)*(LEFT('WBS(基本設計)'!$K$7:$K$456,2)="基盤")*(NOT(ISNUMBER(SEARCH("（不採用）",'WBS(基本設計)'!$O$7:$O$456))))*'WBS(基本設計)'!$H$7:$H$456)</f>
        <v>3.25</v>
      </c>
      <c r="F52" s="373" cm="1">
        <f t="array" ref="F52">SUMPRODUCT(('WBS(基本設計)'!$I$7:$I$456=$B52)*('WBS(基本設計)'!$K$7:$K$456="アプリ移管")*(NOT(ISNUMBER(SEARCH("（不採用）",'WBS(基本設計)'!$O$7:$O$456))))*'WBS(基本設計)'!$H$7:$H$456)</f>
        <v>0</v>
      </c>
      <c r="G52" s="295" t="str">
        <f t="shared" si="2"/>
        <v>基盤</v>
      </c>
    </row>
    <row r="53" spans="1:7">
      <c r="A53" s="295" t="str">
        <f t="shared" si="1"/>
        <v>認可</v>
      </c>
      <c r="B53" s="295" t="s">
        <v>7822</v>
      </c>
      <c r="C53" s="373" cm="1">
        <f t="array" ref="C53">SUMPRODUCT(('WBS(基本設計)'!$I$7:$I$456=$B53)*(NOT(ISNUMBER(SEARCH("（不採用）",'WBS(基本設計)'!$O$7:$O$456))))*('WBS(基本設計)'!$A$7:$A$456&lt;&gt;""))</f>
        <v>3</v>
      </c>
      <c r="D53" s="373" cm="1">
        <f t="array" ref="D53">SUMPRODUCT(('WBS(基本設計)'!$I$7:$I$456=$B53)*(NOT(ISNUMBER(SEARCH("（不採用）",'WBS(基本設計)'!$O$7:$O$456))))*'WBS(基本設計)'!$H$7:$H$456)</f>
        <v>4</v>
      </c>
      <c r="E53" s="373" cm="1">
        <f t="array" ref="E53">SUMPRODUCT(('WBS(基本設計)'!$I$7:$I$456=$B53)*(LEFT('WBS(基本設計)'!$K$7:$K$456,2)="基盤")*(NOT(ISNUMBER(SEARCH("（不採用）",'WBS(基本設計)'!$O$7:$O$456))))*'WBS(基本設計)'!$H$7:$H$456)</f>
        <v>4</v>
      </c>
      <c r="F53" s="373" cm="1">
        <f t="array" ref="F53">SUMPRODUCT(('WBS(基本設計)'!$I$7:$I$456=$B53)*('WBS(基本設計)'!$K$7:$K$456="アプリ移管")*(NOT(ISNUMBER(SEARCH("（不採用）",'WBS(基本設計)'!$O$7:$O$456))))*'WBS(基本設計)'!$H$7:$H$456)</f>
        <v>0</v>
      </c>
      <c r="G53" s="295" t="str">
        <f t="shared" si="2"/>
        <v>基盤</v>
      </c>
    </row>
    <row r="54" spans="1:7">
      <c r="A54" s="295" t="str">
        <f t="shared" si="1"/>
        <v>連携</v>
      </c>
      <c r="B54" s="295" t="s">
        <v>7829</v>
      </c>
      <c r="C54" s="373" cm="1">
        <f t="array" ref="C54">SUMPRODUCT(('WBS(基本設計)'!$I$7:$I$456=$B54)*(NOT(ISNUMBER(SEARCH("（不採用）",'WBS(基本設計)'!$O$7:$O$456))))*('WBS(基本設計)'!$A$7:$A$456&lt;&gt;""))</f>
        <v>1</v>
      </c>
      <c r="D54" s="373" cm="1">
        <f t="array" ref="D54">SUMPRODUCT(('WBS(基本設計)'!$I$7:$I$456=$B54)*(NOT(ISNUMBER(SEARCH("（不採用）",'WBS(基本設計)'!$O$7:$O$456))))*'WBS(基本設計)'!$H$7:$H$456)</f>
        <v>0.5</v>
      </c>
      <c r="E54" s="373" cm="1">
        <f t="array" ref="E54">SUMPRODUCT(('WBS(基本設計)'!$I$7:$I$456=$B54)*(LEFT('WBS(基本設計)'!$K$7:$K$456,2)="基盤")*(NOT(ISNUMBER(SEARCH("（不採用）",'WBS(基本設計)'!$O$7:$O$456))))*'WBS(基本設計)'!$H$7:$H$456)</f>
        <v>0.5</v>
      </c>
      <c r="F54" s="373" cm="1">
        <f t="array" ref="F54">SUMPRODUCT(('WBS(基本設計)'!$I$7:$I$456=$B54)*('WBS(基本設計)'!$K$7:$K$456="アプリ移管")*(NOT(ISNUMBER(SEARCH("（不採用）",'WBS(基本設計)'!$O$7:$O$456))))*'WBS(基本設計)'!$H$7:$H$456)</f>
        <v>0</v>
      </c>
      <c r="G54" s="295" t="str">
        <f t="shared" si="2"/>
        <v>基盤</v>
      </c>
    </row>
    <row r="55" spans="1:7">
      <c r="A55" s="295" t="str">
        <f t="shared" si="1"/>
        <v>連携</v>
      </c>
      <c r="B55" s="295" t="s">
        <v>7825</v>
      </c>
      <c r="C55" s="373" cm="1">
        <f t="array" ref="C55">SUMPRODUCT(('WBS(基本設計)'!$I$7:$I$456=$B55)*(NOT(ISNUMBER(SEARCH("（不採用）",'WBS(基本設計)'!$O$7:$O$456))))*('WBS(基本設計)'!$A$7:$A$456&lt;&gt;""))</f>
        <v>3</v>
      </c>
      <c r="D55" s="373" cm="1">
        <f t="array" ref="D55">SUMPRODUCT(('WBS(基本設計)'!$I$7:$I$456=$B55)*(NOT(ISNUMBER(SEARCH("（不採用）",'WBS(基本設計)'!$O$7:$O$456))))*'WBS(基本設計)'!$H$7:$H$456)</f>
        <v>5</v>
      </c>
      <c r="E55" s="373" cm="1">
        <f t="array" ref="E55">SUMPRODUCT(('WBS(基本設計)'!$I$7:$I$456=$B55)*(LEFT('WBS(基本設計)'!$K$7:$K$456,2)="基盤")*(NOT(ISNUMBER(SEARCH("（不採用）",'WBS(基本設計)'!$O$7:$O$456))))*'WBS(基本設計)'!$H$7:$H$456)</f>
        <v>5</v>
      </c>
      <c r="F55" s="373" cm="1">
        <f t="array" ref="F55">SUMPRODUCT(('WBS(基本設計)'!$I$7:$I$456=$B55)*('WBS(基本設計)'!$K$7:$K$456="アプリ移管")*(NOT(ISNUMBER(SEARCH("（不採用）",'WBS(基本設計)'!$O$7:$O$456))))*'WBS(基本設計)'!$H$7:$H$456)</f>
        <v>0</v>
      </c>
      <c r="G55" s="295" t="str">
        <f t="shared" si="2"/>
        <v>基盤</v>
      </c>
    </row>
    <row r="56" spans="1:7">
      <c r="A56" s="295" t="str">
        <f t="shared" si="1"/>
        <v>バッチ</v>
      </c>
      <c r="B56" s="295" t="s">
        <v>7831</v>
      </c>
      <c r="C56" s="373" cm="1">
        <f t="array" ref="C56">SUMPRODUCT(('WBS(基本設計)'!$I$7:$I$456=$B56)*(NOT(ISNUMBER(SEARCH("（不採用）",'WBS(基本設計)'!$O$7:$O$456))))*('WBS(基本設計)'!$A$7:$A$456&lt;&gt;""))</f>
        <v>3</v>
      </c>
      <c r="D56" s="373" cm="1">
        <f t="array" ref="D56">SUMPRODUCT(('WBS(基本設計)'!$I$7:$I$456=$B56)*(NOT(ISNUMBER(SEARCH("（不採用）",'WBS(基本設計)'!$O$7:$O$456))))*'WBS(基本設計)'!$H$7:$H$456)</f>
        <v>3.25</v>
      </c>
      <c r="E56" s="373" cm="1">
        <f t="array" ref="E56">SUMPRODUCT(('WBS(基本設計)'!$I$7:$I$456=$B56)*(LEFT('WBS(基本設計)'!$K$7:$K$456,2)="基盤")*(NOT(ISNUMBER(SEARCH("（不採用）",'WBS(基本設計)'!$O$7:$O$456))))*'WBS(基本設計)'!$H$7:$H$456)</f>
        <v>3.25</v>
      </c>
      <c r="F56" s="373" cm="1">
        <f t="array" ref="F56">SUMPRODUCT(('WBS(基本設計)'!$I$7:$I$456=$B56)*('WBS(基本設計)'!$K$7:$K$456="アプリ移管")*(NOT(ISNUMBER(SEARCH("（不採用）",'WBS(基本設計)'!$O$7:$O$456))))*'WBS(基本設計)'!$H$7:$H$456)</f>
        <v>0</v>
      </c>
      <c r="G56" s="295" t="str">
        <f t="shared" si="2"/>
        <v>基盤</v>
      </c>
    </row>
    <row r="57" spans="1:7">
      <c r="A57" s="295" t="str">
        <f t="shared" si="1"/>
        <v>バッチ</v>
      </c>
      <c r="B57" s="295" t="s">
        <v>7833</v>
      </c>
      <c r="C57" s="373" cm="1">
        <f t="array" ref="C57">SUMPRODUCT(('WBS(基本設計)'!$I$7:$I$456=$B57)*(NOT(ISNUMBER(SEARCH("（不採用）",'WBS(基本設計)'!$O$7:$O$456))))*('WBS(基本設計)'!$A$7:$A$456&lt;&gt;""))</f>
        <v>2</v>
      </c>
      <c r="D57" s="373" cm="1">
        <f t="array" ref="D57">SUMPRODUCT(('WBS(基本設計)'!$I$7:$I$456=$B57)*(NOT(ISNUMBER(SEARCH("（不採用）",'WBS(基本設計)'!$O$7:$O$456))))*'WBS(基本設計)'!$H$7:$H$456)</f>
        <v>1</v>
      </c>
      <c r="E57" s="373" cm="1">
        <f t="array" ref="E57">SUMPRODUCT(('WBS(基本設計)'!$I$7:$I$456=$B57)*(LEFT('WBS(基本設計)'!$K$7:$K$456,2)="基盤")*(NOT(ISNUMBER(SEARCH("（不採用）",'WBS(基本設計)'!$O$7:$O$456))))*'WBS(基本設計)'!$H$7:$H$456)</f>
        <v>0</v>
      </c>
      <c r="F57" s="373" cm="1">
        <f t="array" ref="F57">SUMPRODUCT(('WBS(基本設計)'!$I$7:$I$456=$B57)*('WBS(基本設計)'!$K$7:$K$456="アプリ移管")*(NOT(ISNUMBER(SEARCH("（不採用）",'WBS(基本設計)'!$O$7:$O$456))))*'WBS(基本設計)'!$H$7:$H$456)</f>
        <v>0</v>
      </c>
      <c r="G57" s="295" t="str">
        <f t="shared" si="2"/>
        <v>基盤</v>
      </c>
    </row>
    <row r="58" spans="1:7">
      <c r="A58" s="374" t="s">
        <v>7</v>
      </c>
      <c r="B58" s="374"/>
      <c r="C58" s="375">
        <f>SUM(C27:C57)</f>
        <v>264</v>
      </c>
      <c r="D58" s="375">
        <f>SUM(D27:D57)</f>
        <v>356.25</v>
      </c>
      <c r="E58" s="375">
        <f>SUM(E27:E57)</f>
        <v>285</v>
      </c>
      <c r="F58" s="375">
        <f>SUM(F27:F57)</f>
        <v>0</v>
      </c>
      <c r="G58" s="374" t="str">
        <f t="shared" si="2"/>
        <v>基盤</v>
      </c>
    </row>
    <row r="61" spans="1:7">
      <c r="A61" s="366" t="s">
        <v>8645</v>
      </c>
    </row>
    <row r="62" spans="1:7">
      <c r="A62" s="3" t="s">
        <v>8587</v>
      </c>
      <c r="B62" s="3" t="s">
        <v>8642</v>
      </c>
      <c r="C62" s="3" t="s">
        <v>2521</v>
      </c>
      <c r="D62" s="3" t="s">
        <v>5824</v>
      </c>
    </row>
    <row r="63" spans="1:7">
      <c r="A63" t="s">
        <v>8604</v>
      </c>
      <c r="B63" s="368">
        <f>COUNTIFS('WBS(基本設計)'!$O$7:$O$456,$A63)</f>
        <v>0</v>
      </c>
      <c r="C63" s="368">
        <f>SUMIFS('WBS(基本設計)'!$H$7:$H$456,'WBS(基本設計)'!$O$7:$O$456,$A63)</f>
        <v>0</v>
      </c>
      <c r="D63" t="str">
        <f t="shared" ref="D63:D71" si="3">IF(ISNUMBER(SEARCH("（不採用）",$A63)),"🔴 対象外",IF(ISNUMBER(SEARCH("（未判断）",$A63)),"未判断",IF(ISNUMBER(SEARCH("（採用）",$A63)),"採用",IF(ISNUMBER(SEARCH("選べない",$A63)),"選べない","—"))))</f>
        <v>—</v>
      </c>
    </row>
    <row r="64" spans="1:7">
      <c r="A64" t="s">
        <v>8608</v>
      </c>
      <c r="B64" s="368">
        <f>COUNTIFS('WBS(基本設計)'!$O$7:$O$456,$A64)</f>
        <v>0</v>
      </c>
      <c r="C64" s="368">
        <f>SUMIFS('WBS(基本設計)'!$H$7:$H$456,'WBS(基本設計)'!$O$7:$O$456,$A64)</f>
        <v>0</v>
      </c>
      <c r="D64" t="str">
        <f t="shared" si="3"/>
        <v>採用</v>
      </c>
    </row>
    <row r="65" spans="1:4">
      <c r="A65" t="s">
        <v>8614</v>
      </c>
      <c r="B65" s="368">
        <f>COUNTIFS('WBS(基本設計)'!$O$7:$O$456,$A65)</f>
        <v>0</v>
      </c>
      <c r="C65" s="368">
        <f>SUMIFS('WBS(基本設計)'!$H$7:$H$456,'WBS(基本設計)'!$O$7:$O$456,$A65)</f>
        <v>0</v>
      </c>
      <c r="D65" t="str">
        <f t="shared" si="3"/>
        <v>🔴 対象外</v>
      </c>
    </row>
    <row r="66" spans="1:4">
      <c r="A66" t="s">
        <v>8610</v>
      </c>
      <c r="B66" s="368">
        <f>COUNTIFS('WBS(基本設計)'!$O$7:$O$456,$A66)</f>
        <v>0</v>
      </c>
      <c r="C66" s="368">
        <f>SUMIFS('WBS(基本設計)'!$H$7:$H$456,'WBS(基本設計)'!$O$7:$O$456,$A66)</f>
        <v>0</v>
      </c>
      <c r="D66" t="str">
        <f t="shared" si="3"/>
        <v>🔴 対象外</v>
      </c>
    </row>
    <row r="67" spans="1:4">
      <c r="A67" t="s">
        <v>8613</v>
      </c>
      <c r="B67" s="368">
        <f>COUNTIFS('WBS(基本設計)'!$O$7:$O$456,$A67)</f>
        <v>0</v>
      </c>
      <c r="C67" s="368">
        <f>SUMIFS('WBS(基本設計)'!$H$7:$H$456,'WBS(基本設計)'!$O$7:$O$456,$A67)</f>
        <v>0</v>
      </c>
      <c r="D67" t="str">
        <f t="shared" si="3"/>
        <v>選べない</v>
      </c>
    </row>
    <row r="68" spans="1:4">
      <c r="A68" t="s">
        <v>8611</v>
      </c>
      <c r="B68" s="368">
        <f>COUNTIFS('WBS(基本設計)'!$O$7:$O$456,$A68)</f>
        <v>0</v>
      </c>
      <c r="C68" s="368">
        <f>SUMIFS('WBS(基本設計)'!$H$7:$H$456,'WBS(基本設計)'!$O$7:$O$456,$A68)</f>
        <v>0</v>
      </c>
      <c r="D68" t="str">
        <f t="shared" si="3"/>
        <v>選べない</v>
      </c>
    </row>
    <row r="69" spans="1:4">
      <c r="A69" t="s">
        <v>8609</v>
      </c>
      <c r="B69" s="368">
        <f>COUNTIFS('WBS(基本設計)'!$O$7:$O$456,$A69)</f>
        <v>0</v>
      </c>
      <c r="C69" s="368">
        <f>SUMIFS('WBS(基本設計)'!$H$7:$H$456,'WBS(基本設計)'!$O$7:$O$456,$A69)</f>
        <v>0</v>
      </c>
      <c r="D69" t="str">
        <f t="shared" si="3"/>
        <v>採用</v>
      </c>
    </row>
    <row r="70" spans="1:4">
      <c r="A70" t="s">
        <v>8612</v>
      </c>
      <c r="B70" s="368">
        <f>COUNTIFS('WBS(基本設計)'!$O$7:$O$456,$A70)</f>
        <v>0</v>
      </c>
      <c r="C70" s="368">
        <f>SUMIFS('WBS(基本設計)'!$H$7:$H$456,'WBS(基本設計)'!$O$7:$O$456,$A70)</f>
        <v>0</v>
      </c>
      <c r="D70" t="str">
        <f t="shared" si="3"/>
        <v>未判断</v>
      </c>
    </row>
    <row r="71" spans="1:4">
      <c r="A71" s="367" t="s">
        <v>7</v>
      </c>
      <c r="B71" s="369">
        <f>SUM(B63:B70)</f>
        <v>0</v>
      </c>
      <c r="C71" s="369">
        <f>SUM(C63:C70)</f>
        <v>0</v>
      </c>
      <c r="D71" t="str">
        <f t="shared" si="3"/>
        <v>—</v>
      </c>
    </row>
    <row r="72" spans="1:4">
      <c r="A72" s="371" t="str" cm="1">
        <f t="array" ref="A72">"★『（不採用）』の "&amp;TEXT(SUMPRODUCT(('WBS(基本設計)'!$O$7:$O$456&lt;&gt;"")*(ISNUMBER(SEARCH("（不採用）",'WBS(基本設計)'!$O$7:$O$456)))*'WBS(基本設計)'!$H$7:$H$456),"0.#")&amp;"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6" t="s">
        <v>8646</v>
      </c>
    </row>
    <row r="75" spans="1:4">
      <c r="A75" s="3" t="s">
        <v>8278</v>
      </c>
      <c r="B75" s="3" t="s">
        <v>8642</v>
      </c>
      <c r="C75" s="3" t="s">
        <v>2521</v>
      </c>
    </row>
    <row r="76" spans="1:4">
      <c r="A76" t="s">
        <v>8280</v>
      </c>
      <c r="B76" s="368" cm="1">
        <f t="array" ref="B76">SUMPRODUCT(('WBS(基本設計)'!$M$7:$M$456=$A76)*(NOT(ISNUMBER(SEARCH("（不採用）",'WBS(基本設計)'!$O$7:$O$456))))*('WBS(基本設計)'!$A$7:$A$456&lt;&gt;""))</f>
        <v>136</v>
      </c>
      <c r="C76" s="368" cm="1">
        <f t="array" ref="C76">SUMPRODUCT(('WBS(基本設計)'!$M$7:$M$456=$A76)*(NOT(ISNUMBER(SEARCH("（不採用）",'WBS(基本設計)'!$O$7:$O$456))))*'WBS(基本設計)'!$H$7:$H$456)</f>
        <v>222.75</v>
      </c>
    </row>
    <row r="77" spans="1:4">
      <c r="A77" t="s">
        <v>8284</v>
      </c>
      <c r="B77" s="368" cm="1">
        <f t="array" ref="B77">SUMPRODUCT(('WBS(基本設計)'!$M$7:$M$456=$A77)*(NOT(ISNUMBER(SEARCH("（不採用）",'WBS(基本設計)'!$O$7:$O$456))))*('WBS(基本設計)'!$A$7:$A$456&lt;&gt;""))</f>
        <v>44</v>
      </c>
      <c r="C77" s="368" cm="1">
        <f t="array" ref="C77">SUMPRODUCT(('WBS(基本設計)'!$M$7:$M$456=$A77)*(NOT(ISNUMBER(SEARCH("（不採用）",'WBS(基本設計)'!$O$7:$O$456))))*'WBS(基本設計)'!$H$7:$H$456)</f>
        <v>62.75</v>
      </c>
    </row>
    <row r="78" spans="1:4">
      <c r="A78" t="s">
        <v>8282</v>
      </c>
      <c r="B78" s="368" cm="1">
        <f t="array" ref="B78">SUMPRODUCT(('WBS(基本設計)'!$M$7:$M$456=$A78)*(NOT(ISNUMBER(SEARCH("（不採用）",'WBS(基本設計)'!$O$7:$O$456))))*('WBS(基本設計)'!$A$7:$A$456&lt;&gt;""))</f>
        <v>31</v>
      </c>
      <c r="C78" s="368" cm="1">
        <f t="array" ref="C78">SUMPRODUCT(('WBS(基本設計)'!$M$7:$M$456=$A78)*(NOT(ISNUMBER(SEARCH("（不採用）",'WBS(基本設計)'!$O$7:$O$456))))*'WBS(基本設計)'!$H$7:$H$456)</f>
        <v>38.75</v>
      </c>
    </row>
    <row r="79" spans="1:4">
      <c r="A79" t="s">
        <v>8291</v>
      </c>
      <c r="B79" s="368" cm="1">
        <f t="array" ref="B79">SUMPRODUCT(('WBS(基本設計)'!$M$7:$M$456=$A79)*(NOT(ISNUMBER(SEARCH("（不採用）",'WBS(基本設計)'!$O$7:$O$456))))*('WBS(基本設計)'!$A$7:$A$456&lt;&gt;""))</f>
        <v>4</v>
      </c>
      <c r="C79" s="368" cm="1">
        <f t="array" ref="C79">SUMPRODUCT(('WBS(基本設計)'!$M$7:$M$456=$A79)*(NOT(ISNUMBER(SEARCH("（不採用）",'WBS(基本設計)'!$O$7:$O$456))))*'WBS(基本設計)'!$H$7:$H$456)</f>
        <v>7.5</v>
      </c>
    </row>
    <row r="80" spans="1:4">
      <c r="A80" t="s">
        <v>8289</v>
      </c>
      <c r="B80" s="368" cm="1">
        <f t="array" ref="B80">SUMPRODUCT(('WBS(基本設計)'!$M$7:$M$456=$A80)*(NOT(ISNUMBER(SEARCH("（不採用）",'WBS(基本設計)'!$O$7:$O$456))))*('WBS(基本設計)'!$A$7:$A$456&lt;&gt;""))</f>
        <v>0</v>
      </c>
      <c r="C80" s="368" cm="1">
        <f t="array" ref="C80">SUMPRODUCT(('WBS(基本設計)'!$M$7:$M$456=$A80)*(NOT(ISNUMBER(SEARCH("（不採用）",'WBS(基本設計)'!$O$7:$O$456))))*'WBS(基本設計)'!$H$7:$H$456)</f>
        <v>0</v>
      </c>
    </row>
    <row r="81" spans="1:3">
      <c r="A81" t="s">
        <v>8290</v>
      </c>
      <c r="B81" s="368" cm="1">
        <f t="array" ref="B81">SUMPRODUCT(('WBS(基本設計)'!$M$7:$M$456=$A81)*(NOT(ISNUMBER(SEARCH("（不採用）",'WBS(基本設計)'!$O$7:$O$456))))*('WBS(基本設計)'!$A$7:$A$456&lt;&gt;""))</f>
        <v>11</v>
      </c>
      <c r="C81" s="368" cm="1">
        <f t="array" ref="C81">SUMPRODUCT(('WBS(基本設計)'!$M$7:$M$456=$A81)*(NOT(ISNUMBER(SEARCH("（不採用）",'WBS(基本設計)'!$O$7:$O$456))))*'WBS(基本設計)'!$H$7:$H$456)</f>
        <v>33</v>
      </c>
    </row>
    <row r="82" spans="1:3">
      <c r="A82" t="s">
        <v>8293</v>
      </c>
      <c r="B82" s="368" cm="1">
        <f t="array" ref="B82">SUMPRODUCT(('WBS(基本設計)'!$M$7:$M$456=$A82)*(NOT(ISNUMBER(SEARCH("（不採用）",'WBS(基本設計)'!$O$7:$O$456))))*('WBS(基本設計)'!$A$7:$A$456&lt;&gt;""))</f>
        <v>14</v>
      </c>
      <c r="C82" s="368" cm="1">
        <f t="array" ref="C82">SUMPRODUCT(('WBS(基本設計)'!$M$7:$M$456=$A82)*(NOT(ISNUMBER(SEARCH("（不採用）",'WBS(基本設計)'!$O$7:$O$456))))*'WBS(基本設計)'!$H$7:$H$456)</f>
        <v>26</v>
      </c>
    </row>
    <row r="83" spans="1:3">
      <c r="A83" t="s">
        <v>8288</v>
      </c>
      <c r="B83" s="368" cm="1">
        <f t="array" ref="B83">SUMPRODUCT(('WBS(基本設計)'!$M$7:$M$456=$A83)*(NOT(ISNUMBER(SEARCH("（不採用）",'WBS(基本設計)'!$O$7:$O$456))))*('WBS(基本設計)'!$A$7:$A$456&lt;&gt;""))</f>
        <v>32</v>
      </c>
      <c r="C83" s="368" cm="1">
        <f t="array" ref="C83">SUMPRODUCT(('WBS(基本設計)'!$M$7:$M$456=$A83)*(NOT(ISNUMBER(SEARCH("（不採用）",'WBS(基本設計)'!$O$7:$O$456))))*'WBS(基本設計)'!$H$7:$H$456)</f>
        <v>39</v>
      </c>
    </row>
    <row r="84" spans="1:3">
      <c r="A84" t="s">
        <v>8286</v>
      </c>
      <c r="B84" s="368" cm="1">
        <f t="array" ref="B84">SUMPRODUCT(('WBS(基本設計)'!$M$7:$M$456=$A84)*(NOT(ISNUMBER(SEARCH("（不採用）",'WBS(基本設計)'!$O$7:$O$456))))*('WBS(基本設計)'!$A$7:$A$456&lt;&gt;""))</f>
        <v>6</v>
      </c>
      <c r="C84" s="368" cm="1">
        <f t="array" ref="C84">SUMPRODUCT(('WBS(基本設計)'!$M$7:$M$456=$A84)*(NOT(ISNUMBER(SEARCH("（不採用）",'WBS(基本設計)'!$O$7:$O$456))))*'WBS(基本設計)'!$H$7:$H$456)</f>
        <v>9</v>
      </c>
    </row>
    <row r="85" spans="1:3">
      <c r="A85" t="s">
        <v>8287</v>
      </c>
      <c r="B85" s="368" cm="1">
        <f t="array" ref="B85">SUMPRODUCT(('WBS(基本設計)'!$M$7:$M$456=$A85)*(NOT(ISNUMBER(SEARCH("（不採用）",'WBS(基本設計)'!$O$7:$O$456))))*('WBS(基本設計)'!$A$7:$A$456&lt;&gt;""))</f>
        <v>20</v>
      </c>
      <c r="C85" s="368" cm="1">
        <f t="array" ref="C85">SUMPRODUCT(('WBS(基本設計)'!$M$7:$M$456=$A85)*(NOT(ISNUMBER(SEARCH("（不採用）",'WBS(基本設計)'!$O$7:$O$456))))*'WBS(基本設計)'!$H$7:$H$456)</f>
        <v>41.5</v>
      </c>
    </row>
    <row r="86" spans="1:3">
      <c r="A86" t="s">
        <v>8285</v>
      </c>
      <c r="B86" s="368" cm="1">
        <f t="array" ref="B86">SUMPRODUCT(('WBS(基本設計)'!$M$7:$M$456=$A86)*(NOT(ISNUMBER(SEARCH("（不採用）",'WBS(基本設計)'!$O$7:$O$456))))*('WBS(基本設計)'!$A$7:$A$456&lt;&gt;""))</f>
        <v>2</v>
      </c>
      <c r="C86" s="368" cm="1">
        <f t="array" ref="C86">SUMPRODUCT(('WBS(基本設計)'!$M$7:$M$456=$A86)*(NOT(ISNUMBER(SEARCH("（不採用）",'WBS(基本設計)'!$O$7:$O$456))))*'WBS(基本設計)'!$H$7:$H$456)</f>
        <v>1.5</v>
      </c>
    </row>
    <row r="87" spans="1:3">
      <c r="A87" t="s">
        <v>8281</v>
      </c>
      <c r="B87" s="368" cm="1">
        <f t="array" ref="B87">SUMPRODUCT(('WBS(基本設計)'!$M$7:$M$456=$A87)*(NOT(ISNUMBER(SEARCH("（不採用）",'WBS(基本設計)'!$O$7:$O$456))))*('WBS(基本設計)'!$A$7:$A$456&lt;&gt;""))</f>
        <v>25</v>
      </c>
      <c r="C87" s="368" cm="1">
        <f t="array" ref="C87">SUMPRODUCT(('WBS(基本設計)'!$M$7:$M$456=$A87)*(NOT(ISNUMBER(SEARCH("（不採用）",'WBS(基本設計)'!$O$7:$O$456))))*'WBS(基本設計)'!$H$7:$H$456)</f>
        <v>36.25</v>
      </c>
    </row>
    <row r="88" spans="1:3">
      <c r="A88" t="s">
        <v>8283</v>
      </c>
      <c r="B88" s="368" cm="1">
        <f t="array" ref="B88">SUMPRODUCT(('WBS(基本設計)'!$M$7:$M$456=$A88)*(NOT(ISNUMBER(SEARCH("（不採用）",'WBS(基本設計)'!$O$7:$O$456))))*('WBS(基本設計)'!$A$7:$A$456&lt;&gt;""))</f>
        <v>29</v>
      </c>
      <c r="C88" s="368" cm="1">
        <f t="array" ref="C88">SUMPRODUCT(('WBS(基本設計)'!$M$7:$M$456=$A88)*(NOT(ISNUMBER(SEARCH("（不採用）",'WBS(基本設計)'!$O$7:$O$456))))*'WBS(基本設計)'!$H$7:$H$456)</f>
        <v>42.75</v>
      </c>
    </row>
    <row r="89" spans="1:3">
      <c r="A89" t="s">
        <v>8292</v>
      </c>
      <c r="B89" s="368" cm="1">
        <f t="array" ref="B89">SUMPRODUCT(('WBS(基本設計)'!$M$7:$M$456=$A89)*(NOT(ISNUMBER(SEARCH("（不採用）",'WBS(基本設計)'!$O$7:$O$456))))*('WBS(基本設計)'!$A$7:$A$456&lt;&gt;""))</f>
        <v>39</v>
      </c>
      <c r="C89" s="368" cm="1">
        <f t="array" ref="C89">SUMPRODUCT(('WBS(基本設計)'!$M$7:$M$456=$A89)*(NOT(ISNUMBER(SEARCH("（不採用）",'WBS(基本設計)'!$O$7:$O$456))))*'WBS(基本設計)'!$H$7:$H$456)</f>
        <v>81</v>
      </c>
    </row>
    <row r="90" spans="1:3">
      <c r="A90" t="s">
        <v>8295</v>
      </c>
      <c r="B90" s="368" cm="1">
        <f t="array" ref="B90">SUMPRODUCT(('WBS(基本設計)'!$M$7:$M$456=$A90)*(NOT(ISNUMBER(SEARCH("（不採用）",'WBS(基本設計)'!$O$7:$O$456))))*('WBS(基本設計)'!$A$7:$A$456&lt;&gt;""))</f>
        <v>32</v>
      </c>
      <c r="C90" s="368" cm="1">
        <f t="array" ref="C90">SUMPRODUCT(('WBS(基本設計)'!$M$7:$M$456=$A90)*(NOT(ISNUMBER(SEARCH("（不採用）",'WBS(基本設計)'!$O$7:$O$456))))*'WBS(基本設計)'!$H$7:$H$456)</f>
        <v>68</v>
      </c>
    </row>
    <row r="91" spans="1:3">
      <c r="A91" t="s">
        <v>8294</v>
      </c>
      <c r="B91" s="368" cm="1">
        <f t="array" ref="B91">SUMPRODUCT(('WBS(基本設計)'!$M$7:$M$456=$A91)*(NOT(ISNUMBER(SEARCH("（不採用）",'WBS(基本設計)'!$O$7:$O$456))))*('WBS(基本設計)'!$A$7:$A$456&lt;&gt;""))</f>
        <v>8</v>
      </c>
      <c r="C91" s="368" cm="1">
        <f t="array" ref="C91">SUMPRODUCT(('WBS(基本設計)'!$M$7:$M$456=$A91)*(NOT(ISNUMBER(SEARCH("（不採用）",'WBS(基本設計)'!$O$7:$O$456))))*'WBS(基本設計)'!$H$7:$H$456)</f>
        <v>6</v>
      </c>
    </row>
    <row r="92" spans="1:3">
      <c r="A92" s="367" t="s">
        <v>8598</v>
      </c>
      <c r="B92" s="369" cm="1">
        <f t="array" ref="B92">SUMPRODUCT(('WBS(基本設計)'!$M$7:$M$456=$A92)*(NOT(ISNUMBER(SEARCH("（不採用）",'WBS(基本設計)'!$O$7:$O$456))))*('WBS(基本設計)'!$A$7:$A$456&lt;&gt;""))</f>
        <v>17</v>
      </c>
      <c r="C92" s="369" cm="1">
        <f t="array" ref="C92">SUMPRODUCT(('WBS(基本設計)'!$M$7:$M$456=$A92)*(NOT(ISNUMBER(SEARCH("（不採用）",'WBS(基本設計)'!$O$7:$O$456))))*'WBS(基本設計)'!$H$7:$H$456)</f>
        <v>27.5</v>
      </c>
    </row>
    <row r="93" spans="1:3">
      <c r="A93" t="s">
        <v>7</v>
      </c>
      <c r="B93">
        <f>SUM(B76:B92)</f>
        <v>450</v>
      </c>
      <c r="C93">
        <f>SUM(C76:C92)</f>
        <v>743.25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2026-09-06T03:33:21Z</dcterms:modified>
</cp:coreProperties>
</file>